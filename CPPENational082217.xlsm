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D:\Ecological_Sites\EDIT\"/>
    </mc:Choice>
  </mc:AlternateContent>
  <xr:revisionPtr revIDLastSave="0" documentId="8_{DA6A3306-70DA-4979-9254-E139BB715FC7}" xr6:coauthVersionLast="36" xr6:coauthVersionMax="36" xr10:uidLastSave="{00000000-0000-0000-0000-000000000000}"/>
  <bookViews>
    <workbookView xWindow="0" yWindow="0" windowWidth="24000" windowHeight="13335" tabRatio="799" firstSheet="4" activeTab="9" xr2:uid="{00000000-000D-0000-FFFF-FFFF00000000}"/>
  </bookViews>
  <sheets>
    <sheet name="CPPE Introduction" sheetId="1" r:id="rId1"/>
    <sheet name="Physical Effects" sheetId="2" r:id="rId2"/>
    <sheet name="Physical Effects-Numbers" sheetId="3" r:id="rId3"/>
    <sheet name="Physical Effects-Tool" sheetId="10" r:id="rId4"/>
    <sheet name="Human Considerations" sheetId="19" r:id="rId5"/>
    <sheet name="Human Considerations-Numbers" sheetId="20" r:id="rId6"/>
    <sheet name="Human Consideration-Definitions" sheetId="21" r:id="rId7"/>
    <sheet name="Human Effects-Tool" sheetId="22" r:id="rId8"/>
    <sheet name="Resource Concerns" sheetId="14" r:id="rId9"/>
    <sheet name="Practice Descriptions" sheetId="16" r:id="rId10"/>
    <sheet name="Practice-LandUse" sheetId="17" r:id="rId11"/>
    <sheet name="Negatives" sheetId="23" r:id="rId12"/>
    <sheet name="Lookup" sheetId="8" r:id="rId13"/>
  </sheets>
  <externalReferences>
    <externalReference r:id="rId14"/>
    <externalReference r:id="rId15"/>
    <externalReference r:id="rId16"/>
    <externalReference r:id="rId17"/>
    <externalReference r:id="rId18"/>
    <externalReference r:id="rId19"/>
  </externalReferences>
  <definedNames>
    <definedName name="_Dist_Bin" localSheetId="9" hidden="1">'[1]Recommend Practices'!#REF!</definedName>
    <definedName name="_Dist_Bin" hidden="1">#REF!</definedName>
    <definedName name="_Dist_Values" hidden="1">#REF!</definedName>
    <definedName name="_xlnm._FilterDatabase" localSheetId="10" hidden="1">'Practice-LandUse'!$B$3:$C$173</definedName>
    <definedName name="_Key1" hidden="1">#REF!</definedName>
    <definedName name="_Key2" hidden="1">#REF!</definedName>
    <definedName name="_Sort" hidden="1">#REF!</definedName>
    <definedName name="effects">[2]Lookup!$A$4:$A$16</definedName>
    <definedName name="Z_91CDA574_CBD8_475F_A4FA_67A0370DB3F6_.wvu.FilterData" localSheetId="10" hidden="1">'Practice-LandUse'!$B$3:$C$173</definedName>
    <definedName name="Z_F424B91F_F60F_4B7D_B253_938B2614248E_.wvu.PrintArea" localSheetId="0" hidden="1">'CPPE Introduction'!$B$2:$B$55</definedName>
    <definedName name="Z_F424B91F_F60F_4B7D_B253_938B2614248E_.wvu.PrintArea" localSheetId="12" hidden="1">Lookup!#REF!</definedName>
    <definedName name="Z_F424B91F_F60F_4B7D_B253_938B2614248E_.wvu.PrintArea" localSheetId="1" hidden="1">'Physical Effects'!$B$5:$D$169</definedName>
    <definedName name="Z_F424B91F_F60F_4B7D_B253_938B2614248E_.wvu.PrintArea" localSheetId="2" hidden="1">'Physical Effects-Numbers'!$B$1:$C$164</definedName>
    <definedName name="Z_F424B91F_F60F_4B7D_B253_938B2614248E_.wvu.PrintTitles" localSheetId="1" hidden="1">'Physical Effects'!$B:$D,'Physical Effects'!$5:$5</definedName>
    <definedName name="Z_F424B91F_F60F_4B7D_B253_938B2614248E_.wvu.PrintTitles" localSheetId="2" hidden="1">'Physical Effects-Numbers'!$B:$C,'Physical Effects-Numbers'!$1:$1</definedName>
  </definedNames>
  <calcPr calcId="191029"/>
  <customWorkbookViews>
    <customWorkbookView name="Russ Hatz - Personal View" guid="{F424B91F-F60F-4B7D-B253-938B2614248E}" mergeInterval="0" personalView="1" maximized="1" xWindow="1" yWindow="1" windowWidth="1276" windowHeight="771" activeSheetId="2"/>
  </customWorkbookView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3" i="3" l="1"/>
  <c r="E3" i="3"/>
  <c r="F3" i="3"/>
  <c r="G3" i="3"/>
  <c r="H3" i="3"/>
  <c r="I3" i="3"/>
  <c r="J3" i="3"/>
  <c r="K3" i="3"/>
  <c r="L3" i="3"/>
  <c r="M3" i="3"/>
  <c r="N3" i="3"/>
  <c r="O3" i="3"/>
  <c r="P3" i="3"/>
  <c r="Q3" i="3"/>
  <c r="R3" i="3"/>
  <c r="S3" i="3"/>
  <c r="T3" i="3"/>
  <c r="U3" i="3"/>
  <c r="V3" i="3"/>
  <c r="W3" i="3"/>
  <c r="X3" i="3"/>
  <c r="Y3" i="3"/>
  <c r="Z3" i="3"/>
  <c r="AA3" i="3"/>
  <c r="AB3" i="3"/>
  <c r="AC3" i="3"/>
  <c r="AD3" i="3"/>
  <c r="AE3" i="3"/>
  <c r="AF3" i="3"/>
  <c r="AG3" i="3"/>
  <c r="AH3" i="3"/>
  <c r="AI3" i="3"/>
  <c r="AJ3" i="3"/>
  <c r="AK3" i="3"/>
  <c r="AL3" i="3"/>
  <c r="AM3" i="3"/>
  <c r="AN3" i="3"/>
  <c r="AO3" i="3"/>
  <c r="AP3" i="3"/>
  <c r="AQ3" i="3"/>
  <c r="AR3" i="3"/>
  <c r="AS3" i="3"/>
  <c r="AT3" i="3"/>
  <c r="AU3" i="3"/>
  <c r="D4" i="3"/>
  <c r="E4" i="3"/>
  <c r="F4" i="3"/>
  <c r="G4" i="3"/>
  <c r="H4" i="3"/>
  <c r="I4" i="3"/>
  <c r="J4" i="3"/>
  <c r="K4" i="3"/>
  <c r="L4" i="3"/>
  <c r="M4" i="3"/>
  <c r="N4" i="3"/>
  <c r="O4" i="3"/>
  <c r="P4" i="3"/>
  <c r="Q4" i="3"/>
  <c r="R4" i="3"/>
  <c r="S4" i="3"/>
  <c r="T4" i="3"/>
  <c r="U4" i="3"/>
  <c r="V4" i="3"/>
  <c r="W4" i="3"/>
  <c r="X4" i="3"/>
  <c r="Y4" i="3"/>
  <c r="Z4" i="3"/>
  <c r="AA4" i="3"/>
  <c r="AB4" i="3"/>
  <c r="AC4" i="3"/>
  <c r="AD4" i="3"/>
  <c r="AE4" i="3"/>
  <c r="AF4" i="3"/>
  <c r="AG4" i="3"/>
  <c r="AH4" i="3"/>
  <c r="AI4" i="3"/>
  <c r="AJ4" i="3"/>
  <c r="AK4" i="3"/>
  <c r="AL4" i="3"/>
  <c r="AM4" i="3"/>
  <c r="AN4" i="3"/>
  <c r="AO4" i="3"/>
  <c r="AP4" i="3"/>
  <c r="AQ4" i="3"/>
  <c r="AR4" i="3"/>
  <c r="AS4" i="3"/>
  <c r="AT4" i="3"/>
  <c r="AU4" i="3"/>
  <c r="D5" i="3"/>
  <c r="E5" i="3"/>
  <c r="F5" i="3"/>
  <c r="G5" i="3"/>
  <c r="H5" i="3"/>
  <c r="I5" i="3"/>
  <c r="J5" i="3"/>
  <c r="K5" i="3"/>
  <c r="L5" i="3"/>
  <c r="M5" i="3"/>
  <c r="N5" i="3"/>
  <c r="O5" i="3"/>
  <c r="P5" i="3"/>
  <c r="Q5" i="3"/>
  <c r="R5" i="3"/>
  <c r="S5" i="3"/>
  <c r="T5" i="3"/>
  <c r="U5" i="3"/>
  <c r="V5" i="3"/>
  <c r="W5" i="3"/>
  <c r="X5" i="3"/>
  <c r="Y5" i="3"/>
  <c r="Z5" i="3"/>
  <c r="AA5" i="3"/>
  <c r="AB5" i="3"/>
  <c r="AC5" i="3"/>
  <c r="AD5" i="3"/>
  <c r="AE5" i="3"/>
  <c r="AF5" i="3"/>
  <c r="AG5" i="3"/>
  <c r="AH5" i="3"/>
  <c r="AI5" i="3"/>
  <c r="AJ5" i="3"/>
  <c r="AK5" i="3"/>
  <c r="AL5" i="3"/>
  <c r="AM5" i="3"/>
  <c r="AN5" i="3"/>
  <c r="AO5" i="3"/>
  <c r="AP5" i="3"/>
  <c r="AQ5" i="3"/>
  <c r="AR5" i="3"/>
  <c r="AS5" i="3"/>
  <c r="AT5" i="3"/>
  <c r="AU5" i="3"/>
  <c r="D6" i="3"/>
  <c r="E6" i="3"/>
  <c r="F6" i="3"/>
  <c r="G6" i="3"/>
  <c r="H6" i="3"/>
  <c r="I6" i="3"/>
  <c r="J6" i="3"/>
  <c r="K6" i="3"/>
  <c r="L6" i="3"/>
  <c r="M6" i="3"/>
  <c r="N6" i="3"/>
  <c r="O6" i="3"/>
  <c r="P6" i="3"/>
  <c r="Q6" i="3"/>
  <c r="R6" i="3"/>
  <c r="S6" i="3"/>
  <c r="T6" i="3"/>
  <c r="U6" i="3"/>
  <c r="V6" i="3"/>
  <c r="W6" i="3"/>
  <c r="X6" i="3"/>
  <c r="Y6" i="3"/>
  <c r="Z6" i="3"/>
  <c r="AA6" i="3"/>
  <c r="AB6" i="3"/>
  <c r="AC6" i="3"/>
  <c r="AD6" i="3"/>
  <c r="AE6" i="3"/>
  <c r="AF6" i="3"/>
  <c r="AG6" i="3"/>
  <c r="AH6" i="3"/>
  <c r="AI6" i="3"/>
  <c r="AJ6" i="3"/>
  <c r="AK6" i="3"/>
  <c r="AL6" i="3"/>
  <c r="AM6" i="3"/>
  <c r="AN6" i="3"/>
  <c r="AO6" i="3"/>
  <c r="AP6" i="3"/>
  <c r="AQ6" i="3"/>
  <c r="AR6" i="3"/>
  <c r="AS6" i="3"/>
  <c r="AT6" i="3"/>
  <c r="AU6" i="3"/>
  <c r="D7" i="3"/>
  <c r="E7" i="3"/>
  <c r="F7" i="3"/>
  <c r="G7" i="3"/>
  <c r="H7" i="3"/>
  <c r="I7" i="3"/>
  <c r="J7" i="3"/>
  <c r="K7" i="3"/>
  <c r="L7" i="3"/>
  <c r="M7" i="3"/>
  <c r="N7" i="3"/>
  <c r="O7" i="3"/>
  <c r="P7" i="3"/>
  <c r="Q7" i="3"/>
  <c r="R7" i="3"/>
  <c r="S7" i="3"/>
  <c r="T7" i="3"/>
  <c r="U7" i="3"/>
  <c r="V7" i="3"/>
  <c r="W7" i="3"/>
  <c r="X7" i="3"/>
  <c r="Y7" i="3"/>
  <c r="Z7" i="3"/>
  <c r="AA7" i="3"/>
  <c r="AB7" i="3"/>
  <c r="AC7" i="3"/>
  <c r="AD7" i="3"/>
  <c r="AE7" i="3"/>
  <c r="AF7" i="3"/>
  <c r="AG7" i="3"/>
  <c r="AH7" i="3"/>
  <c r="AI7" i="3"/>
  <c r="AJ7" i="3"/>
  <c r="AK7" i="3"/>
  <c r="AL7" i="3"/>
  <c r="AM7" i="3"/>
  <c r="AN7" i="3"/>
  <c r="AO7" i="3"/>
  <c r="AP7" i="3"/>
  <c r="AQ7" i="3"/>
  <c r="AR7" i="3"/>
  <c r="AS7" i="3"/>
  <c r="AT7" i="3"/>
  <c r="AU7" i="3"/>
  <c r="D8" i="3"/>
  <c r="E8" i="3"/>
  <c r="F8" i="3"/>
  <c r="G8" i="3"/>
  <c r="H8" i="3"/>
  <c r="I8" i="3"/>
  <c r="J8" i="3"/>
  <c r="K8" i="3"/>
  <c r="L8" i="3"/>
  <c r="M8" i="3"/>
  <c r="N8" i="3"/>
  <c r="O8" i="3"/>
  <c r="P8" i="3"/>
  <c r="Q8" i="3"/>
  <c r="R8" i="3"/>
  <c r="S8" i="3"/>
  <c r="T8" i="3"/>
  <c r="U8" i="3"/>
  <c r="V8" i="3"/>
  <c r="W8" i="3"/>
  <c r="X8" i="3"/>
  <c r="Y8" i="3"/>
  <c r="Z8" i="3"/>
  <c r="AA8" i="3"/>
  <c r="AB8" i="3"/>
  <c r="AC8" i="3"/>
  <c r="AD8" i="3"/>
  <c r="AE8" i="3"/>
  <c r="AF8" i="3"/>
  <c r="AG8" i="3"/>
  <c r="AH8" i="3"/>
  <c r="AI8" i="3"/>
  <c r="AJ8" i="3"/>
  <c r="AK8" i="3"/>
  <c r="AL8" i="3"/>
  <c r="AM8" i="3"/>
  <c r="AN8" i="3"/>
  <c r="AO8" i="3"/>
  <c r="AP8" i="3"/>
  <c r="AQ8" i="3"/>
  <c r="AR8" i="3"/>
  <c r="AS8" i="3"/>
  <c r="AT8" i="3"/>
  <c r="AU8" i="3"/>
  <c r="D9" i="3"/>
  <c r="E9" i="3"/>
  <c r="F9" i="3"/>
  <c r="G9" i="3"/>
  <c r="H9" i="3"/>
  <c r="I9" i="3"/>
  <c r="J9" i="3"/>
  <c r="K9" i="3"/>
  <c r="L9" i="3"/>
  <c r="M9" i="3"/>
  <c r="N9" i="3"/>
  <c r="O9" i="3"/>
  <c r="P9" i="3"/>
  <c r="Q9" i="3"/>
  <c r="R9" i="3"/>
  <c r="S9" i="3"/>
  <c r="T9" i="3"/>
  <c r="U9" i="3"/>
  <c r="V9" i="3"/>
  <c r="W9" i="3"/>
  <c r="X9" i="3"/>
  <c r="Y9" i="3"/>
  <c r="Z9" i="3"/>
  <c r="AA9" i="3"/>
  <c r="AB9" i="3"/>
  <c r="AC9" i="3"/>
  <c r="AD9" i="3"/>
  <c r="AE9" i="3"/>
  <c r="AF9" i="3"/>
  <c r="AG9" i="3"/>
  <c r="AH9" i="3"/>
  <c r="AI9" i="3"/>
  <c r="AJ9" i="3"/>
  <c r="AK9" i="3"/>
  <c r="AL9" i="3"/>
  <c r="AM9" i="3"/>
  <c r="AN9" i="3"/>
  <c r="AO9" i="3"/>
  <c r="AP9" i="3"/>
  <c r="AQ9" i="3"/>
  <c r="AR9" i="3"/>
  <c r="AS9" i="3"/>
  <c r="AT9" i="3"/>
  <c r="AU9" i="3"/>
  <c r="D10" i="3"/>
  <c r="E10" i="3"/>
  <c r="F10" i="3"/>
  <c r="G10" i="3"/>
  <c r="H10" i="3"/>
  <c r="I10" i="3"/>
  <c r="J10" i="3"/>
  <c r="K10" i="3"/>
  <c r="L10" i="3"/>
  <c r="M10" i="3"/>
  <c r="N10" i="3"/>
  <c r="O10" i="3"/>
  <c r="P10" i="3"/>
  <c r="Q10" i="3"/>
  <c r="R10" i="3"/>
  <c r="S10" i="3"/>
  <c r="T10" i="3"/>
  <c r="U10" i="3"/>
  <c r="V10" i="3"/>
  <c r="W10" i="3"/>
  <c r="X10" i="3"/>
  <c r="Y10" i="3"/>
  <c r="Z10" i="3"/>
  <c r="AA10" i="3"/>
  <c r="AB10" i="3"/>
  <c r="AC10" i="3"/>
  <c r="AD10" i="3"/>
  <c r="AE10" i="3"/>
  <c r="AF10" i="3"/>
  <c r="AG10" i="3"/>
  <c r="AH10" i="3"/>
  <c r="AI10" i="3"/>
  <c r="AJ10" i="3"/>
  <c r="AK10" i="3"/>
  <c r="AL10" i="3"/>
  <c r="AM10" i="3"/>
  <c r="AN10" i="3"/>
  <c r="AO10" i="3"/>
  <c r="AP10" i="3"/>
  <c r="AQ10" i="3"/>
  <c r="AR10" i="3"/>
  <c r="AS10" i="3"/>
  <c r="AT10" i="3"/>
  <c r="AU10" i="3"/>
  <c r="D11" i="3"/>
  <c r="E11" i="3"/>
  <c r="F11" i="3"/>
  <c r="G11" i="3"/>
  <c r="H11" i="3"/>
  <c r="I11" i="3"/>
  <c r="J11" i="3"/>
  <c r="K11" i="3"/>
  <c r="L11" i="3"/>
  <c r="M11" i="3"/>
  <c r="N11" i="3"/>
  <c r="O11" i="3"/>
  <c r="P11" i="3"/>
  <c r="Q11" i="3"/>
  <c r="R11" i="3"/>
  <c r="S11" i="3"/>
  <c r="T11" i="3"/>
  <c r="U11" i="3"/>
  <c r="V11" i="3"/>
  <c r="W11" i="3"/>
  <c r="X11" i="3"/>
  <c r="Y11" i="3"/>
  <c r="Z11" i="3"/>
  <c r="AA11" i="3"/>
  <c r="AB11" i="3"/>
  <c r="AC11" i="3"/>
  <c r="AD11" i="3"/>
  <c r="AE11" i="3"/>
  <c r="AF11" i="3"/>
  <c r="AG11" i="3"/>
  <c r="AH11" i="3"/>
  <c r="AI11" i="3"/>
  <c r="AJ11" i="3"/>
  <c r="AK11" i="3"/>
  <c r="AL11" i="3"/>
  <c r="AM11" i="3"/>
  <c r="AN11" i="3"/>
  <c r="AO11" i="3"/>
  <c r="AP11" i="3"/>
  <c r="AQ11" i="3"/>
  <c r="AR11" i="3"/>
  <c r="AS11" i="3"/>
  <c r="AT11" i="3"/>
  <c r="AU11" i="3"/>
  <c r="D12" i="3"/>
  <c r="E12" i="3"/>
  <c r="F12" i="3"/>
  <c r="G12" i="3"/>
  <c r="H12" i="3"/>
  <c r="I12" i="3"/>
  <c r="J12" i="3"/>
  <c r="K12" i="3"/>
  <c r="L12" i="3"/>
  <c r="M12" i="3"/>
  <c r="N12" i="3"/>
  <c r="O12" i="3"/>
  <c r="P12" i="3"/>
  <c r="Q12" i="3"/>
  <c r="R12" i="3"/>
  <c r="S12" i="3"/>
  <c r="T12" i="3"/>
  <c r="U12" i="3"/>
  <c r="V12" i="3"/>
  <c r="W12" i="3"/>
  <c r="X12" i="3"/>
  <c r="Y12" i="3"/>
  <c r="Z12" i="3"/>
  <c r="AA12" i="3"/>
  <c r="AB12" i="3"/>
  <c r="AC12" i="3"/>
  <c r="AD12" i="3"/>
  <c r="AE12" i="3"/>
  <c r="AF12" i="3"/>
  <c r="AG12" i="3"/>
  <c r="AH12" i="3"/>
  <c r="AI12" i="3"/>
  <c r="AJ12" i="3"/>
  <c r="AK12" i="3"/>
  <c r="AL12" i="3"/>
  <c r="AM12" i="3"/>
  <c r="AN12" i="3"/>
  <c r="AO12" i="3"/>
  <c r="AP12" i="3"/>
  <c r="AQ12" i="3"/>
  <c r="AR12" i="3"/>
  <c r="AS12" i="3"/>
  <c r="AT12" i="3"/>
  <c r="AU12" i="3"/>
  <c r="D13" i="3"/>
  <c r="E13" i="3"/>
  <c r="F13" i="3"/>
  <c r="G13" i="3"/>
  <c r="H13" i="3"/>
  <c r="I13" i="3"/>
  <c r="J13" i="3"/>
  <c r="K13" i="3"/>
  <c r="L13" i="3"/>
  <c r="M13" i="3"/>
  <c r="N13" i="3"/>
  <c r="O13" i="3"/>
  <c r="P13" i="3"/>
  <c r="Q13" i="3"/>
  <c r="R13" i="3"/>
  <c r="S13" i="3"/>
  <c r="T13" i="3"/>
  <c r="U13" i="3"/>
  <c r="V13" i="3"/>
  <c r="W13" i="3"/>
  <c r="X13" i="3"/>
  <c r="Y13" i="3"/>
  <c r="Z13" i="3"/>
  <c r="AA13" i="3"/>
  <c r="AB13" i="3"/>
  <c r="AC13" i="3"/>
  <c r="AD13" i="3"/>
  <c r="AE13" i="3"/>
  <c r="AF13" i="3"/>
  <c r="AG13" i="3"/>
  <c r="AH13" i="3"/>
  <c r="AI13" i="3"/>
  <c r="AJ13" i="3"/>
  <c r="AK13" i="3"/>
  <c r="AL13" i="3"/>
  <c r="AM13" i="3"/>
  <c r="AN13" i="3"/>
  <c r="AO13" i="3"/>
  <c r="AP13" i="3"/>
  <c r="AQ13" i="3"/>
  <c r="AR13" i="3"/>
  <c r="AS13" i="3"/>
  <c r="AT13" i="3"/>
  <c r="AU13" i="3"/>
  <c r="D14" i="3"/>
  <c r="E14" i="3"/>
  <c r="F14" i="3"/>
  <c r="G14" i="3"/>
  <c r="H14" i="3"/>
  <c r="I14" i="3"/>
  <c r="J14" i="3"/>
  <c r="K14" i="3"/>
  <c r="L14" i="3"/>
  <c r="M14" i="3"/>
  <c r="N14" i="3"/>
  <c r="O14" i="3"/>
  <c r="P14" i="3"/>
  <c r="Q14" i="3"/>
  <c r="R14" i="3"/>
  <c r="S14" i="3"/>
  <c r="T14" i="3"/>
  <c r="U14" i="3"/>
  <c r="V14" i="3"/>
  <c r="W14" i="3"/>
  <c r="X14" i="3"/>
  <c r="Y14" i="3"/>
  <c r="Z14" i="3"/>
  <c r="AA14" i="3"/>
  <c r="AB14" i="3"/>
  <c r="AC14" i="3"/>
  <c r="AD14" i="3"/>
  <c r="AE14" i="3"/>
  <c r="AF14" i="3"/>
  <c r="AG14" i="3"/>
  <c r="AH14" i="3"/>
  <c r="AI14" i="3"/>
  <c r="AJ14" i="3"/>
  <c r="AK14" i="3"/>
  <c r="AL14" i="3"/>
  <c r="AM14" i="3"/>
  <c r="AN14" i="3"/>
  <c r="AO14" i="3"/>
  <c r="AP14" i="3"/>
  <c r="AQ14" i="3"/>
  <c r="AR14" i="3"/>
  <c r="AS14" i="3"/>
  <c r="AT14" i="3"/>
  <c r="AU14" i="3"/>
  <c r="D15" i="3"/>
  <c r="E15" i="3"/>
  <c r="F15" i="3"/>
  <c r="G15" i="3"/>
  <c r="H15" i="3"/>
  <c r="I15" i="3"/>
  <c r="J15" i="3"/>
  <c r="K15" i="3"/>
  <c r="L15" i="3"/>
  <c r="M15" i="3"/>
  <c r="N15" i="3"/>
  <c r="O15" i="3"/>
  <c r="P15" i="3"/>
  <c r="Q15" i="3"/>
  <c r="R15" i="3"/>
  <c r="S15" i="3"/>
  <c r="T15" i="3"/>
  <c r="U15" i="3"/>
  <c r="V15" i="3"/>
  <c r="W15" i="3"/>
  <c r="X15" i="3"/>
  <c r="Y15" i="3"/>
  <c r="Z15" i="3"/>
  <c r="AA15" i="3"/>
  <c r="AB15" i="3"/>
  <c r="AC15" i="3"/>
  <c r="AD15" i="3"/>
  <c r="AE15" i="3"/>
  <c r="AF15" i="3"/>
  <c r="AG15" i="3"/>
  <c r="AH15" i="3"/>
  <c r="AI15" i="3"/>
  <c r="AJ15" i="3"/>
  <c r="AK15" i="3"/>
  <c r="AL15" i="3"/>
  <c r="AM15" i="3"/>
  <c r="AN15" i="3"/>
  <c r="AO15" i="3"/>
  <c r="AP15" i="3"/>
  <c r="AQ15" i="3"/>
  <c r="AR15" i="3"/>
  <c r="AS15" i="3"/>
  <c r="AT15" i="3"/>
  <c r="AU15" i="3"/>
  <c r="D16" i="3"/>
  <c r="E16" i="3"/>
  <c r="F16" i="3"/>
  <c r="G16" i="3"/>
  <c r="H16" i="3"/>
  <c r="I16" i="3"/>
  <c r="J16" i="3"/>
  <c r="K16" i="3"/>
  <c r="L16" i="3"/>
  <c r="M16" i="3"/>
  <c r="N16" i="3"/>
  <c r="O16" i="3"/>
  <c r="P16" i="3"/>
  <c r="Q16" i="3"/>
  <c r="R16" i="3"/>
  <c r="S16" i="3"/>
  <c r="T16" i="3"/>
  <c r="U16" i="3"/>
  <c r="V16" i="3"/>
  <c r="W16" i="3"/>
  <c r="X16" i="3"/>
  <c r="Y16" i="3"/>
  <c r="Z16" i="3"/>
  <c r="AA16" i="3"/>
  <c r="AB16" i="3"/>
  <c r="AC16" i="3"/>
  <c r="AD16" i="3"/>
  <c r="AE16" i="3"/>
  <c r="AF16" i="3"/>
  <c r="AG16" i="3"/>
  <c r="AH16" i="3"/>
  <c r="AI16" i="3"/>
  <c r="AJ16" i="3"/>
  <c r="AK16" i="3"/>
  <c r="AL16" i="3"/>
  <c r="AM16" i="3"/>
  <c r="AN16" i="3"/>
  <c r="AO16" i="3"/>
  <c r="AP16" i="3"/>
  <c r="AQ16" i="3"/>
  <c r="AR16" i="3"/>
  <c r="AS16" i="3"/>
  <c r="AT16" i="3"/>
  <c r="AU16" i="3"/>
  <c r="D17" i="3"/>
  <c r="E17" i="3"/>
  <c r="F17" i="3"/>
  <c r="G17" i="3"/>
  <c r="H17" i="3"/>
  <c r="I17" i="3"/>
  <c r="J17" i="3"/>
  <c r="K17" i="3"/>
  <c r="L17" i="3"/>
  <c r="M17" i="3"/>
  <c r="N17" i="3"/>
  <c r="O17" i="3"/>
  <c r="P17" i="3"/>
  <c r="Q17" i="3"/>
  <c r="R17" i="3"/>
  <c r="S17" i="3"/>
  <c r="T17" i="3"/>
  <c r="U17" i="3"/>
  <c r="V17" i="3"/>
  <c r="W17" i="3"/>
  <c r="X17" i="3"/>
  <c r="Y17" i="3"/>
  <c r="Z17" i="3"/>
  <c r="AA17" i="3"/>
  <c r="AB17" i="3"/>
  <c r="AC17" i="3"/>
  <c r="AD17" i="3"/>
  <c r="AE17" i="3"/>
  <c r="AF17" i="3"/>
  <c r="AG17" i="3"/>
  <c r="AH17" i="3"/>
  <c r="AI17" i="3"/>
  <c r="AJ17" i="3"/>
  <c r="AK17" i="3"/>
  <c r="AL17" i="3"/>
  <c r="AM17" i="3"/>
  <c r="AN17" i="3"/>
  <c r="AO17" i="3"/>
  <c r="AP17" i="3"/>
  <c r="AQ17" i="3"/>
  <c r="AR17" i="3"/>
  <c r="AS17" i="3"/>
  <c r="AT17" i="3"/>
  <c r="AU17" i="3"/>
  <c r="D18" i="3"/>
  <c r="E18" i="3"/>
  <c r="F18" i="3"/>
  <c r="G18" i="3"/>
  <c r="H18" i="3"/>
  <c r="I18" i="3"/>
  <c r="J18" i="3"/>
  <c r="K18" i="3"/>
  <c r="L18" i="3"/>
  <c r="M18" i="3"/>
  <c r="N18" i="3"/>
  <c r="O18" i="3"/>
  <c r="P18" i="3"/>
  <c r="Q18" i="3"/>
  <c r="R18" i="3"/>
  <c r="S18" i="3"/>
  <c r="T18" i="3"/>
  <c r="U18" i="3"/>
  <c r="V18" i="3"/>
  <c r="W18" i="3"/>
  <c r="X18" i="3"/>
  <c r="Y18" i="3"/>
  <c r="Z18" i="3"/>
  <c r="AA18" i="3"/>
  <c r="AB18" i="3"/>
  <c r="AC18" i="3"/>
  <c r="AD18" i="3"/>
  <c r="AE18" i="3"/>
  <c r="AF18" i="3"/>
  <c r="AG18" i="3"/>
  <c r="AH18" i="3"/>
  <c r="AI18" i="3"/>
  <c r="AJ18" i="3"/>
  <c r="AK18" i="3"/>
  <c r="AL18" i="3"/>
  <c r="AM18" i="3"/>
  <c r="AN18" i="3"/>
  <c r="AO18" i="3"/>
  <c r="AP18" i="3"/>
  <c r="AQ18" i="3"/>
  <c r="AR18" i="3"/>
  <c r="AS18" i="3"/>
  <c r="AT18" i="3"/>
  <c r="AU18" i="3"/>
  <c r="D19" i="3"/>
  <c r="E19" i="3"/>
  <c r="F19" i="3"/>
  <c r="G19" i="3"/>
  <c r="H19" i="3"/>
  <c r="I19" i="3"/>
  <c r="J19" i="3"/>
  <c r="K19" i="3"/>
  <c r="L19" i="3"/>
  <c r="M19" i="3"/>
  <c r="N19" i="3"/>
  <c r="O19" i="3"/>
  <c r="P19" i="3"/>
  <c r="Q19" i="3"/>
  <c r="R19" i="3"/>
  <c r="S19" i="3"/>
  <c r="T19" i="3"/>
  <c r="U19" i="3"/>
  <c r="V19" i="3"/>
  <c r="W19" i="3"/>
  <c r="X19" i="3"/>
  <c r="Y19" i="3"/>
  <c r="Z19" i="3"/>
  <c r="AA19" i="3"/>
  <c r="AB19" i="3"/>
  <c r="AC19" i="3"/>
  <c r="AD19" i="3"/>
  <c r="AE19" i="3"/>
  <c r="AF19" i="3"/>
  <c r="AG19" i="3"/>
  <c r="AH19" i="3"/>
  <c r="AI19" i="3"/>
  <c r="AJ19" i="3"/>
  <c r="AK19" i="3"/>
  <c r="AL19" i="3"/>
  <c r="AM19" i="3"/>
  <c r="AN19" i="3"/>
  <c r="AO19" i="3"/>
  <c r="AP19" i="3"/>
  <c r="AQ19" i="3"/>
  <c r="AR19" i="3"/>
  <c r="AS19" i="3"/>
  <c r="AT19" i="3"/>
  <c r="AU19" i="3"/>
  <c r="D20" i="3"/>
  <c r="E20" i="3"/>
  <c r="F20" i="3"/>
  <c r="G20" i="3"/>
  <c r="H20" i="3"/>
  <c r="I20" i="3"/>
  <c r="J20" i="3"/>
  <c r="K20" i="3"/>
  <c r="L20" i="3"/>
  <c r="M20" i="3"/>
  <c r="N20" i="3"/>
  <c r="O20" i="3"/>
  <c r="P20" i="3"/>
  <c r="Q20" i="3"/>
  <c r="R20" i="3"/>
  <c r="S20" i="3"/>
  <c r="T20" i="3"/>
  <c r="U20" i="3"/>
  <c r="V20" i="3"/>
  <c r="W20" i="3"/>
  <c r="X20" i="3"/>
  <c r="Y20" i="3"/>
  <c r="Z20" i="3"/>
  <c r="AA20" i="3"/>
  <c r="AB20" i="3"/>
  <c r="AC20" i="3"/>
  <c r="AD20" i="3"/>
  <c r="AE20" i="3"/>
  <c r="AF20" i="3"/>
  <c r="AG20" i="3"/>
  <c r="AH20" i="3"/>
  <c r="AI20" i="3"/>
  <c r="AJ20" i="3"/>
  <c r="AK20" i="3"/>
  <c r="AL20" i="3"/>
  <c r="AM20" i="3"/>
  <c r="AN20" i="3"/>
  <c r="AO20" i="3"/>
  <c r="AP20" i="3"/>
  <c r="AQ20" i="3"/>
  <c r="AR20" i="3"/>
  <c r="AS20" i="3"/>
  <c r="AT20" i="3"/>
  <c r="AU20" i="3"/>
  <c r="D21" i="3"/>
  <c r="E21" i="3"/>
  <c r="F21" i="3"/>
  <c r="G21" i="3"/>
  <c r="H21" i="3"/>
  <c r="I21" i="3"/>
  <c r="J21" i="3"/>
  <c r="K21" i="3"/>
  <c r="L21" i="3"/>
  <c r="M21" i="3"/>
  <c r="N21" i="3"/>
  <c r="O21" i="3"/>
  <c r="P21" i="3"/>
  <c r="Q21" i="3"/>
  <c r="R21" i="3"/>
  <c r="S21" i="3"/>
  <c r="T21" i="3"/>
  <c r="U21" i="3"/>
  <c r="V21" i="3"/>
  <c r="W21" i="3"/>
  <c r="X21" i="3"/>
  <c r="Y21" i="3"/>
  <c r="Z21" i="3"/>
  <c r="AA21" i="3"/>
  <c r="AB21" i="3"/>
  <c r="AC21" i="3"/>
  <c r="AD21" i="3"/>
  <c r="AE21" i="3"/>
  <c r="AF21" i="3"/>
  <c r="AG21" i="3"/>
  <c r="AH21" i="3"/>
  <c r="AI21" i="3"/>
  <c r="AJ21" i="3"/>
  <c r="AK21" i="3"/>
  <c r="AL21" i="3"/>
  <c r="AM21" i="3"/>
  <c r="AN21" i="3"/>
  <c r="AO21" i="3"/>
  <c r="AP21" i="3"/>
  <c r="AQ21" i="3"/>
  <c r="AR21" i="3"/>
  <c r="AS21" i="3"/>
  <c r="AT21" i="3"/>
  <c r="AU21" i="3"/>
  <c r="D22" i="3"/>
  <c r="E22" i="3"/>
  <c r="F22" i="3"/>
  <c r="G22" i="3"/>
  <c r="H22" i="3"/>
  <c r="I22" i="3"/>
  <c r="J22" i="3"/>
  <c r="K22" i="3"/>
  <c r="L22" i="3"/>
  <c r="M22" i="3"/>
  <c r="N22" i="3"/>
  <c r="O22" i="3"/>
  <c r="P22" i="3"/>
  <c r="Q22" i="3"/>
  <c r="R22" i="3"/>
  <c r="S22" i="3"/>
  <c r="T22" i="3"/>
  <c r="U22" i="3"/>
  <c r="V22" i="3"/>
  <c r="W22" i="3"/>
  <c r="X22" i="3"/>
  <c r="Y22" i="3"/>
  <c r="Z22" i="3"/>
  <c r="AA22" i="3"/>
  <c r="AB22" i="3"/>
  <c r="AC22" i="3"/>
  <c r="AD22" i="3"/>
  <c r="AE22" i="3"/>
  <c r="AF22" i="3"/>
  <c r="AG22" i="3"/>
  <c r="AH22" i="3"/>
  <c r="AI22" i="3"/>
  <c r="AJ22" i="3"/>
  <c r="AK22" i="3"/>
  <c r="AL22" i="3"/>
  <c r="AM22" i="3"/>
  <c r="AN22" i="3"/>
  <c r="AO22" i="3"/>
  <c r="AP22" i="3"/>
  <c r="AQ22" i="3"/>
  <c r="AR22" i="3"/>
  <c r="AS22" i="3"/>
  <c r="AT22" i="3"/>
  <c r="AU22" i="3"/>
  <c r="D23" i="3"/>
  <c r="E23" i="3"/>
  <c r="F23" i="3"/>
  <c r="G23" i="3"/>
  <c r="H23" i="3"/>
  <c r="I23" i="3"/>
  <c r="J23" i="3"/>
  <c r="K23" i="3"/>
  <c r="L23" i="3"/>
  <c r="M23" i="3"/>
  <c r="N23" i="3"/>
  <c r="O23" i="3"/>
  <c r="P23" i="3"/>
  <c r="Q23" i="3"/>
  <c r="R23" i="3"/>
  <c r="S23" i="3"/>
  <c r="T23" i="3"/>
  <c r="U23" i="3"/>
  <c r="V23" i="3"/>
  <c r="W23" i="3"/>
  <c r="X23" i="3"/>
  <c r="Y23" i="3"/>
  <c r="Z23" i="3"/>
  <c r="AA23" i="3"/>
  <c r="AB23" i="3"/>
  <c r="AC23" i="3"/>
  <c r="AD23" i="3"/>
  <c r="AE23" i="3"/>
  <c r="AF23" i="3"/>
  <c r="AG23" i="3"/>
  <c r="AH23" i="3"/>
  <c r="AI23" i="3"/>
  <c r="AJ23" i="3"/>
  <c r="AK23" i="3"/>
  <c r="AL23" i="3"/>
  <c r="AM23" i="3"/>
  <c r="AN23" i="3"/>
  <c r="AO23" i="3"/>
  <c r="AP23" i="3"/>
  <c r="AQ23" i="3"/>
  <c r="AR23" i="3"/>
  <c r="AS23" i="3"/>
  <c r="AT23" i="3"/>
  <c r="AU23" i="3"/>
  <c r="D24" i="3"/>
  <c r="E24" i="3"/>
  <c r="F24" i="3"/>
  <c r="G24" i="3"/>
  <c r="H24" i="3"/>
  <c r="I24" i="3"/>
  <c r="J24" i="3"/>
  <c r="K24" i="3"/>
  <c r="L24" i="3"/>
  <c r="M24" i="3"/>
  <c r="N24" i="3"/>
  <c r="O24" i="3"/>
  <c r="P24" i="3"/>
  <c r="Q24" i="3"/>
  <c r="R24" i="3"/>
  <c r="S24" i="3"/>
  <c r="T24" i="3"/>
  <c r="U24" i="3"/>
  <c r="V24" i="3"/>
  <c r="W24" i="3"/>
  <c r="X24" i="3"/>
  <c r="Y24" i="3"/>
  <c r="Z24" i="3"/>
  <c r="AA24" i="3"/>
  <c r="AB24" i="3"/>
  <c r="AC24" i="3"/>
  <c r="AD24" i="3"/>
  <c r="AE24" i="3"/>
  <c r="AF24" i="3"/>
  <c r="AG24" i="3"/>
  <c r="AH24" i="3"/>
  <c r="AI24" i="3"/>
  <c r="AJ24" i="3"/>
  <c r="AK24" i="3"/>
  <c r="AL24" i="3"/>
  <c r="AM24" i="3"/>
  <c r="AN24" i="3"/>
  <c r="AO24" i="3"/>
  <c r="AP24" i="3"/>
  <c r="AQ24" i="3"/>
  <c r="AR24" i="3"/>
  <c r="AS24" i="3"/>
  <c r="AT24" i="3"/>
  <c r="AU24" i="3"/>
  <c r="D25" i="3"/>
  <c r="E25" i="3"/>
  <c r="F25" i="3"/>
  <c r="G25" i="3"/>
  <c r="H25" i="3"/>
  <c r="I25" i="3"/>
  <c r="J25" i="3"/>
  <c r="K25" i="3"/>
  <c r="L25" i="3"/>
  <c r="M25" i="3"/>
  <c r="N25" i="3"/>
  <c r="O25" i="3"/>
  <c r="P25" i="3"/>
  <c r="Q25" i="3"/>
  <c r="R25" i="3"/>
  <c r="S25" i="3"/>
  <c r="T25" i="3"/>
  <c r="U25" i="3"/>
  <c r="V25" i="3"/>
  <c r="W25" i="3"/>
  <c r="X25" i="3"/>
  <c r="Y25" i="3"/>
  <c r="Z25" i="3"/>
  <c r="AA25" i="3"/>
  <c r="AB25" i="3"/>
  <c r="AC25" i="3"/>
  <c r="AD25" i="3"/>
  <c r="AE25" i="3"/>
  <c r="AF25" i="3"/>
  <c r="AG25" i="3"/>
  <c r="AH25" i="3"/>
  <c r="AI25" i="3"/>
  <c r="AJ25" i="3"/>
  <c r="AK25" i="3"/>
  <c r="AL25" i="3"/>
  <c r="AM25" i="3"/>
  <c r="AN25" i="3"/>
  <c r="AO25" i="3"/>
  <c r="AP25" i="3"/>
  <c r="AQ25" i="3"/>
  <c r="AR25" i="3"/>
  <c r="AS25" i="3"/>
  <c r="AT25" i="3"/>
  <c r="AU25" i="3"/>
  <c r="D26" i="3"/>
  <c r="E26" i="3"/>
  <c r="F26" i="3"/>
  <c r="G26" i="3"/>
  <c r="H26" i="3"/>
  <c r="I26" i="3"/>
  <c r="J26" i="3"/>
  <c r="K26" i="3"/>
  <c r="L26" i="3"/>
  <c r="M26" i="3"/>
  <c r="N26" i="3"/>
  <c r="O26" i="3"/>
  <c r="P26" i="3"/>
  <c r="Q26" i="3"/>
  <c r="R26" i="3"/>
  <c r="S26" i="3"/>
  <c r="T26" i="3"/>
  <c r="U26" i="3"/>
  <c r="V26" i="3"/>
  <c r="W26" i="3"/>
  <c r="X26" i="3"/>
  <c r="Y26" i="3"/>
  <c r="Z26" i="3"/>
  <c r="AA26" i="3"/>
  <c r="AB26" i="3"/>
  <c r="AC26" i="3"/>
  <c r="AD26" i="3"/>
  <c r="AE26" i="3"/>
  <c r="AF26" i="3"/>
  <c r="AG26" i="3"/>
  <c r="AH26" i="3"/>
  <c r="AI26" i="3"/>
  <c r="AJ26" i="3"/>
  <c r="AK26" i="3"/>
  <c r="AL26" i="3"/>
  <c r="AM26" i="3"/>
  <c r="AN26" i="3"/>
  <c r="AO26" i="3"/>
  <c r="AP26" i="3"/>
  <c r="AQ26" i="3"/>
  <c r="AR26" i="3"/>
  <c r="AS26" i="3"/>
  <c r="AT26" i="3"/>
  <c r="AU26" i="3"/>
  <c r="D27" i="3"/>
  <c r="E27" i="3"/>
  <c r="F27" i="3"/>
  <c r="G27" i="3"/>
  <c r="H27" i="3"/>
  <c r="I27" i="3"/>
  <c r="J27" i="3"/>
  <c r="K27" i="3"/>
  <c r="L27" i="3"/>
  <c r="M27" i="3"/>
  <c r="N27" i="3"/>
  <c r="O27" i="3"/>
  <c r="P27" i="3"/>
  <c r="Q27" i="3"/>
  <c r="R27" i="3"/>
  <c r="S27" i="3"/>
  <c r="T27" i="3"/>
  <c r="U27" i="3"/>
  <c r="V27" i="3"/>
  <c r="W27" i="3"/>
  <c r="X27" i="3"/>
  <c r="Y27" i="3"/>
  <c r="Z27" i="3"/>
  <c r="AA27" i="3"/>
  <c r="AB27" i="3"/>
  <c r="AC27" i="3"/>
  <c r="AD27" i="3"/>
  <c r="AE27" i="3"/>
  <c r="AF27" i="3"/>
  <c r="AG27" i="3"/>
  <c r="AH27" i="3"/>
  <c r="AI27" i="3"/>
  <c r="AJ27" i="3"/>
  <c r="AK27" i="3"/>
  <c r="AL27" i="3"/>
  <c r="AM27" i="3"/>
  <c r="AN27" i="3"/>
  <c r="AO27" i="3"/>
  <c r="AP27" i="3"/>
  <c r="AQ27" i="3"/>
  <c r="AR27" i="3"/>
  <c r="AS27" i="3"/>
  <c r="AT27" i="3"/>
  <c r="AU27" i="3"/>
  <c r="D28" i="3"/>
  <c r="E28" i="3"/>
  <c r="F28" i="3"/>
  <c r="G28" i="3"/>
  <c r="H28" i="3"/>
  <c r="I28" i="3"/>
  <c r="J28" i="3"/>
  <c r="K28" i="3"/>
  <c r="L28" i="3"/>
  <c r="M28" i="3"/>
  <c r="N28" i="3"/>
  <c r="O28" i="3"/>
  <c r="P28" i="3"/>
  <c r="Q28" i="3"/>
  <c r="R28" i="3"/>
  <c r="S28" i="3"/>
  <c r="T28" i="3"/>
  <c r="U28" i="3"/>
  <c r="V28" i="3"/>
  <c r="W28" i="3"/>
  <c r="X28" i="3"/>
  <c r="Y28" i="3"/>
  <c r="Z28" i="3"/>
  <c r="AA28" i="3"/>
  <c r="AB28" i="3"/>
  <c r="AC28" i="3"/>
  <c r="AD28" i="3"/>
  <c r="AE28" i="3"/>
  <c r="AF28" i="3"/>
  <c r="AG28" i="3"/>
  <c r="AH28" i="3"/>
  <c r="AI28" i="3"/>
  <c r="AJ28" i="3"/>
  <c r="AK28" i="3"/>
  <c r="AL28" i="3"/>
  <c r="AM28" i="3"/>
  <c r="AN28" i="3"/>
  <c r="AO28" i="3"/>
  <c r="AP28" i="3"/>
  <c r="AQ28" i="3"/>
  <c r="AR28" i="3"/>
  <c r="AS28" i="3"/>
  <c r="AT28" i="3"/>
  <c r="AU28" i="3"/>
  <c r="D29" i="3"/>
  <c r="E29" i="3"/>
  <c r="F29" i="3"/>
  <c r="G29" i="3"/>
  <c r="H29" i="3"/>
  <c r="I29" i="3"/>
  <c r="J29" i="3"/>
  <c r="K29" i="3"/>
  <c r="L29" i="3"/>
  <c r="M29" i="3"/>
  <c r="N29" i="3"/>
  <c r="O29" i="3"/>
  <c r="P29" i="3"/>
  <c r="Q29" i="3"/>
  <c r="R29" i="3"/>
  <c r="S29" i="3"/>
  <c r="T29" i="3"/>
  <c r="U29" i="3"/>
  <c r="V29" i="3"/>
  <c r="W29" i="3"/>
  <c r="X29" i="3"/>
  <c r="Y29" i="3"/>
  <c r="Z29" i="3"/>
  <c r="AA29" i="3"/>
  <c r="AB29" i="3"/>
  <c r="AC29" i="3"/>
  <c r="AD29" i="3"/>
  <c r="AE29" i="3"/>
  <c r="AF29" i="3"/>
  <c r="AG29" i="3"/>
  <c r="AH29" i="3"/>
  <c r="AI29" i="3"/>
  <c r="AJ29" i="3"/>
  <c r="AK29" i="3"/>
  <c r="AL29" i="3"/>
  <c r="AM29" i="3"/>
  <c r="AN29" i="3"/>
  <c r="AO29" i="3"/>
  <c r="AP29" i="3"/>
  <c r="AQ29" i="3"/>
  <c r="AR29" i="3"/>
  <c r="AS29" i="3"/>
  <c r="AT29" i="3"/>
  <c r="AU29" i="3"/>
  <c r="D30" i="3"/>
  <c r="E30" i="3"/>
  <c r="F30" i="3"/>
  <c r="G30" i="3"/>
  <c r="H30" i="3"/>
  <c r="I30" i="3"/>
  <c r="J30" i="3"/>
  <c r="K30" i="3"/>
  <c r="L30" i="3"/>
  <c r="M30" i="3"/>
  <c r="N30" i="3"/>
  <c r="O30" i="3"/>
  <c r="P30" i="3"/>
  <c r="Q30" i="3"/>
  <c r="R30" i="3"/>
  <c r="S30" i="3"/>
  <c r="T30" i="3"/>
  <c r="U30" i="3"/>
  <c r="V30" i="3"/>
  <c r="W30" i="3"/>
  <c r="X30" i="3"/>
  <c r="Y30" i="3"/>
  <c r="Z30" i="3"/>
  <c r="AA30" i="3"/>
  <c r="AB30" i="3"/>
  <c r="AC30" i="3"/>
  <c r="AD30" i="3"/>
  <c r="AE30" i="3"/>
  <c r="AF30" i="3"/>
  <c r="AG30" i="3"/>
  <c r="AH30" i="3"/>
  <c r="AI30" i="3"/>
  <c r="AJ30" i="3"/>
  <c r="AK30" i="3"/>
  <c r="AL30" i="3"/>
  <c r="AM30" i="3"/>
  <c r="AN30" i="3"/>
  <c r="AO30" i="3"/>
  <c r="AP30" i="3"/>
  <c r="AQ30" i="3"/>
  <c r="AR30" i="3"/>
  <c r="AS30" i="3"/>
  <c r="AT30" i="3"/>
  <c r="AU30" i="3"/>
  <c r="D31" i="3"/>
  <c r="E31" i="3"/>
  <c r="F31" i="3"/>
  <c r="G31" i="3"/>
  <c r="H31" i="3"/>
  <c r="I31" i="3"/>
  <c r="J31" i="3"/>
  <c r="K31" i="3"/>
  <c r="L31" i="3"/>
  <c r="M31" i="3"/>
  <c r="N31" i="3"/>
  <c r="O31" i="3"/>
  <c r="P31" i="3"/>
  <c r="Q31" i="3"/>
  <c r="R31" i="3"/>
  <c r="S31" i="3"/>
  <c r="T31" i="3"/>
  <c r="U31" i="3"/>
  <c r="V31" i="3"/>
  <c r="W31" i="3"/>
  <c r="X31" i="3"/>
  <c r="Y31" i="3"/>
  <c r="Z31" i="3"/>
  <c r="AA31" i="3"/>
  <c r="AB31" i="3"/>
  <c r="AC31" i="3"/>
  <c r="AD31" i="3"/>
  <c r="AE31" i="3"/>
  <c r="AF31" i="3"/>
  <c r="AG31" i="3"/>
  <c r="AH31" i="3"/>
  <c r="AI31" i="3"/>
  <c r="AJ31" i="3"/>
  <c r="AK31" i="3"/>
  <c r="AL31" i="3"/>
  <c r="AM31" i="3"/>
  <c r="AN31" i="3"/>
  <c r="AO31" i="3"/>
  <c r="AP31" i="3"/>
  <c r="AQ31" i="3"/>
  <c r="AR31" i="3"/>
  <c r="AS31" i="3"/>
  <c r="AT31" i="3"/>
  <c r="AU31" i="3"/>
  <c r="D32" i="3"/>
  <c r="E32" i="3"/>
  <c r="F32" i="3"/>
  <c r="G32" i="3"/>
  <c r="H32" i="3"/>
  <c r="I32" i="3"/>
  <c r="J32" i="3"/>
  <c r="K32" i="3"/>
  <c r="L32" i="3"/>
  <c r="M32" i="3"/>
  <c r="N32" i="3"/>
  <c r="O32" i="3"/>
  <c r="P32" i="3"/>
  <c r="Q32" i="3"/>
  <c r="R32" i="3"/>
  <c r="S32" i="3"/>
  <c r="T32" i="3"/>
  <c r="U32" i="3"/>
  <c r="V32" i="3"/>
  <c r="W32" i="3"/>
  <c r="X32" i="3"/>
  <c r="Y32" i="3"/>
  <c r="Z32" i="3"/>
  <c r="AA32" i="3"/>
  <c r="AB32" i="3"/>
  <c r="AC32" i="3"/>
  <c r="AD32" i="3"/>
  <c r="AE32" i="3"/>
  <c r="AF32" i="3"/>
  <c r="AG32" i="3"/>
  <c r="AH32" i="3"/>
  <c r="AI32" i="3"/>
  <c r="AJ32" i="3"/>
  <c r="AK32" i="3"/>
  <c r="AL32" i="3"/>
  <c r="AM32" i="3"/>
  <c r="AN32" i="3"/>
  <c r="AO32" i="3"/>
  <c r="AP32" i="3"/>
  <c r="AQ32" i="3"/>
  <c r="AR32" i="3"/>
  <c r="AS32" i="3"/>
  <c r="AT32" i="3"/>
  <c r="AU32" i="3"/>
  <c r="D33" i="3"/>
  <c r="E33" i="3"/>
  <c r="F33" i="3"/>
  <c r="G33" i="3"/>
  <c r="H33" i="3"/>
  <c r="I33" i="3"/>
  <c r="J33" i="3"/>
  <c r="K33" i="3"/>
  <c r="L33" i="3"/>
  <c r="M33" i="3"/>
  <c r="N33" i="3"/>
  <c r="O33" i="3"/>
  <c r="P33" i="3"/>
  <c r="Q33" i="3"/>
  <c r="R33" i="3"/>
  <c r="S33" i="3"/>
  <c r="T33" i="3"/>
  <c r="U33" i="3"/>
  <c r="V33" i="3"/>
  <c r="W33" i="3"/>
  <c r="X33" i="3"/>
  <c r="Y33" i="3"/>
  <c r="Z33" i="3"/>
  <c r="AA33" i="3"/>
  <c r="AB33" i="3"/>
  <c r="AC33" i="3"/>
  <c r="AD33" i="3"/>
  <c r="AE33" i="3"/>
  <c r="AF33" i="3"/>
  <c r="AG33" i="3"/>
  <c r="AH33" i="3"/>
  <c r="AI33" i="3"/>
  <c r="AJ33" i="3"/>
  <c r="AK33" i="3"/>
  <c r="AL33" i="3"/>
  <c r="AM33" i="3"/>
  <c r="AN33" i="3"/>
  <c r="AO33" i="3"/>
  <c r="AP33" i="3"/>
  <c r="AQ33" i="3"/>
  <c r="AR33" i="3"/>
  <c r="AS33" i="3"/>
  <c r="AT33" i="3"/>
  <c r="AU33" i="3"/>
  <c r="D34" i="3"/>
  <c r="E34" i="3"/>
  <c r="F34" i="3"/>
  <c r="G34" i="3"/>
  <c r="H34" i="3"/>
  <c r="I34" i="3"/>
  <c r="J34" i="3"/>
  <c r="K34" i="3"/>
  <c r="L34" i="3"/>
  <c r="M34" i="3"/>
  <c r="N34" i="3"/>
  <c r="O34" i="3"/>
  <c r="P34" i="3"/>
  <c r="Q34" i="3"/>
  <c r="R34" i="3"/>
  <c r="S34" i="3"/>
  <c r="T34" i="3"/>
  <c r="U34" i="3"/>
  <c r="V34" i="3"/>
  <c r="W34" i="3"/>
  <c r="X34" i="3"/>
  <c r="Y34" i="3"/>
  <c r="Z34" i="3"/>
  <c r="AA34" i="3"/>
  <c r="AB34" i="3"/>
  <c r="AC34" i="3"/>
  <c r="AD34" i="3"/>
  <c r="AE34" i="3"/>
  <c r="AF34" i="3"/>
  <c r="AG34" i="3"/>
  <c r="AH34" i="3"/>
  <c r="AI34" i="3"/>
  <c r="AJ34" i="3"/>
  <c r="AK34" i="3"/>
  <c r="AL34" i="3"/>
  <c r="AM34" i="3"/>
  <c r="AN34" i="3"/>
  <c r="AO34" i="3"/>
  <c r="AP34" i="3"/>
  <c r="AQ34" i="3"/>
  <c r="AR34" i="3"/>
  <c r="AS34" i="3"/>
  <c r="AT34" i="3"/>
  <c r="AU34" i="3"/>
  <c r="D35" i="3"/>
  <c r="E35" i="3"/>
  <c r="F35" i="3"/>
  <c r="G35" i="3"/>
  <c r="H35" i="3"/>
  <c r="I35" i="3"/>
  <c r="J35" i="3"/>
  <c r="K35" i="3"/>
  <c r="L35" i="3"/>
  <c r="M35" i="3"/>
  <c r="N35" i="3"/>
  <c r="O35" i="3"/>
  <c r="P35" i="3"/>
  <c r="Q35" i="3"/>
  <c r="R35" i="3"/>
  <c r="S35" i="3"/>
  <c r="T35" i="3"/>
  <c r="U35" i="3"/>
  <c r="V35" i="3"/>
  <c r="W35" i="3"/>
  <c r="X35" i="3"/>
  <c r="Y35" i="3"/>
  <c r="Z35" i="3"/>
  <c r="AA35" i="3"/>
  <c r="AB35" i="3"/>
  <c r="AC35" i="3"/>
  <c r="AD35" i="3"/>
  <c r="AE35" i="3"/>
  <c r="AF35" i="3"/>
  <c r="AG35" i="3"/>
  <c r="AH35" i="3"/>
  <c r="AI35" i="3"/>
  <c r="AJ35" i="3"/>
  <c r="AK35" i="3"/>
  <c r="AL35" i="3"/>
  <c r="AM35" i="3"/>
  <c r="AN35" i="3"/>
  <c r="AO35" i="3"/>
  <c r="AP35" i="3"/>
  <c r="AQ35" i="3"/>
  <c r="AR35" i="3"/>
  <c r="AS35" i="3"/>
  <c r="AT35" i="3"/>
  <c r="AU35" i="3"/>
  <c r="D36" i="3"/>
  <c r="E36" i="3"/>
  <c r="F36" i="3"/>
  <c r="G36" i="3"/>
  <c r="H36" i="3"/>
  <c r="I36" i="3"/>
  <c r="J36" i="3"/>
  <c r="K36" i="3"/>
  <c r="L36" i="3"/>
  <c r="M36" i="3"/>
  <c r="N36" i="3"/>
  <c r="O36" i="3"/>
  <c r="P36" i="3"/>
  <c r="Q36" i="3"/>
  <c r="R36" i="3"/>
  <c r="S36" i="3"/>
  <c r="T36" i="3"/>
  <c r="U36" i="3"/>
  <c r="V36" i="3"/>
  <c r="W36" i="3"/>
  <c r="X36" i="3"/>
  <c r="Y36" i="3"/>
  <c r="Z36" i="3"/>
  <c r="AA36" i="3"/>
  <c r="AB36" i="3"/>
  <c r="AC36" i="3"/>
  <c r="AD36" i="3"/>
  <c r="AE36" i="3"/>
  <c r="AF36" i="3"/>
  <c r="AG36" i="3"/>
  <c r="AH36" i="3"/>
  <c r="AI36" i="3"/>
  <c r="AJ36" i="3"/>
  <c r="AK36" i="3"/>
  <c r="AL36" i="3"/>
  <c r="AM36" i="3"/>
  <c r="AN36" i="3"/>
  <c r="AO36" i="3"/>
  <c r="AP36" i="3"/>
  <c r="AQ36" i="3"/>
  <c r="AR36" i="3"/>
  <c r="AS36" i="3"/>
  <c r="AT36" i="3"/>
  <c r="AU36" i="3"/>
  <c r="D37" i="3"/>
  <c r="E37" i="3"/>
  <c r="F37" i="3"/>
  <c r="G37" i="3"/>
  <c r="H37" i="3"/>
  <c r="I37" i="3"/>
  <c r="J37" i="3"/>
  <c r="K37" i="3"/>
  <c r="L37" i="3"/>
  <c r="M37" i="3"/>
  <c r="N37" i="3"/>
  <c r="O37" i="3"/>
  <c r="P37" i="3"/>
  <c r="Q37" i="3"/>
  <c r="R37" i="3"/>
  <c r="S37" i="3"/>
  <c r="T37" i="3"/>
  <c r="U37" i="3"/>
  <c r="V37" i="3"/>
  <c r="W37" i="3"/>
  <c r="X37" i="3"/>
  <c r="Y37" i="3"/>
  <c r="Z37" i="3"/>
  <c r="AA37" i="3"/>
  <c r="AB37" i="3"/>
  <c r="AC37" i="3"/>
  <c r="AD37" i="3"/>
  <c r="AE37" i="3"/>
  <c r="AF37" i="3"/>
  <c r="AG37" i="3"/>
  <c r="AH37" i="3"/>
  <c r="AI37" i="3"/>
  <c r="AJ37" i="3"/>
  <c r="AK37" i="3"/>
  <c r="AL37" i="3"/>
  <c r="AM37" i="3"/>
  <c r="AN37" i="3"/>
  <c r="AO37" i="3"/>
  <c r="AP37" i="3"/>
  <c r="AQ37" i="3"/>
  <c r="AR37" i="3"/>
  <c r="AS37" i="3"/>
  <c r="AT37" i="3"/>
  <c r="AU37" i="3"/>
  <c r="D38" i="3"/>
  <c r="E38" i="3"/>
  <c r="F38" i="3"/>
  <c r="G38" i="3"/>
  <c r="H38" i="3"/>
  <c r="I38" i="3"/>
  <c r="J38" i="3"/>
  <c r="K38" i="3"/>
  <c r="L38" i="3"/>
  <c r="M38" i="3"/>
  <c r="N38" i="3"/>
  <c r="O38" i="3"/>
  <c r="P38" i="3"/>
  <c r="Q38" i="3"/>
  <c r="R38" i="3"/>
  <c r="S38" i="3"/>
  <c r="T38" i="3"/>
  <c r="U38" i="3"/>
  <c r="V38" i="3"/>
  <c r="W38" i="3"/>
  <c r="X38" i="3"/>
  <c r="Y38" i="3"/>
  <c r="Z38" i="3"/>
  <c r="AA38" i="3"/>
  <c r="AB38" i="3"/>
  <c r="AC38" i="3"/>
  <c r="AD38" i="3"/>
  <c r="AE38" i="3"/>
  <c r="AF38" i="3"/>
  <c r="AG38" i="3"/>
  <c r="AH38" i="3"/>
  <c r="AI38" i="3"/>
  <c r="AJ38" i="3"/>
  <c r="AK38" i="3"/>
  <c r="AL38" i="3"/>
  <c r="AM38" i="3"/>
  <c r="AN38" i="3"/>
  <c r="AO38" i="3"/>
  <c r="AP38" i="3"/>
  <c r="AQ38" i="3"/>
  <c r="AR38" i="3"/>
  <c r="AS38" i="3"/>
  <c r="AT38" i="3"/>
  <c r="AU38" i="3"/>
  <c r="D39" i="3"/>
  <c r="E39" i="3"/>
  <c r="F39" i="3"/>
  <c r="G39" i="3"/>
  <c r="H39" i="3"/>
  <c r="I39" i="3"/>
  <c r="J39" i="3"/>
  <c r="K39" i="3"/>
  <c r="L39" i="3"/>
  <c r="M39" i="3"/>
  <c r="N39" i="3"/>
  <c r="O39" i="3"/>
  <c r="P39" i="3"/>
  <c r="Q39" i="3"/>
  <c r="R39" i="3"/>
  <c r="S39" i="3"/>
  <c r="T39" i="3"/>
  <c r="U39" i="3"/>
  <c r="V39" i="3"/>
  <c r="W39" i="3"/>
  <c r="X39" i="3"/>
  <c r="Y39" i="3"/>
  <c r="Z39" i="3"/>
  <c r="AA39" i="3"/>
  <c r="AB39" i="3"/>
  <c r="AC39" i="3"/>
  <c r="AD39" i="3"/>
  <c r="AE39" i="3"/>
  <c r="AF39" i="3"/>
  <c r="AG39" i="3"/>
  <c r="AH39" i="3"/>
  <c r="AI39" i="3"/>
  <c r="AJ39" i="3"/>
  <c r="AK39" i="3"/>
  <c r="AL39" i="3"/>
  <c r="AM39" i="3"/>
  <c r="AN39" i="3"/>
  <c r="AO39" i="3"/>
  <c r="AP39" i="3"/>
  <c r="AQ39" i="3"/>
  <c r="AR39" i="3"/>
  <c r="AS39" i="3"/>
  <c r="AT39" i="3"/>
  <c r="AU39" i="3"/>
  <c r="D40" i="3"/>
  <c r="E40" i="3"/>
  <c r="F40" i="3"/>
  <c r="G40" i="3"/>
  <c r="H40" i="3"/>
  <c r="I40" i="3"/>
  <c r="J40" i="3"/>
  <c r="K40" i="3"/>
  <c r="L40" i="3"/>
  <c r="M40" i="3"/>
  <c r="N40" i="3"/>
  <c r="O40" i="3"/>
  <c r="P40" i="3"/>
  <c r="Q40" i="3"/>
  <c r="R40" i="3"/>
  <c r="S40" i="3"/>
  <c r="T40" i="3"/>
  <c r="U40" i="3"/>
  <c r="V40" i="3"/>
  <c r="W40" i="3"/>
  <c r="X40" i="3"/>
  <c r="Y40" i="3"/>
  <c r="Z40" i="3"/>
  <c r="AA40" i="3"/>
  <c r="AB40" i="3"/>
  <c r="AC40" i="3"/>
  <c r="AD40" i="3"/>
  <c r="AE40" i="3"/>
  <c r="AF40" i="3"/>
  <c r="AG40" i="3"/>
  <c r="AH40" i="3"/>
  <c r="AI40" i="3"/>
  <c r="AJ40" i="3"/>
  <c r="AK40" i="3"/>
  <c r="AL40" i="3"/>
  <c r="AM40" i="3"/>
  <c r="AN40" i="3"/>
  <c r="AO40" i="3"/>
  <c r="AP40" i="3"/>
  <c r="AQ40" i="3"/>
  <c r="AR40" i="3"/>
  <c r="AS40" i="3"/>
  <c r="AT40" i="3"/>
  <c r="AU40" i="3"/>
  <c r="D41" i="3"/>
  <c r="E41" i="3"/>
  <c r="F41" i="3"/>
  <c r="G41" i="3"/>
  <c r="H41" i="3"/>
  <c r="I41" i="3"/>
  <c r="J41" i="3"/>
  <c r="K41" i="3"/>
  <c r="L41" i="3"/>
  <c r="M41" i="3"/>
  <c r="N41" i="3"/>
  <c r="O41" i="3"/>
  <c r="P41" i="3"/>
  <c r="Q41" i="3"/>
  <c r="R41" i="3"/>
  <c r="S41" i="3"/>
  <c r="T41" i="3"/>
  <c r="U41" i="3"/>
  <c r="V41" i="3"/>
  <c r="W41" i="3"/>
  <c r="X41" i="3"/>
  <c r="Y41" i="3"/>
  <c r="Z41" i="3"/>
  <c r="AA41" i="3"/>
  <c r="AB41" i="3"/>
  <c r="AC41" i="3"/>
  <c r="AD41" i="3"/>
  <c r="AE41" i="3"/>
  <c r="AF41" i="3"/>
  <c r="AG41" i="3"/>
  <c r="AH41" i="3"/>
  <c r="AI41" i="3"/>
  <c r="AJ41" i="3"/>
  <c r="AK41" i="3"/>
  <c r="AL41" i="3"/>
  <c r="AM41" i="3"/>
  <c r="AN41" i="3"/>
  <c r="AO41" i="3"/>
  <c r="AP41" i="3"/>
  <c r="AQ41" i="3"/>
  <c r="AR41" i="3"/>
  <c r="AS41" i="3"/>
  <c r="AT41" i="3"/>
  <c r="AU41" i="3"/>
  <c r="D42" i="3"/>
  <c r="E42" i="3"/>
  <c r="F42" i="3"/>
  <c r="G42" i="3"/>
  <c r="H42" i="3"/>
  <c r="I42" i="3"/>
  <c r="J42" i="3"/>
  <c r="K42" i="3"/>
  <c r="L42" i="3"/>
  <c r="M42" i="3"/>
  <c r="N42" i="3"/>
  <c r="O42" i="3"/>
  <c r="P42" i="3"/>
  <c r="Q42" i="3"/>
  <c r="R42" i="3"/>
  <c r="S42" i="3"/>
  <c r="T42" i="3"/>
  <c r="U42" i="3"/>
  <c r="V42" i="3"/>
  <c r="W42" i="3"/>
  <c r="X42" i="3"/>
  <c r="Y42" i="3"/>
  <c r="Z42" i="3"/>
  <c r="AA42" i="3"/>
  <c r="AB42" i="3"/>
  <c r="AC42" i="3"/>
  <c r="AD42" i="3"/>
  <c r="AE42" i="3"/>
  <c r="AF42" i="3"/>
  <c r="AG42" i="3"/>
  <c r="AH42" i="3"/>
  <c r="AI42" i="3"/>
  <c r="AJ42" i="3"/>
  <c r="AK42" i="3"/>
  <c r="AL42" i="3"/>
  <c r="AM42" i="3"/>
  <c r="AN42" i="3"/>
  <c r="AO42" i="3"/>
  <c r="AP42" i="3"/>
  <c r="AQ42" i="3"/>
  <c r="AR42" i="3"/>
  <c r="AS42" i="3"/>
  <c r="AT42" i="3"/>
  <c r="AU42" i="3"/>
  <c r="D43" i="3"/>
  <c r="E43" i="3"/>
  <c r="F43" i="3"/>
  <c r="G43" i="3"/>
  <c r="H43" i="3"/>
  <c r="I43" i="3"/>
  <c r="J43" i="3"/>
  <c r="K43" i="3"/>
  <c r="L43" i="3"/>
  <c r="M43" i="3"/>
  <c r="N43" i="3"/>
  <c r="O43" i="3"/>
  <c r="P43" i="3"/>
  <c r="Q43" i="3"/>
  <c r="R43" i="3"/>
  <c r="S43" i="3"/>
  <c r="T43" i="3"/>
  <c r="U43" i="3"/>
  <c r="V43" i="3"/>
  <c r="W43" i="3"/>
  <c r="X43" i="3"/>
  <c r="Y43" i="3"/>
  <c r="Z43" i="3"/>
  <c r="AA43" i="3"/>
  <c r="AB43" i="3"/>
  <c r="AC43" i="3"/>
  <c r="AD43" i="3"/>
  <c r="AE43" i="3"/>
  <c r="AF43" i="3"/>
  <c r="AG43" i="3"/>
  <c r="AH43" i="3"/>
  <c r="AI43" i="3"/>
  <c r="AJ43" i="3"/>
  <c r="AK43" i="3"/>
  <c r="AL43" i="3"/>
  <c r="AM43" i="3"/>
  <c r="AN43" i="3"/>
  <c r="AO43" i="3"/>
  <c r="AP43" i="3"/>
  <c r="AQ43" i="3"/>
  <c r="AR43" i="3"/>
  <c r="AS43" i="3"/>
  <c r="AT43" i="3"/>
  <c r="AU43" i="3"/>
  <c r="D44" i="3"/>
  <c r="E44" i="3"/>
  <c r="F44" i="3"/>
  <c r="G44" i="3"/>
  <c r="H44" i="3"/>
  <c r="I44" i="3"/>
  <c r="J44" i="3"/>
  <c r="K44" i="3"/>
  <c r="L44" i="3"/>
  <c r="M44" i="3"/>
  <c r="N44" i="3"/>
  <c r="O44" i="3"/>
  <c r="P44" i="3"/>
  <c r="Q44" i="3"/>
  <c r="R44" i="3"/>
  <c r="S44" i="3"/>
  <c r="T44" i="3"/>
  <c r="U44" i="3"/>
  <c r="V44" i="3"/>
  <c r="W44" i="3"/>
  <c r="X44" i="3"/>
  <c r="Y44" i="3"/>
  <c r="Z44" i="3"/>
  <c r="AA44" i="3"/>
  <c r="AB44" i="3"/>
  <c r="AC44" i="3"/>
  <c r="AD44" i="3"/>
  <c r="AE44" i="3"/>
  <c r="AF44" i="3"/>
  <c r="AG44" i="3"/>
  <c r="AH44" i="3"/>
  <c r="AI44" i="3"/>
  <c r="AJ44" i="3"/>
  <c r="AK44" i="3"/>
  <c r="AL44" i="3"/>
  <c r="AM44" i="3"/>
  <c r="AN44" i="3"/>
  <c r="AO44" i="3"/>
  <c r="AP44" i="3"/>
  <c r="AQ44" i="3"/>
  <c r="AR44" i="3"/>
  <c r="AS44" i="3"/>
  <c r="AT44" i="3"/>
  <c r="AU44" i="3"/>
  <c r="D45" i="3"/>
  <c r="E45" i="3"/>
  <c r="F45" i="3"/>
  <c r="G45" i="3"/>
  <c r="H45" i="3"/>
  <c r="I45" i="3"/>
  <c r="J45" i="3"/>
  <c r="K45" i="3"/>
  <c r="L45" i="3"/>
  <c r="M45" i="3"/>
  <c r="N45" i="3"/>
  <c r="O45" i="3"/>
  <c r="P45" i="3"/>
  <c r="Q45" i="3"/>
  <c r="R45" i="3"/>
  <c r="S45" i="3"/>
  <c r="T45" i="3"/>
  <c r="U45" i="3"/>
  <c r="V45" i="3"/>
  <c r="W45" i="3"/>
  <c r="X45" i="3"/>
  <c r="Y45" i="3"/>
  <c r="Z45" i="3"/>
  <c r="AA45" i="3"/>
  <c r="AB45" i="3"/>
  <c r="AC45" i="3"/>
  <c r="AD45" i="3"/>
  <c r="AE45" i="3"/>
  <c r="AF45" i="3"/>
  <c r="AG45" i="3"/>
  <c r="AH45" i="3"/>
  <c r="AI45" i="3"/>
  <c r="AJ45" i="3"/>
  <c r="AK45" i="3"/>
  <c r="AL45" i="3"/>
  <c r="AM45" i="3"/>
  <c r="AN45" i="3"/>
  <c r="AO45" i="3"/>
  <c r="AP45" i="3"/>
  <c r="AQ45" i="3"/>
  <c r="AR45" i="3"/>
  <c r="AS45" i="3"/>
  <c r="AT45" i="3"/>
  <c r="AU45" i="3"/>
  <c r="D46" i="3"/>
  <c r="E46" i="3"/>
  <c r="F46" i="3"/>
  <c r="G46" i="3"/>
  <c r="H46" i="3"/>
  <c r="I46" i="3"/>
  <c r="J46" i="3"/>
  <c r="K46" i="3"/>
  <c r="L46" i="3"/>
  <c r="M46" i="3"/>
  <c r="N46" i="3"/>
  <c r="O46" i="3"/>
  <c r="P46" i="3"/>
  <c r="Q46" i="3"/>
  <c r="R46" i="3"/>
  <c r="S46" i="3"/>
  <c r="T46" i="3"/>
  <c r="U46" i="3"/>
  <c r="V46" i="3"/>
  <c r="W46" i="3"/>
  <c r="X46" i="3"/>
  <c r="Y46" i="3"/>
  <c r="Z46" i="3"/>
  <c r="AA46" i="3"/>
  <c r="AB46" i="3"/>
  <c r="AC46" i="3"/>
  <c r="AD46" i="3"/>
  <c r="AE46" i="3"/>
  <c r="AF46" i="3"/>
  <c r="AG46" i="3"/>
  <c r="AH46" i="3"/>
  <c r="AI46" i="3"/>
  <c r="AJ46" i="3"/>
  <c r="AK46" i="3"/>
  <c r="AL46" i="3"/>
  <c r="AM46" i="3"/>
  <c r="AN46" i="3"/>
  <c r="AO46" i="3"/>
  <c r="AP46" i="3"/>
  <c r="AQ46" i="3"/>
  <c r="AR46" i="3"/>
  <c r="AS46" i="3"/>
  <c r="AT46" i="3"/>
  <c r="AU46" i="3"/>
  <c r="D47" i="3"/>
  <c r="E47" i="3"/>
  <c r="F47" i="3"/>
  <c r="G47" i="3"/>
  <c r="H47" i="3"/>
  <c r="I47" i="3"/>
  <c r="J47" i="3"/>
  <c r="K47" i="3"/>
  <c r="L47" i="3"/>
  <c r="M47" i="3"/>
  <c r="N47" i="3"/>
  <c r="O47" i="3"/>
  <c r="P47" i="3"/>
  <c r="Q47" i="3"/>
  <c r="R47" i="3"/>
  <c r="S47" i="3"/>
  <c r="T47" i="3"/>
  <c r="U47" i="3"/>
  <c r="V47" i="3"/>
  <c r="W47" i="3"/>
  <c r="X47" i="3"/>
  <c r="Y47" i="3"/>
  <c r="Z47" i="3"/>
  <c r="AA47" i="3"/>
  <c r="AB47" i="3"/>
  <c r="AC47" i="3"/>
  <c r="AD47" i="3"/>
  <c r="AE47" i="3"/>
  <c r="AF47" i="3"/>
  <c r="AG47" i="3"/>
  <c r="AH47" i="3"/>
  <c r="AI47" i="3"/>
  <c r="AJ47" i="3"/>
  <c r="AK47" i="3"/>
  <c r="AL47" i="3"/>
  <c r="AM47" i="3"/>
  <c r="AN47" i="3"/>
  <c r="AO47" i="3"/>
  <c r="AP47" i="3"/>
  <c r="AQ47" i="3"/>
  <c r="AR47" i="3"/>
  <c r="AS47" i="3"/>
  <c r="AT47" i="3"/>
  <c r="AU47" i="3"/>
  <c r="D48" i="3"/>
  <c r="E48" i="3"/>
  <c r="F48" i="3"/>
  <c r="G48" i="3"/>
  <c r="H48" i="3"/>
  <c r="I48" i="3"/>
  <c r="J48" i="3"/>
  <c r="K48" i="3"/>
  <c r="L48" i="3"/>
  <c r="M48" i="3"/>
  <c r="N48" i="3"/>
  <c r="O48" i="3"/>
  <c r="P48" i="3"/>
  <c r="Q48" i="3"/>
  <c r="R48" i="3"/>
  <c r="S48" i="3"/>
  <c r="T48" i="3"/>
  <c r="U48" i="3"/>
  <c r="V48" i="3"/>
  <c r="W48" i="3"/>
  <c r="X48" i="3"/>
  <c r="Y48" i="3"/>
  <c r="Z48" i="3"/>
  <c r="AA48" i="3"/>
  <c r="AB48" i="3"/>
  <c r="AC48" i="3"/>
  <c r="AD48" i="3"/>
  <c r="AE48" i="3"/>
  <c r="AF48" i="3"/>
  <c r="AG48" i="3"/>
  <c r="AH48" i="3"/>
  <c r="AI48" i="3"/>
  <c r="AJ48" i="3"/>
  <c r="AK48" i="3"/>
  <c r="AL48" i="3"/>
  <c r="AM48" i="3"/>
  <c r="AN48" i="3"/>
  <c r="AO48" i="3"/>
  <c r="AP48" i="3"/>
  <c r="AQ48" i="3"/>
  <c r="AR48" i="3"/>
  <c r="AS48" i="3"/>
  <c r="AT48" i="3"/>
  <c r="AU48" i="3"/>
  <c r="D49" i="3"/>
  <c r="E49" i="3"/>
  <c r="F49" i="3"/>
  <c r="G49" i="3"/>
  <c r="H49" i="3"/>
  <c r="I49" i="3"/>
  <c r="J49" i="3"/>
  <c r="K49" i="3"/>
  <c r="L49" i="3"/>
  <c r="M49" i="3"/>
  <c r="N49" i="3"/>
  <c r="O49" i="3"/>
  <c r="P49" i="3"/>
  <c r="Q49" i="3"/>
  <c r="R49" i="3"/>
  <c r="S49" i="3"/>
  <c r="T49" i="3"/>
  <c r="U49" i="3"/>
  <c r="V49" i="3"/>
  <c r="W49" i="3"/>
  <c r="X49" i="3"/>
  <c r="Y49" i="3"/>
  <c r="Z49" i="3"/>
  <c r="AA49" i="3"/>
  <c r="AB49" i="3"/>
  <c r="AC49" i="3"/>
  <c r="AD49" i="3"/>
  <c r="AE49" i="3"/>
  <c r="AF49" i="3"/>
  <c r="AG49" i="3"/>
  <c r="AH49" i="3"/>
  <c r="AI49" i="3"/>
  <c r="AJ49" i="3"/>
  <c r="AK49" i="3"/>
  <c r="AL49" i="3"/>
  <c r="AM49" i="3"/>
  <c r="AN49" i="3"/>
  <c r="AO49" i="3"/>
  <c r="AP49" i="3"/>
  <c r="AQ49" i="3"/>
  <c r="AR49" i="3"/>
  <c r="AS49" i="3"/>
  <c r="AT49" i="3"/>
  <c r="AU49" i="3"/>
  <c r="D50" i="3"/>
  <c r="E50" i="3"/>
  <c r="F50" i="3"/>
  <c r="G50" i="3"/>
  <c r="H50" i="3"/>
  <c r="I50" i="3"/>
  <c r="J50" i="3"/>
  <c r="K50" i="3"/>
  <c r="L50" i="3"/>
  <c r="M50" i="3"/>
  <c r="N50" i="3"/>
  <c r="O50" i="3"/>
  <c r="P50" i="3"/>
  <c r="Q50" i="3"/>
  <c r="R50" i="3"/>
  <c r="S50" i="3"/>
  <c r="T50" i="3"/>
  <c r="U50" i="3"/>
  <c r="V50" i="3"/>
  <c r="W50" i="3"/>
  <c r="X50" i="3"/>
  <c r="Y50" i="3"/>
  <c r="Z50" i="3"/>
  <c r="AA50" i="3"/>
  <c r="AB50" i="3"/>
  <c r="AC50" i="3"/>
  <c r="AD50" i="3"/>
  <c r="AE50" i="3"/>
  <c r="AF50" i="3"/>
  <c r="AG50" i="3"/>
  <c r="AH50" i="3"/>
  <c r="AI50" i="3"/>
  <c r="AJ50" i="3"/>
  <c r="AK50" i="3"/>
  <c r="AL50" i="3"/>
  <c r="AM50" i="3"/>
  <c r="AN50" i="3"/>
  <c r="AO50" i="3"/>
  <c r="AP50" i="3"/>
  <c r="AQ50" i="3"/>
  <c r="AR50" i="3"/>
  <c r="AS50" i="3"/>
  <c r="AT50" i="3"/>
  <c r="AU50" i="3"/>
  <c r="D51" i="3"/>
  <c r="E51" i="3"/>
  <c r="F51" i="3"/>
  <c r="G51" i="3"/>
  <c r="H51" i="3"/>
  <c r="I51" i="3"/>
  <c r="J51" i="3"/>
  <c r="K51" i="3"/>
  <c r="L51" i="3"/>
  <c r="M51" i="3"/>
  <c r="N51" i="3"/>
  <c r="O51" i="3"/>
  <c r="P51" i="3"/>
  <c r="Q51" i="3"/>
  <c r="R51" i="3"/>
  <c r="S51" i="3"/>
  <c r="T51" i="3"/>
  <c r="U51" i="3"/>
  <c r="V51" i="3"/>
  <c r="W51" i="3"/>
  <c r="X51" i="3"/>
  <c r="Y51" i="3"/>
  <c r="Z51" i="3"/>
  <c r="AA51" i="3"/>
  <c r="AB51" i="3"/>
  <c r="AC51" i="3"/>
  <c r="AD51" i="3"/>
  <c r="AE51" i="3"/>
  <c r="AF51" i="3"/>
  <c r="AG51" i="3"/>
  <c r="AH51" i="3"/>
  <c r="AI51" i="3"/>
  <c r="AJ51" i="3"/>
  <c r="AK51" i="3"/>
  <c r="AL51" i="3"/>
  <c r="AM51" i="3"/>
  <c r="AN51" i="3"/>
  <c r="AO51" i="3"/>
  <c r="AP51" i="3"/>
  <c r="AQ51" i="3"/>
  <c r="AR51" i="3"/>
  <c r="AS51" i="3"/>
  <c r="AT51" i="3"/>
  <c r="AU51" i="3"/>
  <c r="D52" i="3"/>
  <c r="E52" i="3"/>
  <c r="F52" i="3"/>
  <c r="G52" i="3"/>
  <c r="H52" i="3"/>
  <c r="I52" i="3"/>
  <c r="J52" i="3"/>
  <c r="K52" i="3"/>
  <c r="L52" i="3"/>
  <c r="M52" i="3"/>
  <c r="N52" i="3"/>
  <c r="O52" i="3"/>
  <c r="P52" i="3"/>
  <c r="Q52" i="3"/>
  <c r="R52" i="3"/>
  <c r="S52" i="3"/>
  <c r="T52" i="3"/>
  <c r="U52" i="3"/>
  <c r="V52" i="3"/>
  <c r="W52" i="3"/>
  <c r="X52" i="3"/>
  <c r="Y52" i="3"/>
  <c r="Z52" i="3"/>
  <c r="AA52" i="3"/>
  <c r="AB52" i="3"/>
  <c r="AC52" i="3"/>
  <c r="AD52" i="3"/>
  <c r="AE52" i="3"/>
  <c r="AF52" i="3"/>
  <c r="AG52" i="3"/>
  <c r="AH52" i="3"/>
  <c r="AI52" i="3"/>
  <c r="AJ52" i="3"/>
  <c r="AK52" i="3"/>
  <c r="AL52" i="3"/>
  <c r="AM52" i="3"/>
  <c r="AN52" i="3"/>
  <c r="AO52" i="3"/>
  <c r="AP52" i="3"/>
  <c r="AQ52" i="3"/>
  <c r="AR52" i="3"/>
  <c r="AS52" i="3"/>
  <c r="AT52" i="3"/>
  <c r="AU52" i="3"/>
  <c r="D53" i="3"/>
  <c r="E53" i="3"/>
  <c r="F53" i="3"/>
  <c r="G53" i="3"/>
  <c r="H53" i="3"/>
  <c r="I53" i="3"/>
  <c r="J53" i="3"/>
  <c r="K53" i="3"/>
  <c r="L53" i="3"/>
  <c r="M53" i="3"/>
  <c r="N53" i="3"/>
  <c r="O53" i="3"/>
  <c r="P53" i="3"/>
  <c r="Q53" i="3"/>
  <c r="R53" i="3"/>
  <c r="S53" i="3"/>
  <c r="T53" i="3"/>
  <c r="U53" i="3"/>
  <c r="V53" i="3"/>
  <c r="W53" i="3"/>
  <c r="X53" i="3"/>
  <c r="Y53" i="3"/>
  <c r="Z53" i="3"/>
  <c r="AA53" i="3"/>
  <c r="AB53" i="3"/>
  <c r="AC53" i="3"/>
  <c r="AD53" i="3"/>
  <c r="AE53" i="3"/>
  <c r="AF53" i="3"/>
  <c r="AG53" i="3"/>
  <c r="AH53" i="3"/>
  <c r="AI53" i="3"/>
  <c r="AJ53" i="3"/>
  <c r="AK53" i="3"/>
  <c r="AL53" i="3"/>
  <c r="AM53" i="3"/>
  <c r="AN53" i="3"/>
  <c r="AO53" i="3"/>
  <c r="AP53" i="3"/>
  <c r="AQ53" i="3"/>
  <c r="AR53" i="3"/>
  <c r="AS53" i="3"/>
  <c r="AT53" i="3"/>
  <c r="AU53" i="3"/>
  <c r="D54" i="3"/>
  <c r="E54" i="3"/>
  <c r="F54" i="3"/>
  <c r="G54" i="3"/>
  <c r="H54" i="3"/>
  <c r="I54" i="3"/>
  <c r="J54" i="3"/>
  <c r="K54" i="3"/>
  <c r="L54" i="3"/>
  <c r="M54" i="3"/>
  <c r="N54" i="3"/>
  <c r="O54" i="3"/>
  <c r="P54" i="3"/>
  <c r="Q54" i="3"/>
  <c r="R54" i="3"/>
  <c r="S54" i="3"/>
  <c r="T54" i="3"/>
  <c r="U54" i="3"/>
  <c r="V54" i="3"/>
  <c r="W54" i="3"/>
  <c r="X54" i="3"/>
  <c r="Y54" i="3"/>
  <c r="Z54" i="3"/>
  <c r="AA54" i="3"/>
  <c r="AB54" i="3"/>
  <c r="AC54" i="3"/>
  <c r="AD54" i="3"/>
  <c r="AE54" i="3"/>
  <c r="AF54" i="3"/>
  <c r="AG54" i="3"/>
  <c r="AH54" i="3"/>
  <c r="AI54" i="3"/>
  <c r="AJ54" i="3"/>
  <c r="AK54" i="3"/>
  <c r="AL54" i="3"/>
  <c r="AM54" i="3"/>
  <c r="AN54" i="3"/>
  <c r="AO54" i="3"/>
  <c r="AP54" i="3"/>
  <c r="AQ54" i="3"/>
  <c r="AR54" i="3"/>
  <c r="AS54" i="3"/>
  <c r="AT54" i="3"/>
  <c r="AU54" i="3"/>
  <c r="D55" i="3"/>
  <c r="E55" i="3"/>
  <c r="F55" i="3"/>
  <c r="G55" i="3"/>
  <c r="H55" i="3"/>
  <c r="I55" i="3"/>
  <c r="J55" i="3"/>
  <c r="K55" i="3"/>
  <c r="L55" i="3"/>
  <c r="M55" i="3"/>
  <c r="N55" i="3"/>
  <c r="O55" i="3"/>
  <c r="P55" i="3"/>
  <c r="Q55" i="3"/>
  <c r="R55" i="3"/>
  <c r="S55" i="3"/>
  <c r="T55" i="3"/>
  <c r="U55" i="3"/>
  <c r="V55" i="3"/>
  <c r="W55" i="3"/>
  <c r="X55" i="3"/>
  <c r="Y55" i="3"/>
  <c r="Z55" i="3"/>
  <c r="AA55" i="3"/>
  <c r="AB55" i="3"/>
  <c r="AC55" i="3"/>
  <c r="AD55" i="3"/>
  <c r="AE55" i="3"/>
  <c r="AF55" i="3"/>
  <c r="AG55" i="3"/>
  <c r="AH55" i="3"/>
  <c r="AI55" i="3"/>
  <c r="AJ55" i="3"/>
  <c r="AK55" i="3"/>
  <c r="AL55" i="3"/>
  <c r="AM55" i="3"/>
  <c r="AN55" i="3"/>
  <c r="AO55" i="3"/>
  <c r="AP55" i="3"/>
  <c r="AQ55" i="3"/>
  <c r="AR55" i="3"/>
  <c r="AS55" i="3"/>
  <c r="AT55" i="3"/>
  <c r="AU55" i="3"/>
  <c r="D56" i="3"/>
  <c r="E56" i="3"/>
  <c r="F56" i="3"/>
  <c r="G56" i="3"/>
  <c r="H56" i="3"/>
  <c r="I56" i="3"/>
  <c r="J56" i="3"/>
  <c r="K56" i="3"/>
  <c r="L56" i="3"/>
  <c r="M56" i="3"/>
  <c r="N56" i="3"/>
  <c r="O56" i="3"/>
  <c r="P56" i="3"/>
  <c r="Q56" i="3"/>
  <c r="R56" i="3"/>
  <c r="S56" i="3"/>
  <c r="T56" i="3"/>
  <c r="U56" i="3"/>
  <c r="V56" i="3"/>
  <c r="W56" i="3"/>
  <c r="X56" i="3"/>
  <c r="Y56" i="3"/>
  <c r="Z56" i="3"/>
  <c r="AA56" i="3"/>
  <c r="AB56" i="3"/>
  <c r="AC56" i="3"/>
  <c r="AD56" i="3"/>
  <c r="AE56" i="3"/>
  <c r="AF56" i="3"/>
  <c r="AG56" i="3"/>
  <c r="AH56" i="3"/>
  <c r="AI56" i="3"/>
  <c r="AJ56" i="3"/>
  <c r="AK56" i="3"/>
  <c r="AL56" i="3"/>
  <c r="AM56" i="3"/>
  <c r="AN56" i="3"/>
  <c r="AO56" i="3"/>
  <c r="AP56" i="3"/>
  <c r="AQ56" i="3"/>
  <c r="AR56" i="3"/>
  <c r="AS56" i="3"/>
  <c r="AT56" i="3"/>
  <c r="AU56" i="3"/>
  <c r="D57" i="3"/>
  <c r="E57" i="3"/>
  <c r="F57" i="3"/>
  <c r="G57" i="3"/>
  <c r="H57" i="3"/>
  <c r="I57" i="3"/>
  <c r="J57" i="3"/>
  <c r="K57" i="3"/>
  <c r="L57" i="3"/>
  <c r="M57" i="3"/>
  <c r="N57" i="3"/>
  <c r="O57" i="3"/>
  <c r="P57" i="3"/>
  <c r="Q57" i="3"/>
  <c r="R57" i="3"/>
  <c r="S57" i="3"/>
  <c r="T57" i="3"/>
  <c r="U57" i="3"/>
  <c r="V57" i="3"/>
  <c r="W57" i="3"/>
  <c r="X57" i="3"/>
  <c r="Y57" i="3"/>
  <c r="Z57" i="3"/>
  <c r="AA57" i="3"/>
  <c r="AB57" i="3"/>
  <c r="AC57" i="3"/>
  <c r="AD57" i="3"/>
  <c r="AE57" i="3"/>
  <c r="AF57" i="3"/>
  <c r="AG57" i="3"/>
  <c r="AH57" i="3"/>
  <c r="AI57" i="3"/>
  <c r="AJ57" i="3"/>
  <c r="AK57" i="3"/>
  <c r="AL57" i="3"/>
  <c r="AM57" i="3"/>
  <c r="AN57" i="3"/>
  <c r="AO57" i="3"/>
  <c r="AP57" i="3"/>
  <c r="AQ57" i="3"/>
  <c r="AR57" i="3"/>
  <c r="AS57" i="3"/>
  <c r="AT57" i="3"/>
  <c r="AU57" i="3"/>
  <c r="D58" i="3"/>
  <c r="E58" i="3"/>
  <c r="F58" i="3"/>
  <c r="G58" i="3"/>
  <c r="H58" i="3"/>
  <c r="I58" i="3"/>
  <c r="J58" i="3"/>
  <c r="K58" i="3"/>
  <c r="L58" i="3"/>
  <c r="M58" i="3"/>
  <c r="N58" i="3"/>
  <c r="O58" i="3"/>
  <c r="P58" i="3"/>
  <c r="Q58" i="3"/>
  <c r="R58" i="3"/>
  <c r="S58" i="3"/>
  <c r="T58" i="3"/>
  <c r="U58" i="3"/>
  <c r="V58" i="3"/>
  <c r="W58" i="3"/>
  <c r="X58" i="3"/>
  <c r="Y58" i="3"/>
  <c r="Z58" i="3"/>
  <c r="AA58" i="3"/>
  <c r="AB58" i="3"/>
  <c r="AC58" i="3"/>
  <c r="AD58" i="3"/>
  <c r="AE58" i="3"/>
  <c r="AF58" i="3"/>
  <c r="AG58" i="3"/>
  <c r="AH58" i="3"/>
  <c r="AI58" i="3"/>
  <c r="AJ58" i="3"/>
  <c r="AK58" i="3"/>
  <c r="AL58" i="3"/>
  <c r="AM58" i="3"/>
  <c r="AN58" i="3"/>
  <c r="AO58" i="3"/>
  <c r="AP58" i="3"/>
  <c r="AQ58" i="3"/>
  <c r="AR58" i="3"/>
  <c r="AS58" i="3"/>
  <c r="AT58" i="3"/>
  <c r="AU58" i="3"/>
  <c r="D59" i="3"/>
  <c r="E59" i="3"/>
  <c r="F59" i="3"/>
  <c r="G59" i="3"/>
  <c r="H59" i="3"/>
  <c r="I59" i="3"/>
  <c r="J59" i="3"/>
  <c r="K59" i="3"/>
  <c r="L59" i="3"/>
  <c r="M59" i="3"/>
  <c r="N59" i="3"/>
  <c r="O59" i="3"/>
  <c r="P59" i="3"/>
  <c r="Q59" i="3"/>
  <c r="R59" i="3"/>
  <c r="S59" i="3"/>
  <c r="T59" i="3"/>
  <c r="U59" i="3"/>
  <c r="V59" i="3"/>
  <c r="W59" i="3"/>
  <c r="X59" i="3"/>
  <c r="Y59" i="3"/>
  <c r="Z59" i="3"/>
  <c r="AA59" i="3"/>
  <c r="AB59" i="3"/>
  <c r="AC59" i="3"/>
  <c r="AD59" i="3"/>
  <c r="AE59" i="3"/>
  <c r="AF59" i="3"/>
  <c r="AG59" i="3"/>
  <c r="AH59" i="3"/>
  <c r="AI59" i="3"/>
  <c r="AJ59" i="3"/>
  <c r="AK59" i="3"/>
  <c r="AL59" i="3"/>
  <c r="AM59" i="3"/>
  <c r="AN59" i="3"/>
  <c r="AO59" i="3"/>
  <c r="AP59" i="3"/>
  <c r="AQ59" i="3"/>
  <c r="AR59" i="3"/>
  <c r="AS59" i="3"/>
  <c r="AT59" i="3"/>
  <c r="AU59" i="3"/>
  <c r="D60" i="3"/>
  <c r="E60" i="3"/>
  <c r="F60" i="3"/>
  <c r="G60" i="3"/>
  <c r="H60" i="3"/>
  <c r="I60" i="3"/>
  <c r="J60" i="3"/>
  <c r="K60" i="3"/>
  <c r="L60" i="3"/>
  <c r="M60" i="3"/>
  <c r="N60" i="3"/>
  <c r="O60" i="3"/>
  <c r="P60" i="3"/>
  <c r="Q60" i="3"/>
  <c r="R60" i="3"/>
  <c r="S60" i="3"/>
  <c r="T60" i="3"/>
  <c r="U60" i="3"/>
  <c r="V60" i="3"/>
  <c r="W60" i="3"/>
  <c r="X60" i="3"/>
  <c r="Y60" i="3"/>
  <c r="Z60" i="3"/>
  <c r="AA60" i="3"/>
  <c r="AB60" i="3"/>
  <c r="AC60" i="3"/>
  <c r="AD60" i="3"/>
  <c r="AE60" i="3"/>
  <c r="AF60" i="3"/>
  <c r="AG60" i="3"/>
  <c r="AH60" i="3"/>
  <c r="AI60" i="3"/>
  <c r="AJ60" i="3"/>
  <c r="AK60" i="3"/>
  <c r="AL60" i="3"/>
  <c r="AM60" i="3"/>
  <c r="AN60" i="3"/>
  <c r="AO60" i="3"/>
  <c r="AP60" i="3"/>
  <c r="AQ60" i="3"/>
  <c r="AR60" i="3"/>
  <c r="AS60" i="3"/>
  <c r="AT60" i="3"/>
  <c r="AU60" i="3"/>
  <c r="D61" i="3"/>
  <c r="E61" i="3"/>
  <c r="F61" i="3"/>
  <c r="G61" i="3"/>
  <c r="H61" i="3"/>
  <c r="I61" i="3"/>
  <c r="J61" i="3"/>
  <c r="K61" i="3"/>
  <c r="L61" i="3"/>
  <c r="M61" i="3"/>
  <c r="N61" i="3"/>
  <c r="O61" i="3"/>
  <c r="P61" i="3"/>
  <c r="Q61" i="3"/>
  <c r="R61" i="3"/>
  <c r="S61" i="3"/>
  <c r="T61" i="3"/>
  <c r="U61" i="3"/>
  <c r="V61" i="3"/>
  <c r="W61" i="3"/>
  <c r="X61" i="3"/>
  <c r="Y61" i="3"/>
  <c r="Z61" i="3"/>
  <c r="AA61" i="3"/>
  <c r="AB61" i="3"/>
  <c r="AC61" i="3"/>
  <c r="AD61" i="3"/>
  <c r="AE61" i="3"/>
  <c r="AF61" i="3"/>
  <c r="AG61" i="3"/>
  <c r="AH61" i="3"/>
  <c r="AI61" i="3"/>
  <c r="AJ61" i="3"/>
  <c r="AK61" i="3"/>
  <c r="AL61" i="3"/>
  <c r="AM61" i="3"/>
  <c r="AN61" i="3"/>
  <c r="AO61" i="3"/>
  <c r="AP61" i="3"/>
  <c r="AQ61" i="3"/>
  <c r="AR61" i="3"/>
  <c r="AS61" i="3"/>
  <c r="AT61" i="3"/>
  <c r="AU61" i="3"/>
  <c r="D62" i="3"/>
  <c r="E62" i="3"/>
  <c r="F62" i="3"/>
  <c r="G62" i="3"/>
  <c r="H62" i="3"/>
  <c r="I62" i="3"/>
  <c r="J62" i="3"/>
  <c r="K62" i="3"/>
  <c r="L62" i="3"/>
  <c r="M62" i="3"/>
  <c r="N62" i="3"/>
  <c r="O62" i="3"/>
  <c r="P62" i="3"/>
  <c r="Q62" i="3"/>
  <c r="R62" i="3"/>
  <c r="S62" i="3"/>
  <c r="T62" i="3"/>
  <c r="U62" i="3"/>
  <c r="V62" i="3"/>
  <c r="W62" i="3"/>
  <c r="X62" i="3"/>
  <c r="Y62" i="3"/>
  <c r="Z62" i="3"/>
  <c r="AA62" i="3"/>
  <c r="AB62" i="3"/>
  <c r="AC62" i="3"/>
  <c r="AD62" i="3"/>
  <c r="AE62" i="3"/>
  <c r="AF62" i="3"/>
  <c r="AG62" i="3"/>
  <c r="AH62" i="3"/>
  <c r="AI62" i="3"/>
  <c r="AJ62" i="3"/>
  <c r="AK62" i="3"/>
  <c r="AL62" i="3"/>
  <c r="AM62" i="3"/>
  <c r="AN62" i="3"/>
  <c r="AO62" i="3"/>
  <c r="AP62" i="3"/>
  <c r="AQ62" i="3"/>
  <c r="AR62" i="3"/>
  <c r="AS62" i="3"/>
  <c r="AT62" i="3"/>
  <c r="AU62" i="3"/>
  <c r="D63" i="3"/>
  <c r="E63" i="3"/>
  <c r="F63" i="3"/>
  <c r="G63" i="3"/>
  <c r="H63" i="3"/>
  <c r="I63" i="3"/>
  <c r="J63" i="3"/>
  <c r="K63" i="3"/>
  <c r="L63" i="3"/>
  <c r="M63" i="3"/>
  <c r="N63" i="3"/>
  <c r="O63" i="3"/>
  <c r="P63" i="3"/>
  <c r="Q63" i="3"/>
  <c r="R63" i="3"/>
  <c r="S63" i="3"/>
  <c r="T63" i="3"/>
  <c r="U63" i="3"/>
  <c r="V63" i="3"/>
  <c r="W63" i="3"/>
  <c r="X63" i="3"/>
  <c r="Y63" i="3"/>
  <c r="Z63" i="3"/>
  <c r="AA63" i="3"/>
  <c r="AB63" i="3"/>
  <c r="AC63" i="3"/>
  <c r="AD63" i="3"/>
  <c r="AE63" i="3"/>
  <c r="AF63" i="3"/>
  <c r="AG63" i="3"/>
  <c r="AH63" i="3"/>
  <c r="AI63" i="3"/>
  <c r="AJ63" i="3"/>
  <c r="AK63" i="3"/>
  <c r="AL63" i="3"/>
  <c r="AM63" i="3"/>
  <c r="AN63" i="3"/>
  <c r="AO63" i="3"/>
  <c r="AP63" i="3"/>
  <c r="AQ63" i="3"/>
  <c r="AR63" i="3"/>
  <c r="AS63" i="3"/>
  <c r="AT63" i="3"/>
  <c r="AU63" i="3"/>
  <c r="D64" i="3"/>
  <c r="E64" i="3"/>
  <c r="F64" i="3"/>
  <c r="G64" i="3"/>
  <c r="H64" i="3"/>
  <c r="I64" i="3"/>
  <c r="J64" i="3"/>
  <c r="K64" i="3"/>
  <c r="L64" i="3"/>
  <c r="M64" i="3"/>
  <c r="N64" i="3"/>
  <c r="O64" i="3"/>
  <c r="P64" i="3"/>
  <c r="Q64" i="3"/>
  <c r="R64" i="3"/>
  <c r="S64" i="3"/>
  <c r="T64" i="3"/>
  <c r="U64" i="3"/>
  <c r="V64" i="3"/>
  <c r="W64" i="3"/>
  <c r="X64" i="3"/>
  <c r="Y64" i="3"/>
  <c r="Z64" i="3"/>
  <c r="AA64" i="3"/>
  <c r="AB64" i="3"/>
  <c r="AC64" i="3"/>
  <c r="AD64" i="3"/>
  <c r="AE64" i="3"/>
  <c r="AF64" i="3"/>
  <c r="AG64" i="3"/>
  <c r="AH64" i="3"/>
  <c r="AI64" i="3"/>
  <c r="AJ64" i="3"/>
  <c r="AK64" i="3"/>
  <c r="AL64" i="3"/>
  <c r="AM64" i="3"/>
  <c r="AN64" i="3"/>
  <c r="AO64" i="3"/>
  <c r="AP64" i="3"/>
  <c r="AQ64" i="3"/>
  <c r="AR64" i="3"/>
  <c r="AS64" i="3"/>
  <c r="AT64" i="3"/>
  <c r="AU64" i="3"/>
  <c r="D65" i="3"/>
  <c r="E65" i="3"/>
  <c r="F65" i="3"/>
  <c r="G65" i="3"/>
  <c r="H65" i="3"/>
  <c r="I65" i="3"/>
  <c r="J65" i="3"/>
  <c r="K65" i="3"/>
  <c r="L65" i="3"/>
  <c r="M65" i="3"/>
  <c r="N65" i="3"/>
  <c r="O65" i="3"/>
  <c r="P65" i="3"/>
  <c r="Q65" i="3"/>
  <c r="R65" i="3"/>
  <c r="S65" i="3"/>
  <c r="T65" i="3"/>
  <c r="U65" i="3"/>
  <c r="V65" i="3"/>
  <c r="W65" i="3"/>
  <c r="X65" i="3"/>
  <c r="Y65" i="3"/>
  <c r="Z65" i="3"/>
  <c r="AA65" i="3"/>
  <c r="AB65" i="3"/>
  <c r="AC65" i="3"/>
  <c r="AD65" i="3"/>
  <c r="AE65" i="3"/>
  <c r="AF65" i="3"/>
  <c r="AG65" i="3"/>
  <c r="AH65" i="3"/>
  <c r="AI65" i="3"/>
  <c r="AJ65" i="3"/>
  <c r="AK65" i="3"/>
  <c r="AL65" i="3"/>
  <c r="AM65" i="3"/>
  <c r="AN65" i="3"/>
  <c r="AO65" i="3"/>
  <c r="AP65" i="3"/>
  <c r="AQ65" i="3"/>
  <c r="AR65" i="3"/>
  <c r="AS65" i="3"/>
  <c r="AT65" i="3"/>
  <c r="AU65" i="3"/>
  <c r="D66" i="3"/>
  <c r="E66" i="3"/>
  <c r="F66" i="3"/>
  <c r="G66" i="3"/>
  <c r="H66" i="3"/>
  <c r="I66" i="3"/>
  <c r="J66" i="3"/>
  <c r="K66" i="3"/>
  <c r="L66" i="3"/>
  <c r="M66" i="3"/>
  <c r="N66" i="3"/>
  <c r="O66" i="3"/>
  <c r="P66" i="3"/>
  <c r="Q66" i="3"/>
  <c r="R66" i="3"/>
  <c r="S66" i="3"/>
  <c r="T66" i="3"/>
  <c r="U66" i="3"/>
  <c r="V66" i="3"/>
  <c r="W66" i="3"/>
  <c r="X66" i="3"/>
  <c r="Y66" i="3"/>
  <c r="Z66" i="3"/>
  <c r="AA66" i="3"/>
  <c r="AB66" i="3"/>
  <c r="AC66" i="3"/>
  <c r="AD66" i="3"/>
  <c r="AE66" i="3"/>
  <c r="AF66" i="3"/>
  <c r="AG66" i="3"/>
  <c r="AH66" i="3"/>
  <c r="AI66" i="3"/>
  <c r="AJ66" i="3"/>
  <c r="AK66" i="3"/>
  <c r="AL66" i="3"/>
  <c r="AM66" i="3"/>
  <c r="AN66" i="3"/>
  <c r="AO66" i="3"/>
  <c r="AP66" i="3"/>
  <c r="AQ66" i="3"/>
  <c r="AR66" i="3"/>
  <c r="AS66" i="3"/>
  <c r="AT66" i="3"/>
  <c r="AU66" i="3"/>
  <c r="D67" i="3"/>
  <c r="E67" i="3"/>
  <c r="F67" i="3"/>
  <c r="G67" i="3"/>
  <c r="H67" i="3"/>
  <c r="I67" i="3"/>
  <c r="J67" i="3"/>
  <c r="K67" i="3"/>
  <c r="L67" i="3"/>
  <c r="M67" i="3"/>
  <c r="N67" i="3"/>
  <c r="O67" i="3"/>
  <c r="P67" i="3"/>
  <c r="Q67" i="3"/>
  <c r="R67" i="3"/>
  <c r="S67" i="3"/>
  <c r="T67" i="3"/>
  <c r="U67" i="3"/>
  <c r="V67" i="3"/>
  <c r="W67" i="3"/>
  <c r="X67" i="3"/>
  <c r="Y67" i="3"/>
  <c r="Z67" i="3"/>
  <c r="AA67" i="3"/>
  <c r="AB67" i="3"/>
  <c r="AC67" i="3"/>
  <c r="AD67" i="3"/>
  <c r="AE67" i="3"/>
  <c r="AF67" i="3"/>
  <c r="AG67" i="3"/>
  <c r="AH67" i="3"/>
  <c r="AI67" i="3"/>
  <c r="AJ67" i="3"/>
  <c r="AK67" i="3"/>
  <c r="AL67" i="3"/>
  <c r="AM67" i="3"/>
  <c r="AN67" i="3"/>
  <c r="AO67" i="3"/>
  <c r="AP67" i="3"/>
  <c r="AQ67" i="3"/>
  <c r="AR67" i="3"/>
  <c r="AS67" i="3"/>
  <c r="AT67" i="3"/>
  <c r="AU67" i="3"/>
  <c r="D68" i="3"/>
  <c r="E68" i="3"/>
  <c r="F68" i="3"/>
  <c r="G68" i="3"/>
  <c r="H68" i="3"/>
  <c r="I68" i="3"/>
  <c r="J68" i="3"/>
  <c r="K68" i="3"/>
  <c r="L68" i="3"/>
  <c r="M68" i="3"/>
  <c r="N68" i="3"/>
  <c r="O68" i="3"/>
  <c r="P68" i="3"/>
  <c r="Q68" i="3"/>
  <c r="R68" i="3"/>
  <c r="S68" i="3"/>
  <c r="T68" i="3"/>
  <c r="U68" i="3"/>
  <c r="V68" i="3"/>
  <c r="W68" i="3"/>
  <c r="X68" i="3"/>
  <c r="Y68" i="3"/>
  <c r="Z68" i="3"/>
  <c r="AA68" i="3"/>
  <c r="AB68" i="3"/>
  <c r="AC68" i="3"/>
  <c r="AD68" i="3"/>
  <c r="AE68" i="3"/>
  <c r="AF68" i="3"/>
  <c r="AG68" i="3"/>
  <c r="AH68" i="3"/>
  <c r="AI68" i="3"/>
  <c r="AJ68" i="3"/>
  <c r="AK68" i="3"/>
  <c r="AL68" i="3"/>
  <c r="AM68" i="3"/>
  <c r="AN68" i="3"/>
  <c r="AO68" i="3"/>
  <c r="AP68" i="3"/>
  <c r="AQ68" i="3"/>
  <c r="AR68" i="3"/>
  <c r="AS68" i="3"/>
  <c r="AT68" i="3"/>
  <c r="AU68" i="3"/>
  <c r="D69" i="3"/>
  <c r="E69" i="3"/>
  <c r="F69" i="3"/>
  <c r="G69" i="3"/>
  <c r="H69" i="3"/>
  <c r="I69" i="3"/>
  <c r="J69" i="3"/>
  <c r="K69" i="3"/>
  <c r="L69" i="3"/>
  <c r="M69" i="3"/>
  <c r="N69" i="3"/>
  <c r="O69" i="3"/>
  <c r="P69" i="3"/>
  <c r="Q69" i="3"/>
  <c r="R69" i="3"/>
  <c r="S69" i="3"/>
  <c r="T69" i="3"/>
  <c r="U69" i="3"/>
  <c r="V69" i="3"/>
  <c r="W69" i="3"/>
  <c r="X69" i="3"/>
  <c r="Y69" i="3"/>
  <c r="Z69" i="3"/>
  <c r="AA69" i="3"/>
  <c r="AB69" i="3"/>
  <c r="AC69" i="3"/>
  <c r="AD69" i="3"/>
  <c r="AE69" i="3"/>
  <c r="AF69" i="3"/>
  <c r="AG69" i="3"/>
  <c r="AH69" i="3"/>
  <c r="AI69" i="3"/>
  <c r="AJ69" i="3"/>
  <c r="AK69" i="3"/>
  <c r="AL69" i="3"/>
  <c r="AM69" i="3"/>
  <c r="AN69" i="3"/>
  <c r="AO69" i="3"/>
  <c r="AP69" i="3"/>
  <c r="AQ69" i="3"/>
  <c r="AR69" i="3"/>
  <c r="AS69" i="3"/>
  <c r="AT69" i="3"/>
  <c r="AU69" i="3"/>
  <c r="D70" i="3"/>
  <c r="E70" i="3"/>
  <c r="F70" i="3"/>
  <c r="G70" i="3"/>
  <c r="H70" i="3"/>
  <c r="I70" i="3"/>
  <c r="J70" i="3"/>
  <c r="K70" i="3"/>
  <c r="L70" i="3"/>
  <c r="M70" i="3"/>
  <c r="N70" i="3"/>
  <c r="O70" i="3"/>
  <c r="P70" i="3"/>
  <c r="Q70" i="3"/>
  <c r="R70" i="3"/>
  <c r="S70" i="3"/>
  <c r="T70" i="3"/>
  <c r="U70" i="3"/>
  <c r="V70" i="3"/>
  <c r="W70" i="3"/>
  <c r="X70" i="3"/>
  <c r="Y70" i="3"/>
  <c r="Z70" i="3"/>
  <c r="AA70" i="3"/>
  <c r="AB70" i="3"/>
  <c r="AC70" i="3"/>
  <c r="AD70" i="3"/>
  <c r="AE70" i="3"/>
  <c r="AF70" i="3"/>
  <c r="AG70" i="3"/>
  <c r="AH70" i="3"/>
  <c r="AI70" i="3"/>
  <c r="AJ70" i="3"/>
  <c r="AK70" i="3"/>
  <c r="AL70" i="3"/>
  <c r="AM70" i="3"/>
  <c r="AN70" i="3"/>
  <c r="AO70" i="3"/>
  <c r="AP70" i="3"/>
  <c r="AQ70" i="3"/>
  <c r="AR70" i="3"/>
  <c r="AS70" i="3"/>
  <c r="AT70" i="3"/>
  <c r="AU70" i="3"/>
  <c r="D71" i="3"/>
  <c r="E71" i="3"/>
  <c r="F71" i="3"/>
  <c r="G71" i="3"/>
  <c r="H71" i="3"/>
  <c r="I71" i="3"/>
  <c r="J71" i="3"/>
  <c r="K71" i="3"/>
  <c r="L71" i="3"/>
  <c r="M71" i="3"/>
  <c r="N71" i="3"/>
  <c r="O71" i="3"/>
  <c r="P71" i="3"/>
  <c r="Q71" i="3"/>
  <c r="R71" i="3"/>
  <c r="S71" i="3"/>
  <c r="T71" i="3"/>
  <c r="U71" i="3"/>
  <c r="V71" i="3"/>
  <c r="W71" i="3"/>
  <c r="X71" i="3"/>
  <c r="Y71" i="3"/>
  <c r="Z71" i="3"/>
  <c r="AA71" i="3"/>
  <c r="AB71" i="3"/>
  <c r="AC71" i="3"/>
  <c r="AD71" i="3"/>
  <c r="AE71" i="3"/>
  <c r="AF71" i="3"/>
  <c r="AG71" i="3"/>
  <c r="AH71" i="3"/>
  <c r="AI71" i="3"/>
  <c r="AJ71" i="3"/>
  <c r="AK71" i="3"/>
  <c r="AL71" i="3"/>
  <c r="AM71" i="3"/>
  <c r="AN71" i="3"/>
  <c r="AO71" i="3"/>
  <c r="AP71" i="3"/>
  <c r="AQ71" i="3"/>
  <c r="AR71" i="3"/>
  <c r="AS71" i="3"/>
  <c r="AT71" i="3"/>
  <c r="AU71" i="3"/>
  <c r="D72" i="3"/>
  <c r="E72" i="3"/>
  <c r="F72" i="3"/>
  <c r="G72" i="3"/>
  <c r="H72" i="3"/>
  <c r="I72" i="3"/>
  <c r="J72" i="3"/>
  <c r="K72" i="3"/>
  <c r="L72" i="3"/>
  <c r="M72" i="3"/>
  <c r="N72" i="3"/>
  <c r="O72" i="3"/>
  <c r="P72" i="3"/>
  <c r="Q72" i="3"/>
  <c r="R72" i="3"/>
  <c r="S72" i="3"/>
  <c r="T72" i="3"/>
  <c r="U72" i="3"/>
  <c r="V72" i="3"/>
  <c r="W72" i="3"/>
  <c r="X72" i="3"/>
  <c r="Y72" i="3"/>
  <c r="Z72" i="3"/>
  <c r="AA72" i="3"/>
  <c r="AB72" i="3"/>
  <c r="AC72" i="3"/>
  <c r="AD72" i="3"/>
  <c r="AE72" i="3"/>
  <c r="AF72" i="3"/>
  <c r="AG72" i="3"/>
  <c r="AH72" i="3"/>
  <c r="AI72" i="3"/>
  <c r="AJ72" i="3"/>
  <c r="AK72" i="3"/>
  <c r="AL72" i="3"/>
  <c r="AM72" i="3"/>
  <c r="AN72" i="3"/>
  <c r="AO72" i="3"/>
  <c r="AP72" i="3"/>
  <c r="AQ72" i="3"/>
  <c r="AR72" i="3"/>
  <c r="AS72" i="3"/>
  <c r="AT72" i="3"/>
  <c r="AU72" i="3"/>
  <c r="D73" i="3"/>
  <c r="E73" i="3"/>
  <c r="F73" i="3"/>
  <c r="G73" i="3"/>
  <c r="H73" i="3"/>
  <c r="I73" i="3"/>
  <c r="J73" i="3"/>
  <c r="K73" i="3"/>
  <c r="L73" i="3"/>
  <c r="M73" i="3"/>
  <c r="N73" i="3"/>
  <c r="O73" i="3"/>
  <c r="P73" i="3"/>
  <c r="Q73" i="3"/>
  <c r="R73" i="3"/>
  <c r="S73" i="3"/>
  <c r="T73" i="3"/>
  <c r="U73" i="3"/>
  <c r="V73" i="3"/>
  <c r="W73" i="3"/>
  <c r="X73" i="3"/>
  <c r="Y73" i="3"/>
  <c r="Z73" i="3"/>
  <c r="AA73" i="3"/>
  <c r="AB73" i="3"/>
  <c r="AC73" i="3"/>
  <c r="AD73" i="3"/>
  <c r="AE73" i="3"/>
  <c r="AF73" i="3"/>
  <c r="AG73" i="3"/>
  <c r="AH73" i="3"/>
  <c r="AI73" i="3"/>
  <c r="AJ73" i="3"/>
  <c r="AK73" i="3"/>
  <c r="AL73" i="3"/>
  <c r="AM73" i="3"/>
  <c r="AN73" i="3"/>
  <c r="AO73" i="3"/>
  <c r="AP73" i="3"/>
  <c r="AQ73" i="3"/>
  <c r="AR73" i="3"/>
  <c r="AS73" i="3"/>
  <c r="AT73" i="3"/>
  <c r="AU73" i="3"/>
  <c r="D74" i="3"/>
  <c r="E74" i="3"/>
  <c r="F74" i="3"/>
  <c r="G74" i="3"/>
  <c r="H74" i="3"/>
  <c r="I74" i="3"/>
  <c r="J74" i="3"/>
  <c r="K74" i="3"/>
  <c r="L74" i="3"/>
  <c r="M74" i="3"/>
  <c r="N74" i="3"/>
  <c r="O74" i="3"/>
  <c r="P74" i="3"/>
  <c r="Q74" i="3"/>
  <c r="R74" i="3"/>
  <c r="S74" i="3"/>
  <c r="T74" i="3"/>
  <c r="U74" i="3"/>
  <c r="V74" i="3"/>
  <c r="W74" i="3"/>
  <c r="X74" i="3"/>
  <c r="Y74" i="3"/>
  <c r="Z74" i="3"/>
  <c r="AA74" i="3"/>
  <c r="AB74" i="3"/>
  <c r="AC74" i="3"/>
  <c r="AD74" i="3"/>
  <c r="AE74" i="3"/>
  <c r="AF74" i="3"/>
  <c r="AG74" i="3"/>
  <c r="AH74" i="3"/>
  <c r="AI74" i="3"/>
  <c r="AJ74" i="3"/>
  <c r="AK74" i="3"/>
  <c r="AL74" i="3"/>
  <c r="AM74" i="3"/>
  <c r="AN74" i="3"/>
  <c r="AO74" i="3"/>
  <c r="AP74" i="3"/>
  <c r="AQ74" i="3"/>
  <c r="AR74" i="3"/>
  <c r="AS74" i="3"/>
  <c r="AT74" i="3"/>
  <c r="AU74" i="3"/>
  <c r="D75" i="3"/>
  <c r="E75" i="3"/>
  <c r="F75" i="3"/>
  <c r="G75" i="3"/>
  <c r="H75" i="3"/>
  <c r="I75" i="3"/>
  <c r="J75" i="3"/>
  <c r="K75" i="3"/>
  <c r="L75" i="3"/>
  <c r="M75" i="3"/>
  <c r="N75" i="3"/>
  <c r="O75" i="3"/>
  <c r="P75" i="3"/>
  <c r="Q75" i="3"/>
  <c r="R75" i="3"/>
  <c r="S75" i="3"/>
  <c r="T75" i="3"/>
  <c r="U75" i="3"/>
  <c r="V75" i="3"/>
  <c r="W75" i="3"/>
  <c r="X75" i="3"/>
  <c r="Y75" i="3"/>
  <c r="Z75" i="3"/>
  <c r="AA75" i="3"/>
  <c r="AB75" i="3"/>
  <c r="AC75" i="3"/>
  <c r="AD75" i="3"/>
  <c r="AE75" i="3"/>
  <c r="AF75" i="3"/>
  <c r="AG75" i="3"/>
  <c r="AH75" i="3"/>
  <c r="AI75" i="3"/>
  <c r="AJ75" i="3"/>
  <c r="AK75" i="3"/>
  <c r="AL75" i="3"/>
  <c r="AM75" i="3"/>
  <c r="AN75" i="3"/>
  <c r="AO75" i="3"/>
  <c r="AP75" i="3"/>
  <c r="AQ75" i="3"/>
  <c r="AR75" i="3"/>
  <c r="AS75" i="3"/>
  <c r="AT75" i="3"/>
  <c r="AU75" i="3"/>
  <c r="D76" i="3"/>
  <c r="E76" i="3"/>
  <c r="F76" i="3"/>
  <c r="G76" i="3"/>
  <c r="H76" i="3"/>
  <c r="I76" i="3"/>
  <c r="J76" i="3"/>
  <c r="K76" i="3"/>
  <c r="L76" i="3"/>
  <c r="M76" i="3"/>
  <c r="N76" i="3"/>
  <c r="O76" i="3"/>
  <c r="P76" i="3"/>
  <c r="Q76" i="3"/>
  <c r="R76" i="3"/>
  <c r="S76" i="3"/>
  <c r="T76" i="3"/>
  <c r="U76" i="3"/>
  <c r="V76" i="3"/>
  <c r="W76" i="3"/>
  <c r="X76" i="3"/>
  <c r="Y76" i="3"/>
  <c r="Z76" i="3"/>
  <c r="AA76" i="3"/>
  <c r="AB76" i="3"/>
  <c r="AC76" i="3"/>
  <c r="AD76" i="3"/>
  <c r="AE76" i="3"/>
  <c r="AF76" i="3"/>
  <c r="AG76" i="3"/>
  <c r="AH76" i="3"/>
  <c r="AI76" i="3"/>
  <c r="AJ76" i="3"/>
  <c r="AK76" i="3"/>
  <c r="AL76" i="3"/>
  <c r="AM76" i="3"/>
  <c r="AN76" i="3"/>
  <c r="AO76" i="3"/>
  <c r="AP76" i="3"/>
  <c r="AQ76" i="3"/>
  <c r="AR76" i="3"/>
  <c r="AS76" i="3"/>
  <c r="AT76" i="3"/>
  <c r="AU76" i="3"/>
  <c r="D77" i="3"/>
  <c r="E77" i="3"/>
  <c r="F77" i="3"/>
  <c r="G77" i="3"/>
  <c r="H77" i="3"/>
  <c r="I77" i="3"/>
  <c r="J77" i="3"/>
  <c r="K77" i="3"/>
  <c r="L77" i="3"/>
  <c r="M77" i="3"/>
  <c r="N77" i="3"/>
  <c r="O77" i="3"/>
  <c r="P77" i="3"/>
  <c r="Q77" i="3"/>
  <c r="R77" i="3"/>
  <c r="S77" i="3"/>
  <c r="T77" i="3"/>
  <c r="U77" i="3"/>
  <c r="V77" i="3"/>
  <c r="W77" i="3"/>
  <c r="X77" i="3"/>
  <c r="Y77" i="3"/>
  <c r="Z77" i="3"/>
  <c r="AA77" i="3"/>
  <c r="AB77" i="3"/>
  <c r="AC77" i="3"/>
  <c r="AD77" i="3"/>
  <c r="AE77" i="3"/>
  <c r="AF77" i="3"/>
  <c r="AG77" i="3"/>
  <c r="AH77" i="3"/>
  <c r="AI77" i="3"/>
  <c r="AJ77" i="3"/>
  <c r="AK77" i="3"/>
  <c r="AL77" i="3"/>
  <c r="AM77" i="3"/>
  <c r="AN77" i="3"/>
  <c r="AO77" i="3"/>
  <c r="AP77" i="3"/>
  <c r="AQ77" i="3"/>
  <c r="AR77" i="3"/>
  <c r="AS77" i="3"/>
  <c r="AT77" i="3"/>
  <c r="AU77" i="3"/>
  <c r="D78" i="3"/>
  <c r="E78" i="3"/>
  <c r="F78" i="3"/>
  <c r="G78" i="3"/>
  <c r="H78" i="3"/>
  <c r="I78" i="3"/>
  <c r="J78" i="3"/>
  <c r="K78" i="3"/>
  <c r="L78" i="3"/>
  <c r="M78" i="3"/>
  <c r="N78" i="3"/>
  <c r="O78" i="3"/>
  <c r="P78" i="3"/>
  <c r="Q78" i="3"/>
  <c r="R78" i="3"/>
  <c r="S78" i="3"/>
  <c r="T78" i="3"/>
  <c r="U78" i="3"/>
  <c r="V78" i="3"/>
  <c r="W78" i="3"/>
  <c r="X78" i="3"/>
  <c r="Y78" i="3"/>
  <c r="Z78" i="3"/>
  <c r="AA78" i="3"/>
  <c r="AB78" i="3"/>
  <c r="AC78" i="3"/>
  <c r="AD78" i="3"/>
  <c r="AE78" i="3"/>
  <c r="AF78" i="3"/>
  <c r="AG78" i="3"/>
  <c r="AH78" i="3"/>
  <c r="AI78" i="3"/>
  <c r="AJ78" i="3"/>
  <c r="AK78" i="3"/>
  <c r="AL78" i="3"/>
  <c r="AM78" i="3"/>
  <c r="AN78" i="3"/>
  <c r="AO78" i="3"/>
  <c r="AP78" i="3"/>
  <c r="AQ78" i="3"/>
  <c r="AR78" i="3"/>
  <c r="AS78" i="3"/>
  <c r="AT78" i="3"/>
  <c r="AU78" i="3"/>
  <c r="D79" i="3"/>
  <c r="E79" i="3"/>
  <c r="F79" i="3"/>
  <c r="G79" i="3"/>
  <c r="H79" i="3"/>
  <c r="I79" i="3"/>
  <c r="J79" i="3"/>
  <c r="K79" i="3"/>
  <c r="L79" i="3"/>
  <c r="M79" i="3"/>
  <c r="N79" i="3"/>
  <c r="O79" i="3"/>
  <c r="P79" i="3"/>
  <c r="Q79" i="3"/>
  <c r="R79" i="3"/>
  <c r="S79" i="3"/>
  <c r="T79" i="3"/>
  <c r="U79" i="3"/>
  <c r="V79" i="3"/>
  <c r="W79" i="3"/>
  <c r="X79" i="3"/>
  <c r="Y79" i="3"/>
  <c r="Z79" i="3"/>
  <c r="AA79" i="3"/>
  <c r="AB79" i="3"/>
  <c r="AC79" i="3"/>
  <c r="AD79" i="3"/>
  <c r="AE79" i="3"/>
  <c r="AF79" i="3"/>
  <c r="AG79" i="3"/>
  <c r="AH79" i="3"/>
  <c r="AI79" i="3"/>
  <c r="AJ79" i="3"/>
  <c r="AK79" i="3"/>
  <c r="AL79" i="3"/>
  <c r="AM79" i="3"/>
  <c r="AN79" i="3"/>
  <c r="AO79" i="3"/>
  <c r="AP79" i="3"/>
  <c r="AQ79" i="3"/>
  <c r="AR79" i="3"/>
  <c r="AS79" i="3"/>
  <c r="AT79" i="3"/>
  <c r="AU79" i="3"/>
  <c r="D80" i="3"/>
  <c r="E80" i="3"/>
  <c r="F80" i="3"/>
  <c r="G80" i="3"/>
  <c r="H80" i="3"/>
  <c r="I80" i="3"/>
  <c r="J80" i="3"/>
  <c r="K80" i="3"/>
  <c r="L80" i="3"/>
  <c r="M80" i="3"/>
  <c r="N80" i="3"/>
  <c r="O80" i="3"/>
  <c r="P80" i="3"/>
  <c r="Q80" i="3"/>
  <c r="R80" i="3"/>
  <c r="S80" i="3"/>
  <c r="T80" i="3"/>
  <c r="U80" i="3"/>
  <c r="V80" i="3"/>
  <c r="W80" i="3"/>
  <c r="X80" i="3"/>
  <c r="Y80" i="3"/>
  <c r="Z80" i="3"/>
  <c r="AA80" i="3"/>
  <c r="AB80" i="3"/>
  <c r="AC80" i="3"/>
  <c r="AD80" i="3"/>
  <c r="AE80" i="3"/>
  <c r="AF80" i="3"/>
  <c r="AG80" i="3"/>
  <c r="AH80" i="3"/>
  <c r="AI80" i="3"/>
  <c r="AJ80" i="3"/>
  <c r="AK80" i="3"/>
  <c r="AL80" i="3"/>
  <c r="AM80" i="3"/>
  <c r="AN80" i="3"/>
  <c r="AO80" i="3"/>
  <c r="AP80" i="3"/>
  <c r="AQ80" i="3"/>
  <c r="AR80" i="3"/>
  <c r="AS80" i="3"/>
  <c r="AT80" i="3"/>
  <c r="AU80" i="3"/>
  <c r="D81" i="3"/>
  <c r="E81" i="3"/>
  <c r="F81" i="3"/>
  <c r="G81" i="3"/>
  <c r="H81" i="3"/>
  <c r="I81" i="3"/>
  <c r="J81" i="3"/>
  <c r="K81" i="3"/>
  <c r="L81" i="3"/>
  <c r="M81" i="3"/>
  <c r="N81" i="3"/>
  <c r="O81" i="3"/>
  <c r="P81" i="3"/>
  <c r="Q81" i="3"/>
  <c r="R81" i="3"/>
  <c r="S81" i="3"/>
  <c r="T81" i="3"/>
  <c r="U81" i="3"/>
  <c r="V81" i="3"/>
  <c r="W81" i="3"/>
  <c r="X81" i="3"/>
  <c r="Y81" i="3"/>
  <c r="Z81" i="3"/>
  <c r="AA81" i="3"/>
  <c r="AB81" i="3"/>
  <c r="AC81" i="3"/>
  <c r="AD81" i="3"/>
  <c r="AE81" i="3"/>
  <c r="AF81" i="3"/>
  <c r="AG81" i="3"/>
  <c r="AH81" i="3"/>
  <c r="AI81" i="3"/>
  <c r="AJ81" i="3"/>
  <c r="AK81" i="3"/>
  <c r="AL81" i="3"/>
  <c r="AM81" i="3"/>
  <c r="AN81" i="3"/>
  <c r="AO81" i="3"/>
  <c r="AP81" i="3"/>
  <c r="AQ81" i="3"/>
  <c r="AR81" i="3"/>
  <c r="AS81" i="3"/>
  <c r="AT81" i="3"/>
  <c r="AU81" i="3"/>
  <c r="D82" i="3"/>
  <c r="E82" i="3"/>
  <c r="F82" i="3"/>
  <c r="G82" i="3"/>
  <c r="H82" i="3"/>
  <c r="I82" i="3"/>
  <c r="J82" i="3"/>
  <c r="K82" i="3"/>
  <c r="L82" i="3"/>
  <c r="M82" i="3"/>
  <c r="N82" i="3"/>
  <c r="O82" i="3"/>
  <c r="P82" i="3"/>
  <c r="Q82" i="3"/>
  <c r="R82" i="3"/>
  <c r="S82" i="3"/>
  <c r="T82" i="3"/>
  <c r="U82" i="3"/>
  <c r="V82" i="3"/>
  <c r="W82" i="3"/>
  <c r="X82" i="3"/>
  <c r="Y82" i="3"/>
  <c r="Z82" i="3"/>
  <c r="AA82" i="3"/>
  <c r="AB82" i="3"/>
  <c r="AC82" i="3"/>
  <c r="AD82" i="3"/>
  <c r="AE82" i="3"/>
  <c r="AF82" i="3"/>
  <c r="AG82" i="3"/>
  <c r="AH82" i="3"/>
  <c r="AI82" i="3"/>
  <c r="AJ82" i="3"/>
  <c r="AK82" i="3"/>
  <c r="AL82" i="3"/>
  <c r="AM82" i="3"/>
  <c r="AN82" i="3"/>
  <c r="AO82" i="3"/>
  <c r="AP82" i="3"/>
  <c r="AQ82" i="3"/>
  <c r="AR82" i="3"/>
  <c r="AS82" i="3"/>
  <c r="AT82" i="3"/>
  <c r="AU82" i="3"/>
  <c r="D83" i="3"/>
  <c r="E83" i="3"/>
  <c r="F83" i="3"/>
  <c r="G83" i="3"/>
  <c r="H83" i="3"/>
  <c r="I83" i="3"/>
  <c r="J83" i="3"/>
  <c r="K83" i="3"/>
  <c r="L83" i="3"/>
  <c r="M83" i="3"/>
  <c r="N83" i="3"/>
  <c r="O83" i="3"/>
  <c r="P83" i="3"/>
  <c r="Q83" i="3"/>
  <c r="R83" i="3"/>
  <c r="S83" i="3"/>
  <c r="T83" i="3"/>
  <c r="U83" i="3"/>
  <c r="V83" i="3"/>
  <c r="W83" i="3"/>
  <c r="X83" i="3"/>
  <c r="Y83" i="3"/>
  <c r="Z83" i="3"/>
  <c r="AA83" i="3"/>
  <c r="AB83" i="3"/>
  <c r="AC83" i="3"/>
  <c r="AD83" i="3"/>
  <c r="AE83" i="3"/>
  <c r="AF83" i="3"/>
  <c r="AG83" i="3"/>
  <c r="AH83" i="3"/>
  <c r="AI83" i="3"/>
  <c r="AJ83" i="3"/>
  <c r="AK83" i="3"/>
  <c r="AL83" i="3"/>
  <c r="AM83" i="3"/>
  <c r="AN83" i="3"/>
  <c r="AO83" i="3"/>
  <c r="AP83" i="3"/>
  <c r="AQ83" i="3"/>
  <c r="AR83" i="3"/>
  <c r="AS83" i="3"/>
  <c r="AT83" i="3"/>
  <c r="AU83" i="3"/>
  <c r="D84" i="3"/>
  <c r="E84" i="3"/>
  <c r="F84" i="3"/>
  <c r="G84" i="3"/>
  <c r="H84" i="3"/>
  <c r="I84" i="3"/>
  <c r="J84" i="3"/>
  <c r="K84" i="3"/>
  <c r="L84" i="3"/>
  <c r="M84" i="3"/>
  <c r="N84" i="3"/>
  <c r="O84" i="3"/>
  <c r="P84" i="3"/>
  <c r="Q84" i="3"/>
  <c r="R84" i="3"/>
  <c r="S84" i="3"/>
  <c r="T84" i="3"/>
  <c r="U84" i="3"/>
  <c r="V84" i="3"/>
  <c r="W84" i="3"/>
  <c r="X84" i="3"/>
  <c r="Y84" i="3"/>
  <c r="Z84" i="3"/>
  <c r="AA84" i="3"/>
  <c r="AB84" i="3"/>
  <c r="AC84" i="3"/>
  <c r="AD84" i="3"/>
  <c r="AE84" i="3"/>
  <c r="AF84" i="3"/>
  <c r="AG84" i="3"/>
  <c r="AH84" i="3"/>
  <c r="AI84" i="3"/>
  <c r="AJ84" i="3"/>
  <c r="AK84" i="3"/>
  <c r="AL84" i="3"/>
  <c r="AM84" i="3"/>
  <c r="AN84" i="3"/>
  <c r="AO84" i="3"/>
  <c r="AP84" i="3"/>
  <c r="AQ84" i="3"/>
  <c r="AR84" i="3"/>
  <c r="AS84" i="3"/>
  <c r="AT84" i="3"/>
  <c r="AU84" i="3"/>
  <c r="D85" i="3"/>
  <c r="E85" i="3"/>
  <c r="F85" i="3"/>
  <c r="G85" i="3"/>
  <c r="H85" i="3"/>
  <c r="I85" i="3"/>
  <c r="J85" i="3"/>
  <c r="K85" i="3"/>
  <c r="L85" i="3"/>
  <c r="M85" i="3"/>
  <c r="N85" i="3"/>
  <c r="O85" i="3"/>
  <c r="P85" i="3"/>
  <c r="Q85" i="3"/>
  <c r="R85" i="3"/>
  <c r="S85" i="3"/>
  <c r="T85" i="3"/>
  <c r="U85" i="3"/>
  <c r="V85" i="3"/>
  <c r="W85" i="3"/>
  <c r="X85" i="3"/>
  <c r="Y85" i="3"/>
  <c r="Z85" i="3"/>
  <c r="AA85" i="3"/>
  <c r="AB85" i="3"/>
  <c r="AC85" i="3"/>
  <c r="AD85" i="3"/>
  <c r="AE85" i="3"/>
  <c r="AF85" i="3"/>
  <c r="AG85" i="3"/>
  <c r="AH85" i="3"/>
  <c r="AI85" i="3"/>
  <c r="AJ85" i="3"/>
  <c r="AK85" i="3"/>
  <c r="AL85" i="3"/>
  <c r="AM85" i="3"/>
  <c r="AN85" i="3"/>
  <c r="AO85" i="3"/>
  <c r="AP85" i="3"/>
  <c r="AQ85" i="3"/>
  <c r="AR85" i="3"/>
  <c r="AS85" i="3"/>
  <c r="AT85" i="3"/>
  <c r="AU85" i="3"/>
  <c r="D86" i="3"/>
  <c r="E86" i="3"/>
  <c r="F86" i="3"/>
  <c r="G86" i="3"/>
  <c r="H86" i="3"/>
  <c r="I86" i="3"/>
  <c r="J86" i="3"/>
  <c r="K86" i="3"/>
  <c r="L86" i="3"/>
  <c r="M86" i="3"/>
  <c r="N86" i="3"/>
  <c r="O86" i="3"/>
  <c r="P86" i="3"/>
  <c r="Q86" i="3"/>
  <c r="R86" i="3"/>
  <c r="S86" i="3"/>
  <c r="T86" i="3"/>
  <c r="U86" i="3"/>
  <c r="V86" i="3"/>
  <c r="W86" i="3"/>
  <c r="X86" i="3"/>
  <c r="Y86" i="3"/>
  <c r="Z86" i="3"/>
  <c r="AA86" i="3"/>
  <c r="AB86" i="3"/>
  <c r="AC86" i="3"/>
  <c r="AD86" i="3"/>
  <c r="AE86" i="3"/>
  <c r="AF86" i="3"/>
  <c r="AG86" i="3"/>
  <c r="AH86" i="3"/>
  <c r="AI86" i="3"/>
  <c r="AJ86" i="3"/>
  <c r="AK86" i="3"/>
  <c r="AL86" i="3"/>
  <c r="AM86" i="3"/>
  <c r="AN86" i="3"/>
  <c r="AO86" i="3"/>
  <c r="AP86" i="3"/>
  <c r="AQ86" i="3"/>
  <c r="AR86" i="3"/>
  <c r="AS86" i="3"/>
  <c r="AT86" i="3"/>
  <c r="AU86" i="3"/>
  <c r="D87" i="3"/>
  <c r="E87" i="3"/>
  <c r="F87" i="3"/>
  <c r="G87" i="3"/>
  <c r="H87" i="3"/>
  <c r="I87" i="3"/>
  <c r="J87" i="3"/>
  <c r="K87" i="3"/>
  <c r="L87" i="3"/>
  <c r="M87" i="3"/>
  <c r="N87" i="3"/>
  <c r="O87" i="3"/>
  <c r="P87" i="3"/>
  <c r="Q87" i="3"/>
  <c r="R87" i="3"/>
  <c r="S87" i="3"/>
  <c r="T87" i="3"/>
  <c r="U87" i="3"/>
  <c r="V87" i="3"/>
  <c r="W87" i="3"/>
  <c r="X87" i="3"/>
  <c r="Y87" i="3"/>
  <c r="Z87" i="3"/>
  <c r="AA87" i="3"/>
  <c r="AB87" i="3"/>
  <c r="AC87" i="3"/>
  <c r="AD87" i="3"/>
  <c r="AE87" i="3"/>
  <c r="AF87" i="3"/>
  <c r="AG87" i="3"/>
  <c r="AH87" i="3"/>
  <c r="AI87" i="3"/>
  <c r="AJ87" i="3"/>
  <c r="AK87" i="3"/>
  <c r="AL87" i="3"/>
  <c r="AM87" i="3"/>
  <c r="AN87" i="3"/>
  <c r="AO87" i="3"/>
  <c r="AP87" i="3"/>
  <c r="AQ87" i="3"/>
  <c r="AR87" i="3"/>
  <c r="AS87" i="3"/>
  <c r="AT87" i="3"/>
  <c r="AU87" i="3"/>
  <c r="D88" i="3"/>
  <c r="E88" i="3"/>
  <c r="F88" i="3"/>
  <c r="G88" i="3"/>
  <c r="H88" i="3"/>
  <c r="I88" i="3"/>
  <c r="J88" i="3"/>
  <c r="K88" i="3"/>
  <c r="L88" i="3"/>
  <c r="M88" i="3"/>
  <c r="N88" i="3"/>
  <c r="O88" i="3"/>
  <c r="P88" i="3"/>
  <c r="Q88" i="3"/>
  <c r="R88" i="3"/>
  <c r="S88" i="3"/>
  <c r="T88" i="3"/>
  <c r="U88" i="3"/>
  <c r="V88" i="3"/>
  <c r="W88" i="3"/>
  <c r="X88" i="3"/>
  <c r="Y88" i="3"/>
  <c r="Z88" i="3"/>
  <c r="AA88" i="3"/>
  <c r="AB88" i="3"/>
  <c r="AC88" i="3"/>
  <c r="AD88" i="3"/>
  <c r="AE88" i="3"/>
  <c r="AF88" i="3"/>
  <c r="AG88" i="3"/>
  <c r="AH88" i="3"/>
  <c r="AI88" i="3"/>
  <c r="AJ88" i="3"/>
  <c r="AK88" i="3"/>
  <c r="AL88" i="3"/>
  <c r="AM88" i="3"/>
  <c r="AN88" i="3"/>
  <c r="AO88" i="3"/>
  <c r="AP88" i="3"/>
  <c r="AQ88" i="3"/>
  <c r="AR88" i="3"/>
  <c r="AS88" i="3"/>
  <c r="AT88" i="3"/>
  <c r="AU88" i="3"/>
  <c r="D89" i="3"/>
  <c r="E89" i="3"/>
  <c r="F89" i="3"/>
  <c r="G89" i="3"/>
  <c r="H89" i="3"/>
  <c r="I89" i="3"/>
  <c r="J89" i="3"/>
  <c r="K89" i="3"/>
  <c r="L89" i="3"/>
  <c r="M89" i="3"/>
  <c r="N89" i="3"/>
  <c r="O89" i="3"/>
  <c r="P89" i="3"/>
  <c r="Q89" i="3"/>
  <c r="R89" i="3"/>
  <c r="S89" i="3"/>
  <c r="T89" i="3"/>
  <c r="U89" i="3"/>
  <c r="V89" i="3"/>
  <c r="W89" i="3"/>
  <c r="X89" i="3"/>
  <c r="Y89" i="3"/>
  <c r="Z89" i="3"/>
  <c r="AA89" i="3"/>
  <c r="AB89" i="3"/>
  <c r="AC89" i="3"/>
  <c r="AD89" i="3"/>
  <c r="AE89" i="3"/>
  <c r="AF89" i="3"/>
  <c r="AG89" i="3"/>
  <c r="AH89" i="3"/>
  <c r="AI89" i="3"/>
  <c r="AJ89" i="3"/>
  <c r="AK89" i="3"/>
  <c r="AL89" i="3"/>
  <c r="AM89" i="3"/>
  <c r="AN89" i="3"/>
  <c r="AO89" i="3"/>
  <c r="AP89" i="3"/>
  <c r="AQ89" i="3"/>
  <c r="AR89" i="3"/>
  <c r="AS89" i="3"/>
  <c r="AT89" i="3"/>
  <c r="AU89" i="3"/>
  <c r="D90" i="3"/>
  <c r="E90" i="3"/>
  <c r="F90" i="3"/>
  <c r="G90" i="3"/>
  <c r="H90" i="3"/>
  <c r="I90" i="3"/>
  <c r="J90" i="3"/>
  <c r="K90" i="3"/>
  <c r="L90" i="3"/>
  <c r="M90" i="3"/>
  <c r="N90" i="3"/>
  <c r="O90" i="3"/>
  <c r="P90" i="3"/>
  <c r="Q90" i="3"/>
  <c r="R90" i="3"/>
  <c r="S90" i="3"/>
  <c r="T90" i="3"/>
  <c r="U90" i="3"/>
  <c r="V90" i="3"/>
  <c r="W90" i="3"/>
  <c r="X90" i="3"/>
  <c r="Y90" i="3"/>
  <c r="Z90" i="3"/>
  <c r="AA90" i="3"/>
  <c r="AB90" i="3"/>
  <c r="AC90" i="3"/>
  <c r="AD90" i="3"/>
  <c r="AE90" i="3"/>
  <c r="AF90" i="3"/>
  <c r="AG90" i="3"/>
  <c r="AH90" i="3"/>
  <c r="AI90" i="3"/>
  <c r="AJ90" i="3"/>
  <c r="AK90" i="3"/>
  <c r="AL90" i="3"/>
  <c r="AM90" i="3"/>
  <c r="AN90" i="3"/>
  <c r="AO90" i="3"/>
  <c r="AP90" i="3"/>
  <c r="AQ90" i="3"/>
  <c r="AR90" i="3"/>
  <c r="AS90" i="3"/>
  <c r="AT90" i="3"/>
  <c r="AU90" i="3"/>
  <c r="D91" i="3"/>
  <c r="E91" i="3"/>
  <c r="F91" i="3"/>
  <c r="G91" i="3"/>
  <c r="H91" i="3"/>
  <c r="I91" i="3"/>
  <c r="J91" i="3"/>
  <c r="K91" i="3"/>
  <c r="L91" i="3"/>
  <c r="M91" i="3"/>
  <c r="N91" i="3"/>
  <c r="O91" i="3"/>
  <c r="P91" i="3"/>
  <c r="Q91" i="3"/>
  <c r="R91" i="3"/>
  <c r="S91" i="3"/>
  <c r="T91" i="3"/>
  <c r="U91" i="3"/>
  <c r="V91" i="3"/>
  <c r="W91" i="3"/>
  <c r="X91" i="3"/>
  <c r="Y91" i="3"/>
  <c r="Z91" i="3"/>
  <c r="AA91" i="3"/>
  <c r="AB91" i="3"/>
  <c r="AC91" i="3"/>
  <c r="AD91" i="3"/>
  <c r="AE91" i="3"/>
  <c r="AF91" i="3"/>
  <c r="AG91" i="3"/>
  <c r="AH91" i="3"/>
  <c r="AI91" i="3"/>
  <c r="AJ91" i="3"/>
  <c r="AK91" i="3"/>
  <c r="AL91" i="3"/>
  <c r="AM91" i="3"/>
  <c r="AN91" i="3"/>
  <c r="AO91" i="3"/>
  <c r="AP91" i="3"/>
  <c r="AQ91" i="3"/>
  <c r="AR91" i="3"/>
  <c r="AS91" i="3"/>
  <c r="AT91" i="3"/>
  <c r="AU91" i="3"/>
  <c r="D92" i="3"/>
  <c r="E92" i="3"/>
  <c r="F92" i="3"/>
  <c r="G92" i="3"/>
  <c r="H92" i="3"/>
  <c r="I92" i="3"/>
  <c r="J92" i="3"/>
  <c r="K92" i="3"/>
  <c r="L92" i="3"/>
  <c r="M92" i="3"/>
  <c r="N92" i="3"/>
  <c r="O92" i="3"/>
  <c r="P92" i="3"/>
  <c r="Q92" i="3"/>
  <c r="R92" i="3"/>
  <c r="S92" i="3"/>
  <c r="T92" i="3"/>
  <c r="U92" i="3"/>
  <c r="V92" i="3"/>
  <c r="W92" i="3"/>
  <c r="X92" i="3"/>
  <c r="Y92" i="3"/>
  <c r="Z92" i="3"/>
  <c r="AA92" i="3"/>
  <c r="AB92" i="3"/>
  <c r="AC92" i="3"/>
  <c r="AD92" i="3"/>
  <c r="AE92" i="3"/>
  <c r="AF92" i="3"/>
  <c r="AG92" i="3"/>
  <c r="AH92" i="3"/>
  <c r="AI92" i="3"/>
  <c r="AJ92" i="3"/>
  <c r="AK92" i="3"/>
  <c r="AL92" i="3"/>
  <c r="AM92" i="3"/>
  <c r="AN92" i="3"/>
  <c r="AO92" i="3"/>
  <c r="AP92" i="3"/>
  <c r="AQ92" i="3"/>
  <c r="AR92" i="3"/>
  <c r="AS92" i="3"/>
  <c r="AT92" i="3"/>
  <c r="AU92" i="3"/>
  <c r="D93" i="3"/>
  <c r="E93" i="3"/>
  <c r="F93" i="3"/>
  <c r="G93" i="3"/>
  <c r="H93" i="3"/>
  <c r="I93" i="3"/>
  <c r="J93" i="3"/>
  <c r="K93" i="3"/>
  <c r="L93" i="3"/>
  <c r="M93" i="3"/>
  <c r="N93" i="3"/>
  <c r="O93" i="3"/>
  <c r="P93" i="3"/>
  <c r="Q93" i="3"/>
  <c r="R93" i="3"/>
  <c r="S93" i="3"/>
  <c r="T93" i="3"/>
  <c r="U93" i="3"/>
  <c r="V93" i="3"/>
  <c r="W93" i="3"/>
  <c r="X93" i="3"/>
  <c r="Y93" i="3"/>
  <c r="Z93" i="3"/>
  <c r="AA93" i="3"/>
  <c r="AB93" i="3"/>
  <c r="AC93" i="3"/>
  <c r="AD93" i="3"/>
  <c r="AE93" i="3"/>
  <c r="AF93" i="3"/>
  <c r="AG93" i="3"/>
  <c r="AH93" i="3"/>
  <c r="AI93" i="3"/>
  <c r="AJ93" i="3"/>
  <c r="AK93" i="3"/>
  <c r="AL93" i="3"/>
  <c r="AM93" i="3"/>
  <c r="AN93" i="3"/>
  <c r="AO93" i="3"/>
  <c r="AP93" i="3"/>
  <c r="AQ93" i="3"/>
  <c r="AR93" i="3"/>
  <c r="AS93" i="3"/>
  <c r="AT93" i="3"/>
  <c r="AU93" i="3"/>
  <c r="D94" i="3"/>
  <c r="E94" i="3"/>
  <c r="F94" i="3"/>
  <c r="G94" i="3"/>
  <c r="H94" i="3"/>
  <c r="I94" i="3"/>
  <c r="J94" i="3"/>
  <c r="K94" i="3"/>
  <c r="L94" i="3"/>
  <c r="M94" i="3"/>
  <c r="N94" i="3"/>
  <c r="O94" i="3"/>
  <c r="P94" i="3"/>
  <c r="Q94" i="3"/>
  <c r="R94" i="3"/>
  <c r="S94" i="3"/>
  <c r="T94" i="3"/>
  <c r="U94" i="3"/>
  <c r="V94" i="3"/>
  <c r="W94" i="3"/>
  <c r="X94" i="3"/>
  <c r="Y94" i="3"/>
  <c r="Z94" i="3"/>
  <c r="AA94" i="3"/>
  <c r="AB94" i="3"/>
  <c r="AC94" i="3"/>
  <c r="AD94" i="3"/>
  <c r="AE94" i="3"/>
  <c r="AF94" i="3"/>
  <c r="AG94" i="3"/>
  <c r="AH94" i="3"/>
  <c r="AI94" i="3"/>
  <c r="AJ94" i="3"/>
  <c r="AK94" i="3"/>
  <c r="AL94" i="3"/>
  <c r="AM94" i="3"/>
  <c r="AN94" i="3"/>
  <c r="AO94" i="3"/>
  <c r="AP94" i="3"/>
  <c r="AQ94" i="3"/>
  <c r="AR94" i="3"/>
  <c r="AS94" i="3"/>
  <c r="AT94" i="3"/>
  <c r="AU94" i="3"/>
  <c r="D95" i="3"/>
  <c r="E95" i="3"/>
  <c r="F95" i="3"/>
  <c r="G95" i="3"/>
  <c r="H95" i="3"/>
  <c r="I95" i="3"/>
  <c r="J95" i="3"/>
  <c r="K95" i="3"/>
  <c r="L95" i="3"/>
  <c r="M95" i="3"/>
  <c r="N95" i="3"/>
  <c r="O95" i="3"/>
  <c r="P95" i="3"/>
  <c r="Q95" i="3"/>
  <c r="R95" i="3"/>
  <c r="S95" i="3"/>
  <c r="T95" i="3"/>
  <c r="U95" i="3"/>
  <c r="V95" i="3"/>
  <c r="W95" i="3"/>
  <c r="X95" i="3"/>
  <c r="Y95" i="3"/>
  <c r="Z95" i="3"/>
  <c r="AA95" i="3"/>
  <c r="AB95" i="3"/>
  <c r="AC95" i="3"/>
  <c r="AD95" i="3"/>
  <c r="AE95" i="3"/>
  <c r="AF95" i="3"/>
  <c r="AG95" i="3"/>
  <c r="AH95" i="3"/>
  <c r="AI95" i="3"/>
  <c r="AJ95" i="3"/>
  <c r="AK95" i="3"/>
  <c r="AL95" i="3"/>
  <c r="AM95" i="3"/>
  <c r="AN95" i="3"/>
  <c r="AO95" i="3"/>
  <c r="AP95" i="3"/>
  <c r="AQ95" i="3"/>
  <c r="AR95" i="3"/>
  <c r="AS95" i="3"/>
  <c r="AT95" i="3"/>
  <c r="AU95" i="3"/>
  <c r="D96" i="3"/>
  <c r="E96" i="3"/>
  <c r="F96" i="3"/>
  <c r="G96" i="3"/>
  <c r="H96" i="3"/>
  <c r="I96" i="3"/>
  <c r="J96" i="3"/>
  <c r="K96" i="3"/>
  <c r="L96" i="3"/>
  <c r="M96" i="3"/>
  <c r="N96" i="3"/>
  <c r="O96" i="3"/>
  <c r="P96" i="3"/>
  <c r="Q96" i="3"/>
  <c r="R96" i="3"/>
  <c r="S96" i="3"/>
  <c r="T96" i="3"/>
  <c r="U96" i="3"/>
  <c r="V96" i="3"/>
  <c r="W96" i="3"/>
  <c r="X96" i="3"/>
  <c r="Y96" i="3"/>
  <c r="Z96" i="3"/>
  <c r="AA96" i="3"/>
  <c r="AB96" i="3"/>
  <c r="AC96" i="3"/>
  <c r="AD96" i="3"/>
  <c r="AE96" i="3"/>
  <c r="AF96" i="3"/>
  <c r="AG96" i="3"/>
  <c r="AH96" i="3"/>
  <c r="AI96" i="3"/>
  <c r="AJ96" i="3"/>
  <c r="AK96" i="3"/>
  <c r="AL96" i="3"/>
  <c r="AM96" i="3"/>
  <c r="AN96" i="3"/>
  <c r="AO96" i="3"/>
  <c r="AP96" i="3"/>
  <c r="AQ96" i="3"/>
  <c r="AR96" i="3"/>
  <c r="AS96" i="3"/>
  <c r="AT96" i="3"/>
  <c r="AU96" i="3"/>
  <c r="D97" i="3"/>
  <c r="E97" i="3"/>
  <c r="F97" i="3"/>
  <c r="G97" i="3"/>
  <c r="H97" i="3"/>
  <c r="I97" i="3"/>
  <c r="J97" i="3"/>
  <c r="K97" i="3"/>
  <c r="L97" i="3"/>
  <c r="M97" i="3"/>
  <c r="N97" i="3"/>
  <c r="O97" i="3"/>
  <c r="P97" i="3"/>
  <c r="Q97" i="3"/>
  <c r="R97" i="3"/>
  <c r="S97" i="3"/>
  <c r="T97" i="3"/>
  <c r="U97" i="3"/>
  <c r="V97" i="3"/>
  <c r="W97" i="3"/>
  <c r="X97" i="3"/>
  <c r="Y97" i="3"/>
  <c r="Z97" i="3"/>
  <c r="AA97" i="3"/>
  <c r="AB97" i="3"/>
  <c r="AC97" i="3"/>
  <c r="AD97" i="3"/>
  <c r="AE97" i="3"/>
  <c r="AF97" i="3"/>
  <c r="AG97" i="3"/>
  <c r="AH97" i="3"/>
  <c r="AI97" i="3"/>
  <c r="AJ97" i="3"/>
  <c r="AK97" i="3"/>
  <c r="AL97" i="3"/>
  <c r="AM97" i="3"/>
  <c r="AN97" i="3"/>
  <c r="AO97" i="3"/>
  <c r="AP97" i="3"/>
  <c r="AQ97" i="3"/>
  <c r="AR97" i="3"/>
  <c r="AS97" i="3"/>
  <c r="AT97" i="3"/>
  <c r="AU97" i="3"/>
  <c r="D98" i="3"/>
  <c r="E98" i="3"/>
  <c r="F98" i="3"/>
  <c r="G98" i="3"/>
  <c r="H98" i="3"/>
  <c r="I98" i="3"/>
  <c r="J98" i="3"/>
  <c r="K98" i="3"/>
  <c r="L98" i="3"/>
  <c r="M98" i="3"/>
  <c r="N98" i="3"/>
  <c r="O98" i="3"/>
  <c r="P98" i="3"/>
  <c r="Q98" i="3"/>
  <c r="R98" i="3"/>
  <c r="S98" i="3"/>
  <c r="T98" i="3"/>
  <c r="U98" i="3"/>
  <c r="V98" i="3"/>
  <c r="W98" i="3"/>
  <c r="X98" i="3"/>
  <c r="Y98" i="3"/>
  <c r="Z98" i="3"/>
  <c r="AA98" i="3"/>
  <c r="AB98" i="3"/>
  <c r="AC98" i="3"/>
  <c r="AD98" i="3"/>
  <c r="AE98" i="3"/>
  <c r="AF98" i="3"/>
  <c r="AG98" i="3"/>
  <c r="AH98" i="3"/>
  <c r="AI98" i="3"/>
  <c r="AJ98" i="3"/>
  <c r="AK98" i="3"/>
  <c r="AL98" i="3"/>
  <c r="AM98" i="3"/>
  <c r="AN98" i="3"/>
  <c r="AO98" i="3"/>
  <c r="AP98" i="3"/>
  <c r="AQ98" i="3"/>
  <c r="AR98" i="3"/>
  <c r="AS98" i="3"/>
  <c r="AT98" i="3"/>
  <c r="AU98" i="3"/>
  <c r="D99" i="3"/>
  <c r="E99" i="3"/>
  <c r="F99" i="3"/>
  <c r="G99" i="3"/>
  <c r="H99" i="3"/>
  <c r="I99" i="3"/>
  <c r="J99" i="3"/>
  <c r="K99" i="3"/>
  <c r="L99" i="3"/>
  <c r="M99" i="3"/>
  <c r="N99" i="3"/>
  <c r="O99" i="3"/>
  <c r="P99" i="3"/>
  <c r="Q99" i="3"/>
  <c r="R99" i="3"/>
  <c r="S99" i="3"/>
  <c r="T99" i="3"/>
  <c r="U99" i="3"/>
  <c r="V99" i="3"/>
  <c r="W99" i="3"/>
  <c r="X99" i="3"/>
  <c r="Y99" i="3"/>
  <c r="Z99" i="3"/>
  <c r="AA99" i="3"/>
  <c r="AB99" i="3"/>
  <c r="AC99" i="3"/>
  <c r="AD99" i="3"/>
  <c r="AE99" i="3"/>
  <c r="AF99" i="3"/>
  <c r="AG99" i="3"/>
  <c r="AH99" i="3"/>
  <c r="AI99" i="3"/>
  <c r="AJ99" i="3"/>
  <c r="AK99" i="3"/>
  <c r="AL99" i="3"/>
  <c r="AM99" i="3"/>
  <c r="AN99" i="3"/>
  <c r="AO99" i="3"/>
  <c r="AP99" i="3"/>
  <c r="AQ99" i="3"/>
  <c r="AR99" i="3"/>
  <c r="AS99" i="3"/>
  <c r="AT99" i="3"/>
  <c r="AU99" i="3"/>
  <c r="D100" i="3"/>
  <c r="E100" i="3"/>
  <c r="F100" i="3"/>
  <c r="G100" i="3"/>
  <c r="H100" i="3"/>
  <c r="I100" i="3"/>
  <c r="J100" i="3"/>
  <c r="K100" i="3"/>
  <c r="L100" i="3"/>
  <c r="M100" i="3"/>
  <c r="N100" i="3"/>
  <c r="O100" i="3"/>
  <c r="P100" i="3"/>
  <c r="Q100" i="3"/>
  <c r="R100" i="3"/>
  <c r="S100" i="3"/>
  <c r="T100" i="3"/>
  <c r="U100" i="3"/>
  <c r="V100" i="3"/>
  <c r="W100" i="3"/>
  <c r="X100" i="3"/>
  <c r="Y100" i="3"/>
  <c r="Z100" i="3"/>
  <c r="AA100" i="3"/>
  <c r="AB100" i="3"/>
  <c r="AC100" i="3"/>
  <c r="AD100" i="3"/>
  <c r="AE100" i="3"/>
  <c r="AF100" i="3"/>
  <c r="AG100" i="3"/>
  <c r="AH100" i="3"/>
  <c r="AI100" i="3"/>
  <c r="AJ100" i="3"/>
  <c r="AK100" i="3"/>
  <c r="AL100" i="3"/>
  <c r="AM100" i="3"/>
  <c r="AN100" i="3"/>
  <c r="AO100" i="3"/>
  <c r="AP100" i="3"/>
  <c r="AQ100" i="3"/>
  <c r="AR100" i="3"/>
  <c r="AS100" i="3"/>
  <c r="AT100" i="3"/>
  <c r="AU100" i="3"/>
  <c r="D101" i="3"/>
  <c r="E101" i="3"/>
  <c r="F101" i="3"/>
  <c r="G101" i="3"/>
  <c r="H101" i="3"/>
  <c r="I101" i="3"/>
  <c r="J101" i="3"/>
  <c r="K101" i="3"/>
  <c r="L101" i="3"/>
  <c r="M101" i="3"/>
  <c r="N101" i="3"/>
  <c r="O101" i="3"/>
  <c r="P101" i="3"/>
  <c r="Q101" i="3"/>
  <c r="R101" i="3"/>
  <c r="S101" i="3"/>
  <c r="T101" i="3"/>
  <c r="U101" i="3"/>
  <c r="V101" i="3"/>
  <c r="W101" i="3"/>
  <c r="X101" i="3"/>
  <c r="Y101" i="3"/>
  <c r="Z101" i="3"/>
  <c r="AA101" i="3"/>
  <c r="AB101" i="3"/>
  <c r="AC101" i="3"/>
  <c r="AD101" i="3"/>
  <c r="AE101" i="3"/>
  <c r="AF101" i="3"/>
  <c r="AG101" i="3"/>
  <c r="AH101" i="3"/>
  <c r="AI101" i="3"/>
  <c r="AJ101" i="3"/>
  <c r="AK101" i="3"/>
  <c r="AL101" i="3"/>
  <c r="AM101" i="3"/>
  <c r="AN101" i="3"/>
  <c r="AO101" i="3"/>
  <c r="AP101" i="3"/>
  <c r="AQ101" i="3"/>
  <c r="AR101" i="3"/>
  <c r="AS101" i="3"/>
  <c r="AT101" i="3"/>
  <c r="AU101" i="3"/>
  <c r="D102" i="3"/>
  <c r="E102" i="3"/>
  <c r="F102" i="3"/>
  <c r="G102" i="3"/>
  <c r="H102" i="3"/>
  <c r="I102" i="3"/>
  <c r="J102" i="3"/>
  <c r="K102" i="3"/>
  <c r="L102" i="3"/>
  <c r="M102" i="3"/>
  <c r="N102" i="3"/>
  <c r="O102" i="3"/>
  <c r="P102" i="3"/>
  <c r="Q102" i="3"/>
  <c r="R102" i="3"/>
  <c r="S102" i="3"/>
  <c r="T102" i="3"/>
  <c r="U102" i="3"/>
  <c r="V102" i="3"/>
  <c r="W102" i="3"/>
  <c r="X102" i="3"/>
  <c r="Y102" i="3"/>
  <c r="Z102" i="3"/>
  <c r="AA102" i="3"/>
  <c r="AB102" i="3"/>
  <c r="AC102" i="3"/>
  <c r="AD102" i="3"/>
  <c r="AE102" i="3"/>
  <c r="AF102" i="3"/>
  <c r="AG102" i="3"/>
  <c r="AH102" i="3"/>
  <c r="AI102" i="3"/>
  <c r="AJ102" i="3"/>
  <c r="AK102" i="3"/>
  <c r="AL102" i="3"/>
  <c r="AM102" i="3"/>
  <c r="AN102" i="3"/>
  <c r="AO102" i="3"/>
  <c r="AP102" i="3"/>
  <c r="AQ102" i="3"/>
  <c r="AR102" i="3"/>
  <c r="AS102" i="3"/>
  <c r="AT102" i="3"/>
  <c r="AU102" i="3"/>
  <c r="D103" i="3"/>
  <c r="E103" i="3"/>
  <c r="F103" i="3"/>
  <c r="G103" i="3"/>
  <c r="H103" i="3"/>
  <c r="I103" i="3"/>
  <c r="J103" i="3"/>
  <c r="K103" i="3"/>
  <c r="L103" i="3"/>
  <c r="M103" i="3"/>
  <c r="N103" i="3"/>
  <c r="O103" i="3"/>
  <c r="P103" i="3"/>
  <c r="Q103" i="3"/>
  <c r="R103" i="3"/>
  <c r="S103" i="3"/>
  <c r="T103" i="3"/>
  <c r="U103" i="3"/>
  <c r="V103" i="3"/>
  <c r="W103" i="3"/>
  <c r="X103" i="3"/>
  <c r="Y103" i="3"/>
  <c r="Z103" i="3"/>
  <c r="AA103" i="3"/>
  <c r="AB103" i="3"/>
  <c r="AC103" i="3"/>
  <c r="AD103" i="3"/>
  <c r="AE103" i="3"/>
  <c r="AF103" i="3"/>
  <c r="AG103" i="3"/>
  <c r="AH103" i="3"/>
  <c r="AI103" i="3"/>
  <c r="AJ103" i="3"/>
  <c r="AK103" i="3"/>
  <c r="AL103" i="3"/>
  <c r="AM103" i="3"/>
  <c r="AN103" i="3"/>
  <c r="AO103" i="3"/>
  <c r="AP103" i="3"/>
  <c r="AQ103" i="3"/>
  <c r="AR103" i="3"/>
  <c r="AS103" i="3"/>
  <c r="AT103" i="3"/>
  <c r="AU103" i="3"/>
  <c r="D104" i="3"/>
  <c r="E104" i="3"/>
  <c r="F104" i="3"/>
  <c r="G104" i="3"/>
  <c r="H104" i="3"/>
  <c r="I104" i="3"/>
  <c r="J104" i="3"/>
  <c r="K104" i="3"/>
  <c r="L104" i="3"/>
  <c r="M104" i="3"/>
  <c r="N104" i="3"/>
  <c r="O104" i="3"/>
  <c r="P104" i="3"/>
  <c r="Q104" i="3"/>
  <c r="R104" i="3"/>
  <c r="S104" i="3"/>
  <c r="T104" i="3"/>
  <c r="U104" i="3"/>
  <c r="V104" i="3"/>
  <c r="W104" i="3"/>
  <c r="X104" i="3"/>
  <c r="Y104" i="3"/>
  <c r="Z104" i="3"/>
  <c r="AA104" i="3"/>
  <c r="AB104" i="3"/>
  <c r="AC104" i="3"/>
  <c r="AD104" i="3"/>
  <c r="AE104" i="3"/>
  <c r="AF104" i="3"/>
  <c r="AG104" i="3"/>
  <c r="AH104" i="3"/>
  <c r="AI104" i="3"/>
  <c r="AJ104" i="3"/>
  <c r="AK104" i="3"/>
  <c r="AL104" i="3"/>
  <c r="AM104" i="3"/>
  <c r="AN104" i="3"/>
  <c r="AO104" i="3"/>
  <c r="AP104" i="3"/>
  <c r="AQ104" i="3"/>
  <c r="AR104" i="3"/>
  <c r="AS104" i="3"/>
  <c r="AT104" i="3"/>
  <c r="AU104" i="3"/>
  <c r="D105" i="3"/>
  <c r="E105" i="3"/>
  <c r="F105" i="3"/>
  <c r="G105" i="3"/>
  <c r="H105" i="3"/>
  <c r="I105" i="3"/>
  <c r="J105" i="3"/>
  <c r="K105" i="3"/>
  <c r="L105" i="3"/>
  <c r="M105" i="3"/>
  <c r="N105" i="3"/>
  <c r="O105" i="3"/>
  <c r="P105" i="3"/>
  <c r="Q105" i="3"/>
  <c r="R105" i="3"/>
  <c r="S105" i="3"/>
  <c r="T105" i="3"/>
  <c r="U105" i="3"/>
  <c r="V105" i="3"/>
  <c r="W105" i="3"/>
  <c r="X105" i="3"/>
  <c r="Y105" i="3"/>
  <c r="Z105" i="3"/>
  <c r="AA105" i="3"/>
  <c r="AB105" i="3"/>
  <c r="AC105" i="3"/>
  <c r="AD105" i="3"/>
  <c r="AE105" i="3"/>
  <c r="AF105" i="3"/>
  <c r="AG105" i="3"/>
  <c r="AH105" i="3"/>
  <c r="AI105" i="3"/>
  <c r="AJ105" i="3"/>
  <c r="AK105" i="3"/>
  <c r="AL105" i="3"/>
  <c r="AM105" i="3"/>
  <c r="AN105" i="3"/>
  <c r="AO105" i="3"/>
  <c r="AP105" i="3"/>
  <c r="AQ105" i="3"/>
  <c r="AR105" i="3"/>
  <c r="AS105" i="3"/>
  <c r="AT105" i="3"/>
  <c r="AU105" i="3"/>
  <c r="D106" i="3"/>
  <c r="E106" i="3"/>
  <c r="F106" i="3"/>
  <c r="G106" i="3"/>
  <c r="H106" i="3"/>
  <c r="I106" i="3"/>
  <c r="J106" i="3"/>
  <c r="K106" i="3"/>
  <c r="L106" i="3"/>
  <c r="M106" i="3"/>
  <c r="N106" i="3"/>
  <c r="O106" i="3"/>
  <c r="P106" i="3"/>
  <c r="Q106" i="3"/>
  <c r="R106" i="3"/>
  <c r="S106" i="3"/>
  <c r="T106" i="3"/>
  <c r="U106" i="3"/>
  <c r="V106" i="3"/>
  <c r="W106" i="3"/>
  <c r="X106" i="3"/>
  <c r="Y106" i="3"/>
  <c r="Z106" i="3"/>
  <c r="AA106" i="3"/>
  <c r="AB106" i="3"/>
  <c r="AC106" i="3"/>
  <c r="AD106" i="3"/>
  <c r="AE106" i="3"/>
  <c r="AF106" i="3"/>
  <c r="AG106" i="3"/>
  <c r="AH106" i="3"/>
  <c r="AI106" i="3"/>
  <c r="AJ106" i="3"/>
  <c r="AK106" i="3"/>
  <c r="AL106" i="3"/>
  <c r="AM106" i="3"/>
  <c r="AN106" i="3"/>
  <c r="AO106" i="3"/>
  <c r="AP106" i="3"/>
  <c r="AQ106" i="3"/>
  <c r="AR106" i="3"/>
  <c r="AS106" i="3"/>
  <c r="AT106" i="3"/>
  <c r="AU106" i="3"/>
  <c r="D107" i="3"/>
  <c r="E107" i="3"/>
  <c r="F107" i="3"/>
  <c r="G107" i="3"/>
  <c r="H107" i="3"/>
  <c r="I107" i="3"/>
  <c r="J107" i="3"/>
  <c r="K107" i="3"/>
  <c r="L107" i="3"/>
  <c r="M107" i="3"/>
  <c r="N107" i="3"/>
  <c r="O107" i="3"/>
  <c r="P107" i="3"/>
  <c r="Q107" i="3"/>
  <c r="R107" i="3"/>
  <c r="S107" i="3"/>
  <c r="T107" i="3"/>
  <c r="U107" i="3"/>
  <c r="V107" i="3"/>
  <c r="W107" i="3"/>
  <c r="X107" i="3"/>
  <c r="Y107" i="3"/>
  <c r="Z107" i="3"/>
  <c r="AA107" i="3"/>
  <c r="AB107" i="3"/>
  <c r="AC107" i="3"/>
  <c r="AD107" i="3"/>
  <c r="AE107" i="3"/>
  <c r="AF107" i="3"/>
  <c r="AG107" i="3"/>
  <c r="AH107" i="3"/>
  <c r="AI107" i="3"/>
  <c r="AJ107" i="3"/>
  <c r="AK107" i="3"/>
  <c r="AL107" i="3"/>
  <c r="AM107" i="3"/>
  <c r="AN107" i="3"/>
  <c r="AO107" i="3"/>
  <c r="AP107" i="3"/>
  <c r="AQ107" i="3"/>
  <c r="AR107" i="3"/>
  <c r="AS107" i="3"/>
  <c r="AT107" i="3"/>
  <c r="AU107" i="3"/>
  <c r="D108" i="3"/>
  <c r="E108" i="3"/>
  <c r="F108" i="3"/>
  <c r="G108" i="3"/>
  <c r="H108" i="3"/>
  <c r="I108" i="3"/>
  <c r="J108" i="3"/>
  <c r="K108" i="3"/>
  <c r="L108" i="3"/>
  <c r="M108" i="3"/>
  <c r="N108" i="3"/>
  <c r="O108" i="3"/>
  <c r="P108" i="3"/>
  <c r="Q108" i="3"/>
  <c r="R108" i="3"/>
  <c r="S108" i="3"/>
  <c r="T108" i="3"/>
  <c r="U108" i="3"/>
  <c r="V108" i="3"/>
  <c r="W108" i="3"/>
  <c r="X108" i="3"/>
  <c r="Y108" i="3"/>
  <c r="Z108" i="3"/>
  <c r="AA108" i="3"/>
  <c r="AB108" i="3"/>
  <c r="AC108" i="3"/>
  <c r="AD108" i="3"/>
  <c r="AE108" i="3"/>
  <c r="AF108" i="3"/>
  <c r="AG108" i="3"/>
  <c r="AH108" i="3"/>
  <c r="AI108" i="3"/>
  <c r="AJ108" i="3"/>
  <c r="AK108" i="3"/>
  <c r="AL108" i="3"/>
  <c r="AM108" i="3"/>
  <c r="AN108" i="3"/>
  <c r="AO108" i="3"/>
  <c r="AP108" i="3"/>
  <c r="AQ108" i="3"/>
  <c r="AR108" i="3"/>
  <c r="AS108" i="3"/>
  <c r="AT108" i="3"/>
  <c r="AU108" i="3"/>
  <c r="D109" i="3"/>
  <c r="E109" i="3"/>
  <c r="F109" i="3"/>
  <c r="G109" i="3"/>
  <c r="H109" i="3"/>
  <c r="I109" i="3"/>
  <c r="J109" i="3"/>
  <c r="K109" i="3"/>
  <c r="L109" i="3"/>
  <c r="M109" i="3"/>
  <c r="N109" i="3"/>
  <c r="O109" i="3"/>
  <c r="P109" i="3"/>
  <c r="Q109" i="3"/>
  <c r="R109" i="3"/>
  <c r="S109" i="3"/>
  <c r="T109" i="3"/>
  <c r="U109" i="3"/>
  <c r="V109" i="3"/>
  <c r="W109" i="3"/>
  <c r="X109" i="3"/>
  <c r="Y109" i="3"/>
  <c r="Z109" i="3"/>
  <c r="AA109" i="3"/>
  <c r="AB109" i="3"/>
  <c r="AC109" i="3"/>
  <c r="AD109" i="3"/>
  <c r="AE109" i="3"/>
  <c r="AF109" i="3"/>
  <c r="AG109" i="3"/>
  <c r="AH109" i="3"/>
  <c r="AI109" i="3"/>
  <c r="AJ109" i="3"/>
  <c r="AK109" i="3"/>
  <c r="AL109" i="3"/>
  <c r="AM109" i="3"/>
  <c r="AN109" i="3"/>
  <c r="AO109" i="3"/>
  <c r="AP109" i="3"/>
  <c r="AQ109" i="3"/>
  <c r="AR109" i="3"/>
  <c r="AS109" i="3"/>
  <c r="AT109" i="3"/>
  <c r="AU109" i="3"/>
  <c r="D110" i="3"/>
  <c r="E110" i="3"/>
  <c r="F110" i="3"/>
  <c r="G110" i="3"/>
  <c r="H110" i="3"/>
  <c r="I110" i="3"/>
  <c r="J110" i="3"/>
  <c r="K110" i="3"/>
  <c r="L110" i="3"/>
  <c r="M110" i="3"/>
  <c r="N110" i="3"/>
  <c r="O110" i="3"/>
  <c r="P110" i="3"/>
  <c r="Q110" i="3"/>
  <c r="R110" i="3"/>
  <c r="S110" i="3"/>
  <c r="T110" i="3"/>
  <c r="U110" i="3"/>
  <c r="V110" i="3"/>
  <c r="W110" i="3"/>
  <c r="X110" i="3"/>
  <c r="Y110" i="3"/>
  <c r="Z110" i="3"/>
  <c r="AA110" i="3"/>
  <c r="AB110" i="3"/>
  <c r="AC110" i="3"/>
  <c r="AD110" i="3"/>
  <c r="AE110" i="3"/>
  <c r="AF110" i="3"/>
  <c r="AG110" i="3"/>
  <c r="AH110" i="3"/>
  <c r="AI110" i="3"/>
  <c r="AJ110" i="3"/>
  <c r="AK110" i="3"/>
  <c r="AL110" i="3"/>
  <c r="AM110" i="3"/>
  <c r="AN110" i="3"/>
  <c r="AO110" i="3"/>
  <c r="AP110" i="3"/>
  <c r="AQ110" i="3"/>
  <c r="AR110" i="3"/>
  <c r="AS110" i="3"/>
  <c r="AT110" i="3"/>
  <c r="AU110" i="3"/>
  <c r="D111" i="3"/>
  <c r="E111" i="3"/>
  <c r="F111" i="3"/>
  <c r="G111" i="3"/>
  <c r="H111" i="3"/>
  <c r="I111" i="3"/>
  <c r="J111" i="3"/>
  <c r="K111" i="3"/>
  <c r="L111" i="3"/>
  <c r="M111" i="3"/>
  <c r="N111" i="3"/>
  <c r="O111" i="3"/>
  <c r="P111" i="3"/>
  <c r="Q111" i="3"/>
  <c r="R111" i="3"/>
  <c r="S111" i="3"/>
  <c r="T111" i="3"/>
  <c r="U111" i="3"/>
  <c r="V111" i="3"/>
  <c r="W111" i="3"/>
  <c r="X111" i="3"/>
  <c r="Y111" i="3"/>
  <c r="Z111" i="3"/>
  <c r="AA111" i="3"/>
  <c r="AB111" i="3"/>
  <c r="AC111" i="3"/>
  <c r="AD111" i="3"/>
  <c r="AE111" i="3"/>
  <c r="AF111" i="3"/>
  <c r="AG111" i="3"/>
  <c r="AH111" i="3"/>
  <c r="AI111" i="3"/>
  <c r="AJ111" i="3"/>
  <c r="AK111" i="3"/>
  <c r="AL111" i="3"/>
  <c r="AM111" i="3"/>
  <c r="AN111" i="3"/>
  <c r="AO111" i="3"/>
  <c r="AP111" i="3"/>
  <c r="AQ111" i="3"/>
  <c r="AR111" i="3"/>
  <c r="AS111" i="3"/>
  <c r="AT111" i="3"/>
  <c r="AU111" i="3"/>
  <c r="D112" i="3"/>
  <c r="E112" i="3"/>
  <c r="F112" i="3"/>
  <c r="G112" i="3"/>
  <c r="H112" i="3"/>
  <c r="I112" i="3"/>
  <c r="J112" i="3"/>
  <c r="K112" i="3"/>
  <c r="L112" i="3"/>
  <c r="M112" i="3"/>
  <c r="N112" i="3"/>
  <c r="O112" i="3"/>
  <c r="P112" i="3"/>
  <c r="Q112" i="3"/>
  <c r="R112" i="3"/>
  <c r="S112" i="3"/>
  <c r="T112" i="3"/>
  <c r="U112" i="3"/>
  <c r="V112" i="3"/>
  <c r="W112" i="3"/>
  <c r="X112" i="3"/>
  <c r="Y112" i="3"/>
  <c r="Z112" i="3"/>
  <c r="AA112" i="3"/>
  <c r="AB112" i="3"/>
  <c r="AC112" i="3"/>
  <c r="AD112" i="3"/>
  <c r="AE112" i="3"/>
  <c r="AF112" i="3"/>
  <c r="AG112" i="3"/>
  <c r="AH112" i="3"/>
  <c r="AI112" i="3"/>
  <c r="AJ112" i="3"/>
  <c r="AK112" i="3"/>
  <c r="AL112" i="3"/>
  <c r="AM112" i="3"/>
  <c r="AN112" i="3"/>
  <c r="AO112" i="3"/>
  <c r="AP112" i="3"/>
  <c r="AQ112" i="3"/>
  <c r="AR112" i="3"/>
  <c r="AS112" i="3"/>
  <c r="AT112" i="3"/>
  <c r="AU112" i="3"/>
  <c r="D113" i="3"/>
  <c r="E113" i="3"/>
  <c r="F113" i="3"/>
  <c r="G113" i="3"/>
  <c r="H113" i="3"/>
  <c r="I113" i="3"/>
  <c r="J113" i="3"/>
  <c r="K113" i="3"/>
  <c r="L113" i="3"/>
  <c r="M113" i="3"/>
  <c r="N113" i="3"/>
  <c r="O113" i="3"/>
  <c r="P113" i="3"/>
  <c r="Q113" i="3"/>
  <c r="R113" i="3"/>
  <c r="S113" i="3"/>
  <c r="T113" i="3"/>
  <c r="U113" i="3"/>
  <c r="V113" i="3"/>
  <c r="W113" i="3"/>
  <c r="X113" i="3"/>
  <c r="Y113" i="3"/>
  <c r="Z113" i="3"/>
  <c r="AA113" i="3"/>
  <c r="AB113" i="3"/>
  <c r="AC113" i="3"/>
  <c r="AD113" i="3"/>
  <c r="AE113" i="3"/>
  <c r="AF113" i="3"/>
  <c r="AG113" i="3"/>
  <c r="AH113" i="3"/>
  <c r="AI113" i="3"/>
  <c r="AJ113" i="3"/>
  <c r="AK113" i="3"/>
  <c r="AL113" i="3"/>
  <c r="AM113" i="3"/>
  <c r="AN113" i="3"/>
  <c r="AO113" i="3"/>
  <c r="AP113" i="3"/>
  <c r="AQ113" i="3"/>
  <c r="AR113" i="3"/>
  <c r="AS113" i="3"/>
  <c r="AT113" i="3"/>
  <c r="AU113" i="3"/>
  <c r="D114" i="3"/>
  <c r="E114" i="3"/>
  <c r="F114" i="3"/>
  <c r="G114" i="3"/>
  <c r="H114" i="3"/>
  <c r="I114" i="3"/>
  <c r="J114" i="3"/>
  <c r="K114" i="3"/>
  <c r="L114" i="3"/>
  <c r="M114" i="3"/>
  <c r="N114" i="3"/>
  <c r="O114" i="3"/>
  <c r="P114" i="3"/>
  <c r="Q114" i="3"/>
  <c r="R114" i="3"/>
  <c r="S114" i="3"/>
  <c r="T114" i="3"/>
  <c r="U114" i="3"/>
  <c r="V114" i="3"/>
  <c r="W114" i="3"/>
  <c r="X114" i="3"/>
  <c r="Y114" i="3"/>
  <c r="Z114" i="3"/>
  <c r="AA114" i="3"/>
  <c r="AB114" i="3"/>
  <c r="AC114" i="3"/>
  <c r="AD114" i="3"/>
  <c r="AE114" i="3"/>
  <c r="AF114" i="3"/>
  <c r="AG114" i="3"/>
  <c r="AH114" i="3"/>
  <c r="AI114" i="3"/>
  <c r="AJ114" i="3"/>
  <c r="AK114" i="3"/>
  <c r="AL114" i="3"/>
  <c r="AM114" i="3"/>
  <c r="AN114" i="3"/>
  <c r="AO114" i="3"/>
  <c r="AP114" i="3"/>
  <c r="AQ114" i="3"/>
  <c r="AR114" i="3"/>
  <c r="AS114" i="3"/>
  <c r="AT114" i="3"/>
  <c r="AU114" i="3"/>
  <c r="D115" i="3"/>
  <c r="E115" i="3"/>
  <c r="F115" i="3"/>
  <c r="G115" i="3"/>
  <c r="H115" i="3"/>
  <c r="I115" i="3"/>
  <c r="J115" i="3"/>
  <c r="K115" i="3"/>
  <c r="L115" i="3"/>
  <c r="M115" i="3"/>
  <c r="N115" i="3"/>
  <c r="O115" i="3"/>
  <c r="P115" i="3"/>
  <c r="Q115" i="3"/>
  <c r="R115" i="3"/>
  <c r="S115" i="3"/>
  <c r="T115" i="3"/>
  <c r="U115" i="3"/>
  <c r="V115" i="3"/>
  <c r="W115" i="3"/>
  <c r="X115" i="3"/>
  <c r="Y115" i="3"/>
  <c r="Z115" i="3"/>
  <c r="AA115" i="3"/>
  <c r="AB115" i="3"/>
  <c r="AC115" i="3"/>
  <c r="AD115" i="3"/>
  <c r="AE115" i="3"/>
  <c r="AF115" i="3"/>
  <c r="AG115" i="3"/>
  <c r="AH115" i="3"/>
  <c r="AI115" i="3"/>
  <c r="AJ115" i="3"/>
  <c r="AK115" i="3"/>
  <c r="AL115" i="3"/>
  <c r="AM115" i="3"/>
  <c r="AN115" i="3"/>
  <c r="AO115" i="3"/>
  <c r="AP115" i="3"/>
  <c r="AQ115" i="3"/>
  <c r="AR115" i="3"/>
  <c r="AS115" i="3"/>
  <c r="AT115" i="3"/>
  <c r="AU115" i="3"/>
  <c r="D116" i="3"/>
  <c r="E116" i="3"/>
  <c r="F116" i="3"/>
  <c r="G116" i="3"/>
  <c r="H116" i="3"/>
  <c r="I116" i="3"/>
  <c r="J116" i="3"/>
  <c r="K116" i="3"/>
  <c r="L116" i="3"/>
  <c r="M116" i="3"/>
  <c r="N116" i="3"/>
  <c r="O116" i="3"/>
  <c r="P116" i="3"/>
  <c r="Q116" i="3"/>
  <c r="R116" i="3"/>
  <c r="S116" i="3"/>
  <c r="T116" i="3"/>
  <c r="U116" i="3"/>
  <c r="V116" i="3"/>
  <c r="W116" i="3"/>
  <c r="X116" i="3"/>
  <c r="Y116" i="3"/>
  <c r="Z116" i="3"/>
  <c r="AA116" i="3"/>
  <c r="AB116" i="3"/>
  <c r="AC116" i="3"/>
  <c r="AD116" i="3"/>
  <c r="AE116" i="3"/>
  <c r="AF116" i="3"/>
  <c r="AG116" i="3"/>
  <c r="AH116" i="3"/>
  <c r="AI116" i="3"/>
  <c r="AJ116" i="3"/>
  <c r="AK116" i="3"/>
  <c r="AL116" i="3"/>
  <c r="AM116" i="3"/>
  <c r="AN116" i="3"/>
  <c r="AO116" i="3"/>
  <c r="AP116" i="3"/>
  <c r="AQ116" i="3"/>
  <c r="AR116" i="3"/>
  <c r="AS116" i="3"/>
  <c r="AT116" i="3"/>
  <c r="AU116" i="3"/>
  <c r="D117" i="3"/>
  <c r="E117" i="3"/>
  <c r="F117" i="3"/>
  <c r="G117" i="3"/>
  <c r="H117" i="3"/>
  <c r="I117" i="3"/>
  <c r="J117" i="3"/>
  <c r="K117" i="3"/>
  <c r="L117" i="3"/>
  <c r="M117" i="3"/>
  <c r="N117" i="3"/>
  <c r="O117" i="3"/>
  <c r="P117" i="3"/>
  <c r="Q117" i="3"/>
  <c r="R117" i="3"/>
  <c r="S117" i="3"/>
  <c r="T117" i="3"/>
  <c r="U117" i="3"/>
  <c r="V117" i="3"/>
  <c r="W117" i="3"/>
  <c r="X117" i="3"/>
  <c r="Y117" i="3"/>
  <c r="Z117" i="3"/>
  <c r="AA117" i="3"/>
  <c r="AB117" i="3"/>
  <c r="AC117" i="3"/>
  <c r="AD117" i="3"/>
  <c r="AE117" i="3"/>
  <c r="AF117" i="3"/>
  <c r="AG117" i="3"/>
  <c r="AH117" i="3"/>
  <c r="AI117" i="3"/>
  <c r="AJ117" i="3"/>
  <c r="AK117" i="3"/>
  <c r="AL117" i="3"/>
  <c r="AM117" i="3"/>
  <c r="AN117" i="3"/>
  <c r="AO117" i="3"/>
  <c r="AP117" i="3"/>
  <c r="AQ117" i="3"/>
  <c r="AR117" i="3"/>
  <c r="AS117" i="3"/>
  <c r="AT117" i="3"/>
  <c r="AU117" i="3"/>
  <c r="D118" i="3"/>
  <c r="E118" i="3"/>
  <c r="F118" i="3"/>
  <c r="G118" i="3"/>
  <c r="H118" i="3"/>
  <c r="I118" i="3"/>
  <c r="J118" i="3"/>
  <c r="K118" i="3"/>
  <c r="L118" i="3"/>
  <c r="M118" i="3"/>
  <c r="N118" i="3"/>
  <c r="O118" i="3"/>
  <c r="P118" i="3"/>
  <c r="Q118" i="3"/>
  <c r="R118" i="3"/>
  <c r="S118" i="3"/>
  <c r="T118" i="3"/>
  <c r="U118" i="3"/>
  <c r="V118" i="3"/>
  <c r="W118" i="3"/>
  <c r="X118" i="3"/>
  <c r="Y118" i="3"/>
  <c r="Z118" i="3"/>
  <c r="AA118" i="3"/>
  <c r="AB118" i="3"/>
  <c r="AC118" i="3"/>
  <c r="AD118" i="3"/>
  <c r="AE118" i="3"/>
  <c r="AF118" i="3"/>
  <c r="AG118" i="3"/>
  <c r="AH118" i="3"/>
  <c r="AI118" i="3"/>
  <c r="AJ118" i="3"/>
  <c r="AK118" i="3"/>
  <c r="AL118" i="3"/>
  <c r="AM118" i="3"/>
  <c r="AN118" i="3"/>
  <c r="AO118" i="3"/>
  <c r="AP118" i="3"/>
  <c r="AQ118" i="3"/>
  <c r="AR118" i="3"/>
  <c r="AS118" i="3"/>
  <c r="AT118" i="3"/>
  <c r="AU118" i="3"/>
  <c r="D119" i="3"/>
  <c r="E119" i="3"/>
  <c r="F119" i="3"/>
  <c r="G119" i="3"/>
  <c r="H119" i="3"/>
  <c r="I119" i="3"/>
  <c r="J119" i="3"/>
  <c r="K119" i="3"/>
  <c r="L119" i="3"/>
  <c r="M119" i="3"/>
  <c r="N119" i="3"/>
  <c r="O119" i="3"/>
  <c r="P119" i="3"/>
  <c r="Q119" i="3"/>
  <c r="R119" i="3"/>
  <c r="S119" i="3"/>
  <c r="T119" i="3"/>
  <c r="U119" i="3"/>
  <c r="V119" i="3"/>
  <c r="W119" i="3"/>
  <c r="X119" i="3"/>
  <c r="Y119" i="3"/>
  <c r="Z119" i="3"/>
  <c r="AA119" i="3"/>
  <c r="AB119" i="3"/>
  <c r="AC119" i="3"/>
  <c r="AD119" i="3"/>
  <c r="AE119" i="3"/>
  <c r="AF119" i="3"/>
  <c r="AG119" i="3"/>
  <c r="AH119" i="3"/>
  <c r="AI119" i="3"/>
  <c r="AJ119" i="3"/>
  <c r="AK119" i="3"/>
  <c r="AL119" i="3"/>
  <c r="AM119" i="3"/>
  <c r="AN119" i="3"/>
  <c r="AO119" i="3"/>
  <c r="AP119" i="3"/>
  <c r="AQ119" i="3"/>
  <c r="AR119" i="3"/>
  <c r="AS119" i="3"/>
  <c r="AT119" i="3"/>
  <c r="AU119" i="3"/>
  <c r="D120" i="3"/>
  <c r="E120" i="3"/>
  <c r="F120" i="3"/>
  <c r="G120" i="3"/>
  <c r="H120" i="3"/>
  <c r="I120" i="3"/>
  <c r="J120" i="3"/>
  <c r="K120" i="3"/>
  <c r="L120" i="3"/>
  <c r="M120" i="3"/>
  <c r="N120" i="3"/>
  <c r="O120" i="3"/>
  <c r="P120" i="3"/>
  <c r="Q120" i="3"/>
  <c r="R120" i="3"/>
  <c r="S120" i="3"/>
  <c r="T120" i="3"/>
  <c r="U120" i="3"/>
  <c r="V120" i="3"/>
  <c r="W120" i="3"/>
  <c r="X120" i="3"/>
  <c r="Y120" i="3"/>
  <c r="Z120" i="3"/>
  <c r="AA120" i="3"/>
  <c r="AB120" i="3"/>
  <c r="AC120" i="3"/>
  <c r="AD120" i="3"/>
  <c r="AE120" i="3"/>
  <c r="AF120" i="3"/>
  <c r="AG120" i="3"/>
  <c r="AH120" i="3"/>
  <c r="AI120" i="3"/>
  <c r="AJ120" i="3"/>
  <c r="AK120" i="3"/>
  <c r="AL120" i="3"/>
  <c r="AM120" i="3"/>
  <c r="AN120" i="3"/>
  <c r="AO120" i="3"/>
  <c r="AP120" i="3"/>
  <c r="AQ120" i="3"/>
  <c r="AR120" i="3"/>
  <c r="AS120" i="3"/>
  <c r="AT120" i="3"/>
  <c r="AU120" i="3"/>
  <c r="D121" i="3"/>
  <c r="E121" i="3"/>
  <c r="F121" i="3"/>
  <c r="G121" i="3"/>
  <c r="H121" i="3"/>
  <c r="I121" i="3"/>
  <c r="J121" i="3"/>
  <c r="K121" i="3"/>
  <c r="L121" i="3"/>
  <c r="M121" i="3"/>
  <c r="N121" i="3"/>
  <c r="O121" i="3"/>
  <c r="P121" i="3"/>
  <c r="Q121" i="3"/>
  <c r="R121" i="3"/>
  <c r="S121" i="3"/>
  <c r="T121" i="3"/>
  <c r="U121" i="3"/>
  <c r="V121" i="3"/>
  <c r="W121" i="3"/>
  <c r="X121" i="3"/>
  <c r="Y121" i="3"/>
  <c r="Z121" i="3"/>
  <c r="AA121" i="3"/>
  <c r="AB121" i="3"/>
  <c r="AC121" i="3"/>
  <c r="AD121" i="3"/>
  <c r="AE121" i="3"/>
  <c r="AF121" i="3"/>
  <c r="AG121" i="3"/>
  <c r="AH121" i="3"/>
  <c r="AI121" i="3"/>
  <c r="AJ121" i="3"/>
  <c r="AK121" i="3"/>
  <c r="AL121" i="3"/>
  <c r="AM121" i="3"/>
  <c r="AN121" i="3"/>
  <c r="AO121" i="3"/>
  <c r="AP121" i="3"/>
  <c r="AQ121" i="3"/>
  <c r="AR121" i="3"/>
  <c r="AS121" i="3"/>
  <c r="AT121" i="3"/>
  <c r="AU121" i="3"/>
  <c r="D122" i="3"/>
  <c r="E122" i="3"/>
  <c r="F122" i="3"/>
  <c r="G122" i="3"/>
  <c r="H122" i="3"/>
  <c r="I122" i="3"/>
  <c r="J122" i="3"/>
  <c r="K122" i="3"/>
  <c r="L122" i="3"/>
  <c r="M122" i="3"/>
  <c r="N122" i="3"/>
  <c r="O122" i="3"/>
  <c r="P122" i="3"/>
  <c r="Q122" i="3"/>
  <c r="R122" i="3"/>
  <c r="S122" i="3"/>
  <c r="T122" i="3"/>
  <c r="U122" i="3"/>
  <c r="V122" i="3"/>
  <c r="W122" i="3"/>
  <c r="X122" i="3"/>
  <c r="Y122" i="3"/>
  <c r="Z122" i="3"/>
  <c r="AA122" i="3"/>
  <c r="AB122" i="3"/>
  <c r="AC122" i="3"/>
  <c r="AD122" i="3"/>
  <c r="AE122" i="3"/>
  <c r="AF122" i="3"/>
  <c r="AG122" i="3"/>
  <c r="AH122" i="3"/>
  <c r="AI122" i="3"/>
  <c r="AJ122" i="3"/>
  <c r="AK122" i="3"/>
  <c r="AL122" i="3"/>
  <c r="AM122" i="3"/>
  <c r="AN122" i="3"/>
  <c r="AO122" i="3"/>
  <c r="AP122" i="3"/>
  <c r="AQ122" i="3"/>
  <c r="AR122" i="3"/>
  <c r="AS122" i="3"/>
  <c r="AT122" i="3"/>
  <c r="AU122" i="3"/>
  <c r="D123" i="3"/>
  <c r="E123" i="3"/>
  <c r="F123" i="3"/>
  <c r="G123" i="3"/>
  <c r="H123" i="3"/>
  <c r="I123" i="3"/>
  <c r="J123" i="3"/>
  <c r="K123" i="3"/>
  <c r="L123" i="3"/>
  <c r="M123" i="3"/>
  <c r="N123" i="3"/>
  <c r="O123" i="3"/>
  <c r="P123" i="3"/>
  <c r="Q123" i="3"/>
  <c r="R123" i="3"/>
  <c r="S123" i="3"/>
  <c r="T123" i="3"/>
  <c r="U123" i="3"/>
  <c r="V123" i="3"/>
  <c r="W123" i="3"/>
  <c r="X123" i="3"/>
  <c r="Y123" i="3"/>
  <c r="Z123" i="3"/>
  <c r="AA123" i="3"/>
  <c r="AB123" i="3"/>
  <c r="AC123" i="3"/>
  <c r="AD123" i="3"/>
  <c r="AE123" i="3"/>
  <c r="AF123" i="3"/>
  <c r="AG123" i="3"/>
  <c r="AH123" i="3"/>
  <c r="AI123" i="3"/>
  <c r="AJ123" i="3"/>
  <c r="AK123" i="3"/>
  <c r="AL123" i="3"/>
  <c r="AM123" i="3"/>
  <c r="AN123" i="3"/>
  <c r="AO123" i="3"/>
  <c r="AP123" i="3"/>
  <c r="AQ123" i="3"/>
  <c r="AR123" i="3"/>
  <c r="AS123" i="3"/>
  <c r="AT123" i="3"/>
  <c r="AU123" i="3"/>
  <c r="D124" i="3"/>
  <c r="E124" i="3"/>
  <c r="F124" i="3"/>
  <c r="G124" i="3"/>
  <c r="H124" i="3"/>
  <c r="I124" i="3"/>
  <c r="J124" i="3"/>
  <c r="K124" i="3"/>
  <c r="L124" i="3"/>
  <c r="M124" i="3"/>
  <c r="N124" i="3"/>
  <c r="O124" i="3"/>
  <c r="P124" i="3"/>
  <c r="Q124" i="3"/>
  <c r="R124" i="3"/>
  <c r="S124" i="3"/>
  <c r="T124" i="3"/>
  <c r="U124" i="3"/>
  <c r="V124" i="3"/>
  <c r="W124" i="3"/>
  <c r="X124" i="3"/>
  <c r="Y124" i="3"/>
  <c r="Z124" i="3"/>
  <c r="AA124" i="3"/>
  <c r="AB124" i="3"/>
  <c r="AC124" i="3"/>
  <c r="AD124" i="3"/>
  <c r="AE124" i="3"/>
  <c r="AF124" i="3"/>
  <c r="AG124" i="3"/>
  <c r="AH124" i="3"/>
  <c r="AI124" i="3"/>
  <c r="AJ124" i="3"/>
  <c r="AK124" i="3"/>
  <c r="AL124" i="3"/>
  <c r="AM124" i="3"/>
  <c r="AN124" i="3"/>
  <c r="AO124" i="3"/>
  <c r="AP124" i="3"/>
  <c r="AQ124" i="3"/>
  <c r="AR124" i="3"/>
  <c r="AS124" i="3"/>
  <c r="AT124" i="3"/>
  <c r="AU124" i="3"/>
  <c r="D125" i="3"/>
  <c r="E125" i="3"/>
  <c r="F125" i="3"/>
  <c r="G125" i="3"/>
  <c r="H125" i="3"/>
  <c r="I125" i="3"/>
  <c r="J125" i="3"/>
  <c r="K125" i="3"/>
  <c r="L125" i="3"/>
  <c r="M125" i="3"/>
  <c r="N125" i="3"/>
  <c r="O125" i="3"/>
  <c r="P125" i="3"/>
  <c r="Q125" i="3"/>
  <c r="R125" i="3"/>
  <c r="S125" i="3"/>
  <c r="T125" i="3"/>
  <c r="U125" i="3"/>
  <c r="V125" i="3"/>
  <c r="W125" i="3"/>
  <c r="X125" i="3"/>
  <c r="Y125" i="3"/>
  <c r="Z125" i="3"/>
  <c r="AA125" i="3"/>
  <c r="AB125" i="3"/>
  <c r="AC125" i="3"/>
  <c r="AD125" i="3"/>
  <c r="AE125" i="3"/>
  <c r="AF125" i="3"/>
  <c r="AG125" i="3"/>
  <c r="AH125" i="3"/>
  <c r="AI125" i="3"/>
  <c r="AJ125" i="3"/>
  <c r="AK125" i="3"/>
  <c r="AL125" i="3"/>
  <c r="AM125" i="3"/>
  <c r="AN125" i="3"/>
  <c r="AO125" i="3"/>
  <c r="AP125" i="3"/>
  <c r="AQ125" i="3"/>
  <c r="AR125" i="3"/>
  <c r="AS125" i="3"/>
  <c r="AT125" i="3"/>
  <c r="AU125" i="3"/>
  <c r="D126" i="3"/>
  <c r="E126" i="3"/>
  <c r="F126" i="3"/>
  <c r="G126" i="3"/>
  <c r="H126" i="3"/>
  <c r="I126" i="3"/>
  <c r="J126" i="3"/>
  <c r="K126" i="3"/>
  <c r="L126" i="3"/>
  <c r="M126" i="3"/>
  <c r="N126" i="3"/>
  <c r="O126" i="3"/>
  <c r="P126" i="3"/>
  <c r="Q126" i="3"/>
  <c r="R126" i="3"/>
  <c r="S126" i="3"/>
  <c r="T126" i="3"/>
  <c r="U126" i="3"/>
  <c r="V126" i="3"/>
  <c r="W126" i="3"/>
  <c r="X126" i="3"/>
  <c r="Y126" i="3"/>
  <c r="Z126" i="3"/>
  <c r="AA126" i="3"/>
  <c r="AB126" i="3"/>
  <c r="AC126" i="3"/>
  <c r="AD126" i="3"/>
  <c r="AE126" i="3"/>
  <c r="AF126" i="3"/>
  <c r="AG126" i="3"/>
  <c r="AH126" i="3"/>
  <c r="AI126" i="3"/>
  <c r="AJ126" i="3"/>
  <c r="AK126" i="3"/>
  <c r="AL126" i="3"/>
  <c r="AM126" i="3"/>
  <c r="AN126" i="3"/>
  <c r="AO126" i="3"/>
  <c r="AP126" i="3"/>
  <c r="AQ126" i="3"/>
  <c r="AR126" i="3"/>
  <c r="AS126" i="3"/>
  <c r="AT126" i="3"/>
  <c r="AU126" i="3"/>
  <c r="D127" i="3"/>
  <c r="E127" i="3"/>
  <c r="F127" i="3"/>
  <c r="G127" i="3"/>
  <c r="H127" i="3"/>
  <c r="I127" i="3"/>
  <c r="J127" i="3"/>
  <c r="K127" i="3"/>
  <c r="L127" i="3"/>
  <c r="M127" i="3"/>
  <c r="N127" i="3"/>
  <c r="O127" i="3"/>
  <c r="P127" i="3"/>
  <c r="Q127" i="3"/>
  <c r="R127" i="3"/>
  <c r="S127" i="3"/>
  <c r="T127" i="3"/>
  <c r="U127" i="3"/>
  <c r="V127" i="3"/>
  <c r="W127" i="3"/>
  <c r="X127" i="3"/>
  <c r="Y127" i="3"/>
  <c r="Z127" i="3"/>
  <c r="AA127" i="3"/>
  <c r="AB127" i="3"/>
  <c r="AC127" i="3"/>
  <c r="AD127" i="3"/>
  <c r="AE127" i="3"/>
  <c r="AF127" i="3"/>
  <c r="AG127" i="3"/>
  <c r="AH127" i="3"/>
  <c r="AI127" i="3"/>
  <c r="AJ127" i="3"/>
  <c r="AK127" i="3"/>
  <c r="AL127" i="3"/>
  <c r="AM127" i="3"/>
  <c r="AN127" i="3"/>
  <c r="AO127" i="3"/>
  <c r="AP127" i="3"/>
  <c r="AQ127" i="3"/>
  <c r="AR127" i="3"/>
  <c r="AS127" i="3"/>
  <c r="AT127" i="3"/>
  <c r="AU127" i="3"/>
  <c r="D128" i="3"/>
  <c r="E128" i="3"/>
  <c r="F128" i="3"/>
  <c r="G128" i="3"/>
  <c r="H128" i="3"/>
  <c r="I128" i="3"/>
  <c r="J128" i="3"/>
  <c r="K128" i="3"/>
  <c r="L128" i="3"/>
  <c r="M128" i="3"/>
  <c r="N128" i="3"/>
  <c r="O128" i="3"/>
  <c r="P128" i="3"/>
  <c r="Q128" i="3"/>
  <c r="R128" i="3"/>
  <c r="S128" i="3"/>
  <c r="T128" i="3"/>
  <c r="U128" i="3"/>
  <c r="V128" i="3"/>
  <c r="W128" i="3"/>
  <c r="X128" i="3"/>
  <c r="Y128" i="3"/>
  <c r="Z128" i="3"/>
  <c r="AA128" i="3"/>
  <c r="AB128" i="3"/>
  <c r="AC128" i="3"/>
  <c r="AD128" i="3"/>
  <c r="AE128" i="3"/>
  <c r="AF128" i="3"/>
  <c r="AG128" i="3"/>
  <c r="AH128" i="3"/>
  <c r="AI128" i="3"/>
  <c r="AJ128" i="3"/>
  <c r="AK128" i="3"/>
  <c r="AL128" i="3"/>
  <c r="AM128" i="3"/>
  <c r="AN128" i="3"/>
  <c r="AO128" i="3"/>
  <c r="AP128" i="3"/>
  <c r="AQ128" i="3"/>
  <c r="AR128" i="3"/>
  <c r="AS128" i="3"/>
  <c r="AT128" i="3"/>
  <c r="AU128" i="3"/>
  <c r="D129" i="3"/>
  <c r="E129" i="3"/>
  <c r="F129" i="3"/>
  <c r="G129" i="3"/>
  <c r="H129" i="3"/>
  <c r="I129" i="3"/>
  <c r="J129" i="3"/>
  <c r="K129" i="3"/>
  <c r="L129" i="3"/>
  <c r="M129" i="3"/>
  <c r="N129" i="3"/>
  <c r="O129" i="3"/>
  <c r="P129" i="3"/>
  <c r="Q129" i="3"/>
  <c r="R129" i="3"/>
  <c r="S129" i="3"/>
  <c r="T129" i="3"/>
  <c r="U129" i="3"/>
  <c r="V129" i="3"/>
  <c r="W129" i="3"/>
  <c r="X129" i="3"/>
  <c r="Y129" i="3"/>
  <c r="Z129" i="3"/>
  <c r="AA129" i="3"/>
  <c r="AB129" i="3"/>
  <c r="AC129" i="3"/>
  <c r="AD129" i="3"/>
  <c r="AE129" i="3"/>
  <c r="AF129" i="3"/>
  <c r="AG129" i="3"/>
  <c r="AH129" i="3"/>
  <c r="AI129" i="3"/>
  <c r="AJ129" i="3"/>
  <c r="AK129" i="3"/>
  <c r="AL129" i="3"/>
  <c r="AM129" i="3"/>
  <c r="AN129" i="3"/>
  <c r="AO129" i="3"/>
  <c r="AP129" i="3"/>
  <c r="AQ129" i="3"/>
  <c r="AR129" i="3"/>
  <c r="AS129" i="3"/>
  <c r="AT129" i="3"/>
  <c r="AU129" i="3"/>
  <c r="D130" i="3"/>
  <c r="E130" i="3"/>
  <c r="F130" i="3"/>
  <c r="G130" i="3"/>
  <c r="H130" i="3"/>
  <c r="I130" i="3"/>
  <c r="J130" i="3"/>
  <c r="K130" i="3"/>
  <c r="L130" i="3"/>
  <c r="M130" i="3"/>
  <c r="N130" i="3"/>
  <c r="O130" i="3"/>
  <c r="P130" i="3"/>
  <c r="Q130" i="3"/>
  <c r="R130" i="3"/>
  <c r="S130" i="3"/>
  <c r="T130" i="3"/>
  <c r="U130" i="3"/>
  <c r="V130" i="3"/>
  <c r="W130" i="3"/>
  <c r="X130" i="3"/>
  <c r="Y130" i="3"/>
  <c r="Z130" i="3"/>
  <c r="AA130" i="3"/>
  <c r="AB130" i="3"/>
  <c r="AC130" i="3"/>
  <c r="AD130" i="3"/>
  <c r="AE130" i="3"/>
  <c r="AF130" i="3"/>
  <c r="AG130" i="3"/>
  <c r="AH130" i="3"/>
  <c r="AI130" i="3"/>
  <c r="AJ130" i="3"/>
  <c r="AK130" i="3"/>
  <c r="AL130" i="3"/>
  <c r="AM130" i="3"/>
  <c r="AN130" i="3"/>
  <c r="AO130" i="3"/>
  <c r="AP130" i="3"/>
  <c r="AQ130" i="3"/>
  <c r="AR130" i="3"/>
  <c r="AS130" i="3"/>
  <c r="AT130" i="3"/>
  <c r="AU130" i="3"/>
  <c r="D131" i="3"/>
  <c r="E131" i="3"/>
  <c r="F131" i="3"/>
  <c r="G131" i="3"/>
  <c r="H131" i="3"/>
  <c r="I131" i="3"/>
  <c r="J131" i="3"/>
  <c r="K131" i="3"/>
  <c r="L131" i="3"/>
  <c r="M131" i="3"/>
  <c r="N131" i="3"/>
  <c r="O131" i="3"/>
  <c r="P131" i="3"/>
  <c r="Q131" i="3"/>
  <c r="R131" i="3"/>
  <c r="S131" i="3"/>
  <c r="T131" i="3"/>
  <c r="U131" i="3"/>
  <c r="V131" i="3"/>
  <c r="W131" i="3"/>
  <c r="X131" i="3"/>
  <c r="Y131" i="3"/>
  <c r="Z131" i="3"/>
  <c r="AA131" i="3"/>
  <c r="AB131" i="3"/>
  <c r="AC131" i="3"/>
  <c r="AD131" i="3"/>
  <c r="AE131" i="3"/>
  <c r="AF131" i="3"/>
  <c r="AG131" i="3"/>
  <c r="AH131" i="3"/>
  <c r="AI131" i="3"/>
  <c r="AJ131" i="3"/>
  <c r="AK131" i="3"/>
  <c r="AL131" i="3"/>
  <c r="AM131" i="3"/>
  <c r="AN131" i="3"/>
  <c r="AO131" i="3"/>
  <c r="AP131" i="3"/>
  <c r="AQ131" i="3"/>
  <c r="AR131" i="3"/>
  <c r="AS131" i="3"/>
  <c r="AT131" i="3"/>
  <c r="AU131" i="3"/>
  <c r="D132" i="3"/>
  <c r="E132" i="3"/>
  <c r="F132" i="3"/>
  <c r="G132" i="3"/>
  <c r="H132" i="3"/>
  <c r="I132" i="3"/>
  <c r="J132" i="3"/>
  <c r="K132" i="3"/>
  <c r="L132" i="3"/>
  <c r="M132" i="3"/>
  <c r="N132" i="3"/>
  <c r="O132" i="3"/>
  <c r="P132" i="3"/>
  <c r="Q132" i="3"/>
  <c r="R132" i="3"/>
  <c r="S132" i="3"/>
  <c r="T132" i="3"/>
  <c r="U132" i="3"/>
  <c r="V132" i="3"/>
  <c r="W132" i="3"/>
  <c r="X132" i="3"/>
  <c r="Y132" i="3"/>
  <c r="Z132" i="3"/>
  <c r="AA132" i="3"/>
  <c r="AB132" i="3"/>
  <c r="AC132" i="3"/>
  <c r="AD132" i="3"/>
  <c r="AE132" i="3"/>
  <c r="AF132" i="3"/>
  <c r="AG132" i="3"/>
  <c r="AH132" i="3"/>
  <c r="AI132" i="3"/>
  <c r="AJ132" i="3"/>
  <c r="AK132" i="3"/>
  <c r="AL132" i="3"/>
  <c r="AM132" i="3"/>
  <c r="AN132" i="3"/>
  <c r="AO132" i="3"/>
  <c r="AP132" i="3"/>
  <c r="AQ132" i="3"/>
  <c r="AR132" i="3"/>
  <c r="AS132" i="3"/>
  <c r="AT132" i="3"/>
  <c r="AU132" i="3"/>
  <c r="D133" i="3"/>
  <c r="E133" i="3"/>
  <c r="F133" i="3"/>
  <c r="G133" i="3"/>
  <c r="H133" i="3"/>
  <c r="I133" i="3"/>
  <c r="J133" i="3"/>
  <c r="K133" i="3"/>
  <c r="L133" i="3"/>
  <c r="M133" i="3"/>
  <c r="N133" i="3"/>
  <c r="O133" i="3"/>
  <c r="P133" i="3"/>
  <c r="Q133" i="3"/>
  <c r="R133" i="3"/>
  <c r="S133" i="3"/>
  <c r="T133" i="3"/>
  <c r="U133" i="3"/>
  <c r="V133" i="3"/>
  <c r="W133" i="3"/>
  <c r="X133" i="3"/>
  <c r="Y133" i="3"/>
  <c r="Z133" i="3"/>
  <c r="AA133" i="3"/>
  <c r="AB133" i="3"/>
  <c r="AC133" i="3"/>
  <c r="AD133" i="3"/>
  <c r="AE133" i="3"/>
  <c r="AF133" i="3"/>
  <c r="AG133" i="3"/>
  <c r="AH133" i="3"/>
  <c r="AI133" i="3"/>
  <c r="AJ133" i="3"/>
  <c r="AK133" i="3"/>
  <c r="AL133" i="3"/>
  <c r="AM133" i="3"/>
  <c r="AN133" i="3"/>
  <c r="AO133" i="3"/>
  <c r="AP133" i="3"/>
  <c r="AQ133" i="3"/>
  <c r="AR133" i="3"/>
  <c r="AS133" i="3"/>
  <c r="AT133" i="3"/>
  <c r="AU133" i="3"/>
  <c r="D134" i="3"/>
  <c r="E134" i="3"/>
  <c r="F134" i="3"/>
  <c r="G134" i="3"/>
  <c r="H134" i="3"/>
  <c r="I134" i="3"/>
  <c r="J134" i="3"/>
  <c r="K134" i="3"/>
  <c r="L134" i="3"/>
  <c r="M134" i="3"/>
  <c r="N134" i="3"/>
  <c r="O134" i="3"/>
  <c r="P134" i="3"/>
  <c r="Q134" i="3"/>
  <c r="R134" i="3"/>
  <c r="S134" i="3"/>
  <c r="T134" i="3"/>
  <c r="U134" i="3"/>
  <c r="V134" i="3"/>
  <c r="W134" i="3"/>
  <c r="X134" i="3"/>
  <c r="Y134" i="3"/>
  <c r="Z134" i="3"/>
  <c r="AA134" i="3"/>
  <c r="AB134" i="3"/>
  <c r="AC134" i="3"/>
  <c r="AD134" i="3"/>
  <c r="AE134" i="3"/>
  <c r="AF134" i="3"/>
  <c r="AG134" i="3"/>
  <c r="AH134" i="3"/>
  <c r="AI134" i="3"/>
  <c r="AJ134" i="3"/>
  <c r="AK134" i="3"/>
  <c r="AL134" i="3"/>
  <c r="AM134" i="3"/>
  <c r="AN134" i="3"/>
  <c r="AO134" i="3"/>
  <c r="AP134" i="3"/>
  <c r="AQ134" i="3"/>
  <c r="AR134" i="3"/>
  <c r="AS134" i="3"/>
  <c r="AT134" i="3"/>
  <c r="AU134" i="3"/>
  <c r="D135" i="3"/>
  <c r="E135" i="3"/>
  <c r="F135" i="3"/>
  <c r="G135" i="3"/>
  <c r="H135" i="3"/>
  <c r="I135" i="3"/>
  <c r="J135" i="3"/>
  <c r="K135" i="3"/>
  <c r="L135" i="3"/>
  <c r="M135" i="3"/>
  <c r="N135" i="3"/>
  <c r="O135" i="3"/>
  <c r="P135" i="3"/>
  <c r="Q135" i="3"/>
  <c r="R135" i="3"/>
  <c r="S135" i="3"/>
  <c r="T135" i="3"/>
  <c r="U135" i="3"/>
  <c r="V135" i="3"/>
  <c r="W135" i="3"/>
  <c r="X135" i="3"/>
  <c r="Y135" i="3"/>
  <c r="Z135" i="3"/>
  <c r="AA135" i="3"/>
  <c r="AB135" i="3"/>
  <c r="AC135" i="3"/>
  <c r="AD135" i="3"/>
  <c r="AE135" i="3"/>
  <c r="AF135" i="3"/>
  <c r="AG135" i="3"/>
  <c r="AH135" i="3"/>
  <c r="AI135" i="3"/>
  <c r="AJ135" i="3"/>
  <c r="AK135" i="3"/>
  <c r="AL135" i="3"/>
  <c r="AM135" i="3"/>
  <c r="AN135" i="3"/>
  <c r="AO135" i="3"/>
  <c r="AP135" i="3"/>
  <c r="AQ135" i="3"/>
  <c r="AR135" i="3"/>
  <c r="AS135" i="3"/>
  <c r="AT135" i="3"/>
  <c r="AU135" i="3"/>
  <c r="D136" i="3"/>
  <c r="E136" i="3"/>
  <c r="F136" i="3"/>
  <c r="G136" i="3"/>
  <c r="H136" i="3"/>
  <c r="I136" i="3"/>
  <c r="J136" i="3"/>
  <c r="K136" i="3"/>
  <c r="L136" i="3"/>
  <c r="M136" i="3"/>
  <c r="N136" i="3"/>
  <c r="O136" i="3"/>
  <c r="P136" i="3"/>
  <c r="Q136" i="3"/>
  <c r="R136" i="3"/>
  <c r="S136" i="3"/>
  <c r="T136" i="3"/>
  <c r="U136" i="3"/>
  <c r="V136" i="3"/>
  <c r="W136" i="3"/>
  <c r="X136" i="3"/>
  <c r="Y136" i="3"/>
  <c r="Z136" i="3"/>
  <c r="AA136" i="3"/>
  <c r="AB136" i="3"/>
  <c r="AC136" i="3"/>
  <c r="AD136" i="3"/>
  <c r="AE136" i="3"/>
  <c r="AF136" i="3"/>
  <c r="AG136" i="3"/>
  <c r="AH136" i="3"/>
  <c r="AI136" i="3"/>
  <c r="AJ136" i="3"/>
  <c r="AK136" i="3"/>
  <c r="AL136" i="3"/>
  <c r="AM136" i="3"/>
  <c r="AN136" i="3"/>
  <c r="AO136" i="3"/>
  <c r="AP136" i="3"/>
  <c r="AQ136" i="3"/>
  <c r="AR136" i="3"/>
  <c r="AS136" i="3"/>
  <c r="AT136" i="3"/>
  <c r="AU136" i="3"/>
  <c r="D137" i="3"/>
  <c r="E137" i="3"/>
  <c r="F137" i="3"/>
  <c r="G137" i="3"/>
  <c r="H137" i="3"/>
  <c r="I137" i="3"/>
  <c r="J137" i="3"/>
  <c r="K137" i="3"/>
  <c r="L137" i="3"/>
  <c r="M137" i="3"/>
  <c r="N137" i="3"/>
  <c r="O137" i="3"/>
  <c r="P137" i="3"/>
  <c r="Q137" i="3"/>
  <c r="R137" i="3"/>
  <c r="S137" i="3"/>
  <c r="T137" i="3"/>
  <c r="U137" i="3"/>
  <c r="V137" i="3"/>
  <c r="W137" i="3"/>
  <c r="X137" i="3"/>
  <c r="Y137" i="3"/>
  <c r="Z137" i="3"/>
  <c r="AA137" i="3"/>
  <c r="AB137" i="3"/>
  <c r="AC137" i="3"/>
  <c r="AD137" i="3"/>
  <c r="AE137" i="3"/>
  <c r="AF137" i="3"/>
  <c r="AG137" i="3"/>
  <c r="AH137" i="3"/>
  <c r="AI137" i="3"/>
  <c r="AJ137" i="3"/>
  <c r="AK137" i="3"/>
  <c r="AL137" i="3"/>
  <c r="AM137" i="3"/>
  <c r="AN137" i="3"/>
  <c r="AO137" i="3"/>
  <c r="AP137" i="3"/>
  <c r="AQ137" i="3"/>
  <c r="AR137" i="3"/>
  <c r="AS137" i="3"/>
  <c r="AT137" i="3"/>
  <c r="AU137" i="3"/>
  <c r="D138" i="3"/>
  <c r="E138" i="3"/>
  <c r="F138" i="3"/>
  <c r="G138" i="3"/>
  <c r="H138" i="3"/>
  <c r="I138" i="3"/>
  <c r="J138" i="3"/>
  <c r="K138" i="3"/>
  <c r="L138" i="3"/>
  <c r="M138" i="3"/>
  <c r="N138" i="3"/>
  <c r="O138" i="3"/>
  <c r="P138" i="3"/>
  <c r="Q138" i="3"/>
  <c r="R138" i="3"/>
  <c r="S138" i="3"/>
  <c r="T138" i="3"/>
  <c r="U138" i="3"/>
  <c r="V138" i="3"/>
  <c r="W138" i="3"/>
  <c r="X138" i="3"/>
  <c r="Y138" i="3"/>
  <c r="Z138" i="3"/>
  <c r="AA138" i="3"/>
  <c r="AB138" i="3"/>
  <c r="AC138" i="3"/>
  <c r="AD138" i="3"/>
  <c r="AE138" i="3"/>
  <c r="AF138" i="3"/>
  <c r="AG138" i="3"/>
  <c r="AH138" i="3"/>
  <c r="AI138" i="3"/>
  <c r="AJ138" i="3"/>
  <c r="AK138" i="3"/>
  <c r="AL138" i="3"/>
  <c r="AM138" i="3"/>
  <c r="AN138" i="3"/>
  <c r="AO138" i="3"/>
  <c r="AP138" i="3"/>
  <c r="AQ138" i="3"/>
  <c r="AR138" i="3"/>
  <c r="AS138" i="3"/>
  <c r="AT138" i="3"/>
  <c r="AU138" i="3"/>
  <c r="D139" i="3"/>
  <c r="E139" i="3"/>
  <c r="F139" i="3"/>
  <c r="G139" i="3"/>
  <c r="H139" i="3"/>
  <c r="I139" i="3"/>
  <c r="J139" i="3"/>
  <c r="K139" i="3"/>
  <c r="L139" i="3"/>
  <c r="M139" i="3"/>
  <c r="N139" i="3"/>
  <c r="O139" i="3"/>
  <c r="P139" i="3"/>
  <c r="Q139" i="3"/>
  <c r="R139" i="3"/>
  <c r="S139" i="3"/>
  <c r="T139" i="3"/>
  <c r="U139" i="3"/>
  <c r="V139" i="3"/>
  <c r="W139" i="3"/>
  <c r="X139" i="3"/>
  <c r="Y139" i="3"/>
  <c r="Z139" i="3"/>
  <c r="AA139" i="3"/>
  <c r="AB139" i="3"/>
  <c r="AC139" i="3"/>
  <c r="AD139" i="3"/>
  <c r="AE139" i="3"/>
  <c r="AF139" i="3"/>
  <c r="AG139" i="3"/>
  <c r="AH139" i="3"/>
  <c r="AI139" i="3"/>
  <c r="AJ139" i="3"/>
  <c r="AK139" i="3"/>
  <c r="AL139" i="3"/>
  <c r="AM139" i="3"/>
  <c r="AN139" i="3"/>
  <c r="AO139" i="3"/>
  <c r="AP139" i="3"/>
  <c r="AQ139" i="3"/>
  <c r="AR139" i="3"/>
  <c r="AS139" i="3"/>
  <c r="AT139" i="3"/>
  <c r="AU139" i="3"/>
  <c r="D140" i="3"/>
  <c r="E140" i="3"/>
  <c r="F140" i="3"/>
  <c r="G140" i="3"/>
  <c r="H140" i="3"/>
  <c r="I140" i="3"/>
  <c r="J140" i="3"/>
  <c r="K140" i="3"/>
  <c r="L140" i="3"/>
  <c r="M140" i="3"/>
  <c r="N140" i="3"/>
  <c r="O140" i="3"/>
  <c r="P140" i="3"/>
  <c r="Q140" i="3"/>
  <c r="R140" i="3"/>
  <c r="S140" i="3"/>
  <c r="T140" i="3"/>
  <c r="U140" i="3"/>
  <c r="V140" i="3"/>
  <c r="W140" i="3"/>
  <c r="X140" i="3"/>
  <c r="Y140" i="3"/>
  <c r="Z140" i="3"/>
  <c r="AA140" i="3"/>
  <c r="AB140" i="3"/>
  <c r="AC140" i="3"/>
  <c r="AD140" i="3"/>
  <c r="AE140" i="3"/>
  <c r="AF140" i="3"/>
  <c r="AG140" i="3"/>
  <c r="AH140" i="3"/>
  <c r="AI140" i="3"/>
  <c r="AJ140" i="3"/>
  <c r="AK140" i="3"/>
  <c r="AL140" i="3"/>
  <c r="AM140" i="3"/>
  <c r="AN140" i="3"/>
  <c r="AO140" i="3"/>
  <c r="AP140" i="3"/>
  <c r="AQ140" i="3"/>
  <c r="AR140" i="3"/>
  <c r="AS140" i="3"/>
  <c r="AT140" i="3"/>
  <c r="AU140" i="3"/>
  <c r="D141" i="3"/>
  <c r="E141" i="3"/>
  <c r="F141" i="3"/>
  <c r="G141" i="3"/>
  <c r="H141" i="3"/>
  <c r="I141" i="3"/>
  <c r="J141" i="3"/>
  <c r="K141" i="3"/>
  <c r="L141" i="3"/>
  <c r="M141" i="3"/>
  <c r="N141" i="3"/>
  <c r="O141" i="3"/>
  <c r="P141" i="3"/>
  <c r="Q141" i="3"/>
  <c r="R141" i="3"/>
  <c r="S141" i="3"/>
  <c r="T141" i="3"/>
  <c r="U141" i="3"/>
  <c r="V141" i="3"/>
  <c r="W141" i="3"/>
  <c r="X141" i="3"/>
  <c r="Y141" i="3"/>
  <c r="Z141" i="3"/>
  <c r="AA141" i="3"/>
  <c r="AB141" i="3"/>
  <c r="AC141" i="3"/>
  <c r="AD141" i="3"/>
  <c r="AE141" i="3"/>
  <c r="AF141" i="3"/>
  <c r="AG141" i="3"/>
  <c r="AH141" i="3"/>
  <c r="AI141" i="3"/>
  <c r="AJ141" i="3"/>
  <c r="AK141" i="3"/>
  <c r="AL141" i="3"/>
  <c r="AM141" i="3"/>
  <c r="AN141" i="3"/>
  <c r="AO141" i="3"/>
  <c r="AP141" i="3"/>
  <c r="AQ141" i="3"/>
  <c r="AR141" i="3"/>
  <c r="AS141" i="3"/>
  <c r="AT141" i="3"/>
  <c r="AU141" i="3"/>
  <c r="D142" i="3"/>
  <c r="E142" i="3"/>
  <c r="F142" i="3"/>
  <c r="G142" i="3"/>
  <c r="H142" i="3"/>
  <c r="I142" i="3"/>
  <c r="J142" i="3"/>
  <c r="K142" i="3"/>
  <c r="L142" i="3"/>
  <c r="M142" i="3"/>
  <c r="N142" i="3"/>
  <c r="O142" i="3"/>
  <c r="P142" i="3"/>
  <c r="Q142" i="3"/>
  <c r="R142" i="3"/>
  <c r="S142" i="3"/>
  <c r="T142" i="3"/>
  <c r="U142" i="3"/>
  <c r="V142" i="3"/>
  <c r="W142" i="3"/>
  <c r="X142" i="3"/>
  <c r="Y142" i="3"/>
  <c r="Z142" i="3"/>
  <c r="AA142" i="3"/>
  <c r="AB142" i="3"/>
  <c r="AC142" i="3"/>
  <c r="AD142" i="3"/>
  <c r="AE142" i="3"/>
  <c r="AF142" i="3"/>
  <c r="AG142" i="3"/>
  <c r="AH142" i="3"/>
  <c r="AI142" i="3"/>
  <c r="AJ142" i="3"/>
  <c r="AK142" i="3"/>
  <c r="AL142" i="3"/>
  <c r="AM142" i="3"/>
  <c r="AN142" i="3"/>
  <c r="AO142" i="3"/>
  <c r="AP142" i="3"/>
  <c r="AQ142" i="3"/>
  <c r="AR142" i="3"/>
  <c r="AS142" i="3"/>
  <c r="AT142" i="3"/>
  <c r="AU142" i="3"/>
  <c r="D143" i="3"/>
  <c r="E143" i="3"/>
  <c r="F143" i="3"/>
  <c r="G143" i="3"/>
  <c r="H143" i="3"/>
  <c r="I143" i="3"/>
  <c r="J143" i="3"/>
  <c r="K143" i="3"/>
  <c r="L143" i="3"/>
  <c r="M143" i="3"/>
  <c r="N143" i="3"/>
  <c r="O143" i="3"/>
  <c r="P143" i="3"/>
  <c r="Q143" i="3"/>
  <c r="R143" i="3"/>
  <c r="S143" i="3"/>
  <c r="T143" i="3"/>
  <c r="U143" i="3"/>
  <c r="V143" i="3"/>
  <c r="W143" i="3"/>
  <c r="X143" i="3"/>
  <c r="Y143" i="3"/>
  <c r="Z143" i="3"/>
  <c r="AA143" i="3"/>
  <c r="AB143" i="3"/>
  <c r="AC143" i="3"/>
  <c r="AD143" i="3"/>
  <c r="AE143" i="3"/>
  <c r="AF143" i="3"/>
  <c r="AG143" i="3"/>
  <c r="AH143" i="3"/>
  <c r="AI143" i="3"/>
  <c r="AJ143" i="3"/>
  <c r="AK143" i="3"/>
  <c r="AL143" i="3"/>
  <c r="AM143" i="3"/>
  <c r="AN143" i="3"/>
  <c r="AO143" i="3"/>
  <c r="AP143" i="3"/>
  <c r="AQ143" i="3"/>
  <c r="AR143" i="3"/>
  <c r="AS143" i="3"/>
  <c r="AT143" i="3"/>
  <c r="AU143" i="3"/>
  <c r="D144" i="3"/>
  <c r="E144" i="3"/>
  <c r="F144" i="3"/>
  <c r="G144" i="3"/>
  <c r="H144" i="3"/>
  <c r="I144" i="3"/>
  <c r="J144" i="3"/>
  <c r="K144" i="3"/>
  <c r="L144" i="3"/>
  <c r="M144" i="3"/>
  <c r="N144" i="3"/>
  <c r="O144" i="3"/>
  <c r="P144" i="3"/>
  <c r="Q144" i="3"/>
  <c r="R144" i="3"/>
  <c r="S144" i="3"/>
  <c r="T144" i="3"/>
  <c r="U144" i="3"/>
  <c r="V144" i="3"/>
  <c r="W144" i="3"/>
  <c r="X144" i="3"/>
  <c r="Y144" i="3"/>
  <c r="Z144" i="3"/>
  <c r="AA144" i="3"/>
  <c r="AB144" i="3"/>
  <c r="AC144" i="3"/>
  <c r="AD144" i="3"/>
  <c r="AE144" i="3"/>
  <c r="AF144" i="3"/>
  <c r="AG144" i="3"/>
  <c r="AH144" i="3"/>
  <c r="AI144" i="3"/>
  <c r="AJ144" i="3"/>
  <c r="AK144" i="3"/>
  <c r="AL144" i="3"/>
  <c r="AM144" i="3"/>
  <c r="AN144" i="3"/>
  <c r="AO144" i="3"/>
  <c r="AP144" i="3"/>
  <c r="AQ144" i="3"/>
  <c r="AR144" i="3"/>
  <c r="AS144" i="3"/>
  <c r="AT144" i="3"/>
  <c r="AU144" i="3"/>
  <c r="D145" i="3"/>
  <c r="E145" i="3"/>
  <c r="F145" i="3"/>
  <c r="G145" i="3"/>
  <c r="H145" i="3"/>
  <c r="I145" i="3"/>
  <c r="J145" i="3"/>
  <c r="K145" i="3"/>
  <c r="L145" i="3"/>
  <c r="M145" i="3"/>
  <c r="N145" i="3"/>
  <c r="O145" i="3"/>
  <c r="P145" i="3"/>
  <c r="Q145" i="3"/>
  <c r="R145" i="3"/>
  <c r="S145" i="3"/>
  <c r="T145" i="3"/>
  <c r="U145" i="3"/>
  <c r="V145" i="3"/>
  <c r="W145" i="3"/>
  <c r="X145" i="3"/>
  <c r="Y145" i="3"/>
  <c r="Z145" i="3"/>
  <c r="AA145" i="3"/>
  <c r="AB145" i="3"/>
  <c r="AC145" i="3"/>
  <c r="AD145" i="3"/>
  <c r="AE145" i="3"/>
  <c r="AF145" i="3"/>
  <c r="AG145" i="3"/>
  <c r="AH145" i="3"/>
  <c r="AI145" i="3"/>
  <c r="AJ145" i="3"/>
  <c r="AK145" i="3"/>
  <c r="AL145" i="3"/>
  <c r="AM145" i="3"/>
  <c r="AN145" i="3"/>
  <c r="AO145" i="3"/>
  <c r="AP145" i="3"/>
  <c r="AQ145" i="3"/>
  <c r="AR145" i="3"/>
  <c r="AS145" i="3"/>
  <c r="AT145" i="3"/>
  <c r="AU145" i="3"/>
  <c r="D146" i="3"/>
  <c r="E146" i="3"/>
  <c r="F146" i="3"/>
  <c r="G146" i="3"/>
  <c r="H146" i="3"/>
  <c r="I146" i="3"/>
  <c r="J146" i="3"/>
  <c r="K146" i="3"/>
  <c r="L146" i="3"/>
  <c r="M146" i="3"/>
  <c r="N146" i="3"/>
  <c r="O146" i="3"/>
  <c r="P146" i="3"/>
  <c r="Q146" i="3"/>
  <c r="R146" i="3"/>
  <c r="S146" i="3"/>
  <c r="T146" i="3"/>
  <c r="U146" i="3"/>
  <c r="V146" i="3"/>
  <c r="W146" i="3"/>
  <c r="X146" i="3"/>
  <c r="Y146" i="3"/>
  <c r="Z146" i="3"/>
  <c r="AA146" i="3"/>
  <c r="AB146" i="3"/>
  <c r="AC146" i="3"/>
  <c r="AD146" i="3"/>
  <c r="AE146" i="3"/>
  <c r="AF146" i="3"/>
  <c r="AG146" i="3"/>
  <c r="AH146" i="3"/>
  <c r="AI146" i="3"/>
  <c r="AJ146" i="3"/>
  <c r="AK146" i="3"/>
  <c r="AL146" i="3"/>
  <c r="AM146" i="3"/>
  <c r="AN146" i="3"/>
  <c r="AO146" i="3"/>
  <c r="AP146" i="3"/>
  <c r="AQ146" i="3"/>
  <c r="AR146" i="3"/>
  <c r="AS146" i="3"/>
  <c r="AT146" i="3"/>
  <c r="AU146" i="3"/>
  <c r="D147" i="3"/>
  <c r="E147" i="3"/>
  <c r="F147" i="3"/>
  <c r="G147" i="3"/>
  <c r="H147" i="3"/>
  <c r="I147" i="3"/>
  <c r="J147" i="3"/>
  <c r="K147" i="3"/>
  <c r="L147" i="3"/>
  <c r="M147" i="3"/>
  <c r="N147" i="3"/>
  <c r="O147" i="3"/>
  <c r="P147" i="3"/>
  <c r="Q147" i="3"/>
  <c r="R147" i="3"/>
  <c r="S147" i="3"/>
  <c r="T147" i="3"/>
  <c r="U147" i="3"/>
  <c r="V147" i="3"/>
  <c r="W147" i="3"/>
  <c r="X147" i="3"/>
  <c r="Y147" i="3"/>
  <c r="Z147" i="3"/>
  <c r="AA147" i="3"/>
  <c r="AB147" i="3"/>
  <c r="AC147" i="3"/>
  <c r="AD147" i="3"/>
  <c r="AE147" i="3"/>
  <c r="AF147" i="3"/>
  <c r="AG147" i="3"/>
  <c r="AH147" i="3"/>
  <c r="AI147" i="3"/>
  <c r="AJ147" i="3"/>
  <c r="AK147" i="3"/>
  <c r="AL147" i="3"/>
  <c r="AM147" i="3"/>
  <c r="AN147" i="3"/>
  <c r="AO147" i="3"/>
  <c r="AP147" i="3"/>
  <c r="AQ147" i="3"/>
  <c r="AR147" i="3"/>
  <c r="AS147" i="3"/>
  <c r="AT147" i="3"/>
  <c r="AU147" i="3"/>
  <c r="D148" i="3"/>
  <c r="E148" i="3"/>
  <c r="F148" i="3"/>
  <c r="G148" i="3"/>
  <c r="H148" i="3"/>
  <c r="I148" i="3"/>
  <c r="J148" i="3"/>
  <c r="K148" i="3"/>
  <c r="L148" i="3"/>
  <c r="M148" i="3"/>
  <c r="N148" i="3"/>
  <c r="O148" i="3"/>
  <c r="P148" i="3"/>
  <c r="Q148" i="3"/>
  <c r="R148" i="3"/>
  <c r="S148" i="3"/>
  <c r="T148" i="3"/>
  <c r="U148" i="3"/>
  <c r="V148" i="3"/>
  <c r="W148" i="3"/>
  <c r="X148" i="3"/>
  <c r="Y148" i="3"/>
  <c r="Z148" i="3"/>
  <c r="AA148" i="3"/>
  <c r="AB148" i="3"/>
  <c r="AC148" i="3"/>
  <c r="AD148" i="3"/>
  <c r="AE148" i="3"/>
  <c r="AF148" i="3"/>
  <c r="AG148" i="3"/>
  <c r="AH148" i="3"/>
  <c r="AI148" i="3"/>
  <c r="AJ148" i="3"/>
  <c r="AK148" i="3"/>
  <c r="AL148" i="3"/>
  <c r="AM148" i="3"/>
  <c r="AN148" i="3"/>
  <c r="AO148" i="3"/>
  <c r="AP148" i="3"/>
  <c r="AQ148" i="3"/>
  <c r="AR148" i="3"/>
  <c r="AS148" i="3"/>
  <c r="AT148" i="3"/>
  <c r="AU148" i="3"/>
  <c r="D149" i="3"/>
  <c r="E149" i="3"/>
  <c r="F149" i="3"/>
  <c r="G149" i="3"/>
  <c r="H149" i="3"/>
  <c r="I149" i="3"/>
  <c r="J149" i="3"/>
  <c r="K149" i="3"/>
  <c r="L149" i="3"/>
  <c r="M149" i="3"/>
  <c r="N149" i="3"/>
  <c r="O149" i="3"/>
  <c r="P149" i="3"/>
  <c r="Q149" i="3"/>
  <c r="R149" i="3"/>
  <c r="S149" i="3"/>
  <c r="T149" i="3"/>
  <c r="U149" i="3"/>
  <c r="V149" i="3"/>
  <c r="W149" i="3"/>
  <c r="X149" i="3"/>
  <c r="Y149" i="3"/>
  <c r="Z149" i="3"/>
  <c r="AA149" i="3"/>
  <c r="AB149" i="3"/>
  <c r="AC149" i="3"/>
  <c r="AD149" i="3"/>
  <c r="AE149" i="3"/>
  <c r="AF149" i="3"/>
  <c r="AG149" i="3"/>
  <c r="AH149" i="3"/>
  <c r="AI149" i="3"/>
  <c r="AJ149" i="3"/>
  <c r="AK149" i="3"/>
  <c r="AL149" i="3"/>
  <c r="AM149" i="3"/>
  <c r="AN149" i="3"/>
  <c r="AO149" i="3"/>
  <c r="AP149" i="3"/>
  <c r="AQ149" i="3"/>
  <c r="AR149" i="3"/>
  <c r="AS149" i="3"/>
  <c r="AT149" i="3"/>
  <c r="AU149" i="3"/>
  <c r="D150" i="3"/>
  <c r="E150" i="3"/>
  <c r="F150" i="3"/>
  <c r="G150" i="3"/>
  <c r="H150" i="3"/>
  <c r="I150" i="3"/>
  <c r="J150" i="3"/>
  <c r="K150" i="3"/>
  <c r="L150" i="3"/>
  <c r="M150" i="3"/>
  <c r="N150" i="3"/>
  <c r="O150" i="3"/>
  <c r="P150" i="3"/>
  <c r="Q150" i="3"/>
  <c r="R150" i="3"/>
  <c r="S150" i="3"/>
  <c r="T150" i="3"/>
  <c r="U150" i="3"/>
  <c r="V150" i="3"/>
  <c r="W150" i="3"/>
  <c r="X150" i="3"/>
  <c r="Y150" i="3"/>
  <c r="Z150" i="3"/>
  <c r="AA150" i="3"/>
  <c r="AB150" i="3"/>
  <c r="AC150" i="3"/>
  <c r="AD150" i="3"/>
  <c r="AE150" i="3"/>
  <c r="AF150" i="3"/>
  <c r="AG150" i="3"/>
  <c r="AH150" i="3"/>
  <c r="AI150" i="3"/>
  <c r="AJ150" i="3"/>
  <c r="AK150" i="3"/>
  <c r="AL150" i="3"/>
  <c r="AM150" i="3"/>
  <c r="AN150" i="3"/>
  <c r="AO150" i="3"/>
  <c r="AP150" i="3"/>
  <c r="AQ150" i="3"/>
  <c r="AR150" i="3"/>
  <c r="AS150" i="3"/>
  <c r="AT150" i="3"/>
  <c r="AU150" i="3"/>
  <c r="D151" i="3"/>
  <c r="E151" i="3"/>
  <c r="F151" i="3"/>
  <c r="G151" i="3"/>
  <c r="H151" i="3"/>
  <c r="I151" i="3"/>
  <c r="J151" i="3"/>
  <c r="K151" i="3"/>
  <c r="L151" i="3"/>
  <c r="M151" i="3"/>
  <c r="N151" i="3"/>
  <c r="O151" i="3"/>
  <c r="P151" i="3"/>
  <c r="Q151" i="3"/>
  <c r="R151" i="3"/>
  <c r="S151" i="3"/>
  <c r="T151" i="3"/>
  <c r="U151" i="3"/>
  <c r="V151" i="3"/>
  <c r="W151" i="3"/>
  <c r="X151" i="3"/>
  <c r="Y151" i="3"/>
  <c r="Z151" i="3"/>
  <c r="AA151" i="3"/>
  <c r="AB151" i="3"/>
  <c r="AC151" i="3"/>
  <c r="AD151" i="3"/>
  <c r="AE151" i="3"/>
  <c r="AF151" i="3"/>
  <c r="AG151" i="3"/>
  <c r="AH151" i="3"/>
  <c r="AI151" i="3"/>
  <c r="AJ151" i="3"/>
  <c r="AK151" i="3"/>
  <c r="AL151" i="3"/>
  <c r="AM151" i="3"/>
  <c r="AN151" i="3"/>
  <c r="AO151" i="3"/>
  <c r="AP151" i="3"/>
  <c r="AQ151" i="3"/>
  <c r="AR151" i="3"/>
  <c r="AS151" i="3"/>
  <c r="AT151" i="3"/>
  <c r="AU151" i="3"/>
  <c r="D152" i="3"/>
  <c r="E152" i="3"/>
  <c r="F152" i="3"/>
  <c r="G152" i="3"/>
  <c r="H152" i="3"/>
  <c r="I152" i="3"/>
  <c r="J152" i="3"/>
  <c r="K152" i="3"/>
  <c r="L152" i="3"/>
  <c r="M152" i="3"/>
  <c r="N152" i="3"/>
  <c r="O152" i="3"/>
  <c r="P152" i="3"/>
  <c r="Q152" i="3"/>
  <c r="R152" i="3"/>
  <c r="S152" i="3"/>
  <c r="T152" i="3"/>
  <c r="U152" i="3"/>
  <c r="V152" i="3"/>
  <c r="W152" i="3"/>
  <c r="X152" i="3"/>
  <c r="Y152" i="3"/>
  <c r="Z152" i="3"/>
  <c r="AA152" i="3"/>
  <c r="AB152" i="3"/>
  <c r="AC152" i="3"/>
  <c r="AD152" i="3"/>
  <c r="AE152" i="3"/>
  <c r="AF152" i="3"/>
  <c r="AG152" i="3"/>
  <c r="AH152" i="3"/>
  <c r="AI152" i="3"/>
  <c r="AJ152" i="3"/>
  <c r="AK152" i="3"/>
  <c r="AL152" i="3"/>
  <c r="AM152" i="3"/>
  <c r="AN152" i="3"/>
  <c r="AO152" i="3"/>
  <c r="AP152" i="3"/>
  <c r="AQ152" i="3"/>
  <c r="AR152" i="3"/>
  <c r="AS152" i="3"/>
  <c r="AT152" i="3"/>
  <c r="AU152" i="3"/>
  <c r="D153" i="3"/>
  <c r="E153" i="3"/>
  <c r="F153" i="3"/>
  <c r="G153" i="3"/>
  <c r="H153" i="3"/>
  <c r="I153" i="3"/>
  <c r="J153" i="3"/>
  <c r="K153" i="3"/>
  <c r="L153" i="3"/>
  <c r="M153" i="3"/>
  <c r="N153" i="3"/>
  <c r="O153" i="3"/>
  <c r="P153" i="3"/>
  <c r="Q153" i="3"/>
  <c r="R153" i="3"/>
  <c r="S153" i="3"/>
  <c r="T153" i="3"/>
  <c r="U153" i="3"/>
  <c r="V153" i="3"/>
  <c r="W153" i="3"/>
  <c r="X153" i="3"/>
  <c r="Y153" i="3"/>
  <c r="Z153" i="3"/>
  <c r="AA153" i="3"/>
  <c r="AB153" i="3"/>
  <c r="AC153" i="3"/>
  <c r="AD153" i="3"/>
  <c r="AE153" i="3"/>
  <c r="AF153" i="3"/>
  <c r="AG153" i="3"/>
  <c r="AH153" i="3"/>
  <c r="AI153" i="3"/>
  <c r="AJ153" i="3"/>
  <c r="AK153" i="3"/>
  <c r="AL153" i="3"/>
  <c r="AM153" i="3"/>
  <c r="AN153" i="3"/>
  <c r="AO153" i="3"/>
  <c r="AP153" i="3"/>
  <c r="AQ153" i="3"/>
  <c r="AR153" i="3"/>
  <c r="AS153" i="3"/>
  <c r="AT153" i="3"/>
  <c r="AU153" i="3"/>
  <c r="D154" i="3"/>
  <c r="E154" i="3"/>
  <c r="F154" i="3"/>
  <c r="G154" i="3"/>
  <c r="H154" i="3"/>
  <c r="I154" i="3"/>
  <c r="J154" i="3"/>
  <c r="K154" i="3"/>
  <c r="L154" i="3"/>
  <c r="M154" i="3"/>
  <c r="N154" i="3"/>
  <c r="O154" i="3"/>
  <c r="P154" i="3"/>
  <c r="Q154" i="3"/>
  <c r="R154" i="3"/>
  <c r="S154" i="3"/>
  <c r="T154" i="3"/>
  <c r="U154" i="3"/>
  <c r="V154" i="3"/>
  <c r="W154" i="3"/>
  <c r="X154" i="3"/>
  <c r="Y154" i="3"/>
  <c r="Z154" i="3"/>
  <c r="AA154" i="3"/>
  <c r="AB154" i="3"/>
  <c r="AC154" i="3"/>
  <c r="AD154" i="3"/>
  <c r="AE154" i="3"/>
  <c r="AF154" i="3"/>
  <c r="AG154" i="3"/>
  <c r="AH154" i="3"/>
  <c r="AI154" i="3"/>
  <c r="AJ154" i="3"/>
  <c r="AK154" i="3"/>
  <c r="AL154" i="3"/>
  <c r="AM154" i="3"/>
  <c r="AN154" i="3"/>
  <c r="AO154" i="3"/>
  <c r="AP154" i="3"/>
  <c r="AQ154" i="3"/>
  <c r="AR154" i="3"/>
  <c r="AS154" i="3"/>
  <c r="AT154" i="3"/>
  <c r="AU154" i="3"/>
  <c r="D155" i="3"/>
  <c r="E155" i="3"/>
  <c r="F155" i="3"/>
  <c r="G155" i="3"/>
  <c r="H155" i="3"/>
  <c r="I155" i="3"/>
  <c r="J155" i="3"/>
  <c r="K155" i="3"/>
  <c r="L155" i="3"/>
  <c r="M155" i="3"/>
  <c r="N155" i="3"/>
  <c r="O155" i="3"/>
  <c r="P155" i="3"/>
  <c r="Q155" i="3"/>
  <c r="R155" i="3"/>
  <c r="S155" i="3"/>
  <c r="T155" i="3"/>
  <c r="U155" i="3"/>
  <c r="V155" i="3"/>
  <c r="W155" i="3"/>
  <c r="X155" i="3"/>
  <c r="Y155" i="3"/>
  <c r="Z155" i="3"/>
  <c r="AA155" i="3"/>
  <c r="AB155" i="3"/>
  <c r="AC155" i="3"/>
  <c r="AD155" i="3"/>
  <c r="AE155" i="3"/>
  <c r="AF155" i="3"/>
  <c r="AG155" i="3"/>
  <c r="AH155" i="3"/>
  <c r="AI155" i="3"/>
  <c r="AJ155" i="3"/>
  <c r="AK155" i="3"/>
  <c r="AL155" i="3"/>
  <c r="AM155" i="3"/>
  <c r="AN155" i="3"/>
  <c r="AO155" i="3"/>
  <c r="AP155" i="3"/>
  <c r="AQ155" i="3"/>
  <c r="AR155" i="3"/>
  <c r="AS155" i="3"/>
  <c r="AT155" i="3"/>
  <c r="AU155" i="3"/>
  <c r="D156" i="3"/>
  <c r="E156" i="3"/>
  <c r="F156" i="3"/>
  <c r="G156" i="3"/>
  <c r="H156" i="3"/>
  <c r="I156" i="3"/>
  <c r="J156" i="3"/>
  <c r="K156" i="3"/>
  <c r="L156" i="3"/>
  <c r="M156" i="3"/>
  <c r="N156" i="3"/>
  <c r="O156" i="3"/>
  <c r="P156" i="3"/>
  <c r="Q156" i="3"/>
  <c r="R156" i="3"/>
  <c r="S156" i="3"/>
  <c r="T156" i="3"/>
  <c r="U156" i="3"/>
  <c r="V156" i="3"/>
  <c r="W156" i="3"/>
  <c r="X156" i="3"/>
  <c r="Y156" i="3"/>
  <c r="Z156" i="3"/>
  <c r="AA156" i="3"/>
  <c r="AB156" i="3"/>
  <c r="AC156" i="3"/>
  <c r="AD156" i="3"/>
  <c r="AE156" i="3"/>
  <c r="AF156" i="3"/>
  <c r="AG156" i="3"/>
  <c r="AH156" i="3"/>
  <c r="AI156" i="3"/>
  <c r="AJ156" i="3"/>
  <c r="AK156" i="3"/>
  <c r="AL156" i="3"/>
  <c r="AM156" i="3"/>
  <c r="AN156" i="3"/>
  <c r="AO156" i="3"/>
  <c r="AP156" i="3"/>
  <c r="AQ156" i="3"/>
  <c r="AR156" i="3"/>
  <c r="AS156" i="3"/>
  <c r="AT156" i="3"/>
  <c r="AU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D158" i="3"/>
  <c r="E158" i="3"/>
  <c r="F158" i="3"/>
  <c r="G158" i="3"/>
  <c r="H158" i="3"/>
  <c r="I158" i="3"/>
  <c r="J158" i="3"/>
  <c r="K158" i="3"/>
  <c r="L158" i="3"/>
  <c r="M158" i="3"/>
  <c r="N158" i="3"/>
  <c r="O158" i="3"/>
  <c r="P158" i="3"/>
  <c r="Q158" i="3"/>
  <c r="R158" i="3"/>
  <c r="S158" i="3"/>
  <c r="T158" i="3"/>
  <c r="U158" i="3"/>
  <c r="V158" i="3"/>
  <c r="W158" i="3"/>
  <c r="X158" i="3"/>
  <c r="Y158" i="3"/>
  <c r="Z158" i="3"/>
  <c r="AA158" i="3"/>
  <c r="AB158" i="3"/>
  <c r="AC158" i="3"/>
  <c r="AD158" i="3"/>
  <c r="AE158" i="3"/>
  <c r="AF158" i="3"/>
  <c r="AG158" i="3"/>
  <c r="AH158" i="3"/>
  <c r="AI158" i="3"/>
  <c r="AJ158" i="3"/>
  <c r="AK158" i="3"/>
  <c r="AL158" i="3"/>
  <c r="AM158" i="3"/>
  <c r="AN158" i="3"/>
  <c r="AO158" i="3"/>
  <c r="AP158" i="3"/>
  <c r="AQ158" i="3"/>
  <c r="AR158" i="3"/>
  <c r="AS158" i="3"/>
  <c r="AT158" i="3"/>
  <c r="AU158" i="3"/>
  <c r="D159" i="3"/>
  <c r="E159" i="3"/>
  <c r="F159" i="3"/>
  <c r="G159" i="3"/>
  <c r="H159" i="3"/>
  <c r="I159" i="3"/>
  <c r="J159" i="3"/>
  <c r="K159" i="3"/>
  <c r="L159" i="3"/>
  <c r="M159" i="3"/>
  <c r="N159" i="3"/>
  <c r="O159" i="3"/>
  <c r="P159" i="3"/>
  <c r="Q159" i="3"/>
  <c r="R159" i="3"/>
  <c r="S159" i="3"/>
  <c r="T159" i="3"/>
  <c r="U159" i="3"/>
  <c r="V159" i="3"/>
  <c r="W159" i="3"/>
  <c r="X159" i="3"/>
  <c r="Y159" i="3"/>
  <c r="Z159" i="3"/>
  <c r="AA159" i="3"/>
  <c r="AB159" i="3"/>
  <c r="AC159" i="3"/>
  <c r="AD159" i="3"/>
  <c r="AE159" i="3"/>
  <c r="AF159" i="3"/>
  <c r="AG159" i="3"/>
  <c r="AH159" i="3"/>
  <c r="AI159" i="3"/>
  <c r="AJ159" i="3"/>
  <c r="AK159" i="3"/>
  <c r="AL159" i="3"/>
  <c r="AM159" i="3"/>
  <c r="AN159" i="3"/>
  <c r="AO159" i="3"/>
  <c r="AP159" i="3"/>
  <c r="AQ159" i="3"/>
  <c r="AR159" i="3"/>
  <c r="AS159" i="3"/>
  <c r="AT159" i="3"/>
  <c r="AU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D161" i="3"/>
  <c r="E161" i="3"/>
  <c r="F161" i="3"/>
  <c r="G161" i="3"/>
  <c r="H161" i="3"/>
  <c r="I161" i="3"/>
  <c r="J161" i="3"/>
  <c r="K161" i="3"/>
  <c r="L161" i="3"/>
  <c r="M161" i="3"/>
  <c r="N161" i="3"/>
  <c r="O161" i="3"/>
  <c r="P161" i="3"/>
  <c r="Q161" i="3"/>
  <c r="R161" i="3"/>
  <c r="S161" i="3"/>
  <c r="T161" i="3"/>
  <c r="U161" i="3"/>
  <c r="V161" i="3"/>
  <c r="W161" i="3"/>
  <c r="X161" i="3"/>
  <c r="Y161" i="3"/>
  <c r="Z161" i="3"/>
  <c r="AA161" i="3"/>
  <c r="AB161" i="3"/>
  <c r="AC161" i="3"/>
  <c r="AD161" i="3"/>
  <c r="AE161" i="3"/>
  <c r="AF161" i="3"/>
  <c r="AG161" i="3"/>
  <c r="AH161" i="3"/>
  <c r="AI161" i="3"/>
  <c r="AJ161" i="3"/>
  <c r="AK161" i="3"/>
  <c r="AL161" i="3"/>
  <c r="AM161" i="3"/>
  <c r="AN161" i="3"/>
  <c r="AO161" i="3"/>
  <c r="AP161" i="3"/>
  <c r="AQ161" i="3"/>
  <c r="AR161" i="3"/>
  <c r="AS161" i="3"/>
  <c r="AT161" i="3"/>
  <c r="AU161" i="3"/>
  <c r="D162" i="3"/>
  <c r="E162" i="3"/>
  <c r="F162" i="3"/>
  <c r="G162" i="3"/>
  <c r="H162" i="3"/>
  <c r="I162" i="3"/>
  <c r="J162" i="3"/>
  <c r="K162" i="3"/>
  <c r="L162" i="3"/>
  <c r="M162" i="3"/>
  <c r="N162" i="3"/>
  <c r="O162" i="3"/>
  <c r="P162" i="3"/>
  <c r="Q162" i="3"/>
  <c r="R162" i="3"/>
  <c r="S162" i="3"/>
  <c r="T162" i="3"/>
  <c r="U162" i="3"/>
  <c r="V162" i="3"/>
  <c r="W162" i="3"/>
  <c r="X162" i="3"/>
  <c r="Y162" i="3"/>
  <c r="Z162" i="3"/>
  <c r="AA162" i="3"/>
  <c r="AB162" i="3"/>
  <c r="AC162" i="3"/>
  <c r="AD162" i="3"/>
  <c r="AE162" i="3"/>
  <c r="AF162" i="3"/>
  <c r="AG162" i="3"/>
  <c r="AH162" i="3"/>
  <c r="AI162" i="3"/>
  <c r="AJ162" i="3"/>
  <c r="AK162" i="3"/>
  <c r="AL162" i="3"/>
  <c r="AM162" i="3"/>
  <c r="AN162" i="3"/>
  <c r="AO162" i="3"/>
  <c r="AP162" i="3"/>
  <c r="AQ162" i="3"/>
  <c r="AR162" i="3"/>
  <c r="AS162" i="3"/>
  <c r="AT162" i="3"/>
  <c r="AU162" i="3"/>
  <c r="D163" i="3"/>
  <c r="E163" i="3"/>
  <c r="F163" i="3"/>
  <c r="G163" i="3"/>
  <c r="H163" i="3"/>
  <c r="I163" i="3"/>
  <c r="J163" i="3"/>
  <c r="K163" i="3"/>
  <c r="L163" i="3"/>
  <c r="M163" i="3"/>
  <c r="N163" i="3"/>
  <c r="O163" i="3"/>
  <c r="P163" i="3"/>
  <c r="Q163" i="3"/>
  <c r="R163" i="3"/>
  <c r="S163" i="3"/>
  <c r="T163" i="3"/>
  <c r="U163" i="3"/>
  <c r="V163" i="3"/>
  <c r="W163" i="3"/>
  <c r="X163" i="3"/>
  <c r="Y163" i="3"/>
  <c r="Z163" i="3"/>
  <c r="AA163" i="3"/>
  <c r="AB163" i="3"/>
  <c r="AC163" i="3"/>
  <c r="AD163" i="3"/>
  <c r="AE163" i="3"/>
  <c r="AF163" i="3"/>
  <c r="AG163" i="3"/>
  <c r="AH163" i="3"/>
  <c r="AI163" i="3"/>
  <c r="AJ163" i="3"/>
  <c r="AK163" i="3"/>
  <c r="AL163" i="3"/>
  <c r="AM163" i="3"/>
  <c r="AN163" i="3"/>
  <c r="AO163" i="3"/>
  <c r="AP163" i="3"/>
  <c r="AQ163" i="3"/>
  <c r="AR163" i="3"/>
  <c r="AS163" i="3"/>
  <c r="AT163" i="3"/>
  <c r="AU163" i="3"/>
  <c r="D164" i="3"/>
  <c r="E164" i="3"/>
  <c r="F164" i="3"/>
  <c r="G164" i="3"/>
  <c r="H164" i="3"/>
  <c r="I164" i="3"/>
  <c r="J164" i="3"/>
  <c r="K164" i="3"/>
  <c r="L164" i="3"/>
  <c r="M164" i="3"/>
  <c r="N164" i="3"/>
  <c r="O164" i="3"/>
  <c r="P164" i="3"/>
  <c r="Q164" i="3"/>
  <c r="R164" i="3"/>
  <c r="S164" i="3"/>
  <c r="T164" i="3"/>
  <c r="U164" i="3"/>
  <c r="V164" i="3"/>
  <c r="W164" i="3"/>
  <c r="X164" i="3"/>
  <c r="Y164" i="3"/>
  <c r="Z164" i="3"/>
  <c r="AA164" i="3"/>
  <c r="AB164" i="3"/>
  <c r="AC164" i="3"/>
  <c r="AD164" i="3"/>
  <c r="AE164" i="3"/>
  <c r="AF164" i="3"/>
  <c r="AG164" i="3"/>
  <c r="AH164" i="3"/>
  <c r="AI164" i="3"/>
  <c r="AJ164" i="3"/>
  <c r="AK164" i="3"/>
  <c r="AL164" i="3"/>
  <c r="AM164" i="3"/>
  <c r="AN164" i="3"/>
  <c r="AO164" i="3"/>
  <c r="AP164" i="3"/>
  <c r="AQ164" i="3"/>
  <c r="AR164" i="3"/>
  <c r="AS164" i="3"/>
  <c r="AT164" i="3"/>
  <c r="AU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D166" i="3"/>
  <c r="E166" i="3"/>
  <c r="F166" i="3"/>
  <c r="G166" i="3"/>
  <c r="H166" i="3"/>
  <c r="I166" i="3"/>
  <c r="J166" i="3"/>
  <c r="K166" i="3"/>
  <c r="L166" i="3"/>
  <c r="M166" i="3"/>
  <c r="N166" i="3"/>
  <c r="O166" i="3"/>
  <c r="P166" i="3"/>
  <c r="Q166" i="3"/>
  <c r="R166" i="3"/>
  <c r="S166" i="3"/>
  <c r="T166" i="3"/>
  <c r="U166" i="3"/>
  <c r="V166" i="3"/>
  <c r="W166" i="3"/>
  <c r="X166" i="3"/>
  <c r="Y166" i="3"/>
  <c r="Z166" i="3"/>
  <c r="AA166" i="3"/>
  <c r="AB166" i="3"/>
  <c r="AC166" i="3"/>
  <c r="AD166" i="3"/>
  <c r="AE166" i="3"/>
  <c r="AF166" i="3"/>
  <c r="AG166" i="3"/>
  <c r="AH166" i="3"/>
  <c r="AI166" i="3"/>
  <c r="AJ166" i="3"/>
  <c r="AK166" i="3"/>
  <c r="AL166" i="3"/>
  <c r="AM166" i="3"/>
  <c r="AN166" i="3"/>
  <c r="AO166" i="3"/>
  <c r="AP166" i="3"/>
  <c r="AQ166" i="3"/>
  <c r="AR166" i="3"/>
  <c r="AS166" i="3"/>
  <c r="AT166" i="3"/>
  <c r="AU166" i="3"/>
  <c r="D167" i="3"/>
  <c r="E167" i="3"/>
  <c r="F167" i="3"/>
  <c r="G167" i="3"/>
  <c r="H167" i="3"/>
  <c r="I167" i="3"/>
  <c r="J167" i="3"/>
  <c r="K167" i="3"/>
  <c r="L167" i="3"/>
  <c r="M167" i="3"/>
  <c r="N167" i="3"/>
  <c r="O167" i="3"/>
  <c r="P167" i="3"/>
  <c r="Q167" i="3"/>
  <c r="R167" i="3"/>
  <c r="S167" i="3"/>
  <c r="T167" i="3"/>
  <c r="U167" i="3"/>
  <c r="V167" i="3"/>
  <c r="W167" i="3"/>
  <c r="X167" i="3"/>
  <c r="Y167" i="3"/>
  <c r="Z167" i="3"/>
  <c r="AA167" i="3"/>
  <c r="AB167" i="3"/>
  <c r="AC167" i="3"/>
  <c r="AD167" i="3"/>
  <c r="AE167" i="3"/>
  <c r="AF167" i="3"/>
  <c r="AG167" i="3"/>
  <c r="AH167" i="3"/>
  <c r="AI167" i="3"/>
  <c r="AJ167" i="3"/>
  <c r="AK167" i="3"/>
  <c r="AL167" i="3"/>
  <c r="AM167" i="3"/>
  <c r="AN167" i="3"/>
  <c r="AO167" i="3"/>
  <c r="AP167" i="3"/>
  <c r="AQ167" i="3"/>
  <c r="AR167" i="3"/>
  <c r="AS167" i="3"/>
  <c r="AT167" i="3"/>
  <c r="AU167" i="3"/>
  <c r="D168" i="3"/>
  <c r="E168" i="3"/>
  <c r="F168" i="3"/>
  <c r="G168" i="3"/>
  <c r="H168" i="3"/>
  <c r="I168" i="3"/>
  <c r="J168" i="3"/>
  <c r="K168" i="3"/>
  <c r="L168" i="3"/>
  <c r="M168" i="3"/>
  <c r="N168" i="3"/>
  <c r="O168" i="3"/>
  <c r="P168" i="3"/>
  <c r="Q168" i="3"/>
  <c r="R168" i="3"/>
  <c r="S168" i="3"/>
  <c r="T168" i="3"/>
  <c r="U168" i="3"/>
  <c r="V168" i="3"/>
  <c r="W168" i="3"/>
  <c r="X168" i="3"/>
  <c r="Y168" i="3"/>
  <c r="Z168" i="3"/>
  <c r="AA168" i="3"/>
  <c r="AB168" i="3"/>
  <c r="AC168" i="3"/>
  <c r="AD168" i="3"/>
  <c r="AE168" i="3"/>
  <c r="AF168" i="3"/>
  <c r="AG168" i="3"/>
  <c r="AH168" i="3"/>
  <c r="AI168" i="3"/>
  <c r="AJ168" i="3"/>
  <c r="AK168" i="3"/>
  <c r="AL168" i="3"/>
  <c r="AM168" i="3"/>
  <c r="AN168" i="3"/>
  <c r="AO168" i="3"/>
  <c r="AP168" i="3"/>
  <c r="AQ168" i="3"/>
  <c r="AR168" i="3"/>
  <c r="AS168" i="3"/>
  <c r="AT168" i="3"/>
  <c r="AU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D170" i="3"/>
  <c r="E170" i="3"/>
  <c r="F170" i="3"/>
  <c r="G170" i="3"/>
  <c r="H170" i="3"/>
  <c r="I170" i="3"/>
  <c r="J170" i="3"/>
  <c r="K170" i="3"/>
  <c r="L170" i="3"/>
  <c r="M170" i="3"/>
  <c r="N170" i="3"/>
  <c r="O170" i="3"/>
  <c r="P170" i="3"/>
  <c r="Q170" i="3"/>
  <c r="R170" i="3"/>
  <c r="S170" i="3"/>
  <c r="T170" i="3"/>
  <c r="U170" i="3"/>
  <c r="V170" i="3"/>
  <c r="W170" i="3"/>
  <c r="X170" i="3"/>
  <c r="Y170" i="3"/>
  <c r="Z170" i="3"/>
  <c r="AA170" i="3"/>
  <c r="AB170" i="3"/>
  <c r="AC170" i="3"/>
  <c r="AD170" i="3"/>
  <c r="AE170" i="3"/>
  <c r="AF170" i="3"/>
  <c r="AG170" i="3"/>
  <c r="AH170" i="3"/>
  <c r="AI170" i="3"/>
  <c r="AJ170" i="3"/>
  <c r="AK170" i="3"/>
  <c r="AL170" i="3"/>
  <c r="AM170" i="3"/>
  <c r="AN170" i="3"/>
  <c r="AO170" i="3"/>
  <c r="AP170" i="3"/>
  <c r="AQ170" i="3"/>
  <c r="AR170" i="3"/>
  <c r="AS170" i="3"/>
  <c r="AT170" i="3"/>
  <c r="AU170" i="3"/>
  <c r="B4" i="3"/>
  <c r="C4" i="3"/>
  <c r="B5" i="3"/>
  <c r="C5" i="3"/>
  <c r="B6" i="3"/>
  <c r="C6" i="3"/>
  <c r="B7" i="3"/>
  <c r="C7" i="3"/>
  <c r="B8" i="3"/>
  <c r="C8" i="3"/>
  <c r="B9" i="3"/>
  <c r="C9" i="3"/>
  <c r="B10" i="3"/>
  <c r="C10" i="3"/>
  <c r="B11" i="3"/>
  <c r="C11" i="3"/>
  <c r="B12" i="3"/>
  <c r="C12" i="3"/>
  <c r="B13" i="3"/>
  <c r="C13" i="3"/>
  <c r="B14" i="3"/>
  <c r="C14" i="3"/>
  <c r="B15" i="3"/>
  <c r="C15" i="3"/>
  <c r="B16" i="3"/>
  <c r="C16" i="3"/>
  <c r="B17" i="3"/>
  <c r="C17" i="3"/>
  <c r="B18" i="3"/>
  <c r="C18" i="3"/>
  <c r="B19" i="3"/>
  <c r="C19" i="3"/>
  <c r="B20" i="3"/>
  <c r="C20" i="3"/>
  <c r="B21" i="3"/>
  <c r="C21" i="3"/>
  <c r="B22" i="3"/>
  <c r="C22" i="3"/>
  <c r="B23" i="3"/>
  <c r="C23" i="3"/>
  <c r="B24" i="3"/>
  <c r="C24" i="3"/>
  <c r="B25" i="3"/>
  <c r="C25" i="3"/>
  <c r="B26" i="3"/>
  <c r="C26" i="3"/>
  <c r="B27" i="3"/>
  <c r="C27" i="3"/>
  <c r="B28" i="3"/>
  <c r="C28" i="3"/>
  <c r="B29" i="3"/>
  <c r="C29" i="3"/>
  <c r="B30" i="3"/>
  <c r="C30" i="3"/>
  <c r="B31" i="3"/>
  <c r="C31" i="3"/>
  <c r="B32" i="3"/>
  <c r="C32" i="3"/>
  <c r="B33" i="3"/>
  <c r="C33" i="3"/>
  <c r="B34" i="3"/>
  <c r="C34" i="3"/>
  <c r="B35" i="3"/>
  <c r="C35" i="3"/>
  <c r="B36" i="3"/>
  <c r="C36" i="3"/>
  <c r="B37" i="3"/>
  <c r="C37" i="3"/>
  <c r="B38" i="3"/>
  <c r="C38" i="3"/>
  <c r="B39" i="3"/>
  <c r="C39" i="3"/>
  <c r="B40" i="3"/>
  <c r="C40" i="3"/>
  <c r="B41" i="3"/>
  <c r="C41" i="3"/>
  <c r="B42" i="3"/>
  <c r="C42" i="3"/>
  <c r="B43" i="3"/>
  <c r="C43" i="3"/>
  <c r="B44" i="3"/>
  <c r="C44" i="3"/>
  <c r="B45" i="3"/>
  <c r="C45" i="3"/>
  <c r="B46" i="3"/>
  <c r="C46" i="3"/>
  <c r="B47" i="3"/>
  <c r="C47" i="3"/>
  <c r="B48" i="3"/>
  <c r="C48" i="3"/>
  <c r="B49" i="3"/>
  <c r="C49" i="3"/>
  <c r="B50" i="3"/>
  <c r="C50" i="3"/>
  <c r="B51" i="3"/>
  <c r="C51" i="3"/>
  <c r="B52" i="3"/>
  <c r="C52" i="3"/>
  <c r="B53" i="3"/>
  <c r="C53" i="3"/>
  <c r="B54" i="3"/>
  <c r="C54" i="3"/>
  <c r="B55" i="3"/>
  <c r="C55" i="3"/>
  <c r="B56" i="3"/>
  <c r="C56" i="3"/>
  <c r="B57" i="3"/>
  <c r="C57" i="3"/>
  <c r="B58" i="3"/>
  <c r="C58" i="3"/>
  <c r="B59" i="3"/>
  <c r="C59" i="3"/>
  <c r="B60" i="3"/>
  <c r="C60" i="3"/>
  <c r="B61" i="3"/>
  <c r="C61" i="3"/>
  <c r="B62" i="3"/>
  <c r="C62" i="3"/>
  <c r="B63" i="3"/>
  <c r="C63" i="3"/>
  <c r="B64" i="3"/>
  <c r="C64" i="3"/>
  <c r="B65" i="3"/>
  <c r="C65" i="3"/>
  <c r="B66" i="3"/>
  <c r="C66" i="3"/>
  <c r="B67" i="3"/>
  <c r="C67" i="3"/>
  <c r="B68" i="3"/>
  <c r="C68" i="3"/>
  <c r="B69" i="3"/>
  <c r="C69" i="3"/>
  <c r="B70" i="3"/>
  <c r="C70" i="3"/>
  <c r="B71" i="3"/>
  <c r="C71" i="3"/>
  <c r="B72" i="3"/>
  <c r="C72" i="3"/>
  <c r="B73" i="3"/>
  <c r="C73" i="3"/>
  <c r="B74" i="3"/>
  <c r="C74" i="3"/>
  <c r="B75" i="3"/>
  <c r="C75" i="3"/>
  <c r="B76" i="3"/>
  <c r="C76" i="3"/>
  <c r="B77" i="3"/>
  <c r="C77" i="3"/>
  <c r="B78" i="3"/>
  <c r="C78" i="3"/>
  <c r="B79" i="3"/>
  <c r="C79" i="3"/>
  <c r="B80" i="3"/>
  <c r="C80" i="3"/>
  <c r="B81" i="3"/>
  <c r="C81" i="3"/>
  <c r="B82" i="3"/>
  <c r="C82" i="3"/>
  <c r="B83" i="3"/>
  <c r="C83" i="3"/>
  <c r="B84" i="3"/>
  <c r="C84" i="3"/>
  <c r="B85" i="3"/>
  <c r="C85" i="3"/>
  <c r="B86" i="3"/>
  <c r="C86" i="3"/>
  <c r="B87" i="3"/>
  <c r="C87" i="3"/>
  <c r="B88" i="3"/>
  <c r="C88" i="3"/>
  <c r="B89" i="3"/>
  <c r="C89" i="3"/>
  <c r="B90" i="3"/>
  <c r="C90" i="3"/>
  <c r="B91" i="3"/>
  <c r="C91" i="3"/>
  <c r="B92" i="3"/>
  <c r="C92" i="3"/>
  <c r="B93" i="3"/>
  <c r="C93" i="3"/>
  <c r="B94" i="3"/>
  <c r="C94" i="3"/>
  <c r="B95" i="3"/>
  <c r="C95" i="3"/>
  <c r="B96" i="3"/>
  <c r="C96" i="3"/>
  <c r="B97" i="3"/>
  <c r="C97" i="3"/>
  <c r="B98" i="3"/>
  <c r="C98" i="3"/>
  <c r="B99" i="3"/>
  <c r="C99" i="3"/>
  <c r="B100" i="3"/>
  <c r="C100" i="3"/>
  <c r="B101" i="3"/>
  <c r="C101" i="3"/>
  <c r="B102" i="3"/>
  <c r="C102" i="3"/>
  <c r="B103" i="3"/>
  <c r="C103" i="3"/>
  <c r="B104" i="3"/>
  <c r="C104" i="3"/>
  <c r="B105" i="3"/>
  <c r="C105" i="3"/>
  <c r="B106" i="3"/>
  <c r="C106" i="3"/>
  <c r="B107" i="3"/>
  <c r="C107" i="3"/>
  <c r="B108" i="3"/>
  <c r="C108" i="3"/>
  <c r="B109" i="3"/>
  <c r="C109" i="3"/>
  <c r="B110" i="3"/>
  <c r="C110" i="3"/>
  <c r="B111" i="3"/>
  <c r="C111" i="3"/>
  <c r="B112" i="3"/>
  <c r="C112" i="3"/>
  <c r="B113" i="3"/>
  <c r="C113" i="3"/>
  <c r="B114" i="3"/>
  <c r="C114" i="3"/>
  <c r="B115" i="3"/>
  <c r="C115" i="3"/>
  <c r="B116" i="3"/>
  <c r="C116" i="3"/>
  <c r="B117" i="3"/>
  <c r="C117" i="3"/>
  <c r="B118" i="3"/>
  <c r="C118" i="3"/>
  <c r="B119" i="3"/>
  <c r="C119" i="3"/>
  <c r="B120" i="3"/>
  <c r="C120" i="3"/>
  <c r="B121" i="3"/>
  <c r="C121" i="3"/>
  <c r="B122" i="3"/>
  <c r="C122" i="3"/>
  <c r="B123" i="3"/>
  <c r="C123" i="3"/>
  <c r="B124" i="3"/>
  <c r="C124" i="3"/>
  <c r="B125" i="3"/>
  <c r="C125" i="3"/>
  <c r="B126" i="3"/>
  <c r="C126" i="3"/>
  <c r="B127" i="3"/>
  <c r="C127" i="3"/>
  <c r="B128" i="3"/>
  <c r="C128" i="3"/>
  <c r="B129" i="3"/>
  <c r="C129" i="3"/>
  <c r="B130" i="3"/>
  <c r="C130" i="3"/>
  <c r="B131" i="3"/>
  <c r="C131" i="3"/>
  <c r="B132" i="3"/>
  <c r="C132" i="3"/>
  <c r="B133" i="3"/>
  <c r="C133" i="3"/>
  <c r="B134" i="3"/>
  <c r="C134" i="3"/>
  <c r="B135" i="3"/>
  <c r="C135" i="3"/>
  <c r="B136" i="3"/>
  <c r="C136" i="3"/>
  <c r="B137" i="3"/>
  <c r="C137" i="3"/>
  <c r="B138" i="3"/>
  <c r="C138" i="3"/>
  <c r="B139" i="3"/>
  <c r="C139" i="3"/>
  <c r="B140" i="3"/>
  <c r="C140" i="3"/>
  <c r="B141" i="3"/>
  <c r="C141" i="3"/>
  <c r="B142" i="3"/>
  <c r="C142" i="3"/>
  <c r="B143" i="3"/>
  <c r="C143" i="3"/>
  <c r="B144" i="3"/>
  <c r="C144" i="3"/>
  <c r="B145" i="3"/>
  <c r="C145" i="3"/>
  <c r="B146" i="3"/>
  <c r="C146" i="3"/>
  <c r="B147" i="3"/>
  <c r="C147" i="3"/>
  <c r="B148" i="3"/>
  <c r="C148" i="3"/>
  <c r="B149" i="3"/>
  <c r="C149" i="3"/>
  <c r="B150" i="3"/>
  <c r="C150" i="3"/>
  <c r="B151" i="3"/>
  <c r="C151" i="3"/>
  <c r="B152" i="3"/>
  <c r="C152" i="3"/>
  <c r="B153" i="3"/>
  <c r="C153" i="3"/>
  <c r="B154" i="3"/>
  <c r="C154" i="3"/>
  <c r="B155" i="3"/>
  <c r="C155" i="3"/>
  <c r="B156" i="3"/>
  <c r="C156" i="3"/>
  <c r="B157" i="3"/>
  <c r="C157" i="3"/>
  <c r="B158" i="3"/>
  <c r="C158" i="3"/>
  <c r="B159" i="3"/>
  <c r="C159" i="3"/>
  <c r="B160" i="3"/>
  <c r="C160" i="3"/>
  <c r="B161" i="3"/>
  <c r="C161" i="3"/>
  <c r="B162" i="3"/>
  <c r="C162" i="3"/>
  <c r="B163" i="3"/>
  <c r="C163" i="3"/>
  <c r="B164" i="3"/>
  <c r="C164" i="3"/>
  <c r="B165" i="3"/>
  <c r="C165" i="3"/>
  <c r="B166" i="3"/>
  <c r="C166" i="3"/>
  <c r="B167" i="3"/>
  <c r="C167" i="3"/>
  <c r="B168" i="3"/>
  <c r="C168" i="3"/>
  <c r="B169" i="3"/>
  <c r="C169" i="3"/>
  <c r="B170" i="3"/>
  <c r="C170" i="3"/>
  <c r="B161" i="16" l="1"/>
  <c r="B162" i="16"/>
  <c r="B163" i="16"/>
  <c r="B164" i="16"/>
  <c r="B165" i="16"/>
  <c r="B166" i="16"/>
  <c r="B167" i="16"/>
  <c r="B168" i="16"/>
  <c r="B169" i="16"/>
  <c r="B170" i="16"/>
  <c r="B171" i="16"/>
  <c r="B172" i="16"/>
  <c r="B173" i="16"/>
  <c r="B174" i="16"/>
  <c r="B175" i="16"/>
  <c r="B176" i="16"/>
  <c r="B177" i="16"/>
  <c r="B178" i="16"/>
  <c r="B179" i="16"/>
  <c r="B180" i="16"/>
  <c r="B181" i="16"/>
  <c r="B182" i="16"/>
  <c r="B183" i="16"/>
  <c r="B184" i="16"/>
  <c r="B185" i="16"/>
  <c r="B186" i="16"/>
  <c r="AV156" i="23"/>
  <c r="C156" i="23"/>
  <c r="AV157" i="23" l="1"/>
  <c r="B11" i="16" l="1"/>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B119" i="16"/>
  <c r="B120" i="16"/>
  <c r="B121" i="16"/>
  <c r="B122" i="16"/>
  <c r="B123" i="16"/>
  <c r="B124" i="16"/>
  <c r="B125" i="16"/>
  <c r="B126" i="16"/>
  <c r="B127" i="16"/>
  <c r="B128" i="16"/>
  <c r="B129" i="16"/>
  <c r="B130" i="16"/>
  <c r="B131" i="16"/>
  <c r="B132" i="16"/>
  <c r="B133" i="16"/>
  <c r="B134" i="16"/>
  <c r="B135" i="16"/>
  <c r="B136" i="16"/>
  <c r="B137" i="16"/>
  <c r="B138" i="16"/>
  <c r="B139" i="16"/>
  <c r="B140" i="16"/>
  <c r="B141" i="16"/>
  <c r="B142" i="16"/>
  <c r="B143" i="16"/>
  <c r="B144" i="16"/>
  <c r="B145" i="16"/>
  <c r="B146" i="16"/>
  <c r="B147" i="16"/>
  <c r="B148" i="16"/>
  <c r="B149" i="16"/>
  <c r="B150" i="16"/>
  <c r="B151" i="16"/>
  <c r="B152" i="16"/>
  <c r="B153" i="16"/>
  <c r="B154" i="16"/>
  <c r="B155" i="16"/>
  <c r="B156" i="16"/>
  <c r="B157" i="16"/>
  <c r="B158" i="16"/>
  <c r="B159" i="16"/>
  <c r="B160" i="16"/>
  <c r="B6" i="23" l="1"/>
  <c r="A3" i="3"/>
  <c r="A4" i="3" l="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 r="A102" i="3" s="1"/>
  <c r="A103" i="3" s="1"/>
  <c r="A104" i="3" s="1"/>
  <c r="A105" i="3" s="1"/>
  <c r="A106" i="3" s="1"/>
  <c r="A107" i="3" s="1"/>
  <c r="A108" i="3" s="1"/>
  <c r="A109" i="3" s="1"/>
  <c r="A110" i="3" s="1"/>
  <c r="A111" i="3" s="1"/>
  <c r="A112" i="3" s="1"/>
  <c r="A113" i="3" s="1"/>
  <c r="A114" i="3" s="1"/>
  <c r="A115" i="3" s="1"/>
  <c r="A116" i="3" s="1"/>
  <c r="A117" i="3" s="1"/>
  <c r="A118" i="3" s="1"/>
  <c r="A119" i="3" s="1"/>
  <c r="A120" i="3" s="1"/>
  <c r="A121" i="3" s="1"/>
  <c r="A122" i="3" s="1"/>
  <c r="A123" i="3" s="1"/>
  <c r="A124" i="3" s="1"/>
  <c r="A125" i="3" s="1"/>
  <c r="A126" i="3" s="1"/>
  <c r="A127" i="3" s="1"/>
  <c r="A128" i="3" s="1"/>
  <c r="A129" i="3" s="1"/>
  <c r="A130" i="3" s="1"/>
  <c r="A131" i="3" s="1"/>
  <c r="A132" i="3" s="1"/>
  <c r="A133" i="3" s="1"/>
  <c r="A134" i="3" s="1"/>
  <c r="A135" i="3" s="1"/>
  <c r="A136" i="3" s="1"/>
  <c r="A137" i="3" s="1"/>
  <c r="A138" i="3" s="1"/>
  <c r="A139" i="3" s="1"/>
  <c r="A140" i="3" s="1"/>
  <c r="A141" i="3" s="1"/>
  <c r="A142" i="3" s="1"/>
  <c r="A143" i="3" s="1"/>
  <c r="A144" i="3" s="1"/>
  <c r="A145" i="3" s="1"/>
  <c r="A146" i="3" s="1"/>
  <c r="A147" i="3" s="1"/>
  <c r="A148" i="3" s="1"/>
  <c r="A149" i="3" s="1"/>
  <c r="A150" i="3" s="1"/>
  <c r="A151" i="3" s="1"/>
  <c r="A152" i="3" s="1"/>
  <c r="A153" i="3" s="1"/>
  <c r="A154" i="3" s="1"/>
  <c r="A155" i="3" s="1"/>
  <c r="A156" i="3" s="1"/>
  <c r="A157" i="3" s="1"/>
  <c r="A158" i="3" s="1"/>
  <c r="A159" i="3" s="1"/>
  <c r="A160" i="3" s="1"/>
  <c r="A161" i="3" s="1"/>
  <c r="A162" i="3" s="1"/>
  <c r="A163" i="3" s="1"/>
  <c r="A164" i="3" s="1"/>
  <c r="A165" i="3" s="1"/>
  <c r="A166" i="3" s="1"/>
  <c r="A167" i="3" s="1"/>
  <c r="A168" i="3" s="1"/>
  <c r="A169" i="3" s="1"/>
  <c r="A170" i="3" s="1"/>
  <c r="A171" i="3" s="1"/>
  <c r="A172" i="3" s="1"/>
  <c r="A173" i="3" s="1"/>
  <c r="A174" i="3" s="1"/>
  <c r="A175" i="3" s="1"/>
  <c r="D46" i="10"/>
  <c r="D29" i="10"/>
  <c r="D11" i="10"/>
  <c r="D21" i="10"/>
  <c r="D31" i="10"/>
  <c r="D45" i="10"/>
  <c r="D13" i="10"/>
  <c r="D28" i="10"/>
  <c r="D41" i="10"/>
  <c r="D58" i="10"/>
  <c r="D19" i="10"/>
  <c r="D33" i="10"/>
  <c r="D42" i="10"/>
  <c r="D59" i="10"/>
  <c r="B7" i="23"/>
  <c r="D23" i="10" l="1"/>
  <c r="D55" i="10"/>
  <c r="D34" i="10"/>
  <c r="D15" i="10"/>
  <c r="D54" i="10"/>
  <c r="D24" i="10"/>
  <c r="D52" i="10"/>
  <c r="D18" i="10"/>
  <c r="D40" i="10"/>
  <c r="D16" i="10"/>
  <c r="D14" i="10"/>
  <c r="D8" i="10"/>
  <c r="D49" i="10"/>
  <c r="D30" i="10"/>
  <c r="D10" i="10"/>
  <c r="D50" i="10"/>
  <c r="D44" i="10"/>
  <c r="D26" i="10"/>
  <c r="D7" i="10"/>
  <c r="D37" i="10"/>
  <c r="D9" i="10"/>
  <c r="D32" i="10"/>
  <c r="D56" i="10"/>
  <c r="D27" i="10"/>
  <c r="D47" i="10"/>
  <c r="D36" i="10"/>
  <c r="D35" i="10"/>
  <c r="D39" i="10"/>
  <c r="D20" i="10"/>
  <c r="D51" i="10"/>
  <c r="B8" i="23"/>
  <c r="O4" i="17"/>
  <c r="O5" i="17"/>
  <c r="O6" i="17"/>
  <c r="O7" i="17"/>
  <c r="O8" i="17"/>
  <c r="O9" i="17"/>
  <c r="O10" i="17"/>
  <c r="O11" i="17"/>
  <c r="O12" i="17"/>
  <c r="O13" i="17"/>
  <c r="O14" i="17"/>
  <c r="O16" i="17"/>
  <c r="O17" i="17"/>
  <c r="O18" i="17"/>
  <c r="O19" i="17"/>
  <c r="O20" i="17"/>
  <c r="O21" i="17"/>
  <c r="O22" i="17"/>
  <c r="O23" i="17"/>
  <c r="O24" i="17"/>
  <c r="O25" i="17"/>
  <c r="O26" i="17"/>
  <c r="O27" i="17"/>
  <c r="O28" i="17"/>
  <c r="O29" i="17"/>
  <c r="O30" i="17"/>
  <c r="O31" i="17"/>
  <c r="O32" i="17"/>
  <c r="O33" i="17"/>
  <c r="O34" i="17"/>
  <c r="O35" i="17"/>
  <c r="O36" i="17"/>
  <c r="O37" i="17"/>
  <c r="O38" i="17"/>
  <c r="O39" i="17"/>
  <c r="O40" i="17"/>
  <c r="O41" i="17"/>
  <c r="O42" i="17"/>
  <c r="O43" i="17"/>
  <c r="O44" i="17"/>
  <c r="O45" i="17"/>
  <c r="O46" i="17"/>
  <c r="O47" i="17"/>
  <c r="O48" i="17"/>
  <c r="O49" i="17"/>
  <c r="O50" i="17"/>
  <c r="O51" i="17"/>
  <c r="O52" i="17"/>
  <c r="O53" i="17"/>
  <c r="O54" i="17"/>
  <c r="O55" i="17"/>
  <c r="O56" i="17"/>
  <c r="O57" i="17"/>
  <c r="O58" i="17"/>
  <c r="O59" i="17"/>
  <c r="O60" i="17"/>
  <c r="O61" i="17"/>
  <c r="O62" i="17"/>
  <c r="O63" i="17"/>
  <c r="O64" i="17"/>
  <c r="O65" i="17"/>
  <c r="O66" i="17"/>
  <c r="O67" i="17"/>
  <c r="O68" i="17"/>
  <c r="O69" i="17"/>
  <c r="O70" i="17"/>
  <c r="O71" i="17"/>
  <c r="O72" i="17"/>
  <c r="O73" i="17"/>
  <c r="O74" i="17"/>
  <c r="O75" i="17"/>
  <c r="O76" i="17"/>
  <c r="O77" i="17"/>
  <c r="O78" i="17"/>
  <c r="O79" i="17"/>
  <c r="O80" i="17"/>
  <c r="O81" i="17"/>
  <c r="O82" i="17"/>
  <c r="O83" i="17"/>
  <c r="O84" i="17"/>
  <c r="O85" i="17"/>
  <c r="O86" i="17"/>
  <c r="O87" i="17"/>
  <c r="O88" i="17"/>
  <c r="O89" i="17"/>
  <c r="O90" i="17"/>
  <c r="O91" i="17"/>
  <c r="O92" i="17"/>
  <c r="O93" i="17"/>
  <c r="O94" i="17"/>
  <c r="O95" i="17"/>
  <c r="O96" i="17"/>
  <c r="O97" i="17"/>
  <c r="O98" i="17"/>
  <c r="O99" i="17"/>
  <c r="O100" i="17"/>
  <c r="O101" i="17"/>
  <c r="O102" i="17"/>
  <c r="O103" i="17"/>
  <c r="O104" i="17"/>
  <c r="O105" i="17"/>
  <c r="O106" i="17"/>
  <c r="O107" i="17"/>
  <c r="O108" i="17"/>
  <c r="O109" i="17"/>
  <c r="O110" i="17"/>
  <c r="O111" i="17"/>
  <c r="O112" i="17"/>
  <c r="O113" i="17"/>
  <c r="O114" i="17"/>
  <c r="O115" i="17"/>
  <c r="O116" i="17"/>
  <c r="O117" i="17"/>
  <c r="O118" i="17"/>
  <c r="O119" i="17"/>
  <c r="O120" i="17"/>
  <c r="O121" i="17"/>
  <c r="O122" i="17"/>
  <c r="O123" i="17"/>
  <c r="O124" i="17"/>
  <c r="O125" i="17"/>
  <c r="O126" i="17"/>
  <c r="O127" i="17"/>
  <c r="O128" i="17"/>
  <c r="O129" i="17"/>
  <c r="O130" i="17"/>
  <c r="O131" i="17"/>
  <c r="O132" i="17"/>
  <c r="O133" i="17"/>
  <c r="O134" i="17"/>
  <c r="O135" i="17"/>
  <c r="O136" i="17"/>
  <c r="O137" i="17"/>
  <c r="O138" i="17"/>
  <c r="O139" i="17"/>
  <c r="O140" i="17"/>
  <c r="O141" i="17"/>
  <c r="O142" i="17"/>
  <c r="O143" i="17"/>
  <c r="O144" i="17"/>
  <c r="O145" i="17"/>
  <c r="O146" i="17"/>
  <c r="O147" i="17"/>
  <c r="O148" i="17"/>
  <c r="O149" i="17"/>
  <c r="O150" i="17"/>
  <c r="O151" i="17"/>
  <c r="O152" i="17"/>
  <c r="O153" i="17"/>
  <c r="O154" i="17"/>
  <c r="O155" i="17"/>
  <c r="O156" i="17"/>
  <c r="O157" i="17"/>
  <c r="O158" i="17"/>
  <c r="O159" i="17"/>
  <c r="O160" i="17"/>
  <c r="O161" i="17"/>
  <c r="O162" i="17"/>
  <c r="O163" i="17"/>
  <c r="O164" i="17"/>
  <c r="O165" i="17"/>
  <c r="O166" i="17"/>
  <c r="O167" i="17"/>
  <c r="O168" i="17"/>
  <c r="O169" i="17"/>
  <c r="O170" i="17"/>
  <c r="O171" i="17"/>
  <c r="O172" i="17"/>
  <c r="B3" i="3"/>
  <c r="C6" i="23" s="1"/>
  <c r="C3" i="3"/>
  <c r="C7" i="23"/>
  <c r="C8" i="23"/>
  <c r="C9" i="23"/>
  <c r="C10" i="23"/>
  <c r="C11" i="23"/>
  <c r="C12" i="23"/>
  <c r="C13" i="23"/>
  <c r="C14" i="23"/>
  <c r="C15" i="23"/>
  <c r="C16" i="23"/>
  <c r="C17" i="23"/>
  <c r="C18" i="23"/>
  <c r="C19" i="23"/>
  <c r="C20" i="23"/>
  <c r="C21" i="23"/>
  <c r="C22" i="23"/>
  <c r="C23" i="23"/>
  <c r="C24" i="23"/>
  <c r="C25" i="23"/>
  <c r="C26" i="23"/>
  <c r="C27" i="23"/>
  <c r="C28" i="23"/>
  <c r="C29" i="23"/>
  <c r="C30" i="23"/>
  <c r="C31" i="23"/>
  <c r="C32" i="23"/>
  <c r="C33" i="23"/>
  <c r="C34" i="23"/>
  <c r="C35" i="23"/>
  <c r="C36" i="23"/>
  <c r="C37" i="23"/>
  <c r="C38" i="23"/>
  <c r="C39" i="23"/>
  <c r="C40" i="23"/>
  <c r="C41" i="23"/>
  <c r="C42" i="23"/>
  <c r="C43" i="23"/>
  <c r="C44" i="23"/>
  <c r="C45" i="23"/>
  <c r="C46" i="23"/>
  <c r="C47" i="23"/>
  <c r="C48" i="23"/>
  <c r="C49" i="23"/>
  <c r="C50" i="23"/>
  <c r="C51" i="23"/>
  <c r="C52" i="23"/>
  <c r="C53" i="23"/>
  <c r="C54" i="23"/>
  <c r="C55" i="23"/>
  <c r="C56" i="23"/>
  <c r="C57" i="23"/>
  <c r="C58" i="23"/>
  <c r="C59" i="23"/>
  <c r="C60" i="23"/>
  <c r="C61" i="23"/>
  <c r="C62" i="23"/>
  <c r="C63" i="23"/>
  <c r="C64" i="23"/>
  <c r="C65" i="23"/>
  <c r="C66" i="23"/>
  <c r="C67" i="23"/>
  <c r="C68" i="23"/>
  <c r="C69" i="23"/>
  <c r="C70" i="23"/>
  <c r="C71" i="23"/>
  <c r="C72" i="23"/>
  <c r="C73" i="23"/>
  <c r="C74" i="23"/>
  <c r="C75" i="23"/>
  <c r="C76" i="23"/>
  <c r="C77" i="23"/>
  <c r="C78" i="23"/>
  <c r="C79" i="23"/>
  <c r="C80" i="23"/>
  <c r="C81" i="23"/>
  <c r="C82" i="23"/>
  <c r="C83" i="23"/>
  <c r="C84" i="23"/>
  <c r="C85" i="23"/>
  <c r="C86" i="23"/>
  <c r="C87" i="23"/>
  <c r="C88" i="23"/>
  <c r="C89" i="23"/>
  <c r="C90" i="23"/>
  <c r="C91" i="23"/>
  <c r="C92" i="23"/>
  <c r="C93" i="23"/>
  <c r="C94" i="23"/>
  <c r="C95" i="23"/>
  <c r="C96" i="23"/>
  <c r="C97" i="23"/>
  <c r="C98" i="23"/>
  <c r="C99" i="23"/>
  <c r="C100" i="23"/>
  <c r="C101" i="23"/>
  <c r="C102" i="23"/>
  <c r="C103" i="23"/>
  <c r="C104" i="23"/>
  <c r="C105" i="23"/>
  <c r="C106" i="23"/>
  <c r="C107" i="23"/>
  <c r="C108" i="23"/>
  <c r="C109" i="23"/>
  <c r="C110" i="23"/>
  <c r="C111" i="23"/>
  <c r="C112" i="23"/>
  <c r="C113" i="23"/>
  <c r="C114" i="23"/>
  <c r="C115" i="23"/>
  <c r="C116" i="23"/>
  <c r="C117" i="23"/>
  <c r="C118" i="23"/>
  <c r="C119" i="23"/>
  <c r="C120" i="23"/>
  <c r="C121" i="23"/>
  <c r="C122" i="23"/>
  <c r="C123" i="23"/>
  <c r="C124" i="23"/>
  <c r="C125" i="23"/>
  <c r="C126" i="23"/>
  <c r="C127" i="23"/>
  <c r="C128" i="23"/>
  <c r="C129" i="23"/>
  <c r="C130" i="23"/>
  <c r="C131" i="23"/>
  <c r="C132" i="23"/>
  <c r="C133" i="23"/>
  <c r="C134" i="23"/>
  <c r="C135" i="23"/>
  <c r="C136" i="23"/>
  <c r="C137" i="23"/>
  <c r="C138" i="23"/>
  <c r="C139" i="23"/>
  <c r="C140" i="23"/>
  <c r="C141" i="23"/>
  <c r="C142" i="23"/>
  <c r="C143" i="23"/>
  <c r="C144" i="23"/>
  <c r="C145" i="23"/>
  <c r="C146" i="23"/>
  <c r="C147" i="23"/>
  <c r="C148" i="23"/>
  <c r="C149" i="23"/>
  <c r="C150" i="23"/>
  <c r="C151" i="23"/>
  <c r="C152" i="23"/>
  <c r="C153" i="23"/>
  <c r="C154" i="23"/>
  <c r="C155" i="23"/>
  <c r="C157" i="23"/>
  <c r="C158" i="23"/>
  <c r="C159" i="23"/>
  <c r="C160" i="23"/>
  <c r="C161" i="23"/>
  <c r="C162" i="23"/>
  <c r="C163" i="23"/>
  <c r="C164" i="23"/>
  <c r="C165" i="23"/>
  <c r="C166" i="23"/>
  <c r="C167" i="23"/>
  <c r="C168" i="23"/>
  <c r="C169" i="23"/>
  <c r="C170" i="23"/>
  <c r="C171" i="23"/>
  <c r="C172" i="23"/>
  <c r="C173" i="23"/>
  <c r="C174" i="23"/>
  <c r="C175" i="23"/>
  <c r="B9" i="23" l="1"/>
  <c r="D132" i="20"/>
  <c r="E132" i="20"/>
  <c r="F132" i="20"/>
  <c r="G132" i="20"/>
  <c r="H132" i="20"/>
  <c r="I132" i="20"/>
  <c r="J132" i="20"/>
  <c r="K132" i="20"/>
  <c r="L132" i="20"/>
  <c r="M132" i="20"/>
  <c r="N132" i="20"/>
  <c r="O132" i="20"/>
  <c r="B10" i="23" l="1"/>
  <c r="A12" i="16"/>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B11" i="23" l="1"/>
  <c r="A7" i="2"/>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157" i="2" s="1"/>
  <c r="A158" i="2" s="1"/>
  <c r="A159" i="2" s="1"/>
  <c r="A160" i="2" s="1"/>
  <c r="A161" i="2" s="1"/>
  <c r="A162" i="2" s="1"/>
  <c r="A163" i="2" s="1"/>
  <c r="A164" i="2" s="1"/>
  <c r="A165" i="2" s="1"/>
  <c r="A166" i="2" s="1"/>
  <c r="A167" i="2" s="1"/>
  <c r="A168" i="2" s="1"/>
  <c r="A169" i="2" s="1"/>
  <c r="A170" i="2" s="1"/>
  <c r="A171" i="2" s="1"/>
  <c r="A172" i="2" s="1"/>
  <c r="A173" i="2" s="1"/>
  <c r="A174" i="2" s="1"/>
  <c r="B12" i="23" l="1"/>
  <c r="AV6" i="23"/>
  <c r="AV7" i="23"/>
  <c r="AV8" i="23"/>
  <c r="AV9" i="23"/>
  <c r="AV10" i="23"/>
  <c r="AV11" i="23"/>
  <c r="AV12" i="23"/>
  <c r="AV13" i="23"/>
  <c r="AV14" i="23"/>
  <c r="AV15" i="23"/>
  <c r="AV16" i="23"/>
  <c r="AV17" i="23"/>
  <c r="AV18" i="23"/>
  <c r="AV19" i="23"/>
  <c r="AV20" i="23"/>
  <c r="AV21" i="23"/>
  <c r="AV22" i="23"/>
  <c r="AV23" i="23"/>
  <c r="AV24" i="23"/>
  <c r="AV25" i="23"/>
  <c r="AV26" i="23"/>
  <c r="AV27" i="23"/>
  <c r="AV28" i="23"/>
  <c r="AV29" i="23"/>
  <c r="AV30" i="23"/>
  <c r="AV31" i="23"/>
  <c r="AV32" i="23"/>
  <c r="AV33" i="23"/>
  <c r="AV34" i="23"/>
  <c r="AV35" i="23"/>
  <c r="AV36" i="23"/>
  <c r="AV37" i="23"/>
  <c r="AV38" i="23"/>
  <c r="AV39" i="23"/>
  <c r="AV40" i="23"/>
  <c r="AV41" i="23"/>
  <c r="AV42" i="23"/>
  <c r="AV43" i="23"/>
  <c r="AV44" i="23"/>
  <c r="AV45" i="23"/>
  <c r="AV46" i="23"/>
  <c r="AV47" i="23"/>
  <c r="AV48" i="23"/>
  <c r="AV49" i="23"/>
  <c r="AV50" i="23"/>
  <c r="AV51" i="23"/>
  <c r="AV52" i="23"/>
  <c r="AV53" i="23"/>
  <c r="AV54" i="23"/>
  <c r="AV55" i="23"/>
  <c r="AV56" i="23"/>
  <c r="AV57" i="23"/>
  <c r="AV58" i="23"/>
  <c r="AV59" i="23"/>
  <c r="AV60" i="23"/>
  <c r="AV61" i="23"/>
  <c r="AV62" i="23"/>
  <c r="AV63" i="23"/>
  <c r="AV64" i="23"/>
  <c r="AV65" i="23"/>
  <c r="AV66" i="23"/>
  <c r="AV67" i="23"/>
  <c r="AV68" i="23"/>
  <c r="AV69" i="23"/>
  <c r="AV70" i="23"/>
  <c r="AV71" i="23"/>
  <c r="AV72" i="23"/>
  <c r="AV73" i="23"/>
  <c r="AV74" i="23"/>
  <c r="AV75" i="23"/>
  <c r="AV76" i="23"/>
  <c r="AV77" i="23"/>
  <c r="AV78" i="23"/>
  <c r="AV79" i="23"/>
  <c r="AV80" i="23"/>
  <c r="AV81" i="23"/>
  <c r="AV82" i="23"/>
  <c r="AV83" i="23"/>
  <c r="AV84" i="23"/>
  <c r="AV85" i="23"/>
  <c r="AV86" i="23"/>
  <c r="AV87" i="23"/>
  <c r="AV88" i="23"/>
  <c r="AV89" i="23"/>
  <c r="AV90" i="23"/>
  <c r="AV91" i="23"/>
  <c r="AV92" i="23"/>
  <c r="AV93" i="23"/>
  <c r="AV94" i="23"/>
  <c r="AV95" i="23"/>
  <c r="AV96" i="23"/>
  <c r="AV97" i="23"/>
  <c r="AV98" i="23"/>
  <c r="AV99" i="23"/>
  <c r="AV100" i="23"/>
  <c r="AV101" i="23"/>
  <c r="AV102" i="23"/>
  <c r="AV103" i="23"/>
  <c r="AV104" i="23"/>
  <c r="AV105" i="23"/>
  <c r="AV106" i="23"/>
  <c r="AV107" i="23"/>
  <c r="AV108" i="23"/>
  <c r="AV109" i="23"/>
  <c r="AV110" i="23"/>
  <c r="AV111" i="23"/>
  <c r="AV112" i="23"/>
  <c r="AV113" i="23"/>
  <c r="AV114" i="23"/>
  <c r="AV115" i="23"/>
  <c r="AV116" i="23"/>
  <c r="AV117" i="23"/>
  <c r="AV118" i="23"/>
  <c r="AV119" i="23"/>
  <c r="AV120" i="23"/>
  <c r="AV121" i="23"/>
  <c r="AV122" i="23"/>
  <c r="AV123" i="23"/>
  <c r="AV124" i="23"/>
  <c r="AV125" i="23"/>
  <c r="AV126" i="23"/>
  <c r="AV127" i="23"/>
  <c r="AV128" i="23"/>
  <c r="AV129" i="23"/>
  <c r="AV130" i="23"/>
  <c r="AV131" i="23"/>
  <c r="AV132" i="23"/>
  <c r="AV133" i="23"/>
  <c r="AV134" i="23"/>
  <c r="AV135" i="23"/>
  <c r="AV136" i="23"/>
  <c r="AV137" i="23"/>
  <c r="AV138" i="23"/>
  <c r="AV139" i="23"/>
  <c r="AV140" i="23"/>
  <c r="AV141" i="23"/>
  <c r="AV142" i="23"/>
  <c r="AV143" i="23"/>
  <c r="AV144" i="23"/>
  <c r="AV145" i="23"/>
  <c r="AV146" i="23"/>
  <c r="AV147" i="23"/>
  <c r="AV148" i="23"/>
  <c r="AV149" i="23"/>
  <c r="AV150" i="23"/>
  <c r="AV151" i="23"/>
  <c r="AV152" i="23"/>
  <c r="AV153" i="23"/>
  <c r="AV154" i="23"/>
  <c r="AV155" i="23"/>
  <c r="AV158" i="23"/>
  <c r="AV159" i="23"/>
  <c r="AV160" i="23"/>
  <c r="AV161" i="23"/>
  <c r="AV162" i="23"/>
  <c r="AV163" i="23"/>
  <c r="AV164" i="23"/>
  <c r="AV165" i="23"/>
  <c r="AV166" i="23"/>
  <c r="AV167" i="23"/>
  <c r="AV168" i="23"/>
  <c r="AV169" i="23"/>
  <c r="AV5" i="23"/>
  <c r="B13" i="23" l="1"/>
  <c r="B82" i="20"/>
  <c r="C82" i="20"/>
  <c r="B83" i="20"/>
  <c r="C83" i="20"/>
  <c r="B84" i="20"/>
  <c r="C84" i="20"/>
  <c r="B85" i="20"/>
  <c r="C85" i="20"/>
  <c r="B86" i="20"/>
  <c r="C86" i="20"/>
  <c r="B87" i="20"/>
  <c r="C87" i="20"/>
  <c r="B88" i="20"/>
  <c r="C88" i="20"/>
  <c r="B89" i="20"/>
  <c r="C89" i="20"/>
  <c r="B90" i="20"/>
  <c r="C90" i="20"/>
  <c r="B91" i="20"/>
  <c r="C91" i="20"/>
  <c r="B92" i="20"/>
  <c r="C92" i="20"/>
  <c r="B93" i="20"/>
  <c r="C93" i="20"/>
  <c r="B94" i="20"/>
  <c r="C94" i="20"/>
  <c r="B95" i="20"/>
  <c r="C95" i="20"/>
  <c r="B96" i="20"/>
  <c r="C96" i="20"/>
  <c r="B97" i="20"/>
  <c r="C97" i="20"/>
  <c r="B98" i="20"/>
  <c r="C98" i="20"/>
  <c r="B99" i="20"/>
  <c r="C99" i="20"/>
  <c r="B100" i="20"/>
  <c r="C100" i="20"/>
  <c r="B101" i="20"/>
  <c r="C101" i="20"/>
  <c r="B102" i="20"/>
  <c r="C102" i="20"/>
  <c r="B103" i="20"/>
  <c r="C103" i="20"/>
  <c r="B104" i="20"/>
  <c r="C104" i="20"/>
  <c r="B105" i="20"/>
  <c r="C105" i="20"/>
  <c r="B106" i="20"/>
  <c r="C106" i="20"/>
  <c r="B107" i="20"/>
  <c r="C107" i="20"/>
  <c r="B108" i="20"/>
  <c r="C108" i="20"/>
  <c r="B109" i="20"/>
  <c r="C109" i="20"/>
  <c r="B110" i="20"/>
  <c r="C110" i="20"/>
  <c r="B111" i="20"/>
  <c r="C111" i="20"/>
  <c r="B112" i="20"/>
  <c r="C112" i="20"/>
  <c r="B113" i="20"/>
  <c r="C113" i="20"/>
  <c r="B114" i="20"/>
  <c r="C114" i="20"/>
  <c r="B115" i="20"/>
  <c r="C115" i="20"/>
  <c r="B116" i="20"/>
  <c r="C116" i="20"/>
  <c r="B117" i="20"/>
  <c r="C117" i="20"/>
  <c r="B118" i="20"/>
  <c r="C118" i="20"/>
  <c r="B119" i="20"/>
  <c r="C119" i="20"/>
  <c r="B120" i="20"/>
  <c r="C120" i="20"/>
  <c r="B121" i="20"/>
  <c r="C121" i="20"/>
  <c r="B122" i="20"/>
  <c r="C122" i="20"/>
  <c r="B123" i="20"/>
  <c r="C123" i="20"/>
  <c r="B124" i="20"/>
  <c r="C124" i="20"/>
  <c r="B125" i="20"/>
  <c r="C125" i="20"/>
  <c r="B126" i="20"/>
  <c r="C126" i="20"/>
  <c r="B127" i="20"/>
  <c r="C127" i="20"/>
  <c r="B128" i="20"/>
  <c r="C128" i="20"/>
  <c r="B129" i="20"/>
  <c r="C129" i="20"/>
  <c r="B130" i="20"/>
  <c r="C130" i="20"/>
  <c r="B131" i="20"/>
  <c r="C131" i="20"/>
  <c r="B133" i="20"/>
  <c r="C133" i="20"/>
  <c r="B134" i="20"/>
  <c r="C134" i="20"/>
  <c r="B135" i="20"/>
  <c r="C135" i="20"/>
  <c r="B136" i="20"/>
  <c r="C136" i="20"/>
  <c r="B137" i="20"/>
  <c r="C137" i="20"/>
  <c r="B138" i="20"/>
  <c r="C138" i="20"/>
  <c r="B139" i="20"/>
  <c r="C139" i="20"/>
  <c r="B140" i="20"/>
  <c r="C140" i="20"/>
  <c r="B141" i="20"/>
  <c r="C141" i="20"/>
  <c r="B142" i="20"/>
  <c r="C142" i="20"/>
  <c r="B143" i="20"/>
  <c r="C143" i="20"/>
  <c r="B144" i="20"/>
  <c r="C144" i="20"/>
  <c r="B145" i="20"/>
  <c r="C145" i="20"/>
  <c r="B146" i="20"/>
  <c r="C146" i="20"/>
  <c r="B147" i="20"/>
  <c r="C147" i="20"/>
  <c r="B148" i="20"/>
  <c r="C148" i="20"/>
  <c r="B149" i="20"/>
  <c r="C149" i="20"/>
  <c r="B150" i="20"/>
  <c r="C150" i="20"/>
  <c r="B151" i="20"/>
  <c r="C151" i="20"/>
  <c r="B152" i="20"/>
  <c r="C152" i="20"/>
  <c r="B153" i="20"/>
  <c r="C153" i="20"/>
  <c r="B154" i="20"/>
  <c r="C154" i="20"/>
  <c r="B155" i="20"/>
  <c r="C155" i="20"/>
  <c r="B156" i="20"/>
  <c r="C156" i="20"/>
  <c r="B157" i="20"/>
  <c r="C157" i="20"/>
  <c r="B158" i="20"/>
  <c r="C158" i="20"/>
  <c r="B159" i="20"/>
  <c r="C159" i="20"/>
  <c r="B160" i="20"/>
  <c r="C160" i="20"/>
  <c r="B161" i="20"/>
  <c r="C161" i="20"/>
  <c r="B162" i="20"/>
  <c r="C162" i="20"/>
  <c r="B163" i="20"/>
  <c r="C163" i="20"/>
  <c r="B164" i="20"/>
  <c r="C164" i="20"/>
  <c r="B165" i="20"/>
  <c r="C165" i="20"/>
  <c r="B166" i="20"/>
  <c r="C166" i="20"/>
  <c r="BR93" i="19"/>
  <c r="BQ93" i="19" s="1"/>
  <c r="BN93" i="19"/>
  <c r="BM93" i="19" s="1"/>
  <c r="BJ93" i="19"/>
  <c r="BB93" i="19"/>
  <c r="AX93" i="19"/>
  <c r="AW93" i="19" s="1"/>
  <c r="AP93" i="19"/>
  <c r="AQ93" i="19" s="1"/>
  <c r="AH93" i="19"/>
  <c r="Z93" i="19"/>
  <c r="D92" i="20" s="1"/>
  <c r="P93" i="19"/>
  <c r="N93" i="19" s="1"/>
  <c r="F93" i="19"/>
  <c r="BN104" i="19"/>
  <c r="BM104" i="19" s="1"/>
  <c r="C17" i="20"/>
  <c r="B17" i="20"/>
  <c r="BR18" i="19"/>
  <c r="BQ18" i="19" s="1"/>
  <c r="BN18" i="19"/>
  <c r="N17" i="20" s="1"/>
  <c r="BJ18" i="19"/>
  <c r="BI18" i="19" s="1"/>
  <c r="BB18" i="19"/>
  <c r="BA18" i="19" s="1"/>
  <c r="AX18" i="19"/>
  <c r="AW18" i="19" s="1"/>
  <c r="AP18" i="19"/>
  <c r="AH18" i="19"/>
  <c r="AG18" i="19" s="1"/>
  <c r="Z18" i="19"/>
  <c r="D17" i="20" s="1"/>
  <c r="X18" i="19"/>
  <c r="BF18" i="19" s="1"/>
  <c r="BE18" i="19" s="1"/>
  <c r="P18" i="19"/>
  <c r="F18" i="19"/>
  <c r="B14" i="23" l="1"/>
  <c r="N102" i="20"/>
  <c r="J92" i="20"/>
  <c r="H92" i="20"/>
  <c r="T18" i="19"/>
  <c r="W18" i="19" s="1"/>
  <c r="N18" i="19"/>
  <c r="AQ18" i="19"/>
  <c r="H17" i="20"/>
  <c r="AG93" i="19"/>
  <c r="F92" i="20"/>
  <c r="BI93" i="19"/>
  <c r="M92" i="20"/>
  <c r="AD93" i="19"/>
  <c r="E92" i="20" s="1"/>
  <c r="X93" i="19"/>
  <c r="BF93" i="19" s="1"/>
  <c r="L92" i="20" s="1"/>
  <c r="T93" i="19"/>
  <c r="V93" i="19" s="1"/>
  <c r="AT93" i="19" s="1"/>
  <c r="I92" i="20" s="1"/>
  <c r="BA93" i="19"/>
  <c r="K92" i="20"/>
  <c r="N92" i="20"/>
  <c r="O92" i="20"/>
  <c r="AI93" i="19"/>
  <c r="AO93" i="19"/>
  <c r="L93" i="19"/>
  <c r="O17" i="20"/>
  <c r="J17" i="20"/>
  <c r="BM18" i="19"/>
  <c r="M17" i="20"/>
  <c r="K17" i="20"/>
  <c r="F17" i="20"/>
  <c r="L17" i="20"/>
  <c r="AO18" i="19"/>
  <c r="AI18" i="19"/>
  <c r="AD18" i="19"/>
  <c r="E17" i="20" s="1"/>
  <c r="BG18" i="19"/>
  <c r="B15" i="23" l="1"/>
  <c r="AC93" i="19"/>
  <c r="V18" i="19"/>
  <c r="AT18" i="19" s="1"/>
  <c r="I17" i="20" s="1"/>
  <c r="W93" i="19"/>
  <c r="U93" i="19"/>
  <c r="BG93" i="19"/>
  <c r="AE93" i="19"/>
  <c r="BE93" i="19"/>
  <c r="AL93" i="19"/>
  <c r="G92" i="20" s="1"/>
  <c r="U18" i="19"/>
  <c r="AL18" i="19" s="1"/>
  <c r="AS93" i="19"/>
  <c r="AV93" i="19"/>
  <c r="AU93" i="19"/>
  <c r="AC18" i="19"/>
  <c r="AE18" i="19"/>
  <c r="B16" i="23" l="1"/>
  <c r="AU18" i="19"/>
  <c r="AS18" i="19"/>
  <c r="AV18" i="19"/>
  <c r="AK93" i="19"/>
  <c r="AM93" i="19"/>
  <c r="G17" i="20"/>
  <c r="AM18" i="19"/>
  <c r="AK18" i="19"/>
  <c r="K162" i="19"/>
  <c r="L162" i="19" s="1"/>
  <c r="K161" i="19"/>
  <c r="L161" i="19" s="1"/>
  <c r="K160" i="19"/>
  <c r="L160" i="19" s="1"/>
  <c r="K159" i="19"/>
  <c r="L159" i="19" s="1"/>
  <c r="K158" i="19"/>
  <c r="L158" i="19" s="1"/>
  <c r="K157" i="19"/>
  <c r="L157" i="19" s="1"/>
  <c r="K156" i="19"/>
  <c r="L156" i="19" s="1"/>
  <c r="K155" i="19"/>
  <c r="L155" i="19" s="1"/>
  <c r="K154" i="19"/>
  <c r="L154" i="19" s="1"/>
  <c r="K153" i="19"/>
  <c r="L153" i="19" s="1"/>
  <c r="K152" i="19"/>
  <c r="L152" i="19" s="1"/>
  <c r="K151" i="19"/>
  <c r="L151" i="19" s="1"/>
  <c r="K150" i="19"/>
  <c r="L150" i="19" s="1"/>
  <c r="K149" i="19"/>
  <c r="L149" i="19" s="1"/>
  <c r="K148" i="19"/>
  <c r="L148" i="19" s="1"/>
  <c r="K147" i="19"/>
  <c r="L147" i="19" s="1"/>
  <c r="K146" i="19"/>
  <c r="L146" i="19" s="1"/>
  <c r="K145" i="19"/>
  <c r="L145" i="19" s="1"/>
  <c r="K144" i="19"/>
  <c r="L144" i="19" s="1"/>
  <c r="K143" i="19"/>
  <c r="L143" i="19" s="1"/>
  <c r="K142" i="19"/>
  <c r="L142" i="19" s="1"/>
  <c r="K141" i="19"/>
  <c r="L141" i="19" s="1"/>
  <c r="K140" i="19"/>
  <c r="L140" i="19" s="1"/>
  <c r="K139" i="19"/>
  <c r="L139" i="19" s="1"/>
  <c r="K138" i="19"/>
  <c r="L138" i="19" s="1"/>
  <c r="K137" i="19"/>
  <c r="L137" i="19" s="1"/>
  <c r="K136" i="19"/>
  <c r="L136" i="19" s="1"/>
  <c r="K135" i="19"/>
  <c r="L135" i="19" s="1"/>
  <c r="K133" i="19"/>
  <c r="L133" i="19" s="1"/>
  <c r="K132" i="19"/>
  <c r="L132" i="19" s="1"/>
  <c r="K131" i="19"/>
  <c r="L131" i="19" s="1"/>
  <c r="K130" i="19"/>
  <c r="L130" i="19" s="1"/>
  <c r="K129" i="19"/>
  <c r="L129" i="19" s="1"/>
  <c r="L128" i="19"/>
  <c r="K127" i="19"/>
  <c r="L127" i="19" s="1"/>
  <c r="K126" i="19"/>
  <c r="L126" i="19" s="1"/>
  <c r="K125" i="19"/>
  <c r="L125" i="19" s="1"/>
  <c r="K124" i="19"/>
  <c r="L124" i="19" s="1"/>
  <c r="K123" i="19"/>
  <c r="L123" i="19" s="1"/>
  <c r="K122" i="19"/>
  <c r="L122" i="19" s="1"/>
  <c r="K121" i="19"/>
  <c r="L121" i="19" s="1"/>
  <c r="K120" i="19"/>
  <c r="L120" i="19" s="1"/>
  <c r="K119" i="19"/>
  <c r="L119" i="19" s="1"/>
  <c r="K118" i="19"/>
  <c r="L118" i="19" s="1"/>
  <c r="K117" i="19"/>
  <c r="L117" i="19" s="1"/>
  <c r="K116" i="19"/>
  <c r="L116" i="19" s="1"/>
  <c r="K115" i="19"/>
  <c r="L115" i="19" s="1"/>
  <c r="K114" i="19"/>
  <c r="L114" i="19" s="1"/>
  <c r="K113" i="19"/>
  <c r="L113" i="19" s="1"/>
  <c r="K112" i="19"/>
  <c r="L112" i="19" s="1"/>
  <c r="K111" i="19"/>
  <c r="L111" i="19" s="1"/>
  <c r="K110" i="19"/>
  <c r="L110" i="19" s="1"/>
  <c r="K109" i="19"/>
  <c r="L109" i="19" s="1"/>
  <c r="K108" i="19"/>
  <c r="L108" i="19" s="1"/>
  <c r="K107" i="19"/>
  <c r="L107" i="19" s="1"/>
  <c r="K106" i="19"/>
  <c r="L106" i="19" s="1"/>
  <c r="K105" i="19"/>
  <c r="L105" i="19" s="1"/>
  <c r="K104" i="19"/>
  <c r="L104" i="19" s="1"/>
  <c r="K103" i="19"/>
  <c r="L103" i="19" s="1"/>
  <c r="K102" i="19"/>
  <c r="L102" i="19" s="1"/>
  <c r="K101" i="19"/>
  <c r="L101" i="19" s="1"/>
  <c r="K100" i="19"/>
  <c r="L100" i="19" s="1"/>
  <c r="K99" i="19"/>
  <c r="L99" i="19" s="1"/>
  <c r="K98" i="19"/>
  <c r="L98" i="19" s="1"/>
  <c r="K97" i="19"/>
  <c r="L97" i="19" s="1"/>
  <c r="K96" i="19"/>
  <c r="L96" i="19" s="1"/>
  <c r="K94" i="19"/>
  <c r="L94" i="19" s="1"/>
  <c r="K92" i="19"/>
  <c r="L92" i="19" s="1"/>
  <c r="K91" i="19"/>
  <c r="L91" i="19" s="1"/>
  <c r="K90" i="19"/>
  <c r="L90" i="19" s="1"/>
  <c r="K89" i="19"/>
  <c r="L89" i="19" s="1"/>
  <c r="K88" i="19"/>
  <c r="L88" i="19" s="1"/>
  <c r="K87" i="19"/>
  <c r="L87" i="19" s="1"/>
  <c r="K86" i="19"/>
  <c r="L86" i="19" s="1"/>
  <c r="K85" i="19"/>
  <c r="L85" i="19" s="1"/>
  <c r="K84" i="19"/>
  <c r="L84" i="19" s="1"/>
  <c r="K83" i="19"/>
  <c r="L83" i="19" s="1"/>
  <c r="K82" i="19"/>
  <c r="L82" i="19" s="1"/>
  <c r="K81" i="19"/>
  <c r="L81" i="19" s="1"/>
  <c r="L80" i="19"/>
  <c r="K79" i="19"/>
  <c r="L79" i="19" s="1"/>
  <c r="K78" i="19"/>
  <c r="L78" i="19" s="1"/>
  <c r="K77" i="19"/>
  <c r="L77" i="19" s="1"/>
  <c r="K76" i="19"/>
  <c r="L76" i="19" s="1"/>
  <c r="K75" i="19"/>
  <c r="L75" i="19" s="1"/>
  <c r="K74" i="19"/>
  <c r="L74" i="19" s="1"/>
  <c r="L73" i="19"/>
  <c r="L72" i="19"/>
  <c r="L71" i="19"/>
  <c r="L70" i="19"/>
  <c r="K69" i="19"/>
  <c r="L69" i="19" s="1"/>
  <c r="K68" i="19"/>
  <c r="L68" i="19" s="1"/>
  <c r="K67" i="19"/>
  <c r="L67" i="19" s="1"/>
  <c r="K66" i="19"/>
  <c r="L66" i="19" s="1"/>
  <c r="K65" i="19"/>
  <c r="L65" i="19" s="1"/>
  <c r="K64" i="19"/>
  <c r="L64" i="19" s="1"/>
  <c r="K63" i="19"/>
  <c r="L63" i="19" s="1"/>
  <c r="K62" i="19"/>
  <c r="L62" i="19" s="1"/>
  <c r="K61" i="19"/>
  <c r="L61" i="19" s="1"/>
  <c r="K60" i="19"/>
  <c r="L60" i="19" s="1"/>
  <c r="K59" i="19"/>
  <c r="L59" i="19" s="1"/>
  <c r="K58" i="19"/>
  <c r="L58" i="19" s="1"/>
  <c r="K57" i="19"/>
  <c r="L57" i="19" s="1"/>
  <c r="K56" i="19"/>
  <c r="L56" i="19" s="1"/>
  <c r="K55" i="19"/>
  <c r="L55" i="19" s="1"/>
  <c r="K54" i="19"/>
  <c r="L54" i="19" s="1"/>
  <c r="K53" i="19"/>
  <c r="L53" i="19" s="1"/>
  <c r="K52" i="19"/>
  <c r="L52" i="19" s="1"/>
  <c r="K51" i="19"/>
  <c r="L51" i="19" s="1"/>
  <c r="K50" i="19"/>
  <c r="L50" i="19" s="1"/>
  <c r="K49" i="19"/>
  <c r="L49" i="19" s="1"/>
  <c r="K48" i="19"/>
  <c r="L48" i="19" s="1"/>
  <c r="K47" i="19"/>
  <c r="L47" i="19" s="1"/>
  <c r="K46" i="19"/>
  <c r="L46" i="19" s="1"/>
  <c r="K45" i="19"/>
  <c r="L45" i="19" s="1"/>
  <c r="K44" i="19"/>
  <c r="L44" i="19" s="1"/>
  <c r="K43" i="19"/>
  <c r="L43" i="19" s="1"/>
  <c r="K42" i="19"/>
  <c r="L42" i="19" s="1"/>
  <c r="K41" i="19"/>
  <c r="L41" i="19" s="1"/>
  <c r="K40" i="19"/>
  <c r="L40" i="19" s="1"/>
  <c r="K39" i="19"/>
  <c r="L39" i="19" s="1"/>
  <c r="K38" i="19"/>
  <c r="L38" i="19" s="1"/>
  <c r="K37" i="19"/>
  <c r="L37" i="19" s="1"/>
  <c r="K36" i="19"/>
  <c r="L36" i="19" s="1"/>
  <c r="K35" i="19"/>
  <c r="L35" i="19" s="1"/>
  <c r="K34" i="19"/>
  <c r="L34" i="19" s="1"/>
  <c r="L33" i="19"/>
  <c r="K32" i="19"/>
  <c r="L32" i="19" s="1"/>
  <c r="K31" i="19"/>
  <c r="L31" i="19" s="1"/>
  <c r="K30" i="19"/>
  <c r="L30" i="19" s="1"/>
  <c r="K29" i="19"/>
  <c r="L29" i="19" s="1"/>
  <c r="K28" i="19"/>
  <c r="L28" i="19" s="1"/>
  <c r="K27" i="19"/>
  <c r="L27" i="19" s="1"/>
  <c r="K26" i="19"/>
  <c r="L26" i="19" s="1"/>
  <c r="K25" i="19"/>
  <c r="L25" i="19" s="1"/>
  <c r="K24" i="19"/>
  <c r="L24" i="19" s="1"/>
  <c r="K23" i="19"/>
  <c r="L23" i="19" s="1"/>
  <c r="K22" i="19"/>
  <c r="L22" i="19" s="1"/>
  <c r="K21" i="19"/>
  <c r="L21" i="19" s="1"/>
  <c r="K20" i="19"/>
  <c r="L20" i="19" s="1"/>
  <c r="K19" i="19"/>
  <c r="L19" i="19" s="1"/>
  <c r="K17" i="19"/>
  <c r="L17" i="19" s="1"/>
  <c r="K16" i="19"/>
  <c r="L16" i="19" s="1"/>
  <c r="K15" i="19"/>
  <c r="L15" i="19" s="1"/>
  <c r="L14" i="19"/>
  <c r="K13" i="19"/>
  <c r="L13" i="19" s="1"/>
  <c r="K12" i="19"/>
  <c r="L12" i="19" s="1"/>
  <c r="K11" i="19"/>
  <c r="L11" i="19" s="1"/>
  <c r="K10" i="19"/>
  <c r="L10" i="19" s="1"/>
  <c r="K9" i="19"/>
  <c r="L9" i="19" s="1"/>
  <c r="K7" i="19"/>
  <c r="L7" i="19" s="1"/>
  <c r="K6" i="19"/>
  <c r="L6" i="19" s="1"/>
  <c r="K5" i="19"/>
  <c r="L5" i="19" s="1"/>
  <c r="K4" i="19"/>
  <c r="L4" i="19" s="1"/>
  <c r="K3" i="19"/>
  <c r="L3" i="19" s="1"/>
  <c r="K163" i="19"/>
  <c r="L163" i="19" s="1"/>
  <c r="K164" i="19"/>
  <c r="L164" i="19" s="1"/>
  <c r="K165" i="19"/>
  <c r="L165" i="19" s="1"/>
  <c r="K168" i="19"/>
  <c r="L168" i="19" s="1"/>
  <c r="K169" i="19"/>
  <c r="L169" i="19" s="1"/>
  <c r="K167" i="19"/>
  <c r="L167" i="19" s="1"/>
  <c r="B17" i="23" l="1"/>
  <c r="BN6" i="19"/>
  <c r="BN7" i="19"/>
  <c r="BN8" i="19"/>
  <c r="BN9" i="19"/>
  <c r="BN10" i="19"/>
  <c r="BN11" i="19"/>
  <c r="BN12" i="19"/>
  <c r="BN13" i="19"/>
  <c r="BN14" i="19"/>
  <c r="BN15" i="19"/>
  <c r="BN16" i="19"/>
  <c r="BN17" i="19"/>
  <c r="BN19" i="19"/>
  <c r="BN20" i="19"/>
  <c r="BN21" i="19"/>
  <c r="BN22" i="19"/>
  <c r="BN23" i="19"/>
  <c r="BN24" i="19"/>
  <c r="BN25" i="19"/>
  <c r="BN26" i="19"/>
  <c r="BN27" i="19"/>
  <c r="BN28" i="19"/>
  <c r="BN29" i="19"/>
  <c r="BN30" i="19"/>
  <c r="BN31" i="19"/>
  <c r="BN32" i="19"/>
  <c r="BN33" i="19"/>
  <c r="BN34" i="19"/>
  <c r="BN35" i="19"/>
  <c r="BN36" i="19"/>
  <c r="BN37" i="19"/>
  <c r="BN38" i="19"/>
  <c r="BN39" i="19"/>
  <c r="BN40" i="19"/>
  <c r="BN41" i="19"/>
  <c r="BN42" i="19"/>
  <c r="BN43" i="19"/>
  <c r="BN44" i="19"/>
  <c r="BN45" i="19"/>
  <c r="BN46" i="19"/>
  <c r="BN47" i="19"/>
  <c r="BN48" i="19"/>
  <c r="BN49" i="19"/>
  <c r="BN50" i="19"/>
  <c r="BN51" i="19"/>
  <c r="BN52" i="19"/>
  <c r="BN53" i="19"/>
  <c r="BN54" i="19"/>
  <c r="BN55" i="19"/>
  <c r="BN56" i="19"/>
  <c r="BN57" i="19"/>
  <c r="BN58" i="19"/>
  <c r="BN59" i="19"/>
  <c r="BN60" i="19"/>
  <c r="BN61" i="19"/>
  <c r="BN62" i="19"/>
  <c r="BN63" i="19"/>
  <c r="BN64" i="19"/>
  <c r="BN65" i="19"/>
  <c r="BN66" i="19"/>
  <c r="BN67" i="19"/>
  <c r="BN68" i="19"/>
  <c r="BN69" i="19"/>
  <c r="BN70" i="19"/>
  <c r="BN71" i="19"/>
  <c r="BN72" i="19"/>
  <c r="BN73" i="19"/>
  <c r="BN74" i="19"/>
  <c r="BN75" i="19"/>
  <c r="BN76" i="19"/>
  <c r="BN77" i="19"/>
  <c r="BN78" i="19"/>
  <c r="BN79" i="19"/>
  <c r="BN80" i="19"/>
  <c r="BN81" i="19"/>
  <c r="BN82" i="19"/>
  <c r="BN83" i="19"/>
  <c r="N82" i="20" s="1"/>
  <c r="BN84" i="19"/>
  <c r="N83" i="20" s="1"/>
  <c r="BN85" i="19"/>
  <c r="N84" i="20" s="1"/>
  <c r="BN86" i="19"/>
  <c r="N85" i="20" s="1"/>
  <c r="BN87" i="19"/>
  <c r="N86" i="20" s="1"/>
  <c r="BN88" i="19"/>
  <c r="N87" i="20" s="1"/>
  <c r="BN89" i="19"/>
  <c r="N88" i="20" s="1"/>
  <c r="BN90" i="19"/>
  <c r="N89" i="20" s="1"/>
  <c r="BN91" i="19"/>
  <c r="N90" i="20" s="1"/>
  <c r="BN92" i="19"/>
  <c r="N91" i="20" s="1"/>
  <c r="BN94" i="19"/>
  <c r="N93" i="20" s="1"/>
  <c r="BN96" i="19"/>
  <c r="N94" i="20" s="1"/>
  <c r="BN97" i="19"/>
  <c r="N95" i="20" s="1"/>
  <c r="BN98" i="19"/>
  <c r="N96" i="20" s="1"/>
  <c r="BN99" i="19"/>
  <c r="N97" i="20" s="1"/>
  <c r="BN100" i="19"/>
  <c r="N98" i="20" s="1"/>
  <c r="BN101" i="19"/>
  <c r="N99" i="20" s="1"/>
  <c r="BN102" i="19"/>
  <c r="N100" i="20" s="1"/>
  <c r="BN103" i="19"/>
  <c r="N101" i="20" s="1"/>
  <c r="BN105" i="19"/>
  <c r="N103" i="20" s="1"/>
  <c r="BN106" i="19"/>
  <c r="N104" i="20" s="1"/>
  <c r="BN107" i="19"/>
  <c r="N105" i="20" s="1"/>
  <c r="BN108" i="19"/>
  <c r="N106" i="20" s="1"/>
  <c r="BN109" i="19"/>
  <c r="N107" i="20" s="1"/>
  <c r="BN110" i="19"/>
  <c r="N108" i="20" s="1"/>
  <c r="BN111" i="19"/>
  <c r="N109" i="20" s="1"/>
  <c r="BN112" i="19"/>
  <c r="N110" i="20" s="1"/>
  <c r="BN113" i="19"/>
  <c r="N111" i="20" s="1"/>
  <c r="BN114" i="19"/>
  <c r="N112" i="20" s="1"/>
  <c r="BN115" i="19"/>
  <c r="N113" i="20" s="1"/>
  <c r="BN116" i="19"/>
  <c r="N114" i="20" s="1"/>
  <c r="BN117" i="19"/>
  <c r="N115" i="20" s="1"/>
  <c r="BN118" i="19"/>
  <c r="N116" i="20" s="1"/>
  <c r="BN119" i="19"/>
  <c r="N117" i="20" s="1"/>
  <c r="BN120" i="19"/>
  <c r="N118" i="20" s="1"/>
  <c r="BN121" i="19"/>
  <c r="N119" i="20" s="1"/>
  <c r="BN122" i="19"/>
  <c r="N120" i="20" s="1"/>
  <c r="BN123" i="19"/>
  <c r="N121" i="20" s="1"/>
  <c r="BN124" i="19"/>
  <c r="N122" i="20" s="1"/>
  <c r="BN125" i="19"/>
  <c r="N123" i="20" s="1"/>
  <c r="BN126" i="19"/>
  <c r="N124" i="20" s="1"/>
  <c r="BN127" i="19"/>
  <c r="N125" i="20" s="1"/>
  <c r="BN128" i="19"/>
  <c r="N126" i="20" s="1"/>
  <c r="BN129" i="19"/>
  <c r="N127" i="20" s="1"/>
  <c r="BN130" i="19"/>
  <c r="N128" i="20" s="1"/>
  <c r="BN131" i="19"/>
  <c r="N129" i="20" s="1"/>
  <c r="BN132" i="19"/>
  <c r="N130" i="20" s="1"/>
  <c r="BN133" i="19"/>
  <c r="N131" i="20" s="1"/>
  <c r="BN135" i="19"/>
  <c r="N133" i="20" s="1"/>
  <c r="BN136" i="19"/>
  <c r="N134" i="20" s="1"/>
  <c r="BN137" i="19"/>
  <c r="N135" i="20" s="1"/>
  <c r="BN138" i="19"/>
  <c r="N136" i="20" s="1"/>
  <c r="BN139" i="19"/>
  <c r="N137" i="20" s="1"/>
  <c r="BN140" i="19"/>
  <c r="N138" i="20" s="1"/>
  <c r="BN141" i="19"/>
  <c r="N139" i="20" s="1"/>
  <c r="BN142" i="19"/>
  <c r="N140" i="20" s="1"/>
  <c r="BN143" i="19"/>
  <c r="N141" i="20" s="1"/>
  <c r="BN144" i="19"/>
  <c r="N142" i="20" s="1"/>
  <c r="BN145" i="19"/>
  <c r="N143" i="20" s="1"/>
  <c r="BN146" i="19"/>
  <c r="N144" i="20" s="1"/>
  <c r="BN147" i="19"/>
  <c r="N145" i="20" s="1"/>
  <c r="BN148" i="19"/>
  <c r="N146" i="20" s="1"/>
  <c r="BN149" i="19"/>
  <c r="N147" i="20" s="1"/>
  <c r="BN150" i="19"/>
  <c r="N148" i="20" s="1"/>
  <c r="BN151" i="19"/>
  <c r="N149" i="20" s="1"/>
  <c r="BN152" i="19"/>
  <c r="N150" i="20" s="1"/>
  <c r="BN153" i="19"/>
  <c r="N151" i="20" s="1"/>
  <c r="BN154" i="19"/>
  <c r="N152" i="20" s="1"/>
  <c r="BN155" i="19"/>
  <c r="N153" i="20" s="1"/>
  <c r="BN156" i="19"/>
  <c r="N154" i="20" s="1"/>
  <c r="BN157" i="19"/>
  <c r="N155" i="20" s="1"/>
  <c r="BN158" i="19"/>
  <c r="N156" i="20" s="1"/>
  <c r="BN159" i="19"/>
  <c r="N157" i="20" s="1"/>
  <c r="BN160" i="19"/>
  <c r="N158" i="20" s="1"/>
  <c r="BN161" i="19"/>
  <c r="N159" i="20" s="1"/>
  <c r="BN162" i="19"/>
  <c r="N160" i="20" s="1"/>
  <c r="BN163" i="19"/>
  <c r="N161" i="20" s="1"/>
  <c r="BN164" i="19"/>
  <c r="N162" i="20" s="1"/>
  <c r="BN165" i="19"/>
  <c r="N163" i="20" s="1"/>
  <c r="BN167" i="19"/>
  <c r="N164" i="20" s="1"/>
  <c r="BN168" i="19"/>
  <c r="N165" i="20" s="1"/>
  <c r="BN169" i="19"/>
  <c r="N166" i="20" s="1"/>
  <c r="BN4" i="19"/>
  <c r="BN5" i="19"/>
  <c r="BN3" i="19"/>
  <c r="B18" i="23" l="1"/>
  <c r="X7" i="19"/>
  <c r="X8" i="19"/>
  <c r="X11" i="19"/>
  <c r="X17" i="19"/>
  <c r="X19" i="19"/>
  <c r="X20" i="19"/>
  <c r="X23" i="19"/>
  <c r="X24" i="19"/>
  <c r="X25" i="19"/>
  <c r="X26" i="19"/>
  <c r="X27" i="19"/>
  <c r="X28" i="19"/>
  <c r="X29" i="19"/>
  <c r="X30" i="19"/>
  <c r="X31" i="19"/>
  <c r="X32" i="19"/>
  <c r="X36" i="19"/>
  <c r="X37" i="19"/>
  <c r="X42" i="19"/>
  <c r="X44" i="19"/>
  <c r="X45" i="19"/>
  <c r="X46" i="19"/>
  <c r="X47" i="19"/>
  <c r="X48" i="19"/>
  <c r="X50" i="19"/>
  <c r="X51" i="19"/>
  <c r="X52" i="19"/>
  <c r="X53" i="19"/>
  <c r="X54" i="19"/>
  <c r="X56" i="19"/>
  <c r="X57" i="19"/>
  <c r="X58" i="19"/>
  <c r="X59" i="19"/>
  <c r="X60" i="19"/>
  <c r="X61" i="19"/>
  <c r="X62" i="19"/>
  <c r="X66" i="19"/>
  <c r="X68" i="19"/>
  <c r="X76" i="19"/>
  <c r="X77" i="19"/>
  <c r="X78" i="19"/>
  <c r="X79" i="19"/>
  <c r="X80" i="19"/>
  <c r="X82" i="19"/>
  <c r="X83" i="19"/>
  <c r="X84" i="19"/>
  <c r="X88" i="19"/>
  <c r="X91" i="19"/>
  <c r="X92" i="19"/>
  <c r="X97" i="19"/>
  <c r="X98" i="19"/>
  <c r="X99" i="19"/>
  <c r="X100" i="19"/>
  <c r="X101" i="19"/>
  <c r="X102" i="19"/>
  <c r="X105" i="19"/>
  <c r="X106" i="19"/>
  <c r="X107" i="19"/>
  <c r="X112" i="19"/>
  <c r="X113" i="19"/>
  <c r="X114" i="19"/>
  <c r="X115" i="19"/>
  <c r="X116" i="19"/>
  <c r="X117" i="19"/>
  <c r="X118" i="19"/>
  <c r="X119" i="19"/>
  <c r="X124" i="19"/>
  <c r="X128" i="19"/>
  <c r="X129" i="19"/>
  <c r="X130" i="19"/>
  <c r="X131" i="19"/>
  <c r="X132" i="19"/>
  <c r="X138" i="19"/>
  <c r="X140" i="19"/>
  <c r="X141" i="19"/>
  <c r="X142" i="19"/>
  <c r="X143" i="19"/>
  <c r="X145" i="19"/>
  <c r="X146" i="19"/>
  <c r="X147" i="19"/>
  <c r="X148" i="19"/>
  <c r="X149" i="19"/>
  <c r="X158" i="19"/>
  <c r="X160" i="19"/>
  <c r="X162" i="19"/>
  <c r="X163" i="19"/>
  <c r="X164" i="19"/>
  <c r="X165" i="19"/>
  <c r="X167" i="19"/>
  <c r="X168" i="19"/>
  <c r="X169" i="19"/>
  <c r="X3" i="19"/>
  <c r="X4" i="19"/>
  <c r="B19" i="23" l="1"/>
  <c r="P5" i="19"/>
  <c r="AD5" i="19" s="1"/>
  <c r="B20" i="23" l="1"/>
  <c r="BR102" i="19"/>
  <c r="O100" i="20" s="1"/>
  <c r="BJ102" i="19"/>
  <c r="M100" i="20" s="1"/>
  <c r="BB102" i="19"/>
  <c r="AX102" i="19"/>
  <c r="AP102" i="19"/>
  <c r="AH102" i="19"/>
  <c r="Z102" i="19"/>
  <c r="D100" i="20" s="1"/>
  <c r="BF102" i="19"/>
  <c r="L100" i="20" s="1"/>
  <c r="P102" i="19"/>
  <c r="F102" i="19"/>
  <c r="D39" i="22"/>
  <c r="E39" i="22" s="1"/>
  <c r="F4" i="19"/>
  <c r="F5" i="19"/>
  <c r="F6" i="19"/>
  <c r="F7" i="19"/>
  <c r="F8" i="19"/>
  <c r="F9" i="19"/>
  <c r="F10" i="19"/>
  <c r="F11" i="19"/>
  <c r="F12" i="19"/>
  <c r="F13" i="19"/>
  <c r="F14" i="19"/>
  <c r="F15" i="19"/>
  <c r="F16" i="19"/>
  <c r="F17" i="19"/>
  <c r="F19" i="19"/>
  <c r="F20" i="19"/>
  <c r="F21" i="19"/>
  <c r="F22" i="19"/>
  <c r="F23" i="19"/>
  <c r="F24" i="19"/>
  <c r="F25" i="19"/>
  <c r="F26" i="19"/>
  <c r="F27" i="19"/>
  <c r="F28" i="19"/>
  <c r="F29" i="19"/>
  <c r="F30" i="19"/>
  <c r="F31" i="19"/>
  <c r="F32" i="19"/>
  <c r="F33" i="19"/>
  <c r="F34" i="19"/>
  <c r="F35" i="19"/>
  <c r="F36" i="19"/>
  <c r="F37" i="19"/>
  <c r="F38" i="19"/>
  <c r="F39" i="19"/>
  <c r="F40" i="19"/>
  <c r="F41" i="19"/>
  <c r="F42" i="19"/>
  <c r="F43" i="19"/>
  <c r="F44" i="19"/>
  <c r="F45" i="19"/>
  <c r="F46" i="19"/>
  <c r="F47" i="19"/>
  <c r="F48" i="19"/>
  <c r="F49" i="19"/>
  <c r="F50" i="19"/>
  <c r="F51" i="19"/>
  <c r="F52" i="19"/>
  <c r="F53" i="19"/>
  <c r="F54" i="19"/>
  <c r="F55" i="19"/>
  <c r="F56" i="19"/>
  <c r="F57" i="19"/>
  <c r="F58" i="19"/>
  <c r="F59" i="19"/>
  <c r="F60" i="19"/>
  <c r="F61" i="19"/>
  <c r="F62" i="19"/>
  <c r="F63" i="19"/>
  <c r="F64" i="19"/>
  <c r="F65" i="19"/>
  <c r="F66" i="19"/>
  <c r="F67" i="19"/>
  <c r="F68" i="19"/>
  <c r="F69" i="19"/>
  <c r="F70" i="19"/>
  <c r="F71" i="19"/>
  <c r="F72" i="19"/>
  <c r="F73" i="19"/>
  <c r="F74" i="19"/>
  <c r="F75" i="19"/>
  <c r="F76" i="19"/>
  <c r="F77" i="19"/>
  <c r="F78" i="19"/>
  <c r="F79" i="19"/>
  <c r="F80" i="19"/>
  <c r="F81" i="19"/>
  <c r="F82" i="19"/>
  <c r="F83" i="19"/>
  <c r="F84" i="19"/>
  <c r="F85" i="19"/>
  <c r="F86" i="19"/>
  <c r="F87" i="19"/>
  <c r="F88" i="19"/>
  <c r="F89" i="19"/>
  <c r="F90" i="19"/>
  <c r="F91" i="19"/>
  <c r="F92" i="19"/>
  <c r="F94" i="19"/>
  <c r="F96" i="19"/>
  <c r="F97" i="19"/>
  <c r="F98" i="19"/>
  <c r="F99" i="19"/>
  <c r="F100" i="19"/>
  <c r="F101" i="19"/>
  <c r="F103" i="19"/>
  <c r="F104" i="19"/>
  <c r="F105" i="19"/>
  <c r="F106" i="19"/>
  <c r="F107" i="19"/>
  <c r="F108" i="19"/>
  <c r="F109" i="19"/>
  <c r="F110" i="19"/>
  <c r="F111" i="19"/>
  <c r="F112" i="19"/>
  <c r="F113" i="19"/>
  <c r="F114" i="19"/>
  <c r="F115" i="19"/>
  <c r="F116" i="19"/>
  <c r="F117" i="19"/>
  <c r="F118" i="19"/>
  <c r="F119" i="19"/>
  <c r="F120" i="19"/>
  <c r="F121" i="19"/>
  <c r="F122" i="19"/>
  <c r="F123" i="19"/>
  <c r="F124" i="19"/>
  <c r="F125" i="19"/>
  <c r="F126" i="19"/>
  <c r="F127" i="19"/>
  <c r="F128" i="19"/>
  <c r="F129" i="19"/>
  <c r="F130" i="19"/>
  <c r="F131" i="19"/>
  <c r="F132" i="19"/>
  <c r="F133" i="19"/>
  <c r="F135" i="19"/>
  <c r="F136" i="19"/>
  <c r="F137" i="19"/>
  <c r="F138" i="19"/>
  <c r="F139" i="19"/>
  <c r="F140" i="19"/>
  <c r="F141" i="19"/>
  <c r="F142" i="19"/>
  <c r="F143" i="19"/>
  <c r="F144" i="19"/>
  <c r="F145" i="19"/>
  <c r="F146" i="19"/>
  <c r="F147" i="19"/>
  <c r="F148" i="19"/>
  <c r="F149" i="19"/>
  <c r="F150" i="19"/>
  <c r="F151" i="19"/>
  <c r="F152" i="19"/>
  <c r="F153" i="19"/>
  <c r="F154" i="19"/>
  <c r="F155" i="19"/>
  <c r="F156" i="19"/>
  <c r="F157" i="19"/>
  <c r="F158" i="19"/>
  <c r="F159" i="19"/>
  <c r="F160" i="19"/>
  <c r="F161" i="19"/>
  <c r="F162" i="19"/>
  <c r="F163" i="19"/>
  <c r="F164" i="19"/>
  <c r="F165" i="19"/>
  <c r="F167" i="19"/>
  <c r="F168" i="19"/>
  <c r="F169" i="19"/>
  <c r="F3" i="19"/>
  <c r="B21" i="23" l="1"/>
  <c r="AW102" i="19"/>
  <c r="J100" i="20"/>
  <c r="BA102" i="19"/>
  <c r="K100" i="20"/>
  <c r="AG102" i="19"/>
  <c r="F100" i="20"/>
  <c r="AQ102" i="19"/>
  <c r="H100" i="20"/>
  <c r="AD102" i="19"/>
  <c r="E100" i="20" s="1"/>
  <c r="BI102" i="19"/>
  <c r="BQ102" i="19"/>
  <c r="T102" i="19"/>
  <c r="BM102" i="19"/>
  <c r="N102" i="19"/>
  <c r="BE102" i="19"/>
  <c r="BG102" i="19"/>
  <c r="AI102" i="19"/>
  <c r="AO102" i="19"/>
  <c r="B22" i="23" l="1"/>
  <c r="AE102" i="19"/>
  <c r="AC102" i="19"/>
  <c r="V102" i="19"/>
  <c r="AT102" i="19" s="1"/>
  <c r="I100" i="20" s="1"/>
  <c r="W102" i="19"/>
  <c r="U102" i="19"/>
  <c r="AL102" i="19" s="1"/>
  <c r="Z11" i="19"/>
  <c r="Z12" i="19"/>
  <c r="Z13" i="19"/>
  <c r="Z14" i="19"/>
  <c r="Z15" i="19"/>
  <c r="Z16" i="19"/>
  <c r="Z17" i="19"/>
  <c r="Z19" i="19"/>
  <c r="Z20" i="19"/>
  <c r="Z21" i="19"/>
  <c r="Z22" i="19"/>
  <c r="Z23" i="19"/>
  <c r="Z24" i="19"/>
  <c r="Z25" i="19"/>
  <c r="Z26" i="19"/>
  <c r="Z27" i="19"/>
  <c r="Z28" i="19"/>
  <c r="Z29" i="19"/>
  <c r="Z30" i="19"/>
  <c r="Z31" i="19"/>
  <c r="Z32" i="19"/>
  <c r="Z33" i="19"/>
  <c r="Z34" i="19"/>
  <c r="Z35" i="19"/>
  <c r="Z36" i="19"/>
  <c r="Z37" i="19"/>
  <c r="Z38" i="19"/>
  <c r="Z39" i="19"/>
  <c r="Z40" i="19"/>
  <c r="Z41" i="19"/>
  <c r="Z42" i="19"/>
  <c r="Z43" i="19"/>
  <c r="Z44" i="19"/>
  <c r="Z45" i="19"/>
  <c r="Z46" i="19"/>
  <c r="Z47" i="19"/>
  <c r="Z48" i="19"/>
  <c r="Z49" i="19"/>
  <c r="Z50" i="19"/>
  <c r="Z51" i="19"/>
  <c r="Z52" i="19"/>
  <c r="Z53" i="19"/>
  <c r="Z54" i="19"/>
  <c r="Z55" i="19"/>
  <c r="Z56" i="19"/>
  <c r="Z57" i="19"/>
  <c r="Z58" i="19"/>
  <c r="Z59" i="19"/>
  <c r="Z60" i="19"/>
  <c r="Z61" i="19"/>
  <c r="Z62" i="19"/>
  <c r="Z63" i="19"/>
  <c r="Z64" i="19"/>
  <c r="Z65" i="19"/>
  <c r="Z66" i="19"/>
  <c r="Z67" i="19"/>
  <c r="Z68" i="19"/>
  <c r="Z69" i="19"/>
  <c r="Z70" i="19"/>
  <c r="Z71" i="19"/>
  <c r="Z72" i="19"/>
  <c r="Z73" i="19"/>
  <c r="Z74" i="19"/>
  <c r="Z75" i="19"/>
  <c r="Z76" i="19"/>
  <c r="Z77" i="19"/>
  <c r="Z78" i="19"/>
  <c r="Z79" i="19"/>
  <c r="Z80" i="19"/>
  <c r="Z81" i="19"/>
  <c r="Z82" i="19"/>
  <c r="Z83" i="19"/>
  <c r="D82" i="20" s="1"/>
  <c r="Z84" i="19"/>
  <c r="D83" i="20" s="1"/>
  <c r="Z85" i="19"/>
  <c r="D84" i="20" s="1"/>
  <c r="Z86" i="19"/>
  <c r="D85" i="20" s="1"/>
  <c r="Z87" i="19"/>
  <c r="D86" i="20" s="1"/>
  <c r="Z88" i="19"/>
  <c r="D87" i="20" s="1"/>
  <c r="Z89" i="19"/>
  <c r="D88" i="20" s="1"/>
  <c r="Z90" i="19"/>
  <c r="D89" i="20" s="1"/>
  <c r="Z91" i="19"/>
  <c r="D90" i="20" s="1"/>
  <c r="Z92" i="19"/>
  <c r="D91" i="20" s="1"/>
  <c r="Z94" i="19"/>
  <c r="D93" i="20" s="1"/>
  <c r="Z96" i="19"/>
  <c r="D94" i="20" s="1"/>
  <c r="Z97" i="19"/>
  <c r="D95" i="20" s="1"/>
  <c r="Z98" i="19"/>
  <c r="D96" i="20" s="1"/>
  <c r="Z99" i="19"/>
  <c r="D97" i="20" s="1"/>
  <c r="Z100" i="19"/>
  <c r="D98" i="20" s="1"/>
  <c r="Z101" i="19"/>
  <c r="D99" i="20" s="1"/>
  <c r="Z103" i="19"/>
  <c r="D101" i="20" s="1"/>
  <c r="Z104" i="19"/>
  <c r="D102" i="20" s="1"/>
  <c r="Z105" i="19"/>
  <c r="D103" i="20" s="1"/>
  <c r="Z106" i="19"/>
  <c r="D104" i="20" s="1"/>
  <c r="Z107" i="19"/>
  <c r="D105" i="20" s="1"/>
  <c r="Z108" i="19"/>
  <c r="D106" i="20" s="1"/>
  <c r="Z109" i="19"/>
  <c r="D107" i="20" s="1"/>
  <c r="Z110" i="19"/>
  <c r="D108" i="20" s="1"/>
  <c r="Z111" i="19"/>
  <c r="D109" i="20" s="1"/>
  <c r="Z112" i="19"/>
  <c r="D110" i="20" s="1"/>
  <c r="Z113" i="19"/>
  <c r="D111" i="20" s="1"/>
  <c r="Z114" i="19"/>
  <c r="D112" i="20" s="1"/>
  <c r="Z115" i="19"/>
  <c r="D113" i="20" s="1"/>
  <c r="Z116" i="19"/>
  <c r="D114" i="20" s="1"/>
  <c r="Z117" i="19"/>
  <c r="D115" i="20" s="1"/>
  <c r="Z118" i="19"/>
  <c r="D116" i="20" s="1"/>
  <c r="Z119" i="19"/>
  <c r="D117" i="20" s="1"/>
  <c r="Z120" i="19"/>
  <c r="D118" i="20" s="1"/>
  <c r="Z121" i="19"/>
  <c r="D119" i="20" s="1"/>
  <c r="Z122" i="19"/>
  <c r="D120" i="20" s="1"/>
  <c r="Z123" i="19"/>
  <c r="D121" i="20" s="1"/>
  <c r="Z124" i="19"/>
  <c r="D122" i="20" s="1"/>
  <c r="Z125" i="19"/>
  <c r="D123" i="20" s="1"/>
  <c r="Z126" i="19"/>
  <c r="D124" i="20" s="1"/>
  <c r="Z127" i="19"/>
  <c r="D125" i="20" s="1"/>
  <c r="Z128" i="19"/>
  <c r="D126" i="20" s="1"/>
  <c r="Z129" i="19"/>
  <c r="D127" i="20" s="1"/>
  <c r="Z130" i="19"/>
  <c r="D128" i="20" s="1"/>
  <c r="Z131" i="19"/>
  <c r="D129" i="20" s="1"/>
  <c r="Z132" i="19"/>
  <c r="D130" i="20" s="1"/>
  <c r="Z133" i="19"/>
  <c r="D131" i="20" s="1"/>
  <c r="Z135" i="19"/>
  <c r="D133" i="20" s="1"/>
  <c r="Z136" i="19"/>
  <c r="D134" i="20" s="1"/>
  <c r="Z137" i="19"/>
  <c r="D135" i="20" s="1"/>
  <c r="Z138" i="19"/>
  <c r="D136" i="20" s="1"/>
  <c r="Z139" i="19"/>
  <c r="D137" i="20" s="1"/>
  <c r="Z140" i="19"/>
  <c r="D138" i="20" s="1"/>
  <c r="Z141" i="19"/>
  <c r="D139" i="20" s="1"/>
  <c r="Z142" i="19"/>
  <c r="D140" i="20" s="1"/>
  <c r="Z143" i="19"/>
  <c r="D141" i="20" s="1"/>
  <c r="Z144" i="19"/>
  <c r="D142" i="20" s="1"/>
  <c r="Z145" i="19"/>
  <c r="D143" i="20" s="1"/>
  <c r="Z146" i="19"/>
  <c r="D144" i="20" s="1"/>
  <c r="Z147" i="19"/>
  <c r="D145" i="20" s="1"/>
  <c r="Z148" i="19"/>
  <c r="D146" i="20" s="1"/>
  <c r="Z149" i="19"/>
  <c r="D147" i="20" s="1"/>
  <c r="Z150" i="19"/>
  <c r="D148" i="20" s="1"/>
  <c r="Z151" i="19"/>
  <c r="D149" i="20" s="1"/>
  <c r="Z152" i="19"/>
  <c r="D150" i="20" s="1"/>
  <c r="Z153" i="19"/>
  <c r="D151" i="20" s="1"/>
  <c r="Z154" i="19"/>
  <c r="D152" i="20" s="1"/>
  <c r="Z155" i="19"/>
  <c r="D153" i="20" s="1"/>
  <c r="Z156" i="19"/>
  <c r="D154" i="20" s="1"/>
  <c r="Z157" i="19"/>
  <c r="D155" i="20" s="1"/>
  <c r="Z158" i="19"/>
  <c r="D156" i="20" s="1"/>
  <c r="Z159" i="19"/>
  <c r="D157" i="20" s="1"/>
  <c r="Z160" i="19"/>
  <c r="D158" i="20" s="1"/>
  <c r="Z161" i="19"/>
  <c r="D159" i="20" s="1"/>
  <c r="Z162" i="19"/>
  <c r="D160" i="20" s="1"/>
  <c r="Z163" i="19"/>
  <c r="D161" i="20" s="1"/>
  <c r="Z164" i="19"/>
  <c r="D162" i="20" s="1"/>
  <c r="Z165" i="19"/>
  <c r="D163" i="20" s="1"/>
  <c r="Z167" i="19"/>
  <c r="D164" i="20" s="1"/>
  <c r="Z168" i="19"/>
  <c r="D165" i="20" s="1"/>
  <c r="Z169" i="19"/>
  <c r="D166" i="20" s="1"/>
  <c r="Z6" i="19"/>
  <c r="Z7" i="19"/>
  <c r="Z8" i="19"/>
  <c r="Z9" i="19"/>
  <c r="Z10" i="19"/>
  <c r="Z4" i="19"/>
  <c r="Z5" i="19"/>
  <c r="Z3" i="19"/>
  <c r="B23" i="23" l="1"/>
  <c r="G100" i="20"/>
  <c r="AV102" i="19"/>
  <c r="AS102" i="19"/>
  <c r="AU102" i="19"/>
  <c r="AK102" i="19"/>
  <c r="AM102" i="19"/>
  <c r="A32" i="22"/>
  <c r="A31" i="22"/>
  <c r="A30" i="22"/>
  <c r="A29" i="22"/>
  <c r="A28" i="22"/>
  <c r="A27" i="22"/>
  <c r="A25" i="22"/>
  <c r="A24" i="22"/>
  <c r="A22" i="22"/>
  <c r="A21" i="22"/>
  <c r="A19" i="22"/>
  <c r="A18" i="22"/>
  <c r="A17" i="22"/>
  <c r="A16" i="22"/>
  <c r="A15" i="22"/>
  <c r="A14" i="22"/>
  <c r="A12" i="22"/>
  <c r="A11" i="22"/>
  <c r="A10" i="22"/>
  <c r="A9" i="22"/>
  <c r="A8" i="22"/>
  <c r="A7" i="22"/>
  <c r="N16" i="21"/>
  <c r="M16" i="21"/>
  <c r="L16" i="21"/>
  <c r="K16" i="21"/>
  <c r="J16" i="21"/>
  <c r="I16" i="21"/>
  <c r="H16" i="21"/>
  <c r="G16" i="21"/>
  <c r="F16" i="21"/>
  <c r="E16" i="21"/>
  <c r="D16" i="21"/>
  <c r="N15" i="21"/>
  <c r="M15" i="21"/>
  <c r="L15" i="21"/>
  <c r="K15" i="21"/>
  <c r="J15" i="21"/>
  <c r="I15" i="21"/>
  <c r="H15" i="21"/>
  <c r="G15" i="21"/>
  <c r="F15" i="21"/>
  <c r="E15" i="21"/>
  <c r="D15" i="21"/>
  <c r="N14" i="21"/>
  <c r="M14" i="21"/>
  <c r="L14" i="21"/>
  <c r="K14" i="21"/>
  <c r="J14" i="21"/>
  <c r="I14" i="21"/>
  <c r="H14" i="21"/>
  <c r="G14" i="21"/>
  <c r="F14" i="21"/>
  <c r="E14" i="21"/>
  <c r="D14" i="21"/>
  <c r="N13" i="21"/>
  <c r="M13" i="21"/>
  <c r="L13" i="21"/>
  <c r="K13" i="21"/>
  <c r="J13" i="21"/>
  <c r="I13" i="21"/>
  <c r="H13" i="21"/>
  <c r="G13" i="21"/>
  <c r="F13" i="21"/>
  <c r="E13" i="21"/>
  <c r="D13" i="21"/>
  <c r="N12" i="21"/>
  <c r="M12" i="21"/>
  <c r="L12" i="21"/>
  <c r="K12" i="21"/>
  <c r="J12" i="21"/>
  <c r="I12" i="21"/>
  <c r="H12" i="21"/>
  <c r="G12" i="21"/>
  <c r="F12" i="21"/>
  <c r="E12" i="21"/>
  <c r="D12" i="21"/>
  <c r="N11" i="21"/>
  <c r="M11" i="21"/>
  <c r="L11" i="21"/>
  <c r="K11" i="21"/>
  <c r="J11" i="21"/>
  <c r="I11" i="21"/>
  <c r="H11" i="21"/>
  <c r="G11" i="21"/>
  <c r="F11" i="21"/>
  <c r="E11" i="21"/>
  <c r="D11" i="21"/>
  <c r="N10" i="21"/>
  <c r="M10" i="21"/>
  <c r="L10" i="21"/>
  <c r="K10" i="21"/>
  <c r="J10" i="21"/>
  <c r="I10" i="21"/>
  <c r="N9" i="21"/>
  <c r="M9" i="21"/>
  <c r="L9" i="21"/>
  <c r="K9" i="21"/>
  <c r="J9" i="21"/>
  <c r="I9" i="21"/>
  <c r="N8" i="21"/>
  <c r="M8" i="21"/>
  <c r="L8" i="21"/>
  <c r="K8" i="21"/>
  <c r="J8" i="21"/>
  <c r="I8" i="21"/>
  <c r="N7" i="21"/>
  <c r="M7" i="21"/>
  <c r="L7" i="21"/>
  <c r="K7" i="21"/>
  <c r="J7" i="21"/>
  <c r="I7" i="21"/>
  <c r="H7" i="21"/>
  <c r="G7" i="21"/>
  <c r="F7" i="21"/>
  <c r="E7" i="21"/>
  <c r="D7" i="21"/>
  <c r="I6" i="21"/>
  <c r="H6" i="21"/>
  <c r="G6" i="21"/>
  <c r="F6" i="21"/>
  <c r="E6" i="21"/>
  <c r="D6" i="21"/>
  <c r="C81" i="20"/>
  <c r="B81" i="20"/>
  <c r="C80" i="20"/>
  <c r="B80" i="20"/>
  <c r="C79" i="20"/>
  <c r="B79" i="20"/>
  <c r="C78" i="20"/>
  <c r="B78" i="20"/>
  <c r="C77" i="20"/>
  <c r="B77" i="20"/>
  <c r="C76" i="20"/>
  <c r="B76" i="20"/>
  <c r="C75" i="20"/>
  <c r="B75" i="20"/>
  <c r="C74" i="20"/>
  <c r="B74" i="20"/>
  <c r="C73" i="20"/>
  <c r="B73" i="20"/>
  <c r="C72" i="20"/>
  <c r="B72" i="20"/>
  <c r="C71" i="20"/>
  <c r="B71" i="20"/>
  <c r="C70" i="20"/>
  <c r="B70" i="20"/>
  <c r="C69" i="20"/>
  <c r="B69" i="20"/>
  <c r="C68" i="20"/>
  <c r="B68" i="20"/>
  <c r="C67" i="20"/>
  <c r="B67" i="20"/>
  <c r="C66" i="20"/>
  <c r="B66" i="20"/>
  <c r="C65" i="20"/>
  <c r="B65" i="20"/>
  <c r="C64" i="20"/>
  <c r="B64" i="20"/>
  <c r="C63" i="20"/>
  <c r="B63" i="20"/>
  <c r="C62" i="20"/>
  <c r="B62" i="20"/>
  <c r="C61" i="20"/>
  <c r="B61" i="20"/>
  <c r="C60" i="20"/>
  <c r="B60" i="20"/>
  <c r="C59" i="20"/>
  <c r="B59" i="20"/>
  <c r="C58" i="20"/>
  <c r="B58" i="20"/>
  <c r="C57" i="20"/>
  <c r="B57" i="20"/>
  <c r="C56" i="20"/>
  <c r="B56" i="20"/>
  <c r="C55" i="20"/>
  <c r="B55" i="20"/>
  <c r="C54" i="20"/>
  <c r="B54" i="20"/>
  <c r="C53" i="20"/>
  <c r="B53" i="20"/>
  <c r="C52" i="20"/>
  <c r="B52" i="20"/>
  <c r="C51" i="20"/>
  <c r="B51" i="20"/>
  <c r="C50" i="20"/>
  <c r="B50" i="20"/>
  <c r="C49" i="20"/>
  <c r="B49" i="20"/>
  <c r="C48" i="20"/>
  <c r="B48" i="20"/>
  <c r="C47" i="20"/>
  <c r="B47" i="20"/>
  <c r="C46" i="20"/>
  <c r="B46" i="20"/>
  <c r="C45" i="20"/>
  <c r="B45" i="20"/>
  <c r="C44" i="20"/>
  <c r="B44" i="20"/>
  <c r="C43" i="20"/>
  <c r="B43" i="20"/>
  <c r="C42" i="20"/>
  <c r="B42" i="20"/>
  <c r="C41" i="20"/>
  <c r="B41" i="20"/>
  <c r="C40" i="20"/>
  <c r="B40" i="20"/>
  <c r="C39" i="20"/>
  <c r="B39" i="20"/>
  <c r="C38" i="20"/>
  <c r="B38" i="20"/>
  <c r="C37" i="20"/>
  <c r="B37" i="20"/>
  <c r="C36" i="20"/>
  <c r="B36" i="20"/>
  <c r="C35" i="20"/>
  <c r="B35" i="20"/>
  <c r="C34" i="20"/>
  <c r="B34" i="20"/>
  <c r="C33" i="20"/>
  <c r="B33" i="20"/>
  <c r="C32" i="20"/>
  <c r="B32" i="20"/>
  <c r="C31" i="20"/>
  <c r="B31" i="20"/>
  <c r="C30" i="20"/>
  <c r="B30" i="20"/>
  <c r="C29" i="20"/>
  <c r="B29" i="20"/>
  <c r="C28" i="20"/>
  <c r="B28" i="20"/>
  <c r="C27" i="20"/>
  <c r="B27" i="20"/>
  <c r="C26" i="20"/>
  <c r="B26" i="20"/>
  <c r="C25" i="20"/>
  <c r="B25" i="20"/>
  <c r="C24" i="20"/>
  <c r="B24" i="20"/>
  <c r="C23" i="20"/>
  <c r="B23" i="20"/>
  <c r="C22" i="20"/>
  <c r="B22" i="20"/>
  <c r="C21" i="20"/>
  <c r="B21" i="20"/>
  <c r="C20" i="20"/>
  <c r="B20" i="20"/>
  <c r="C19" i="20"/>
  <c r="B19" i="20"/>
  <c r="C18" i="20"/>
  <c r="B18" i="20"/>
  <c r="C16" i="20"/>
  <c r="B16" i="20"/>
  <c r="C15" i="20"/>
  <c r="B15" i="20"/>
  <c r="C14" i="20"/>
  <c r="B14" i="20"/>
  <c r="C13" i="20"/>
  <c r="B13" i="20"/>
  <c r="C12" i="20"/>
  <c r="B12" i="20"/>
  <c r="C11" i="20"/>
  <c r="B11" i="20"/>
  <c r="C10" i="20"/>
  <c r="B10" i="20"/>
  <c r="C9" i="20"/>
  <c r="B9" i="20"/>
  <c r="C8" i="20"/>
  <c r="B8" i="20"/>
  <c r="C7" i="20"/>
  <c r="B7" i="20"/>
  <c r="C6" i="20"/>
  <c r="B6" i="20"/>
  <c r="C5" i="20"/>
  <c r="B5" i="20"/>
  <c r="C4" i="20"/>
  <c r="B4" i="20"/>
  <c r="C3" i="20"/>
  <c r="B3" i="20"/>
  <c r="C2" i="20"/>
  <c r="B2" i="20"/>
  <c r="A2" i="20"/>
  <c r="O1" i="20"/>
  <c r="N1" i="20"/>
  <c r="M1" i="20"/>
  <c r="L1" i="20"/>
  <c r="K1" i="20"/>
  <c r="J1" i="20"/>
  <c r="I1" i="20"/>
  <c r="H1" i="20"/>
  <c r="G1" i="20"/>
  <c r="F1" i="20"/>
  <c r="E1" i="20"/>
  <c r="D1" i="20"/>
  <c r="BR169" i="19"/>
  <c r="O166" i="20" s="1"/>
  <c r="BJ169" i="19"/>
  <c r="M166" i="20" s="1"/>
  <c r="BB169" i="19"/>
  <c r="AX169" i="19"/>
  <c r="J166" i="20" s="1"/>
  <c r="AP169" i="19"/>
  <c r="AH169" i="19"/>
  <c r="BF169" i="19"/>
  <c r="P169" i="19"/>
  <c r="BR168" i="19"/>
  <c r="BJ168" i="19"/>
  <c r="BB168" i="19"/>
  <c r="K165" i="20" s="1"/>
  <c r="AX168" i="19"/>
  <c r="J165" i="20" s="1"/>
  <c r="AP168" i="19"/>
  <c r="AH168" i="19"/>
  <c r="F165" i="20" s="1"/>
  <c r="BF168" i="19"/>
  <c r="P168" i="19"/>
  <c r="BR167" i="19"/>
  <c r="O164" i="20" s="1"/>
  <c r="BM167" i="19"/>
  <c r="BJ167" i="19"/>
  <c r="M164" i="20" s="1"/>
  <c r="BB167" i="19"/>
  <c r="K164" i="20" s="1"/>
  <c r="AX167" i="19"/>
  <c r="J164" i="20" s="1"/>
  <c r="AP167" i="19"/>
  <c r="H164" i="20" s="1"/>
  <c r="AH167" i="19"/>
  <c r="BF167" i="19"/>
  <c r="P167" i="19"/>
  <c r="AD167" i="19" s="1"/>
  <c r="E164" i="20" s="1"/>
  <c r="BR165" i="19"/>
  <c r="BJ165" i="19"/>
  <c r="BB165" i="19"/>
  <c r="K163" i="20" s="1"/>
  <c r="AX165" i="19"/>
  <c r="J163" i="20" s="1"/>
  <c r="AP165" i="19"/>
  <c r="AH165" i="19"/>
  <c r="F163" i="20" s="1"/>
  <c r="BF165" i="19"/>
  <c r="P165" i="19"/>
  <c r="N165" i="19"/>
  <c r="BR164" i="19"/>
  <c r="O162" i="20" s="1"/>
  <c r="BJ164" i="19"/>
  <c r="M162" i="20" s="1"/>
  <c r="BB164" i="19"/>
  <c r="K162" i="20" s="1"/>
  <c r="AX164" i="19"/>
  <c r="AP164" i="19"/>
  <c r="H162" i="20" s="1"/>
  <c r="AH164" i="19"/>
  <c r="BF164" i="19"/>
  <c r="P164" i="19"/>
  <c r="BR163" i="19"/>
  <c r="O161" i="20" s="1"/>
  <c r="BM163" i="19"/>
  <c r="BJ163" i="19"/>
  <c r="M161" i="20" s="1"/>
  <c r="BB163" i="19"/>
  <c r="K161" i="20" s="1"/>
  <c r="AX163" i="19"/>
  <c r="J161" i="20" s="1"/>
  <c r="AP163" i="19"/>
  <c r="AH163" i="19"/>
  <c r="F161" i="20" s="1"/>
  <c r="BF163" i="19"/>
  <c r="P163" i="19"/>
  <c r="BR162" i="19"/>
  <c r="O160" i="20" s="1"/>
  <c r="BJ162" i="19"/>
  <c r="M160" i="20" s="1"/>
  <c r="BB162" i="19"/>
  <c r="AX162" i="19"/>
  <c r="J160" i="20" s="1"/>
  <c r="AP162" i="19"/>
  <c r="AH162" i="19"/>
  <c r="F160" i="20" s="1"/>
  <c r="BF162" i="19"/>
  <c r="P162" i="19"/>
  <c r="AD162" i="19" s="1"/>
  <c r="E160" i="20" s="1"/>
  <c r="BR161" i="19"/>
  <c r="BJ161" i="19"/>
  <c r="BB161" i="19"/>
  <c r="K159" i="20" s="1"/>
  <c r="AX161" i="19"/>
  <c r="J159" i="20" s="1"/>
  <c r="AP161" i="19"/>
  <c r="AH161" i="19"/>
  <c r="F159" i="20" s="1"/>
  <c r="P161" i="19"/>
  <c r="AD161" i="19" s="1"/>
  <c r="E159" i="20" s="1"/>
  <c r="BR160" i="19"/>
  <c r="O158" i="20" s="1"/>
  <c r="BM160" i="19"/>
  <c r="BJ160" i="19"/>
  <c r="M158" i="20" s="1"/>
  <c r="BB160" i="19"/>
  <c r="K158" i="20" s="1"/>
  <c r="AX160" i="19"/>
  <c r="J158" i="20" s="1"/>
  <c r="AP160" i="19"/>
  <c r="AH160" i="19"/>
  <c r="F158" i="20" s="1"/>
  <c r="BF160" i="19"/>
  <c r="L158" i="20" s="1"/>
  <c r="P160" i="19"/>
  <c r="AD160" i="19" s="1"/>
  <c r="E158" i="20" s="1"/>
  <c r="BR159" i="19"/>
  <c r="O157" i="20" s="1"/>
  <c r="BJ159" i="19"/>
  <c r="M157" i="20" s="1"/>
  <c r="BB159" i="19"/>
  <c r="AX159" i="19"/>
  <c r="J157" i="20" s="1"/>
  <c r="AP159" i="19"/>
  <c r="AH159" i="19"/>
  <c r="F157" i="20" s="1"/>
  <c r="P159" i="19"/>
  <c r="BR158" i="19"/>
  <c r="O156" i="20" s="1"/>
  <c r="BJ158" i="19"/>
  <c r="M156" i="20" s="1"/>
  <c r="BB158" i="19"/>
  <c r="K156" i="20" s="1"/>
  <c r="AX158" i="19"/>
  <c r="AP158" i="19"/>
  <c r="H156" i="20" s="1"/>
  <c r="AH158" i="19"/>
  <c r="BF158" i="19"/>
  <c r="P158" i="19"/>
  <c r="AD158" i="19" s="1"/>
  <c r="E156" i="20" s="1"/>
  <c r="BR157" i="19"/>
  <c r="O155" i="20" s="1"/>
  <c r="BJ157" i="19"/>
  <c r="M155" i="20" s="1"/>
  <c r="BB157" i="19"/>
  <c r="AX157" i="19"/>
  <c r="J155" i="20" s="1"/>
  <c r="AP157" i="19"/>
  <c r="AH157" i="19"/>
  <c r="F155" i="20" s="1"/>
  <c r="P157" i="19"/>
  <c r="AD157" i="19" s="1"/>
  <c r="E155" i="20" s="1"/>
  <c r="BR156" i="19"/>
  <c r="O154" i="20" s="1"/>
  <c r="BJ156" i="19"/>
  <c r="M154" i="20" s="1"/>
  <c r="BB156" i="19"/>
  <c r="AX156" i="19"/>
  <c r="AP156" i="19"/>
  <c r="AH156" i="19"/>
  <c r="P156" i="19"/>
  <c r="BR155" i="19"/>
  <c r="O153" i="20" s="1"/>
  <c r="BJ155" i="19"/>
  <c r="M153" i="20" s="1"/>
  <c r="BB155" i="19"/>
  <c r="AX155" i="19"/>
  <c r="AP155" i="19"/>
  <c r="AH155" i="19"/>
  <c r="P155" i="19"/>
  <c r="AD155" i="19" s="1"/>
  <c r="E153" i="20" s="1"/>
  <c r="BR154" i="19"/>
  <c r="O152" i="20" s="1"/>
  <c r="BJ154" i="19"/>
  <c r="M152" i="20" s="1"/>
  <c r="BB154" i="19"/>
  <c r="AX154" i="19"/>
  <c r="AP154" i="19"/>
  <c r="AH154" i="19"/>
  <c r="P154" i="19"/>
  <c r="BR153" i="19"/>
  <c r="O151" i="20" s="1"/>
  <c r="BJ153" i="19"/>
  <c r="M151" i="20" s="1"/>
  <c r="BB153" i="19"/>
  <c r="AX153" i="19"/>
  <c r="AP153" i="19"/>
  <c r="AH153" i="19"/>
  <c r="P153" i="19"/>
  <c r="AD153" i="19" s="1"/>
  <c r="E151" i="20" s="1"/>
  <c r="BR152" i="19"/>
  <c r="O150" i="20" s="1"/>
  <c r="BJ152" i="19"/>
  <c r="M150" i="20" s="1"/>
  <c r="BB152" i="19"/>
  <c r="AX152" i="19"/>
  <c r="AP152" i="19"/>
  <c r="AH152" i="19"/>
  <c r="P152" i="19"/>
  <c r="AD152" i="19" s="1"/>
  <c r="E150" i="20" s="1"/>
  <c r="BR151" i="19"/>
  <c r="O149" i="20" s="1"/>
  <c r="BJ151" i="19"/>
  <c r="M149" i="20" s="1"/>
  <c r="BB151" i="19"/>
  <c r="AX151" i="19"/>
  <c r="AP151" i="19"/>
  <c r="AH151" i="19"/>
  <c r="P151" i="19"/>
  <c r="AD151" i="19" s="1"/>
  <c r="E149" i="20" s="1"/>
  <c r="BR150" i="19"/>
  <c r="O148" i="20" s="1"/>
  <c r="BJ150" i="19"/>
  <c r="M148" i="20" s="1"/>
  <c r="BB150" i="19"/>
  <c r="AX150" i="19"/>
  <c r="AP150" i="19"/>
  <c r="AH150" i="19"/>
  <c r="P150" i="19"/>
  <c r="AD150" i="19" s="1"/>
  <c r="E148" i="20" s="1"/>
  <c r="N150" i="19"/>
  <c r="BR149" i="19"/>
  <c r="BM149" i="19"/>
  <c r="BJ149" i="19"/>
  <c r="BB149" i="19"/>
  <c r="K147" i="20" s="1"/>
  <c r="AX149" i="19"/>
  <c r="J147" i="20" s="1"/>
  <c r="AP149" i="19"/>
  <c r="H147" i="20" s="1"/>
  <c r="AH149" i="19"/>
  <c r="BF149" i="19"/>
  <c r="P149" i="19"/>
  <c r="AD149" i="19" s="1"/>
  <c r="E147" i="20" s="1"/>
  <c r="BR148" i="19"/>
  <c r="BJ148" i="19"/>
  <c r="BB148" i="19"/>
  <c r="K146" i="20" s="1"/>
  <c r="AX148" i="19"/>
  <c r="J146" i="20" s="1"/>
  <c r="AP148" i="19"/>
  <c r="AH148" i="19"/>
  <c r="F146" i="20" s="1"/>
  <c r="BF148" i="19"/>
  <c r="P148" i="19"/>
  <c r="AD148" i="19" s="1"/>
  <c r="E146" i="20" s="1"/>
  <c r="BR147" i="19"/>
  <c r="O145" i="20" s="1"/>
  <c r="BM147" i="19"/>
  <c r="BJ147" i="19"/>
  <c r="M145" i="20" s="1"/>
  <c r="BB147" i="19"/>
  <c r="K145" i="20" s="1"/>
  <c r="AX147" i="19"/>
  <c r="J145" i="20" s="1"/>
  <c r="AP147" i="19"/>
  <c r="H145" i="20" s="1"/>
  <c r="AH147" i="19"/>
  <c r="BF147" i="19"/>
  <c r="P147" i="19"/>
  <c r="AD147" i="19" s="1"/>
  <c r="E145" i="20" s="1"/>
  <c r="BR146" i="19"/>
  <c r="BJ146" i="19"/>
  <c r="BB146" i="19"/>
  <c r="K144" i="20" s="1"/>
  <c r="AX146" i="19"/>
  <c r="J144" i="20" s="1"/>
  <c r="AP146" i="19"/>
  <c r="AH146" i="19"/>
  <c r="F144" i="20" s="1"/>
  <c r="BF146" i="19"/>
  <c r="P146" i="19"/>
  <c r="BR145" i="19"/>
  <c r="O143" i="20" s="1"/>
  <c r="BJ145" i="19"/>
  <c r="M143" i="20" s="1"/>
  <c r="BB145" i="19"/>
  <c r="K143" i="20" s="1"/>
  <c r="AX145" i="19"/>
  <c r="AP145" i="19"/>
  <c r="H143" i="20" s="1"/>
  <c r="AH145" i="19"/>
  <c r="BF145" i="19"/>
  <c r="P145" i="19"/>
  <c r="N145" i="19"/>
  <c r="BR144" i="19"/>
  <c r="O142" i="20" s="1"/>
  <c r="BM144" i="19"/>
  <c r="BJ144" i="19"/>
  <c r="M142" i="20" s="1"/>
  <c r="BB144" i="19"/>
  <c r="K142" i="20" s="1"/>
  <c r="AX144" i="19"/>
  <c r="J142" i="20" s="1"/>
  <c r="AP144" i="19"/>
  <c r="AH144" i="19"/>
  <c r="F142" i="20" s="1"/>
  <c r="P144" i="19"/>
  <c r="AD144" i="19" s="1"/>
  <c r="E142" i="20" s="1"/>
  <c r="BR143" i="19"/>
  <c r="BJ143" i="19"/>
  <c r="BB143" i="19"/>
  <c r="K141" i="20" s="1"/>
  <c r="AX143" i="19"/>
  <c r="J141" i="20" s="1"/>
  <c r="AP143" i="19"/>
  <c r="H141" i="20" s="1"/>
  <c r="AH143" i="19"/>
  <c r="BF143" i="19"/>
  <c r="L141" i="20" s="1"/>
  <c r="P143" i="19"/>
  <c r="N143" i="19"/>
  <c r="BR142" i="19"/>
  <c r="O140" i="20" s="1"/>
  <c r="BJ142" i="19"/>
  <c r="M140" i="20" s="1"/>
  <c r="BB142" i="19"/>
  <c r="K140" i="20" s="1"/>
  <c r="AX142" i="19"/>
  <c r="AP142" i="19"/>
  <c r="H140" i="20" s="1"/>
  <c r="AH142" i="19"/>
  <c r="BF142" i="19"/>
  <c r="P142" i="19"/>
  <c r="BR141" i="19"/>
  <c r="O139" i="20" s="1"/>
  <c r="BM141" i="19"/>
  <c r="BJ141" i="19"/>
  <c r="M139" i="20" s="1"/>
  <c r="BB141" i="19"/>
  <c r="K139" i="20" s="1"/>
  <c r="AX141" i="19"/>
  <c r="J139" i="20" s="1"/>
  <c r="AP141" i="19"/>
  <c r="H139" i="20" s="1"/>
  <c r="AH141" i="19"/>
  <c r="BF141" i="19"/>
  <c r="P141" i="19"/>
  <c r="AD141" i="19" s="1"/>
  <c r="E139" i="20" s="1"/>
  <c r="BR140" i="19"/>
  <c r="O138" i="20" s="1"/>
  <c r="BJ140" i="19"/>
  <c r="M138" i="20" s="1"/>
  <c r="BB140" i="19"/>
  <c r="AX140" i="19"/>
  <c r="J138" i="20" s="1"/>
  <c r="AP140" i="19"/>
  <c r="AH140" i="19"/>
  <c r="F138" i="20" s="1"/>
  <c r="BF140" i="19"/>
  <c r="P140" i="19"/>
  <c r="BR139" i="19"/>
  <c r="O137" i="20" s="1"/>
  <c r="BJ139" i="19"/>
  <c r="M137" i="20" s="1"/>
  <c r="BB139" i="19"/>
  <c r="K137" i="20" s="1"/>
  <c r="AX139" i="19"/>
  <c r="AP139" i="19"/>
  <c r="H137" i="20" s="1"/>
  <c r="AH139" i="19"/>
  <c r="P139" i="19"/>
  <c r="BR138" i="19"/>
  <c r="O136" i="20" s="1"/>
  <c r="BJ138" i="19"/>
  <c r="M136" i="20" s="1"/>
  <c r="BB138" i="19"/>
  <c r="AX138" i="19"/>
  <c r="J136" i="20" s="1"/>
  <c r="AP138" i="19"/>
  <c r="AH138" i="19"/>
  <c r="F136" i="20" s="1"/>
  <c r="BF138" i="19"/>
  <c r="P138" i="19"/>
  <c r="N138" i="19"/>
  <c r="BR137" i="19"/>
  <c r="BJ137" i="19"/>
  <c r="BB137" i="19"/>
  <c r="K135" i="20" s="1"/>
  <c r="AX137" i="19"/>
  <c r="J135" i="20" s="1"/>
  <c r="AP137" i="19"/>
  <c r="AH137" i="19"/>
  <c r="F135" i="20" s="1"/>
  <c r="P137" i="19"/>
  <c r="BR136" i="19"/>
  <c r="O134" i="20" s="1"/>
  <c r="BM136" i="19"/>
  <c r="BJ136" i="19"/>
  <c r="M134" i="20" s="1"/>
  <c r="BB136" i="19"/>
  <c r="K134" i="20" s="1"/>
  <c r="AX136" i="19"/>
  <c r="J134" i="20" s="1"/>
  <c r="AP136" i="19"/>
  <c r="H134" i="20" s="1"/>
  <c r="AH136" i="19"/>
  <c r="P136" i="19"/>
  <c r="AD136" i="19" s="1"/>
  <c r="E134" i="20" s="1"/>
  <c r="BR135" i="19"/>
  <c r="BJ135" i="19"/>
  <c r="BB135" i="19"/>
  <c r="K133" i="20" s="1"/>
  <c r="AX135" i="19"/>
  <c r="J133" i="20" s="1"/>
  <c r="AP135" i="19"/>
  <c r="AH135" i="19"/>
  <c r="F133" i="20" s="1"/>
  <c r="P135" i="19"/>
  <c r="BR133" i="19"/>
  <c r="BM133" i="19"/>
  <c r="BJ133" i="19"/>
  <c r="BB133" i="19"/>
  <c r="K131" i="20" s="1"/>
  <c r="AX133" i="19"/>
  <c r="J131" i="20" s="1"/>
  <c r="AP133" i="19"/>
  <c r="AH133" i="19"/>
  <c r="F131" i="20" s="1"/>
  <c r="P133" i="19"/>
  <c r="AD133" i="19" s="1"/>
  <c r="E131" i="20" s="1"/>
  <c r="BR132" i="19"/>
  <c r="BM132" i="19"/>
  <c r="BJ132" i="19"/>
  <c r="BB132" i="19"/>
  <c r="K130" i="20" s="1"/>
  <c r="AX132" i="19"/>
  <c r="J130" i="20" s="1"/>
  <c r="AP132" i="19"/>
  <c r="H130" i="20" s="1"/>
  <c r="AH132" i="19"/>
  <c r="BF132" i="19"/>
  <c r="L130" i="20" s="1"/>
  <c r="P132" i="19"/>
  <c r="AD132" i="19" s="1"/>
  <c r="E130" i="20" s="1"/>
  <c r="BR131" i="19"/>
  <c r="O129" i="20" s="1"/>
  <c r="BJ131" i="19"/>
  <c r="M129" i="20" s="1"/>
  <c r="BB131" i="19"/>
  <c r="AX131" i="19"/>
  <c r="AP131" i="19"/>
  <c r="AH131" i="19"/>
  <c r="BF131" i="19"/>
  <c r="P131" i="19"/>
  <c r="AD131" i="19" s="1"/>
  <c r="E129" i="20" s="1"/>
  <c r="BR130" i="19"/>
  <c r="O128" i="20" s="1"/>
  <c r="BJ130" i="19"/>
  <c r="M128" i="20" s="1"/>
  <c r="BB130" i="19"/>
  <c r="AX130" i="19"/>
  <c r="AP130" i="19"/>
  <c r="AH130" i="19"/>
  <c r="BF130" i="19"/>
  <c r="P130" i="19"/>
  <c r="BR129" i="19"/>
  <c r="BM129" i="19"/>
  <c r="BJ129" i="19"/>
  <c r="BB129" i="19"/>
  <c r="K127" i="20" s="1"/>
  <c r="AX129" i="19"/>
  <c r="J127" i="20" s="1"/>
  <c r="AP129" i="19"/>
  <c r="AH129" i="19"/>
  <c r="F127" i="20" s="1"/>
  <c r="BF129" i="19"/>
  <c r="P129" i="19"/>
  <c r="AD129" i="19" s="1"/>
  <c r="E127" i="20" s="1"/>
  <c r="BR128" i="19"/>
  <c r="BM128" i="19"/>
  <c r="BJ128" i="19"/>
  <c r="BB128" i="19"/>
  <c r="K126" i="20" s="1"/>
  <c r="AX128" i="19"/>
  <c r="J126" i="20" s="1"/>
  <c r="AP128" i="19"/>
  <c r="AH128" i="19"/>
  <c r="F126" i="20" s="1"/>
  <c r="BF128" i="19"/>
  <c r="P128" i="19"/>
  <c r="AD128" i="19" s="1"/>
  <c r="E126" i="20" s="1"/>
  <c r="BR127" i="19"/>
  <c r="O125" i="20" s="1"/>
  <c r="BJ127" i="19"/>
  <c r="M125" i="20" s="1"/>
  <c r="BB127" i="19"/>
  <c r="AX127" i="19"/>
  <c r="J125" i="20" s="1"/>
  <c r="AP127" i="19"/>
  <c r="AH127" i="19"/>
  <c r="P127" i="19"/>
  <c r="AD127" i="19" s="1"/>
  <c r="E125" i="20" s="1"/>
  <c r="BR126" i="19"/>
  <c r="O124" i="20" s="1"/>
  <c r="BJ126" i="19"/>
  <c r="M124" i="20" s="1"/>
  <c r="BB126" i="19"/>
  <c r="AX126" i="19"/>
  <c r="AP126" i="19"/>
  <c r="AH126" i="19"/>
  <c r="P126" i="19"/>
  <c r="N126" i="19"/>
  <c r="BR125" i="19"/>
  <c r="O123" i="20" s="1"/>
  <c r="BM125" i="19"/>
  <c r="BJ125" i="19"/>
  <c r="M123" i="20" s="1"/>
  <c r="BB125" i="19"/>
  <c r="K123" i="20" s="1"/>
  <c r="AX125" i="19"/>
  <c r="J123" i="20" s="1"/>
  <c r="AP125" i="19"/>
  <c r="AH125" i="19"/>
  <c r="F123" i="20" s="1"/>
  <c r="P125" i="19"/>
  <c r="BR124" i="19"/>
  <c r="BJ124" i="19"/>
  <c r="BB124" i="19"/>
  <c r="K122" i="20" s="1"/>
  <c r="AX124" i="19"/>
  <c r="J122" i="20" s="1"/>
  <c r="AP124" i="19"/>
  <c r="AH124" i="19"/>
  <c r="BF124" i="19"/>
  <c r="L122" i="20" s="1"/>
  <c r="P124" i="19"/>
  <c r="BR123" i="19"/>
  <c r="O121" i="20" s="1"/>
  <c r="BJ123" i="19"/>
  <c r="M121" i="20" s="1"/>
  <c r="BB123" i="19"/>
  <c r="AX123" i="19"/>
  <c r="AP123" i="19"/>
  <c r="AH123" i="19"/>
  <c r="F121" i="20" s="1"/>
  <c r="P123" i="19"/>
  <c r="BR122" i="19"/>
  <c r="O120" i="20" s="1"/>
  <c r="BM122" i="19"/>
  <c r="BJ122" i="19"/>
  <c r="M120" i="20" s="1"/>
  <c r="BB122" i="19"/>
  <c r="K120" i="20" s="1"/>
  <c r="AX122" i="19"/>
  <c r="J120" i="20" s="1"/>
  <c r="AP122" i="19"/>
  <c r="AH122" i="19"/>
  <c r="F120" i="20" s="1"/>
  <c r="P122" i="19"/>
  <c r="BR121" i="19"/>
  <c r="BJ121" i="19"/>
  <c r="BB121" i="19"/>
  <c r="K119" i="20" s="1"/>
  <c r="AX121" i="19"/>
  <c r="J119" i="20" s="1"/>
  <c r="AP121" i="19"/>
  <c r="H119" i="20" s="1"/>
  <c r="AH121" i="19"/>
  <c r="P121" i="19"/>
  <c r="BR120" i="19"/>
  <c r="O118" i="20" s="1"/>
  <c r="BJ120" i="19"/>
  <c r="M118" i="20" s="1"/>
  <c r="BB120" i="19"/>
  <c r="K118" i="20" s="1"/>
  <c r="AX120" i="19"/>
  <c r="AP120" i="19"/>
  <c r="AH120" i="19"/>
  <c r="P120" i="19"/>
  <c r="AD120" i="19" s="1"/>
  <c r="E118" i="20" s="1"/>
  <c r="BR119" i="19"/>
  <c r="O117" i="20" s="1"/>
  <c r="BM119" i="19"/>
  <c r="BJ119" i="19"/>
  <c r="BB119" i="19"/>
  <c r="AX119" i="19"/>
  <c r="J117" i="20" s="1"/>
  <c r="AP119" i="19"/>
  <c r="H117" i="20" s="1"/>
  <c r="AH119" i="19"/>
  <c r="BF119" i="19"/>
  <c r="P119" i="19"/>
  <c r="AD119" i="19" s="1"/>
  <c r="E117" i="20" s="1"/>
  <c r="BR118" i="19"/>
  <c r="O116" i="20" s="1"/>
  <c r="BJ118" i="19"/>
  <c r="M116" i="20" s="1"/>
  <c r="BB118" i="19"/>
  <c r="AX118" i="19"/>
  <c r="AP118" i="19"/>
  <c r="H116" i="20" s="1"/>
  <c r="AH118" i="19"/>
  <c r="BF118" i="19"/>
  <c r="P118" i="19"/>
  <c r="AD118" i="19" s="1"/>
  <c r="E116" i="20" s="1"/>
  <c r="BR117" i="19"/>
  <c r="O115" i="20" s="1"/>
  <c r="BM117" i="19"/>
  <c r="BJ117" i="19"/>
  <c r="M115" i="20" s="1"/>
  <c r="BB117" i="19"/>
  <c r="K115" i="20" s="1"/>
  <c r="AX117" i="19"/>
  <c r="AP117" i="19"/>
  <c r="AH117" i="19"/>
  <c r="F115" i="20" s="1"/>
  <c r="BF117" i="19"/>
  <c r="P117" i="19"/>
  <c r="AD117" i="19" s="1"/>
  <c r="E115" i="20" s="1"/>
  <c r="BR116" i="19"/>
  <c r="O114" i="20" s="1"/>
  <c r="BJ116" i="19"/>
  <c r="M114" i="20" s="1"/>
  <c r="BB116" i="19"/>
  <c r="AX116" i="19"/>
  <c r="J114" i="20" s="1"/>
  <c r="AP116" i="19"/>
  <c r="AH116" i="19"/>
  <c r="BF116" i="19"/>
  <c r="P116" i="19"/>
  <c r="AD116" i="19" s="1"/>
  <c r="E114" i="20" s="1"/>
  <c r="BR115" i="19"/>
  <c r="O113" i="20" s="1"/>
  <c r="BJ115" i="19"/>
  <c r="M113" i="20" s="1"/>
  <c r="BB115" i="19"/>
  <c r="K113" i="20" s="1"/>
  <c r="AX115" i="19"/>
  <c r="AP115" i="19"/>
  <c r="AH115" i="19"/>
  <c r="BF115" i="19"/>
  <c r="P115" i="19"/>
  <c r="AD115" i="19" s="1"/>
  <c r="E113" i="20" s="1"/>
  <c r="BR114" i="19"/>
  <c r="O112" i="20" s="1"/>
  <c r="BJ114" i="19"/>
  <c r="M112" i="20" s="1"/>
  <c r="BB114" i="19"/>
  <c r="AX114" i="19"/>
  <c r="J112" i="20" s="1"/>
  <c r="AP114" i="19"/>
  <c r="AH114" i="19"/>
  <c r="BF114" i="19"/>
  <c r="P114" i="19"/>
  <c r="BR113" i="19"/>
  <c r="BM113" i="19"/>
  <c r="BJ113" i="19"/>
  <c r="BB113" i="19"/>
  <c r="K111" i="20" s="1"/>
  <c r="AX113" i="19"/>
  <c r="AP113" i="19"/>
  <c r="H111" i="20" s="1"/>
  <c r="AH113" i="19"/>
  <c r="F111" i="20" s="1"/>
  <c r="BF113" i="19"/>
  <c r="P113" i="19"/>
  <c r="BR112" i="19"/>
  <c r="O110" i="20" s="1"/>
  <c r="BM112" i="19"/>
  <c r="BJ112" i="19"/>
  <c r="M110" i="20" s="1"/>
  <c r="BB112" i="19"/>
  <c r="K110" i="20" s="1"/>
  <c r="AX112" i="19"/>
  <c r="AP112" i="19"/>
  <c r="AH112" i="19"/>
  <c r="F110" i="20" s="1"/>
  <c r="BF112" i="19"/>
  <c r="P112" i="19"/>
  <c r="BR111" i="19"/>
  <c r="BM111" i="19"/>
  <c r="BJ111" i="19"/>
  <c r="M109" i="20" s="1"/>
  <c r="BB111" i="19"/>
  <c r="K109" i="20" s="1"/>
  <c r="AX111" i="19"/>
  <c r="J109" i="20" s="1"/>
  <c r="AP111" i="19"/>
  <c r="H109" i="20" s="1"/>
  <c r="AH111" i="19"/>
  <c r="P111" i="19"/>
  <c r="N111" i="19"/>
  <c r="BR110" i="19"/>
  <c r="O108" i="20" s="1"/>
  <c r="BJ110" i="19"/>
  <c r="M108" i="20" s="1"/>
  <c r="BB110" i="19"/>
  <c r="AX110" i="19"/>
  <c r="AP110" i="19"/>
  <c r="H108" i="20" s="1"/>
  <c r="AH110" i="19"/>
  <c r="P110" i="19"/>
  <c r="AD110" i="19" s="1"/>
  <c r="E108" i="20" s="1"/>
  <c r="N110" i="19"/>
  <c r="BR109" i="19"/>
  <c r="BJ109" i="19"/>
  <c r="BB109" i="19"/>
  <c r="K107" i="20" s="1"/>
  <c r="AX109" i="19"/>
  <c r="J107" i="20" s="1"/>
  <c r="AP109" i="19"/>
  <c r="AH109" i="19"/>
  <c r="P109" i="19"/>
  <c r="N109" i="19"/>
  <c r="BR108" i="19"/>
  <c r="O106" i="20" s="1"/>
  <c r="BJ108" i="19"/>
  <c r="M106" i="20" s="1"/>
  <c r="BB108" i="19"/>
  <c r="K106" i="20" s="1"/>
  <c r="AX108" i="19"/>
  <c r="AP108" i="19"/>
  <c r="AH108" i="19"/>
  <c r="P108" i="19"/>
  <c r="N108" i="19"/>
  <c r="BR107" i="19"/>
  <c r="O105" i="20" s="1"/>
  <c r="BM107" i="19"/>
  <c r="BJ107" i="19"/>
  <c r="BB107" i="19"/>
  <c r="AX107" i="19"/>
  <c r="J105" i="20" s="1"/>
  <c r="AP107" i="19"/>
  <c r="H105" i="20" s="1"/>
  <c r="AH107" i="19"/>
  <c r="BF107" i="19"/>
  <c r="P107" i="19"/>
  <c r="AD107" i="19" s="1"/>
  <c r="E105" i="20" s="1"/>
  <c r="BR106" i="19"/>
  <c r="O104" i="20" s="1"/>
  <c r="BJ106" i="19"/>
  <c r="M104" i="20" s="1"/>
  <c r="BB106" i="19"/>
  <c r="AX106" i="19"/>
  <c r="AP106" i="19"/>
  <c r="H104" i="20" s="1"/>
  <c r="AH106" i="19"/>
  <c r="BF106" i="19"/>
  <c r="P106" i="19"/>
  <c r="AD106" i="19" s="1"/>
  <c r="E104" i="20" s="1"/>
  <c r="BR105" i="19"/>
  <c r="BJ105" i="19"/>
  <c r="BB105" i="19"/>
  <c r="K103" i="20" s="1"/>
  <c r="AX105" i="19"/>
  <c r="J103" i="20" s="1"/>
  <c r="AP105" i="19"/>
  <c r="AH105" i="19"/>
  <c r="BF105" i="19"/>
  <c r="L103" i="20" s="1"/>
  <c r="P105" i="19"/>
  <c r="AD105" i="19" s="1"/>
  <c r="E103" i="20" s="1"/>
  <c r="BR104" i="19"/>
  <c r="O102" i="20" s="1"/>
  <c r="BJ104" i="19"/>
  <c r="M102" i="20" s="1"/>
  <c r="BB104" i="19"/>
  <c r="AX104" i="19"/>
  <c r="AP104" i="19"/>
  <c r="AH104" i="19"/>
  <c r="F102" i="20" s="1"/>
  <c r="P104" i="19"/>
  <c r="AD104" i="19" s="1"/>
  <c r="E102" i="20" s="1"/>
  <c r="BR103" i="19"/>
  <c r="BJ103" i="19"/>
  <c r="BB103" i="19"/>
  <c r="AX103" i="19"/>
  <c r="J101" i="20" s="1"/>
  <c r="AP103" i="19"/>
  <c r="AH103" i="19"/>
  <c r="P103" i="19"/>
  <c r="AD103" i="19" s="1"/>
  <c r="E101" i="20" s="1"/>
  <c r="BR101" i="19"/>
  <c r="BM101" i="19"/>
  <c r="BJ101" i="19"/>
  <c r="BB101" i="19"/>
  <c r="K99" i="20" s="1"/>
  <c r="AX101" i="19"/>
  <c r="J99" i="20" s="1"/>
  <c r="AP101" i="19"/>
  <c r="H99" i="20" s="1"/>
  <c r="AH101" i="19"/>
  <c r="BF101" i="19"/>
  <c r="L99" i="20" s="1"/>
  <c r="P101" i="19"/>
  <c r="AD101" i="19" s="1"/>
  <c r="E99" i="20" s="1"/>
  <c r="BR100" i="19"/>
  <c r="O98" i="20" s="1"/>
  <c r="BJ100" i="19"/>
  <c r="M98" i="20" s="1"/>
  <c r="BB100" i="19"/>
  <c r="AX100" i="19"/>
  <c r="AP100" i="19"/>
  <c r="AH100" i="19"/>
  <c r="BF100" i="19"/>
  <c r="P100" i="19"/>
  <c r="BR99" i="19"/>
  <c r="BM99" i="19"/>
  <c r="BJ99" i="19"/>
  <c r="BB99" i="19"/>
  <c r="K97" i="20" s="1"/>
  <c r="AX99" i="19"/>
  <c r="J97" i="20" s="1"/>
  <c r="AP99" i="19"/>
  <c r="AH99" i="19"/>
  <c r="BF99" i="19"/>
  <c r="L97" i="20" s="1"/>
  <c r="P99" i="19"/>
  <c r="BR98" i="19"/>
  <c r="BM98" i="19"/>
  <c r="BJ98" i="19"/>
  <c r="BB98" i="19"/>
  <c r="K96" i="20" s="1"/>
  <c r="AX98" i="19"/>
  <c r="J96" i="20" s="1"/>
  <c r="AP98" i="19"/>
  <c r="AH98" i="19"/>
  <c r="BF98" i="19"/>
  <c r="L96" i="20" s="1"/>
  <c r="P98" i="19"/>
  <c r="AD98" i="19" s="1"/>
  <c r="E96" i="20" s="1"/>
  <c r="BR97" i="19"/>
  <c r="BM97" i="19"/>
  <c r="BJ97" i="19"/>
  <c r="BB97" i="19"/>
  <c r="K95" i="20" s="1"/>
  <c r="AX97" i="19"/>
  <c r="J95" i="20" s="1"/>
  <c r="AP97" i="19"/>
  <c r="AH97" i="19"/>
  <c r="F95" i="20" s="1"/>
  <c r="BF97" i="19"/>
  <c r="L95" i="20" s="1"/>
  <c r="P97" i="19"/>
  <c r="AD97" i="19" s="1"/>
  <c r="E95" i="20" s="1"/>
  <c r="BR96" i="19"/>
  <c r="BJ96" i="19"/>
  <c r="BB96" i="19"/>
  <c r="K94" i="20" s="1"/>
  <c r="AX96" i="19"/>
  <c r="J94" i="20" s="1"/>
  <c r="AP96" i="19"/>
  <c r="H94" i="20" s="1"/>
  <c r="AH96" i="19"/>
  <c r="P96" i="19"/>
  <c r="AD96" i="19" s="1"/>
  <c r="E94" i="20" s="1"/>
  <c r="BR94" i="19"/>
  <c r="O93" i="20" s="1"/>
  <c r="BM94" i="19"/>
  <c r="BJ94" i="19"/>
  <c r="M93" i="20" s="1"/>
  <c r="BB94" i="19"/>
  <c r="K93" i="20" s="1"/>
  <c r="AX94" i="19"/>
  <c r="J93" i="20" s="1"/>
  <c r="AP94" i="19"/>
  <c r="AH94" i="19"/>
  <c r="F93" i="20" s="1"/>
  <c r="P94" i="19"/>
  <c r="AD94" i="19" s="1"/>
  <c r="E93" i="20" s="1"/>
  <c r="BR92" i="19"/>
  <c r="BJ92" i="19"/>
  <c r="BB92" i="19"/>
  <c r="K91" i="20" s="1"/>
  <c r="AX92" i="19"/>
  <c r="J91" i="20" s="1"/>
  <c r="AP92" i="19"/>
  <c r="AH92" i="19"/>
  <c r="F91" i="20" s="1"/>
  <c r="BF92" i="19"/>
  <c r="L91" i="20" s="1"/>
  <c r="P92" i="19"/>
  <c r="AD92" i="19" s="1"/>
  <c r="E91" i="20" s="1"/>
  <c r="BR91" i="19"/>
  <c r="O90" i="20" s="1"/>
  <c r="BM91" i="19"/>
  <c r="BJ91" i="19"/>
  <c r="BB91" i="19"/>
  <c r="AX91" i="19"/>
  <c r="J90" i="20" s="1"/>
  <c r="AP91" i="19"/>
  <c r="H90" i="20" s="1"/>
  <c r="AH91" i="19"/>
  <c r="BF91" i="19"/>
  <c r="P91" i="19"/>
  <c r="BR90" i="19"/>
  <c r="BJ90" i="19"/>
  <c r="BB90" i="19"/>
  <c r="K89" i="20" s="1"/>
  <c r="AX90" i="19"/>
  <c r="J89" i="20" s="1"/>
  <c r="AP90" i="19"/>
  <c r="AH90" i="19"/>
  <c r="F89" i="20" s="1"/>
  <c r="P90" i="19"/>
  <c r="BR89" i="19"/>
  <c r="O88" i="20" s="1"/>
  <c r="BJ89" i="19"/>
  <c r="M88" i="20" s="1"/>
  <c r="BB89" i="19"/>
  <c r="K88" i="20" s="1"/>
  <c r="AX89" i="19"/>
  <c r="AP89" i="19"/>
  <c r="AH89" i="19"/>
  <c r="P89" i="19"/>
  <c r="AD89" i="19" s="1"/>
  <c r="E88" i="20" s="1"/>
  <c r="N89" i="19"/>
  <c r="BR88" i="19"/>
  <c r="O87" i="20" s="1"/>
  <c r="BM88" i="19"/>
  <c r="BJ88" i="19"/>
  <c r="BB88" i="19"/>
  <c r="AX88" i="19"/>
  <c r="J87" i="20" s="1"/>
  <c r="AP88" i="19"/>
  <c r="AH88" i="19"/>
  <c r="F87" i="20" s="1"/>
  <c r="BF88" i="19"/>
  <c r="L87" i="20" s="1"/>
  <c r="P88" i="19"/>
  <c r="AD88" i="19" s="1"/>
  <c r="E87" i="20" s="1"/>
  <c r="N88" i="19"/>
  <c r="BR87" i="19"/>
  <c r="BJ87" i="19"/>
  <c r="BB87" i="19"/>
  <c r="AX87" i="19"/>
  <c r="J86" i="20" s="1"/>
  <c r="AP87" i="19"/>
  <c r="AH87" i="19"/>
  <c r="P87" i="19"/>
  <c r="N87" i="19"/>
  <c r="BR86" i="19"/>
  <c r="BJ86" i="19"/>
  <c r="BB86" i="19"/>
  <c r="K85" i="20" s="1"/>
  <c r="AX86" i="19"/>
  <c r="J85" i="20" s="1"/>
  <c r="AP86" i="19"/>
  <c r="AH86" i="19"/>
  <c r="F85" i="20" s="1"/>
  <c r="P86" i="19"/>
  <c r="AD86" i="19" s="1"/>
  <c r="E85" i="20" s="1"/>
  <c r="BR85" i="19"/>
  <c r="BM85" i="19"/>
  <c r="BJ85" i="19"/>
  <c r="M84" i="20" s="1"/>
  <c r="BB85" i="19"/>
  <c r="K84" i="20" s="1"/>
  <c r="AX85" i="19"/>
  <c r="J84" i="20" s="1"/>
  <c r="AP85" i="19"/>
  <c r="H84" i="20" s="1"/>
  <c r="AH85" i="19"/>
  <c r="F84" i="20" s="1"/>
  <c r="P85" i="19"/>
  <c r="BR84" i="19"/>
  <c r="BM84" i="19"/>
  <c r="BJ84" i="19"/>
  <c r="BB84" i="19"/>
  <c r="K83" i="20" s="1"/>
  <c r="AX84" i="19"/>
  <c r="AP84" i="19"/>
  <c r="AH84" i="19"/>
  <c r="F83" i="20" s="1"/>
  <c r="BF84" i="19"/>
  <c r="P84" i="19"/>
  <c r="AD84" i="19" s="1"/>
  <c r="E83" i="20" s="1"/>
  <c r="BR83" i="19"/>
  <c r="O82" i="20" s="1"/>
  <c r="BM83" i="19"/>
  <c r="BJ83" i="19"/>
  <c r="M82" i="20" s="1"/>
  <c r="BB83" i="19"/>
  <c r="K82" i="20" s="1"/>
  <c r="AX83" i="19"/>
  <c r="J82" i="20" s="1"/>
  <c r="AP83" i="19"/>
  <c r="AH83" i="19"/>
  <c r="BF83" i="19"/>
  <c r="L82" i="20" s="1"/>
  <c r="P83" i="19"/>
  <c r="BR82" i="19"/>
  <c r="BQ82" i="19" s="1"/>
  <c r="BJ82" i="19"/>
  <c r="BI82" i="19" s="1"/>
  <c r="BB82" i="19"/>
  <c r="AX82" i="19"/>
  <c r="AP82" i="19"/>
  <c r="AH82" i="19"/>
  <c r="AG82" i="19" s="1"/>
  <c r="D81" i="20"/>
  <c r="BF82" i="19"/>
  <c r="P82" i="19"/>
  <c r="AD82" i="19" s="1"/>
  <c r="BR81" i="19"/>
  <c r="BJ81" i="19"/>
  <c r="BB81" i="19"/>
  <c r="BA81" i="19" s="1"/>
  <c r="AX81" i="19"/>
  <c r="AW81" i="19" s="1"/>
  <c r="AP81" i="19"/>
  <c r="AO81" i="19" s="1"/>
  <c r="AH81" i="19"/>
  <c r="AG81" i="19" s="1"/>
  <c r="D80" i="20"/>
  <c r="P81" i="19"/>
  <c r="AD81" i="19" s="1"/>
  <c r="BR80" i="19"/>
  <c r="BQ80" i="19" s="1"/>
  <c r="BJ80" i="19"/>
  <c r="BI80" i="19" s="1"/>
  <c r="BB80" i="19"/>
  <c r="BA80" i="19" s="1"/>
  <c r="AX80" i="19"/>
  <c r="AP80" i="19"/>
  <c r="AO80" i="19" s="1"/>
  <c r="AH80" i="19"/>
  <c r="AG80" i="19" s="1"/>
  <c r="D79" i="20"/>
  <c r="BF80" i="19"/>
  <c r="BE80" i="19" s="1"/>
  <c r="P80" i="19"/>
  <c r="BR79" i="19"/>
  <c r="BQ79" i="19" s="1"/>
  <c r="BJ79" i="19"/>
  <c r="BI79" i="19" s="1"/>
  <c r="BB79" i="19"/>
  <c r="AX79" i="19"/>
  <c r="AP79" i="19"/>
  <c r="AH79" i="19"/>
  <c r="AI79" i="19" s="1"/>
  <c r="D78" i="20"/>
  <c r="BF79" i="19"/>
  <c r="P79" i="19"/>
  <c r="BR78" i="19"/>
  <c r="BJ78" i="19"/>
  <c r="BB78" i="19"/>
  <c r="AX78" i="19"/>
  <c r="AW78" i="19" s="1"/>
  <c r="AP78" i="19"/>
  <c r="AO78" i="19" s="1"/>
  <c r="AH78" i="19"/>
  <c r="AG78" i="19" s="1"/>
  <c r="D77" i="20"/>
  <c r="BF78" i="19"/>
  <c r="BE78" i="19" s="1"/>
  <c r="P78" i="19"/>
  <c r="AD78" i="19" s="1"/>
  <c r="BR77" i="19"/>
  <c r="BM77" i="19"/>
  <c r="BJ77" i="19"/>
  <c r="BB77" i="19"/>
  <c r="AX77" i="19"/>
  <c r="AP77" i="19"/>
  <c r="AQ77" i="19" s="1"/>
  <c r="AH77" i="19"/>
  <c r="AI77" i="19" s="1"/>
  <c r="D76" i="20"/>
  <c r="BF77" i="19"/>
  <c r="P77" i="19"/>
  <c r="AD77" i="19" s="1"/>
  <c r="BR76" i="19"/>
  <c r="BJ76" i="19"/>
  <c r="BB76" i="19"/>
  <c r="BA76" i="19" s="1"/>
  <c r="AX76" i="19"/>
  <c r="AP76" i="19"/>
  <c r="AO76" i="19" s="1"/>
  <c r="AH76" i="19"/>
  <c r="AG76" i="19" s="1"/>
  <c r="D75" i="20"/>
  <c r="BF76" i="19"/>
  <c r="BE76" i="19" s="1"/>
  <c r="P76" i="19"/>
  <c r="N76" i="19"/>
  <c r="BR75" i="19"/>
  <c r="BJ75" i="19"/>
  <c r="BB75" i="19"/>
  <c r="BA75" i="19" s="1"/>
  <c r="AX75" i="19"/>
  <c r="AW75" i="19" s="1"/>
  <c r="AP75" i="19"/>
  <c r="AO75" i="19" s="1"/>
  <c r="AH75" i="19"/>
  <c r="D74" i="20"/>
  <c r="P75" i="19"/>
  <c r="AD75" i="19" s="1"/>
  <c r="N75" i="19"/>
  <c r="BR74" i="19"/>
  <c r="BM74" i="19"/>
  <c r="BJ74" i="19"/>
  <c r="BB74" i="19"/>
  <c r="AX74" i="19"/>
  <c r="AP74" i="19"/>
  <c r="AO74" i="19" s="1"/>
  <c r="AH74" i="19"/>
  <c r="AI74" i="19" s="1"/>
  <c r="D73" i="20"/>
  <c r="P74" i="19"/>
  <c r="BR73" i="19"/>
  <c r="BQ73" i="19" s="1"/>
  <c r="BJ73" i="19"/>
  <c r="BI73" i="19" s="1"/>
  <c r="BB73" i="19"/>
  <c r="AX73" i="19"/>
  <c r="AP73" i="19"/>
  <c r="AQ73" i="19" s="1"/>
  <c r="AH73" i="19"/>
  <c r="D72" i="20"/>
  <c r="P73" i="19"/>
  <c r="AD73" i="19" s="1"/>
  <c r="BR72" i="19"/>
  <c r="BJ72" i="19"/>
  <c r="BB72" i="19"/>
  <c r="AX72" i="19"/>
  <c r="AW72" i="19" s="1"/>
  <c r="AP72" i="19"/>
  <c r="AH72" i="19"/>
  <c r="AG72" i="19" s="1"/>
  <c r="D71" i="20"/>
  <c r="P72" i="19"/>
  <c r="AD72" i="19" s="1"/>
  <c r="BR71" i="19"/>
  <c r="BM71" i="19"/>
  <c r="BJ71" i="19"/>
  <c r="BB71" i="19"/>
  <c r="AX71" i="19"/>
  <c r="AP71" i="19"/>
  <c r="AQ71" i="19" s="1"/>
  <c r="AH71" i="19"/>
  <c r="AI71" i="19" s="1"/>
  <c r="D70" i="20"/>
  <c r="P71" i="19"/>
  <c r="AD71" i="19" s="1"/>
  <c r="BR70" i="19"/>
  <c r="BJ70" i="19"/>
  <c r="BB70" i="19"/>
  <c r="BA70" i="19" s="1"/>
  <c r="AX70" i="19"/>
  <c r="AP70" i="19"/>
  <c r="AO70" i="19" s="1"/>
  <c r="AH70" i="19"/>
  <c r="D69" i="20"/>
  <c r="P70" i="19"/>
  <c r="AD70" i="19" s="1"/>
  <c r="BR69" i="19"/>
  <c r="BJ69" i="19"/>
  <c r="BB69" i="19"/>
  <c r="AX69" i="19"/>
  <c r="AW69" i="19" s="1"/>
  <c r="AP69" i="19"/>
  <c r="AH69" i="19"/>
  <c r="AG69" i="19" s="1"/>
  <c r="D68" i="20"/>
  <c r="P69" i="19"/>
  <c r="BR68" i="19"/>
  <c r="BJ68" i="19"/>
  <c r="BB68" i="19"/>
  <c r="BA68" i="19" s="1"/>
  <c r="AX68" i="19"/>
  <c r="AP68" i="19"/>
  <c r="AO68" i="19" s="1"/>
  <c r="AH68" i="19"/>
  <c r="D67" i="20"/>
  <c r="BF68" i="19"/>
  <c r="BE68" i="19" s="1"/>
  <c r="P68" i="19"/>
  <c r="BR67" i="19"/>
  <c r="BQ67" i="19" s="1"/>
  <c r="BJ67" i="19"/>
  <c r="BI67" i="19" s="1"/>
  <c r="BB67" i="19"/>
  <c r="AX67" i="19"/>
  <c r="AP67" i="19"/>
  <c r="AH67" i="19"/>
  <c r="AI67" i="19" s="1"/>
  <c r="D66" i="20"/>
  <c r="P67" i="19"/>
  <c r="BR66" i="19"/>
  <c r="BM66" i="19"/>
  <c r="BJ66" i="19"/>
  <c r="BB66" i="19"/>
  <c r="AX66" i="19"/>
  <c r="AP66" i="19"/>
  <c r="AQ66" i="19" s="1"/>
  <c r="AH66" i="19"/>
  <c r="AI66" i="19" s="1"/>
  <c r="D65" i="20"/>
  <c r="BF66" i="19"/>
  <c r="BE66" i="19" s="1"/>
  <c r="P66" i="19"/>
  <c r="AD66" i="19" s="1"/>
  <c r="BR65" i="19"/>
  <c r="BQ65" i="19" s="1"/>
  <c r="BJ65" i="19"/>
  <c r="BI65" i="19" s="1"/>
  <c r="BB65" i="19"/>
  <c r="AX65" i="19"/>
  <c r="AP65" i="19"/>
  <c r="AQ65" i="19" s="1"/>
  <c r="AH65" i="19"/>
  <c r="D64" i="20"/>
  <c r="P65" i="19"/>
  <c r="BR64" i="19"/>
  <c r="BM64" i="19"/>
  <c r="BJ64" i="19"/>
  <c r="BB64" i="19"/>
  <c r="AX64" i="19"/>
  <c r="AP64" i="19"/>
  <c r="AH64" i="19"/>
  <c r="AI64" i="19" s="1"/>
  <c r="D63" i="20"/>
  <c r="P64" i="19"/>
  <c r="N64" i="19"/>
  <c r="BR63" i="19"/>
  <c r="BJ63" i="19"/>
  <c r="BB63" i="19"/>
  <c r="BA63" i="19" s="1"/>
  <c r="AX63" i="19"/>
  <c r="AP63" i="19"/>
  <c r="AO63" i="19" s="1"/>
  <c r="AH63" i="19"/>
  <c r="D62" i="20"/>
  <c r="P63" i="19"/>
  <c r="BR62" i="19"/>
  <c r="BJ62" i="19"/>
  <c r="BB62" i="19"/>
  <c r="AX62" i="19"/>
  <c r="AW62" i="19" s="1"/>
  <c r="AP62" i="19"/>
  <c r="AH62" i="19"/>
  <c r="AG62" i="19" s="1"/>
  <c r="D61" i="20"/>
  <c r="BF62" i="19"/>
  <c r="BE62" i="19" s="1"/>
  <c r="P62" i="19"/>
  <c r="AD62" i="19" s="1"/>
  <c r="BR61" i="19"/>
  <c r="BJ61" i="19"/>
  <c r="BB61" i="19"/>
  <c r="BA61" i="19" s="1"/>
  <c r="AX61" i="19"/>
  <c r="AP61" i="19"/>
  <c r="AO61" i="19" s="1"/>
  <c r="AH61" i="19"/>
  <c r="D60" i="20"/>
  <c r="BF61" i="19"/>
  <c r="BE61" i="19" s="1"/>
  <c r="P61" i="19"/>
  <c r="BR60" i="19"/>
  <c r="BQ60" i="19" s="1"/>
  <c r="BJ60" i="19"/>
  <c r="BI60" i="19" s="1"/>
  <c r="BB60" i="19"/>
  <c r="AX60" i="19"/>
  <c r="AP60" i="19"/>
  <c r="AH60" i="19"/>
  <c r="AI60" i="19" s="1"/>
  <c r="D59" i="20"/>
  <c r="BF60" i="19"/>
  <c r="P60" i="19"/>
  <c r="BR59" i="19"/>
  <c r="BM59" i="19"/>
  <c r="BJ59" i="19"/>
  <c r="BB59" i="19"/>
  <c r="AX59" i="19"/>
  <c r="AP59" i="19"/>
  <c r="AQ59" i="19" s="1"/>
  <c r="AH59" i="19"/>
  <c r="AI59" i="19" s="1"/>
  <c r="D58" i="20"/>
  <c r="BF59" i="19"/>
  <c r="BE59" i="19" s="1"/>
  <c r="P59" i="19"/>
  <c r="AD59" i="19" s="1"/>
  <c r="BR58" i="19"/>
  <c r="BJ58" i="19"/>
  <c r="BB58" i="19"/>
  <c r="BA58" i="19" s="1"/>
  <c r="AX58" i="19"/>
  <c r="AP58" i="19"/>
  <c r="AO58" i="19" s="1"/>
  <c r="AH58" i="19"/>
  <c r="D57" i="20"/>
  <c r="BF58" i="19"/>
  <c r="BE58" i="19" s="1"/>
  <c r="P58" i="19"/>
  <c r="AD58" i="19" s="1"/>
  <c r="BR57" i="19"/>
  <c r="BQ57" i="19" s="1"/>
  <c r="BJ57" i="19"/>
  <c r="BI57" i="19" s="1"/>
  <c r="BB57" i="19"/>
  <c r="AX57" i="19"/>
  <c r="AP57" i="19"/>
  <c r="AQ57" i="19" s="1"/>
  <c r="AH57" i="19"/>
  <c r="D56" i="20"/>
  <c r="BF57" i="19"/>
  <c r="P57" i="19"/>
  <c r="BR56" i="19"/>
  <c r="BJ56" i="19"/>
  <c r="BB56" i="19"/>
  <c r="BA56" i="19" s="1"/>
  <c r="AX56" i="19"/>
  <c r="AW56" i="19" s="1"/>
  <c r="AP56" i="19"/>
  <c r="AO56" i="19" s="1"/>
  <c r="AH56" i="19"/>
  <c r="AG56" i="19" s="1"/>
  <c r="D55" i="20"/>
  <c r="BF56" i="19"/>
  <c r="BE56" i="19" s="1"/>
  <c r="P56" i="19"/>
  <c r="BR55" i="19"/>
  <c r="BJ55" i="19"/>
  <c r="BB55" i="19"/>
  <c r="BA55" i="19" s="1"/>
  <c r="AX55" i="19"/>
  <c r="AW55" i="19" s="1"/>
  <c r="AP55" i="19"/>
  <c r="AO55" i="19" s="1"/>
  <c r="AH55" i="19"/>
  <c r="AG55" i="19" s="1"/>
  <c r="D54" i="20"/>
  <c r="P55" i="19"/>
  <c r="AD55" i="19" s="1"/>
  <c r="N55" i="19"/>
  <c r="BR54" i="19"/>
  <c r="BQ54" i="19" s="1"/>
  <c r="BM54" i="19"/>
  <c r="BJ54" i="19"/>
  <c r="BI54" i="19" s="1"/>
  <c r="BB54" i="19"/>
  <c r="AX54" i="19"/>
  <c r="AP54" i="19"/>
  <c r="AH54" i="19"/>
  <c r="AI54" i="19" s="1"/>
  <c r="D53" i="20"/>
  <c r="BF54" i="19"/>
  <c r="P54" i="19"/>
  <c r="AD54" i="19" s="1"/>
  <c r="BR53" i="19"/>
  <c r="BJ53" i="19"/>
  <c r="BB53" i="19"/>
  <c r="BA53" i="19" s="1"/>
  <c r="AX53" i="19"/>
  <c r="AW53" i="19" s="1"/>
  <c r="AP53" i="19"/>
  <c r="AO53" i="19" s="1"/>
  <c r="AH53" i="19"/>
  <c r="AG53" i="19" s="1"/>
  <c r="D52" i="20"/>
  <c r="BF53" i="19"/>
  <c r="BE53" i="19" s="1"/>
  <c r="P53" i="19"/>
  <c r="AD53" i="19" s="1"/>
  <c r="BR52" i="19"/>
  <c r="BQ52" i="19" s="1"/>
  <c r="BM52" i="19"/>
  <c r="BJ52" i="19"/>
  <c r="BI52" i="19" s="1"/>
  <c r="BB52" i="19"/>
  <c r="AX52" i="19"/>
  <c r="AP52" i="19"/>
  <c r="AQ52" i="19" s="1"/>
  <c r="AH52" i="19"/>
  <c r="AI52" i="19" s="1"/>
  <c r="D51" i="20"/>
  <c r="BF52" i="19"/>
  <c r="P52" i="19"/>
  <c r="BR51" i="19"/>
  <c r="BJ51" i="19"/>
  <c r="BB51" i="19"/>
  <c r="BA51" i="19" s="1"/>
  <c r="AX51" i="19"/>
  <c r="AW51" i="19" s="1"/>
  <c r="AP51" i="19"/>
  <c r="AO51" i="19" s="1"/>
  <c r="AH51" i="19"/>
  <c r="AG51" i="19" s="1"/>
  <c r="D50" i="20"/>
  <c r="BF51" i="19"/>
  <c r="BE51" i="19" s="1"/>
  <c r="P51" i="19"/>
  <c r="AD51" i="19" s="1"/>
  <c r="BR50" i="19"/>
  <c r="BQ50" i="19" s="1"/>
  <c r="BM50" i="19"/>
  <c r="BJ50" i="19"/>
  <c r="BI50" i="19" s="1"/>
  <c r="BB50" i="19"/>
  <c r="AX50" i="19"/>
  <c r="AP50" i="19"/>
  <c r="AQ50" i="19" s="1"/>
  <c r="AH50" i="19"/>
  <c r="AI50" i="19" s="1"/>
  <c r="D49" i="20"/>
  <c r="BF50" i="19"/>
  <c r="BG50" i="19" s="1"/>
  <c r="P50" i="19"/>
  <c r="N50" i="19"/>
  <c r="BR49" i="19"/>
  <c r="BJ49" i="19"/>
  <c r="BB49" i="19"/>
  <c r="BA49" i="19" s="1"/>
  <c r="AX49" i="19"/>
  <c r="AW49" i="19" s="1"/>
  <c r="AP49" i="19"/>
  <c r="AO49" i="19" s="1"/>
  <c r="AH49" i="19"/>
  <c r="AG49" i="19" s="1"/>
  <c r="D48" i="20"/>
  <c r="P49" i="19"/>
  <c r="BR48" i="19"/>
  <c r="BQ48" i="19" s="1"/>
  <c r="BM48" i="19"/>
  <c r="BJ48" i="19"/>
  <c r="BI48" i="19" s="1"/>
  <c r="BB48" i="19"/>
  <c r="AX48" i="19"/>
  <c r="AP48" i="19"/>
  <c r="AQ48" i="19" s="1"/>
  <c r="AH48" i="19"/>
  <c r="AI48" i="19" s="1"/>
  <c r="D47" i="20"/>
  <c r="BF48" i="19"/>
  <c r="P48" i="19"/>
  <c r="BR47" i="19"/>
  <c r="BQ47" i="19" s="1"/>
  <c r="BM47" i="19"/>
  <c r="BJ47" i="19"/>
  <c r="BI47" i="19" s="1"/>
  <c r="BB47" i="19"/>
  <c r="AX47" i="19"/>
  <c r="AP47" i="19"/>
  <c r="AQ47" i="19" s="1"/>
  <c r="AH47" i="19"/>
  <c r="AI47" i="19" s="1"/>
  <c r="D46" i="20"/>
  <c r="BF47" i="19"/>
  <c r="P47" i="19"/>
  <c r="AD47" i="19" s="1"/>
  <c r="BR46" i="19"/>
  <c r="BJ46" i="19"/>
  <c r="BB46" i="19"/>
  <c r="BA46" i="19" s="1"/>
  <c r="AX46" i="19"/>
  <c r="AW46" i="19" s="1"/>
  <c r="AP46" i="19"/>
  <c r="AO46" i="19" s="1"/>
  <c r="AH46" i="19"/>
  <c r="AG46" i="19" s="1"/>
  <c r="D45" i="20"/>
  <c r="BF46" i="19"/>
  <c r="BE46" i="19" s="1"/>
  <c r="P46" i="19"/>
  <c r="BR45" i="19"/>
  <c r="BQ45" i="19" s="1"/>
  <c r="BM45" i="19"/>
  <c r="BJ45" i="19"/>
  <c r="BI45" i="19" s="1"/>
  <c r="BB45" i="19"/>
  <c r="AX45" i="19"/>
  <c r="AP45" i="19"/>
  <c r="AQ45" i="19" s="1"/>
  <c r="AH45" i="19"/>
  <c r="AI45" i="19" s="1"/>
  <c r="D44" i="20"/>
  <c r="BF45" i="19"/>
  <c r="P45" i="19"/>
  <c r="BR44" i="19"/>
  <c r="BQ44" i="19" s="1"/>
  <c r="BM44" i="19"/>
  <c r="BJ44" i="19"/>
  <c r="BI44" i="19" s="1"/>
  <c r="BB44" i="19"/>
  <c r="AX44" i="19"/>
  <c r="AP44" i="19"/>
  <c r="AQ44" i="19" s="1"/>
  <c r="AH44" i="19"/>
  <c r="D43" i="20"/>
  <c r="BF44" i="19"/>
  <c r="P44" i="19"/>
  <c r="AD44" i="19" s="1"/>
  <c r="N44" i="19"/>
  <c r="BR43" i="19"/>
  <c r="BJ43" i="19"/>
  <c r="BB43" i="19"/>
  <c r="BA43" i="19" s="1"/>
  <c r="AX43" i="19"/>
  <c r="AW43" i="19" s="1"/>
  <c r="AP43" i="19"/>
  <c r="AO43" i="19" s="1"/>
  <c r="AH43" i="19"/>
  <c r="AG43" i="19" s="1"/>
  <c r="D42" i="20"/>
  <c r="P43" i="19"/>
  <c r="AD43" i="19" s="1"/>
  <c r="BR42" i="19"/>
  <c r="BQ42" i="19" s="1"/>
  <c r="BM42" i="19"/>
  <c r="BJ42" i="19"/>
  <c r="BI42" i="19" s="1"/>
  <c r="BB42" i="19"/>
  <c r="AX42" i="19"/>
  <c r="AP42" i="19"/>
  <c r="AQ42" i="19" s="1"/>
  <c r="AH42" i="19"/>
  <c r="D41" i="20"/>
  <c r="BF42" i="19"/>
  <c r="P42" i="19"/>
  <c r="AD42" i="19" s="1"/>
  <c r="BR41" i="19"/>
  <c r="BJ41" i="19"/>
  <c r="BB41" i="19"/>
  <c r="BA41" i="19" s="1"/>
  <c r="AX41" i="19"/>
  <c r="AW41" i="19" s="1"/>
  <c r="AP41" i="19"/>
  <c r="AO41" i="19" s="1"/>
  <c r="AH41" i="19"/>
  <c r="AG41" i="19" s="1"/>
  <c r="D40" i="20"/>
  <c r="P41" i="19"/>
  <c r="N41" i="19"/>
  <c r="BR40" i="19"/>
  <c r="BQ40" i="19" s="1"/>
  <c r="BJ40" i="19"/>
  <c r="BI40" i="19" s="1"/>
  <c r="BB40" i="19"/>
  <c r="AX40" i="19"/>
  <c r="AP40" i="19"/>
  <c r="AQ40" i="19" s="1"/>
  <c r="AH40" i="19"/>
  <c r="D39" i="20"/>
  <c r="P40" i="19"/>
  <c r="AD40" i="19" s="1"/>
  <c r="N40" i="19"/>
  <c r="BR39" i="19"/>
  <c r="BJ39" i="19"/>
  <c r="BB39" i="19"/>
  <c r="BA39" i="19" s="1"/>
  <c r="AX39" i="19"/>
  <c r="AW39" i="19" s="1"/>
  <c r="AP39" i="19"/>
  <c r="AO39" i="19" s="1"/>
  <c r="AH39" i="19"/>
  <c r="AG39" i="19" s="1"/>
  <c r="D38" i="20"/>
  <c r="P39" i="19"/>
  <c r="AD39" i="19" s="1"/>
  <c r="BR38" i="19"/>
  <c r="BQ38" i="19" s="1"/>
  <c r="BJ38" i="19"/>
  <c r="BI38" i="19" s="1"/>
  <c r="BB38" i="19"/>
  <c r="BA38" i="19" s="1"/>
  <c r="AX38" i="19"/>
  <c r="AP38" i="19"/>
  <c r="AO38" i="19" s="1"/>
  <c r="AH38" i="19"/>
  <c r="AG38" i="19" s="1"/>
  <c r="D37" i="20"/>
  <c r="P38" i="19"/>
  <c r="AD38" i="19" s="1"/>
  <c r="BR37" i="19"/>
  <c r="BQ37" i="19" s="1"/>
  <c r="BJ37" i="19"/>
  <c r="BI37" i="19" s="1"/>
  <c r="BB37" i="19"/>
  <c r="AX37" i="19"/>
  <c r="AP37" i="19"/>
  <c r="AQ37" i="19" s="1"/>
  <c r="AH37" i="19"/>
  <c r="AI37" i="19" s="1"/>
  <c r="D36" i="20"/>
  <c r="BF37" i="19"/>
  <c r="P37" i="19"/>
  <c r="BR36" i="19"/>
  <c r="BM36" i="19"/>
  <c r="BJ36" i="19"/>
  <c r="BI36" i="19" s="1"/>
  <c r="BB36" i="19"/>
  <c r="BA36" i="19" s="1"/>
  <c r="AX36" i="19"/>
  <c r="AP36" i="19"/>
  <c r="AQ36" i="19" s="1"/>
  <c r="AH36" i="19"/>
  <c r="AI36" i="19" s="1"/>
  <c r="D35" i="20"/>
  <c r="BF36" i="19"/>
  <c r="P36" i="19"/>
  <c r="AD36" i="19" s="1"/>
  <c r="BR35" i="19"/>
  <c r="BQ35" i="19" s="1"/>
  <c r="BJ35" i="19"/>
  <c r="BI35" i="19" s="1"/>
  <c r="BB35" i="19"/>
  <c r="AX35" i="19"/>
  <c r="AP35" i="19"/>
  <c r="AQ35" i="19" s="1"/>
  <c r="AH35" i="19"/>
  <c r="D34" i="20"/>
  <c r="P35" i="19"/>
  <c r="AD35" i="19" s="1"/>
  <c r="BR34" i="19"/>
  <c r="BM34" i="19"/>
  <c r="BJ34" i="19"/>
  <c r="BB34" i="19"/>
  <c r="AX34" i="19"/>
  <c r="AW34" i="19" s="1"/>
  <c r="AP34" i="19"/>
  <c r="AO34" i="19" s="1"/>
  <c r="AH34" i="19"/>
  <c r="AG34" i="19" s="1"/>
  <c r="D33" i="20"/>
  <c r="P34" i="19"/>
  <c r="AD34" i="19" s="1"/>
  <c r="BR33" i="19"/>
  <c r="BQ33" i="19" s="1"/>
  <c r="BM33" i="19"/>
  <c r="BJ33" i="19"/>
  <c r="BB33" i="19"/>
  <c r="AX33" i="19"/>
  <c r="AP33" i="19"/>
  <c r="AH33" i="19"/>
  <c r="D32" i="20"/>
  <c r="P33" i="19"/>
  <c r="BR32" i="19"/>
  <c r="BJ32" i="19"/>
  <c r="BB32" i="19"/>
  <c r="BA32" i="19" s="1"/>
  <c r="AX32" i="19"/>
  <c r="AP32" i="19"/>
  <c r="AO32" i="19" s="1"/>
  <c r="AH32" i="19"/>
  <c r="AG32" i="19" s="1"/>
  <c r="D31" i="20"/>
  <c r="BF32" i="19"/>
  <c r="BE32" i="19" s="1"/>
  <c r="P32" i="19"/>
  <c r="AD32" i="19" s="1"/>
  <c r="BR31" i="19"/>
  <c r="BQ31" i="19" s="1"/>
  <c r="BJ31" i="19"/>
  <c r="BI31" i="19" s="1"/>
  <c r="BB31" i="19"/>
  <c r="AX31" i="19"/>
  <c r="AP31" i="19"/>
  <c r="AQ31" i="19" s="1"/>
  <c r="AH31" i="19"/>
  <c r="D30" i="20"/>
  <c r="BF31" i="19"/>
  <c r="P31" i="19"/>
  <c r="AD31" i="19" s="1"/>
  <c r="BR30" i="19"/>
  <c r="BJ30" i="19"/>
  <c r="BB30" i="19"/>
  <c r="AX30" i="19"/>
  <c r="AW30" i="19" s="1"/>
  <c r="AP30" i="19"/>
  <c r="AO30" i="19" s="1"/>
  <c r="AH30" i="19"/>
  <c r="AG30" i="19" s="1"/>
  <c r="D29" i="20"/>
  <c r="BF30" i="19"/>
  <c r="BE30" i="19" s="1"/>
  <c r="P30" i="19"/>
  <c r="BR29" i="19"/>
  <c r="BM29" i="19"/>
  <c r="BJ29" i="19"/>
  <c r="BI29" i="19" s="1"/>
  <c r="BB29" i="19"/>
  <c r="BA29" i="19" s="1"/>
  <c r="AX29" i="19"/>
  <c r="AP29" i="19"/>
  <c r="AQ29" i="19" s="1"/>
  <c r="AH29" i="19"/>
  <c r="D28" i="20"/>
  <c r="BF29" i="19"/>
  <c r="P29" i="19"/>
  <c r="AD29" i="19" s="1"/>
  <c r="N29" i="19"/>
  <c r="BR28" i="19"/>
  <c r="BQ28" i="19" s="1"/>
  <c r="BJ28" i="19"/>
  <c r="BI28" i="19" s="1"/>
  <c r="BB28" i="19"/>
  <c r="BA28" i="19" s="1"/>
  <c r="AX28" i="19"/>
  <c r="AP28" i="19"/>
  <c r="AO28" i="19" s="1"/>
  <c r="AH28" i="19"/>
  <c r="AG28" i="19" s="1"/>
  <c r="D27" i="20"/>
  <c r="BF28" i="19"/>
  <c r="BE28" i="19" s="1"/>
  <c r="P28" i="19"/>
  <c r="AD28" i="19" s="1"/>
  <c r="BR27" i="19"/>
  <c r="BQ27" i="19" s="1"/>
  <c r="BJ27" i="19"/>
  <c r="BI27" i="19" s="1"/>
  <c r="BB27" i="19"/>
  <c r="AX27" i="19"/>
  <c r="AP27" i="19"/>
  <c r="AH27" i="19"/>
  <c r="AI27" i="19" s="1"/>
  <c r="D26" i="20"/>
  <c r="BF27" i="19"/>
  <c r="P27" i="19"/>
  <c r="N27" i="19"/>
  <c r="BR26" i="19"/>
  <c r="BJ26" i="19"/>
  <c r="BB26" i="19"/>
  <c r="AX26" i="19"/>
  <c r="AW26" i="19" s="1"/>
  <c r="AP26" i="19"/>
  <c r="AO26" i="19" s="1"/>
  <c r="AH26" i="19"/>
  <c r="AG26" i="19" s="1"/>
  <c r="D25" i="20"/>
  <c r="BF26" i="19"/>
  <c r="BE26" i="19" s="1"/>
  <c r="P26" i="19"/>
  <c r="AD26" i="19" s="1"/>
  <c r="BR25" i="19"/>
  <c r="BM25" i="19"/>
  <c r="BJ25" i="19"/>
  <c r="BB25" i="19"/>
  <c r="AX25" i="19"/>
  <c r="AP25" i="19"/>
  <c r="AH25" i="19"/>
  <c r="AI25" i="19" s="1"/>
  <c r="D24" i="20"/>
  <c r="BF25" i="19"/>
  <c r="BG25" i="19" s="1"/>
  <c r="P25" i="19"/>
  <c r="AD25" i="19" s="1"/>
  <c r="BR24" i="19"/>
  <c r="BJ24" i="19"/>
  <c r="BB24" i="19"/>
  <c r="BA24" i="19" s="1"/>
  <c r="AX24" i="19"/>
  <c r="AP24" i="19"/>
  <c r="AO24" i="19" s="1"/>
  <c r="AH24" i="19"/>
  <c r="AG24" i="19" s="1"/>
  <c r="D23" i="20"/>
  <c r="BF24" i="19"/>
  <c r="BE24" i="19" s="1"/>
  <c r="P24" i="19"/>
  <c r="AD24" i="19" s="1"/>
  <c r="N24" i="19"/>
  <c r="BR23" i="19"/>
  <c r="BQ23" i="19" s="1"/>
  <c r="BJ23" i="19"/>
  <c r="BI23" i="19" s="1"/>
  <c r="BB23" i="19"/>
  <c r="AX23" i="19"/>
  <c r="AP23" i="19"/>
  <c r="AQ23" i="19" s="1"/>
  <c r="AH23" i="19"/>
  <c r="D22" i="20"/>
  <c r="BF23" i="19"/>
  <c r="P23" i="19"/>
  <c r="AD23" i="19" s="1"/>
  <c r="BR22" i="19"/>
  <c r="BJ22" i="19"/>
  <c r="BB22" i="19"/>
  <c r="AX22" i="19"/>
  <c r="AW22" i="19" s="1"/>
  <c r="AP22" i="19"/>
  <c r="AO22" i="19" s="1"/>
  <c r="AH22" i="19"/>
  <c r="AG22" i="19" s="1"/>
  <c r="D21" i="20"/>
  <c r="P22" i="19"/>
  <c r="AD22" i="19" s="1"/>
  <c r="BR21" i="19"/>
  <c r="BM21" i="19"/>
  <c r="BJ21" i="19"/>
  <c r="BI21" i="19" s="1"/>
  <c r="BB21" i="19"/>
  <c r="BA21" i="19" s="1"/>
  <c r="AX21" i="19"/>
  <c r="AP21" i="19"/>
  <c r="AH21" i="19"/>
  <c r="AI21" i="19" s="1"/>
  <c r="D20" i="20"/>
  <c r="P21" i="19"/>
  <c r="BR20" i="19"/>
  <c r="BQ20" i="19" s="1"/>
  <c r="BJ20" i="19"/>
  <c r="BI20" i="19" s="1"/>
  <c r="BB20" i="19"/>
  <c r="AX20" i="19"/>
  <c r="AP20" i="19"/>
  <c r="AQ20" i="19" s="1"/>
  <c r="AH20" i="19"/>
  <c r="D19" i="20"/>
  <c r="BF20" i="19"/>
  <c r="P20" i="19"/>
  <c r="AD20" i="19" s="1"/>
  <c r="BR19" i="19"/>
  <c r="BM19" i="19"/>
  <c r="BJ19" i="19"/>
  <c r="BB19" i="19"/>
  <c r="AX19" i="19"/>
  <c r="AP19" i="19"/>
  <c r="AH19" i="19"/>
  <c r="D18" i="20"/>
  <c r="BF19" i="19"/>
  <c r="P19" i="19"/>
  <c r="AD19" i="19" s="1"/>
  <c r="BR17" i="19"/>
  <c r="BQ17" i="19" s="1"/>
  <c r="BJ17" i="19"/>
  <c r="BI17" i="19" s="1"/>
  <c r="BB17" i="19"/>
  <c r="AX17" i="19"/>
  <c r="AP17" i="19"/>
  <c r="AH17" i="19"/>
  <c r="AI17" i="19" s="1"/>
  <c r="D16" i="20"/>
  <c r="BF17" i="19"/>
  <c r="P17" i="19"/>
  <c r="BR16" i="19"/>
  <c r="BJ16" i="19"/>
  <c r="BB16" i="19"/>
  <c r="AX16" i="19"/>
  <c r="AW16" i="19" s="1"/>
  <c r="AP16" i="19"/>
  <c r="AO16" i="19" s="1"/>
  <c r="AH16" i="19"/>
  <c r="AG16" i="19" s="1"/>
  <c r="D15" i="20"/>
  <c r="P16" i="19"/>
  <c r="AD16" i="19" s="1"/>
  <c r="BR15" i="19"/>
  <c r="BM15" i="19"/>
  <c r="BJ15" i="19"/>
  <c r="BB15" i="19"/>
  <c r="AX15" i="19"/>
  <c r="AP15" i="19"/>
  <c r="AQ15" i="19" s="1"/>
  <c r="AH15" i="19"/>
  <c r="AI15" i="19" s="1"/>
  <c r="D14" i="20"/>
  <c r="P15" i="19"/>
  <c r="BR14" i="19"/>
  <c r="BJ14" i="19"/>
  <c r="BB14" i="19"/>
  <c r="BA14" i="19" s="1"/>
  <c r="AX14" i="19"/>
  <c r="AP14" i="19"/>
  <c r="AO14" i="19" s="1"/>
  <c r="AH14" i="19"/>
  <c r="AG14" i="19" s="1"/>
  <c r="D13" i="20"/>
  <c r="P14" i="19"/>
  <c r="AD14" i="19" s="1"/>
  <c r="BR13" i="19"/>
  <c r="BQ13" i="19" s="1"/>
  <c r="BM13" i="19"/>
  <c r="BJ13" i="19"/>
  <c r="BI13" i="19" s="1"/>
  <c r="BB13" i="19"/>
  <c r="AX13" i="19"/>
  <c r="AW13" i="19" s="1"/>
  <c r="AP13" i="19"/>
  <c r="AQ13" i="19" s="1"/>
  <c r="AH13" i="19"/>
  <c r="D12" i="20"/>
  <c r="P13" i="19"/>
  <c r="AD13" i="19" s="1"/>
  <c r="BR12" i="19"/>
  <c r="BM12" i="19"/>
  <c r="BJ12" i="19"/>
  <c r="BB12" i="19"/>
  <c r="AX12" i="19"/>
  <c r="AW12" i="19" s="1"/>
  <c r="AP12" i="19"/>
  <c r="AO12" i="19" s="1"/>
  <c r="AH12" i="19"/>
  <c r="AI12" i="19" s="1"/>
  <c r="D11" i="20"/>
  <c r="P12" i="19"/>
  <c r="AD12" i="19" s="1"/>
  <c r="N12" i="19"/>
  <c r="BR11" i="19"/>
  <c r="BJ11" i="19"/>
  <c r="BB11" i="19"/>
  <c r="BA11" i="19" s="1"/>
  <c r="AX11" i="19"/>
  <c r="AP11" i="19"/>
  <c r="AO11" i="19" s="1"/>
  <c r="AH11" i="19"/>
  <c r="D10" i="20"/>
  <c r="BF11" i="19"/>
  <c r="BE11" i="19" s="1"/>
  <c r="P11" i="19"/>
  <c r="BR10" i="19"/>
  <c r="BJ10" i="19"/>
  <c r="BB10" i="19"/>
  <c r="AX10" i="19"/>
  <c r="AW10" i="19" s="1"/>
  <c r="AP10" i="19"/>
  <c r="AH10" i="19"/>
  <c r="AG10" i="19" s="1"/>
  <c r="D9" i="20"/>
  <c r="P10" i="19"/>
  <c r="BR9" i="19"/>
  <c r="BM9" i="19"/>
  <c r="BJ9" i="19"/>
  <c r="BB9" i="19"/>
  <c r="AX9" i="19"/>
  <c r="AP9" i="19"/>
  <c r="AH9" i="19"/>
  <c r="D8" i="20"/>
  <c r="P9" i="19"/>
  <c r="BR8" i="19"/>
  <c r="BJ8" i="19"/>
  <c r="BB8" i="19"/>
  <c r="BA8" i="19" s="1"/>
  <c r="AX8" i="19"/>
  <c r="AP8" i="19"/>
  <c r="AO8" i="19" s="1"/>
  <c r="AH8" i="19"/>
  <c r="D7" i="20"/>
  <c r="BF8" i="19"/>
  <c r="BE8" i="19" s="1"/>
  <c r="P8" i="19"/>
  <c r="N8" i="19"/>
  <c r="BR7" i="19"/>
  <c r="BQ7" i="19" s="1"/>
  <c r="BJ7" i="19"/>
  <c r="BI7" i="19" s="1"/>
  <c r="BB7" i="19"/>
  <c r="AX7" i="19"/>
  <c r="AP7" i="19"/>
  <c r="AQ7" i="19" s="1"/>
  <c r="AH7" i="19"/>
  <c r="D6" i="20"/>
  <c r="BF7" i="19"/>
  <c r="P7" i="19"/>
  <c r="BR6" i="19"/>
  <c r="BJ6" i="19"/>
  <c r="BB6" i="19"/>
  <c r="AX6" i="19"/>
  <c r="AW6" i="19" s="1"/>
  <c r="AP6" i="19"/>
  <c r="AH6" i="19"/>
  <c r="AG6" i="19" s="1"/>
  <c r="D5" i="20"/>
  <c r="P6" i="19"/>
  <c r="BR5" i="19"/>
  <c r="BM5" i="19"/>
  <c r="BJ5" i="19"/>
  <c r="BB5" i="19"/>
  <c r="AX5" i="19"/>
  <c r="AP5" i="19"/>
  <c r="AH5" i="19"/>
  <c r="D4" i="20"/>
  <c r="X5" i="19"/>
  <c r="BR4" i="19"/>
  <c r="BQ4" i="19" s="1"/>
  <c r="BJ4" i="19"/>
  <c r="BI4" i="19" s="1"/>
  <c r="BB4" i="19"/>
  <c r="AX4" i="19"/>
  <c r="AP4" i="19"/>
  <c r="AQ4" i="19" s="1"/>
  <c r="AH4" i="19"/>
  <c r="AG4" i="19" s="1"/>
  <c r="D3" i="20"/>
  <c r="BF4" i="19"/>
  <c r="BE4" i="19" s="1"/>
  <c r="P4" i="19"/>
  <c r="AD4" i="19" s="1"/>
  <c r="M4" i="19"/>
  <c r="A4" i="19"/>
  <c r="BR3" i="19"/>
  <c r="BJ3" i="19"/>
  <c r="BB3" i="19"/>
  <c r="BA3" i="19" s="1"/>
  <c r="AX3" i="19"/>
  <c r="AP3" i="19"/>
  <c r="AO3" i="19" s="1"/>
  <c r="AH3" i="19"/>
  <c r="AG3" i="19" s="1"/>
  <c r="D2" i="20"/>
  <c r="BF3" i="19"/>
  <c r="BE3" i="19" s="1"/>
  <c r="P3" i="19"/>
  <c r="B24" i="23" l="1"/>
  <c r="AO83" i="19"/>
  <c r="H82" i="20"/>
  <c r="BI84" i="19"/>
  <c r="M83" i="20"/>
  <c r="BI86" i="19"/>
  <c r="M85" i="20"/>
  <c r="AG87" i="19"/>
  <c r="F86" i="20"/>
  <c r="BI87" i="19"/>
  <c r="M86" i="20"/>
  <c r="BA88" i="19"/>
  <c r="K87" i="20"/>
  <c r="AW89" i="19"/>
  <c r="J88" i="20"/>
  <c r="BG91" i="19"/>
  <c r="L90" i="20"/>
  <c r="BA91" i="19"/>
  <c r="K90" i="20"/>
  <c r="BQ98" i="19"/>
  <c r="O96" i="20"/>
  <c r="AQ99" i="19"/>
  <c r="H97" i="20"/>
  <c r="AG100" i="19"/>
  <c r="F98" i="20"/>
  <c r="AI101" i="19"/>
  <c r="F99" i="20"/>
  <c r="BI101" i="19"/>
  <c r="M99" i="20"/>
  <c r="AG103" i="19"/>
  <c r="F101" i="20"/>
  <c r="BI103" i="19"/>
  <c r="M101" i="20"/>
  <c r="AO104" i="19"/>
  <c r="H102" i="20"/>
  <c r="AQ105" i="19"/>
  <c r="H103" i="20"/>
  <c r="BQ105" i="19"/>
  <c r="O103" i="20"/>
  <c r="AG108" i="19"/>
  <c r="F106" i="20"/>
  <c r="AG109" i="19"/>
  <c r="F107" i="20"/>
  <c r="BI109" i="19"/>
  <c r="M107" i="20"/>
  <c r="AG110" i="19"/>
  <c r="F108" i="20"/>
  <c r="AI111" i="19"/>
  <c r="F109" i="20"/>
  <c r="BE112" i="19"/>
  <c r="L110" i="20"/>
  <c r="AW113" i="19"/>
  <c r="J111" i="20"/>
  <c r="BQ113" i="19"/>
  <c r="O111" i="20"/>
  <c r="AO114" i="19"/>
  <c r="H112" i="20"/>
  <c r="AO115" i="19"/>
  <c r="H113" i="20"/>
  <c r="AO116" i="19"/>
  <c r="H114" i="20"/>
  <c r="AO117" i="19"/>
  <c r="H115" i="20"/>
  <c r="AG118" i="19"/>
  <c r="F116" i="20"/>
  <c r="AI119" i="19"/>
  <c r="F117" i="20"/>
  <c r="BI119" i="19"/>
  <c r="M117" i="20"/>
  <c r="AG120" i="19"/>
  <c r="F118" i="20"/>
  <c r="BQ121" i="19"/>
  <c r="O119" i="20"/>
  <c r="AW123" i="19"/>
  <c r="J121" i="20"/>
  <c r="AW126" i="19"/>
  <c r="J124" i="20"/>
  <c r="BA127" i="19"/>
  <c r="K125" i="20"/>
  <c r="BE128" i="19"/>
  <c r="L126" i="20"/>
  <c r="BQ129" i="19"/>
  <c r="O127" i="20"/>
  <c r="AO130" i="19"/>
  <c r="H128" i="20"/>
  <c r="AO131" i="19"/>
  <c r="H129" i="20"/>
  <c r="AQ133" i="19"/>
  <c r="H131" i="20"/>
  <c r="AQ135" i="19"/>
  <c r="H133" i="20"/>
  <c r="BQ135" i="19"/>
  <c r="O133" i="20"/>
  <c r="AO138" i="19"/>
  <c r="H136" i="20"/>
  <c r="AW139" i="19"/>
  <c r="J137" i="20"/>
  <c r="AI143" i="19"/>
  <c r="F141" i="20"/>
  <c r="BI143" i="19"/>
  <c r="M141" i="20"/>
  <c r="AQ144" i="19"/>
  <c r="H142" i="20"/>
  <c r="BE145" i="19"/>
  <c r="L143" i="20"/>
  <c r="BG146" i="19"/>
  <c r="L144" i="20"/>
  <c r="BG147" i="19"/>
  <c r="L145" i="20"/>
  <c r="BQ149" i="19"/>
  <c r="O147" i="20"/>
  <c r="AO150" i="19"/>
  <c r="H148" i="20"/>
  <c r="AW151" i="19"/>
  <c r="J149" i="20"/>
  <c r="BA152" i="19"/>
  <c r="K150" i="20"/>
  <c r="AG153" i="19"/>
  <c r="F151" i="20"/>
  <c r="AO154" i="19"/>
  <c r="H152" i="20"/>
  <c r="AW155" i="19"/>
  <c r="J153" i="20"/>
  <c r="BA156" i="19"/>
  <c r="K154" i="20"/>
  <c r="AG158" i="19"/>
  <c r="F156" i="20"/>
  <c r="AO159" i="19"/>
  <c r="H157" i="20"/>
  <c r="AQ160" i="19"/>
  <c r="H158" i="20"/>
  <c r="AQ161" i="19"/>
  <c r="H159" i="20"/>
  <c r="BQ161" i="19"/>
  <c r="O159" i="20"/>
  <c r="AO162" i="19"/>
  <c r="H160" i="20"/>
  <c r="AQ163" i="19"/>
  <c r="H161" i="20"/>
  <c r="AG164" i="19"/>
  <c r="F162" i="20"/>
  <c r="BE165" i="19"/>
  <c r="L163" i="20"/>
  <c r="BE167" i="19"/>
  <c r="L164" i="20"/>
  <c r="AQ84" i="19"/>
  <c r="H83" i="20"/>
  <c r="AQ86" i="19"/>
  <c r="H85" i="20"/>
  <c r="BQ86" i="19"/>
  <c r="O85" i="20"/>
  <c r="AO87" i="19"/>
  <c r="H86" i="20"/>
  <c r="BQ87" i="19"/>
  <c r="O86" i="20"/>
  <c r="BI88" i="19"/>
  <c r="M87" i="20"/>
  <c r="BI90" i="19"/>
  <c r="M89" i="20"/>
  <c r="AI91" i="19"/>
  <c r="F90" i="20"/>
  <c r="BI91" i="19"/>
  <c r="M90" i="20"/>
  <c r="AI96" i="19"/>
  <c r="F94" i="20"/>
  <c r="BI96" i="19"/>
  <c r="M94" i="20"/>
  <c r="BI97" i="19"/>
  <c r="M95" i="20"/>
  <c r="BQ99" i="19"/>
  <c r="O97" i="20"/>
  <c r="AO100" i="19"/>
  <c r="H98" i="20"/>
  <c r="AO103" i="19"/>
  <c r="H101" i="20"/>
  <c r="BQ103" i="19"/>
  <c r="O101" i="20"/>
  <c r="AW104" i="19"/>
  <c r="J102" i="20"/>
  <c r="AW106" i="19"/>
  <c r="J104" i="20"/>
  <c r="AO108" i="19"/>
  <c r="H106" i="20"/>
  <c r="AQ109" i="19"/>
  <c r="H107" i="20"/>
  <c r="BQ109" i="19"/>
  <c r="O107" i="20"/>
  <c r="BE113" i="19"/>
  <c r="L111" i="20"/>
  <c r="AW115" i="19"/>
  <c r="J113" i="20"/>
  <c r="AW117" i="19"/>
  <c r="J115" i="20"/>
  <c r="AO120" i="19"/>
  <c r="H118" i="20"/>
  <c r="BA123" i="19"/>
  <c r="K121" i="20"/>
  <c r="BA126" i="19"/>
  <c r="K124" i="20"/>
  <c r="AG127" i="19"/>
  <c r="F125" i="20"/>
  <c r="BI128" i="19"/>
  <c r="M126" i="20"/>
  <c r="BG129" i="19"/>
  <c r="L127" i="20"/>
  <c r="AW130" i="19"/>
  <c r="J128" i="20"/>
  <c r="AW131" i="19"/>
  <c r="J129" i="20"/>
  <c r="BQ132" i="19"/>
  <c r="O130" i="20"/>
  <c r="BQ133" i="19"/>
  <c r="O131" i="20"/>
  <c r="BE140" i="19"/>
  <c r="L138" i="20"/>
  <c r="BA140" i="19"/>
  <c r="K138" i="20"/>
  <c r="BE141" i="19"/>
  <c r="L139" i="20"/>
  <c r="AW142" i="19"/>
  <c r="J140" i="20"/>
  <c r="BQ143" i="19"/>
  <c r="O141" i="20"/>
  <c r="AG145" i="19"/>
  <c r="F143" i="20"/>
  <c r="BI146" i="19"/>
  <c r="M144" i="20"/>
  <c r="AI147" i="19"/>
  <c r="F145" i="20"/>
  <c r="BG148" i="19"/>
  <c r="L146" i="20"/>
  <c r="BE149" i="19"/>
  <c r="L147" i="20"/>
  <c r="AW150" i="19"/>
  <c r="J148" i="20"/>
  <c r="BA151" i="19"/>
  <c r="K149" i="20"/>
  <c r="AG152" i="19"/>
  <c r="F150" i="20"/>
  <c r="AO153" i="19"/>
  <c r="H151" i="20"/>
  <c r="AW154" i="19"/>
  <c r="J152" i="20"/>
  <c r="BA155" i="19"/>
  <c r="K153" i="20"/>
  <c r="AG156" i="19"/>
  <c r="F154" i="20"/>
  <c r="AO157" i="19"/>
  <c r="H155" i="20"/>
  <c r="BI165" i="19"/>
  <c r="M163" i="20"/>
  <c r="AI167" i="19"/>
  <c r="F164" i="20"/>
  <c r="BE168" i="19"/>
  <c r="L165" i="20"/>
  <c r="BE169" i="19"/>
  <c r="L166" i="20"/>
  <c r="BA169" i="19"/>
  <c r="K166" i="20"/>
  <c r="AW84" i="19"/>
  <c r="J83" i="20"/>
  <c r="BQ84" i="19"/>
  <c r="O83" i="20"/>
  <c r="BQ85" i="19"/>
  <c r="O84" i="20"/>
  <c r="AQ88" i="19"/>
  <c r="H87" i="20"/>
  <c r="AG89" i="19"/>
  <c r="F88" i="20"/>
  <c r="AQ90" i="19"/>
  <c r="H89" i="20"/>
  <c r="BQ90" i="19"/>
  <c r="O89" i="20"/>
  <c r="BI92" i="19"/>
  <c r="M91" i="20"/>
  <c r="AQ94" i="19"/>
  <c r="H93" i="20"/>
  <c r="BQ96" i="19"/>
  <c r="O94" i="20"/>
  <c r="AQ97" i="19"/>
  <c r="H95" i="20"/>
  <c r="AI98" i="19"/>
  <c r="F96" i="20"/>
  <c r="BI98" i="19"/>
  <c r="M96" i="20"/>
  <c r="AW100" i="19"/>
  <c r="J98" i="20"/>
  <c r="BQ101" i="19"/>
  <c r="O99" i="20"/>
  <c r="BA104" i="19"/>
  <c r="K102" i="20"/>
  <c r="BE106" i="19"/>
  <c r="L104" i="20"/>
  <c r="BA106" i="19"/>
  <c r="K104" i="20"/>
  <c r="BG107" i="19"/>
  <c r="L105" i="20"/>
  <c r="BA107" i="19"/>
  <c r="K105" i="20"/>
  <c r="AW108" i="19"/>
  <c r="J106" i="20"/>
  <c r="AW110" i="19"/>
  <c r="J108" i="20"/>
  <c r="BQ111" i="19"/>
  <c r="O109" i="20"/>
  <c r="AO112" i="19"/>
  <c r="H110" i="20"/>
  <c r="BI113" i="19"/>
  <c r="M111" i="20"/>
  <c r="BE114" i="19"/>
  <c r="L112" i="20"/>
  <c r="BA114" i="19"/>
  <c r="K112" i="20"/>
  <c r="BE115" i="19"/>
  <c r="L113" i="20"/>
  <c r="BE116" i="19"/>
  <c r="L114" i="20"/>
  <c r="BA116" i="19"/>
  <c r="K114" i="20"/>
  <c r="BE117" i="19"/>
  <c r="L115" i="20"/>
  <c r="AW118" i="19"/>
  <c r="J116" i="20"/>
  <c r="AW120" i="19"/>
  <c r="J118" i="20"/>
  <c r="AG124" i="19"/>
  <c r="F122" i="20"/>
  <c r="BI124" i="19"/>
  <c r="M122" i="20"/>
  <c r="AO125" i="19"/>
  <c r="H123" i="20"/>
  <c r="AG126" i="19"/>
  <c r="F124" i="20"/>
  <c r="AO127" i="19"/>
  <c r="H125" i="20"/>
  <c r="AQ128" i="19"/>
  <c r="H126" i="20"/>
  <c r="BI129" i="19"/>
  <c r="M127" i="20"/>
  <c r="BE130" i="19"/>
  <c r="L128" i="20"/>
  <c r="BA130" i="19"/>
  <c r="K128" i="20"/>
  <c r="BE131" i="19"/>
  <c r="L129" i="20"/>
  <c r="BA131" i="19"/>
  <c r="K129" i="20"/>
  <c r="AI136" i="19"/>
  <c r="F134" i="20"/>
  <c r="BI137" i="19"/>
  <c r="M135" i="20"/>
  <c r="BE138" i="19"/>
  <c r="L136" i="20"/>
  <c r="BA138" i="19"/>
  <c r="K136" i="20"/>
  <c r="AG139" i="19"/>
  <c r="F137" i="20"/>
  <c r="AI141" i="19"/>
  <c r="F139" i="20"/>
  <c r="BE142" i="19"/>
  <c r="L140" i="20"/>
  <c r="AQ146" i="19"/>
  <c r="H144" i="20"/>
  <c r="BQ146" i="19"/>
  <c r="O144" i="20"/>
  <c r="BI148" i="19"/>
  <c r="M146" i="20"/>
  <c r="AI149" i="19"/>
  <c r="F147" i="20"/>
  <c r="BI149" i="19"/>
  <c r="M147" i="20"/>
  <c r="BA150" i="19"/>
  <c r="K148" i="20"/>
  <c r="AG151" i="19"/>
  <c r="F149" i="20"/>
  <c r="AO152" i="19"/>
  <c r="H150" i="20"/>
  <c r="AW153" i="19"/>
  <c r="J151" i="20"/>
  <c r="BA154" i="19"/>
  <c r="K152" i="20"/>
  <c r="AG155" i="19"/>
  <c r="F153" i="20"/>
  <c r="AO156" i="19"/>
  <c r="H154" i="20"/>
  <c r="AW158" i="19"/>
  <c r="J156" i="20"/>
  <c r="BA159" i="19"/>
  <c r="K157" i="20"/>
  <c r="BE162" i="19"/>
  <c r="L160" i="20"/>
  <c r="BA162" i="19"/>
  <c r="K160" i="20"/>
  <c r="BE163" i="19"/>
  <c r="L161" i="20"/>
  <c r="AW164" i="19"/>
  <c r="J162" i="20"/>
  <c r="AQ165" i="19"/>
  <c r="H163" i="20"/>
  <c r="BQ165" i="19"/>
  <c r="O163" i="20"/>
  <c r="BI168" i="19"/>
  <c r="M165" i="20"/>
  <c r="AI169" i="19"/>
  <c r="F166" i="20"/>
  <c r="AI83" i="19"/>
  <c r="F82" i="20"/>
  <c r="BE84" i="19"/>
  <c r="L83" i="20"/>
  <c r="BA87" i="19"/>
  <c r="K86" i="20"/>
  <c r="AO89" i="19"/>
  <c r="H88" i="20"/>
  <c r="AQ92" i="19"/>
  <c r="H91" i="20"/>
  <c r="BQ92" i="19"/>
  <c r="O91" i="20"/>
  <c r="BQ97" i="19"/>
  <c r="O95" i="20"/>
  <c r="AQ98" i="19"/>
  <c r="H96" i="20"/>
  <c r="AI99" i="19"/>
  <c r="F97" i="20"/>
  <c r="BI99" i="19"/>
  <c r="M97" i="20"/>
  <c r="BE100" i="19"/>
  <c r="L98" i="20"/>
  <c r="BA100" i="19"/>
  <c r="K98" i="20"/>
  <c r="BA103" i="19"/>
  <c r="K101" i="20"/>
  <c r="AG105" i="19"/>
  <c r="F103" i="20"/>
  <c r="BI105" i="19"/>
  <c r="M103" i="20"/>
  <c r="AG106" i="19"/>
  <c r="F104" i="20"/>
  <c r="AI107" i="19"/>
  <c r="F105" i="20"/>
  <c r="BI107" i="19"/>
  <c r="M105" i="20"/>
  <c r="BA110" i="19"/>
  <c r="K108" i="20"/>
  <c r="AW112" i="19"/>
  <c r="J110" i="20"/>
  <c r="AG114" i="19"/>
  <c r="F112" i="20"/>
  <c r="AG115" i="19"/>
  <c r="F113" i="20"/>
  <c r="AG116" i="19"/>
  <c r="F114" i="20"/>
  <c r="BE118" i="19"/>
  <c r="L116" i="20"/>
  <c r="BA118" i="19"/>
  <c r="K116" i="20"/>
  <c r="BG119" i="19"/>
  <c r="L117" i="20"/>
  <c r="BA119" i="19"/>
  <c r="K117" i="20"/>
  <c r="AG121" i="19"/>
  <c r="F119" i="20"/>
  <c r="BI121" i="19"/>
  <c r="M119" i="20"/>
  <c r="AO122" i="19"/>
  <c r="H120" i="20"/>
  <c r="AO123" i="19"/>
  <c r="H121" i="20"/>
  <c r="AQ124" i="19"/>
  <c r="H122" i="20"/>
  <c r="BQ124" i="19"/>
  <c r="O122" i="20"/>
  <c r="AO126" i="19"/>
  <c r="H124" i="20"/>
  <c r="BQ128" i="19"/>
  <c r="O126" i="20"/>
  <c r="AQ129" i="19"/>
  <c r="H127" i="20"/>
  <c r="AG130" i="19"/>
  <c r="F128" i="20"/>
  <c r="AG131" i="19"/>
  <c r="F129" i="20"/>
  <c r="AI132" i="19"/>
  <c r="F130" i="20"/>
  <c r="BI132" i="19"/>
  <c r="M130" i="20"/>
  <c r="BI133" i="19"/>
  <c r="M131" i="20"/>
  <c r="BI135" i="19"/>
  <c r="M133" i="20"/>
  <c r="AQ137" i="19"/>
  <c r="H135" i="20"/>
  <c r="BQ137" i="19"/>
  <c r="O135" i="20"/>
  <c r="AO140" i="19"/>
  <c r="H138" i="20"/>
  <c r="AG142" i="19"/>
  <c r="F140" i="20"/>
  <c r="AW145" i="19"/>
  <c r="J143" i="20"/>
  <c r="AQ148" i="19"/>
  <c r="H146" i="20"/>
  <c r="BQ148" i="19"/>
  <c r="O146" i="20"/>
  <c r="AG150" i="19"/>
  <c r="F148" i="20"/>
  <c r="AO151" i="19"/>
  <c r="H149" i="20"/>
  <c r="AW152" i="19"/>
  <c r="J150" i="20"/>
  <c r="BA153" i="19"/>
  <c r="K151" i="20"/>
  <c r="AG154" i="19"/>
  <c r="F152" i="20"/>
  <c r="AO155" i="19"/>
  <c r="H153" i="20"/>
  <c r="AW156" i="19"/>
  <c r="J154" i="20"/>
  <c r="BA157" i="19"/>
  <c r="K155" i="20"/>
  <c r="BE158" i="19"/>
  <c r="L156" i="20"/>
  <c r="BI161" i="19"/>
  <c r="M159" i="20"/>
  <c r="BE164" i="19"/>
  <c r="L162" i="20"/>
  <c r="AQ168" i="19"/>
  <c r="H165" i="20"/>
  <c r="BQ168" i="19"/>
  <c r="O165" i="20"/>
  <c r="AO169" i="19"/>
  <c r="H166" i="20"/>
  <c r="N17" i="19"/>
  <c r="AD17" i="19"/>
  <c r="AC17" i="19" s="1"/>
  <c r="T27" i="19"/>
  <c r="V27" i="19" s="1"/>
  <c r="AT27" i="19" s="1"/>
  <c r="AU27" i="19" s="1"/>
  <c r="AD27" i="19"/>
  <c r="AC27" i="19" s="1"/>
  <c r="X111" i="19"/>
  <c r="BF111" i="19" s="1"/>
  <c r="AD111" i="19"/>
  <c r="E109" i="20" s="1"/>
  <c r="AD142" i="19"/>
  <c r="E140" i="20" s="1"/>
  <c r="AD8" i="19"/>
  <c r="AC8" i="19" s="1"/>
  <c r="N30" i="19"/>
  <c r="AD30" i="19"/>
  <c r="AD56" i="19"/>
  <c r="AC56" i="19" s="1"/>
  <c r="T67" i="19"/>
  <c r="W67" i="19" s="1"/>
  <c r="AD67" i="19"/>
  <c r="AC67" i="19" s="1"/>
  <c r="AD68" i="19"/>
  <c r="AC68" i="19" s="1"/>
  <c r="X85" i="19"/>
  <c r="BF85" i="19" s="1"/>
  <c r="BG85" i="19" s="1"/>
  <c r="AD85" i="19"/>
  <c r="E84" i="20" s="1"/>
  <c r="T100" i="19"/>
  <c r="W100" i="19" s="1"/>
  <c r="AD100" i="19"/>
  <c r="E98" i="20" s="1"/>
  <c r="X108" i="19"/>
  <c r="BF108" i="19" s="1"/>
  <c r="AD108" i="19"/>
  <c r="E106" i="20" s="1"/>
  <c r="AD114" i="19"/>
  <c r="AD140" i="19"/>
  <c r="E138" i="20" s="1"/>
  <c r="AD145" i="19"/>
  <c r="AE145" i="19" s="1"/>
  <c r="N154" i="19"/>
  <c r="AD154" i="19"/>
  <c r="T165" i="19"/>
  <c r="V165" i="19" s="1"/>
  <c r="AT165" i="19" s="1"/>
  <c r="I163" i="20" s="1"/>
  <c r="AD165" i="19"/>
  <c r="E163" i="20" s="1"/>
  <c r="AD169" i="19"/>
  <c r="E166" i="20" s="1"/>
  <c r="AD3" i="19"/>
  <c r="AC3" i="19" s="1"/>
  <c r="X6" i="19"/>
  <c r="AD6" i="19"/>
  <c r="AC6" i="19" s="1"/>
  <c r="T7" i="19"/>
  <c r="W7" i="19" s="1"/>
  <c r="AD7" i="19"/>
  <c r="AC7" i="19" s="1"/>
  <c r="X10" i="19"/>
  <c r="BF10" i="19" s="1"/>
  <c r="BE10" i="19" s="1"/>
  <c r="AD10" i="19"/>
  <c r="AC10" i="19" s="1"/>
  <c r="AD11" i="19"/>
  <c r="AC11" i="19" s="1"/>
  <c r="X15" i="19"/>
  <c r="BF15" i="19" s="1"/>
  <c r="L14" i="20" s="1"/>
  <c r="AD15" i="19"/>
  <c r="AC15" i="19" s="1"/>
  <c r="X41" i="19"/>
  <c r="BF41" i="19" s="1"/>
  <c r="BE41" i="19" s="1"/>
  <c r="AD41" i="19"/>
  <c r="AE41" i="19" s="1"/>
  <c r="X49" i="19"/>
  <c r="BF49" i="19" s="1"/>
  <c r="BE49" i="19" s="1"/>
  <c r="AD49" i="19"/>
  <c r="AE49" i="19" s="1"/>
  <c r="AD52" i="19"/>
  <c r="AC52" i="19" s="1"/>
  <c r="T61" i="19"/>
  <c r="W61" i="19" s="1"/>
  <c r="AD61" i="19"/>
  <c r="AC61" i="19" s="1"/>
  <c r="T65" i="19"/>
  <c r="W65" i="19" s="1"/>
  <c r="AD65" i="19"/>
  <c r="AC65" i="19" s="1"/>
  <c r="AD74" i="19"/>
  <c r="E73" i="20" s="1"/>
  <c r="AD80" i="19"/>
  <c r="AE80" i="19" s="1"/>
  <c r="X87" i="19"/>
  <c r="AD87" i="19"/>
  <c r="E86" i="20" s="1"/>
  <c r="X90" i="19"/>
  <c r="BF90" i="19" s="1"/>
  <c r="L89" i="20" s="1"/>
  <c r="AD90" i="19"/>
  <c r="E89" i="20" s="1"/>
  <c r="T91" i="19"/>
  <c r="W91" i="19" s="1"/>
  <c r="AD91" i="19"/>
  <c r="E90" i="20" s="1"/>
  <c r="AD99" i="19"/>
  <c r="AE99" i="19" s="1"/>
  <c r="N113" i="19"/>
  <c r="AD113" i="19"/>
  <c r="E111" i="20" s="1"/>
  <c r="AD125" i="19"/>
  <c r="AD137" i="19"/>
  <c r="E135" i="20" s="1"/>
  <c r="AD164" i="19"/>
  <c r="AE164" i="19" s="1"/>
  <c r="T21" i="19"/>
  <c r="W21" i="19" s="1"/>
  <c r="AD21" i="19"/>
  <c r="AC21" i="19" s="1"/>
  <c r="X33" i="19"/>
  <c r="BF33" i="19" s="1"/>
  <c r="BE33" i="19" s="1"/>
  <c r="AD33" i="19"/>
  <c r="AC33" i="19" s="1"/>
  <c r="T37" i="19"/>
  <c r="W37" i="19" s="1"/>
  <c r="AD37" i="19"/>
  <c r="AC37" i="19" s="1"/>
  <c r="AD45" i="19"/>
  <c r="AC45" i="19" s="1"/>
  <c r="AD50" i="19"/>
  <c r="E49" i="20" s="1"/>
  <c r="AD138" i="19"/>
  <c r="AE138" i="19" s="1"/>
  <c r="T168" i="19"/>
  <c r="W168" i="19" s="1"/>
  <c r="AD168" i="19"/>
  <c r="E165" i="20" s="1"/>
  <c r="AD48" i="19"/>
  <c r="AC48" i="19" s="1"/>
  <c r="T63" i="19"/>
  <c r="W63" i="19" s="1"/>
  <c r="AD63" i="19"/>
  <c r="AC63" i="19" s="1"/>
  <c r="AD83" i="19"/>
  <c r="AE83" i="19" s="1"/>
  <c r="T112" i="19"/>
  <c r="W112" i="19" s="1"/>
  <c r="AD112" i="19"/>
  <c r="E110" i="20" s="1"/>
  <c r="X121" i="19"/>
  <c r="BF121" i="19" s="1"/>
  <c r="AD121" i="19"/>
  <c r="E119" i="20" s="1"/>
  <c r="AD122" i="19"/>
  <c r="E120" i="20" s="1"/>
  <c r="X126" i="19"/>
  <c r="BF126" i="19" s="1"/>
  <c r="BG126" i="19" s="1"/>
  <c r="AD126" i="19"/>
  <c r="E124" i="20" s="1"/>
  <c r="N130" i="19"/>
  <c r="AD130" i="19"/>
  <c r="E128" i="20" s="1"/>
  <c r="AD139" i="19"/>
  <c r="AD156" i="19"/>
  <c r="AD163" i="19"/>
  <c r="AE163" i="19" s="1"/>
  <c r="X9" i="19"/>
  <c r="BF9" i="19" s="1"/>
  <c r="BE9" i="19" s="1"/>
  <c r="AD9" i="19"/>
  <c r="AD46" i="19"/>
  <c r="AE46" i="19" s="1"/>
  <c r="T57" i="19"/>
  <c r="W57" i="19" s="1"/>
  <c r="AD57" i="19"/>
  <c r="AC57" i="19" s="1"/>
  <c r="T60" i="19"/>
  <c r="W60" i="19" s="1"/>
  <c r="AD60" i="19"/>
  <c r="AC60" i="19" s="1"/>
  <c r="X64" i="19"/>
  <c r="BF64" i="19" s="1"/>
  <c r="BE64" i="19" s="1"/>
  <c r="AD64" i="19"/>
  <c r="AC64" i="19" s="1"/>
  <c r="AD69" i="19"/>
  <c r="AC69" i="19" s="1"/>
  <c r="AD76" i="19"/>
  <c r="AC76" i="19" s="1"/>
  <c r="T79" i="19"/>
  <c r="W79" i="19" s="1"/>
  <c r="AD79" i="19"/>
  <c r="AC79" i="19" s="1"/>
  <c r="X109" i="19"/>
  <c r="BF109" i="19" s="1"/>
  <c r="AD109" i="19"/>
  <c r="E107" i="20" s="1"/>
  <c r="X123" i="19"/>
  <c r="BF123" i="19" s="1"/>
  <c r="BG123" i="19" s="1"/>
  <c r="AD123" i="19"/>
  <c r="E121" i="20" s="1"/>
  <c r="T124" i="19"/>
  <c r="W124" i="19" s="1"/>
  <c r="AD124" i="19"/>
  <c r="E122" i="20" s="1"/>
  <c r="AD135" i="19"/>
  <c r="AE135" i="19" s="1"/>
  <c r="AD143" i="19"/>
  <c r="E141" i="20" s="1"/>
  <c r="T146" i="19"/>
  <c r="W146" i="19" s="1"/>
  <c r="AD146" i="19"/>
  <c r="E144" i="20" s="1"/>
  <c r="AD159" i="19"/>
  <c r="AC158" i="19"/>
  <c r="N158" i="19"/>
  <c r="X122" i="19"/>
  <c r="BF122" i="19" s="1"/>
  <c r="BE122" i="19" s="1"/>
  <c r="X65" i="19"/>
  <c r="BF65" i="19" s="1"/>
  <c r="BG65" i="19" s="1"/>
  <c r="X63" i="19"/>
  <c r="BF63" i="19" s="1"/>
  <c r="BE63" i="19" s="1"/>
  <c r="X155" i="19"/>
  <c r="BF155" i="19" s="1"/>
  <c r="X86" i="19"/>
  <c r="BF86" i="19" s="1"/>
  <c r="X144" i="19"/>
  <c r="BF144" i="19" s="1"/>
  <c r="X137" i="19"/>
  <c r="BF137" i="19" s="1"/>
  <c r="X133" i="19"/>
  <c r="BF133" i="19" s="1"/>
  <c r="X136" i="19"/>
  <c r="BF136" i="19" s="1"/>
  <c r="X21" i="19"/>
  <c r="BF21" i="19" s="1"/>
  <c r="BE21" i="19" s="1"/>
  <c r="X39" i="19"/>
  <c r="BF39" i="19" s="1"/>
  <c r="BE39" i="19" s="1"/>
  <c r="X127" i="19"/>
  <c r="BF127" i="19" s="1"/>
  <c r="X135" i="19"/>
  <c r="BF135" i="19" s="1"/>
  <c r="AC153" i="19"/>
  <c r="X153" i="19"/>
  <c r="BF153" i="19" s="1"/>
  <c r="X74" i="19"/>
  <c r="BF74" i="19" s="1"/>
  <c r="BE74" i="19" s="1"/>
  <c r="X151" i="19"/>
  <c r="BF151" i="19" s="1"/>
  <c r="AC157" i="19"/>
  <c r="X157" i="19"/>
  <c r="BF157" i="19" s="1"/>
  <c r="N62" i="19"/>
  <c r="X67" i="19"/>
  <c r="BF67" i="19" s="1"/>
  <c r="L66" i="20" s="1"/>
  <c r="X139" i="19"/>
  <c r="BF139" i="19" s="1"/>
  <c r="X156" i="19"/>
  <c r="BF156" i="19" s="1"/>
  <c r="X159" i="19"/>
  <c r="BF159" i="19" s="1"/>
  <c r="X16" i="19"/>
  <c r="BF16" i="19" s="1"/>
  <c r="AC14" i="19"/>
  <c r="X14" i="19"/>
  <c r="BF14" i="19" s="1"/>
  <c r="BE14" i="19" s="1"/>
  <c r="E54" i="20"/>
  <c r="X55" i="19"/>
  <c r="BF55" i="19" s="1"/>
  <c r="BE55" i="19" s="1"/>
  <c r="AC72" i="19"/>
  <c r="X72" i="19"/>
  <c r="BF72" i="19" s="1"/>
  <c r="BE72" i="19" s="1"/>
  <c r="X110" i="19"/>
  <c r="BF110" i="19" s="1"/>
  <c r="L108" i="20" s="1"/>
  <c r="T34" i="19"/>
  <c r="W34" i="19" s="1"/>
  <c r="X34" i="19"/>
  <c r="BF34" i="19" s="1"/>
  <c r="BE34" i="19" s="1"/>
  <c r="E37" i="20"/>
  <c r="X38" i="19"/>
  <c r="BF38" i="19" s="1"/>
  <c r="BE38" i="19" s="1"/>
  <c r="AC40" i="19"/>
  <c r="X40" i="19"/>
  <c r="BF40" i="19" s="1"/>
  <c r="BE40" i="19" s="1"/>
  <c r="X70" i="19"/>
  <c r="BF70" i="19" s="1"/>
  <c r="BE70" i="19" s="1"/>
  <c r="X73" i="19"/>
  <c r="BF73" i="19" s="1"/>
  <c r="X75" i="19"/>
  <c r="BF75" i="19" s="1"/>
  <c r="X81" i="19"/>
  <c r="BF81" i="19" s="1"/>
  <c r="BE81" i="19" s="1"/>
  <c r="X96" i="19"/>
  <c r="BF96" i="19" s="1"/>
  <c r="L94" i="20" s="1"/>
  <c r="X125" i="19"/>
  <c r="BF125" i="19" s="1"/>
  <c r="AE43" i="19"/>
  <c r="X43" i="19"/>
  <c r="BF43" i="19" s="1"/>
  <c r="BE43" i="19" s="1"/>
  <c r="X69" i="19"/>
  <c r="BF69" i="19" s="1"/>
  <c r="BE69" i="19" s="1"/>
  <c r="AC71" i="19"/>
  <c r="X71" i="19"/>
  <c r="BF71" i="19" s="1"/>
  <c r="BE71" i="19" s="1"/>
  <c r="X94" i="19"/>
  <c r="BF94" i="19" s="1"/>
  <c r="X104" i="19"/>
  <c r="BF104" i="19" s="1"/>
  <c r="L102" i="20" s="1"/>
  <c r="T120" i="19"/>
  <c r="W120" i="19" s="1"/>
  <c r="X120" i="19"/>
  <c r="BF120" i="19" s="1"/>
  <c r="AC152" i="19"/>
  <c r="X152" i="19"/>
  <c r="BF152" i="19" s="1"/>
  <c r="X154" i="19"/>
  <c r="BF154" i="19" s="1"/>
  <c r="L152" i="20" s="1"/>
  <c r="N161" i="19"/>
  <c r="X161" i="19"/>
  <c r="BF161" i="19" s="1"/>
  <c r="AC12" i="19"/>
  <c r="X12" i="19"/>
  <c r="BF12" i="19" s="1"/>
  <c r="BE12" i="19" s="1"/>
  <c r="N22" i="19"/>
  <c r="X22" i="19"/>
  <c r="BF22" i="19" s="1"/>
  <c r="BE22" i="19" s="1"/>
  <c r="N35" i="19"/>
  <c r="X35" i="19"/>
  <c r="BF35" i="19" s="1"/>
  <c r="BE35" i="19" s="1"/>
  <c r="AC89" i="19"/>
  <c r="X89" i="19"/>
  <c r="BF89" i="19" s="1"/>
  <c r="AE103" i="19"/>
  <c r="X103" i="19"/>
  <c r="BF103" i="19" s="1"/>
  <c r="T13" i="19"/>
  <c r="W13" i="19" s="1"/>
  <c r="X13" i="19"/>
  <c r="BF13" i="19" s="1"/>
  <c r="BE13" i="19" s="1"/>
  <c r="AE150" i="19"/>
  <c r="X150" i="19"/>
  <c r="BF150" i="19" s="1"/>
  <c r="A5" i="19"/>
  <c r="AI81" i="19"/>
  <c r="N162" i="19"/>
  <c r="AC9" i="19"/>
  <c r="N9" i="19"/>
  <c r="N115" i="19"/>
  <c r="AQ114" i="19"/>
  <c r="N142" i="19"/>
  <c r="N120" i="19"/>
  <c r="N21" i="19"/>
  <c r="AC22" i="19"/>
  <c r="N114" i="19"/>
  <c r="N153" i="19"/>
  <c r="T115" i="19"/>
  <c r="T3" i="19"/>
  <c r="N16" i="19"/>
  <c r="N148" i="19"/>
  <c r="N149" i="19"/>
  <c r="N155" i="19"/>
  <c r="N156" i="19"/>
  <c r="N157" i="19"/>
  <c r="N97" i="19"/>
  <c r="T162" i="19"/>
  <c r="W162" i="19" s="1"/>
  <c r="T145" i="19"/>
  <c r="V145" i="19" s="1"/>
  <c r="T159" i="19"/>
  <c r="W159" i="19" s="1"/>
  <c r="T140" i="19"/>
  <c r="W140" i="19" s="1"/>
  <c r="T164" i="19"/>
  <c r="W164" i="19" s="1"/>
  <c r="T8" i="19"/>
  <c r="T158" i="19"/>
  <c r="N159" i="19"/>
  <c r="T147" i="19"/>
  <c r="W147" i="19" s="1"/>
  <c r="N4" i="19"/>
  <c r="T97" i="19"/>
  <c r="N137" i="19"/>
  <c r="N139" i="19"/>
  <c r="N140" i="19"/>
  <c r="N147" i="19"/>
  <c r="N152" i="19"/>
  <c r="N164" i="19"/>
  <c r="E15" i="20"/>
  <c r="N65" i="19"/>
  <c r="T78" i="19"/>
  <c r="AE78" i="19"/>
  <c r="T157" i="19"/>
  <c r="T14" i="19"/>
  <c r="W14" i="19" s="1"/>
  <c r="T151" i="19"/>
  <c r="W151" i="19" s="1"/>
  <c r="T43" i="19"/>
  <c r="T149" i="19"/>
  <c r="AC149" i="19"/>
  <c r="T150" i="19"/>
  <c r="U150" i="19" s="1"/>
  <c r="AL150" i="19" s="1"/>
  <c r="N151" i="19"/>
  <c r="T152" i="19"/>
  <c r="W152" i="19" s="1"/>
  <c r="T153" i="19"/>
  <c r="W153" i="19" s="1"/>
  <c r="T154" i="19"/>
  <c r="U154" i="19" s="1"/>
  <c r="N168" i="19"/>
  <c r="T155" i="19"/>
  <c r="T156" i="19"/>
  <c r="N169" i="19"/>
  <c r="T142" i="19"/>
  <c r="T169" i="19"/>
  <c r="T55" i="19"/>
  <c r="T53" i="19"/>
  <c r="T138" i="19"/>
  <c r="T139" i="19"/>
  <c r="W139" i="19" s="1"/>
  <c r="T30" i="19"/>
  <c r="W30" i="19" s="1"/>
  <c r="T46" i="19"/>
  <c r="W46" i="19" s="1"/>
  <c r="T68" i="19"/>
  <c r="T69" i="19"/>
  <c r="N72" i="19"/>
  <c r="T89" i="19"/>
  <c r="W89" i="19" s="1"/>
  <c r="T108" i="19"/>
  <c r="W108" i="19" s="1"/>
  <c r="T29" i="19"/>
  <c r="W29" i="19" s="1"/>
  <c r="T4" i="19"/>
  <c r="AC4" i="19"/>
  <c r="AC51" i="19"/>
  <c r="N51" i="19"/>
  <c r="T51" i="19"/>
  <c r="W51" i="19" s="1"/>
  <c r="T87" i="19"/>
  <c r="T119" i="19"/>
  <c r="W119" i="19" s="1"/>
  <c r="AG138" i="19"/>
  <c r="AG140" i="19"/>
  <c r="AO141" i="19"/>
  <c r="AQ141" i="19"/>
  <c r="AG146" i="19"/>
  <c r="AI146" i="19"/>
  <c r="AO149" i="19"/>
  <c r="AQ149" i="19"/>
  <c r="AG160" i="19"/>
  <c r="AI160" i="19"/>
  <c r="T6" i="19"/>
  <c r="N6" i="19"/>
  <c r="T17" i="19"/>
  <c r="E25" i="20"/>
  <c r="T26" i="19"/>
  <c r="AE36" i="19"/>
  <c r="T36" i="19"/>
  <c r="W36" i="19" s="1"/>
  <c r="T41" i="19"/>
  <c r="U41" i="19" s="1"/>
  <c r="AL41" i="19" s="1"/>
  <c r="AC70" i="19"/>
  <c r="N70" i="19"/>
  <c r="T70" i="19"/>
  <c r="AG75" i="19"/>
  <c r="AI75" i="19"/>
  <c r="T107" i="19"/>
  <c r="W107" i="19" s="1"/>
  <c r="AC127" i="19"/>
  <c r="T127" i="19"/>
  <c r="AG137" i="19"/>
  <c r="AI137" i="19"/>
  <c r="AG148" i="19"/>
  <c r="AI148" i="19"/>
  <c r="AG163" i="19"/>
  <c r="AI163" i="19"/>
  <c r="AG168" i="19"/>
  <c r="AI168" i="19"/>
  <c r="N10" i="19"/>
  <c r="N49" i="19"/>
  <c r="AC58" i="19"/>
  <c r="N58" i="19"/>
  <c r="T58" i="19"/>
  <c r="N86" i="19"/>
  <c r="AC86" i="19"/>
  <c r="AG104" i="19"/>
  <c r="AI104" i="19"/>
  <c r="AG112" i="19"/>
  <c r="AI112" i="19"/>
  <c r="AE118" i="19"/>
  <c r="T118" i="19"/>
  <c r="AO147" i="19"/>
  <c r="AQ147" i="19"/>
  <c r="AC162" i="19"/>
  <c r="AE162" i="19"/>
  <c r="AO167" i="19"/>
  <c r="AQ167" i="19"/>
  <c r="N19" i="19"/>
  <c r="AE28" i="19"/>
  <c r="T28" i="19"/>
  <c r="N106" i="19"/>
  <c r="T106" i="19"/>
  <c r="AC116" i="19"/>
  <c r="T116" i="19"/>
  <c r="AO143" i="19"/>
  <c r="AQ143" i="19"/>
  <c r="AC147" i="19"/>
  <c r="AE147" i="19"/>
  <c r="AO136" i="19"/>
  <c r="BE143" i="19"/>
  <c r="AG144" i="19"/>
  <c r="AC155" i="19"/>
  <c r="AE155" i="19"/>
  <c r="AO158" i="19"/>
  <c r="AG161" i="19"/>
  <c r="AG165" i="19"/>
  <c r="N3" i="19"/>
  <c r="N7" i="19"/>
  <c r="N14" i="19"/>
  <c r="N45" i="19"/>
  <c r="N66" i="19"/>
  <c r="N68" i="19"/>
  <c r="T76" i="19"/>
  <c r="U76" i="19" s="1"/>
  <c r="AL76" i="19" s="1"/>
  <c r="T77" i="19"/>
  <c r="W77" i="19" s="1"/>
  <c r="T80" i="19"/>
  <c r="T88" i="19"/>
  <c r="W88" i="19" s="1"/>
  <c r="T110" i="19"/>
  <c r="W110" i="19" s="1"/>
  <c r="T114" i="19"/>
  <c r="W114" i="19" s="1"/>
  <c r="N129" i="19"/>
  <c r="AQ136" i="19"/>
  <c r="AO137" i="19"/>
  <c r="AG141" i="19"/>
  <c r="AO142" i="19"/>
  <c r="AG143" i="19"/>
  <c r="BG143" i="19"/>
  <c r="AI144" i="19"/>
  <c r="AO146" i="19"/>
  <c r="BE146" i="19"/>
  <c r="AG147" i="19"/>
  <c r="AO148" i="19"/>
  <c r="BE148" i="19"/>
  <c r="AG149" i="19"/>
  <c r="AG157" i="19"/>
  <c r="AG159" i="19"/>
  <c r="BG160" i="19"/>
  <c r="BE160" i="19"/>
  <c r="AO160" i="19"/>
  <c r="AI161" i="19"/>
  <c r="AG162" i="19"/>
  <c r="AO163" i="19"/>
  <c r="AO164" i="19"/>
  <c r="AI165" i="19"/>
  <c r="AG167" i="19"/>
  <c r="AO168" i="19"/>
  <c r="AG169" i="19"/>
  <c r="AO145" i="19"/>
  <c r="AC30" i="19"/>
  <c r="AI34" i="19"/>
  <c r="AI39" i="19"/>
  <c r="N60" i="19"/>
  <c r="T72" i="19"/>
  <c r="AQ76" i="19"/>
  <c r="N92" i="19"/>
  <c r="N99" i="19"/>
  <c r="T103" i="19"/>
  <c r="W103" i="19" s="1"/>
  <c r="N118" i="19"/>
  <c r="N127" i="19"/>
  <c r="AG136" i="19"/>
  <c r="AO139" i="19"/>
  <c r="AO144" i="19"/>
  <c r="BE147" i="19"/>
  <c r="AO161" i="19"/>
  <c r="BG163" i="19"/>
  <c r="AO165" i="19"/>
  <c r="L43" i="20"/>
  <c r="BE44" i="19"/>
  <c r="BG44" i="19"/>
  <c r="L30" i="20"/>
  <c r="BE31" i="19"/>
  <c r="BG31" i="19"/>
  <c r="L46" i="20"/>
  <c r="BE47" i="19"/>
  <c r="BG47" i="19"/>
  <c r="L56" i="20"/>
  <c r="BE57" i="19"/>
  <c r="BG57" i="19"/>
  <c r="BE98" i="19"/>
  <c r="BG98" i="19"/>
  <c r="L19" i="20"/>
  <c r="BE20" i="19"/>
  <c r="BG20" i="19"/>
  <c r="L22" i="20"/>
  <c r="BE23" i="19"/>
  <c r="BG23" i="19"/>
  <c r="L16" i="20"/>
  <c r="BE17" i="19"/>
  <c r="L26" i="20"/>
  <c r="BE27" i="19"/>
  <c r="BG27" i="19"/>
  <c r="AC29" i="19"/>
  <c r="AE29" i="19"/>
  <c r="L36" i="20"/>
  <c r="BE37" i="19"/>
  <c r="BG37" i="19"/>
  <c r="L53" i="20"/>
  <c r="BE54" i="19"/>
  <c r="BG54" i="19"/>
  <c r="L78" i="20"/>
  <c r="BE79" i="19"/>
  <c r="BG79" i="19"/>
  <c r="N2" i="20"/>
  <c r="BM3" i="19"/>
  <c r="F6" i="20"/>
  <c r="AG7" i="19"/>
  <c r="F8" i="20"/>
  <c r="AG9" i="19"/>
  <c r="F10" i="20"/>
  <c r="AG11" i="19"/>
  <c r="H18" i="20"/>
  <c r="AO19" i="19"/>
  <c r="L28" i="20"/>
  <c r="BE29" i="19"/>
  <c r="F32" i="20"/>
  <c r="AG33" i="19"/>
  <c r="F39" i="20"/>
  <c r="AG40" i="19"/>
  <c r="H53" i="20"/>
  <c r="AO54" i="19"/>
  <c r="F64" i="20"/>
  <c r="AG65" i="19"/>
  <c r="AI65" i="19"/>
  <c r="H66" i="20"/>
  <c r="AO67" i="19"/>
  <c r="H78" i="20"/>
  <c r="AO79" i="19"/>
  <c r="AQ79" i="19"/>
  <c r="H81" i="20"/>
  <c r="AO82" i="19"/>
  <c r="L81" i="20"/>
  <c r="BE82" i="19"/>
  <c r="AG90" i="19"/>
  <c r="AO96" i="19"/>
  <c r="BE97" i="19"/>
  <c r="BG97" i="19"/>
  <c r="BE101" i="19"/>
  <c r="BG101" i="19"/>
  <c r="BE105" i="19"/>
  <c r="AO106" i="19"/>
  <c r="AQ106" i="19"/>
  <c r="AO113" i="19"/>
  <c r="AG117" i="19"/>
  <c r="AI117" i="19"/>
  <c r="AG122" i="19"/>
  <c r="AI122" i="19"/>
  <c r="F4" i="20"/>
  <c r="AG5" i="19"/>
  <c r="L6" i="20"/>
  <c r="BE7" i="19"/>
  <c r="H9" i="20"/>
  <c r="AO10" i="19"/>
  <c r="F12" i="20"/>
  <c r="AG13" i="19"/>
  <c r="AQ19" i="19"/>
  <c r="F22" i="20"/>
  <c r="AG23" i="19"/>
  <c r="E23" i="20"/>
  <c r="AC24" i="19"/>
  <c r="AE24" i="19"/>
  <c r="H24" i="20"/>
  <c r="AO25" i="19"/>
  <c r="H26" i="20"/>
  <c r="AO27" i="19"/>
  <c r="F34" i="20"/>
  <c r="AG35" i="19"/>
  <c r="L35" i="20"/>
  <c r="BE36" i="19"/>
  <c r="F43" i="20"/>
  <c r="AG44" i="19"/>
  <c r="T56" i="19"/>
  <c r="W56" i="19" s="1"/>
  <c r="F60" i="20"/>
  <c r="AG61" i="19"/>
  <c r="F62" i="20"/>
  <c r="AG63" i="19"/>
  <c r="AQ82" i="19"/>
  <c r="AG85" i="19"/>
  <c r="AG88" i="19"/>
  <c r="AI90" i="19"/>
  <c r="AQ96" i="19"/>
  <c r="AO110" i="19"/>
  <c r="AQ110" i="19"/>
  <c r="AQ113" i="19"/>
  <c r="T117" i="19"/>
  <c r="AO132" i="19"/>
  <c r="AQ132" i="19"/>
  <c r="AI5" i="19"/>
  <c r="H5" i="20"/>
  <c r="AO6" i="19"/>
  <c r="F7" i="20"/>
  <c r="AG8" i="19"/>
  <c r="H8" i="20"/>
  <c r="AO9" i="19"/>
  <c r="H12" i="20"/>
  <c r="AO13" i="19"/>
  <c r="H16" i="20"/>
  <c r="AO17" i="19"/>
  <c r="F18" i="20"/>
  <c r="AG19" i="19"/>
  <c r="H19" i="20"/>
  <c r="AO20" i="19"/>
  <c r="H22" i="20"/>
  <c r="AO23" i="19"/>
  <c r="T24" i="19"/>
  <c r="U24" i="19" s="1"/>
  <c r="AL24" i="19" s="1"/>
  <c r="AQ25" i="19"/>
  <c r="N26" i="19"/>
  <c r="AQ27" i="19"/>
  <c r="N28" i="19"/>
  <c r="H28" i="20"/>
  <c r="AO29" i="19"/>
  <c r="BG29" i="19"/>
  <c r="H30" i="20"/>
  <c r="AO31" i="19"/>
  <c r="H32" i="20"/>
  <c r="AO33" i="19"/>
  <c r="AI35" i="19"/>
  <c r="N36" i="19"/>
  <c r="H36" i="20"/>
  <c r="AO37" i="19"/>
  <c r="H39" i="20"/>
  <c r="AO40" i="19"/>
  <c r="L41" i="20"/>
  <c r="BE42" i="19"/>
  <c r="H41" i="20"/>
  <c r="AO42" i="19"/>
  <c r="N43" i="19"/>
  <c r="AI44" i="19"/>
  <c r="L44" i="20"/>
  <c r="BE45" i="19"/>
  <c r="N46" i="19"/>
  <c r="N48" i="19"/>
  <c r="T49" i="19"/>
  <c r="F49" i="20"/>
  <c r="AG50" i="19"/>
  <c r="L51" i="20"/>
  <c r="BE52" i="19"/>
  <c r="N53" i="19"/>
  <c r="F53" i="20"/>
  <c r="AG54" i="19"/>
  <c r="AC62" i="19"/>
  <c r="T62" i="19"/>
  <c r="H63" i="20"/>
  <c r="AO64" i="19"/>
  <c r="AQ64" i="19"/>
  <c r="T84" i="19"/>
  <c r="W84" i="19" s="1"/>
  <c r="N84" i="19"/>
  <c r="AC84" i="19"/>
  <c r="AI85" i="19"/>
  <c r="AG86" i="19"/>
  <c r="AI86" i="19"/>
  <c r="AI88" i="19"/>
  <c r="AO91" i="19"/>
  <c r="AG92" i="19"/>
  <c r="AI92" i="19"/>
  <c r="AG94" i="19"/>
  <c r="AI94" i="19"/>
  <c r="AC97" i="19"/>
  <c r="AE97" i="19"/>
  <c r="AG97" i="19"/>
  <c r="AG111" i="19"/>
  <c r="AE115" i="19"/>
  <c r="AG125" i="19"/>
  <c r="AG128" i="19"/>
  <c r="AG135" i="19"/>
  <c r="AI135" i="19"/>
  <c r="AC13" i="19"/>
  <c r="F16" i="20"/>
  <c r="AG17" i="19"/>
  <c r="L18" i="20"/>
  <c r="BE19" i="19"/>
  <c r="BG19" i="19"/>
  <c r="F28" i="20"/>
  <c r="AG29" i="19"/>
  <c r="F30" i="20"/>
  <c r="AG31" i="19"/>
  <c r="E31" i="20"/>
  <c r="AC32" i="19"/>
  <c r="AE32" i="19"/>
  <c r="F36" i="20"/>
  <c r="AG37" i="19"/>
  <c r="F41" i="20"/>
  <c r="AG42" i="19"/>
  <c r="L47" i="20"/>
  <c r="BE48" i="19"/>
  <c r="H49" i="20"/>
  <c r="AO50" i="19"/>
  <c r="L49" i="20"/>
  <c r="BE50" i="19"/>
  <c r="BE92" i="19"/>
  <c r="T94" i="19"/>
  <c r="W94" i="19" s="1"/>
  <c r="N100" i="19"/>
  <c r="AO105" i="19"/>
  <c r="AO107" i="19"/>
  <c r="AQ107" i="19"/>
  <c r="N131" i="19"/>
  <c r="BE132" i="19"/>
  <c r="BG132" i="19"/>
  <c r="J2" i="20"/>
  <c r="AW3" i="19"/>
  <c r="O2" i="20"/>
  <c r="BQ3" i="19"/>
  <c r="H6" i="20"/>
  <c r="AO7" i="19"/>
  <c r="AI9" i="19"/>
  <c r="T11" i="19"/>
  <c r="H14" i="20"/>
  <c r="AO15" i="19"/>
  <c r="F19" i="20"/>
  <c r="AG20" i="19"/>
  <c r="F20" i="20"/>
  <c r="AG21" i="19"/>
  <c r="L24" i="20"/>
  <c r="BE25" i="19"/>
  <c r="AI29" i="19"/>
  <c r="AI31" i="19"/>
  <c r="T32" i="19"/>
  <c r="AI33" i="19"/>
  <c r="F35" i="20"/>
  <c r="AG36" i="19"/>
  <c r="T38" i="19"/>
  <c r="W38" i="19" s="1"/>
  <c r="AI40" i="19"/>
  <c r="AI42" i="19"/>
  <c r="F44" i="20"/>
  <c r="AG45" i="19"/>
  <c r="H46" i="20"/>
  <c r="AO47" i="19"/>
  <c r="H47" i="20"/>
  <c r="AO48" i="19"/>
  <c r="F51" i="20"/>
  <c r="AG52" i="19"/>
  <c r="AQ54" i="19"/>
  <c r="N61" i="19"/>
  <c r="N63" i="19"/>
  <c r="F65" i="20"/>
  <c r="AG66" i="19"/>
  <c r="AQ67" i="19"/>
  <c r="F70" i="20"/>
  <c r="AG71" i="19"/>
  <c r="H71" i="20"/>
  <c r="AO72" i="19"/>
  <c r="F72" i="20"/>
  <c r="AG73" i="19"/>
  <c r="AI73" i="19"/>
  <c r="AC88" i="19"/>
  <c r="AE88" i="19"/>
  <c r="AO98" i="19"/>
  <c r="AO99" i="19"/>
  <c r="AO101" i="19"/>
  <c r="AQ101" i="19"/>
  <c r="AO121" i="19"/>
  <c r="AQ121" i="19"/>
  <c r="BE129" i="19"/>
  <c r="T130" i="19"/>
  <c r="T131" i="19"/>
  <c r="F2" i="20"/>
  <c r="M2" i="20"/>
  <c r="BI3" i="19"/>
  <c r="H4" i="20"/>
  <c r="AO5" i="19"/>
  <c r="N11" i="19"/>
  <c r="F11" i="20"/>
  <c r="AG12" i="19"/>
  <c r="N13" i="19"/>
  <c r="F14" i="20"/>
  <c r="AG15" i="19"/>
  <c r="T16" i="19"/>
  <c r="W16" i="19" s="1"/>
  <c r="AQ17" i="19"/>
  <c r="AI19" i="19"/>
  <c r="H20" i="20"/>
  <c r="AO21" i="19"/>
  <c r="F24" i="20"/>
  <c r="AG25" i="19"/>
  <c r="F26" i="20"/>
  <c r="AG27" i="19"/>
  <c r="N32" i="19"/>
  <c r="H34" i="20"/>
  <c r="AO35" i="19"/>
  <c r="H35" i="20"/>
  <c r="AO36" i="19"/>
  <c r="BG36" i="19"/>
  <c r="N37" i="19"/>
  <c r="N38" i="19"/>
  <c r="H43" i="20"/>
  <c r="AO44" i="19"/>
  <c r="H44" i="20"/>
  <c r="AO45" i="19"/>
  <c r="F46" i="20"/>
  <c r="AG47" i="19"/>
  <c r="F47" i="20"/>
  <c r="AG48" i="19"/>
  <c r="H51" i="20"/>
  <c r="AO52" i="19"/>
  <c r="E52" i="20"/>
  <c r="AC53" i="19"/>
  <c r="AE53" i="19"/>
  <c r="N56" i="19"/>
  <c r="H56" i="20"/>
  <c r="AO57" i="19"/>
  <c r="F58" i="20"/>
  <c r="AG59" i="19"/>
  <c r="L59" i="20"/>
  <c r="BE60" i="19"/>
  <c r="BG60" i="19"/>
  <c r="H59" i="20"/>
  <c r="AO60" i="19"/>
  <c r="AQ60" i="19"/>
  <c r="H68" i="20"/>
  <c r="AO69" i="19"/>
  <c r="F76" i="20"/>
  <c r="AG77" i="19"/>
  <c r="T82" i="19"/>
  <c r="W82" i="19" s="1"/>
  <c r="N82" i="19"/>
  <c r="AC82" i="19"/>
  <c r="BE88" i="19"/>
  <c r="BG88" i="19"/>
  <c r="AQ91" i="19"/>
  <c r="T92" i="19"/>
  <c r="W92" i="19" s="1"/>
  <c r="BG92" i="19"/>
  <c r="N94" i="19"/>
  <c r="AI97" i="19"/>
  <c r="T105" i="19"/>
  <c r="N105" i="19"/>
  <c r="AC105" i="19"/>
  <c r="T113" i="19"/>
  <c r="AC113" i="19"/>
  <c r="AO118" i="19"/>
  <c r="AQ118" i="19"/>
  <c r="AO119" i="19"/>
  <c r="AQ119" i="19"/>
  <c r="AG123" i="19"/>
  <c r="AI123" i="19"/>
  <c r="BE124" i="19"/>
  <c r="N125" i="19"/>
  <c r="AI125" i="19"/>
  <c r="AI128" i="19"/>
  <c r="AG129" i="19"/>
  <c r="AI129" i="19"/>
  <c r="AG133" i="19"/>
  <c r="AI133" i="19"/>
  <c r="F56" i="20"/>
  <c r="AG57" i="19"/>
  <c r="F57" i="20"/>
  <c r="AG58" i="19"/>
  <c r="H58" i="20"/>
  <c r="AO59" i="19"/>
  <c r="H65" i="20"/>
  <c r="AO66" i="19"/>
  <c r="BG66" i="19"/>
  <c r="N67" i="19"/>
  <c r="F66" i="20"/>
  <c r="AG67" i="19"/>
  <c r="F67" i="20"/>
  <c r="AG68" i="19"/>
  <c r="N69" i="19"/>
  <c r="F69" i="20"/>
  <c r="AG70" i="19"/>
  <c r="H70" i="20"/>
  <c r="AO71" i="19"/>
  <c r="N74" i="19"/>
  <c r="F73" i="20"/>
  <c r="AG74" i="19"/>
  <c r="L76" i="20"/>
  <c r="BE77" i="19"/>
  <c r="H76" i="20"/>
  <c r="AO77" i="19"/>
  <c r="BG77" i="19"/>
  <c r="N78" i="19"/>
  <c r="N80" i="19"/>
  <c r="AG83" i="19"/>
  <c r="AG84" i="19"/>
  <c r="AO85" i="19"/>
  <c r="BF87" i="19"/>
  <c r="AO88" i="19"/>
  <c r="AO90" i="19"/>
  <c r="BE91" i="19"/>
  <c r="AG91" i="19"/>
  <c r="N96" i="19"/>
  <c r="AG96" i="19"/>
  <c r="AO97" i="19"/>
  <c r="AG98" i="19"/>
  <c r="AG99" i="19"/>
  <c r="N103" i="19"/>
  <c r="AO109" i="19"/>
  <c r="AO111" i="19"/>
  <c r="N116" i="19"/>
  <c r="AC120" i="19"/>
  <c r="N124" i="19"/>
  <c r="AO128" i="19"/>
  <c r="N133" i="19"/>
  <c r="N135" i="19"/>
  <c r="N136" i="19"/>
  <c r="AI57" i="19"/>
  <c r="F59" i="20"/>
  <c r="AG60" i="19"/>
  <c r="H61" i="20"/>
  <c r="AO62" i="19"/>
  <c r="F63" i="20"/>
  <c r="AG64" i="19"/>
  <c r="H64" i="20"/>
  <c r="AO65" i="19"/>
  <c r="H72" i="20"/>
  <c r="AO73" i="19"/>
  <c r="F78" i="20"/>
  <c r="AG79" i="19"/>
  <c r="BE83" i="19"/>
  <c r="AO84" i="19"/>
  <c r="AO86" i="19"/>
  <c r="N91" i="19"/>
  <c r="AO92" i="19"/>
  <c r="AO94" i="19"/>
  <c r="BE99" i="19"/>
  <c r="AG101" i="19"/>
  <c r="BE107" i="19"/>
  <c r="AG107" i="19"/>
  <c r="AG113" i="19"/>
  <c r="BE119" i="19"/>
  <c r="AG119" i="19"/>
  <c r="AO124" i="19"/>
  <c r="AO129" i="19"/>
  <c r="AG132" i="19"/>
  <c r="AO133" i="19"/>
  <c r="AO135" i="19"/>
  <c r="K3" i="20"/>
  <c r="BA4" i="19"/>
  <c r="J4" i="20"/>
  <c r="AW5" i="19"/>
  <c r="O4" i="20"/>
  <c r="BQ5" i="19"/>
  <c r="K5" i="20"/>
  <c r="BA6" i="19"/>
  <c r="K4" i="20"/>
  <c r="BA5" i="19"/>
  <c r="M4" i="20"/>
  <c r="BI5" i="19"/>
  <c r="N5" i="20"/>
  <c r="BM6" i="19"/>
  <c r="M5" i="20"/>
  <c r="BI6" i="19"/>
  <c r="J3" i="20"/>
  <c r="AW4" i="19"/>
  <c r="N3" i="20"/>
  <c r="BM4" i="19"/>
  <c r="O5" i="20"/>
  <c r="BQ6" i="19"/>
  <c r="K6" i="20"/>
  <c r="BA7" i="19"/>
  <c r="J7" i="20"/>
  <c r="AW8" i="19"/>
  <c r="M9" i="20"/>
  <c r="BI10" i="19"/>
  <c r="M11" i="20"/>
  <c r="BI12" i="19"/>
  <c r="O14" i="20"/>
  <c r="BQ15" i="19"/>
  <c r="O15" i="20"/>
  <c r="BQ16" i="19"/>
  <c r="N16" i="20"/>
  <c r="BM17" i="19"/>
  <c r="O20" i="20"/>
  <c r="BQ21" i="19"/>
  <c r="O21" i="20"/>
  <c r="BQ22" i="19"/>
  <c r="N23" i="20"/>
  <c r="BM24" i="19"/>
  <c r="J24" i="20"/>
  <c r="AW25" i="19"/>
  <c r="N26" i="20"/>
  <c r="BM27" i="19"/>
  <c r="O29" i="20"/>
  <c r="BQ30" i="19"/>
  <c r="J30" i="20"/>
  <c r="AW31" i="19"/>
  <c r="O31" i="20"/>
  <c r="BQ32" i="19"/>
  <c r="K32" i="20"/>
  <c r="BA33" i="19"/>
  <c r="J37" i="20"/>
  <c r="AW38" i="19"/>
  <c r="K46" i="20"/>
  <c r="BA47" i="19"/>
  <c r="O50" i="20"/>
  <c r="BQ51" i="19"/>
  <c r="M52" i="20"/>
  <c r="BI53" i="19"/>
  <c r="N54" i="20"/>
  <c r="BM55" i="19"/>
  <c r="M55" i="20"/>
  <c r="BI56" i="19"/>
  <c r="J57" i="20"/>
  <c r="AW58" i="19"/>
  <c r="O58" i="20"/>
  <c r="BQ59" i="19"/>
  <c r="J59" i="20"/>
  <c r="AW60" i="19"/>
  <c r="M62" i="20"/>
  <c r="BI63" i="19"/>
  <c r="K63" i="20"/>
  <c r="BA64" i="19"/>
  <c r="J65" i="20"/>
  <c r="AW66" i="19"/>
  <c r="O67" i="20"/>
  <c r="BQ68" i="19"/>
  <c r="J69" i="20"/>
  <c r="AW70" i="19"/>
  <c r="J70" i="20"/>
  <c r="AW71" i="19"/>
  <c r="M75" i="20"/>
  <c r="BI76" i="19"/>
  <c r="J76" i="20"/>
  <c r="AW77" i="19"/>
  <c r="K78" i="20"/>
  <c r="BA79" i="19"/>
  <c r="M80" i="20"/>
  <c r="BI81" i="19"/>
  <c r="K81" i="20"/>
  <c r="BA82" i="19"/>
  <c r="AW88" i="19"/>
  <c r="BA89" i="19"/>
  <c r="AW97" i="19"/>
  <c r="BA105" i="19"/>
  <c r="BM108" i="19"/>
  <c r="AW109" i="19"/>
  <c r="BA112" i="19"/>
  <c r="BM114" i="19"/>
  <c r="BQ115" i="19"/>
  <c r="BM120" i="19"/>
  <c r="AW122" i="19"/>
  <c r="BM123" i="19"/>
  <c r="BQ127" i="19"/>
  <c r="AW137" i="19"/>
  <c r="BI141" i="19"/>
  <c r="BQ142" i="19"/>
  <c r="BM143" i="19"/>
  <c r="AW146" i="19"/>
  <c r="AW148" i="19"/>
  <c r="BM150" i="19"/>
  <c r="BQ157" i="19"/>
  <c r="AW159" i="19"/>
  <c r="AW160" i="19"/>
  <c r="BI163" i="19"/>
  <c r="BQ164" i="19"/>
  <c r="BM165" i="19"/>
  <c r="M8" i="20"/>
  <c r="BI9" i="19"/>
  <c r="K12" i="20"/>
  <c r="BA13" i="19"/>
  <c r="M13" i="20"/>
  <c r="BI14" i="19"/>
  <c r="K16" i="20"/>
  <c r="BA17" i="19"/>
  <c r="M18" i="20"/>
  <c r="BI19" i="19"/>
  <c r="J19" i="20"/>
  <c r="AW20" i="19"/>
  <c r="K21" i="20"/>
  <c r="BA22" i="19"/>
  <c r="J22" i="20"/>
  <c r="AW23" i="19"/>
  <c r="K24" i="20"/>
  <c r="BA25" i="19"/>
  <c r="M25" i="20"/>
  <c r="BI26" i="19"/>
  <c r="N30" i="20"/>
  <c r="BM31" i="19"/>
  <c r="K36" i="20"/>
  <c r="BA37" i="19"/>
  <c r="O38" i="20"/>
  <c r="BQ39" i="19"/>
  <c r="K39" i="20"/>
  <c r="BA40" i="19"/>
  <c r="J41" i="20"/>
  <c r="AW42" i="19"/>
  <c r="M42" i="20"/>
  <c r="BI43" i="19"/>
  <c r="J43" i="20"/>
  <c r="AW44" i="19"/>
  <c r="M45" i="20"/>
  <c r="BI46" i="19"/>
  <c r="J51" i="20"/>
  <c r="AW52" i="19"/>
  <c r="N52" i="20"/>
  <c r="BM53" i="19"/>
  <c r="N55" i="20"/>
  <c r="BM56" i="19"/>
  <c r="K59" i="20"/>
  <c r="BA60" i="19"/>
  <c r="N60" i="20"/>
  <c r="BM61" i="19"/>
  <c r="O61" i="20"/>
  <c r="BQ62" i="19"/>
  <c r="M63" i="20"/>
  <c r="BI64" i="19"/>
  <c r="K65" i="20"/>
  <c r="BA66" i="19"/>
  <c r="K70" i="20"/>
  <c r="BA71" i="19"/>
  <c r="N71" i="20"/>
  <c r="BM72" i="19"/>
  <c r="O73" i="20"/>
  <c r="BQ74" i="19"/>
  <c r="O74" i="20"/>
  <c r="BQ75" i="19"/>
  <c r="N75" i="20"/>
  <c r="BM76" i="19"/>
  <c r="K76" i="20"/>
  <c r="BA77" i="19"/>
  <c r="AW83" i="19"/>
  <c r="BQ83" i="19"/>
  <c r="BQ88" i="19"/>
  <c r="BA90" i="19"/>
  <c r="BM90" i="19"/>
  <c r="AW92" i="19"/>
  <c r="AW94" i="19"/>
  <c r="BA97" i="19"/>
  <c r="BQ108" i="19"/>
  <c r="BA109" i="19"/>
  <c r="BI112" i="19"/>
  <c r="AW114" i="19"/>
  <c r="BI116" i="19"/>
  <c r="BA117" i="19"/>
  <c r="BQ120" i="19"/>
  <c r="BQ123" i="19"/>
  <c r="BQ130" i="19"/>
  <c r="BI131" i="19"/>
  <c r="AW135" i="19"/>
  <c r="BI136" i="19"/>
  <c r="BA137" i="19"/>
  <c r="BM138" i="19"/>
  <c r="BQ139" i="19"/>
  <c r="AW144" i="19"/>
  <c r="BI145" i="19"/>
  <c r="BM146" i="19"/>
  <c r="BI147" i="19"/>
  <c r="BA148" i="19"/>
  <c r="BQ150" i="19"/>
  <c r="BI152" i="19"/>
  <c r="BI153" i="19"/>
  <c r="BM161" i="19"/>
  <c r="BQ162" i="19"/>
  <c r="BA168" i="19"/>
  <c r="AW169" i="19"/>
  <c r="BQ169" i="19"/>
  <c r="M7" i="20"/>
  <c r="BI8" i="19"/>
  <c r="O9" i="20"/>
  <c r="BQ10" i="19"/>
  <c r="J10" i="20"/>
  <c r="AW11" i="19"/>
  <c r="O10" i="20"/>
  <c r="BQ11" i="19"/>
  <c r="O11" i="20"/>
  <c r="BQ12" i="19"/>
  <c r="N13" i="20"/>
  <c r="BM14" i="19"/>
  <c r="M14" i="20"/>
  <c r="BI15" i="19"/>
  <c r="M15" i="20"/>
  <c r="BI16" i="19"/>
  <c r="J18" i="20"/>
  <c r="AW19" i="19"/>
  <c r="K19" i="20"/>
  <c r="BA20" i="19"/>
  <c r="N19" i="20"/>
  <c r="BM20" i="19"/>
  <c r="M21" i="20"/>
  <c r="BI22" i="19"/>
  <c r="K22" i="20"/>
  <c r="BA23" i="19"/>
  <c r="N22" i="20"/>
  <c r="BM23" i="19"/>
  <c r="N25" i="20"/>
  <c r="BM26" i="19"/>
  <c r="M29" i="20"/>
  <c r="BI30" i="19"/>
  <c r="M31" i="20"/>
  <c r="BI32" i="19"/>
  <c r="K33" i="20"/>
  <c r="BA34" i="19"/>
  <c r="K34" i="20"/>
  <c r="BA35" i="19"/>
  <c r="O35" i="20"/>
  <c r="BQ36" i="19"/>
  <c r="O40" i="20"/>
  <c r="BQ41" i="19"/>
  <c r="K41" i="20"/>
  <c r="BA42" i="19"/>
  <c r="N42" i="20"/>
  <c r="BM43" i="19"/>
  <c r="K43" i="20"/>
  <c r="BA44" i="19"/>
  <c r="K44" i="20"/>
  <c r="BA45" i="19"/>
  <c r="N45" i="20"/>
  <c r="BM46" i="19"/>
  <c r="M48" i="20"/>
  <c r="BI49" i="19"/>
  <c r="J49" i="20"/>
  <c r="AW50" i="19"/>
  <c r="M50" i="20"/>
  <c r="BI51" i="19"/>
  <c r="K51" i="20"/>
  <c r="BA52" i="19"/>
  <c r="O52" i="20"/>
  <c r="BQ53" i="19"/>
  <c r="J53" i="20"/>
  <c r="AW54" i="19"/>
  <c r="O55" i="20"/>
  <c r="BQ56" i="19"/>
  <c r="J56" i="20"/>
  <c r="AW57" i="19"/>
  <c r="M57" i="20"/>
  <c r="BI58" i="19"/>
  <c r="M58" i="20"/>
  <c r="BI59" i="19"/>
  <c r="J60" i="20"/>
  <c r="AW61" i="19"/>
  <c r="O60" i="20"/>
  <c r="BQ61" i="19"/>
  <c r="J62" i="20"/>
  <c r="AW63" i="19"/>
  <c r="O62" i="20"/>
  <c r="BQ63" i="19"/>
  <c r="K64" i="20"/>
  <c r="BA65" i="19"/>
  <c r="N64" i="20"/>
  <c r="BM65" i="19"/>
  <c r="J66" i="20"/>
  <c r="AW67" i="19"/>
  <c r="M67" i="20"/>
  <c r="BI68" i="19"/>
  <c r="N68" i="20"/>
  <c r="BM69" i="19"/>
  <c r="M69" i="20"/>
  <c r="BI70" i="19"/>
  <c r="M70" i="20"/>
  <c r="BI71" i="19"/>
  <c r="K71" i="20"/>
  <c r="BA72" i="19"/>
  <c r="O71" i="20"/>
  <c r="BQ72" i="19"/>
  <c r="K72" i="20"/>
  <c r="BA73" i="19"/>
  <c r="K73" i="20"/>
  <c r="BA74" i="19"/>
  <c r="J75" i="20"/>
  <c r="AW76" i="19"/>
  <c r="O75" i="20"/>
  <c r="BQ76" i="19"/>
  <c r="K77" i="20"/>
  <c r="BA78" i="19"/>
  <c r="O77" i="20"/>
  <c r="BQ78" i="19"/>
  <c r="O80" i="20"/>
  <c r="BQ81" i="19"/>
  <c r="BA83" i="19"/>
  <c r="BA86" i="19"/>
  <c r="BI89" i="19"/>
  <c r="AW91" i="19"/>
  <c r="BA92" i="19"/>
  <c r="BM92" i="19"/>
  <c r="BA94" i="19"/>
  <c r="AW96" i="19"/>
  <c r="AW98" i="19"/>
  <c r="AW99" i="19"/>
  <c r="BM100" i="19"/>
  <c r="AW103" i="19"/>
  <c r="BQ104" i="19"/>
  <c r="BI106" i="19"/>
  <c r="BA108" i="19"/>
  <c r="BI110" i="19"/>
  <c r="BI115" i="19"/>
  <c r="AW116" i="19"/>
  <c r="BM116" i="19"/>
  <c r="BI117" i="19"/>
  <c r="BI118" i="19"/>
  <c r="BA120" i="19"/>
  <c r="BM121" i="19"/>
  <c r="BI122" i="19"/>
  <c r="AW124" i="19"/>
  <c r="BM124" i="19"/>
  <c r="BI126" i="19"/>
  <c r="BI127" i="19"/>
  <c r="BA129" i="19"/>
  <c r="BM131" i="19"/>
  <c r="BA133" i="19"/>
  <c r="BA135" i="19"/>
  <c r="AW136" i="19"/>
  <c r="AW138" i="19"/>
  <c r="BQ138" i="19"/>
  <c r="AW140" i="19"/>
  <c r="BQ140" i="19"/>
  <c r="AW141" i="19"/>
  <c r="BQ141" i="19"/>
  <c r="BI142" i="19"/>
  <c r="BA144" i="19"/>
  <c r="BM145" i="19"/>
  <c r="AW147" i="19"/>
  <c r="BI151" i="19"/>
  <c r="BM152" i="19"/>
  <c r="BM153" i="19"/>
  <c r="BQ154" i="19"/>
  <c r="BI155" i="19"/>
  <c r="BM156" i="19"/>
  <c r="BI157" i="19"/>
  <c r="BM158" i="19"/>
  <c r="BI159" i="19"/>
  <c r="BI160" i="19"/>
  <c r="AW161" i="19"/>
  <c r="BA163" i="19"/>
  <c r="BQ163" i="19"/>
  <c r="BI164" i="19"/>
  <c r="BA165" i="19"/>
  <c r="AW167" i="19"/>
  <c r="BQ167" i="19"/>
  <c r="O7" i="20"/>
  <c r="BQ8" i="19"/>
  <c r="K8" i="20"/>
  <c r="BA9" i="19"/>
  <c r="M10" i="20"/>
  <c r="BI11" i="19"/>
  <c r="K14" i="20"/>
  <c r="BA15" i="19"/>
  <c r="J16" i="20"/>
  <c r="AW17" i="19"/>
  <c r="J20" i="20"/>
  <c r="AW21" i="19"/>
  <c r="J23" i="20"/>
  <c r="AW24" i="19"/>
  <c r="K26" i="20"/>
  <c r="BA27" i="19"/>
  <c r="J28" i="20"/>
  <c r="AW29" i="19"/>
  <c r="K29" i="20"/>
  <c r="BA30" i="19"/>
  <c r="N34" i="20"/>
  <c r="BM35" i="19"/>
  <c r="J36" i="20"/>
  <c r="AW37" i="19"/>
  <c r="N37" i="20"/>
  <c r="BM38" i="19"/>
  <c r="N38" i="20"/>
  <c r="BM39" i="19"/>
  <c r="J39" i="20"/>
  <c r="AW40" i="19"/>
  <c r="M40" i="20"/>
  <c r="BI41" i="19"/>
  <c r="K47" i="20"/>
  <c r="BA48" i="19"/>
  <c r="O48" i="20"/>
  <c r="BQ49" i="19"/>
  <c r="O57" i="20"/>
  <c r="BQ58" i="19"/>
  <c r="J58" i="20"/>
  <c r="AW59" i="19"/>
  <c r="M60" i="20"/>
  <c r="BI61" i="19"/>
  <c r="N61" i="20"/>
  <c r="BM62" i="19"/>
  <c r="J67" i="20"/>
  <c r="AW68" i="19"/>
  <c r="O69" i="20"/>
  <c r="BQ70" i="19"/>
  <c r="O70" i="20"/>
  <c r="BQ71" i="19"/>
  <c r="M71" i="20"/>
  <c r="BI72" i="19"/>
  <c r="N72" i="20"/>
  <c r="BM73" i="19"/>
  <c r="N74" i="20"/>
  <c r="BM75" i="19"/>
  <c r="M77" i="20"/>
  <c r="BI78" i="19"/>
  <c r="N78" i="20"/>
  <c r="BM79" i="19"/>
  <c r="BA85" i="19"/>
  <c r="BM86" i="19"/>
  <c r="BQ89" i="19"/>
  <c r="AW90" i="19"/>
  <c r="BA101" i="19"/>
  <c r="BI104" i="19"/>
  <c r="BQ106" i="19"/>
  <c r="BQ107" i="19"/>
  <c r="BQ110" i="19"/>
  <c r="BA111" i="19"/>
  <c r="BA113" i="19"/>
  <c r="BA115" i="19"/>
  <c r="BQ117" i="19"/>
  <c r="BQ118" i="19"/>
  <c r="BQ119" i="19"/>
  <c r="BA121" i="19"/>
  <c r="BQ122" i="19"/>
  <c r="BA125" i="19"/>
  <c r="BQ126" i="19"/>
  <c r="AW127" i="19"/>
  <c r="AW128" i="19"/>
  <c r="BM130" i="19"/>
  <c r="BA132" i="19"/>
  <c r="BM135" i="19"/>
  <c r="BI138" i="19"/>
  <c r="BM139" i="19"/>
  <c r="BI140" i="19"/>
  <c r="BA142" i="19"/>
  <c r="BA143" i="19"/>
  <c r="BA149" i="19"/>
  <c r="BQ151" i="19"/>
  <c r="BI154" i="19"/>
  <c r="BQ155" i="19"/>
  <c r="AW157" i="19"/>
  <c r="BQ159" i="19"/>
  <c r="BQ160" i="19"/>
  <c r="BM162" i="19"/>
  <c r="BA164" i="19"/>
  <c r="BI167" i="19"/>
  <c r="AW168" i="19"/>
  <c r="BM169" i="19"/>
  <c r="N9" i="20"/>
  <c r="BM10" i="19"/>
  <c r="N10" i="20"/>
  <c r="BM11" i="19"/>
  <c r="K15" i="20"/>
  <c r="BA16" i="19"/>
  <c r="O23" i="20"/>
  <c r="BQ24" i="19"/>
  <c r="O24" i="20"/>
  <c r="BQ25" i="19"/>
  <c r="O28" i="20"/>
  <c r="BQ29" i="19"/>
  <c r="K30" i="20"/>
  <c r="BA31" i="19"/>
  <c r="M32" i="20"/>
  <c r="BI33" i="19"/>
  <c r="O33" i="20"/>
  <c r="BQ34" i="19"/>
  <c r="J34" i="20"/>
  <c r="AW35" i="19"/>
  <c r="J35" i="20"/>
  <c r="AW36" i="19"/>
  <c r="N36" i="20"/>
  <c r="BM37" i="19"/>
  <c r="N40" i="20"/>
  <c r="BM41" i="19"/>
  <c r="J44" i="20"/>
  <c r="AW45" i="19"/>
  <c r="O54" i="20"/>
  <c r="BQ55" i="19"/>
  <c r="K58" i="20"/>
  <c r="BA59" i="19"/>
  <c r="N59" i="20"/>
  <c r="BM60" i="19"/>
  <c r="K61" i="20"/>
  <c r="BA62" i="19"/>
  <c r="N62" i="20"/>
  <c r="BM63" i="19"/>
  <c r="J64" i="20"/>
  <c r="AW65" i="19"/>
  <c r="O65" i="20"/>
  <c r="BQ66" i="19"/>
  <c r="M68" i="20"/>
  <c r="BI69" i="19"/>
  <c r="J72" i="20"/>
  <c r="AW73" i="19"/>
  <c r="J73" i="20"/>
  <c r="AW74" i="19"/>
  <c r="O76" i="20"/>
  <c r="BQ77" i="19"/>
  <c r="N77" i="20"/>
  <c r="BM78" i="19"/>
  <c r="N80" i="20"/>
  <c r="BM81" i="19"/>
  <c r="BI85" i="19"/>
  <c r="AW86" i="19"/>
  <c r="BQ94" i="19"/>
  <c r="BI100" i="19"/>
  <c r="BM103" i="19"/>
  <c r="BI111" i="19"/>
  <c r="BQ114" i="19"/>
  <c r="BA122" i="19"/>
  <c r="BI125" i="19"/>
  <c r="BA128" i="19"/>
  <c r="AW129" i="19"/>
  <c r="AW133" i="19"/>
  <c r="BM137" i="19"/>
  <c r="BA139" i="19"/>
  <c r="BM140" i="19"/>
  <c r="BQ144" i="19"/>
  <c r="BA146" i="19"/>
  <c r="BM148" i="19"/>
  <c r="BM154" i="19"/>
  <c r="BI156" i="19"/>
  <c r="BI158" i="19"/>
  <c r="BA160" i="19"/>
  <c r="AW162" i="19"/>
  <c r="AW163" i="19"/>
  <c r="AW165" i="19"/>
  <c r="J6" i="20"/>
  <c r="AW7" i="19"/>
  <c r="N6" i="20"/>
  <c r="BM7" i="19"/>
  <c r="N7" i="20"/>
  <c r="BM8" i="19"/>
  <c r="J8" i="20"/>
  <c r="AW9" i="19"/>
  <c r="O8" i="20"/>
  <c r="BQ9" i="19"/>
  <c r="K9" i="20"/>
  <c r="BA10" i="19"/>
  <c r="K11" i="20"/>
  <c r="BA12" i="19"/>
  <c r="J13" i="20"/>
  <c r="AW14" i="19"/>
  <c r="O13" i="20"/>
  <c r="BQ14" i="19"/>
  <c r="J14" i="20"/>
  <c r="AW15" i="19"/>
  <c r="N15" i="20"/>
  <c r="BM16" i="19"/>
  <c r="K18" i="20"/>
  <c r="BA19" i="19"/>
  <c r="O18" i="20"/>
  <c r="BQ19" i="19"/>
  <c r="N21" i="20"/>
  <c r="BM22" i="19"/>
  <c r="M23" i="20"/>
  <c r="BI24" i="19"/>
  <c r="M24" i="20"/>
  <c r="BI25" i="19"/>
  <c r="K25" i="20"/>
  <c r="BA26" i="19"/>
  <c r="O25" i="20"/>
  <c r="BQ26" i="19"/>
  <c r="J26" i="20"/>
  <c r="AW27" i="19"/>
  <c r="J27" i="20"/>
  <c r="AW28" i="19"/>
  <c r="N27" i="20"/>
  <c r="BM28" i="19"/>
  <c r="N29" i="20"/>
  <c r="BM30" i="19"/>
  <c r="J31" i="20"/>
  <c r="AW32" i="19"/>
  <c r="N31" i="20"/>
  <c r="BM32" i="19"/>
  <c r="J32" i="20"/>
  <c r="AW33" i="19"/>
  <c r="M33" i="20"/>
  <c r="BI34" i="19"/>
  <c r="M38" i="20"/>
  <c r="BI39" i="19"/>
  <c r="N39" i="20"/>
  <c r="BM40" i="19"/>
  <c r="O42" i="20"/>
  <c r="BQ43" i="19"/>
  <c r="O45" i="20"/>
  <c r="BQ46" i="19"/>
  <c r="J46" i="20"/>
  <c r="AW47" i="19"/>
  <c r="J47" i="20"/>
  <c r="AW48" i="19"/>
  <c r="N48" i="20"/>
  <c r="BM49" i="19"/>
  <c r="K49" i="20"/>
  <c r="BA50" i="19"/>
  <c r="N50" i="20"/>
  <c r="BM51" i="19"/>
  <c r="K53" i="20"/>
  <c r="BA54" i="19"/>
  <c r="M54" i="20"/>
  <c r="BI55" i="19"/>
  <c r="K56" i="20"/>
  <c r="BA57" i="19"/>
  <c r="N56" i="20"/>
  <c r="BM57" i="19"/>
  <c r="N57" i="20"/>
  <c r="BM58" i="19"/>
  <c r="M61" i="20"/>
  <c r="BI62" i="19"/>
  <c r="J63" i="20"/>
  <c r="AW64" i="19"/>
  <c r="O63" i="20"/>
  <c r="BQ64" i="19"/>
  <c r="M65" i="20"/>
  <c r="BI66" i="19"/>
  <c r="K66" i="20"/>
  <c r="BA67" i="19"/>
  <c r="N66" i="20"/>
  <c r="BM67" i="19"/>
  <c r="N67" i="20"/>
  <c r="BM68" i="19"/>
  <c r="K68" i="20"/>
  <c r="BA69" i="19"/>
  <c r="O68" i="20"/>
  <c r="BQ69" i="19"/>
  <c r="N69" i="20"/>
  <c r="BM70" i="19"/>
  <c r="M73" i="20"/>
  <c r="BI74" i="19"/>
  <c r="M74" i="20"/>
  <c r="BI75" i="19"/>
  <c r="M76" i="20"/>
  <c r="BI77" i="19"/>
  <c r="J78" i="20"/>
  <c r="AW79" i="19"/>
  <c r="J79" i="20"/>
  <c r="AW80" i="19"/>
  <c r="N79" i="20"/>
  <c r="BM80" i="19"/>
  <c r="J81" i="20"/>
  <c r="AW82" i="19"/>
  <c r="N81" i="20"/>
  <c r="BM82" i="19"/>
  <c r="BI83" i="19"/>
  <c r="BA84" i="19"/>
  <c r="AW85" i="19"/>
  <c r="AW87" i="19"/>
  <c r="BM87" i="19"/>
  <c r="BM89" i="19"/>
  <c r="BQ91" i="19"/>
  <c r="BI94" i="19"/>
  <c r="BA96" i="19"/>
  <c r="BM96" i="19"/>
  <c r="BA98" i="19"/>
  <c r="BA99" i="19"/>
  <c r="BQ100" i="19"/>
  <c r="AW101" i="19"/>
  <c r="AW105" i="19"/>
  <c r="BM105" i="19"/>
  <c r="BM106" i="19"/>
  <c r="AW107" i="19"/>
  <c r="BI108" i="19"/>
  <c r="BM109" i="19"/>
  <c r="BM110" i="19"/>
  <c r="AW111" i="19"/>
  <c r="BQ112" i="19"/>
  <c r="BI114" i="19"/>
  <c r="BM115" i="19"/>
  <c r="BQ116" i="19"/>
  <c r="BM118" i="19"/>
  <c r="AW119" i="19"/>
  <c r="BI120" i="19"/>
  <c r="AW121" i="19"/>
  <c r="BI123" i="19"/>
  <c r="BA124" i="19"/>
  <c r="AW125" i="19"/>
  <c r="BQ125" i="19"/>
  <c r="BM126" i="19"/>
  <c r="BM127" i="19"/>
  <c r="BI130" i="19"/>
  <c r="BQ131" i="19"/>
  <c r="AW132" i="19"/>
  <c r="BA136" i="19"/>
  <c r="BQ136" i="19"/>
  <c r="BI139" i="19"/>
  <c r="BA141" i="19"/>
  <c r="BM142" i="19"/>
  <c r="AW143" i="19"/>
  <c r="BI144" i="19"/>
  <c r="BA145" i="19"/>
  <c r="BQ145" i="19"/>
  <c r="BA147" i="19"/>
  <c r="BQ147" i="19"/>
  <c r="AW149" i="19"/>
  <c r="BI150" i="19"/>
  <c r="BM151" i="19"/>
  <c r="BQ152" i="19"/>
  <c r="BQ153" i="19"/>
  <c r="BM155" i="19"/>
  <c r="BQ156" i="19"/>
  <c r="BM157" i="19"/>
  <c r="BA158" i="19"/>
  <c r="BQ158" i="19"/>
  <c r="BM159" i="19"/>
  <c r="BA161" i="19"/>
  <c r="BI162" i="19"/>
  <c r="BM164" i="19"/>
  <c r="BA167" i="19"/>
  <c r="BM168" i="19"/>
  <c r="BI169" i="19"/>
  <c r="H3" i="20"/>
  <c r="AO4" i="19"/>
  <c r="F5" i="20"/>
  <c r="AI6" i="19"/>
  <c r="K20" i="20"/>
  <c r="T23" i="19"/>
  <c r="W23" i="19" s="1"/>
  <c r="AC23" i="19"/>
  <c r="N23" i="19"/>
  <c r="L25" i="20"/>
  <c r="BG26" i="19"/>
  <c r="J33" i="20"/>
  <c r="M35" i="20"/>
  <c r="H42" i="20"/>
  <c r="AQ43" i="19"/>
  <c r="J45" i="20"/>
  <c r="N51" i="20"/>
  <c r="M81" i="20"/>
  <c r="F3" i="20"/>
  <c r="AI4" i="19"/>
  <c r="J5" i="20"/>
  <c r="M6" i="20"/>
  <c r="T9" i="19"/>
  <c r="L10" i="20"/>
  <c r="BG11" i="19"/>
  <c r="N11" i="20"/>
  <c r="N12" i="20"/>
  <c r="F15" i="20"/>
  <c r="AI16" i="19"/>
  <c r="M20" i="20"/>
  <c r="F25" i="20"/>
  <c r="AI26" i="19"/>
  <c r="T31" i="19"/>
  <c r="W31" i="19" s="1"/>
  <c r="AC31" i="19"/>
  <c r="N31" i="19"/>
  <c r="N33" i="20"/>
  <c r="K35" i="20"/>
  <c r="O37" i="20"/>
  <c r="K38" i="20"/>
  <c r="N43" i="20"/>
  <c r="L45" i="20"/>
  <c r="BG46" i="19"/>
  <c r="M49" i="20"/>
  <c r="L52" i="20"/>
  <c r="BG53" i="19"/>
  <c r="N58" i="20"/>
  <c r="H73" i="20"/>
  <c r="AQ74" i="19"/>
  <c r="T90" i="19"/>
  <c r="N90" i="19"/>
  <c r="L7" i="20"/>
  <c r="BG8" i="19"/>
  <c r="J12" i="20"/>
  <c r="K28" i="20"/>
  <c r="O32" i="20"/>
  <c r="K37" i="20"/>
  <c r="J48" i="20"/>
  <c r="J52" i="20"/>
  <c r="L58" i="20"/>
  <c r="BG59" i="19"/>
  <c r="N63" i="20"/>
  <c r="N73" i="20"/>
  <c r="BG114" i="19"/>
  <c r="O3" i="20"/>
  <c r="T5" i="19"/>
  <c r="K2" i="20"/>
  <c r="K7" i="20"/>
  <c r="O19" i="20"/>
  <c r="O22" i="20"/>
  <c r="F23" i="20"/>
  <c r="AI24" i="19"/>
  <c r="N25" i="19"/>
  <c r="AC25" i="19"/>
  <c r="T25" i="19"/>
  <c r="W25" i="19" s="1"/>
  <c r="K27" i="20"/>
  <c r="O30" i="20"/>
  <c r="F31" i="20"/>
  <c r="AI32" i="19"/>
  <c r="M37" i="20"/>
  <c r="H40" i="20"/>
  <c r="AQ41" i="19"/>
  <c r="K42" i="20"/>
  <c r="N46" i="20"/>
  <c r="N53" i="20"/>
  <c r="J54" i="20"/>
  <c r="L55" i="20"/>
  <c r="BG56" i="19"/>
  <c r="H57" i="20"/>
  <c r="AQ58" i="19"/>
  <c r="J61" i="20"/>
  <c r="H69" i="20"/>
  <c r="AQ70" i="19"/>
  <c r="F71" i="20"/>
  <c r="AI72" i="19"/>
  <c r="O79" i="20"/>
  <c r="BG84" i="19"/>
  <c r="N4" i="20"/>
  <c r="O6" i="20"/>
  <c r="T20" i="19"/>
  <c r="W20" i="19" s="1"/>
  <c r="AC20" i="19"/>
  <c r="M27" i="20"/>
  <c r="N33" i="19"/>
  <c r="T33" i="19"/>
  <c r="W33" i="19" s="1"/>
  <c r="O34" i="20"/>
  <c r="K40" i="20"/>
  <c r="N47" i="20"/>
  <c r="F61" i="20"/>
  <c r="AI62" i="19"/>
  <c r="J71" i="20"/>
  <c r="L77" i="20"/>
  <c r="BG78" i="19"/>
  <c r="H2" i="20"/>
  <c r="L3" i="20"/>
  <c r="BG4" i="19"/>
  <c r="AC5" i="19"/>
  <c r="L2" i="20"/>
  <c r="BG3" i="19"/>
  <c r="AQ3" i="19"/>
  <c r="M3" i="20"/>
  <c r="H7" i="20"/>
  <c r="AQ8" i="19"/>
  <c r="N8" i="20"/>
  <c r="F9" i="20"/>
  <c r="AI10" i="19"/>
  <c r="H11" i="20"/>
  <c r="AQ12" i="19"/>
  <c r="N5" i="19"/>
  <c r="BF5" i="19"/>
  <c r="BE5" i="19" s="1"/>
  <c r="J9" i="20"/>
  <c r="H10" i="20"/>
  <c r="AQ11" i="19"/>
  <c r="K10" i="20"/>
  <c r="T12" i="19"/>
  <c r="V12" i="19" s="1"/>
  <c r="J11" i="20"/>
  <c r="N20" i="19"/>
  <c r="H23" i="20"/>
  <c r="AQ24" i="19"/>
  <c r="L23" i="20"/>
  <c r="BG24" i="19"/>
  <c r="O27" i="20"/>
  <c r="M28" i="20"/>
  <c r="H31" i="20"/>
  <c r="AQ32" i="19"/>
  <c r="L31" i="20"/>
  <c r="BG32" i="19"/>
  <c r="H33" i="20"/>
  <c r="AQ34" i="19"/>
  <c r="AC39" i="19"/>
  <c r="N39" i="19"/>
  <c r="T39" i="19"/>
  <c r="W39" i="19" s="1"/>
  <c r="O41" i="20"/>
  <c r="N44" i="20"/>
  <c r="L50" i="20"/>
  <c r="BG51" i="19"/>
  <c r="M66" i="20"/>
  <c r="F13" i="20"/>
  <c r="AI14" i="19"/>
  <c r="J15" i="20"/>
  <c r="M19" i="20"/>
  <c r="N20" i="20"/>
  <c r="M22" i="20"/>
  <c r="H25" i="20"/>
  <c r="AQ26" i="19"/>
  <c r="J25" i="20"/>
  <c r="E28" i="20"/>
  <c r="N28" i="20"/>
  <c r="M30" i="20"/>
  <c r="N34" i="19"/>
  <c r="AC34" i="19"/>
  <c r="T35" i="19"/>
  <c r="M34" i="20"/>
  <c r="N35" i="20"/>
  <c r="F38" i="20"/>
  <c r="F40" i="20"/>
  <c r="AI41" i="19"/>
  <c r="N42" i="19"/>
  <c r="T42" i="19"/>
  <c r="W42" i="19" s="1"/>
  <c r="BG42" i="19"/>
  <c r="F42" i="20"/>
  <c r="AI43" i="19"/>
  <c r="O43" i="20"/>
  <c r="O44" i="20"/>
  <c r="H45" i="20"/>
  <c r="AQ46" i="19"/>
  <c r="K45" i="20"/>
  <c r="O46" i="20"/>
  <c r="O47" i="20"/>
  <c r="H48" i="20"/>
  <c r="AQ49" i="19"/>
  <c r="K48" i="20"/>
  <c r="N49" i="20"/>
  <c r="J50" i="20"/>
  <c r="O51" i="20"/>
  <c r="H52" i="20"/>
  <c r="AQ53" i="19"/>
  <c r="K52" i="20"/>
  <c r="O53" i="20"/>
  <c r="H54" i="20"/>
  <c r="AQ55" i="19"/>
  <c r="K54" i="20"/>
  <c r="J55" i="20"/>
  <c r="M56" i="20"/>
  <c r="O59" i="20"/>
  <c r="L60" i="20"/>
  <c r="BG61" i="19"/>
  <c r="K60" i="20"/>
  <c r="M64" i="20"/>
  <c r="T66" i="19"/>
  <c r="AC66" i="19"/>
  <c r="F68" i="20"/>
  <c r="AI69" i="19"/>
  <c r="J68" i="20"/>
  <c r="M72" i="20"/>
  <c r="T74" i="19"/>
  <c r="W74" i="19" s="1"/>
  <c r="K74" i="20"/>
  <c r="F77" i="20"/>
  <c r="AI78" i="19"/>
  <c r="M79" i="20"/>
  <c r="K80" i="20"/>
  <c r="AQ83" i="19"/>
  <c r="T85" i="19"/>
  <c r="AI116" i="19"/>
  <c r="N123" i="19"/>
  <c r="T123" i="19"/>
  <c r="W123" i="19" s="1"/>
  <c r="BG131" i="19"/>
  <c r="BG141" i="19"/>
  <c r="O12" i="20"/>
  <c r="H13" i="20"/>
  <c r="H15" i="20"/>
  <c r="AQ16" i="19"/>
  <c r="BF6" i="19"/>
  <c r="BE6" i="19" s="1"/>
  <c r="AI7" i="19"/>
  <c r="BG7" i="19"/>
  <c r="AQ9" i="19"/>
  <c r="T10" i="19"/>
  <c r="M12" i="20"/>
  <c r="AQ14" i="19"/>
  <c r="O16" i="20"/>
  <c r="T19" i="19"/>
  <c r="T22" i="19"/>
  <c r="AI23" i="19"/>
  <c r="O26" i="20"/>
  <c r="H27" i="20"/>
  <c r="K31" i="20"/>
  <c r="N32" i="20"/>
  <c r="O36" i="20"/>
  <c r="F37" i="20"/>
  <c r="AI38" i="19"/>
  <c r="H37" i="20"/>
  <c r="H38" i="20"/>
  <c r="AQ39" i="19"/>
  <c r="J38" i="20"/>
  <c r="O39" i="20"/>
  <c r="M41" i="20"/>
  <c r="T44" i="19"/>
  <c r="U44" i="19" s="1"/>
  <c r="AL44" i="19" s="1"/>
  <c r="BG45" i="19"/>
  <c r="F45" i="20"/>
  <c r="AI46" i="19"/>
  <c r="T47" i="19"/>
  <c r="N47" i="19"/>
  <c r="BG48" i="19"/>
  <c r="F48" i="20"/>
  <c r="AI49" i="19"/>
  <c r="O49" i="20"/>
  <c r="H50" i="20"/>
  <c r="AQ51" i="19"/>
  <c r="K50" i="20"/>
  <c r="BG52" i="19"/>
  <c r="F52" i="20"/>
  <c r="AI53" i="19"/>
  <c r="T54" i="19"/>
  <c r="N54" i="19"/>
  <c r="F54" i="20"/>
  <c r="AI55" i="19"/>
  <c r="H55" i="20"/>
  <c r="AQ56" i="19"/>
  <c r="K55" i="20"/>
  <c r="N59" i="19"/>
  <c r="T59" i="19"/>
  <c r="AC59" i="19"/>
  <c r="H60" i="20"/>
  <c r="AQ61" i="19"/>
  <c r="L61" i="20"/>
  <c r="BG62" i="19"/>
  <c r="K62" i="20"/>
  <c r="T64" i="19"/>
  <c r="O66" i="20"/>
  <c r="L67" i="20"/>
  <c r="BG68" i="19"/>
  <c r="K67" i="20"/>
  <c r="N71" i="19"/>
  <c r="T71" i="19"/>
  <c r="L75" i="20"/>
  <c r="BG76" i="19"/>
  <c r="AC81" i="19"/>
  <c r="N81" i="19"/>
  <c r="T81" i="19"/>
  <c r="T96" i="19"/>
  <c r="W96" i="19" s="1"/>
  <c r="AC96" i="19"/>
  <c r="BG115" i="19"/>
  <c r="AQ154" i="19"/>
  <c r="N15" i="19"/>
  <c r="A3" i="20"/>
  <c r="AQ5" i="19"/>
  <c r="T15" i="19"/>
  <c r="BG17" i="19"/>
  <c r="AI20" i="19"/>
  <c r="AQ21" i="19"/>
  <c r="F21" i="20"/>
  <c r="K23" i="20"/>
  <c r="F27" i="20"/>
  <c r="AI28" i="19"/>
  <c r="L27" i="20"/>
  <c r="BG28" i="19"/>
  <c r="F29" i="20"/>
  <c r="L29" i="20"/>
  <c r="AI3" i="19"/>
  <c r="AQ6" i="19"/>
  <c r="AI8" i="19"/>
  <c r="AQ10" i="19"/>
  <c r="AI11" i="19"/>
  <c r="AI13" i="19"/>
  <c r="K13" i="20"/>
  <c r="N14" i="20"/>
  <c r="M16" i="20"/>
  <c r="AC19" i="19"/>
  <c r="N18" i="20"/>
  <c r="AI22" i="19"/>
  <c r="H21" i="20"/>
  <c r="AQ22" i="19"/>
  <c r="J21" i="20"/>
  <c r="N24" i="20"/>
  <c r="M26" i="20"/>
  <c r="AQ28" i="19"/>
  <c r="AI30" i="19"/>
  <c r="H29" i="20"/>
  <c r="AQ30" i="19"/>
  <c r="J29" i="20"/>
  <c r="BG30" i="19"/>
  <c r="AQ33" i="19"/>
  <c r="F33" i="20"/>
  <c r="AC35" i="19"/>
  <c r="M36" i="20"/>
  <c r="AQ38" i="19"/>
  <c r="T40" i="19"/>
  <c r="M39" i="20"/>
  <c r="J40" i="20"/>
  <c r="AC42" i="19"/>
  <c r="N41" i="20"/>
  <c r="J42" i="20"/>
  <c r="AC44" i="19"/>
  <c r="M43" i="20"/>
  <c r="T45" i="19"/>
  <c r="M44" i="20"/>
  <c r="AC47" i="19"/>
  <c r="M46" i="20"/>
  <c r="T48" i="19"/>
  <c r="M47" i="20"/>
  <c r="T50" i="19"/>
  <c r="V50" i="19" s="1"/>
  <c r="F50" i="20"/>
  <c r="AI51" i="19"/>
  <c r="N52" i="19"/>
  <c r="T52" i="19"/>
  <c r="M51" i="20"/>
  <c r="AC54" i="19"/>
  <c r="M53" i="20"/>
  <c r="F55" i="20"/>
  <c r="AI56" i="19"/>
  <c r="O56" i="20"/>
  <c r="L57" i="20"/>
  <c r="BG58" i="19"/>
  <c r="K57" i="20"/>
  <c r="M59" i="20"/>
  <c r="H62" i="20"/>
  <c r="AQ63" i="19"/>
  <c r="O64" i="20"/>
  <c r="L65" i="20"/>
  <c r="N65" i="20"/>
  <c r="H67" i="20"/>
  <c r="AQ68" i="19"/>
  <c r="E68" i="20"/>
  <c r="AE69" i="19"/>
  <c r="K69" i="20"/>
  <c r="N70" i="20"/>
  <c r="O72" i="20"/>
  <c r="AC75" i="19"/>
  <c r="T75" i="19"/>
  <c r="U75" i="19" s="1"/>
  <c r="AL75" i="19" s="1"/>
  <c r="K79" i="20"/>
  <c r="F81" i="20"/>
  <c r="AI82" i="19"/>
  <c r="BG100" i="19"/>
  <c r="BG118" i="19"/>
  <c r="N57" i="19"/>
  <c r="N73" i="19"/>
  <c r="F74" i="20"/>
  <c r="F75" i="20"/>
  <c r="AI76" i="19"/>
  <c r="H75" i="20"/>
  <c r="N77" i="19"/>
  <c r="H77" i="20"/>
  <c r="AQ78" i="19"/>
  <c r="J77" i="20"/>
  <c r="N79" i="19"/>
  <c r="F80" i="20"/>
  <c r="N83" i="19"/>
  <c r="BG83" i="19"/>
  <c r="AC92" i="19"/>
  <c r="N98" i="19"/>
  <c r="AQ100" i="19"/>
  <c r="AQ103" i="19"/>
  <c r="BG106" i="19"/>
  <c r="T109" i="19"/>
  <c r="BG112" i="19"/>
  <c r="AI115" i="19"/>
  <c r="AQ116" i="19"/>
  <c r="BG116" i="19"/>
  <c r="BG117" i="19"/>
  <c r="AI121" i="19"/>
  <c r="AQ169" i="19"/>
  <c r="AC73" i="19"/>
  <c r="H74" i="20"/>
  <c r="AQ75" i="19"/>
  <c r="J74" i="20"/>
  <c r="O78" i="20"/>
  <c r="F79" i="20"/>
  <c r="AI80" i="19"/>
  <c r="H79" i="20"/>
  <c r="L79" i="20"/>
  <c r="BG80" i="19"/>
  <c r="H80" i="20"/>
  <c r="AQ81" i="19"/>
  <c r="J80" i="20"/>
  <c r="AI87" i="19"/>
  <c r="T98" i="19"/>
  <c r="BG99" i="19"/>
  <c r="AI100" i="19"/>
  <c r="T101" i="19"/>
  <c r="N101" i="19"/>
  <c r="AI103" i="19"/>
  <c r="T111" i="19"/>
  <c r="AQ112" i="19"/>
  <c r="AQ117" i="19"/>
  <c r="AQ122" i="19"/>
  <c r="AI124" i="19"/>
  <c r="AQ125" i="19"/>
  <c r="AC126" i="19"/>
  <c r="W126" i="19"/>
  <c r="T126" i="19"/>
  <c r="U126" i="19" s="1"/>
  <c r="AL126" i="19" s="1"/>
  <c r="BG128" i="19"/>
  <c r="BG130" i="19"/>
  <c r="AQ130" i="19"/>
  <c r="AQ140" i="19"/>
  <c r="T144" i="19"/>
  <c r="AC144" i="19"/>
  <c r="AI58" i="19"/>
  <c r="AI61" i="19"/>
  <c r="AQ62" i="19"/>
  <c r="AI63" i="19"/>
  <c r="AI68" i="19"/>
  <c r="AQ69" i="19"/>
  <c r="AI70" i="19"/>
  <c r="AQ72" i="19"/>
  <c r="T73" i="19"/>
  <c r="K75" i="20"/>
  <c r="AC77" i="19"/>
  <c r="N76" i="20"/>
  <c r="M78" i="20"/>
  <c r="AQ80" i="19"/>
  <c r="BG82" i="19"/>
  <c r="O81" i="20"/>
  <c r="T83" i="19"/>
  <c r="W83" i="19" s="1"/>
  <c r="AI84" i="19"/>
  <c r="N85" i="19"/>
  <c r="AQ85" i="19"/>
  <c r="T86" i="19"/>
  <c r="AQ87" i="19"/>
  <c r="AI89" i="19"/>
  <c r="AQ89" i="19"/>
  <c r="AC94" i="19"/>
  <c r="AC98" i="19"/>
  <c r="T99" i="19"/>
  <c r="AC101" i="19"/>
  <c r="AC104" i="19"/>
  <c r="N104" i="19"/>
  <c r="T104" i="19"/>
  <c r="W104" i="19" s="1"/>
  <c r="AI105" i="19"/>
  <c r="AI109" i="19"/>
  <c r="BG113" i="19"/>
  <c r="T121" i="19"/>
  <c r="W121" i="19" s="1"/>
  <c r="N121" i="19"/>
  <c r="BG145" i="19"/>
  <c r="N112" i="19"/>
  <c r="AI114" i="19"/>
  <c r="AQ115" i="19"/>
  <c r="N117" i="19"/>
  <c r="AC117" i="19"/>
  <c r="N122" i="19"/>
  <c r="AI127" i="19"/>
  <c r="T128" i="19"/>
  <c r="W128" i="19" s="1"/>
  <c r="N128" i="19"/>
  <c r="T129" i="19"/>
  <c r="AI130" i="19"/>
  <c r="AQ131" i="19"/>
  <c r="T136" i="19"/>
  <c r="AC136" i="19"/>
  <c r="AI139" i="19"/>
  <c r="AE140" i="19"/>
  <c r="AI142" i="19"/>
  <c r="T148" i="19"/>
  <c r="AC148" i="19"/>
  <c r="AQ150" i="19"/>
  <c r="AQ104" i="19"/>
  <c r="AQ123" i="19"/>
  <c r="AI126" i="19"/>
  <c r="AQ126" i="19"/>
  <c r="AQ127" i="19"/>
  <c r="AC128" i="19"/>
  <c r="AC129" i="19"/>
  <c r="AI131" i="19"/>
  <c r="N132" i="19"/>
  <c r="T132" i="19"/>
  <c r="BG138" i="19"/>
  <c r="T141" i="19"/>
  <c r="W141" i="19" s="1"/>
  <c r="N141" i="19"/>
  <c r="AC141" i="19"/>
  <c r="AI145" i="19"/>
  <c r="AI153" i="19"/>
  <c r="AE158" i="19"/>
  <c r="BG165" i="19"/>
  <c r="W76" i="19"/>
  <c r="BG105" i="19"/>
  <c r="AI106" i="19"/>
  <c r="N107" i="19"/>
  <c r="AI108" i="19"/>
  <c r="AQ108" i="19"/>
  <c r="AI110" i="19"/>
  <c r="AQ111" i="19"/>
  <c r="AI113" i="19"/>
  <c r="AI118" i="19"/>
  <c r="N119" i="19"/>
  <c r="AI120" i="19"/>
  <c r="AQ120" i="19"/>
  <c r="T122" i="19"/>
  <c r="BG124" i="19"/>
  <c r="T125" i="19"/>
  <c r="AC132" i="19"/>
  <c r="T133" i="19"/>
  <c r="AC133" i="19"/>
  <c r="AQ138" i="19"/>
  <c r="BG140" i="19"/>
  <c r="BG142" i="19"/>
  <c r="N144" i="19"/>
  <c r="BG149" i="19"/>
  <c r="AQ157" i="19"/>
  <c r="BG158" i="19"/>
  <c r="BG162" i="19"/>
  <c r="BG167" i="19"/>
  <c r="T135" i="19"/>
  <c r="T137" i="19"/>
  <c r="AI138" i="19"/>
  <c r="AQ139" i="19"/>
  <c r="AI140" i="19"/>
  <c r="AQ142" i="19"/>
  <c r="T143" i="19"/>
  <c r="AQ145" i="19"/>
  <c r="AI152" i="19"/>
  <c r="AQ153" i="19"/>
  <c r="AI156" i="19"/>
  <c r="N160" i="19"/>
  <c r="T160" i="19"/>
  <c r="AC160" i="19"/>
  <c r="N163" i="19"/>
  <c r="T163" i="19"/>
  <c r="W163" i="19" s="1"/>
  <c r="AI164" i="19"/>
  <c r="N146" i="19"/>
  <c r="AI150" i="19"/>
  <c r="AQ151" i="19"/>
  <c r="AI154" i="19"/>
  <c r="AQ155" i="19"/>
  <c r="AQ159" i="19"/>
  <c r="AQ162" i="19"/>
  <c r="BG164" i="19"/>
  <c r="N167" i="19"/>
  <c r="BG168" i="19"/>
  <c r="BG169" i="19"/>
  <c r="W143" i="19"/>
  <c r="AI151" i="19"/>
  <c r="AQ152" i="19"/>
  <c r="AI155" i="19"/>
  <c r="AQ156" i="19"/>
  <c r="AI158" i="19"/>
  <c r="T167" i="19"/>
  <c r="AC167" i="19"/>
  <c r="W158" i="19"/>
  <c r="W161" i="19"/>
  <c r="AC161" i="19"/>
  <c r="W165" i="19"/>
  <c r="AI157" i="19"/>
  <c r="AQ158" i="19"/>
  <c r="AI159" i="19"/>
  <c r="T161" i="19"/>
  <c r="AI162" i="19"/>
  <c r="AQ164" i="19"/>
  <c r="B25" i="23" l="1"/>
  <c r="E51" i="20"/>
  <c r="AC90" i="19"/>
  <c r="AC123" i="19"/>
  <c r="AE48" i="19"/>
  <c r="AE137" i="19"/>
  <c r="AC165" i="19"/>
  <c r="AC146" i="19"/>
  <c r="AE56" i="19"/>
  <c r="AE52" i="19"/>
  <c r="E7" i="20"/>
  <c r="AE45" i="19"/>
  <c r="AC85" i="19"/>
  <c r="BE90" i="19"/>
  <c r="AE142" i="19"/>
  <c r="AC121" i="19"/>
  <c r="AC109" i="19"/>
  <c r="E44" i="20"/>
  <c r="L32" i="20"/>
  <c r="AC124" i="19"/>
  <c r="E47" i="20"/>
  <c r="U17" i="19"/>
  <c r="AL17" i="19" s="1"/>
  <c r="G16" i="20" s="1"/>
  <c r="L63" i="20"/>
  <c r="AE76" i="19"/>
  <c r="E2" i="20"/>
  <c r="AE8" i="19"/>
  <c r="E75" i="20"/>
  <c r="E79" i="20"/>
  <c r="AC108" i="19"/>
  <c r="BE94" i="19"/>
  <c r="L93" i="20"/>
  <c r="BE121" i="19"/>
  <c r="L119" i="20"/>
  <c r="G148" i="20"/>
  <c r="BE152" i="19"/>
  <c r="L150" i="20"/>
  <c r="BE156" i="19"/>
  <c r="L154" i="20"/>
  <c r="BE157" i="19"/>
  <c r="L155" i="20"/>
  <c r="BE153" i="19"/>
  <c r="L151" i="20"/>
  <c r="BG137" i="19"/>
  <c r="L135" i="20"/>
  <c r="AC139" i="19"/>
  <c r="E137" i="20"/>
  <c r="BE126" i="19"/>
  <c r="L124" i="20"/>
  <c r="AC137" i="19"/>
  <c r="AC99" i="19"/>
  <c r="E97" i="20"/>
  <c r="AE154" i="19"/>
  <c r="E152" i="20"/>
  <c r="AC140" i="19"/>
  <c r="AC142" i="19"/>
  <c r="AC168" i="19"/>
  <c r="BE111" i="19"/>
  <c r="L109" i="20"/>
  <c r="AE68" i="19"/>
  <c r="E55" i="20"/>
  <c r="AE74" i="19"/>
  <c r="U165" i="19"/>
  <c r="BE89" i="19"/>
  <c r="L88" i="20"/>
  <c r="BE161" i="19"/>
  <c r="L159" i="20"/>
  <c r="BE139" i="19"/>
  <c r="L137" i="20"/>
  <c r="BE144" i="19"/>
  <c r="L142" i="20"/>
  <c r="AC159" i="19"/>
  <c r="E157" i="20"/>
  <c r="AC135" i="19"/>
  <c r="E133" i="20"/>
  <c r="BE123" i="19"/>
  <c r="L121" i="20"/>
  <c r="AC138" i="19"/>
  <c r="E136" i="20"/>
  <c r="AC125" i="19"/>
  <c r="E123" i="20"/>
  <c r="AC74" i="19"/>
  <c r="AL154" i="19"/>
  <c r="AC114" i="19"/>
  <c r="E112" i="20"/>
  <c r="AE159" i="19"/>
  <c r="AE139" i="19"/>
  <c r="AC112" i="19"/>
  <c r="AE125" i="19"/>
  <c r="AE122" i="19"/>
  <c r="AC111" i="19"/>
  <c r="AE114" i="19"/>
  <c r="BG33" i="19"/>
  <c r="AC80" i="19"/>
  <c r="BE87" i="19"/>
  <c r="L86" i="20"/>
  <c r="BG90" i="19"/>
  <c r="BE15" i="19"/>
  <c r="AE87" i="19"/>
  <c r="BE120" i="19"/>
  <c r="L118" i="20"/>
  <c r="BE151" i="19"/>
  <c r="L149" i="20"/>
  <c r="BE135" i="19"/>
  <c r="L133" i="20"/>
  <c r="BE136" i="19"/>
  <c r="L134" i="20"/>
  <c r="BE86" i="19"/>
  <c r="L85" i="20"/>
  <c r="BG122" i="19"/>
  <c r="L120" i="20"/>
  <c r="AC163" i="19"/>
  <c r="E161" i="20"/>
  <c r="AC122" i="19"/>
  <c r="AC164" i="19"/>
  <c r="E162" i="20"/>
  <c r="AC145" i="19"/>
  <c r="E143" i="20"/>
  <c r="BE150" i="19"/>
  <c r="L148" i="20"/>
  <c r="BE103" i="19"/>
  <c r="L101" i="20"/>
  <c r="BE125" i="19"/>
  <c r="L123" i="20"/>
  <c r="BE159" i="19"/>
  <c r="L157" i="20"/>
  <c r="BE127" i="19"/>
  <c r="L125" i="20"/>
  <c r="BE133" i="19"/>
  <c r="L131" i="20"/>
  <c r="BE155" i="19"/>
  <c r="L153" i="20"/>
  <c r="BE109" i="19"/>
  <c r="L107" i="20"/>
  <c r="AE156" i="19"/>
  <c r="E154" i="20"/>
  <c r="AC83" i="19"/>
  <c r="E82" i="20"/>
  <c r="BE108" i="19"/>
  <c r="L106" i="20"/>
  <c r="BE85" i="19"/>
  <c r="L84" i="20"/>
  <c r="BG136" i="19"/>
  <c r="AE143" i="19"/>
  <c r="AE11" i="19"/>
  <c r="E45" i="20"/>
  <c r="AC143" i="19"/>
  <c r="AC156" i="19"/>
  <c r="AC50" i="19"/>
  <c r="AC169" i="19"/>
  <c r="AE169" i="19"/>
  <c r="E67" i="20"/>
  <c r="AE50" i="19"/>
  <c r="E10" i="20"/>
  <c r="U113" i="19"/>
  <c r="AL113" i="19" s="1"/>
  <c r="AC46" i="19"/>
  <c r="W27" i="19"/>
  <c r="AE3" i="19"/>
  <c r="U27" i="19"/>
  <c r="A6" i="19"/>
  <c r="A7" i="19" s="1"/>
  <c r="A8" i="19" s="1"/>
  <c r="A9" i="19" s="1"/>
  <c r="A10" i="19" s="1"/>
  <c r="A11" i="19" s="1"/>
  <c r="A12" i="19" s="1"/>
  <c r="A13" i="19" s="1"/>
  <c r="A14" i="19" s="1"/>
  <c r="A15" i="19" s="1"/>
  <c r="A16" i="19" s="1"/>
  <c r="A17" i="19" s="1"/>
  <c r="BG15" i="19"/>
  <c r="BG64" i="19"/>
  <c r="BG151" i="19"/>
  <c r="BE65" i="19"/>
  <c r="L64" i="20"/>
  <c r="W113" i="19"/>
  <c r="U62" i="19"/>
  <c r="AL62" i="19" s="1"/>
  <c r="BG155" i="19"/>
  <c r="AE157" i="19"/>
  <c r="BG153" i="19"/>
  <c r="BG63" i="19"/>
  <c r="W145" i="19"/>
  <c r="BG156" i="19"/>
  <c r="L62" i="20"/>
  <c r="BG67" i="19"/>
  <c r="AE71" i="19"/>
  <c r="BE67" i="19"/>
  <c r="AC150" i="19"/>
  <c r="BE137" i="19"/>
  <c r="BG39" i="19"/>
  <c r="AC103" i="19"/>
  <c r="AE152" i="19"/>
  <c r="V22" i="19"/>
  <c r="AT22" i="19" s="1"/>
  <c r="AE89" i="19"/>
  <c r="AC38" i="19"/>
  <c r="AC55" i="19"/>
  <c r="V29" i="19"/>
  <c r="AT29" i="19" s="1"/>
  <c r="AC110" i="19"/>
  <c r="AE38" i="19"/>
  <c r="AE9" i="19"/>
  <c r="AE151" i="19"/>
  <c r="W41" i="19"/>
  <c r="E70" i="20"/>
  <c r="AE40" i="19"/>
  <c r="AE27" i="19"/>
  <c r="AE12" i="19"/>
  <c r="E8" i="20"/>
  <c r="E42" i="20"/>
  <c r="AC151" i="19"/>
  <c r="U162" i="19"/>
  <c r="AL162" i="19" s="1"/>
  <c r="L80" i="20"/>
  <c r="E11" i="20"/>
  <c r="AC154" i="19"/>
  <c r="V35" i="19"/>
  <c r="AT35" i="19" s="1"/>
  <c r="I34" i="20" s="1"/>
  <c r="L38" i="20"/>
  <c r="U115" i="19"/>
  <c r="BE75" i="19"/>
  <c r="BG75" i="19"/>
  <c r="BG139" i="19"/>
  <c r="BG96" i="19"/>
  <c r="BE96" i="19"/>
  <c r="V14" i="19"/>
  <c r="AT14" i="19" s="1"/>
  <c r="I13" i="20" s="1"/>
  <c r="V169" i="19"/>
  <c r="AT169" i="19" s="1"/>
  <c r="I166" i="20" s="1"/>
  <c r="V159" i="19"/>
  <c r="AT159" i="19" s="1"/>
  <c r="I157" i="20" s="1"/>
  <c r="V158" i="19"/>
  <c r="AT158" i="19" s="1"/>
  <c r="I156" i="20" s="1"/>
  <c r="V9" i="19"/>
  <c r="AT9" i="19" s="1"/>
  <c r="AU9" i="19" s="1"/>
  <c r="AK76" i="19"/>
  <c r="V167" i="19"/>
  <c r="AT167" i="19" s="1"/>
  <c r="I164" i="20" s="1"/>
  <c r="V141" i="19"/>
  <c r="AT141" i="19" s="1"/>
  <c r="I139" i="20" s="1"/>
  <c r="V79" i="19"/>
  <c r="AT79" i="19" s="1"/>
  <c r="AV79" i="19" s="1"/>
  <c r="V77" i="19"/>
  <c r="AT77" i="19" s="1"/>
  <c r="V15" i="19"/>
  <c r="AT15" i="19" s="1"/>
  <c r="I14" i="20" s="1"/>
  <c r="E71" i="20"/>
  <c r="BG81" i="19"/>
  <c r="V135" i="19"/>
  <c r="AT135" i="19" s="1"/>
  <c r="I133" i="20" s="1"/>
  <c r="AE55" i="19"/>
  <c r="V151" i="19"/>
  <c r="AT151" i="19" s="1"/>
  <c r="I149" i="20" s="1"/>
  <c r="AM24" i="19"/>
  <c r="V31" i="19"/>
  <c r="AT31" i="19" s="1"/>
  <c r="AV31" i="19" s="1"/>
  <c r="V56" i="19"/>
  <c r="AT56" i="19" s="1"/>
  <c r="I55" i="20" s="1"/>
  <c r="V53" i="19"/>
  <c r="AT53" i="19" s="1"/>
  <c r="AU53" i="19" s="1"/>
  <c r="V36" i="19"/>
  <c r="AT36" i="19" s="1"/>
  <c r="V119" i="19"/>
  <c r="AT119" i="19" s="1"/>
  <c r="I117" i="20" s="1"/>
  <c r="V80" i="19"/>
  <c r="AT80" i="19" s="1"/>
  <c r="I79" i="20" s="1"/>
  <c r="V54" i="19"/>
  <c r="AT54" i="19" s="1"/>
  <c r="I53" i="20" s="1"/>
  <c r="V47" i="19"/>
  <c r="AT47" i="19" s="1"/>
  <c r="V90" i="19"/>
  <c r="AT90" i="19" s="1"/>
  <c r="I89" i="20" s="1"/>
  <c r="V133" i="19"/>
  <c r="AT133" i="19" s="1"/>
  <c r="V124" i="19"/>
  <c r="AT124" i="19" s="1"/>
  <c r="V69" i="19"/>
  <c r="AT69" i="19" s="1"/>
  <c r="V94" i="19"/>
  <c r="AT94" i="19" s="1"/>
  <c r="I93" i="20" s="1"/>
  <c r="V82" i="19"/>
  <c r="AT82" i="19" s="1"/>
  <c r="AK150" i="19"/>
  <c r="BG157" i="19"/>
  <c r="AE153" i="19"/>
  <c r="V117" i="19"/>
  <c r="AT117" i="19" s="1"/>
  <c r="I115" i="20" s="1"/>
  <c r="AE110" i="19"/>
  <c r="BG89" i="19"/>
  <c r="V57" i="19"/>
  <c r="AT57" i="19" s="1"/>
  <c r="AS57" i="19" s="1"/>
  <c r="AE22" i="19"/>
  <c r="AC43" i="19"/>
  <c r="V139" i="19"/>
  <c r="AT139" i="19" s="1"/>
  <c r="V97" i="19"/>
  <c r="AT97" i="19" s="1"/>
  <c r="V89" i="19"/>
  <c r="AT89" i="19" s="1"/>
  <c r="I88" i="20" s="1"/>
  <c r="AK44" i="19"/>
  <c r="AK41" i="19"/>
  <c r="AK75" i="19"/>
  <c r="BE104" i="19"/>
  <c r="BG104" i="19"/>
  <c r="AS165" i="19"/>
  <c r="AV165" i="19"/>
  <c r="BE73" i="19"/>
  <c r="BG73" i="19"/>
  <c r="L72" i="20"/>
  <c r="BE16" i="19"/>
  <c r="L15" i="20"/>
  <c r="BG16" i="19"/>
  <c r="V76" i="19"/>
  <c r="AT76" i="19" s="1"/>
  <c r="V83" i="19"/>
  <c r="AT83" i="19" s="1"/>
  <c r="I82" i="20" s="1"/>
  <c r="V5" i="19"/>
  <c r="AT5" i="19" s="1"/>
  <c r="AV5" i="19" s="1"/>
  <c r="L74" i="20"/>
  <c r="V17" i="19"/>
  <c r="AT17" i="19" s="1"/>
  <c r="V41" i="19"/>
  <c r="AT41" i="19" s="1"/>
  <c r="AV41" i="19" s="1"/>
  <c r="V107" i="19"/>
  <c r="AT107" i="19" s="1"/>
  <c r="I105" i="20" s="1"/>
  <c r="BG161" i="19"/>
  <c r="V85" i="19"/>
  <c r="AT85" i="19" s="1"/>
  <c r="I84" i="20" s="1"/>
  <c r="U22" i="19"/>
  <c r="AL22" i="19" s="1"/>
  <c r="V123" i="19"/>
  <c r="AT123" i="19" s="1"/>
  <c r="V42" i="19"/>
  <c r="AT42" i="19" s="1"/>
  <c r="AS42" i="19" s="1"/>
  <c r="E39" i="20"/>
  <c r="V20" i="19"/>
  <c r="AT20" i="19" s="1"/>
  <c r="AE14" i="19"/>
  <c r="AE116" i="19"/>
  <c r="V103" i="19"/>
  <c r="AT103" i="19" s="1"/>
  <c r="I101" i="20" s="1"/>
  <c r="V38" i="19"/>
  <c r="AT38" i="19" s="1"/>
  <c r="AV38" i="19" s="1"/>
  <c r="V11" i="19"/>
  <c r="AT11" i="19" s="1"/>
  <c r="AU11" i="19" s="1"/>
  <c r="V46" i="19"/>
  <c r="AT46" i="19" s="1"/>
  <c r="V127" i="19"/>
  <c r="AT127" i="19" s="1"/>
  <c r="V92" i="19"/>
  <c r="AT92" i="19" s="1"/>
  <c r="I91" i="20" s="1"/>
  <c r="V66" i="19"/>
  <c r="AT66" i="19" s="1"/>
  <c r="V3" i="19"/>
  <c r="AT3" i="19" s="1"/>
  <c r="V106" i="19"/>
  <c r="AT106" i="19" s="1"/>
  <c r="V19" i="19"/>
  <c r="AT19" i="19" s="1"/>
  <c r="AU19" i="19" s="1"/>
  <c r="V70" i="19"/>
  <c r="AT70" i="19" s="1"/>
  <c r="AU70" i="19" s="1"/>
  <c r="V72" i="19"/>
  <c r="AT72" i="19" s="1"/>
  <c r="V150" i="19"/>
  <c r="AT150" i="19" s="1"/>
  <c r="V62" i="19"/>
  <c r="AT62" i="19" s="1"/>
  <c r="AV62" i="19" s="1"/>
  <c r="AS27" i="19"/>
  <c r="AV27" i="19"/>
  <c r="V163" i="19"/>
  <c r="AT163" i="19" s="1"/>
  <c r="V32" i="19"/>
  <c r="AT32" i="19" s="1"/>
  <c r="I31" i="20" s="1"/>
  <c r="V68" i="19"/>
  <c r="AT68" i="19" s="1"/>
  <c r="AU68" i="19" s="1"/>
  <c r="V137" i="19"/>
  <c r="AT137" i="19" s="1"/>
  <c r="I135" i="20" s="1"/>
  <c r="U161" i="19"/>
  <c r="AL161" i="19" s="1"/>
  <c r="V73" i="19"/>
  <c r="AT73" i="19" s="1"/>
  <c r="V128" i="19"/>
  <c r="AT128" i="19" s="1"/>
  <c r="I126" i="20" s="1"/>
  <c r="V52" i="19"/>
  <c r="AT52" i="19" s="1"/>
  <c r="AE72" i="19"/>
  <c r="V25" i="19"/>
  <c r="AT25" i="19" s="1"/>
  <c r="AS25" i="19" s="1"/>
  <c r="E13" i="20"/>
  <c r="V96" i="19"/>
  <c r="AT96" i="19" s="1"/>
  <c r="I94" i="20" s="1"/>
  <c r="V105" i="19"/>
  <c r="AT105" i="19" s="1"/>
  <c r="I103" i="20" s="1"/>
  <c r="V43" i="19"/>
  <c r="AT43" i="19" s="1"/>
  <c r="AC26" i="19"/>
  <c r="V45" i="19"/>
  <c r="AT45" i="19" s="1"/>
  <c r="V10" i="19"/>
  <c r="AT10" i="19" s="1"/>
  <c r="U142" i="19"/>
  <c r="AL142" i="19" s="1"/>
  <c r="V156" i="19"/>
  <c r="AT156" i="19" s="1"/>
  <c r="V16" i="19"/>
  <c r="AT16" i="19" s="1"/>
  <c r="V153" i="19"/>
  <c r="AT153" i="19" s="1"/>
  <c r="I151" i="20" s="1"/>
  <c r="V110" i="19"/>
  <c r="AT110" i="19" s="1"/>
  <c r="V154" i="19"/>
  <c r="AT154" i="19" s="1"/>
  <c r="I152" i="20" s="1"/>
  <c r="U67" i="19"/>
  <c r="AL67" i="19" s="1"/>
  <c r="V67" i="19"/>
  <c r="AT67" i="19" s="1"/>
  <c r="AU67" i="19" s="1"/>
  <c r="U130" i="19"/>
  <c r="AL130" i="19" s="1"/>
  <c r="V130" i="19"/>
  <c r="AT130" i="19" s="1"/>
  <c r="U40" i="19"/>
  <c r="AL40" i="19" s="1"/>
  <c r="V40" i="19"/>
  <c r="AT40" i="19" s="1"/>
  <c r="U30" i="19"/>
  <c r="AL30" i="19" s="1"/>
  <c r="V58" i="19"/>
  <c r="AT58" i="19" s="1"/>
  <c r="AV58" i="19" s="1"/>
  <c r="BE154" i="19"/>
  <c r="V132" i="19"/>
  <c r="AT132" i="19" s="1"/>
  <c r="I130" i="20" s="1"/>
  <c r="U143" i="19"/>
  <c r="AL143" i="19" s="1"/>
  <c r="V143" i="19"/>
  <c r="AT143" i="19" s="1"/>
  <c r="V144" i="19"/>
  <c r="AT144" i="19" s="1"/>
  <c r="U112" i="19"/>
  <c r="AL112" i="19" s="1"/>
  <c r="V112" i="19"/>
  <c r="AT112" i="19" s="1"/>
  <c r="U111" i="19"/>
  <c r="AL111" i="19" s="1"/>
  <c r="V111" i="19"/>
  <c r="AT111" i="19" s="1"/>
  <c r="I109" i="20" s="1"/>
  <c r="U72" i="19"/>
  <c r="AL72" i="19" s="1"/>
  <c r="V81" i="19"/>
  <c r="AT81" i="19" s="1"/>
  <c r="AV81" i="19" s="1"/>
  <c r="U64" i="19"/>
  <c r="AL64" i="19" s="1"/>
  <c r="V64" i="19"/>
  <c r="AT64" i="19" s="1"/>
  <c r="U55" i="19"/>
  <c r="AL55" i="19" s="1"/>
  <c r="W55" i="19"/>
  <c r="V55" i="19"/>
  <c r="AT55" i="19" s="1"/>
  <c r="AU55" i="19" s="1"/>
  <c r="V113" i="19"/>
  <c r="AT113" i="19" s="1"/>
  <c r="V30" i="19"/>
  <c r="AT30" i="19" s="1"/>
  <c r="I29" i="20" s="1"/>
  <c r="U91" i="19"/>
  <c r="AL91" i="19" s="1"/>
  <c r="V91" i="19"/>
  <c r="AT91" i="19" s="1"/>
  <c r="I90" i="20" s="1"/>
  <c r="U61" i="19"/>
  <c r="V61" i="19"/>
  <c r="AT61" i="19" s="1"/>
  <c r="I60" i="20" s="1"/>
  <c r="U6" i="19"/>
  <c r="AL6" i="19" s="1"/>
  <c r="V6" i="19"/>
  <c r="AT6" i="19" s="1"/>
  <c r="AV6" i="19" s="1"/>
  <c r="W87" i="19"/>
  <c r="V87" i="19"/>
  <c r="AT87" i="19" s="1"/>
  <c r="V23" i="19"/>
  <c r="AT23" i="19" s="1"/>
  <c r="AV23" i="19" s="1"/>
  <c r="BE110" i="19"/>
  <c r="BG110" i="19"/>
  <c r="V118" i="19"/>
  <c r="AT118" i="19" s="1"/>
  <c r="AE106" i="19"/>
  <c r="V120" i="19"/>
  <c r="AT120" i="19" s="1"/>
  <c r="I118" i="20" s="1"/>
  <c r="U120" i="19"/>
  <c r="AL120" i="19" s="1"/>
  <c r="V161" i="19"/>
  <c r="AT161" i="19" s="1"/>
  <c r="U109" i="19"/>
  <c r="AL109" i="19" s="1"/>
  <c r="V109" i="19"/>
  <c r="AT109" i="19" s="1"/>
  <c r="I107" i="20" s="1"/>
  <c r="V98" i="19"/>
  <c r="AT98" i="19" s="1"/>
  <c r="I96" i="20" s="1"/>
  <c r="V48" i="19"/>
  <c r="AT48" i="19" s="1"/>
  <c r="AV48" i="19" s="1"/>
  <c r="U28" i="19"/>
  <c r="AL28" i="19" s="1"/>
  <c r="V28" i="19"/>
  <c r="AT28" i="19" s="1"/>
  <c r="AV28" i="19" s="1"/>
  <c r="U26" i="19"/>
  <c r="V26" i="19"/>
  <c r="AT26" i="19" s="1"/>
  <c r="I25" i="20" s="1"/>
  <c r="V152" i="19"/>
  <c r="AT152" i="19" s="1"/>
  <c r="I150" i="20" s="1"/>
  <c r="V122" i="19"/>
  <c r="AT122" i="19" s="1"/>
  <c r="I120" i="20" s="1"/>
  <c r="W6" i="19"/>
  <c r="U34" i="19"/>
  <c r="AL34" i="19" s="1"/>
  <c r="V34" i="19"/>
  <c r="AT34" i="19" s="1"/>
  <c r="I33" i="20" s="1"/>
  <c r="V33" i="19"/>
  <c r="AT33" i="19" s="1"/>
  <c r="V116" i="19"/>
  <c r="AT116" i="19" s="1"/>
  <c r="I114" i="20" s="1"/>
  <c r="V78" i="19"/>
  <c r="AT78" i="19" s="1"/>
  <c r="AV78" i="19" s="1"/>
  <c r="V74" i="19"/>
  <c r="AT74" i="19" s="1"/>
  <c r="U37" i="19"/>
  <c r="AL37" i="19" s="1"/>
  <c r="V37" i="19"/>
  <c r="AT37" i="19" s="1"/>
  <c r="AU37" i="19" s="1"/>
  <c r="U100" i="19"/>
  <c r="AL100" i="19" s="1"/>
  <c r="V100" i="19"/>
  <c r="AT100" i="19" s="1"/>
  <c r="U168" i="19"/>
  <c r="AL168" i="19" s="1"/>
  <c r="V168" i="19"/>
  <c r="AT168" i="19" s="1"/>
  <c r="U65" i="19"/>
  <c r="AL65" i="19" s="1"/>
  <c r="V65" i="19"/>
  <c r="AT65" i="19" s="1"/>
  <c r="I64" i="20" s="1"/>
  <c r="V147" i="19"/>
  <c r="AT147" i="19" s="1"/>
  <c r="U97" i="19"/>
  <c r="AL97" i="19" s="1"/>
  <c r="V149" i="19"/>
  <c r="AT149" i="19" s="1"/>
  <c r="V142" i="19"/>
  <c r="AT142" i="19" s="1"/>
  <c r="I140" i="20" s="1"/>
  <c r="V108" i="19"/>
  <c r="AT108" i="19" s="1"/>
  <c r="V126" i="19"/>
  <c r="AT126" i="19" s="1"/>
  <c r="V88" i="19"/>
  <c r="AT88" i="19" s="1"/>
  <c r="I87" i="20" s="1"/>
  <c r="V155" i="19"/>
  <c r="AT155" i="19" s="1"/>
  <c r="I153" i="20" s="1"/>
  <c r="V114" i="19"/>
  <c r="AT114" i="19" s="1"/>
  <c r="V160" i="19"/>
  <c r="AT160" i="19" s="1"/>
  <c r="I158" i="20" s="1"/>
  <c r="V104" i="19"/>
  <c r="AT104" i="19" s="1"/>
  <c r="I102" i="20" s="1"/>
  <c r="BG152" i="19"/>
  <c r="W26" i="19"/>
  <c r="U146" i="19"/>
  <c r="V146" i="19"/>
  <c r="AT146" i="19" s="1"/>
  <c r="I144" i="20" s="1"/>
  <c r="V121" i="19"/>
  <c r="AT121" i="19" s="1"/>
  <c r="I119" i="20" s="1"/>
  <c r="V101" i="19"/>
  <c r="AT101" i="19" s="1"/>
  <c r="AT50" i="19"/>
  <c r="AU50" i="19" s="1"/>
  <c r="V71" i="19"/>
  <c r="AT71" i="19" s="1"/>
  <c r="V59" i="19"/>
  <c r="AT59" i="19" s="1"/>
  <c r="V39" i="19"/>
  <c r="AT39" i="19" s="1"/>
  <c r="A4" i="20"/>
  <c r="U29" i="19"/>
  <c r="AL29" i="19" s="1"/>
  <c r="V136" i="19"/>
  <c r="AT136" i="19" s="1"/>
  <c r="V125" i="19"/>
  <c r="AT125" i="19" s="1"/>
  <c r="U13" i="19"/>
  <c r="AL13" i="19" s="1"/>
  <c r="V13" i="19"/>
  <c r="AT13" i="19" s="1"/>
  <c r="I12" i="20" s="1"/>
  <c r="U63" i="19"/>
  <c r="AL63" i="19" s="1"/>
  <c r="V63" i="19"/>
  <c r="AT63" i="19" s="1"/>
  <c r="I62" i="20" s="1"/>
  <c r="V131" i="19"/>
  <c r="AT131" i="19" s="1"/>
  <c r="V84" i="19"/>
  <c r="AT84" i="19" s="1"/>
  <c r="V99" i="19"/>
  <c r="AT99" i="19" s="1"/>
  <c r="I97" i="20" s="1"/>
  <c r="U60" i="19"/>
  <c r="AL60" i="19" s="1"/>
  <c r="V60" i="19"/>
  <c r="AT60" i="19" s="1"/>
  <c r="AV60" i="19" s="1"/>
  <c r="V129" i="19"/>
  <c r="AT129" i="19" s="1"/>
  <c r="I127" i="20" s="1"/>
  <c r="U7" i="19"/>
  <c r="AL7" i="19" s="1"/>
  <c r="V7" i="19"/>
  <c r="AT7" i="19" s="1"/>
  <c r="AV7" i="19" s="1"/>
  <c r="V86" i="19"/>
  <c r="AT86" i="19" s="1"/>
  <c r="I85" i="20" s="1"/>
  <c r="V49" i="19"/>
  <c r="AT49" i="19" s="1"/>
  <c r="V51" i="19"/>
  <c r="AT51" i="19" s="1"/>
  <c r="V164" i="19"/>
  <c r="AT164" i="19" s="1"/>
  <c r="V140" i="19"/>
  <c r="AT140" i="19" s="1"/>
  <c r="V4" i="19"/>
  <c r="AT4" i="19" s="1"/>
  <c r="AV4" i="19" s="1"/>
  <c r="AT145" i="19"/>
  <c r="I143" i="20" s="1"/>
  <c r="V157" i="19"/>
  <c r="AT157" i="19" s="1"/>
  <c r="V148" i="19"/>
  <c r="AT148" i="19" s="1"/>
  <c r="I146" i="20" s="1"/>
  <c r="U21" i="19"/>
  <c r="AL21" i="19" s="1"/>
  <c r="V21" i="19"/>
  <c r="AT21" i="19" s="1"/>
  <c r="V138" i="19"/>
  <c r="AT138" i="19" s="1"/>
  <c r="V44" i="19"/>
  <c r="AT44" i="19" s="1"/>
  <c r="V8" i="19"/>
  <c r="AT8" i="19" s="1"/>
  <c r="AV8" i="19" s="1"/>
  <c r="V115" i="19"/>
  <c r="AT115" i="19" s="1"/>
  <c r="V24" i="19"/>
  <c r="AT24" i="19" s="1"/>
  <c r="AV24" i="19" s="1"/>
  <c r="V162" i="19"/>
  <c r="AT162" i="19" s="1"/>
  <c r="V75" i="19"/>
  <c r="AT75" i="19" s="1"/>
  <c r="W8" i="19"/>
  <c r="W24" i="19"/>
  <c r="AE82" i="19"/>
  <c r="W115" i="19"/>
  <c r="U58" i="19"/>
  <c r="AL58" i="19" s="1"/>
  <c r="E35" i="20"/>
  <c r="W5" i="19"/>
  <c r="I26" i="20"/>
  <c r="E21" i="20"/>
  <c r="U94" i="19"/>
  <c r="AL94" i="19" s="1"/>
  <c r="U114" i="19"/>
  <c r="AL114" i="19" s="1"/>
  <c r="W167" i="19"/>
  <c r="U129" i="19"/>
  <c r="AL129" i="19" s="1"/>
  <c r="W154" i="19"/>
  <c r="AE124" i="19"/>
  <c r="U88" i="19"/>
  <c r="AL88" i="19" s="1"/>
  <c r="U14" i="19"/>
  <c r="AL14" i="19" s="1"/>
  <c r="W118" i="19"/>
  <c r="BG55" i="19"/>
  <c r="U46" i="19"/>
  <c r="AL46" i="19" s="1"/>
  <c r="W40" i="19"/>
  <c r="W150" i="19"/>
  <c r="U159" i="19"/>
  <c r="AL159" i="19" s="1"/>
  <c r="W117" i="19"/>
  <c r="W58" i="19"/>
  <c r="W28" i="19"/>
  <c r="W72" i="19"/>
  <c r="BG154" i="19"/>
  <c r="W97" i="19"/>
  <c r="W10" i="19"/>
  <c r="L12" i="20"/>
  <c r="E29" i="20"/>
  <c r="AE13" i="19"/>
  <c r="AC87" i="19"/>
  <c r="AC36" i="19"/>
  <c r="U152" i="19"/>
  <c r="AL152" i="19" s="1"/>
  <c r="U149" i="19"/>
  <c r="AL149" i="19" s="1"/>
  <c r="U4" i="19"/>
  <c r="AL4" i="19" s="1"/>
  <c r="U158" i="19"/>
  <c r="BG159" i="19"/>
  <c r="W44" i="19"/>
  <c r="BG103" i="19"/>
  <c r="W43" i="19"/>
  <c r="U10" i="19"/>
  <c r="AL10" i="19" s="1"/>
  <c r="BG13" i="19"/>
  <c r="W9" i="19"/>
  <c r="AE30" i="19"/>
  <c r="AC118" i="19"/>
  <c r="AC106" i="19"/>
  <c r="U155" i="19"/>
  <c r="AL155" i="19" s="1"/>
  <c r="U153" i="19"/>
  <c r="U164" i="19"/>
  <c r="U140" i="19"/>
  <c r="AL140" i="19" s="1"/>
  <c r="W149" i="19"/>
  <c r="U16" i="19"/>
  <c r="AL16" i="19" s="1"/>
  <c r="W81" i="19"/>
  <c r="W78" i="19"/>
  <c r="W3" i="19"/>
  <c r="U3" i="19"/>
  <c r="AL3" i="19" s="1"/>
  <c r="AE119" i="19"/>
  <c r="U87" i="19"/>
  <c r="AL87" i="19" s="1"/>
  <c r="U137" i="19"/>
  <c r="W116" i="19"/>
  <c r="U8" i="19"/>
  <c r="AL8" i="19" s="1"/>
  <c r="U105" i="19"/>
  <c r="AL105" i="19" s="1"/>
  <c r="U11" i="19"/>
  <c r="AL11" i="19" s="1"/>
  <c r="U84" i="19"/>
  <c r="AL84" i="19" s="1"/>
  <c r="U43" i="19"/>
  <c r="AL43" i="19" s="1"/>
  <c r="U148" i="19"/>
  <c r="AL148" i="19" s="1"/>
  <c r="E60" i="20"/>
  <c r="W157" i="19"/>
  <c r="U145" i="19"/>
  <c r="AL145" i="19" s="1"/>
  <c r="U131" i="19"/>
  <c r="AL131" i="19" s="1"/>
  <c r="U89" i="19"/>
  <c r="AL89" i="19" s="1"/>
  <c r="U71" i="19"/>
  <c r="AL71" i="19" s="1"/>
  <c r="L54" i="20"/>
  <c r="U49" i="19"/>
  <c r="AL49" i="19" s="1"/>
  <c r="AC41" i="19"/>
  <c r="W137" i="19"/>
  <c r="U107" i="19"/>
  <c r="AL107" i="19" s="1"/>
  <c r="U108" i="19"/>
  <c r="AL108" i="19" s="1"/>
  <c r="BG150" i="19"/>
  <c r="BG87" i="19"/>
  <c r="BG72" i="19"/>
  <c r="U68" i="19"/>
  <c r="AL68" i="19" s="1"/>
  <c r="AE51" i="19"/>
  <c r="U32" i="19"/>
  <c r="AL32" i="19" s="1"/>
  <c r="AC49" i="19"/>
  <c r="U51" i="19"/>
  <c r="AL51" i="19" s="1"/>
  <c r="U169" i="19"/>
  <c r="U151" i="19"/>
  <c r="AE16" i="19"/>
  <c r="U80" i="19"/>
  <c r="AL80" i="19" s="1"/>
  <c r="U135" i="19"/>
  <c r="U138" i="19"/>
  <c r="AL138" i="19" s="1"/>
  <c r="W68" i="19"/>
  <c r="W144" i="19"/>
  <c r="E81" i="20"/>
  <c r="BG70" i="19"/>
  <c r="L71" i="20"/>
  <c r="U36" i="19"/>
  <c r="AL36" i="19" s="1"/>
  <c r="BG41" i="19"/>
  <c r="E40" i="20"/>
  <c r="W69" i="19"/>
  <c r="U106" i="19"/>
  <c r="U116" i="19"/>
  <c r="AL116" i="19" s="1"/>
  <c r="W155" i="19"/>
  <c r="W138" i="19"/>
  <c r="W127" i="19"/>
  <c r="W106" i="19"/>
  <c r="U127" i="19"/>
  <c r="AL127" i="19" s="1"/>
  <c r="AE108" i="19"/>
  <c r="W49" i="19"/>
  <c r="L69" i="20"/>
  <c r="E61" i="20"/>
  <c r="AE120" i="19"/>
  <c r="E20" i="20"/>
  <c r="E16" i="20"/>
  <c r="L9" i="20"/>
  <c r="AC28" i="19"/>
  <c r="AE107" i="19"/>
  <c r="U139" i="19"/>
  <c r="AL139" i="19" s="1"/>
  <c r="U147" i="19"/>
  <c r="AL147" i="19" s="1"/>
  <c r="U92" i="19"/>
  <c r="AL92" i="19" s="1"/>
  <c r="AE70" i="19"/>
  <c r="AC78" i="19"/>
  <c r="E69" i="20"/>
  <c r="U66" i="19"/>
  <c r="AL66" i="19" s="1"/>
  <c r="E77" i="20"/>
  <c r="AC16" i="19"/>
  <c r="U157" i="19"/>
  <c r="AL157" i="19" s="1"/>
  <c r="U70" i="19"/>
  <c r="AL70" i="19" s="1"/>
  <c r="L48" i="20"/>
  <c r="L13" i="20"/>
  <c r="AE149" i="19"/>
  <c r="W22" i="19"/>
  <c r="U156" i="19"/>
  <c r="AL156" i="19" s="1"/>
  <c r="U163" i="19"/>
  <c r="AL163" i="19" s="1"/>
  <c r="U103" i="19"/>
  <c r="AL103" i="19" s="1"/>
  <c r="W156" i="19"/>
  <c r="AE127" i="19"/>
  <c r="E57" i="20"/>
  <c r="W169" i="19"/>
  <c r="W142" i="19"/>
  <c r="W80" i="19"/>
  <c r="U141" i="19"/>
  <c r="AL141" i="19" s="1"/>
  <c r="W53" i="19"/>
  <c r="AE21" i="19"/>
  <c r="U73" i="19"/>
  <c r="AL73" i="19" s="1"/>
  <c r="U69" i="19"/>
  <c r="AL69" i="19" s="1"/>
  <c r="W85" i="19"/>
  <c r="W11" i="19"/>
  <c r="W4" i="19"/>
  <c r="U90" i="19"/>
  <c r="AL90" i="19" s="1"/>
  <c r="BG127" i="19"/>
  <c r="AE61" i="19"/>
  <c r="AE26" i="19"/>
  <c r="AE84" i="19"/>
  <c r="U25" i="19"/>
  <c r="AL25" i="19" s="1"/>
  <c r="E50" i="20"/>
  <c r="BG49" i="19"/>
  <c r="BG10" i="19"/>
  <c r="AC107" i="19"/>
  <c r="AC119" i="19"/>
  <c r="W17" i="19"/>
  <c r="W131" i="19"/>
  <c r="U121" i="19"/>
  <c r="AL121" i="19" s="1"/>
  <c r="BG38" i="19"/>
  <c r="W129" i="19"/>
  <c r="U122" i="19"/>
  <c r="AL122" i="19" s="1"/>
  <c r="AE105" i="19"/>
  <c r="U53" i="19"/>
  <c r="AL53" i="19" s="1"/>
  <c r="W70" i="19"/>
  <c r="AE86" i="19"/>
  <c r="L68" i="20"/>
  <c r="U96" i="19"/>
  <c r="U81" i="19"/>
  <c r="AL81" i="19" s="1"/>
  <c r="AE62" i="19"/>
  <c r="L37" i="20"/>
  <c r="AE58" i="19"/>
  <c r="E26" i="20"/>
  <c r="L40" i="20"/>
  <c r="E27" i="20"/>
  <c r="E48" i="20"/>
  <c r="U118" i="19"/>
  <c r="AL118" i="19" s="1"/>
  <c r="U110" i="19"/>
  <c r="AL110" i="19" s="1"/>
  <c r="AC131" i="19"/>
  <c r="AE131" i="19"/>
  <c r="U78" i="19"/>
  <c r="AL78" i="19" s="1"/>
  <c r="W32" i="19"/>
  <c r="E12" i="20"/>
  <c r="W130" i="19"/>
  <c r="U136" i="19"/>
  <c r="AL136" i="19" s="1"/>
  <c r="U117" i="19"/>
  <c r="AL117" i="19" s="1"/>
  <c r="U104" i="19"/>
  <c r="AL104" i="19" s="1"/>
  <c r="W111" i="19"/>
  <c r="AE113" i="19"/>
  <c r="BG43" i="19"/>
  <c r="AE63" i="19"/>
  <c r="U82" i="19"/>
  <c r="AL82" i="19" s="1"/>
  <c r="AC130" i="19"/>
  <c r="AE130" i="19"/>
  <c r="AC91" i="19"/>
  <c r="AE91" i="19"/>
  <c r="U56" i="19"/>
  <c r="AL56" i="19" s="1"/>
  <c r="AC115" i="19"/>
  <c r="U128" i="19"/>
  <c r="AL128" i="19" s="1"/>
  <c r="W62" i="19"/>
  <c r="W75" i="19"/>
  <c r="BG69" i="19"/>
  <c r="W59" i="19"/>
  <c r="W66" i="19"/>
  <c r="U123" i="19"/>
  <c r="AL123" i="19" s="1"/>
  <c r="U74" i="19"/>
  <c r="AL74" i="19" s="1"/>
  <c r="AE17" i="19"/>
  <c r="BG14" i="19"/>
  <c r="L42" i="20"/>
  <c r="W90" i="19"/>
  <c r="E62" i="20"/>
  <c r="U124" i="19"/>
  <c r="AL124" i="19" s="1"/>
  <c r="W105" i="19"/>
  <c r="U38" i="19"/>
  <c r="AL38" i="19" s="1"/>
  <c r="AC100" i="19"/>
  <c r="AE100" i="19"/>
  <c r="AU165" i="19"/>
  <c r="AE167" i="19"/>
  <c r="W135" i="19"/>
  <c r="AE132" i="19"/>
  <c r="AE141" i="19"/>
  <c r="AE129" i="19"/>
  <c r="AE117" i="19"/>
  <c r="AE121" i="19"/>
  <c r="AE168" i="19"/>
  <c r="AE161" i="19"/>
  <c r="U167" i="19"/>
  <c r="AL167" i="19" s="1"/>
  <c r="AM150" i="19"/>
  <c r="AE160" i="19"/>
  <c r="BG133" i="19"/>
  <c r="W136" i="19"/>
  <c r="AE148" i="19"/>
  <c r="AE136" i="19"/>
  <c r="BG108" i="19"/>
  <c r="W99" i="19"/>
  <c r="U99" i="19"/>
  <c r="AL99" i="19" s="1"/>
  <c r="AE98" i="19"/>
  <c r="U144" i="19"/>
  <c r="AL144" i="19" s="1"/>
  <c r="BG109" i="19"/>
  <c r="E78" i="20"/>
  <c r="AE79" i="19"/>
  <c r="W52" i="19"/>
  <c r="U52" i="19"/>
  <c r="AL52" i="19" s="1"/>
  <c r="W50" i="19"/>
  <c r="U50" i="19"/>
  <c r="AL50" i="19" s="1"/>
  <c r="L39" i="20"/>
  <c r="BG40" i="19"/>
  <c r="E18" i="20"/>
  <c r="AE19" i="19"/>
  <c r="U15" i="19"/>
  <c r="AL15" i="19" s="1"/>
  <c r="W15" i="19"/>
  <c r="E63" i="20"/>
  <c r="AE64" i="19"/>
  <c r="U47" i="19"/>
  <c r="AL47" i="19" s="1"/>
  <c r="W47" i="19"/>
  <c r="AE123" i="19"/>
  <c r="AE85" i="19"/>
  <c r="U42" i="19"/>
  <c r="AL42" i="19" s="1"/>
  <c r="L11" i="20"/>
  <c r="BG12" i="19"/>
  <c r="U31" i="19"/>
  <c r="AL31" i="19" s="1"/>
  <c r="U9" i="19"/>
  <c r="AL9" i="19" s="1"/>
  <c r="W125" i="19"/>
  <c r="U125" i="19"/>
  <c r="AL125" i="19" s="1"/>
  <c r="W122" i="19"/>
  <c r="E64" i="20"/>
  <c r="AE65" i="19"/>
  <c r="AE92" i="19"/>
  <c r="E41" i="20"/>
  <c r="AE42" i="19"/>
  <c r="E9" i="20"/>
  <c r="AE10" i="19"/>
  <c r="E4" i="20"/>
  <c r="AE5" i="19"/>
  <c r="E19" i="20"/>
  <c r="AE20" i="19"/>
  <c r="E22" i="20"/>
  <c r="AE23" i="19"/>
  <c r="U160" i="19"/>
  <c r="W160" i="19"/>
  <c r="BG135" i="19"/>
  <c r="BG120" i="19"/>
  <c r="AE101" i="19"/>
  <c r="BG144" i="19"/>
  <c r="AE111" i="19"/>
  <c r="E72" i="20"/>
  <c r="AE73" i="19"/>
  <c r="E53" i="20"/>
  <c r="AE54" i="19"/>
  <c r="L73" i="20"/>
  <c r="BG74" i="19"/>
  <c r="E65" i="20"/>
  <c r="AE66" i="19"/>
  <c r="E33" i="20"/>
  <c r="AE34" i="19"/>
  <c r="L21" i="20"/>
  <c r="BG22" i="19"/>
  <c r="U12" i="19"/>
  <c r="AL12" i="19" s="1"/>
  <c r="W12" i="19"/>
  <c r="AE146" i="19"/>
  <c r="AE128" i="19"/>
  <c r="BG125" i="19"/>
  <c r="AE112" i="19"/>
  <c r="BG111" i="19"/>
  <c r="AE104" i="19"/>
  <c r="AE94" i="19"/>
  <c r="BG86" i="19"/>
  <c r="U83" i="19"/>
  <c r="AL83" i="19" s="1"/>
  <c r="E76" i="20"/>
  <c r="AE77" i="19"/>
  <c r="AE144" i="19"/>
  <c r="AE126" i="19"/>
  <c r="U119" i="19"/>
  <c r="AL119" i="19" s="1"/>
  <c r="U101" i="19"/>
  <c r="AL101" i="19" s="1"/>
  <c r="W101" i="19"/>
  <c r="W73" i="19"/>
  <c r="W109" i="19"/>
  <c r="W71" i="19"/>
  <c r="E34" i="20"/>
  <c r="AE35" i="19"/>
  <c r="AE96" i="19"/>
  <c r="E80" i="20"/>
  <c r="AE81" i="19"/>
  <c r="L70" i="20"/>
  <c r="BG71" i="19"/>
  <c r="U59" i="19"/>
  <c r="AL59" i="19" s="1"/>
  <c r="U77" i="19"/>
  <c r="AL77" i="19" s="1"/>
  <c r="E36" i="20"/>
  <c r="AE37" i="19"/>
  <c r="U35" i="19"/>
  <c r="AL35" i="19" s="1"/>
  <c r="W35" i="19"/>
  <c r="AT12" i="19"/>
  <c r="L4" i="20"/>
  <c r="BG5" i="19"/>
  <c r="U33" i="19"/>
  <c r="AL33" i="19" s="1"/>
  <c r="U20" i="19"/>
  <c r="AL20" i="19" s="1"/>
  <c r="AE90" i="19"/>
  <c r="U23" i="19"/>
  <c r="AL23" i="19" s="1"/>
  <c r="AE133" i="19"/>
  <c r="W86" i="19"/>
  <c r="U86" i="19"/>
  <c r="AL86" i="19" s="1"/>
  <c r="U98" i="19"/>
  <c r="AL98" i="19" s="1"/>
  <c r="W98" i="19"/>
  <c r="E56" i="20"/>
  <c r="AE57" i="19"/>
  <c r="AE109" i="19"/>
  <c r="E6" i="20"/>
  <c r="AE7" i="19"/>
  <c r="E58" i="20"/>
  <c r="AE59" i="19"/>
  <c r="L33" i="20"/>
  <c r="BG34" i="19"/>
  <c r="U19" i="19"/>
  <c r="AL19" i="19" s="1"/>
  <c r="W19" i="19"/>
  <c r="L5" i="20"/>
  <c r="BG6" i="19"/>
  <c r="AE165" i="19"/>
  <c r="U132" i="19"/>
  <c r="W132" i="19"/>
  <c r="W133" i="19"/>
  <c r="U133" i="19"/>
  <c r="AL133" i="19" s="1"/>
  <c r="W148" i="19"/>
  <c r="BG121" i="19"/>
  <c r="E66" i="20"/>
  <c r="AE67" i="19"/>
  <c r="AE60" i="19"/>
  <c r="E59" i="20"/>
  <c r="BG94" i="19"/>
  <c r="U57" i="19"/>
  <c r="AL57" i="19" s="1"/>
  <c r="E74" i="20"/>
  <c r="AE75" i="19"/>
  <c r="W64" i="19"/>
  <c r="W48" i="19"/>
  <c r="U48" i="19"/>
  <c r="AL48" i="19" s="1"/>
  <c r="E46" i="20"/>
  <c r="AE47" i="19"/>
  <c r="W45" i="19"/>
  <c r="U45" i="19"/>
  <c r="AL45" i="19" s="1"/>
  <c r="E43" i="20"/>
  <c r="AE44" i="19"/>
  <c r="L20" i="20"/>
  <c r="BG21" i="19"/>
  <c r="E14" i="20"/>
  <c r="AE15" i="19"/>
  <c r="E3" i="20"/>
  <c r="AE4" i="19"/>
  <c r="U54" i="19"/>
  <c r="AL54" i="19" s="1"/>
  <c r="W54" i="19"/>
  <c r="U85" i="19"/>
  <c r="AL85" i="19" s="1"/>
  <c r="L34" i="20"/>
  <c r="BG35" i="19"/>
  <c r="E5" i="20"/>
  <c r="AE6" i="19"/>
  <c r="U79" i="19"/>
  <c r="AL79" i="19" s="1"/>
  <c r="U39" i="19"/>
  <c r="AL39" i="19" s="1"/>
  <c r="E38" i="20"/>
  <c r="AE39" i="19"/>
  <c r="E32" i="20"/>
  <c r="AE33" i="19"/>
  <c r="E24" i="20"/>
  <c r="AE25" i="19"/>
  <c r="U5" i="19"/>
  <c r="AL5" i="19" s="1"/>
  <c r="E30" i="20"/>
  <c r="AE31" i="19"/>
  <c r="L8" i="20"/>
  <c r="BG9" i="19"/>
  <c r="O173" i="17"/>
  <c r="O3" i="17"/>
  <c r="B26" i="23" l="1"/>
  <c r="A5" i="20"/>
  <c r="AL160" i="19"/>
  <c r="G158" i="20" s="1"/>
  <c r="AL153" i="19"/>
  <c r="G151" i="20" s="1"/>
  <c r="AL158" i="19"/>
  <c r="G156" i="20" s="1"/>
  <c r="AL135" i="19"/>
  <c r="G133" i="20" s="1"/>
  <c r="AL169" i="19"/>
  <c r="G166" i="20" s="1"/>
  <c r="AL96" i="19"/>
  <c r="G94" i="20" s="1"/>
  <c r="AV84" i="19"/>
  <c r="I83" i="20"/>
  <c r="AV149" i="19"/>
  <c r="I147" i="20"/>
  <c r="AV161" i="19"/>
  <c r="I159" i="20"/>
  <c r="AV118" i="19"/>
  <c r="I116" i="20"/>
  <c r="AV87" i="19"/>
  <c r="I86" i="20"/>
  <c r="AS163" i="19"/>
  <c r="I161" i="20"/>
  <c r="AV150" i="19"/>
  <c r="I148" i="20"/>
  <c r="AV106" i="19"/>
  <c r="I104" i="20"/>
  <c r="AS127" i="19"/>
  <c r="I125" i="20"/>
  <c r="AS139" i="19"/>
  <c r="I137" i="20"/>
  <c r="AV126" i="19"/>
  <c r="I124" i="20"/>
  <c r="AU168" i="19"/>
  <c r="I165" i="20"/>
  <c r="AV144" i="19"/>
  <c r="I142" i="20"/>
  <c r="AL146" i="19"/>
  <c r="AM146" i="19" s="1"/>
  <c r="AL165" i="19"/>
  <c r="G163" i="20" s="1"/>
  <c r="G122" i="20"/>
  <c r="G134" i="20"/>
  <c r="AK17" i="19"/>
  <c r="G155" i="20"/>
  <c r="G150" i="20"/>
  <c r="AU115" i="19"/>
  <c r="I113" i="20"/>
  <c r="AV136" i="19"/>
  <c r="I134" i="20"/>
  <c r="AU100" i="19"/>
  <c r="I98" i="20"/>
  <c r="G90" i="20"/>
  <c r="AV112" i="19"/>
  <c r="I110" i="20"/>
  <c r="AV110" i="19"/>
  <c r="I108" i="20"/>
  <c r="AV97" i="19"/>
  <c r="I95" i="20"/>
  <c r="AU133" i="19"/>
  <c r="I131" i="20"/>
  <c r="AL27" i="19"/>
  <c r="AK27" i="19" s="1"/>
  <c r="AL61" i="19"/>
  <c r="G60" i="20" s="1"/>
  <c r="AL137" i="19"/>
  <c r="G135" i="20" s="1"/>
  <c r="G154" i="20"/>
  <c r="G153" i="20"/>
  <c r="G93" i="20"/>
  <c r="AV162" i="19"/>
  <c r="I160" i="20"/>
  <c r="AV140" i="19"/>
  <c r="I138" i="20"/>
  <c r="AV131" i="19"/>
  <c r="I129" i="20"/>
  <c r="AV113" i="19"/>
  <c r="I111" i="20"/>
  <c r="G84" i="20"/>
  <c r="AM17" i="19"/>
  <c r="G105" i="20"/>
  <c r="G138" i="20"/>
  <c r="G147" i="20"/>
  <c r="AV138" i="19"/>
  <c r="I136" i="20"/>
  <c r="AV157" i="19"/>
  <c r="I155" i="20"/>
  <c r="AV164" i="19"/>
  <c r="I162" i="20"/>
  <c r="AV125" i="19"/>
  <c r="I123" i="20"/>
  <c r="AV101" i="19"/>
  <c r="I99" i="20"/>
  <c r="AV114" i="19"/>
  <c r="I112" i="20"/>
  <c r="AU108" i="19"/>
  <c r="I106" i="20"/>
  <c r="AU147" i="19"/>
  <c r="I145" i="20"/>
  <c r="G165" i="20"/>
  <c r="AV143" i="19"/>
  <c r="I141" i="20"/>
  <c r="AV130" i="19"/>
  <c r="I128" i="20"/>
  <c r="AV156" i="19"/>
  <c r="I154" i="20"/>
  <c r="AS123" i="19"/>
  <c r="I121" i="20"/>
  <c r="AS124" i="19"/>
  <c r="I122" i="20"/>
  <c r="AM62" i="19"/>
  <c r="A18" i="19"/>
  <c r="AL151" i="19"/>
  <c r="G149" i="20" s="1"/>
  <c r="AL26" i="19"/>
  <c r="AK26" i="19" s="1"/>
  <c r="AL132" i="19"/>
  <c r="G130" i="20" s="1"/>
  <c r="AL115" i="19"/>
  <c r="AM115" i="19" s="1"/>
  <c r="AL106" i="19"/>
  <c r="AK106" i="19" s="1"/>
  <c r="AL164" i="19"/>
  <c r="G162" i="20" s="1"/>
  <c r="AK84" i="19"/>
  <c r="G83" i="20"/>
  <c r="AK112" i="19"/>
  <c r="G110" i="20"/>
  <c r="AK113" i="19"/>
  <c r="G111" i="20"/>
  <c r="AK126" i="19"/>
  <c r="G124" i="20"/>
  <c r="AK162" i="19"/>
  <c r="G160" i="20"/>
  <c r="AK154" i="19"/>
  <c r="G152" i="20"/>
  <c r="AM113" i="19"/>
  <c r="AU124" i="19"/>
  <c r="G61" i="20"/>
  <c r="AU138" i="19"/>
  <c r="AU125" i="19"/>
  <c r="I24" i="20"/>
  <c r="I56" i="20"/>
  <c r="AM44" i="19"/>
  <c r="AV57" i="19"/>
  <c r="G74" i="20"/>
  <c r="AU63" i="19"/>
  <c r="G23" i="20"/>
  <c r="G43" i="20"/>
  <c r="AU35" i="19"/>
  <c r="AM75" i="19"/>
  <c r="AM162" i="19"/>
  <c r="AU32" i="19"/>
  <c r="AU15" i="19"/>
  <c r="AU57" i="19"/>
  <c r="I80" i="20"/>
  <c r="AK62" i="19"/>
  <c r="AU128" i="19"/>
  <c r="AU24" i="19"/>
  <c r="AS5" i="19"/>
  <c r="AU42" i="19"/>
  <c r="AS151" i="19"/>
  <c r="AM76" i="19"/>
  <c r="AU65" i="19"/>
  <c r="AM41" i="19"/>
  <c r="AM126" i="19"/>
  <c r="I78" i="20"/>
  <c r="AV139" i="19"/>
  <c r="G75" i="20"/>
  <c r="AS79" i="19"/>
  <c r="AU80" i="19"/>
  <c r="AU79" i="19"/>
  <c r="AK48" i="19"/>
  <c r="AK19" i="19"/>
  <c r="AM9" i="19"/>
  <c r="G55" i="20"/>
  <c r="G89" i="20"/>
  <c r="G107" i="20"/>
  <c r="AU163" i="19"/>
  <c r="AK30" i="19"/>
  <c r="G56" i="20"/>
  <c r="AV117" i="19"/>
  <c r="AU117" i="19"/>
  <c r="AK24" i="19"/>
  <c r="AK79" i="19"/>
  <c r="AU158" i="19"/>
  <c r="AS158" i="19"/>
  <c r="AK54" i="19"/>
  <c r="G40" i="20"/>
  <c r="I66" i="20"/>
  <c r="AK50" i="19"/>
  <c r="AK10" i="19"/>
  <c r="AK152" i="19"/>
  <c r="G112" i="20"/>
  <c r="AM21" i="19"/>
  <c r="AV158" i="19"/>
  <c r="AM25" i="19"/>
  <c r="AK11" i="19"/>
  <c r="AK71" i="19"/>
  <c r="G4" i="20"/>
  <c r="AK74" i="19"/>
  <c r="AK136" i="19"/>
  <c r="AK81" i="19"/>
  <c r="AK36" i="19"/>
  <c r="AK43" i="19"/>
  <c r="AK8" i="19"/>
  <c r="AK3" i="19"/>
  <c r="G39" i="20"/>
  <c r="G159" i="20"/>
  <c r="AV163" i="19"/>
  <c r="G33" i="20"/>
  <c r="AV14" i="19"/>
  <c r="AU14" i="19"/>
  <c r="AS14" i="19"/>
  <c r="AK39" i="19"/>
  <c r="AK85" i="19"/>
  <c r="AM154" i="19"/>
  <c r="I8" i="20"/>
  <c r="AK33" i="19"/>
  <c r="AK35" i="19"/>
  <c r="AK59" i="19"/>
  <c r="G11" i="20"/>
  <c r="AU61" i="19"/>
  <c r="AK157" i="19"/>
  <c r="G129" i="20"/>
  <c r="AK16" i="19"/>
  <c r="AU139" i="19"/>
  <c r="AK4" i="19"/>
  <c r="G157" i="20"/>
  <c r="AK58" i="19"/>
  <c r="AK29" i="19"/>
  <c r="AK45" i="19"/>
  <c r="G98" i="20"/>
  <c r="AK23" i="19"/>
  <c r="AV124" i="19"/>
  <c r="AM31" i="19"/>
  <c r="AK7" i="19"/>
  <c r="AK77" i="19"/>
  <c r="AK47" i="19"/>
  <c r="AK52" i="19"/>
  <c r="AK70" i="19"/>
  <c r="AK66" i="19"/>
  <c r="AK107" i="19"/>
  <c r="AK49" i="19"/>
  <c r="AM149" i="19"/>
  <c r="AK46" i="19"/>
  <c r="AK146" i="19"/>
  <c r="AK28" i="19"/>
  <c r="AK91" i="19"/>
  <c r="AM64" i="19"/>
  <c r="AK37" i="19"/>
  <c r="G5" i="20"/>
  <c r="AK73" i="19"/>
  <c r="AK156" i="19"/>
  <c r="AK51" i="19"/>
  <c r="AK68" i="19"/>
  <c r="AK140" i="19"/>
  <c r="AK155" i="19"/>
  <c r="AK94" i="19"/>
  <c r="AK60" i="19"/>
  <c r="AK13" i="19"/>
  <c r="AM55" i="19"/>
  <c r="AK72" i="19"/>
  <c r="AK22" i="19"/>
  <c r="AK63" i="19"/>
  <c r="AK42" i="19"/>
  <c r="AK69" i="19"/>
  <c r="AK20" i="19"/>
  <c r="AK32" i="19"/>
  <c r="AK15" i="19"/>
  <c r="AK65" i="19"/>
  <c r="G48" i="20"/>
  <c r="AM28" i="19"/>
  <c r="G12" i="20"/>
  <c r="AM72" i="19"/>
  <c r="G71" i="20"/>
  <c r="G50" i="20"/>
  <c r="AM51" i="19"/>
  <c r="AM13" i="19"/>
  <c r="AS52" i="19"/>
  <c r="AV52" i="19"/>
  <c r="AU52" i="19"/>
  <c r="I51" i="20"/>
  <c r="AS3" i="19"/>
  <c r="AV3" i="19"/>
  <c r="AU3" i="19"/>
  <c r="I2" i="20"/>
  <c r="AS103" i="19"/>
  <c r="AV103" i="19"/>
  <c r="AS107" i="19"/>
  <c r="AV107" i="19"/>
  <c r="AS76" i="19"/>
  <c r="AV76" i="19"/>
  <c r="AU76" i="19"/>
  <c r="AS116" i="19"/>
  <c r="AV116" i="19"/>
  <c r="AS152" i="19"/>
  <c r="AV152" i="19"/>
  <c r="AS59" i="19"/>
  <c r="AV59" i="19"/>
  <c r="I58" i="20"/>
  <c r="AU59" i="19"/>
  <c r="AS40" i="19"/>
  <c r="AV40" i="19"/>
  <c r="AS96" i="19"/>
  <c r="AV96" i="19"/>
  <c r="AS72" i="19"/>
  <c r="AV72" i="19"/>
  <c r="I71" i="20"/>
  <c r="AS132" i="19"/>
  <c r="AV132" i="19"/>
  <c r="AS86" i="19"/>
  <c r="AV86" i="19"/>
  <c r="AS39" i="19"/>
  <c r="AV39" i="19"/>
  <c r="AS129" i="19"/>
  <c r="AV129" i="19"/>
  <c r="AU17" i="19"/>
  <c r="AV17" i="19"/>
  <c r="AS137" i="19"/>
  <c r="AV137" i="19"/>
  <c r="AS159" i="19"/>
  <c r="AV159" i="19"/>
  <c r="AV154" i="19"/>
  <c r="AS115" i="19"/>
  <c r="AV115" i="19"/>
  <c r="AS145" i="19"/>
  <c r="AV145" i="19"/>
  <c r="AS45" i="19"/>
  <c r="AV45" i="19"/>
  <c r="AS26" i="19"/>
  <c r="AV26" i="19"/>
  <c r="AS108" i="19"/>
  <c r="AV108" i="19"/>
  <c r="AS43" i="19"/>
  <c r="AV43" i="19"/>
  <c r="AS37" i="19"/>
  <c r="AV37" i="19"/>
  <c r="AU20" i="19"/>
  <c r="AV20" i="19"/>
  <c r="AS64" i="19"/>
  <c r="AV64" i="19"/>
  <c r="AS73" i="19"/>
  <c r="AV73" i="19"/>
  <c r="AM36" i="19"/>
  <c r="I36" i="20"/>
  <c r="AS82" i="19"/>
  <c r="AV82" i="19"/>
  <c r="AS94" i="19"/>
  <c r="AV94" i="19"/>
  <c r="AS119" i="19"/>
  <c r="AV119" i="19"/>
  <c r="AS155" i="19"/>
  <c r="AV155" i="19"/>
  <c r="AS117" i="19"/>
  <c r="AS51" i="19"/>
  <c r="AV51" i="19"/>
  <c r="AS54" i="19"/>
  <c r="AV54" i="19"/>
  <c r="AS168" i="19"/>
  <c r="AV168" i="19"/>
  <c r="AS85" i="19"/>
  <c r="AV85" i="19"/>
  <c r="I19" i="20"/>
  <c r="I45" i="20"/>
  <c r="AV46" i="19"/>
  <c r="AU46" i="19"/>
  <c r="AS46" i="19"/>
  <c r="AS12" i="19"/>
  <c r="AV12" i="19"/>
  <c r="AS122" i="19"/>
  <c r="AV122" i="19"/>
  <c r="AM22" i="19"/>
  <c r="AS90" i="19"/>
  <c r="AV90" i="19"/>
  <c r="AU5" i="19"/>
  <c r="AS11" i="19"/>
  <c r="AV11" i="19"/>
  <c r="AS135" i="19"/>
  <c r="AV135" i="19"/>
  <c r="AS36" i="19"/>
  <c r="AV36" i="19"/>
  <c r="AU150" i="19"/>
  <c r="AS153" i="19"/>
  <c r="AV153" i="19"/>
  <c r="AV127" i="19"/>
  <c r="AS50" i="19"/>
  <c r="AV50" i="19"/>
  <c r="AS99" i="19"/>
  <c r="AV99" i="19"/>
  <c r="AS65" i="19"/>
  <c r="AV65" i="19"/>
  <c r="AS33" i="19"/>
  <c r="AV33" i="19"/>
  <c r="AS20" i="19"/>
  <c r="AS30" i="19"/>
  <c r="AV30" i="19"/>
  <c r="AU25" i="19"/>
  <c r="AV25" i="19"/>
  <c r="AV42" i="19"/>
  <c r="I41" i="20"/>
  <c r="AS105" i="19"/>
  <c r="AV105" i="19"/>
  <c r="AS44" i="19"/>
  <c r="AV44" i="19"/>
  <c r="AS21" i="19"/>
  <c r="AV21" i="19"/>
  <c r="AU151" i="19"/>
  <c r="AV151" i="19"/>
  <c r="AS146" i="19"/>
  <c r="AV146" i="19"/>
  <c r="AS47" i="19"/>
  <c r="AV47" i="19"/>
  <c r="AS167" i="19"/>
  <c r="AV167" i="19"/>
  <c r="AS68" i="19"/>
  <c r="AV68" i="19"/>
  <c r="AS56" i="19"/>
  <c r="AV56" i="19"/>
  <c r="I9" i="20"/>
  <c r="AV10" i="19"/>
  <c r="AS55" i="19"/>
  <c r="AV55" i="19"/>
  <c r="AS133" i="19"/>
  <c r="AV133" i="19"/>
  <c r="AS98" i="19"/>
  <c r="AV98" i="19"/>
  <c r="AS80" i="19"/>
  <c r="AV80" i="19"/>
  <c r="I54" i="20"/>
  <c r="AU47" i="19"/>
  <c r="AU56" i="19"/>
  <c r="AS66" i="19"/>
  <c r="AV66" i="19"/>
  <c r="AS169" i="19"/>
  <c r="AV169" i="19"/>
  <c r="AS142" i="19"/>
  <c r="AV142" i="19"/>
  <c r="AS88" i="19"/>
  <c r="AV88" i="19"/>
  <c r="AS75" i="19"/>
  <c r="AV75" i="19"/>
  <c r="AS13" i="19"/>
  <c r="AV13" i="19"/>
  <c r="AS71" i="19"/>
  <c r="AV71" i="19"/>
  <c r="AS147" i="19"/>
  <c r="AV147" i="19"/>
  <c r="AS70" i="19"/>
  <c r="AV70" i="19"/>
  <c r="AS100" i="19"/>
  <c r="AV100" i="19"/>
  <c r="AS19" i="19"/>
  <c r="AV19" i="19"/>
  <c r="AS91" i="19"/>
  <c r="AV91" i="19"/>
  <c r="AS160" i="19"/>
  <c r="AV160" i="19"/>
  <c r="I69" i="20"/>
  <c r="AU26" i="19"/>
  <c r="I20" i="20"/>
  <c r="AS104" i="19"/>
  <c r="AV104" i="19"/>
  <c r="G21" i="20"/>
  <c r="AU85" i="19"/>
  <c r="AS83" i="19"/>
  <c r="AV83" i="19"/>
  <c r="I4" i="20"/>
  <c r="AS74" i="19"/>
  <c r="AV74" i="19"/>
  <c r="AS29" i="19"/>
  <c r="AV29" i="19"/>
  <c r="I21" i="20"/>
  <c r="AV22" i="19"/>
  <c r="AS92" i="19"/>
  <c r="AV92" i="19"/>
  <c r="AS148" i="19"/>
  <c r="AV148" i="19"/>
  <c r="AS49" i="19"/>
  <c r="AV49" i="19"/>
  <c r="AS77" i="19"/>
  <c r="AV77" i="19"/>
  <c r="AS16" i="19"/>
  <c r="AV16" i="19"/>
  <c r="AS89" i="19"/>
  <c r="AV89" i="19"/>
  <c r="AS63" i="19"/>
  <c r="AV63" i="19"/>
  <c r="AS121" i="19"/>
  <c r="AV121" i="19"/>
  <c r="AS35" i="19"/>
  <c r="AV35" i="19"/>
  <c r="AS15" i="19"/>
  <c r="AV15" i="19"/>
  <c r="AU69" i="19"/>
  <c r="AV69" i="19"/>
  <c r="AS53" i="19"/>
  <c r="AV53" i="19"/>
  <c r="AS32" i="19"/>
  <c r="AV32" i="19"/>
  <c r="AS34" i="19"/>
  <c r="AV34" i="19"/>
  <c r="AS9" i="19"/>
  <c r="AV9" i="19"/>
  <c r="AS109" i="19"/>
  <c r="AV109" i="19"/>
  <c r="AS120" i="19"/>
  <c r="AV120" i="19"/>
  <c r="AS61" i="19"/>
  <c r="AV61" i="19"/>
  <c r="AS111" i="19"/>
  <c r="AV111" i="19"/>
  <c r="AS141" i="19"/>
  <c r="AV141" i="19"/>
  <c r="AS67" i="19"/>
  <c r="AV67" i="19"/>
  <c r="AS128" i="19"/>
  <c r="AV128" i="19"/>
  <c r="AV123" i="19"/>
  <c r="AU123" i="19"/>
  <c r="AS8" i="19"/>
  <c r="AU8" i="19"/>
  <c r="AS106" i="19"/>
  <c r="AU106" i="19"/>
  <c r="I59" i="20"/>
  <c r="AS60" i="19"/>
  <c r="AU60" i="19"/>
  <c r="AS101" i="19"/>
  <c r="AS81" i="19"/>
  <c r="AU81" i="19"/>
  <c r="AS144" i="19"/>
  <c r="I7" i="20"/>
  <c r="AK168" i="19"/>
  <c r="AM168" i="19"/>
  <c r="AS131" i="19"/>
  <c r="AU131" i="19"/>
  <c r="AS58" i="19"/>
  <c r="AU58" i="19"/>
  <c r="I57" i="20"/>
  <c r="AU144" i="19"/>
  <c r="AS97" i="19"/>
  <c r="AS136" i="19"/>
  <c r="AU136" i="19"/>
  <c r="AS28" i="19"/>
  <c r="I27" i="20"/>
  <c r="AU28" i="19"/>
  <c r="AS31" i="19"/>
  <c r="AU31" i="19"/>
  <c r="AU101" i="19"/>
  <c r="AS140" i="19"/>
  <c r="AU140" i="19"/>
  <c r="AS48" i="19"/>
  <c r="AU48" i="19"/>
  <c r="AS118" i="19"/>
  <c r="AU118" i="19"/>
  <c r="I47" i="20"/>
  <c r="AS24" i="19"/>
  <c r="I23" i="20"/>
  <c r="AS138" i="19"/>
  <c r="AS157" i="19"/>
  <c r="AU157" i="19"/>
  <c r="AS125" i="19"/>
  <c r="AS78" i="19"/>
  <c r="I77" i="20"/>
  <c r="AU78" i="19"/>
  <c r="AS84" i="19"/>
  <c r="AU84" i="19"/>
  <c r="I46" i="20"/>
  <c r="AU141" i="19"/>
  <c r="AU45" i="19"/>
  <c r="AS164" i="19"/>
  <c r="AU164" i="19"/>
  <c r="AS6" i="19"/>
  <c r="I5" i="20"/>
  <c r="AS4" i="19"/>
  <c r="I3" i="20"/>
  <c r="I49" i="20"/>
  <c r="G27" i="20"/>
  <c r="AU132" i="19"/>
  <c r="I18" i="20"/>
  <c r="I44" i="20"/>
  <c r="AU99" i="19"/>
  <c r="AU167" i="19"/>
  <c r="AU34" i="19"/>
  <c r="AM49" i="19"/>
  <c r="AU13" i="19"/>
  <c r="AU21" i="19"/>
  <c r="AU116" i="19"/>
  <c r="AM94" i="19"/>
  <c r="AU98" i="19"/>
  <c r="AM91" i="19"/>
  <c r="AU54" i="19"/>
  <c r="AU30" i="19"/>
  <c r="AU127" i="19"/>
  <c r="AU43" i="19"/>
  <c r="I75" i="20"/>
  <c r="AS10" i="19"/>
  <c r="AU6" i="19"/>
  <c r="AS162" i="19"/>
  <c r="AU162" i="19"/>
  <c r="AU161" i="19"/>
  <c r="AS161" i="19"/>
  <c r="AS23" i="19"/>
  <c r="I22" i="20"/>
  <c r="AU23" i="19"/>
  <c r="AS143" i="19"/>
  <c r="AU143" i="19"/>
  <c r="AS69" i="19"/>
  <c r="I68" i="20"/>
  <c r="AS126" i="19"/>
  <c r="AU126" i="19"/>
  <c r="I52" i="20"/>
  <c r="AS7" i="19"/>
  <c r="AU7" i="19"/>
  <c r="I6" i="20"/>
  <c r="AS114" i="19"/>
  <c r="AU114" i="19"/>
  <c r="AM152" i="19"/>
  <c r="AU91" i="19"/>
  <c r="I67" i="20"/>
  <c r="AU10" i="19"/>
  <c r="AU4" i="19"/>
  <c r="AU120" i="19"/>
  <c r="AU146" i="19"/>
  <c r="I42" i="20"/>
  <c r="AU145" i="19"/>
  <c r="AU72" i="19"/>
  <c r="AS113" i="19"/>
  <c r="AU113" i="19"/>
  <c r="AS112" i="19"/>
  <c r="AU112" i="19"/>
  <c r="AU36" i="19"/>
  <c r="AU107" i="19"/>
  <c r="AU103" i="19"/>
  <c r="AU153" i="19"/>
  <c r="AU44" i="19"/>
  <c r="I35" i="20"/>
  <c r="AU88" i="19"/>
  <c r="AS41" i="19"/>
  <c r="AU41" i="19"/>
  <c r="AU97" i="19"/>
  <c r="G9" i="20"/>
  <c r="I40" i="20"/>
  <c r="I39" i="20"/>
  <c r="AK149" i="19"/>
  <c r="AM155" i="19"/>
  <c r="I30" i="20"/>
  <c r="AM10" i="19"/>
  <c r="AU40" i="19"/>
  <c r="I43" i="20"/>
  <c r="AM46" i="19"/>
  <c r="G45" i="20"/>
  <c r="I15" i="20"/>
  <c r="AU142" i="19"/>
  <c r="AS149" i="19"/>
  <c r="AU149" i="19"/>
  <c r="AU16" i="19"/>
  <c r="AM140" i="19"/>
  <c r="AU89" i="19"/>
  <c r="AU152" i="19"/>
  <c r="AS154" i="19"/>
  <c r="AU154" i="19"/>
  <c r="AS150" i="19"/>
  <c r="AU129" i="19"/>
  <c r="AM157" i="19"/>
  <c r="AU137" i="19"/>
  <c r="AU92" i="19"/>
  <c r="AS87" i="19"/>
  <c r="AU87" i="19"/>
  <c r="AU119" i="19"/>
  <c r="AU169" i="19"/>
  <c r="AM68" i="19"/>
  <c r="AU29" i="19"/>
  <c r="I28" i="20"/>
  <c r="G67" i="20"/>
  <c r="AU49" i="19"/>
  <c r="AU159" i="19"/>
  <c r="I50" i="20"/>
  <c r="AU121" i="19"/>
  <c r="AM156" i="19"/>
  <c r="AU51" i="19"/>
  <c r="AU94" i="19"/>
  <c r="AU155" i="19"/>
  <c r="I48" i="20"/>
  <c r="AU77" i="19"/>
  <c r="AM135" i="19"/>
  <c r="AU135" i="19"/>
  <c r="AU148" i="19"/>
  <c r="G35" i="20"/>
  <c r="G65" i="20"/>
  <c r="G69" i="20"/>
  <c r="AM66" i="19"/>
  <c r="AM70" i="19"/>
  <c r="AU111" i="19"/>
  <c r="I76" i="20"/>
  <c r="AS17" i="19"/>
  <c r="I16" i="20"/>
  <c r="AM84" i="19"/>
  <c r="AS22" i="19"/>
  <c r="AU22" i="19"/>
  <c r="AS156" i="19"/>
  <c r="AU156" i="19"/>
  <c r="I73" i="20"/>
  <c r="AU90" i="19"/>
  <c r="AU74" i="19"/>
  <c r="AM60" i="19"/>
  <c r="I81" i="20"/>
  <c r="G59" i="20"/>
  <c r="AU82" i="19"/>
  <c r="I10" i="20"/>
  <c r="AK53" i="19"/>
  <c r="G52" i="20"/>
  <c r="AM53" i="19"/>
  <c r="AU83" i="19"/>
  <c r="AU105" i="19"/>
  <c r="AS110" i="19"/>
  <c r="AU110" i="19"/>
  <c r="AK78" i="19"/>
  <c r="G77" i="20"/>
  <c r="AM78" i="19"/>
  <c r="AK82" i="19"/>
  <c r="AM82" i="19"/>
  <c r="G81" i="20"/>
  <c r="AM136" i="19"/>
  <c r="AU75" i="19"/>
  <c r="AK80" i="19"/>
  <c r="G79" i="20"/>
  <c r="AM80" i="19"/>
  <c r="AK38" i="19"/>
  <c r="AM38" i="19"/>
  <c r="G37" i="20"/>
  <c r="AU66" i="19"/>
  <c r="I74" i="20"/>
  <c r="AM74" i="19"/>
  <c r="AS38" i="19"/>
  <c r="AU38" i="19"/>
  <c r="I37" i="20"/>
  <c r="AS62" i="19"/>
  <c r="I61" i="20"/>
  <c r="AU62" i="19"/>
  <c r="AK67" i="19"/>
  <c r="AM67" i="19"/>
  <c r="G66" i="20"/>
  <c r="AS130" i="19"/>
  <c r="AU130" i="19"/>
  <c r="I65" i="20"/>
  <c r="G73" i="20"/>
  <c r="AK124" i="19"/>
  <c r="AM124" i="19"/>
  <c r="G53" i="20"/>
  <c r="AM54" i="19"/>
  <c r="G76" i="20"/>
  <c r="AM77" i="19"/>
  <c r="AM85" i="19"/>
  <c r="AU109" i="19"/>
  <c r="A6" i="20"/>
  <c r="G72" i="20"/>
  <c r="AM73" i="19"/>
  <c r="AU160" i="19"/>
  <c r="G51" i="20"/>
  <c r="AM52" i="19"/>
  <c r="I38" i="20"/>
  <c r="AU39" i="19"/>
  <c r="AM107" i="19"/>
  <c r="G34" i="20"/>
  <c r="AM35" i="19"/>
  <c r="AU122" i="19"/>
  <c r="I70" i="20"/>
  <c r="AU71" i="19"/>
  <c r="AM112" i="19"/>
  <c r="AU104" i="19"/>
  <c r="I72" i="20"/>
  <c r="AU73" i="19"/>
  <c r="G32" i="20"/>
  <c r="AM33" i="19"/>
  <c r="AU96" i="19"/>
  <c r="AU86" i="19"/>
  <c r="I32" i="20"/>
  <c r="AU33" i="19"/>
  <c r="I11" i="20"/>
  <c r="AU12" i="19"/>
  <c r="G46" i="20"/>
  <c r="AM47" i="19"/>
  <c r="I63" i="20"/>
  <c r="AU64" i="19"/>
  <c r="G80" i="20"/>
  <c r="AM81" i="19"/>
  <c r="B27" i="23" l="1"/>
  <c r="AM164" i="19"/>
  <c r="AM153" i="19"/>
  <c r="AK115" i="19"/>
  <c r="AM160" i="19"/>
  <c r="AK151" i="19"/>
  <c r="AK96" i="19"/>
  <c r="AM27" i="19"/>
  <c r="G26" i="20"/>
  <c r="G113" i="20"/>
  <c r="AK135" i="19"/>
  <c r="AM96" i="19"/>
  <c r="G25" i="20"/>
  <c r="AK164" i="19"/>
  <c r="AM26" i="19"/>
  <c r="AM61" i="19"/>
  <c r="AK153" i="19"/>
  <c r="G104" i="20"/>
  <c r="AK61" i="19"/>
  <c r="AM106" i="19"/>
  <c r="AM151" i="19"/>
  <c r="AM132" i="19"/>
  <c r="AK132" i="19"/>
  <c r="AK169" i="19"/>
  <c r="AM158" i="19"/>
  <c r="AK137" i="19"/>
  <c r="A19" i="19"/>
  <c r="A17" i="20"/>
  <c r="AK165" i="19"/>
  <c r="AM165" i="19"/>
  <c r="G144" i="20"/>
  <c r="AM169" i="19"/>
  <c r="AM137" i="19"/>
  <c r="AK158" i="19"/>
  <c r="AK160" i="19"/>
  <c r="AK141" i="19"/>
  <c r="G139" i="20"/>
  <c r="AK110" i="19"/>
  <c r="G108" i="20"/>
  <c r="AM119" i="19"/>
  <c r="G117" i="20"/>
  <c r="AK129" i="19"/>
  <c r="G127" i="20"/>
  <c r="AM128" i="19"/>
  <c r="G126" i="20"/>
  <c r="AK127" i="19"/>
  <c r="G125" i="20"/>
  <c r="AK101" i="19"/>
  <c r="G99" i="20"/>
  <c r="AK121" i="19"/>
  <c r="G119" i="20"/>
  <c r="AM163" i="19"/>
  <c r="G161" i="20"/>
  <c r="AK167" i="19"/>
  <c r="G164" i="20"/>
  <c r="AK138" i="19"/>
  <c r="G136" i="20"/>
  <c r="AK142" i="19"/>
  <c r="G140" i="20"/>
  <c r="AM87" i="19"/>
  <c r="G86" i="20"/>
  <c r="AK88" i="19"/>
  <c r="G87" i="20"/>
  <c r="AK145" i="19"/>
  <c r="G143" i="20"/>
  <c r="AK125" i="19"/>
  <c r="G123" i="20"/>
  <c r="AK130" i="19"/>
  <c r="G128" i="20"/>
  <c r="AK89" i="19"/>
  <c r="G88" i="20"/>
  <c r="AM123" i="19"/>
  <c r="G121" i="20"/>
  <c r="AK147" i="19"/>
  <c r="G145" i="20"/>
  <c r="AK143" i="19"/>
  <c r="G141" i="20"/>
  <c r="AK144" i="19"/>
  <c r="G142" i="20"/>
  <c r="AK86" i="19"/>
  <c r="G85" i="20"/>
  <c r="AK103" i="19"/>
  <c r="G101" i="20"/>
  <c r="AK99" i="19"/>
  <c r="G97" i="20"/>
  <c r="AK118" i="19"/>
  <c r="G116" i="20"/>
  <c r="AK98" i="19"/>
  <c r="G96" i="20"/>
  <c r="AK108" i="19"/>
  <c r="G106" i="20"/>
  <c r="AK97" i="19"/>
  <c r="G95" i="20"/>
  <c r="AK104" i="19"/>
  <c r="G102" i="20"/>
  <c r="AM105" i="19"/>
  <c r="G103" i="20"/>
  <c r="AK92" i="19"/>
  <c r="G91" i="20"/>
  <c r="AK122" i="19"/>
  <c r="G120" i="20"/>
  <c r="AK148" i="19"/>
  <c r="G146" i="20"/>
  <c r="AK117" i="19"/>
  <c r="G115" i="20"/>
  <c r="AK139" i="19"/>
  <c r="G137" i="20"/>
  <c r="AM111" i="19"/>
  <c r="G109" i="20"/>
  <c r="AK83" i="19"/>
  <c r="G82" i="20"/>
  <c r="AM120" i="19"/>
  <c r="G118" i="20"/>
  <c r="AK116" i="19"/>
  <c r="G114" i="20"/>
  <c r="AK133" i="19"/>
  <c r="G131" i="20"/>
  <c r="AM39" i="19"/>
  <c r="G41" i="20"/>
  <c r="AM20" i="19"/>
  <c r="AM37" i="19"/>
  <c r="G24" i="20"/>
  <c r="AM141" i="19"/>
  <c r="AM101" i="19"/>
  <c r="AM103" i="19"/>
  <c r="AM130" i="19"/>
  <c r="G62" i="20"/>
  <c r="AM63" i="19"/>
  <c r="AM43" i="19"/>
  <c r="G54" i="20"/>
  <c r="AM100" i="19"/>
  <c r="G58" i="20"/>
  <c r="G78" i="20"/>
  <c r="AM116" i="19"/>
  <c r="AM145" i="19"/>
  <c r="AM48" i="19"/>
  <c r="G29" i="20"/>
  <c r="AM99" i="19"/>
  <c r="AM167" i="19"/>
  <c r="AM57" i="19"/>
  <c r="AM42" i="19"/>
  <c r="AM16" i="19"/>
  <c r="G36" i="20"/>
  <c r="AM125" i="19"/>
  <c r="G70" i="20"/>
  <c r="AM144" i="19"/>
  <c r="G19" i="20"/>
  <c r="G15" i="20"/>
  <c r="G3" i="20"/>
  <c r="AM88" i="19"/>
  <c r="AM142" i="19"/>
  <c r="AM34" i="19"/>
  <c r="AM40" i="19"/>
  <c r="G14" i="20"/>
  <c r="AM23" i="19"/>
  <c r="AM86" i="19"/>
  <c r="AM118" i="19"/>
  <c r="AK114" i="19"/>
  <c r="AM147" i="19"/>
  <c r="G63" i="20"/>
  <c r="G64" i="20"/>
  <c r="AK34" i="19"/>
  <c r="AM59" i="19"/>
  <c r="G38" i="20"/>
  <c r="G8" i="20"/>
  <c r="AM133" i="19"/>
  <c r="G7" i="20"/>
  <c r="AM89" i="19"/>
  <c r="AM56" i="19"/>
  <c r="AM30" i="19"/>
  <c r="AK163" i="19"/>
  <c r="AK57" i="19"/>
  <c r="AM104" i="19"/>
  <c r="G22" i="20"/>
  <c r="AM117" i="19"/>
  <c r="AM5" i="19"/>
  <c r="AM110" i="19"/>
  <c r="AM92" i="19"/>
  <c r="AK64" i="19"/>
  <c r="G49" i="20"/>
  <c r="AM79" i="19"/>
  <c r="G42" i="20"/>
  <c r="AM11" i="19"/>
  <c r="AM58" i="19"/>
  <c r="AM45" i="19"/>
  <c r="AM138" i="19"/>
  <c r="G6" i="20"/>
  <c r="AK87" i="19"/>
  <c r="AK90" i="19"/>
  <c r="AK56" i="19"/>
  <c r="AK9" i="19"/>
  <c r="AM12" i="19"/>
  <c r="G44" i="20"/>
  <c r="AM90" i="19"/>
  <c r="G30" i="20"/>
  <c r="G18" i="20"/>
  <c r="AM98" i="19"/>
  <c r="AM32" i="19"/>
  <c r="G31" i="20"/>
  <c r="AM131" i="19"/>
  <c r="AM6" i="19"/>
  <c r="G10" i="20"/>
  <c r="G20" i="20"/>
  <c r="AM127" i="19"/>
  <c r="AM69" i="19"/>
  <c r="AK55" i="19"/>
  <c r="AK111" i="19"/>
  <c r="AK131" i="19"/>
  <c r="AK12" i="19"/>
  <c r="AK119" i="19"/>
  <c r="G47" i="20"/>
  <c r="AM8" i="19"/>
  <c r="AM109" i="19"/>
  <c r="AM3" i="19"/>
  <c r="AM114" i="19"/>
  <c r="AM7" i="19"/>
  <c r="AK100" i="19"/>
  <c r="AK6" i="19"/>
  <c r="AK105" i="19"/>
  <c r="AM14" i="19"/>
  <c r="G13" i="20"/>
  <c r="AK25" i="19"/>
  <c r="AK31" i="19"/>
  <c r="AM50" i="19"/>
  <c r="AM15" i="19"/>
  <c r="AM83" i="19"/>
  <c r="AM71" i="19"/>
  <c r="AM122" i="19"/>
  <c r="AM129" i="19"/>
  <c r="AM108" i="19"/>
  <c r="AM4" i="19"/>
  <c r="AM65" i="19"/>
  <c r="AM148" i="19"/>
  <c r="AM143" i="19"/>
  <c r="G68" i="20"/>
  <c r="G57" i="20"/>
  <c r="AK159" i="19"/>
  <c r="AK128" i="19"/>
  <c r="AK40" i="19"/>
  <c r="AK120" i="19"/>
  <c r="AK14" i="19"/>
  <c r="AK5" i="19"/>
  <c r="AK21" i="19"/>
  <c r="AK109" i="19"/>
  <c r="AK123" i="19"/>
  <c r="AM161" i="19"/>
  <c r="AM121" i="19"/>
  <c r="AM19" i="19"/>
  <c r="AM139" i="19"/>
  <c r="AM159" i="19"/>
  <c r="G28" i="20"/>
  <c r="AM29" i="19"/>
  <c r="G2" i="20"/>
  <c r="AM97" i="19"/>
  <c r="AK161" i="19"/>
  <c r="A7" i="20"/>
  <c r="B28" i="23" l="1"/>
  <c r="A20" i="19"/>
  <c r="A21" i="19" s="1"/>
  <c r="A22" i="19" s="1"/>
  <c r="A23" i="19" s="1"/>
  <c r="A24" i="19" s="1"/>
  <c r="A25" i="19" s="1"/>
  <c r="A26" i="19" s="1"/>
  <c r="A27" i="19" s="1"/>
  <c r="A28" i="19" s="1"/>
  <c r="A29" i="19" s="1"/>
  <c r="A30" i="19" s="1"/>
  <c r="A31" i="19" s="1"/>
  <c r="A32" i="19" s="1"/>
  <c r="A33" i="19" s="1"/>
  <c r="A34" i="19" s="1"/>
  <c r="A35" i="19" s="1"/>
  <c r="A36" i="19" s="1"/>
  <c r="A37" i="19" s="1"/>
  <c r="A38" i="19" s="1"/>
  <c r="A39" i="19" s="1"/>
  <c r="A40" i="19" s="1"/>
  <c r="A41" i="19" s="1"/>
  <c r="A42" i="19" s="1"/>
  <c r="A43" i="19" s="1"/>
  <c r="A44" i="19" s="1"/>
  <c r="A45" i="19" s="1"/>
  <c r="A46" i="19" s="1"/>
  <c r="A47" i="19" s="1"/>
  <c r="A48" i="19" s="1"/>
  <c r="A49" i="19" s="1"/>
  <c r="A50" i="19" s="1"/>
  <c r="A51" i="19" s="1"/>
  <c r="A52" i="19" s="1"/>
  <c r="A53" i="19" s="1"/>
  <c r="A54" i="19" s="1"/>
  <c r="A55" i="19" s="1"/>
  <c r="A56" i="19" s="1"/>
  <c r="A57" i="19" s="1"/>
  <c r="A58" i="19" s="1"/>
  <c r="A59" i="19" s="1"/>
  <c r="A60" i="19" s="1"/>
  <c r="A61" i="19" s="1"/>
  <c r="A62" i="19" s="1"/>
  <c r="A63" i="19" s="1"/>
  <c r="A64" i="19" s="1"/>
  <c r="A65" i="19" s="1"/>
  <c r="A66" i="19" s="1"/>
  <c r="A67" i="19" s="1"/>
  <c r="A68" i="19" s="1"/>
  <c r="A69" i="19" s="1"/>
  <c r="A70" i="19" s="1"/>
  <c r="A71" i="19" s="1"/>
  <c r="A72" i="19" s="1"/>
  <c r="A73" i="19" s="1"/>
  <c r="A74" i="19" s="1"/>
  <c r="A75" i="19" s="1"/>
  <c r="A76" i="19" s="1"/>
  <c r="A77" i="19" s="1"/>
  <c r="A78" i="19" s="1"/>
  <c r="A79" i="19" s="1"/>
  <c r="A80" i="19" s="1"/>
  <c r="A81" i="19" s="1"/>
  <c r="A82" i="19" s="1"/>
  <c r="A83" i="19" s="1"/>
  <c r="A8" i="20"/>
  <c r="D7" i="16"/>
  <c r="E6" i="16"/>
  <c r="B29" i="23" l="1"/>
  <c r="B4" i="22"/>
  <c r="J3" i="22"/>
  <c r="A84" i="19"/>
  <c r="A82" i="20"/>
  <c r="D36" i="22"/>
  <c r="E36" i="22" s="1"/>
  <c r="A9" i="20"/>
  <c r="B30" i="23" l="1"/>
  <c r="A85" i="19"/>
  <c r="A83" i="20"/>
  <c r="E17" i="22"/>
  <c r="K5" i="22"/>
  <c r="A10" i="20"/>
  <c r="Y2" i="3"/>
  <c r="Y1" i="3"/>
  <c r="Y4" i="23" s="1"/>
  <c r="AU1" i="3"/>
  <c r="AU4" i="23" s="1"/>
  <c r="AT1" i="3"/>
  <c r="AT4" i="23" s="1"/>
  <c r="AS1" i="3"/>
  <c r="AS4" i="23" s="1"/>
  <c r="AR1" i="3"/>
  <c r="AR4" i="23" s="1"/>
  <c r="AQ1" i="3"/>
  <c r="AQ4" i="23" s="1"/>
  <c r="AP1" i="3"/>
  <c r="AP4" i="23" s="1"/>
  <c r="AO1" i="3"/>
  <c r="AO4" i="23" s="1"/>
  <c r="AN1" i="3"/>
  <c r="AN4" i="23" s="1"/>
  <c r="AM1" i="3"/>
  <c r="AM4" i="23" s="1"/>
  <c r="AL1" i="3"/>
  <c r="AL4" i="23" s="1"/>
  <c r="AK1" i="3"/>
  <c r="AK4" i="23" s="1"/>
  <c r="AJ1" i="3"/>
  <c r="AJ4" i="23" s="1"/>
  <c r="AI1" i="3"/>
  <c r="AI4" i="23" s="1"/>
  <c r="AH1" i="3"/>
  <c r="AH4" i="23" s="1"/>
  <c r="AG1" i="3"/>
  <c r="AG4" i="23" s="1"/>
  <c r="AF1" i="3"/>
  <c r="AF4" i="23" s="1"/>
  <c r="AE1" i="3"/>
  <c r="AE4" i="23" s="1"/>
  <c r="AD1" i="3"/>
  <c r="AD4" i="23" s="1"/>
  <c r="AC1" i="3"/>
  <c r="AC4" i="23" s="1"/>
  <c r="AB1" i="3"/>
  <c r="AB4" i="23" s="1"/>
  <c r="AA1" i="3"/>
  <c r="AA4" i="23" s="1"/>
  <c r="Z1" i="3"/>
  <c r="Z4" i="23" s="1"/>
  <c r="X1" i="3"/>
  <c r="X4" i="23" s="1"/>
  <c r="W1" i="3"/>
  <c r="W4" i="23" s="1"/>
  <c r="V1" i="3"/>
  <c r="V4" i="23" s="1"/>
  <c r="U1" i="3"/>
  <c r="U4" i="23" s="1"/>
  <c r="T1" i="3"/>
  <c r="T4" i="23" s="1"/>
  <c r="S1" i="3"/>
  <c r="S4" i="23" s="1"/>
  <c r="R1" i="3"/>
  <c r="R4" i="23" s="1"/>
  <c r="Q1" i="3"/>
  <c r="Q4" i="23" s="1"/>
  <c r="P1" i="3"/>
  <c r="P4" i="23" s="1"/>
  <c r="O1" i="3"/>
  <c r="O4" i="23" s="1"/>
  <c r="N1" i="3"/>
  <c r="N4" i="23" s="1"/>
  <c r="M1" i="3"/>
  <c r="M4" i="23" s="1"/>
  <c r="L1" i="3"/>
  <c r="L4" i="23" s="1"/>
  <c r="K1" i="3"/>
  <c r="K4" i="23" s="1"/>
  <c r="J1" i="3"/>
  <c r="J4" i="23" s="1"/>
  <c r="I1" i="3"/>
  <c r="I4" i="23" s="1"/>
  <c r="H1" i="3"/>
  <c r="G1" i="3"/>
  <c r="F1" i="3"/>
  <c r="E1" i="3"/>
  <c r="D1" i="3"/>
  <c r="AU2" i="3"/>
  <c r="AH2" i="3"/>
  <c r="W2" i="3"/>
  <c r="U2" i="3"/>
  <c r="S2" i="3"/>
  <c r="C2" i="3"/>
  <c r="B2" i="3"/>
  <c r="C5" i="23" s="1"/>
  <c r="AT2" i="3"/>
  <c r="D2" i="3"/>
  <c r="E2" i="3"/>
  <c r="F2" i="3"/>
  <c r="G2" i="3"/>
  <c r="H2" i="3"/>
  <c r="I2" i="3"/>
  <c r="J2" i="3"/>
  <c r="K2" i="3"/>
  <c r="L2" i="3"/>
  <c r="M2" i="3"/>
  <c r="N2" i="3"/>
  <c r="O2" i="3"/>
  <c r="P2" i="3"/>
  <c r="Q2" i="3"/>
  <c r="R2" i="3"/>
  <c r="T2" i="3"/>
  <c r="V2" i="3"/>
  <c r="X2" i="3"/>
  <c r="Z2" i="3"/>
  <c r="AA2" i="3"/>
  <c r="AB2" i="3"/>
  <c r="AC2" i="3"/>
  <c r="AD2" i="3"/>
  <c r="AE2" i="3"/>
  <c r="AF2" i="3"/>
  <c r="AG2" i="3"/>
  <c r="AI2" i="3"/>
  <c r="AJ2" i="3"/>
  <c r="AK2" i="3"/>
  <c r="AL2" i="3"/>
  <c r="AM2" i="3"/>
  <c r="AN2" i="3"/>
  <c r="AO2" i="3"/>
  <c r="AP2" i="3"/>
  <c r="AQ2" i="3"/>
  <c r="AR2" i="3"/>
  <c r="AS2" i="3"/>
  <c r="C1" i="3"/>
  <c r="S6" i="23" l="1"/>
  <c r="S10" i="23"/>
  <c r="S7" i="23"/>
  <c r="S11" i="23"/>
  <c r="S8" i="23"/>
  <c r="S14" i="23"/>
  <c r="S12" i="23"/>
  <c r="S15" i="23"/>
  <c r="S9" i="23"/>
  <c r="S17" i="23"/>
  <c r="S13" i="23"/>
  <c r="S16" i="23"/>
  <c r="S18" i="23"/>
  <c r="S19" i="23"/>
  <c r="S22" i="23"/>
  <c r="S24" i="23"/>
  <c r="S20" i="23"/>
  <c r="S21" i="23"/>
  <c r="S25" i="23"/>
  <c r="S29" i="23"/>
  <c r="S23" i="23"/>
  <c r="S26" i="23"/>
  <c r="S28" i="23"/>
  <c r="S30" i="23"/>
  <c r="S27" i="23"/>
  <c r="AB9" i="23"/>
  <c r="AB6" i="23"/>
  <c r="AB10" i="23"/>
  <c r="AB7" i="23"/>
  <c r="AB12" i="23"/>
  <c r="AB8" i="23"/>
  <c r="AB14" i="23"/>
  <c r="AB15" i="23"/>
  <c r="AB13" i="23"/>
  <c r="AB16" i="23"/>
  <c r="AB20" i="23"/>
  <c r="AB11" i="23"/>
  <c r="AB17" i="23"/>
  <c r="AB21" i="23"/>
  <c r="AB25" i="23"/>
  <c r="AB18" i="23"/>
  <c r="AB23" i="23"/>
  <c r="AB27" i="23"/>
  <c r="AB24" i="23"/>
  <c r="AB28" i="23"/>
  <c r="AB22" i="23"/>
  <c r="AB26" i="23"/>
  <c r="AB30" i="23"/>
  <c r="AB19" i="23"/>
  <c r="AB29" i="23"/>
  <c r="AN9" i="23"/>
  <c r="AN6" i="23"/>
  <c r="AN10" i="23"/>
  <c r="AN7" i="23"/>
  <c r="AN13" i="23"/>
  <c r="AN12" i="23"/>
  <c r="AN14" i="23"/>
  <c r="AN11" i="23"/>
  <c r="AN15" i="23"/>
  <c r="AN20" i="23"/>
  <c r="AN8" i="23"/>
  <c r="AN16" i="23"/>
  <c r="AN17" i="23"/>
  <c r="AN18" i="23"/>
  <c r="AN21" i="23"/>
  <c r="AN23" i="23"/>
  <c r="AN27" i="23"/>
  <c r="AN19" i="23"/>
  <c r="AN24" i="23"/>
  <c r="AN28" i="23"/>
  <c r="AN30" i="23"/>
  <c r="AN25" i="23"/>
  <c r="AN26" i="23"/>
  <c r="AN29" i="23"/>
  <c r="AN22" i="23"/>
  <c r="L9" i="23"/>
  <c r="L6" i="23"/>
  <c r="L10" i="23"/>
  <c r="L7" i="23"/>
  <c r="L12" i="23"/>
  <c r="L8" i="23"/>
  <c r="L14" i="23"/>
  <c r="L13" i="23"/>
  <c r="L15" i="23"/>
  <c r="L16" i="23"/>
  <c r="L20" i="23"/>
  <c r="L17" i="23"/>
  <c r="L11" i="23"/>
  <c r="L21" i="23"/>
  <c r="L25" i="23"/>
  <c r="L18" i="23"/>
  <c r="L23" i="23"/>
  <c r="L27" i="23"/>
  <c r="L24" i="23"/>
  <c r="L26" i="23"/>
  <c r="L28" i="23"/>
  <c r="L22" i="23"/>
  <c r="L30" i="23"/>
  <c r="L19" i="23"/>
  <c r="L29" i="23"/>
  <c r="P9" i="23"/>
  <c r="P6" i="23"/>
  <c r="P10" i="23"/>
  <c r="P7" i="23"/>
  <c r="P11" i="23"/>
  <c r="P13" i="23"/>
  <c r="P14" i="23"/>
  <c r="P8" i="23"/>
  <c r="P15" i="23"/>
  <c r="P20" i="23"/>
  <c r="P17" i="23"/>
  <c r="P18" i="23"/>
  <c r="P21" i="23"/>
  <c r="P25" i="23"/>
  <c r="P12" i="23"/>
  <c r="P23" i="23"/>
  <c r="P27" i="23"/>
  <c r="P19" i="23"/>
  <c r="P24" i="23"/>
  <c r="P28" i="23"/>
  <c r="P26" i="23"/>
  <c r="P30" i="23"/>
  <c r="P22" i="23"/>
  <c r="P16" i="23"/>
  <c r="P29" i="23"/>
  <c r="T9" i="23"/>
  <c r="T6" i="23"/>
  <c r="T10" i="23"/>
  <c r="T7" i="23"/>
  <c r="T11" i="23"/>
  <c r="T13" i="23"/>
  <c r="T8" i="23"/>
  <c r="T14" i="23"/>
  <c r="T15" i="23"/>
  <c r="T12" i="23"/>
  <c r="T20" i="23"/>
  <c r="T17" i="23"/>
  <c r="T21" i="23"/>
  <c r="T25" i="23"/>
  <c r="T16" i="23"/>
  <c r="T18" i="23"/>
  <c r="T23" i="23"/>
  <c r="T27" i="23"/>
  <c r="T24" i="23"/>
  <c r="T19" i="23"/>
  <c r="T22" i="23"/>
  <c r="T26" i="23"/>
  <c r="T28" i="23"/>
  <c r="T30" i="23"/>
  <c r="T29" i="23"/>
  <c r="X9" i="23"/>
  <c r="X6" i="23"/>
  <c r="X10" i="23"/>
  <c r="X7" i="23"/>
  <c r="X12" i="23"/>
  <c r="X14" i="23"/>
  <c r="X11" i="23"/>
  <c r="X15" i="23"/>
  <c r="X20" i="23"/>
  <c r="X16" i="23"/>
  <c r="X17" i="23"/>
  <c r="X18" i="23"/>
  <c r="X21" i="23"/>
  <c r="X25" i="23"/>
  <c r="X23" i="23"/>
  <c r="X27" i="23"/>
  <c r="X8" i="23"/>
  <c r="X13" i="23"/>
  <c r="X19" i="23"/>
  <c r="X24" i="23"/>
  <c r="X28" i="23"/>
  <c r="X30" i="23"/>
  <c r="X26" i="23"/>
  <c r="X22" i="23"/>
  <c r="X29" i="23"/>
  <c r="AC8" i="23"/>
  <c r="AC9" i="23"/>
  <c r="AC13" i="23"/>
  <c r="AC12" i="23"/>
  <c r="AC6" i="23"/>
  <c r="AC10" i="23"/>
  <c r="AC11" i="23"/>
  <c r="AC19" i="23"/>
  <c r="AC7" i="23"/>
  <c r="AC16" i="23"/>
  <c r="AC20" i="23"/>
  <c r="AC24" i="23"/>
  <c r="AC14" i="23"/>
  <c r="AC22" i="23"/>
  <c r="AC26" i="23"/>
  <c r="AC17" i="23"/>
  <c r="AC18" i="23"/>
  <c r="AC23" i="23"/>
  <c r="AC27" i="23"/>
  <c r="AC15" i="23"/>
  <c r="AC21" i="23"/>
  <c r="AC25" i="23"/>
  <c r="AC29" i="23"/>
  <c r="AC30" i="23"/>
  <c r="AC28" i="23"/>
  <c r="AG8" i="23"/>
  <c r="AG9" i="23"/>
  <c r="AG13" i="23"/>
  <c r="AG12" i="23"/>
  <c r="AG6" i="23"/>
  <c r="AG7" i="23"/>
  <c r="AG10" i="23"/>
  <c r="AG16" i="23"/>
  <c r="AG19" i="23"/>
  <c r="AG14" i="23"/>
  <c r="AG15" i="23"/>
  <c r="AG20" i="23"/>
  <c r="AG24" i="23"/>
  <c r="AG11" i="23"/>
  <c r="AG22" i="23"/>
  <c r="AG26" i="23"/>
  <c r="AG23" i="23"/>
  <c r="AG25" i="23"/>
  <c r="AG29" i="23"/>
  <c r="AG18" i="23"/>
  <c r="AG21" i="23"/>
  <c r="AG27" i="23"/>
  <c r="AG30" i="23"/>
  <c r="AG28" i="23"/>
  <c r="AG17" i="23"/>
  <c r="AK8" i="23"/>
  <c r="AK9" i="23"/>
  <c r="AK11" i="23"/>
  <c r="AK13" i="23"/>
  <c r="AK7" i="23"/>
  <c r="AK10" i="23"/>
  <c r="AK19" i="23"/>
  <c r="AK20" i="23"/>
  <c r="AK12" i="23"/>
  <c r="AK24" i="23"/>
  <c r="AK6" i="23"/>
  <c r="AK15" i="23"/>
  <c r="AK22" i="23"/>
  <c r="AK26" i="23"/>
  <c r="AK14" i="23"/>
  <c r="AK17" i="23"/>
  <c r="AK18" i="23"/>
  <c r="AK23" i="23"/>
  <c r="AK21" i="23"/>
  <c r="AK25" i="23"/>
  <c r="AK27" i="23"/>
  <c r="AK29" i="23"/>
  <c r="AK16" i="23"/>
  <c r="AK30" i="23"/>
  <c r="AK28" i="23"/>
  <c r="AO8" i="23"/>
  <c r="AO9" i="23"/>
  <c r="AO11" i="23"/>
  <c r="AO6" i="23"/>
  <c r="AO7" i="23"/>
  <c r="AO10" i="23"/>
  <c r="AO13" i="23"/>
  <c r="AO12" i="23"/>
  <c r="AO19" i="23"/>
  <c r="AO14" i="23"/>
  <c r="AO15" i="23"/>
  <c r="AO20" i="23"/>
  <c r="AO24" i="23"/>
  <c r="AO16" i="23"/>
  <c r="AO22" i="23"/>
  <c r="AO26" i="23"/>
  <c r="AO23" i="23"/>
  <c r="AO18" i="23"/>
  <c r="AO25" i="23"/>
  <c r="AO17" i="23"/>
  <c r="AO29" i="23"/>
  <c r="AO30" i="23"/>
  <c r="AO27" i="23"/>
  <c r="AO28" i="23"/>
  <c r="AO21" i="23"/>
  <c r="AS8" i="23"/>
  <c r="AS9" i="23"/>
  <c r="AS10" i="23"/>
  <c r="AS12" i="23"/>
  <c r="AS13" i="23"/>
  <c r="AS6" i="23"/>
  <c r="AS11" i="23"/>
  <c r="AS19" i="23"/>
  <c r="AS16" i="23"/>
  <c r="AS20" i="23"/>
  <c r="AS14" i="23"/>
  <c r="AS24" i="23"/>
  <c r="AS22" i="23"/>
  <c r="AS26" i="23"/>
  <c r="AS15" i="23"/>
  <c r="AS17" i="23"/>
  <c r="AS18" i="23"/>
  <c r="AS23" i="23"/>
  <c r="AS27" i="23"/>
  <c r="AS21" i="23"/>
  <c r="AS25" i="23"/>
  <c r="AS29" i="23"/>
  <c r="AS7" i="23"/>
  <c r="AS30" i="23"/>
  <c r="AS28" i="23"/>
  <c r="O6" i="23"/>
  <c r="O10" i="23"/>
  <c r="O7" i="23"/>
  <c r="O11" i="23"/>
  <c r="O8" i="23"/>
  <c r="O13" i="23"/>
  <c r="O14" i="23"/>
  <c r="O9" i="23"/>
  <c r="O15" i="23"/>
  <c r="O12" i="23"/>
  <c r="O17" i="23"/>
  <c r="O18" i="23"/>
  <c r="O16" i="23"/>
  <c r="O22" i="23"/>
  <c r="O19" i="23"/>
  <c r="O24" i="23"/>
  <c r="O21" i="23"/>
  <c r="O25" i="23"/>
  <c r="O29" i="23"/>
  <c r="O20" i="23"/>
  <c r="O23" i="23"/>
  <c r="O27" i="23"/>
  <c r="O28" i="23"/>
  <c r="O30" i="23"/>
  <c r="O26" i="23"/>
  <c r="W6" i="23"/>
  <c r="W10" i="23"/>
  <c r="W7" i="23"/>
  <c r="W11" i="23"/>
  <c r="W8" i="23"/>
  <c r="W12" i="23"/>
  <c r="W14" i="23"/>
  <c r="W9" i="23"/>
  <c r="W15" i="23"/>
  <c r="W13" i="23"/>
  <c r="W16" i="23"/>
  <c r="W17" i="23"/>
  <c r="W18" i="23"/>
  <c r="W22" i="23"/>
  <c r="W19" i="23"/>
  <c r="W24" i="23"/>
  <c r="W21" i="23"/>
  <c r="W25" i="23"/>
  <c r="W23" i="23"/>
  <c r="W27" i="23"/>
  <c r="W29" i="23"/>
  <c r="W26" i="23"/>
  <c r="W20" i="23"/>
  <c r="W28" i="23"/>
  <c r="W30" i="23"/>
  <c r="AF9" i="23"/>
  <c r="AF6" i="23"/>
  <c r="AF10" i="23"/>
  <c r="AF7" i="23"/>
  <c r="AF11" i="23"/>
  <c r="AF13" i="23"/>
  <c r="AF14" i="23"/>
  <c r="AF8" i="23"/>
  <c r="AF15" i="23"/>
  <c r="AF20" i="23"/>
  <c r="AF12" i="23"/>
  <c r="AF17" i="23"/>
  <c r="AF18" i="23"/>
  <c r="AF21" i="23"/>
  <c r="AF23" i="23"/>
  <c r="AF27" i="23"/>
  <c r="AF16" i="23"/>
  <c r="AF19" i="23"/>
  <c r="AF24" i="23"/>
  <c r="AF28" i="23"/>
  <c r="AF30" i="23"/>
  <c r="AF22" i="23"/>
  <c r="AF25" i="23"/>
  <c r="AF26" i="23"/>
  <c r="AF29" i="23"/>
  <c r="Y8" i="23"/>
  <c r="Y9" i="23"/>
  <c r="Y13" i="23"/>
  <c r="Y11" i="23"/>
  <c r="Y6" i="23"/>
  <c r="Y7" i="23"/>
  <c r="Y10" i="23"/>
  <c r="Y12" i="23"/>
  <c r="Y19" i="23"/>
  <c r="Y14" i="23"/>
  <c r="Y15" i="23"/>
  <c r="Y20" i="23"/>
  <c r="Y16" i="23"/>
  <c r="Y24" i="23"/>
  <c r="Y22" i="23"/>
  <c r="Y26" i="23"/>
  <c r="Y23" i="23"/>
  <c r="Y17" i="23"/>
  <c r="Y18" i="23"/>
  <c r="Y29" i="23"/>
  <c r="Y30" i="23"/>
  <c r="Y21" i="23"/>
  <c r="Y25" i="23"/>
  <c r="Y28" i="23"/>
  <c r="Y27" i="23"/>
  <c r="I8" i="23"/>
  <c r="I9" i="23"/>
  <c r="I13" i="23"/>
  <c r="I11" i="23"/>
  <c r="I6" i="23"/>
  <c r="I7" i="23"/>
  <c r="I10" i="23"/>
  <c r="I12" i="23"/>
  <c r="I19" i="23"/>
  <c r="I14" i="23"/>
  <c r="I15" i="23"/>
  <c r="I20" i="23"/>
  <c r="I24" i="23"/>
  <c r="I16" i="23"/>
  <c r="I22" i="23"/>
  <c r="I26" i="23"/>
  <c r="I23" i="23"/>
  <c r="I18" i="23"/>
  <c r="I17" i="23"/>
  <c r="I29" i="23"/>
  <c r="I30" i="23"/>
  <c r="I27" i="23"/>
  <c r="I28" i="23"/>
  <c r="I21" i="23"/>
  <c r="I25" i="23"/>
  <c r="M8" i="23"/>
  <c r="M9" i="23"/>
  <c r="M13" i="23"/>
  <c r="M12" i="23"/>
  <c r="M10" i="23"/>
  <c r="M6" i="23"/>
  <c r="M11" i="23"/>
  <c r="M19" i="23"/>
  <c r="M16" i="23"/>
  <c r="M20" i="23"/>
  <c r="M7" i="23"/>
  <c r="M14" i="23"/>
  <c r="M24" i="23"/>
  <c r="M22" i="23"/>
  <c r="M26" i="23"/>
  <c r="M15" i="23"/>
  <c r="M17" i="23"/>
  <c r="M18" i="23"/>
  <c r="M23" i="23"/>
  <c r="M27" i="23"/>
  <c r="M21" i="23"/>
  <c r="M25" i="23"/>
  <c r="M29" i="23"/>
  <c r="M30" i="23"/>
  <c r="M28" i="23"/>
  <c r="Q8" i="23"/>
  <c r="Q9" i="23"/>
  <c r="Q13" i="23"/>
  <c r="Q12" i="23"/>
  <c r="Q6" i="23"/>
  <c r="Q7" i="23"/>
  <c r="Q10" i="23"/>
  <c r="Q16" i="23"/>
  <c r="Q19" i="23"/>
  <c r="Q11" i="23"/>
  <c r="Q14" i="23"/>
  <c r="Q15" i="23"/>
  <c r="Q20" i="23"/>
  <c r="Q24" i="23"/>
  <c r="Q22" i="23"/>
  <c r="Q26" i="23"/>
  <c r="Q23" i="23"/>
  <c r="Q29" i="23"/>
  <c r="Q17" i="23"/>
  <c r="Q21" i="23"/>
  <c r="Q25" i="23"/>
  <c r="Q27" i="23"/>
  <c r="Q30" i="23"/>
  <c r="Q18" i="23"/>
  <c r="Q28" i="23"/>
  <c r="U8" i="23"/>
  <c r="U9" i="23"/>
  <c r="U13" i="23"/>
  <c r="U11" i="23"/>
  <c r="U7" i="23"/>
  <c r="U10" i="23"/>
  <c r="U19" i="23"/>
  <c r="U6" i="23"/>
  <c r="U12" i="23"/>
  <c r="U20" i="23"/>
  <c r="U15" i="23"/>
  <c r="U24" i="23"/>
  <c r="U22" i="23"/>
  <c r="U26" i="23"/>
  <c r="U16" i="23"/>
  <c r="U17" i="23"/>
  <c r="U18" i="23"/>
  <c r="U23" i="23"/>
  <c r="U14" i="23"/>
  <c r="U21" i="23"/>
  <c r="U25" i="23"/>
  <c r="U27" i="23"/>
  <c r="U29" i="23"/>
  <c r="U30" i="23"/>
  <c r="U28" i="23"/>
  <c r="Z7" i="23"/>
  <c r="Z8" i="23"/>
  <c r="Z12" i="23"/>
  <c r="Z6" i="23"/>
  <c r="Z13" i="23"/>
  <c r="Z15" i="23"/>
  <c r="Z11" i="23"/>
  <c r="Z16" i="23"/>
  <c r="Z14" i="23"/>
  <c r="Z18" i="23"/>
  <c r="Z9" i="23"/>
  <c r="Z10" i="23"/>
  <c r="Z19" i="23"/>
  <c r="Z23" i="23"/>
  <c r="Z17" i="23"/>
  <c r="Z20" i="23"/>
  <c r="Z21" i="23"/>
  <c r="Z25" i="23"/>
  <c r="Z22" i="23"/>
  <c r="Z26" i="23"/>
  <c r="Z30" i="23"/>
  <c r="Z27" i="23"/>
  <c r="Z28" i="23"/>
  <c r="Z29" i="23"/>
  <c r="Z24" i="23"/>
  <c r="AD7" i="23"/>
  <c r="AD8" i="23"/>
  <c r="AD12" i="23"/>
  <c r="AD6" i="23"/>
  <c r="AD9" i="23"/>
  <c r="AD10" i="23"/>
  <c r="AD11" i="23"/>
  <c r="AD15" i="23"/>
  <c r="AD16" i="23"/>
  <c r="AD14" i="23"/>
  <c r="AD18" i="23"/>
  <c r="AD13" i="23"/>
  <c r="AD19" i="23"/>
  <c r="AD17" i="23"/>
  <c r="AD20" i="23"/>
  <c r="AD23" i="23"/>
  <c r="AD21" i="23"/>
  <c r="AD25" i="23"/>
  <c r="AD22" i="23"/>
  <c r="AD30" i="23"/>
  <c r="AD24" i="23"/>
  <c r="AD28" i="23"/>
  <c r="AD26" i="23"/>
  <c r="AD29" i="23"/>
  <c r="AD27" i="23"/>
  <c r="AH7" i="23"/>
  <c r="AH8" i="23"/>
  <c r="AH12" i="23"/>
  <c r="AH6" i="23"/>
  <c r="AH15" i="23"/>
  <c r="AH16" i="23"/>
  <c r="AH13" i="23"/>
  <c r="AH14" i="23"/>
  <c r="AH11" i="23"/>
  <c r="AH18" i="23"/>
  <c r="AH19" i="23"/>
  <c r="AH23" i="23"/>
  <c r="AH9" i="23"/>
  <c r="AH17" i="23"/>
  <c r="AH20" i="23"/>
  <c r="AH21" i="23"/>
  <c r="AH25" i="23"/>
  <c r="AH22" i="23"/>
  <c r="AH10" i="23"/>
  <c r="AH27" i="23"/>
  <c r="AH30" i="23"/>
  <c r="AH26" i="23"/>
  <c r="AH28" i="23"/>
  <c r="AH24" i="23"/>
  <c r="AH29" i="23"/>
  <c r="AL7" i="23"/>
  <c r="AL8" i="23"/>
  <c r="AL12" i="23"/>
  <c r="AL6" i="23"/>
  <c r="AL9" i="23"/>
  <c r="AL10" i="23"/>
  <c r="AL15" i="23"/>
  <c r="AL16" i="23"/>
  <c r="AL13" i="23"/>
  <c r="AL14" i="23"/>
  <c r="AL18" i="23"/>
  <c r="AL11" i="23"/>
  <c r="AL19" i="23"/>
  <c r="AL17" i="23"/>
  <c r="AL20" i="23"/>
  <c r="AL23" i="23"/>
  <c r="AL21" i="23"/>
  <c r="AL25" i="23"/>
  <c r="AL22" i="23"/>
  <c r="AL24" i="23"/>
  <c r="AL30" i="23"/>
  <c r="AL28" i="23"/>
  <c r="AL27" i="23"/>
  <c r="AL29" i="23"/>
  <c r="AL26" i="23"/>
  <c r="AP7" i="23"/>
  <c r="AP8" i="23"/>
  <c r="AP12" i="23"/>
  <c r="AP6" i="23"/>
  <c r="AP15" i="23"/>
  <c r="AP11" i="23"/>
  <c r="AP16" i="23"/>
  <c r="AP13" i="23"/>
  <c r="AP14" i="23"/>
  <c r="AP18" i="23"/>
  <c r="AP9" i="23"/>
  <c r="AP10" i="23"/>
  <c r="AP19" i="23"/>
  <c r="AP23" i="23"/>
  <c r="AP17" i="23"/>
  <c r="AP20" i="23"/>
  <c r="AP21" i="23"/>
  <c r="AP25" i="23"/>
  <c r="AP22" i="23"/>
  <c r="AP26" i="23"/>
  <c r="AP30" i="23"/>
  <c r="AP27" i="23"/>
  <c r="AP28" i="23"/>
  <c r="AP29" i="23"/>
  <c r="AP24" i="23"/>
  <c r="AT7" i="23"/>
  <c r="AT8" i="23"/>
  <c r="AT12" i="23"/>
  <c r="AT6" i="23"/>
  <c r="AT9" i="23"/>
  <c r="AT11" i="23"/>
  <c r="AT10" i="23"/>
  <c r="AT13" i="23"/>
  <c r="AT14" i="23"/>
  <c r="AT15" i="23"/>
  <c r="AT18" i="23"/>
  <c r="AT19" i="23"/>
  <c r="AT16" i="23"/>
  <c r="AT17" i="23"/>
  <c r="AT23" i="23"/>
  <c r="AT21" i="23"/>
  <c r="AT25" i="23"/>
  <c r="AT22" i="23"/>
  <c r="AT30" i="23"/>
  <c r="AT20" i="23"/>
  <c r="AT24" i="23"/>
  <c r="AT28" i="23"/>
  <c r="AT26" i="23"/>
  <c r="AT29" i="23"/>
  <c r="AT27" i="23"/>
  <c r="K6" i="23"/>
  <c r="K10" i="23"/>
  <c r="K7" i="23"/>
  <c r="K11" i="23"/>
  <c r="K8" i="23"/>
  <c r="K14" i="23"/>
  <c r="K13" i="23"/>
  <c r="K15" i="23"/>
  <c r="K17" i="23"/>
  <c r="K12" i="23"/>
  <c r="K18" i="23"/>
  <c r="K19" i="23"/>
  <c r="K22" i="23"/>
  <c r="K24" i="23"/>
  <c r="K16" i="23"/>
  <c r="K20" i="23"/>
  <c r="K21" i="23"/>
  <c r="K25" i="23"/>
  <c r="K29" i="23"/>
  <c r="K9" i="23"/>
  <c r="K26" i="23"/>
  <c r="K27" i="23"/>
  <c r="K28" i="23"/>
  <c r="K30" i="23"/>
  <c r="K23" i="23"/>
  <c r="AJ9" i="23"/>
  <c r="AJ6" i="23"/>
  <c r="AJ10" i="23"/>
  <c r="AJ7" i="23"/>
  <c r="AJ11" i="23"/>
  <c r="AJ13" i="23"/>
  <c r="AJ8" i="23"/>
  <c r="AJ14" i="23"/>
  <c r="AJ12" i="23"/>
  <c r="AJ15" i="23"/>
  <c r="AJ20" i="23"/>
  <c r="AJ17" i="23"/>
  <c r="AJ16" i="23"/>
  <c r="AJ21" i="23"/>
  <c r="AJ18" i="23"/>
  <c r="AJ23" i="23"/>
  <c r="AJ27" i="23"/>
  <c r="AJ24" i="23"/>
  <c r="AJ22" i="23"/>
  <c r="AJ26" i="23"/>
  <c r="AJ28" i="23"/>
  <c r="AJ19" i="23"/>
  <c r="AJ30" i="23"/>
  <c r="AJ29" i="23"/>
  <c r="AJ25" i="23"/>
  <c r="AR9" i="23"/>
  <c r="AR6" i="23"/>
  <c r="AR10" i="23"/>
  <c r="AR7" i="23"/>
  <c r="AR12" i="23"/>
  <c r="AR13" i="23"/>
  <c r="AR8" i="23"/>
  <c r="AR14" i="23"/>
  <c r="AR15" i="23"/>
  <c r="AR16" i="23"/>
  <c r="AR17" i="23"/>
  <c r="AR20" i="23"/>
  <c r="AR21" i="23"/>
  <c r="AR18" i="23"/>
  <c r="AR23" i="23"/>
  <c r="AR27" i="23"/>
  <c r="AR11" i="23"/>
  <c r="AR24" i="23"/>
  <c r="AR28" i="23"/>
  <c r="AR22" i="23"/>
  <c r="AR26" i="23"/>
  <c r="AR30" i="23"/>
  <c r="AR19" i="23"/>
  <c r="AR25" i="23"/>
  <c r="AR29" i="23"/>
  <c r="J7" i="23"/>
  <c r="J8" i="23"/>
  <c r="J12" i="23"/>
  <c r="J6" i="23"/>
  <c r="J9" i="23"/>
  <c r="J13" i="23"/>
  <c r="J15" i="23"/>
  <c r="J11" i="23"/>
  <c r="J16" i="23"/>
  <c r="J14" i="23"/>
  <c r="J18" i="23"/>
  <c r="J10" i="23"/>
  <c r="J19" i="23"/>
  <c r="J23" i="23"/>
  <c r="J17" i="23"/>
  <c r="J20" i="23"/>
  <c r="J21" i="23"/>
  <c r="J25" i="23"/>
  <c r="J22" i="23"/>
  <c r="J26" i="23"/>
  <c r="J30" i="23"/>
  <c r="J27" i="23"/>
  <c r="J28" i="23"/>
  <c r="J29" i="23"/>
  <c r="J24" i="23"/>
  <c r="N7" i="23"/>
  <c r="N8" i="23"/>
  <c r="N12" i="23"/>
  <c r="N6" i="23"/>
  <c r="N9" i="23"/>
  <c r="N10" i="23"/>
  <c r="N11" i="23"/>
  <c r="N15" i="23"/>
  <c r="N16" i="23"/>
  <c r="N14" i="23"/>
  <c r="N18" i="23"/>
  <c r="N19" i="23"/>
  <c r="N17" i="23"/>
  <c r="N20" i="23"/>
  <c r="N23" i="23"/>
  <c r="N13" i="23"/>
  <c r="N21" i="23"/>
  <c r="N25" i="23"/>
  <c r="N22" i="23"/>
  <c r="N26" i="23"/>
  <c r="N30" i="23"/>
  <c r="N24" i="23"/>
  <c r="N28" i="23"/>
  <c r="N29" i="23"/>
  <c r="N27" i="23"/>
  <c r="R7" i="23"/>
  <c r="R8" i="23"/>
  <c r="R12" i="23"/>
  <c r="R6" i="23"/>
  <c r="R9" i="23"/>
  <c r="R15" i="23"/>
  <c r="R16" i="23"/>
  <c r="R11" i="23"/>
  <c r="R14" i="23"/>
  <c r="R13" i="23"/>
  <c r="R18" i="23"/>
  <c r="R19" i="23"/>
  <c r="R10" i="23"/>
  <c r="R23" i="23"/>
  <c r="R17" i="23"/>
  <c r="R20" i="23"/>
  <c r="R21" i="23"/>
  <c r="R25" i="23"/>
  <c r="R22" i="23"/>
  <c r="R26" i="23"/>
  <c r="R27" i="23"/>
  <c r="R30" i="23"/>
  <c r="R28" i="23"/>
  <c r="R24" i="23"/>
  <c r="R29" i="23"/>
  <c r="V7" i="23"/>
  <c r="V8" i="23"/>
  <c r="V12" i="23"/>
  <c r="V6" i="23"/>
  <c r="V9" i="23"/>
  <c r="V10" i="23"/>
  <c r="V15" i="23"/>
  <c r="V13" i="23"/>
  <c r="V16" i="23"/>
  <c r="V14" i="23"/>
  <c r="V18" i="23"/>
  <c r="V19" i="23"/>
  <c r="V17" i="23"/>
  <c r="V20" i="23"/>
  <c r="V23" i="23"/>
  <c r="V21" i="23"/>
  <c r="V25" i="23"/>
  <c r="V22" i="23"/>
  <c r="V24" i="23"/>
  <c r="V30" i="23"/>
  <c r="V11" i="23"/>
  <c r="V28" i="23"/>
  <c r="V27" i="23"/>
  <c r="V29" i="23"/>
  <c r="V26" i="23"/>
  <c r="AA6" i="23"/>
  <c r="AA10" i="23"/>
  <c r="AA7" i="23"/>
  <c r="AA11" i="23"/>
  <c r="AA8" i="23"/>
  <c r="AA14" i="23"/>
  <c r="AA13" i="23"/>
  <c r="AA15" i="23"/>
  <c r="AA9" i="23"/>
  <c r="AA17" i="23"/>
  <c r="AA18" i="23"/>
  <c r="AA19" i="23"/>
  <c r="AA22" i="23"/>
  <c r="AA24" i="23"/>
  <c r="AA12" i="23"/>
  <c r="AA20" i="23"/>
  <c r="AA21" i="23"/>
  <c r="AA25" i="23"/>
  <c r="AA29" i="23"/>
  <c r="AA16" i="23"/>
  <c r="AA27" i="23"/>
  <c r="AA28" i="23"/>
  <c r="AA23" i="23"/>
  <c r="AA30" i="23"/>
  <c r="AA26" i="23"/>
  <c r="AE6" i="23"/>
  <c r="AE10" i="23"/>
  <c r="AE7" i="23"/>
  <c r="AE11" i="23"/>
  <c r="AE8" i="23"/>
  <c r="AE13" i="23"/>
  <c r="AE14" i="23"/>
  <c r="AE9" i="23"/>
  <c r="AE15" i="23"/>
  <c r="AE12" i="23"/>
  <c r="AE17" i="23"/>
  <c r="AE18" i="23"/>
  <c r="AE22" i="23"/>
  <c r="AE16" i="23"/>
  <c r="AE19" i="23"/>
  <c r="AE24" i="23"/>
  <c r="AE21" i="23"/>
  <c r="AE25" i="23"/>
  <c r="AE20" i="23"/>
  <c r="AE26" i="23"/>
  <c r="AE29" i="23"/>
  <c r="AE23" i="23"/>
  <c r="AE27" i="23"/>
  <c r="AE28" i="23"/>
  <c r="AE30" i="23"/>
  <c r="AI6" i="23"/>
  <c r="AI10" i="23"/>
  <c r="AI7" i="23"/>
  <c r="AI11" i="23"/>
  <c r="AI8" i="23"/>
  <c r="AI14" i="23"/>
  <c r="AI12" i="23"/>
  <c r="AI15" i="23"/>
  <c r="AI9" i="23"/>
  <c r="AI17" i="23"/>
  <c r="AI16" i="23"/>
  <c r="AI18" i="23"/>
  <c r="AI13" i="23"/>
  <c r="AI19" i="23"/>
  <c r="AI22" i="23"/>
  <c r="AI24" i="23"/>
  <c r="AI20" i="23"/>
  <c r="AI21" i="23"/>
  <c r="AI25" i="23"/>
  <c r="AI29" i="23"/>
  <c r="AI23" i="23"/>
  <c r="AI26" i="23"/>
  <c r="AI28" i="23"/>
  <c r="AI30" i="23"/>
  <c r="AI27" i="23"/>
  <c r="AM6" i="23"/>
  <c r="AM10" i="23"/>
  <c r="AM7" i="23"/>
  <c r="AM11" i="23"/>
  <c r="AM8" i="23"/>
  <c r="AM12" i="23"/>
  <c r="AM14" i="23"/>
  <c r="AM9" i="23"/>
  <c r="AM15" i="23"/>
  <c r="AM16" i="23"/>
  <c r="AM17" i="23"/>
  <c r="AM13" i="23"/>
  <c r="AM18" i="23"/>
  <c r="AM22" i="23"/>
  <c r="AM19" i="23"/>
  <c r="AM24" i="23"/>
  <c r="AM21" i="23"/>
  <c r="AM25" i="23"/>
  <c r="AM23" i="23"/>
  <c r="AM27" i="23"/>
  <c r="AM29" i="23"/>
  <c r="AM26" i="23"/>
  <c r="AM28" i="23"/>
  <c r="AM20" i="23"/>
  <c r="AM30" i="23"/>
  <c r="AQ6" i="23"/>
  <c r="AQ7" i="23"/>
  <c r="AQ11" i="23"/>
  <c r="AQ8" i="23"/>
  <c r="AQ14" i="23"/>
  <c r="AQ15" i="23"/>
  <c r="AQ9" i="23"/>
  <c r="AQ10" i="23"/>
  <c r="AQ17" i="23"/>
  <c r="AQ12" i="23"/>
  <c r="AQ18" i="23"/>
  <c r="AQ19" i="23"/>
  <c r="AQ22" i="23"/>
  <c r="AQ24" i="23"/>
  <c r="AQ16" i="23"/>
  <c r="AQ20" i="23"/>
  <c r="AQ21" i="23"/>
  <c r="AQ25" i="23"/>
  <c r="AQ29" i="23"/>
  <c r="AQ13" i="23"/>
  <c r="AQ27" i="23"/>
  <c r="AQ28" i="23"/>
  <c r="AQ26" i="23"/>
  <c r="AQ30" i="23"/>
  <c r="AQ23" i="23"/>
  <c r="AU6" i="23"/>
  <c r="AU7" i="23"/>
  <c r="AU11" i="23"/>
  <c r="AU8" i="23"/>
  <c r="AU14" i="23"/>
  <c r="AU9" i="23"/>
  <c r="AU15" i="23"/>
  <c r="AU12" i="23"/>
  <c r="AU17" i="23"/>
  <c r="AU13" i="23"/>
  <c r="AU18" i="23"/>
  <c r="AU22" i="23"/>
  <c r="AU10" i="23"/>
  <c r="AU19" i="23"/>
  <c r="AU20" i="23"/>
  <c r="AU24" i="23"/>
  <c r="AU21" i="23"/>
  <c r="AU25" i="23"/>
  <c r="AU16" i="23"/>
  <c r="AU26" i="23"/>
  <c r="AU29" i="23"/>
  <c r="AU23" i="23"/>
  <c r="AU27" i="23"/>
  <c r="AU28" i="23"/>
  <c r="AU30" i="23"/>
  <c r="K5" i="23"/>
  <c r="O5" i="23"/>
  <c r="S5" i="23"/>
  <c r="W5" i="23"/>
  <c r="AB5" i="23"/>
  <c r="AF5" i="23"/>
  <c r="AJ5" i="23"/>
  <c r="AN5" i="23"/>
  <c r="AR5" i="23"/>
  <c r="Y5" i="23"/>
  <c r="L5" i="23"/>
  <c r="P5" i="23"/>
  <c r="T5" i="23"/>
  <c r="X5" i="23"/>
  <c r="AC5" i="23"/>
  <c r="AG5" i="23"/>
  <c r="AK5" i="23"/>
  <c r="AO5" i="23"/>
  <c r="AS5" i="23"/>
  <c r="I5" i="23"/>
  <c r="M5" i="23"/>
  <c r="Q5" i="23"/>
  <c r="U5" i="23"/>
  <c r="Z5" i="23"/>
  <c r="AD5" i="23"/>
  <c r="AH5" i="23"/>
  <c r="AL5" i="23"/>
  <c r="AP5" i="23"/>
  <c r="AT5" i="23"/>
  <c r="J5" i="23"/>
  <c r="N5" i="23"/>
  <c r="R5" i="23"/>
  <c r="V5" i="23"/>
  <c r="AA5" i="23"/>
  <c r="AE5" i="23"/>
  <c r="AI5" i="23"/>
  <c r="AM5" i="23"/>
  <c r="AQ5" i="23"/>
  <c r="AU5" i="23"/>
  <c r="B31" i="23"/>
  <c r="Z31" i="23" s="1"/>
  <c r="B10" i="10"/>
  <c r="G4" i="23"/>
  <c r="B7" i="10"/>
  <c r="D4" i="23"/>
  <c r="B11" i="10"/>
  <c r="H4" i="23"/>
  <c r="B8" i="10"/>
  <c r="E4" i="23"/>
  <c r="B9" i="10"/>
  <c r="F4" i="23"/>
  <c r="A86" i="19"/>
  <c r="A84" i="20"/>
  <c r="E32" i="10"/>
  <c r="E58" i="10"/>
  <c r="E7" i="10"/>
  <c r="E37" i="10"/>
  <c r="A11" i="20"/>
  <c r="E39" i="10"/>
  <c r="E28" i="10"/>
  <c r="E46" i="10"/>
  <c r="E8" i="10"/>
  <c r="E24" i="10"/>
  <c r="E20" i="10"/>
  <c r="E59" i="10"/>
  <c r="E36" i="10"/>
  <c r="E56" i="10"/>
  <c r="E14" i="10"/>
  <c r="E33" i="10"/>
  <c r="AU31" i="23" l="1"/>
  <c r="AI31" i="23"/>
  <c r="E8" i="23"/>
  <c r="E9" i="23"/>
  <c r="E13" i="23"/>
  <c r="E11" i="23"/>
  <c r="E7" i="23"/>
  <c r="E10" i="23"/>
  <c r="E19" i="23"/>
  <c r="E20" i="23"/>
  <c r="E24" i="23"/>
  <c r="E15" i="23"/>
  <c r="E22" i="23"/>
  <c r="E26" i="23"/>
  <c r="E14" i="23"/>
  <c r="E17" i="23"/>
  <c r="E18" i="23"/>
  <c r="E23" i="23"/>
  <c r="E12" i="23"/>
  <c r="E16" i="23"/>
  <c r="E21" i="23"/>
  <c r="E25" i="23"/>
  <c r="E31" i="23"/>
  <c r="E27" i="23"/>
  <c r="E29" i="23"/>
  <c r="E30" i="23"/>
  <c r="E28" i="23"/>
  <c r="E6" i="23"/>
  <c r="D9" i="23"/>
  <c r="D6" i="23"/>
  <c r="D10" i="23"/>
  <c r="D7" i="23"/>
  <c r="D11" i="23"/>
  <c r="D13" i="23"/>
  <c r="D8" i="23"/>
  <c r="D14" i="23"/>
  <c r="D12" i="23"/>
  <c r="D15" i="23"/>
  <c r="D16" i="23"/>
  <c r="D20" i="23"/>
  <c r="D17" i="23"/>
  <c r="D21" i="23"/>
  <c r="D25" i="23"/>
  <c r="D18" i="23"/>
  <c r="D23" i="23"/>
  <c r="D27" i="23"/>
  <c r="D24" i="23"/>
  <c r="D22" i="23"/>
  <c r="D26" i="23"/>
  <c r="D28" i="23"/>
  <c r="D19" i="23"/>
  <c r="D30" i="23"/>
  <c r="D31" i="23"/>
  <c r="D29" i="23"/>
  <c r="O31" i="23"/>
  <c r="Y31" i="23"/>
  <c r="S31" i="23"/>
  <c r="AN31" i="23"/>
  <c r="L31" i="23"/>
  <c r="T31" i="23"/>
  <c r="AG31" i="23"/>
  <c r="AC31" i="23"/>
  <c r="W31" i="23"/>
  <c r="P31" i="23"/>
  <c r="X31" i="23"/>
  <c r="AO31" i="23"/>
  <c r="AF31" i="23"/>
  <c r="Q31" i="23"/>
  <c r="AD31" i="23"/>
  <c r="AT31" i="23"/>
  <c r="N31" i="23"/>
  <c r="V31" i="23"/>
  <c r="AB31" i="23"/>
  <c r="AK31" i="23"/>
  <c r="AS31" i="23"/>
  <c r="I31" i="23"/>
  <c r="M31" i="23"/>
  <c r="AL31" i="23"/>
  <c r="AP31" i="23"/>
  <c r="R31" i="23"/>
  <c r="U31" i="23"/>
  <c r="AH31" i="23"/>
  <c r="K31" i="23"/>
  <c r="AR31" i="23"/>
  <c r="J31" i="23"/>
  <c r="AA31" i="23"/>
  <c r="AJ31" i="23"/>
  <c r="AQ31" i="23"/>
  <c r="AM31" i="23"/>
  <c r="AE31" i="23"/>
  <c r="F7" i="23"/>
  <c r="F8" i="23"/>
  <c r="F12" i="23"/>
  <c r="F6" i="23"/>
  <c r="F9" i="23"/>
  <c r="F10" i="23"/>
  <c r="F15" i="23"/>
  <c r="F13" i="23"/>
  <c r="F16" i="23"/>
  <c r="F14" i="23"/>
  <c r="F18" i="23"/>
  <c r="F11" i="23"/>
  <c r="F19" i="23"/>
  <c r="F17" i="23"/>
  <c r="F20" i="23"/>
  <c r="F23" i="23"/>
  <c r="F21" i="23"/>
  <c r="F25" i="23"/>
  <c r="F22" i="23"/>
  <c r="F26" i="23"/>
  <c r="F24" i="23"/>
  <c r="F30" i="23"/>
  <c r="F28" i="23"/>
  <c r="F27" i="23"/>
  <c r="F29" i="23"/>
  <c r="F31" i="23"/>
  <c r="H9" i="23"/>
  <c r="H6" i="23"/>
  <c r="H10" i="23"/>
  <c r="H7" i="23"/>
  <c r="H12" i="23"/>
  <c r="H14" i="23"/>
  <c r="H11" i="23"/>
  <c r="H15" i="23"/>
  <c r="H20" i="23"/>
  <c r="H8" i="23"/>
  <c r="H13" i="23"/>
  <c r="H16" i="23"/>
  <c r="H17" i="23"/>
  <c r="H18" i="23"/>
  <c r="H21" i="23"/>
  <c r="H25" i="23"/>
  <c r="H23" i="23"/>
  <c r="H27" i="23"/>
  <c r="H19" i="23"/>
  <c r="H24" i="23"/>
  <c r="H28" i="23"/>
  <c r="H26" i="23"/>
  <c r="H30" i="23"/>
  <c r="H31" i="23"/>
  <c r="H29" i="23"/>
  <c r="H22" i="23"/>
  <c r="G6" i="23"/>
  <c r="G10" i="23"/>
  <c r="G7" i="23"/>
  <c r="G11" i="23"/>
  <c r="G8" i="23"/>
  <c r="G12" i="23"/>
  <c r="G14" i="23"/>
  <c r="G9" i="23"/>
  <c r="G15" i="23"/>
  <c r="G13" i="23"/>
  <c r="G16" i="23"/>
  <c r="G17" i="23"/>
  <c r="G18" i="23"/>
  <c r="G22" i="23"/>
  <c r="G19" i="23"/>
  <c r="G24" i="23"/>
  <c r="G21" i="23"/>
  <c r="G25" i="23"/>
  <c r="G23" i="23"/>
  <c r="G27" i="23"/>
  <c r="G29" i="23"/>
  <c r="G31" i="23"/>
  <c r="G28" i="23"/>
  <c r="G20" i="23"/>
  <c r="G26" i="23"/>
  <c r="G30" i="23"/>
  <c r="F5" i="23"/>
  <c r="G5" i="23"/>
  <c r="H5" i="23"/>
  <c r="E5" i="23"/>
  <c r="D5" i="23"/>
  <c r="B32" i="23"/>
  <c r="E32" i="23" s="1"/>
  <c r="A87" i="19"/>
  <c r="A85" i="20"/>
  <c r="E19" i="10"/>
  <c r="E52" i="10"/>
  <c r="E44" i="10"/>
  <c r="E35" i="10"/>
  <c r="E42" i="10"/>
  <c r="E26" i="10"/>
  <c r="E16" i="10"/>
  <c r="K3" i="10"/>
  <c r="B4" i="10" s="1"/>
  <c r="E31" i="10"/>
  <c r="E45" i="10"/>
  <c r="B3" i="10"/>
  <c r="E40" i="10"/>
  <c r="E18" i="10"/>
  <c r="E13" i="10"/>
  <c r="E21" i="10"/>
  <c r="E55" i="10"/>
  <c r="E29" i="10"/>
  <c r="E34" i="10"/>
  <c r="E15" i="10"/>
  <c r="E49" i="10"/>
  <c r="E9" i="10"/>
  <c r="E41" i="10"/>
  <c r="E23" i="10"/>
  <c r="E51" i="10"/>
  <c r="E27" i="10"/>
  <c r="E10" i="10"/>
  <c r="E50" i="10"/>
  <c r="K4" i="10"/>
  <c r="E11" i="10"/>
  <c r="E54" i="10"/>
  <c r="E30" i="10"/>
  <c r="E47" i="10"/>
  <c r="A12" i="20"/>
  <c r="G32" i="23" l="1"/>
  <c r="F32" i="23"/>
  <c r="D32" i="23"/>
  <c r="AN32" i="23"/>
  <c r="P32" i="23"/>
  <c r="AK32" i="23"/>
  <c r="AF32" i="23"/>
  <c r="AB32" i="23"/>
  <c r="AC32" i="23"/>
  <c r="AG32" i="23"/>
  <c r="W32" i="23"/>
  <c r="S32" i="23"/>
  <c r="T32" i="23"/>
  <c r="X32" i="23"/>
  <c r="O32" i="23"/>
  <c r="Y32" i="23"/>
  <c r="Z32" i="23"/>
  <c r="AH32" i="23"/>
  <c r="AP32" i="23"/>
  <c r="M32" i="23"/>
  <c r="AD32" i="23"/>
  <c r="K32" i="23"/>
  <c r="AJ32" i="23"/>
  <c r="AR32" i="23"/>
  <c r="J32" i="23"/>
  <c r="R32" i="23"/>
  <c r="AM32" i="23"/>
  <c r="AO32" i="23"/>
  <c r="N32" i="23"/>
  <c r="L32" i="23"/>
  <c r="AS32" i="23"/>
  <c r="I32" i="23"/>
  <c r="Q32" i="23"/>
  <c r="AL32" i="23"/>
  <c r="AI32" i="23"/>
  <c r="AQ32" i="23"/>
  <c r="AU32" i="23"/>
  <c r="U32" i="23"/>
  <c r="V32" i="23"/>
  <c r="AT32" i="23"/>
  <c r="AA32" i="23"/>
  <c r="AE32" i="23"/>
  <c r="H32" i="23"/>
  <c r="L5" i="10"/>
  <c r="B33" i="23"/>
  <c r="A88" i="19"/>
  <c r="A86" i="20"/>
  <c r="A13" i="20"/>
  <c r="S33" i="23" l="1"/>
  <c r="AN33" i="23"/>
  <c r="X33" i="23"/>
  <c r="AC33" i="23"/>
  <c r="AK33" i="23"/>
  <c r="L33" i="23"/>
  <c r="P33" i="23"/>
  <c r="AO33" i="23"/>
  <c r="AS33" i="23"/>
  <c r="AF33" i="23"/>
  <c r="M33" i="23"/>
  <c r="AB33" i="23"/>
  <c r="Q33" i="23"/>
  <c r="AH33" i="23"/>
  <c r="AD33" i="23"/>
  <c r="AP33" i="23"/>
  <c r="K33" i="23"/>
  <c r="AR33" i="23"/>
  <c r="R33" i="23"/>
  <c r="AG33" i="23"/>
  <c r="Y33" i="23"/>
  <c r="I33" i="23"/>
  <c r="T33" i="23"/>
  <c r="O33" i="23"/>
  <c r="Z33" i="23"/>
  <c r="W33" i="23"/>
  <c r="U33" i="23"/>
  <c r="AL33" i="23"/>
  <c r="AJ33" i="23"/>
  <c r="J33" i="23"/>
  <c r="N33" i="23"/>
  <c r="V33" i="23"/>
  <c r="AE33" i="23"/>
  <c r="AT33" i="23"/>
  <c r="AM33" i="23"/>
  <c r="AI33" i="23"/>
  <c r="AU33" i="23"/>
  <c r="AA33" i="23"/>
  <c r="AQ33" i="23"/>
  <c r="D33" i="23"/>
  <c r="E33" i="23"/>
  <c r="F33" i="23"/>
  <c r="H33" i="23"/>
  <c r="G33" i="23"/>
  <c r="B34" i="23"/>
  <c r="A89" i="19"/>
  <c r="A87" i="20"/>
  <c r="A14" i="20"/>
  <c r="P34" i="23" l="1"/>
  <c r="T34" i="23"/>
  <c r="X34" i="23"/>
  <c r="Y34" i="23"/>
  <c r="S34" i="23"/>
  <c r="AK34" i="23"/>
  <c r="AC34" i="23"/>
  <c r="AG34" i="23"/>
  <c r="AS34" i="23"/>
  <c r="W34" i="23"/>
  <c r="Z34" i="23"/>
  <c r="AH34" i="23"/>
  <c r="AP34" i="23"/>
  <c r="AT34" i="23"/>
  <c r="AB34" i="23"/>
  <c r="M34" i="23"/>
  <c r="Q34" i="23"/>
  <c r="AD34" i="23"/>
  <c r="AL34" i="23"/>
  <c r="AJ34" i="23"/>
  <c r="J34" i="23"/>
  <c r="AA34" i="23"/>
  <c r="AE34" i="23"/>
  <c r="AM34" i="23"/>
  <c r="AU34" i="23"/>
  <c r="AN34" i="23"/>
  <c r="AO34" i="23"/>
  <c r="L34" i="23"/>
  <c r="AF34" i="23"/>
  <c r="K34" i="23"/>
  <c r="N34" i="23"/>
  <c r="O34" i="23"/>
  <c r="I34" i="23"/>
  <c r="U34" i="23"/>
  <c r="AR34" i="23"/>
  <c r="R34" i="23"/>
  <c r="V34" i="23"/>
  <c r="AI34" i="23"/>
  <c r="AQ34" i="23"/>
  <c r="H34" i="23"/>
  <c r="E34" i="23"/>
  <c r="D34" i="23"/>
  <c r="F34" i="23"/>
  <c r="G34" i="23"/>
  <c r="B35" i="23"/>
  <c r="A90" i="19"/>
  <c r="A88" i="20"/>
  <c r="A15" i="20"/>
  <c r="P35" i="23" l="1"/>
  <c r="X35" i="23"/>
  <c r="AO35" i="23"/>
  <c r="AF35" i="23"/>
  <c r="AB35" i="23"/>
  <c r="AC35" i="23"/>
  <c r="AK35" i="23"/>
  <c r="L35" i="23"/>
  <c r="T35" i="23"/>
  <c r="AS35" i="23"/>
  <c r="I35" i="23"/>
  <c r="S35" i="23"/>
  <c r="AG35" i="23"/>
  <c r="W35" i="23"/>
  <c r="Z35" i="23"/>
  <c r="AN35" i="23"/>
  <c r="U35" i="23"/>
  <c r="AH35" i="23"/>
  <c r="K35" i="23"/>
  <c r="AR35" i="23"/>
  <c r="J35" i="23"/>
  <c r="Y35" i="23"/>
  <c r="O35" i="23"/>
  <c r="AD35" i="23"/>
  <c r="AJ35" i="23"/>
  <c r="M35" i="23"/>
  <c r="Q35" i="23"/>
  <c r="AL35" i="23"/>
  <c r="AP35" i="23"/>
  <c r="AT35" i="23"/>
  <c r="R35" i="23"/>
  <c r="AI35" i="23"/>
  <c r="V35" i="23"/>
  <c r="AE35" i="23"/>
  <c r="AM35" i="23"/>
  <c r="AQ35" i="23"/>
  <c r="N35" i="23"/>
  <c r="AU35" i="23"/>
  <c r="AA35" i="23"/>
  <c r="D35" i="23"/>
  <c r="F35" i="23"/>
  <c r="H35" i="23"/>
  <c r="G35" i="23"/>
  <c r="E35" i="23"/>
  <c r="B36" i="23"/>
  <c r="A91" i="19"/>
  <c r="A89" i="20"/>
  <c r="A16" i="20"/>
  <c r="S36" i="23" l="1"/>
  <c r="L36" i="23"/>
  <c r="O36" i="23"/>
  <c r="T36" i="23"/>
  <c r="X36" i="23"/>
  <c r="P36" i="23"/>
  <c r="AC36" i="23"/>
  <c r="AF36" i="23"/>
  <c r="I36" i="23"/>
  <c r="AN36" i="23"/>
  <c r="W36" i="23"/>
  <c r="Q36" i="23"/>
  <c r="AB36" i="23"/>
  <c r="AK36" i="23"/>
  <c r="AS36" i="23"/>
  <c r="Z36" i="23"/>
  <c r="AL36" i="23"/>
  <c r="M36" i="23"/>
  <c r="AO36" i="23"/>
  <c r="U36" i="23"/>
  <c r="AP36" i="23"/>
  <c r="AT36" i="23"/>
  <c r="V36" i="23"/>
  <c r="AG36" i="23"/>
  <c r="Y36" i="23"/>
  <c r="AH36" i="23"/>
  <c r="N36" i="23"/>
  <c r="AD36" i="23"/>
  <c r="R36" i="23"/>
  <c r="AE36" i="23"/>
  <c r="K36" i="23"/>
  <c r="AQ36" i="23"/>
  <c r="AU36" i="23"/>
  <c r="AR36" i="23"/>
  <c r="J36" i="23"/>
  <c r="AJ36" i="23"/>
  <c r="AA36" i="23"/>
  <c r="AM36" i="23"/>
  <c r="AI36" i="23"/>
  <c r="G36" i="23"/>
  <c r="H36" i="23"/>
  <c r="E36" i="23"/>
  <c r="D36" i="23"/>
  <c r="F36" i="23"/>
  <c r="B37" i="23"/>
  <c r="A92" i="19"/>
  <c r="A90" i="20"/>
  <c r="A18" i="20"/>
  <c r="P37" i="23" l="1"/>
  <c r="AO37" i="23"/>
  <c r="O37" i="23"/>
  <c r="W37" i="23"/>
  <c r="AF37" i="23"/>
  <c r="AB37" i="23"/>
  <c r="L37" i="23"/>
  <c r="T37" i="23"/>
  <c r="AG37" i="23"/>
  <c r="S37" i="23"/>
  <c r="X37" i="23"/>
  <c r="I37" i="23"/>
  <c r="AN37" i="23"/>
  <c r="AS37" i="23"/>
  <c r="M37" i="23"/>
  <c r="U37" i="23"/>
  <c r="Z37" i="23"/>
  <c r="AP37" i="23"/>
  <c r="AL37" i="23"/>
  <c r="AJ37" i="23"/>
  <c r="J37" i="23"/>
  <c r="AI37" i="23"/>
  <c r="AC37" i="23"/>
  <c r="AK37" i="23"/>
  <c r="Y37" i="23"/>
  <c r="Q37" i="23"/>
  <c r="AH37" i="23"/>
  <c r="AT37" i="23"/>
  <c r="N37" i="23"/>
  <c r="V37" i="23"/>
  <c r="K37" i="23"/>
  <c r="AR37" i="23"/>
  <c r="AA37" i="23"/>
  <c r="AE37" i="23"/>
  <c r="AM37" i="23"/>
  <c r="AQ37" i="23"/>
  <c r="AU37" i="23"/>
  <c r="AD37" i="23"/>
  <c r="R37" i="23"/>
  <c r="F37" i="23"/>
  <c r="D37" i="23"/>
  <c r="E37" i="23"/>
  <c r="H37" i="23"/>
  <c r="G37" i="23"/>
  <c r="B38" i="23"/>
  <c r="A93" i="19"/>
  <c r="A91" i="20"/>
  <c r="A19" i="20"/>
  <c r="AB38" i="23" l="1"/>
  <c r="AN38" i="23"/>
  <c r="L38" i="23"/>
  <c r="AC38" i="23"/>
  <c r="AG38" i="23"/>
  <c r="AK38" i="23"/>
  <c r="O38" i="23"/>
  <c r="AF38" i="23"/>
  <c r="M38" i="23"/>
  <c r="AO38" i="23"/>
  <c r="AS38" i="23"/>
  <c r="W38" i="23"/>
  <c r="Y38" i="23"/>
  <c r="Q38" i="23"/>
  <c r="S38" i="23"/>
  <c r="T38" i="23"/>
  <c r="X38" i="23"/>
  <c r="I38" i="23"/>
  <c r="AH38" i="23"/>
  <c r="AQ38" i="23"/>
  <c r="P38" i="23"/>
  <c r="U38" i="23"/>
  <c r="AR38" i="23"/>
  <c r="R38" i="23"/>
  <c r="V38" i="23"/>
  <c r="AP38" i="23"/>
  <c r="K38" i="23"/>
  <c r="N38" i="23"/>
  <c r="AA38" i="23"/>
  <c r="AI38" i="23"/>
  <c r="AU38" i="23"/>
  <c r="AD38" i="23"/>
  <c r="AE38" i="23"/>
  <c r="Z38" i="23"/>
  <c r="AT38" i="23"/>
  <c r="AJ38" i="23"/>
  <c r="AL38" i="23"/>
  <c r="J38" i="23"/>
  <c r="AM38" i="23"/>
  <c r="F38" i="23"/>
  <c r="G38" i="23"/>
  <c r="H38" i="23"/>
  <c r="E38" i="23"/>
  <c r="D38" i="23"/>
  <c r="B39" i="23"/>
  <c r="A94" i="19"/>
  <c r="A92" i="20"/>
  <c r="A20" i="20"/>
  <c r="T39" i="23" l="1"/>
  <c r="AG39" i="23"/>
  <c r="AK39" i="23"/>
  <c r="AO39" i="23"/>
  <c r="I39" i="23"/>
  <c r="AB39" i="23"/>
  <c r="X39" i="23"/>
  <c r="L39" i="23"/>
  <c r="O39" i="23"/>
  <c r="M39" i="23"/>
  <c r="P39" i="23"/>
  <c r="AC39" i="23"/>
  <c r="AF39" i="23"/>
  <c r="U39" i="23"/>
  <c r="AL39" i="23"/>
  <c r="AP39" i="23"/>
  <c r="AT39" i="23"/>
  <c r="Q39" i="23"/>
  <c r="Z39" i="23"/>
  <c r="J39" i="23"/>
  <c r="R39" i="23"/>
  <c r="AA39" i="23"/>
  <c r="AN39" i="23"/>
  <c r="AS39" i="23"/>
  <c r="W39" i="23"/>
  <c r="S39" i="23"/>
  <c r="Y39" i="23"/>
  <c r="K39" i="23"/>
  <c r="AD39" i="23"/>
  <c r="AJ39" i="23"/>
  <c r="V39" i="23"/>
  <c r="AH39" i="23"/>
  <c r="AR39" i="23"/>
  <c r="AI39" i="23"/>
  <c r="AM39" i="23"/>
  <c r="AQ39" i="23"/>
  <c r="N39" i="23"/>
  <c r="AE39" i="23"/>
  <c r="AU39" i="23"/>
  <c r="F39" i="23"/>
  <c r="H39" i="23"/>
  <c r="D39" i="23"/>
  <c r="G39" i="23"/>
  <c r="E39" i="23"/>
  <c r="B40" i="23"/>
  <c r="A96" i="19"/>
  <c r="A93" i="20"/>
  <c r="A21" i="20"/>
  <c r="S40" i="23" l="1"/>
  <c r="AO40" i="23"/>
  <c r="W40" i="23"/>
  <c r="Y40" i="23"/>
  <c r="AN40" i="23"/>
  <c r="L40" i="23"/>
  <c r="P40" i="23"/>
  <c r="AC40" i="23"/>
  <c r="AG40" i="23"/>
  <c r="AB40" i="23"/>
  <c r="AF40" i="23"/>
  <c r="I40" i="23"/>
  <c r="Z40" i="23"/>
  <c r="AH40" i="23"/>
  <c r="AS40" i="23"/>
  <c r="O40" i="23"/>
  <c r="AL40" i="23"/>
  <c r="AT40" i="23"/>
  <c r="R40" i="23"/>
  <c r="V40" i="23"/>
  <c r="M40" i="23"/>
  <c r="AK40" i="23"/>
  <c r="AP40" i="23"/>
  <c r="AJ40" i="23"/>
  <c r="N40" i="23"/>
  <c r="T40" i="23"/>
  <c r="X40" i="23"/>
  <c r="U40" i="23"/>
  <c r="AD40" i="23"/>
  <c r="K40" i="23"/>
  <c r="AM40" i="23"/>
  <c r="AR40" i="23"/>
  <c r="AA40" i="23"/>
  <c r="AE40" i="23"/>
  <c r="AI40" i="23"/>
  <c r="AQ40" i="23"/>
  <c r="AU40" i="23"/>
  <c r="Q40" i="23"/>
  <c r="J40" i="23"/>
  <c r="E40" i="23"/>
  <c r="D40" i="23"/>
  <c r="F40" i="23"/>
  <c r="H40" i="23"/>
  <c r="G40" i="23"/>
  <c r="B41" i="23"/>
  <c r="A97" i="19"/>
  <c r="A94" i="20"/>
  <c r="A22" i="20"/>
  <c r="S41" i="23" l="1"/>
  <c r="AC41" i="23"/>
  <c r="AK41" i="23"/>
  <c r="Y41" i="23"/>
  <c r="AN41" i="23"/>
  <c r="AS41" i="23"/>
  <c r="O41" i="23"/>
  <c r="W41" i="23"/>
  <c r="M41" i="23"/>
  <c r="L41" i="23"/>
  <c r="T41" i="23"/>
  <c r="X41" i="23"/>
  <c r="AG41" i="23"/>
  <c r="U41" i="23"/>
  <c r="AD41" i="23"/>
  <c r="AH41" i="23"/>
  <c r="AF41" i="23"/>
  <c r="I41" i="23"/>
  <c r="Z41" i="23"/>
  <c r="K41" i="23"/>
  <c r="AR41" i="23"/>
  <c r="R41" i="23"/>
  <c r="V41" i="23"/>
  <c r="AU41" i="23"/>
  <c r="P41" i="23"/>
  <c r="AB41" i="23"/>
  <c r="AO41" i="23"/>
  <c r="Q41" i="23"/>
  <c r="AT41" i="23"/>
  <c r="N41" i="23"/>
  <c r="J41" i="23"/>
  <c r="AE41" i="23"/>
  <c r="AI41" i="23"/>
  <c r="AA41" i="23"/>
  <c r="AL41" i="23"/>
  <c r="AP41" i="23"/>
  <c r="AJ41" i="23"/>
  <c r="AM41" i="23"/>
  <c r="AQ41" i="23"/>
  <c r="F41" i="23"/>
  <c r="H41" i="23"/>
  <c r="G41" i="23"/>
  <c r="D41" i="23"/>
  <c r="E41" i="23"/>
  <c r="B42" i="23"/>
  <c r="A98" i="19"/>
  <c r="A95" i="20"/>
  <c r="A23" i="20"/>
  <c r="S42" i="23" l="1"/>
  <c r="AG42" i="23"/>
  <c r="AS42" i="23"/>
  <c r="Y42" i="23"/>
  <c r="P42" i="23"/>
  <c r="X42" i="23"/>
  <c r="O42" i="23"/>
  <c r="L42" i="23"/>
  <c r="AC42" i="23"/>
  <c r="AF42" i="23"/>
  <c r="I42" i="23"/>
  <c r="M42" i="23"/>
  <c r="U42" i="23"/>
  <c r="AH42" i="23"/>
  <c r="AN42" i="23"/>
  <c r="W42" i="23"/>
  <c r="Q42" i="23"/>
  <c r="Z42" i="23"/>
  <c r="K42" i="23"/>
  <c r="AJ42" i="23"/>
  <c r="J42" i="23"/>
  <c r="R42" i="23"/>
  <c r="AM42" i="23"/>
  <c r="AK42" i="23"/>
  <c r="AB42" i="23"/>
  <c r="T42" i="23"/>
  <c r="AO42" i="23"/>
  <c r="AP42" i="23"/>
  <c r="AT42" i="23"/>
  <c r="AR42" i="23"/>
  <c r="AL42" i="23"/>
  <c r="AA42" i="23"/>
  <c r="AD42" i="23"/>
  <c r="AE42" i="23"/>
  <c r="AI42" i="23"/>
  <c r="AQ42" i="23"/>
  <c r="N42" i="23"/>
  <c r="V42" i="23"/>
  <c r="AU42" i="23"/>
  <c r="E42" i="23"/>
  <c r="F42" i="23"/>
  <c r="H42" i="23"/>
  <c r="G42" i="23"/>
  <c r="D42" i="23"/>
  <c r="B43" i="23"/>
  <c r="A99" i="19"/>
  <c r="A96" i="20"/>
  <c r="A24" i="20"/>
  <c r="L43" i="23" l="1"/>
  <c r="T43" i="23"/>
  <c r="W43" i="23"/>
  <c r="Y43" i="23"/>
  <c r="AN43" i="23"/>
  <c r="P43" i="23"/>
  <c r="X43" i="23"/>
  <c r="S43" i="23"/>
  <c r="AB43" i="23"/>
  <c r="AK43" i="23"/>
  <c r="O43" i="23"/>
  <c r="I43" i="23"/>
  <c r="AD43" i="23"/>
  <c r="AP43" i="23"/>
  <c r="AT43" i="23"/>
  <c r="K43" i="23"/>
  <c r="AJ43" i="23"/>
  <c r="AI43" i="23"/>
  <c r="AM43" i="23"/>
  <c r="AQ43" i="23"/>
  <c r="AC43" i="23"/>
  <c r="AG43" i="23"/>
  <c r="AS43" i="23"/>
  <c r="Z43" i="23"/>
  <c r="AH43" i="23"/>
  <c r="AL43" i="23"/>
  <c r="AR43" i="23"/>
  <c r="N43" i="23"/>
  <c r="R43" i="23"/>
  <c r="V43" i="23"/>
  <c r="AO43" i="23"/>
  <c r="AF43" i="23"/>
  <c r="M43" i="23"/>
  <c r="Q43" i="23"/>
  <c r="AA43" i="23"/>
  <c r="J43" i="23"/>
  <c r="U43" i="23"/>
  <c r="AE43" i="23"/>
  <c r="AU43" i="23"/>
  <c r="H43" i="23"/>
  <c r="G43" i="23"/>
  <c r="E43" i="23"/>
  <c r="D43" i="23"/>
  <c r="F43" i="23"/>
  <c r="B44" i="23"/>
  <c r="A100" i="19"/>
  <c r="A97" i="20"/>
  <c r="A25" i="20"/>
  <c r="AB44" i="23" l="1"/>
  <c r="T44" i="23"/>
  <c r="X44" i="23"/>
  <c r="AK44" i="23"/>
  <c r="S44" i="23"/>
  <c r="AN44" i="23"/>
  <c r="AG44" i="23"/>
  <c r="AO44" i="23"/>
  <c r="AL44" i="23"/>
  <c r="AP44" i="23"/>
  <c r="Y44" i="23"/>
  <c r="I44" i="23"/>
  <c r="U44" i="23"/>
  <c r="AD44" i="23"/>
  <c r="AH44" i="23"/>
  <c r="K44" i="23"/>
  <c r="AE44" i="23"/>
  <c r="AI44" i="23"/>
  <c r="AQ44" i="23"/>
  <c r="AU44" i="23"/>
  <c r="AS44" i="23"/>
  <c r="O44" i="23"/>
  <c r="AF44" i="23"/>
  <c r="P44" i="23"/>
  <c r="M44" i="23"/>
  <c r="Q44" i="23"/>
  <c r="AR44" i="23"/>
  <c r="J44" i="23"/>
  <c r="L44" i="23"/>
  <c r="AC44" i="23"/>
  <c r="W44" i="23"/>
  <c r="AJ44" i="23"/>
  <c r="N44" i="23"/>
  <c r="Z44" i="23"/>
  <c r="AT44" i="23"/>
  <c r="R44" i="23"/>
  <c r="AM44" i="23"/>
  <c r="V44" i="23"/>
  <c r="AA44" i="23"/>
  <c r="D44" i="23"/>
  <c r="G44" i="23"/>
  <c r="E44" i="23"/>
  <c r="F44" i="23"/>
  <c r="H44" i="23"/>
  <c r="B45" i="23"/>
  <c r="A101" i="19"/>
  <c r="A98" i="20"/>
  <c r="A26" i="20"/>
  <c r="P45" i="23" l="1"/>
  <c r="X45" i="23"/>
  <c r="AO45" i="23"/>
  <c r="AS45" i="23"/>
  <c r="W45" i="23"/>
  <c r="AF45" i="23"/>
  <c r="AB45" i="23"/>
  <c r="L45" i="23"/>
  <c r="T45" i="23"/>
  <c r="AG45" i="23"/>
  <c r="S45" i="23"/>
  <c r="AC45" i="23"/>
  <c r="AK45" i="23"/>
  <c r="O45" i="23"/>
  <c r="M45" i="23"/>
  <c r="Q45" i="23"/>
  <c r="AD45" i="23"/>
  <c r="N45" i="23"/>
  <c r="AA45" i="23"/>
  <c r="AI45" i="23"/>
  <c r="AM45" i="23"/>
  <c r="AU45" i="23"/>
  <c r="I45" i="23"/>
  <c r="Y45" i="23"/>
  <c r="U45" i="23"/>
  <c r="AH45" i="23"/>
  <c r="AL45" i="23"/>
  <c r="AT45" i="23"/>
  <c r="AJ45" i="23"/>
  <c r="J45" i="23"/>
  <c r="V45" i="23"/>
  <c r="AN45" i="23"/>
  <c r="Z45" i="23"/>
  <c r="R45" i="23"/>
  <c r="AE45" i="23"/>
  <c r="AP45" i="23"/>
  <c r="AR45" i="23"/>
  <c r="AQ45" i="23"/>
  <c r="K45" i="23"/>
  <c r="E45" i="23"/>
  <c r="D45" i="23"/>
  <c r="F45" i="23"/>
  <c r="H45" i="23"/>
  <c r="G45" i="23"/>
  <c r="B46" i="23"/>
  <c r="A102" i="19"/>
  <c r="A99" i="20"/>
  <c r="A27" i="20"/>
  <c r="AB46" i="23" l="1"/>
  <c r="L46" i="23"/>
  <c r="AK46" i="23"/>
  <c r="O46" i="23"/>
  <c r="AN46" i="23"/>
  <c r="T46" i="23"/>
  <c r="P46" i="23"/>
  <c r="W46" i="23"/>
  <c r="Y46" i="23"/>
  <c r="AC46" i="23"/>
  <c r="AG46" i="23"/>
  <c r="Q46" i="23"/>
  <c r="Z46" i="23"/>
  <c r="AH46" i="23"/>
  <c r="AL46" i="23"/>
  <c r="AP46" i="23"/>
  <c r="AO46" i="23"/>
  <c r="AS46" i="23"/>
  <c r="I46" i="23"/>
  <c r="M46" i="23"/>
  <c r="AR46" i="23"/>
  <c r="J46" i="23"/>
  <c r="N46" i="23"/>
  <c r="X46" i="23"/>
  <c r="AF46" i="23"/>
  <c r="S46" i="23"/>
  <c r="U46" i="23"/>
  <c r="AT46" i="23"/>
  <c r="R46" i="23"/>
  <c r="V46" i="23"/>
  <c r="AJ46" i="23"/>
  <c r="AU46" i="23"/>
  <c r="AA46" i="23"/>
  <c r="AM46" i="23"/>
  <c r="AD46" i="23"/>
  <c r="K46" i="23"/>
  <c r="AE46" i="23"/>
  <c r="AI46" i="23"/>
  <c r="AQ46" i="23"/>
  <c r="E46" i="23"/>
  <c r="F46" i="23"/>
  <c r="H46" i="23"/>
  <c r="G46" i="23"/>
  <c r="D46" i="23"/>
  <c r="B47" i="23"/>
  <c r="A103" i="19"/>
  <c r="A100" i="20"/>
  <c r="A28" i="20"/>
  <c r="S47" i="23" l="1"/>
  <c r="L47" i="23"/>
  <c r="T47" i="23"/>
  <c r="AS47" i="23"/>
  <c r="AN47" i="23"/>
  <c r="AC47" i="23"/>
  <c r="AG47" i="23"/>
  <c r="AO47" i="23"/>
  <c r="AB47" i="23"/>
  <c r="X47" i="23"/>
  <c r="W47" i="23"/>
  <c r="AF47" i="23"/>
  <c r="Y47" i="23"/>
  <c r="P47" i="23"/>
  <c r="O47" i="23"/>
  <c r="AE47" i="23"/>
  <c r="I47" i="23"/>
  <c r="AK47" i="23"/>
  <c r="AJ47" i="23"/>
  <c r="J47" i="23"/>
  <c r="M47" i="23"/>
  <c r="U47" i="23"/>
  <c r="Z47" i="23"/>
  <c r="AH47" i="23"/>
  <c r="AL47" i="23"/>
  <c r="AR47" i="23"/>
  <c r="N47" i="23"/>
  <c r="R47" i="23"/>
  <c r="V47" i="23"/>
  <c r="AP47" i="23"/>
  <c r="AU47" i="23"/>
  <c r="Q47" i="23"/>
  <c r="AD47" i="23"/>
  <c r="K47" i="23"/>
  <c r="AA47" i="23"/>
  <c r="AI47" i="23"/>
  <c r="AQ47" i="23"/>
  <c r="AT47" i="23"/>
  <c r="AM47" i="23"/>
  <c r="E47" i="23"/>
  <c r="F47" i="23"/>
  <c r="D47" i="23"/>
  <c r="G47" i="23"/>
  <c r="H47" i="23"/>
  <c r="B48" i="23"/>
  <c r="A104" i="19"/>
  <c r="A101" i="20"/>
  <c r="A29" i="20"/>
  <c r="AN48" i="23" l="1"/>
  <c r="X48" i="23"/>
  <c r="AC48" i="23"/>
  <c r="AG48" i="23"/>
  <c r="L48" i="23"/>
  <c r="P48" i="23"/>
  <c r="AB48" i="23"/>
  <c r="AK48" i="23"/>
  <c r="AS48" i="23"/>
  <c r="AF48" i="23"/>
  <c r="Y48" i="23"/>
  <c r="M48" i="23"/>
  <c r="AO48" i="23"/>
  <c r="Q48" i="23"/>
  <c r="AD48" i="23"/>
  <c r="S48" i="23"/>
  <c r="K48" i="23"/>
  <c r="N48" i="23"/>
  <c r="W48" i="23"/>
  <c r="I48" i="23"/>
  <c r="O48" i="23"/>
  <c r="Z48" i="23"/>
  <c r="AT48" i="23"/>
  <c r="R48" i="23"/>
  <c r="V48" i="23"/>
  <c r="T48" i="23"/>
  <c r="AP48" i="23"/>
  <c r="AJ48" i="23"/>
  <c r="J48" i="23"/>
  <c r="AL48" i="23"/>
  <c r="AM48" i="23"/>
  <c r="AH48" i="23"/>
  <c r="AE48" i="23"/>
  <c r="AQ48" i="23"/>
  <c r="U48" i="23"/>
  <c r="AU48" i="23"/>
  <c r="AR48" i="23"/>
  <c r="AA48" i="23"/>
  <c r="AI48" i="23"/>
  <c r="D48" i="23"/>
  <c r="H48" i="23"/>
  <c r="G48" i="23"/>
  <c r="E48" i="23"/>
  <c r="F48" i="23"/>
  <c r="B49" i="23"/>
  <c r="A105" i="19"/>
  <c r="A102" i="20"/>
  <c r="A30" i="20"/>
  <c r="AN49" i="23" l="1"/>
  <c r="AC49" i="23"/>
  <c r="AK49" i="23"/>
  <c r="S49" i="23"/>
  <c r="AF49" i="23"/>
  <c r="I49" i="23"/>
  <c r="AS49" i="23"/>
  <c r="AB49" i="23"/>
  <c r="L49" i="23"/>
  <c r="X49" i="23"/>
  <c r="AO49" i="23"/>
  <c r="O49" i="23"/>
  <c r="Z49" i="23"/>
  <c r="AT49" i="23"/>
  <c r="K49" i="23"/>
  <c r="R49" i="23"/>
  <c r="V49" i="23"/>
  <c r="AE49" i="23"/>
  <c r="AQ49" i="23"/>
  <c r="T49" i="23"/>
  <c r="AG49" i="23"/>
  <c r="W49" i="23"/>
  <c r="M49" i="23"/>
  <c r="AD49" i="23"/>
  <c r="AP49" i="23"/>
  <c r="AR49" i="23"/>
  <c r="P49" i="23"/>
  <c r="Y49" i="23"/>
  <c r="U49" i="23"/>
  <c r="AH49" i="23"/>
  <c r="AL49" i="23"/>
  <c r="AJ49" i="23"/>
  <c r="Q49" i="23"/>
  <c r="J49" i="23"/>
  <c r="N49" i="23"/>
  <c r="AA49" i="23"/>
  <c r="AI49" i="23"/>
  <c r="AM49" i="23"/>
  <c r="AU49" i="23"/>
  <c r="D49" i="23"/>
  <c r="E49" i="23"/>
  <c r="G49" i="23"/>
  <c r="F49" i="23"/>
  <c r="H49" i="23"/>
  <c r="B50" i="23"/>
  <c r="A106" i="19"/>
  <c r="A103" i="20"/>
  <c r="A31" i="20"/>
  <c r="P50" i="23" l="1"/>
  <c r="X50" i="23"/>
  <c r="AC50" i="23"/>
  <c r="AF50" i="23"/>
  <c r="S50" i="23"/>
  <c r="AN50" i="23"/>
  <c r="AG50" i="23"/>
  <c r="AK50" i="23"/>
  <c r="T50" i="23"/>
  <c r="W50" i="23"/>
  <c r="Y50" i="23"/>
  <c r="I50" i="23"/>
  <c r="AS50" i="23"/>
  <c r="O50" i="23"/>
  <c r="AL50" i="23"/>
  <c r="M50" i="23"/>
  <c r="L50" i="23"/>
  <c r="AO50" i="23"/>
  <c r="Q50" i="23"/>
  <c r="Z50" i="23"/>
  <c r="AD50" i="23"/>
  <c r="K50" i="23"/>
  <c r="J50" i="23"/>
  <c r="N50" i="23"/>
  <c r="AB50" i="23"/>
  <c r="AH50" i="23"/>
  <c r="AP50" i="23"/>
  <c r="AT50" i="23"/>
  <c r="AJ50" i="23"/>
  <c r="AR50" i="23"/>
  <c r="V50" i="23"/>
  <c r="AA50" i="23"/>
  <c r="AM50" i="23"/>
  <c r="U50" i="23"/>
  <c r="R50" i="23"/>
  <c r="AE50" i="23"/>
  <c r="AQ50" i="23"/>
  <c r="AU50" i="23"/>
  <c r="AI50" i="23"/>
  <c r="D50" i="23"/>
  <c r="F50" i="23"/>
  <c r="H50" i="23"/>
  <c r="E50" i="23"/>
  <c r="G50" i="23"/>
  <c r="B51" i="23"/>
  <c r="A107" i="19"/>
  <c r="A104" i="20"/>
  <c r="A32" i="20"/>
  <c r="AB51" i="23" l="1"/>
  <c r="P51" i="23"/>
  <c r="X51" i="23"/>
  <c r="AO51" i="23"/>
  <c r="O51" i="23"/>
  <c r="AF51" i="23"/>
  <c r="M51" i="23"/>
  <c r="S51" i="23"/>
  <c r="L51" i="23"/>
  <c r="AC51" i="23"/>
  <c r="W51" i="23"/>
  <c r="I51" i="23"/>
  <c r="AL51" i="23"/>
  <c r="T51" i="23"/>
  <c r="AS51" i="23"/>
  <c r="AH51" i="23"/>
  <c r="AT51" i="23"/>
  <c r="AJ51" i="23"/>
  <c r="AE51" i="23"/>
  <c r="AI51" i="23"/>
  <c r="AN51" i="23"/>
  <c r="AK51" i="23"/>
  <c r="Y51" i="23"/>
  <c r="AR51" i="23"/>
  <c r="N51" i="23"/>
  <c r="R51" i="23"/>
  <c r="AG51" i="23"/>
  <c r="Q51" i="23"/>
  <c r="U51" i="23"/>
  <c r="AD51" i="23"/>
  <c r="AP51" i="23"/>
  <c r="J51" i="23"/>
  <c r="V51" i="23"/>
  <c r="K51" i="23"/>
  <c r="Z51" i="23"/>
  <c r="AA51" i="23"/>
  <c r="AQ51" i="23"/>
  <c r="AU51" i="23"/>
  <c r="AM51" i="23"/>
  <c r="F51" i="23"/>
  <c r="D51" i="23"/>
  <c r="G51" i="23"/>
  <c r="E51" i="23"/>
  <c r="H51" i="23"/>
  <c r="B52" i="23"/>
  <c r="A108" i="19"/>
  <c r="A105" i="20"/>
  <c r="A33" i="20"/>
  <c r="S52" i="23" l="1"/>
  <c r="AB52" i="23"/>
  <c r="AN52" i="23"/>
  <c r="T52" i="23"/>
  <c r="AC52" i="23"/>
  <c r="AG52" i="23"/>
  <c r="AS52" i="23"/>
  <c r="Y52" i="23"/>
  <c r="AK52" i="23"/>
  <c r="P52" i="23"/>
  <c r="X52" i="23"/>
  <c r="AO52" i="23"/>
  <c r="O52" i="23"/>
  <c r="AF52" i="23"/>
  <c r="M52" i="23"/>
  <c r="W52" i="23"/>
  <c r="I52" i="23"/>
  <c r="Q52" i="23"/>
  <c r="AL52" i="23"/>
  <c r="U52" i="23"/>
  <c r="AJ52" i="23"/>
  <c r="L52" i="23"/>
  <c r="Z52" i="23"/>
  <c r="AH52" i="23"/>
  <c r="AR52" i="23"/>
  <c r="N52" i="23"/>
  <c r="AD52" i="23"/>
  <c r="J52" i="23"/>
  <c r="AP52" i="23"/>
  <c r="AM52" i="23"/>
  <c r="V52" i="23"/>
  <c r="AA52" i="23"/>
  <c r="K52" i="23"/>
  <c r="R52" i="23"/>
  <c r="AI52" i="23"/>
  <c r="AQ52" i="23"/>
  <c r="AT52" i="23"/>
  <c r="AE52" i="23"/>
  <c r="AU52" i="23"/>
  <c r="H52" i="23"/>
  <c r="D52" i="23"/>
  <c r="E52" i="23"/>
  <c r="F52" i="23"/>
  <c r="G52" i="23"/>
  <c r="B53" i="23"/>
  <c r="A109" i="19"/>
  <c r="A106" i="20"/>
  <c r="A34" i="20"/>
  <c r="AN53" i="23" l="1"/>
  <c r="AB53" i="23"/>
  <c r="AG53" i="23"/>
  <c r="AK53" i="23"/>
  <c r="S53" i="23"/>
  <c r="L53" i="23"/>
  <c r="X53" i="23"/>
  <c r="AC53" i="23"/>
  <c r="Y53" i="23"/>
  <c r="I53" i="23"/>
  <c r="P53" i="23"/>
  <c r="T53" i="23"/>
  <c r="AS53" i="23"/>
  <c r="W53" i="23"/>
  <c r="Q53" i="23"/>
  <c r="U53" i="23"/>
  <c r="Z53" i="23"/>
  <c r="AD53" i="23"/>
  <c r="AH53" i="23"/>
  <c r="AP53" i="23"/>
  <c r="AL53" i="23"/>
  <c r="AR53" i="23"/>
  <c r="O53" i="23"/>
  <c r="M53" i="23"/>
  <c r="AO53" i="23"/>
  <c r="AF53" i="23"/>
  <c r="K53" i="23"/>
  <c r="J53" i="23"/>
  <c r="V53" i="23"/>
  <c r="AJ53" i="23"/>
  <c r="N53" i="23"/>
  <c r="AQ53" i="23"/>
  <c r="AU53" i="23"/>
  <c r="AT53" i="23"/>
  <c r="AE53" i="23"/>
  <c r="R53" i="23"/>
  <c r="AA53" i="23"/>
  <c r="AI53" i="23"/>
  <c r="AM53" i="23"/>
  <c r="H53" i="23"/>
  <c r="G53" i="23"/>
  <c r="E53" i="23"/>
  <c r="F53" i="23"/>
  <c r="D53" i="23"/>
  <c r="B54" i="23"/>
  <c r="A110" i="19"/>
  <c r="A107" i="20"/>
  <c r="A35" i="20"/>
  <c r="AB54" i="23" l="1"/>
  <c r="O54" i="23"/>
  <c r="L54" i="23"/>
  <c r="AC54" i="23"/>
  <c r="AG54" i="23"/>
  <c r="AO54" i="23"/>
  <c r="S54" i="23"/>
  <c r="AP54" i="23"/>
  <c r="AN54" i="23"/>
  <c r="P54" i="23"/>
  <c r="X54" i="23"/>
  <c r="AF54" i="23"/>
  <c r="Y54" i="23"/>
  <c r="M54" i="23"/>
  <c r="AD54" i="23"/>
  <c r="AH54" i="23"/>
  <c r="AT54" i="23"/>
  <c r="AJ54" i="23"/>
  <c r="AI54" i="23"/>
  <c r="AK54" i="23"/>
  <c r="W54" i="23"/>
  <c r="U54" i="23"/>
  <c r="AL54" i="23"/>
  <c r="K54" i="23"/>
  <c r="N54" i="23"/>
  <c r="V54" i="23"/>
  <c r="T54" i="23"/>
  <c r="AS54" i="23"/>
  <c r="I54" i="23"/>
  <c r="Q54" i="23"/>
  <c r="R54" i="23"/>
  <c r="Z54" i="23"/>
  <c r="J54" i="23"/>
  <c r="AA54" i="23"/>
  <c r="AE54" i="23"/>
  <c r="AM54" i="23"/>
  <c r="AR54" i="23"/>
  <c r="AQ54" i="23"/>
  <c r="AU54" i="23"/>
  <c r="E54" i="23"/>
  <c r="D54" i="23"/>
  <c r="G54" i="23"/>
  <c r="H54" i="23"/>
  <c r="F54" i="23"/>
  <c r="B55" i="23"/>
  <c r="A111" i="19"/>
  <c r="A108" i="20"/>
  <c r="A36" i="20"/>
  <c r="AN55" i="23" l="1"/>
  <c r="L55" i="23"/>
  <c r="AG55" i="23"/>
  <c r="W55" i="23"/>
  <c r="Y55" i="23"/>
  <c r="S55" i="23"/>
  <c r="T55" i="23"/>
  <c r="AC55" i="23"/>
  <c r="AK55" i="23"/>
  <c r="AS55" i="23"/>
  <c r="AO55" i="23"/>
  <c r="M55" i="23"/>
  <c r="Q55" i="23"/>
  <c r="U55" i="23"/>
  <c r="AD55" i="23"/>
  <c r="AL55" i="23"/>
  <c r="AP55" i="23"/>
  <c r="J55" i="23"/>
  <c r="V55" i="23"/>
  <c r="AB55" i="23"/>
  <c r="P55" i="23"/>
  <c r="O55" i="23"/>
  <c r="X55" i="23"/>
  <c r="I55" i="23"/>
  <c r="Z55" i="23"/>
  <c r="K55" i="23"/>
  <c r="AF55" i="23"/>
  <c r="AR55" i="23"/>
  <c r="N55" i="23"/>
  <c r="R55" i="23"/>
  <c r="AJ55" i="23"/>
  <c r="AE55" i="23"/>
  <c r="AI55" i="23"/>
  <c r="AM55" i="23"/>
  <c r="AT55" i="23"/>
  <c r="AH55" i="23"/>
  <c r="AA55" i="23"/>
  <c r="AQ55" i="23"/>
  <c r="AU55" i="23"/>
  <c r="H55" i="23"/>
  <c r="F55" i="23"/>
  <c r="D55" i="23"/>
  <c r="G55" i="23"/>
  <c r="E55" i="23"/>
  <c r="B56" i="23"/>
  <c r="A112" i="19"/>
  <c r="A109" i="20"/>
  <c r="A37" i="20"/>
  <c r="L56" i="23" l="1"/>
  <c r="P56" i="23"/>
  <c r="AF56" i="23"/>
  <c r="X56" i="23"/>
  <c r="T56" i="23"/>
  <c r="AK56" i="23"/>
  <c r="AS56" i="23"/>
  <c r="AB56" i="23"/>
  <c r="AN56" i="23"/>
  <c r="AO56" i="23"/>
  <c r="O56" i="23"/>
  <c r="Y56" i="23"/>
  <c r="M56" i="23"/>
  <c r="U56" i="23"/>
  <c r="AH56" i="23"/>
  <c r="AD56" i="23"/>
  <c r="J56" i="23"/>
  <c r="AA56" i="23"/>
  <c r="AI56" i="23"/>
  <c r="AQ56" i="23"/>
  <c r="S56" i="23"/>
  <c r="AC56" i="23"/>
  <c r="AG56" i="23"/>
  <c r="I56" i="23"/>
  <c r="Q56" i="23"/>
  <c r="AL56" i="23"/>
  <c r="AP56" i="23"/>
  <c r="AT56" i="23"/>
  <c r="K56" i="23"/>
  <c r="R56" i="23"/>
  <c r="V56" i="23"/>
  <c r="W56" i="23"/>
  <c r="Z56" i="23"/>
  <c r="AR56" i="23"/>
  <c r="N56" i="23"/>
  <c r="AE56" i="23"/>
  <c r="AJ56" i="23"/>
  <c r="AM56" i="23"/>
  <c r="AU56" i="23"/>
  <c r="G56" i="23"/>
  <c r="F56" i="23"/>
  <c r="H56" i="23"/>
  <c r="D56" i="23"/>
  <c r="E56" i="23"/>
  <c r="B57" i="23"/>
  <c r="A113" i="19"/>
  <c r="A110" i="20"/>
  <c r="A38" i="20"/>
  <c r="S57" i="23" l="1"/>
  <c r="AC57" i="23"/>
  <c r="AO57" i="23"/>
  <c r="W57" i="23"/>
  <c r="L57" i="23"/>
  <c r="P57" i="23"/>
  <c r="T57" i="23"/>
  <c r="X57" i="23"/>
  <c r="AG57" i="23"/>
  <c r="AK57" i="23"/>
  <c r="O57" i="23"/>
  <c r="AF57" i="23"/>
  <c r="AN57" i="23"/>
  <c r="Y57" i="23"/>
  <c r="I57" i="23"/>
  <c r="AB57" i="23"/>
  <c r="U57" i="23"/>
  <c r="AJ57" i="23"/>
  <c r="N57" i="23"/>
  <c r="M57" i="23"/>
  <c r="Q57" i="23"/>
  <c r="AH57" i="23"/>
  <c r="AT57" i="23"/>
  <c r="R57" i="23"/>
  <c r="AS57" i="23"/>
  <c r="Z57" i="23"/>
  <c r="AD57" i="23"/>
  <c r="K57" i="23"/>
  <c r="J57" i="23"/>
  <c r="V57" i="23"/>
  <c r="AA57" i="23"/>
  <c r="AI57" i="23"/>
  <c r="AM57" i="23"/>
  <c r="AU57" i="23"/>
  <c r="AL57" i="23"/>
  <c r="AR57" i="23"/>
  <c r="AP57" i="23"/>
  <c r="AE57" i="23"/>
  <c r="AQ57" i="23"/>
  <c r="G57" i="23"/>
  <c r="H57" i="23"/>
  <c r="E57" i="23"/>
  <c r="F57" i="23"/>
  <c r="D57" i="23"/>
  <c r="B58" i="23"/>
  <c r="A114" i="19"/>
  <c r="A111" i="20"/>
  <c r="A39" i="20"/>
  <c r="AN58" i="23" l="1"/>
  <c r="P58" i="23"/>
  <c r="T58" i="23"/>
  <c r="AG58" i="23"/>
  <c r="AK58" i="23"/>
  <c r="AS58" i="23"/>
  <c r="W58" i="23"/>
  <c r="S58" i="23"/>
  <c r="X58" i="23"/>
  <c r="AC58" i="23"/>
  <c r="AF58" i="23"/>
  <c r="I58" i="23"/>
  <c r="L58" i="23"/>
  <c r="AO58" i="23"/>
  <c r="Z58" i="23"/>
  <c r="AH58" i="23"/>
  <c r="Q58" i="23"/>
  <c r="AP58" i="23"/>
  <c r="R58" i="23"/>
  <c r="AA58" i="23"/>
  <c r="AE58" i="23"/>
  <c r="AM58" i="23"/>
  <c r="AQ58" i="23"/>
  <c r="AU58" i="23"/>
  <c r="Y58" i="23"/>
  <c r="M58" i="23"/>
  <c r="J58" i="23"/>
  <c r="AB58" i="23"/>
  <c r="O58" i="23"/>
  <c r="U58" i="23"/>
  <c r="AL58" i="23"/>
  <c r="K58" i="23"/>
  <c r="N58" i="23"/>
  <c r="V58" i="23"/>
  <c r="AD58" i="23"/>
  <c r="AI58" i="23"/>
  <c r="AJ58" i="23"/>
  <c r="AR58" i="23"/>
  <c r="AT58" i="23"/>
  <c r="F58" i="23"/>
  <c r="H58" i="23"/>
  <c r="E58" i="23"/>
  <c r="D58" i="23"/>
  <c r="G58" i="23"/>
  <c r="B59" i="23"/>
  <c r="A115" i="19"/>
  <c r="A112" i="20"/>
  <c r="A40" i="20"/>
  <c r="W59" i="23" l="1"/>
  <c r="AB59" i="23"/>
  <c r="P59" i="23"/>
  <c r="X59" i="23"/>
  <c r="T59" i="23"/>
  <c r="AK59" i="23"/>
  <c r="S59" i="23"/>
  <c r="AS59" i="23"/>
  <c r="Z59" i="23"/>
  <c r="AL59" i="23"/>
  <c r="AP59" i="23"/>
  <c r="L59" i="23"/>
  <c r="AG59" i="23"/>
  <c r="O59" i="23"/>
  <c r="AF59" i="23"/>
  <c r="Q59" i="23"/>
  <c r="U59" i="23"/>
  <c r="AR59" i="23"/>
  <c r="N59" i="23"/>
  <c r="V59" i="23"/>
  <c r="AE59" i="23"/>
  <c r="AI59" i="23"/>
  <c r="AO59" i="23"/>
  <c r="M59" i="23"/>
  <c r="AJ59" i="23"/>
  <c r="AN59" i="23"/>
  <c r="AC59" i="23"/>
  <c r="Y59" i="23"/>
  <c r="I59" i="23"/>
  <c r="AD59" i="23"/>
  <c r="AT59" i="23"/>
  <c r="K59" i="23"/>
  <c r="R59" i="23"/>
  <c r="AQ59" i="23"/>
  <c r="J59" i="23"/>
  <c r="AH59" i="23"/>
  <c r="AM59" i="23"/>
  <c r="AA59" i="23"/>
  <c r="AU59" i="23"/>
  <c r="E59" i="23"/>
  <c r="H59" i="23"/>
  <c r="F59" i="23"/>
  <c r="D59" i="23"/>
  <c r="G59" i="23"/>
  <c r="B60" i="23"/>
  <c r="A116" i="19"/>
  <c r="A113" i="20"/>
  <c r="A41" i="20"/>
  <c r="O60" i="23" l="1"/>
  <c r="S60" i="23"/>
  <c r="AB60" i="23"/>
  <c r="AN60" i="23"/>
  <c r="T60" i="23"/>
  <c r="L60" i="23"/>
  <c r="AO60" i="23"/>
  <c r="W60" i="23"/>
  <c r="I60" i="23"/>
  <c r="P60" i="23"/>
  <c r="X60" i="23"/>
  <c r="AK60" i="23"/>
  <c r="AF60" i="23"/>
  <c r="AD60" i="23"/>
  <c r="AP60" i="23"/>
  <c r="Y60" i="23"/>
  <c r="M60" i="23"/>
  <c r="Z60" i="23"/>
  <c r="AR60" i="23"/>
  <c r="V60" i="23"/>
  <c r="AI60" i="23"/>
  <c r="AM60" i="23"/>
  <c r="AQ60" i="23"/>
  <c r="AU60" i="23"/>
  <c r="AC60" i="23"/>
  <c r="AS60" i="23"/>
  <c r="AG60" i="23"/>
  <c r="U60" i="23"/>
  <c r="AL60" i="23"/>
  <c r="AJ60" i="23"/>
  <c r="J60" i="23"/>
  <c r="R60" i="23"/>
  <c r="Q60" i="23"/>
  <c r="AH60" i="23"/>
  <c r="AT60" i="23"/>
  <c r="K60" i="23"/>
  <c r="N60" i="23"/>
  <c r="AE60" i="23"/>
  <c r="AA60" i="23"/>
  <c r="D60" i="23"/>
  <c r="F60" i="23"/>
  <c r="G60" i="23"/>
  <c r="E60" i="23"/>
  <c r="H60" i="23"/>
  <c r="B61" i="23"/>
  <c r="A117" i="19"/>
  <c r="A114" i="20"/>
  <c r="A42" i="20"/>
  <c r="P61" i="23" l="1"/>
  <c r="S61" i="23"/>
  <c r="L61" i="23"/>
  <c r="AK61" i="23"/>
  <c r="AS61" i="23"/>
  <c r="T61" i="23"/>
  <c r="AC61" i="23"/>
  <c r="U61" i="23"/>
  <c r="AG61" i="23"/>
  <c r="Y61" i="23"/>
  <c r="Q61" i="23"/>
  <c r="AH61" i="23"/>
  <c r="AT61" i="23"/>
  <c r="K61" i="23"/>
  <c r="AR61" i="23"/>
  <c r="J61" i="23"/>
  <c r="AM61" i="23"/>
  <c r="AN61" i="23"/>
  <c r="X61" i="23"/>
  <c r="W61" i="23"/>
  <c r="AF61" i="23"/>
  <c r="I61" i="23"/>
  <c r="M61" i="23"/>
  <c r="AB61" i="23"/>
  <c r="O61" i="23"/>
  <c r="AD61" i="23"/>
  <c r="AO61" i="23"/>
  <c r="AP61" i="23"/>
  <c r="AJ61" i="23"/>
  <c r="N61" i="23"/>
  <c r="R61" i="23"/>
  <c r="V61" i="23"/>
  <c r="Z61" i="23"/>
  <c r="AU61" i="23"/>
  <c r="AL61" i="23"/>
  <c r="AA61" i="23"/>
  <c r="AI61" i="23"/>
  <c r="AE61" i="23"/>
  <c r="AQ61" i="23"/>
  <c r="E61" i="23"/>
  <c r="D61" i="23"/>
  <c r="F61" i="23"/>
  <c r="G61" i="23"/>
  <c r="H61" i="23"/>
  <c r="B62" i="23"/>
  <c r="A118" i="19"/>
  <c r="A115" i="20"/>
  <c r="A43" i="20"/>
  <c r="AN62" i="23" l="1"/>
  <c r="X62" i="23"/>
  <c r="AC62" i="23"/>
  <c r="AG62" i="23"/>
  <c r="AK62" i="23"/>
  <c r="AO62" i="23"/>
  <c r="AS62" i="23"/>
  <c r="O62" i="23"/>
  <c r="AF62" i="23"/>
  <c r="S62" i="23"/>
  <c r="AB62" i="23"/>
  <c r="P62" i="23"/>
  <c r="L62" i="23"/>
  <c r="I62" i="23"/>
  <c r="Q62" i="23"/>
  <c r="U62" i="23"/>
  <c r="AP62" i="23"/>
  <c r="K62" i="23"/>
  <c r="AA62" i="23"/>
  <c r="AE62" i="23"/>
  <c r="AM62" i="23"/>
  <c r="AQ62" i="23"/>
  <c r="AU62" i="23"/>
  <c r="M62" i="23"/>
  <c r="Y62" i="23"/>
  <c r="Z62" i="23"/>
  <c r="AH62" i="23"/>
  <c r="AT62" i="23"/>
  <c r="AR62" i="23"/>
  <c r="T62" i="23"/>
  <c r="W62" i="23"/>
  <c r="AD62" i="23"/>
  <c r="AL62" i="23"/>
  <c r="AJ62" i="23"/>
  <c r="J62" i="23"/>
  <c r="R62" i="23"/>
  <c r="V62" i="23"/>
  <c r="N62" i="23"/>
  <c r="AI62" i="23"/>
  <c r="F62" i="23"/>
  <c r="H62" i="23"/>
  <c r="D62" i="23"/>
  <c r="G62" i="23"/>
  <c r="E62" i="23"/>
  <c r="B63" i="23"/>
  <c r="A119" i="19"/>
  <c r="A116" i="20"/>
  <c r="A44" i="20"/>
  <c r="AK63" i="23" l="1"/>
  <c r="Y63" i="23"/>
  <c r="S63" i="23"/>
  <c r="AB63" i="23"/>
  <c r="T63" i="23"/>
  <c r="X63" i="23"/>
  <c r="AC63" i="23"/>
  <c r="L63" i="23"/>
  <c r="W63" i="23"/>
  <c r="AF63" i="23"/>
  <c r="M63" i="23"/>
  <c r="Q63" i="23"/>
  <c r="Z63" i="23"/>
  <c r="AD63" i="23"/>
  <c r="AP63" i="23"/>
  <c r="AG63" i="23"/>
  <c r="AL63" i="23"/>
  <c r="N63" i="23"/>
  <c r="V63" i="23"/>
  <c r="AA63" i="23"/>
  <c r="AQ63" i="23"/>
  <c r="AU63" i="23"/>
  <c r="P63" i="23"/>
  <c r="O63" i="23"/>
  <c r="AS63" i="23"/>
  <c r="I63" i="23"/>
  <c r="AT63" i="23"/>
  <c r="K63" i="23"/>
  <c r="AJ63" i="23"/>
  <c r="AN63" i="23"/>
  <c r="AO63" i="23"/>
  <c r="AR63" i="23"/>
  <c r="R63" i="23"/>
  <c r="U63" i="23"/>
  <c r="AE63" i="23"/>
  <c r="AI63" i="23"/>
  <c r="AH63" i="23"/>
  <c r="J63" i="23"/>
  <c r="AM63" i="23"/>
  <c r="E63" i="23"/>
  <c r="F63" i="23"/>
  <c r="H63" i="23"/>
  <c r="G63" i="23"/>
  <c r="D63" i="23"/>
  <c r="B64" i="23"/>
  <c r="A120" i="19"/>
  <c r="A117" i="20"/>
  <c r="A45" i="20"/>
  <c r="AC64" i="23" l="1"/>
  <c r="O64" i="23"/>
  <c r="AF64" i="23"/>
  <c r="Y64" i="23"/>
  <c r="L64" i="23"/>
  <c r="AG64" i="23"/>
  <c r="AK64" i="23"/>
  <c r="AB64" i="23"/>
  <c r="T64" i="23"/>
  <c r="X64" i="23"/>
  <c r="AO64" i="23"/>
  <c r="W64" i="23"/>
  <c r="M64" i="23"/>
  <c r="U64" i="23"/>
  <c r="AD64" i="23"/>
  <c r="AH64" i="23"/>
  <c r="S64" i="23"/>
  <c r="AN64" i="23"/>
  <c r="I64" i="23"/>
  <c r="AT64" i="23"/>
  <c r="AA64" i="23"/>
  <c r="P64" i="23"/>
  <c r="AS64" i="23"/>
  <c r="AJ64" i="23"/>
  <c r="R64" i="23"/>
  <c r="V64" i="23"/>
  <c r="AL64" i="23"/>
  <c r="AP64" i="23"/>
  <c r="K64" i="23"/>
  <c r="J64" i="23"/>
  <c r="N64" i="23"/>
  <c r="AU64" i="23"/>
  <c r="Z64" i="23"/>
  <c r="Q64" i="23"/>
  <c r="AR64" i="23"/>
  <c r="AE64" i="23"/>
  <c r="AM64" i="23"/>
  <c r="AQ64" i="23"/>
  <c r="AI64" i="23"/>
  <c r="G64" i="23"/>
  <c r="D64" i="23"/>
  <c r="F64" i="23"/>
  <c r="H64" i="23"/>
  <c r="E64" i="23"/>
  <c r="B65" i="23"/>
  <c r="A121" i="19"/>
  <c r="A118" i="20"/>
  <c r="A46" i="20"/>
  <c r="AB65" i="23" l="1"/>
  <c r="T65" i="23"/>
  <c r="X65" i="23"/>
  <c r="AO65" i="23"/>
  <c r="AS65" i="23"/>
  <c r="AN65" i="23"/>
  <c r="AC65" i="23"/>
  <c r="AK65" i="23"/>
  <c r="I65" i="23"/>
  <c r="L65" i="23"/>
  <c r="Q65" i="23"/>
  <c r="U65" i="23"/>
  <c r="AP65" i="23"/>
  <c r="AJ65" i="23"/>
  <c r="N65" i="23"/>
  <c r="R65" i="23"/>
  <c r="V65" i="23"/>
  <c r="AG65" i="23"/>
  <c r="Y65" i="23"/>
  <c r="S65" i="23"/>
  <c r="W65" i="23"/>
  <c r="AF65" i="23"/>
  <c r="M65" i="23"/>
  <c r="Z65" i="23"/>
  <c r="AL65" i="23"/>
  <c r="P65" i="23"/>
  <c r="O65" i="23"/>
  <c r="AD65" i="23"/>
  <c r="K65" i="23"/>
  <c r="AR65" i="23"/>
  <c r="AE65" i="23"/>
  <c r="AQ65" i="23"/>
  <c r="AH65" i="23"/>
  <c r="AT65" i="23"/>
  <c r="J65" i="23"/>
  <c r="AM65" i="23"/>
  <c r="AA65" i="23"/>
  <c r="AI65" i="23"/>
  <c r="AU65" i="23"/>
  <c r="E65" i="23"/>
  <c r="D65" i="23"/>
  <c r="F65" i="23"/>
  <c r="G65" i="23"/>
  <c r="H65" i="23"/>
  <c r="B66" i="23"/>
  <c r="A122" i="19"/>
  <c r="A119" i="20"/>
  <c r="A47" i="20"/>
  <c r="L66" i="23" l="1"/>
  <c r="T66" i="23"/>
  <c r="AB66" i="23"/>
  <c r="AS66" i="23"/>
  <c r="AG66" i="23"/>
  <c r="AK66" i="23"/>
  <c r="O66" i="23"/>
  <c r="Q66" i="23"/>
  <c r="U66" i="23"/>
  <c r="X66" i="23"/>
  <c r="W66" i="23"/>
  <c r="I66" i="23"/>
  <c r="AD66" i="23"/>
  <c r="AL66" i="23"/>
  <c r="AJ66" i="23"/>
  <c r="J66" i="23"/>
  <c r="R66" i="23"/>
  <c r="V66" i="23"/>
  <c r="AN66" i="23"/>
  <c r="AO66" i="23"/>
  <c r="AF66" i="23"/>
  <c r="S66" i="23"/>
  <c r="P66" i="23"/>
  <c r="AC66" i="23"/>
  <c r="M66" i="23"/>
  <c r="N66" i="23"/>
  <c r="Y66" i="23"/>
  <c r="Z66" i="23"/>
  <c r="AH66" i="23"/>
  <c r="AT66" i="23"/>
  <c r="AR66" i="23"/>
  <c r="AA66" i="23"/>
  <c r="K66" i="23"/>
  <c r="AE66" i="23"/>
  <c r="AQ66" i="23"/>
  <c r="AU66" i="23"/>
  <c r="AP66" i="23"/>
  <c r="AI66" i="23"/>
  <c r="AM66" i="23"/>
  <c r="F66" i="23"/>
  <c r="H66" i="23"/>
  <c r="D66" i="23"/>
  <c r="G66" i="23"/>
  <c r="E66" i="23"/>
  <c r="B67" i="23"/>
  <c r="A123" i="19"/>
  <c r="A120" i="20"/>
  <c r="A48" i="20"/>
  <c r="O67" i="23" l="1"/>
  <c r="W67" i="23"/>
  <c r="AF67" i="23"/>
  <c r="AN67" i="23"/>
  <c r="L67" i="23"/>
  <c r="P67" i="23"/>
  <c r="AG67" i="23"/>
  <c r="AS67" i="23"/>
  <c r="T67" i="23"/>
  <c r="AK67" i="23"/>
  <c r="AL67" i="23"/>
  <c r="S67" i="23"/>
  <c r="AB67" i="23"/>
  <c r="AO67" i="23"/>
  <c r="Q67" i="23"/>
  <c r="AR67" i="23"/>
  <c r="Y67" i="23"/>
  <c r="M67" i="23"/>
  <c r="U67" i="23"/>
  <c r="AD67" i="23"/>
  <c r="AH67" i="23"/>
  <c r="J67" i="23"/>
  <c r="R67" i="23"/>
  <c r="X67" i="23"/>
  <c r="AC67" i="23"/>
  <c r="I67" i="23"/>
  <c r="AP67" i="23"/>
  <c r="AT67" i="23"/>
  <c r="K67" i="23"/>
  <c r="AJ67" i="23"/>
  <c r="AA67" i="23"/>
  <c r="AM67" i="23"/>
  <c r="AQ67" i="23"/>
  <c r="AU67" i="23"/>
  <c r="N67" i="23"/>
  <c r="V67" i="23"/>
  <c r="AE67" i="23"/>
  <c r="Z67" i="23"/>
  <c r="AI67" i="23"/>
  <c r="E67" i="23"/>
  <c r="D67" i="23"/>
  <c r="F67" i="23"/>
  <c r="H67" i="23"/>
  <c r="G67" i="23"/>
  <c r="B68" i="23"/>
  <c r="A124" i="19"/>
  <c r="A121" i="20"/>
  <c r="A49" i="20"/>
  <c r="S68" i="23" l="1"/>
  <c r="AB68" i="23"/>
  <c r="AN68" i="23"/>
  <c r="P68" i="23"/>
  <c r="X68" i="23"/>
  <c r="T68" i="23"/>
  <c r="AG68" i="23"/>
  <c r="AS68" i="23"/>
  <c r="AF68" i="23"/>
  <c r="AC68" i="23"/>
  <c r="Y68" i="23"/>
  <c r="AL68" i="23"/>
  <c r="AP68" i="23"/>
  <c r="K68" i="23"/>
  <c r="J68" i="23"/>
  <c r="N68" i="23"/>
  <c r="L68" i="23"/>
  <c r="O68" i="23"/>
  <c r="I68" i="23"/>
  <c r="M68" i="23"/>
  <c r="Q68" i="23"/>
  <c r="Z68" i="23"/>
  <c r="AR68" i="23"/>
  <c r="R68" i="23"/>
  <c r="AK68" i="23"/>
  <c r="AO68" i="23"/>
  <c r="W68" i="23"/>
  <c r="U68" i="23"/>
  <c r="AH68" i="23"/>
  <c r="AJ68" i="23"/>
  <c r="V68" i="23"/>
  <c r="AD68" i="23"/>
  <c r="AT68" i="23"/>
  <c r="AE68" i="23"/>
  <c r="AM68" i="23"/>
  <c r="AQ68" i="23"/>
  <c r="AU68" i="23"/>
  <c r="AA68" i="23"/>
  <c r="AI68" i="23"/>
  <c r="E68" i="23"/>
  <c r="G68" i="23"/>
  <c r="D68" i="23"/>
  <c r="F68" i="23"/>
  <c r="H68" i="23"/>
  <c r="B69" i="23"/>
  <c r="A125" i="19"/>
  <c r="A122" i="20"/>
  <c r="A50" i="20"/>
  <c r="S69" i="23" l="1"/>
  <c r="L69" i="23"/>
  <c r="AK69" i="23"/>
  <c r="AF69" i="23"/>
  <c r="P69" i="23"/>
  <c r="AN69" i="23"/>
  <c r="X69" i="23"/>
  <c r="O69" i="23"/>
  <c r="W69" i="23"/>
  <c r="Y69" i="23"/>
  <c r="AS69" i="23"/>
  <c r="I69" i="23"/>
  <c r="Z69" i="23"/>
  <c r="AD69" i="23"/>
  <c r="AH69" i="23"/>
  <c r="AL69" i="23"/>
  <c r="AP69" i="23"/>
  <c r="T69" i="23"/>
  <c r="AO69" i="23"/>
  <c r="AE69" i="23"/>
  <c r="AQ69" i="23"/>
  <c r="AU69" i="23"/>
  <c r="AC69" i="23"/>
  <c r="AT69" i="23"/>
  <c r="K69" i="23"/>
  <c r="AR69" i="23"/>
  <c r="J69" i="23"/>
  <c r="AB69" i="23"/>
  <c r="AG69" i="23"/>
  <c r="M69" i="23"/>
  <c r="U69" i="23"/>
  <c r="N69" i="23"/>
  <c r="V69" i="23"/>
  <c r="AI69" i="23"/>
  <c r="Q69" i="23"/>
  <c r="AJ69" i="23"/>
  <c r="AM69" i="23"/>
  <c r="R69" i="23"/>
  <c r="AA69" i="23"/>
  <c r="G69" i="23"/>
  <c r="E69" i="23"/>
  <c r="D69" i="23"/>
  <c r="F69" i="23"/>
  <c r="H69" i="23"/>
  <c r="B70" i="23"/>
  <c r="A126" i="19"/>
  <c r="A123" i="20"/>
  <c r="A51" i="20"/>
  <c r="S70" i="23" l="1"/>
  <c r="AB70" i="23"/>
  <c r="P70" i="23"/>
  <c r="Y70" i="23"/>
  <c r="AN70" i="23"/>
  <c r="X70" i="23"/>
  <c r="AC70" i="23"/>
  <c r="AG70" i="23"/>
  <c r="AK70" i="23"/>
  <c r="T70" i="23"/>
  <c r="W70" i="23"/>
  <c r="AS70" i="23"/>
  <c r="M70" i="23"/>
  <c r="AH70" i="23"/>
  <c r="AL70" i="23"/>
  <c r="Z70" i="23"/>
  <c r="AT70" i="23"/>
  <c r="AR70" i="23"/>
  <c r="I70" i="23"/>
  <c r="L70" i="23"/>
  <c r="AO70" i="23"/>
  <c r="O70" i="23"/>
  <c r="AF70" i="23"/>
  <c r="AP70" i="23"/>
  <c r="K70" i="23"/>
  <c r="N70" i="23"/>
  <c r="Q70" i="23"/>
  <c r="U70" i="23"/>
  <c r="AI70" i="23"/>
  <c r="AJ70" i="23"/>
  <c r="R70" i="23"/>
  <c r="AA70" i="23"/>
  <c r="V70" i="23"/>
  <c r="AE70" i="23"/>
  <c r="AM70" i="23"/>
  <c r="AQ70" i="23"/>
  <c r="AD70" i="23"/>
  <c r="J70" i="23"/>
  <c r="AU70" i="23"/>
  <c r="E70" i="23"/>
  <c r="F70" i="23"/>
  <c r="H70" i="23"/>
  <c r="D70" i="23"/>
  <c r="G70" i="23"/>
  <c r="B71" i="23"/>
  <c r="A127" i="19"/>
  <c r="A124" i="20"/>
  <c r="A52" i="20"/>
  <c r="S71" i="23" l="1"/>
  <c r="AB71" i="23"/>
  <c r="T71" i="23"/>
  <c r="X71" i="23"/>
  <c r="AC71" i="23"/>
  <c r="AO71" i="23"/>
  <c r="AK71" i="23"/>
  <c r="AN71" i="23"/>
  <c r="P71" i="23"/>
  <c r="AG71" i="23"/>
  <c r="O71" i="23"/>
  <c r="Y71" i="23"/>
  <c r="I71" i="23"/>
  <c r="L71" i="23"/>
  <c r="AS71" i="23"/>
  <c r="U71" i="23"/>
  <c r="AP71" i="23"/>
  <c r="AT71" i="23"/>
  <c r="K71" i="23"/>
  <c r="AJ71" i="23"/>
  <c r="AE71" i="23"/>
  <c r="AM71" i="23"/>
  <c r="AF71" i="23"/>
  <c r="Z71" i="23"/>
  <c r="N71" i="23"/>
  <c r="V71" i="23"/>
  <c r="W71" i="23"/>
  <c r="M71" i="23"/>
  <c r="AD71" i="23"/>
  <c r="AH71" i="23"/>
  <c r="J71" i="23"/>
  <c r="R71" i="23"/>
  <c r="AI71" i="23"/>
  <c r="Q71" i="23"/>
  <c r="AA71" i="23"/>
  <c r="AR71" i="23"/>
  <c r="AQ71" i="23"/>
  <c r="AU71" i="23"/>
  <c r="AL71" i="23"/>
  <c r="G71" i="23"/>
  <c r="F71" i="23"/>
  <c r="H71" i="23"/>
  <c r="E71" i="23"/>
  <c r="D71" i="23"/>
  <c r="B72" i="23"/>
  <c r="A128" i="19"/>
  <c r="A125" i="20"/>
  <c r="A53" i="20"/>
  <c r="L72" i="23" l="1"/>
  <c r="AG72" i="23"/>
  <c r="AK72" i="23"/>
  <c r="AO72" i="23"/>
  <c r="AS72" i="23"/>
  <c r="W72" i="23"/>
  <c r="AC72" i="23"/>
  <c r="O72" i="23"/>
  <c r="I72" i="23"/>
  <c r="AB72" i="23"/>
  <c r="T72" i="23"/>
  <c r="Q72" i="23"/>
  <c r="AL72" i="23"/>
  <c r="X72" i="23"/>
  <c r="U72" i="23"/>
  <c r="AH72" i="23"/>
  <c r="AJ72" i="23"/>
  <c r="V72" i="23"/>
  <c r="AI72" i="23"/>
  <c r="S72" i="23"/>
  <c r="AN72" i="23"/>
  <c r="Y72" i="23"/>
  <c r="M72" i="23"/>
  <c r="AD72" i="23"/>
  <c r="AT72" i="23"/>
  <c r="P72" i="23"/>
  <c r="AF72" i="23"/>
  <c r="Z72" i="23"/>
  <c r="AR72" i="23"/>
  <c r="J72" i="23"/>
  <c r="AE72" i="23"/>
  <c r="R72" i="23"/>
  <c r="AU72" i="23"/>
  <c r="AP72" i="23"/>
  <c r="K72" i="23"/>
  <c r="N72" i="23"/>
  <c r="AA72" i="23"/>
  <c r="AM72" i="23"/>
  <c r="AQ72" i="23"/>
  <c r="D72" i="23"/>
  <c r="F72" i="23"/>
  <c r="H72" i="23"/>
  <c r="E72" i="23"/>
  <c r="G72" i="23"/>
  <c r="B73" i="23"/>
  <c r="A129" i="19"/>
  <c r="A126" i="20"/>
  <c r="A54" i="20"/>
  <c r="AN73" i="23" l="1"/>
  <c r="AC73" i="23"/>
  <c r="AG73" i="23"/>
  <c r="O73" i="23"/>
  <c r="W73" i="23"/>
  <c r="Y73" i="23"/>
  <c r="AB73" i="23"/>
  <c r="T73" i="23"/>
  <c r="X73" i="23"/>
  <c r="P73" i="23"/>
  <c r="AO73" i="23"/>
  <c r="AF73" i="23"/>
  <c r="AK73" i="23"/>
  <c r="M73" i="23"/>
  <c r="AD73" i="23"/>
  <c r="AA73" i="23"/>
  <c r="AI73" i="23"/>
  <c r="AS73" i="23"/>
  <c r="L73" i="23"/>
  <c r="I73" i="23"/>
  <c r="Q73" i="23"/>
  <c r="U73" i="23"/>
  <c r="AH73" i="23"/>
  <c r="AJ73" i="23"/>
  <c r="N73" i="23"/>
  <c r="R73" i="23"/>
  <c r="V73" i="23"/>
  <c r="S73" i="23"/>
  <c r="Z73" i="23"/>
  <c r="AL73" i="23"/>
  <c r="AT73" i="23"/>
  <c r="K73" i="23"/>
  <c r="AR73" i="23"/>
  <c r="J73" i="23"/>
  <c r="AE73" i="23"/>
  <c r="AQ73" i="23"/>
  <c r="AP73" i="23"/>
  <c r="AU73" i="23"/>
  <c r="AM73" i="23"/>
  <c r="H73" i="23"/>
  <c r="E73" i="23"/>
  <c r="D73" i="23"/>
  <c r="F73" i="23"/>
  <c r="G73" i="23"/>
  <c r="B74" i="23"/>
  <c r="A130" i="19"/>
  <c r="A127" i="20"/>
  <c r="A55" i="20"/>
  <c r="W74" i="23" l="1"/>
  <c r="L74" i="23"/>
  <c r="T74" i="23"/>
  <c r="AN74" i="23"/>
  <c r="AC74" i="23"/>
  <c r="AO74" i="23"/>
  <c r="AF74" i="23"/>
  <c r="Y74" i="23"/>
  <c r="I74" i="23"/>
  <c r="AB74" i="23"/>
  <c r="Z74" i="23"/>
  <c r="AD74" i="23"/>
  <c r="AP74" i="23"/>
  <c r="AH74" i="23"/>
  <c r="N74" i="23"/>
  <c r="AI74" i="23"/>
  <c r="X74" i="23"/>
  <c r="AK74" i="23"/>
  <c r="AS74" i="23"/>
  <c r="Q74" i="23"/>
  <c r="U74" i="23"/>
  <c r="AJ74" i="23"/>
  <c r="J74" i="23"/>
  <c r="R74" i="23"/>
  <c r="V74" i="23"/>
  <c r="S74" i="23"/>
  <c r="P74" i="23"/>
  <c r="AG74" i="23"/>
  <c r="O74" i="23"/>
  <c r="M74" i="23"/>
  <c r="K74" i="23"/>
  <c r="AU74" i="23"/>
  <c r="AR74" i="23"/>
  <c r="AA74" i="23"/>
  <c r="AL74" i="23"/>
  <c r="AT74" i="23"/>
  <c r="AE74" i="23"/>
  <c r="AM74" i="23"/>
  <c r="AQ74" i="23"/>
  <c r="D74" i="23"/>
  <c r="G74" i="23"/>
  <c r="H74" i="23"/>
  <c r="E74" i="23"/>
  <c r="F74" i="23"/>
  <c r="B75" i="23"/>
  <c r="A131" i="19"/>
  <c r="A128" i="20"/>
  <c r="A56" i="20"/>
  <c r="AN75" i="23" l="1"/>
  <c r="L75" i="23"/>
  <c r="P75" i="23"/>
  <c r="AG75" i="23"/>
  <c r="AS75" i="23"/>
  <c r="X75" i="23"/>
  <c r="AO75" i="23"/>
  <c r="O75" i="23"/>
  <c r="Y75" i="23"/>
  <c r="I75" i="23"/>
  <c r="AH75" i="23"/>
  <c r="AC75" i="23"/>
  <c r="W75" i="23"/>
  <c r="M75" i="23"/>
  <c r="AD75" i="23"/>
  <c r="J75" i="23"/>
  <c r="R75" i="23"/>
  <c r="AI75" i="23"/>
  <c r="S75" i="23"/>
  <c r="AB75" i="23"/>
  <c r="T75" i="23"/>
  <c r="AF75" i="23"/>
  <c r="Q75" i="23"/>
  <c r="AL75" i="23"/>
  <c r="AR75" i="23"/>
  <c r="AK75" i="23"/>
  <c r="U75" i="23"/>
  <c r="Z75" i="23"/>
  <c r="N75" i="23"/>
  <c r="V75" i="23"/>
  <c r="AT75" i="23"/>
  <c r="AJ75" i="23"/>
  <c r="AP75" i="23"/>
  <c r="K75" i="23"/>
  <c r="AM75" i="23"/>
  <c r="AA75" i="23"/>
  <c r="AE75" i="23"/>
  <c r="AQ75" i="23"/>
  <c r="AU75" i="23"/>
  <c r="F75" i="23"/>
  <c r="H75" i="23"/>
  <c r="G75" i="23"/>
  <c r="E75" i="23"/>
  <c r="D75" i="23"/>
  <c r="B76" i="23"/>
  <c r="A132" i="19"/>
  <c r="A129" i="20"/>
  <c r="A57" i="20"/>
  <c r="T76" i="23" l="1"/>
  <c r="S76" i="23"/>
  <c r="AB76" i="23"/>
  <c r="AN76" i="23"/>
  <c r="P76" i="23"/>
  <c r="X76" i="23"/>
  <c r="L76" i="23"/>
  <c r="AC76" i="23"/>
  <c r="Y76" i="23"/>
  <c r="AG76" i="23"/>
  <c r="AS76" i="23"/>
  <c r="O76" i="23"/>
  <c r="I76" i="23"/>
  <c r="Z76" i="23"/>
  <c r="AP76" i="23"/>
  <c r="AK76" i="23"/>
  <c r="AO76" i="23"/>
  <c r="W76" i="23"/>
  <c r="AF76" i="23"/>
  <c r="AR76" i="23"/>
  <c r="AE76" i="23"/>
  <c r="AM76" i="23"/>
  <c r="AQ76" i="23"/>
  <c r="AU76" i="23"/>
  <c r="K76" i="23"/>
  <c r="J76" i="23"/>
  <c r="N76" i="23"/>
  <c r="M76" i="23"/>
  <c r="Q76" i="23"/>
  <c r="AD76" i="23"/>
  <c r="AT76" i="23"/>
  <c r="R76" i="23"/>
  <c r="AA76" i="23"/>
  <c r="AH76" i="23"/>
  <c r="AL76" i="23"/>
  <c r="AJ76" i="23"/>
  <c r="V76" i="23"/>
  <c r="U76" i="23"/>
  <c r="AI76" i="23"/>
  <c r="G76" i="23"/>
  <c r="D76" i="23"/>
  <c r="F76" i="23"/>
  <c r="H76" i="23"/>
  <c r="E76" i="23"/>
  <c r="B77" i="23"/>
  <c r="A133" i="19"/>
  <c r="A134" i="19" s="1"/>
  <c r="A130" i="20"/>
  <c r="A58" i="20"/>
  <c r="A132" i="20" l="1"/>
  <c r="A135" i="19"/>
  <c r="P77" i="23"/>
  <c r="S77" i="23"/>
  <c r="L77" i="23"/>
  <c r="AK77" i="23"/>
  <c r="AB77" i="23"/>
  <c r="AG77" i="23"/>
  <c r="AN77" i="23"/>
  <c r="X77" i="23"/>
  <c r="AO77" i="23"/>
  <c r="O77" i="23"/>
  <c r="W77" i="23"/>
  <c r="AF77" i="23"/>
  <c r="Y77" i="23"/>
  <c r="U77" i="23"/>
  <c r="M77" i="23"/>
  <c r="Z77" i="23"/>
  <c r="AL77" i="23"/>
  <c r="AT77" i="23"/>
  <c r="K77" i="23"/>
  <c r="AR77" i="23"/>
  <c r="J77" i="23"/>
  <c r="AM77" i="23"/>
  <c r="T77" i="23"/>
  <c r="AC77" i="23"/>
  <c r="AS77" i="23"/>
  <c r="AP77" i="23"/>
  <c r="I77" i="23"/>
  <c r="Q77" i="23"/>
  <c r="AH77" i="23"/>
  <c r="AJ77" i="23"/>
  <c r="N77" i="23"/>
  <c r="R77" i="23"/>
  <c r="V77" i="23"/>
  <c r="AA77" i="23"/>
  <c r="AD77" i="23"/>
  <c r="AE77" i="23"/>
  <c r="AQ77" i="23"/>
  <c r="AU77" i="23"/>
  <c r="AI77" i="23"/>
  <c r="E77" i="23"/>
  <c r="D77" i="23"/>
  <c r="F77" i="23"/>
  <c r="G77" i="23"/>
  <c r="H77" i="23"/>
  <c r="B78" i="23"/>
  <c r="A131" i="20"/>
  <c r="A59" i="20"/>
  <c r="A136" i="19" l="1"/>
  <c r="A133" i="20"/>
  <c r="AN78" i="23"/>
  <c r="X78" i="23"/>
  <c r="AC78" i="23"/>
  <c r="AG78" i="23"/>
  <c r="AK78" i="23"/>
  <c r="AO78" i="23"/>
  <c r="AS78" i="23"/>
  <c r="O78" i="23"/>
  <c r="AF78" i="23"/>
  <c r="S78" i="23"/>
  <c r="AB78" i="23"/>
  <c r="P78" i="23"/>
  <c r="T78" i="23"/>
  <c r="W78" i="23"/>
  <c r="Y78" i="23"/>
  <c r="I78" i="23"/>
  <c r="M78" i="23"/>
  <c r="K78" i="23"/>
  <c r="AA78" i="23"/>
  <c r="AE78" i="23"/>
  <c r="AM78" i="23"/>
  <c r="AQ78" i="23"/>
  <c r="AU78" i="23"/>
  <c r="AD78" i="23"/>
  <c r="AL78" i="23"/>
  <c r="AT78" i="23"/>
  <c r="AR78" i="23"/>
  <c r="L78" i="23"/>
  <c r="Q78" i="23"/>
  <c r="U78" i="23"/>
  <c r="AP78" i="23"/>
  <c r="AJ78" i="23"/>
  <c r="J78" i="23"/>
  <c r="R78" i="23"/>
  <c r="V78" i="23"/>
  <c r="AI78" i="23"/>
  <c r="Z78" i="23"/>
  <c r="N78" i="23"/>
  <c r="AH78" i="23"/>
  <c r="F78" i="23"/>
  <c r="H78" i="23"/>
  <c r="D78" i="23"/>
  <c r="G78" i="23"/>
  <c r="E78" i="23"/>
  <c r="B79" i="23"/>
  <c r="A60" i="20"/>
  <c r="A137" i="19" l="1"/>
  <c r="A134" i="20"/>
  <c r="AK79" i="23"/>
  <c r="Y79" i="23"/>
  <c r="S79" i="23"/>
  <c r="AB79" i="23"/>
  <c r="T79" i="23"/>
  <c r="X79" i="23"/>
  <c r="AC79" i="23"/>
  <c r="W79" i="23"/>
  <c r="AF79" i="23"/>
  <c r="AN79" i="23"/>
  <c r="P79" i="23"/>
  <c r="AG79" i="23"/>
  <c r="AO79" i="23"/>
  <c r="M79" i="23"/>
  <c r="Q79" i="23"/>
  <c r="Z79" i="23"/>
  <c r="AD79" i="23"/>
  <c r="AP79" i="23"/>
  <c r="L79" i="23"/>
  <c r="I79" i="23"/>
  <c r="U79" i="23"/>
  <c r="AH79" i="23"/>
  <c r="N79" i="23"/>
  <c r="V79" i="23"/>
  <c r="AA79" i="23"/>
  <c r="AQ79" i="23"/>
  <c r="AU79" i="23"/>
  <c r="O79" i="23"/>
  <c r="AT79" i="23"/>
  <c r="K79" i="23"/>
  <c r="AJ79" i="23"/>
  <c r="AS79" i="23"/>
  <c r="AL79" i="23"/>
  <c r="AR79" i="23"/>
  <c r="J79" i="23"/>
  <c r="AE79" i="23"/>
  <c r="R79" i="23"/>
  <c r="AM79" i="23"/>
  <c r="AI79" i="23"/>
  <c r="G79" i="23"/>
  <c r="D79" i="23"/>
  <c r="F79" i="23"/>
  <c r="H79" i="23"/>
  <c r="E79" i="23"/>
  <c r="B80" i="23"/>
  <c r="A61" i="20"/>
  <c r="A138" i="19" l="1"/>
  <c r="A135" i="20"/>
  <c r="AC80" i="23"/>
  <c r="O80" i="23"/>
  <c r="AF80" i="23"/>
  <c r="Y80" i="23"/>
  <c r="L80" i="23"/>
  <c r="AG80" i="23"/>
  <c r="AK80" i="23"/>
  <c r="S80" i="23"/>
  <c r="AN80" i="23"/>
  <c r="P80" i="23"/>
  <c r="AO80" i="23"/>
  <c r="W80" i="23"/>
  <c r="M80" i="23"/>
  <c r="U80" i="23"/>
  <c r="AD80" i="23"/>
  <c r="AH80" i="23"/>
  <c r="T80" i="23"/>
  <c r="Q80" i="23"/>
  <c r="Z80" i="23"/>
  <c r="AT80" i="23"/>
  <c r="AA80" i="23"/>
  <c r="X80" i="23"/>
  <c r="AB80" i="23"/>
  <c r="I80" i="23"/>
  <c r="AL80" i="23"/>
  <c r="AP80" i="23"/>
  <c r="AJ80" i="23"/>
  <c r="R80" i="23"/>
  <c r="V80" i="23"/>
  <c r="AS80" i="23"/>
  <c r="K80" i="23"/>
  <c r="J80" i="23"/>
  <c r="N80" i="23"/>
  <c r="AR80" i="23"/>
  <c r="AI80" i="23"/>
  <c r="AE80" i="23"/>
  <c r="AM80" i="23"/>
  <c r="AQ80" i="23"/>
  <c r="AU80" i="23"/>
  <c r="G80" i="23"/>
  <c r="E80" i="23"/>
  <c r="D80" i="23"/>
  <c r="F80" i="23"/>
  <c r="H80" i="23"/>
  <c r="B81" i="23"/>
  <c r="A62" i="20"/>
  <c r="A139" i="19" l="1"/>
  <c r="A136" i="20"/>
  <c r="AB81" i="23"/>
  <c r="T81" i="23"/>
  <c r="X81" i="23"/>
  <c r="AO81" i="23"/>
  <c r="AS81" i="23"/>
  <c r="AN81" i="23"/>
  <c r="AC81" i="23"/>
  <c r="S81" i="23"/>
  <c r="I81" i="23"/>
  <c r="P81" i="23"/>
  <c r="Q81" i="23"/>
  <c r="O81" i="23"/>
  <c r="AH81" i="23"/>
  <c r="AJ81" i="23"/>
  <c r="N81" i="23"/>
  <c r="R81" i="23"/>
  <c r="V81" i="23"/>
  <c r="M81" i="23"/>
  <c r="AG81" i="23"/>
  <c r="Y81" i="23"/>
  <c r="AD81" i="23"/>
  <c r="L81" i="23"/>
  <c r="AK81" i="23"/>
  <c r="W81" i="23"/>
  <c r="AF81" i="23"/>
  <c r="U81" i="23"/>
  <c r="AP81" i="23"/>
  <c r="AM81" i="23"/>
  <c r="AU81" i="23"/>
  <c r="Z81" i="23"/>
  <c r="K81" i="23"/>
  <c r="AR81" i="23"/>
  <c r="AA81" i="23"/>
  <c r="AL81" i="23"/>
  <c r="AT81" i="23"/>
  <c r="J81" i="23"/>
  <c r="AI81" i="23"/>
  <c r="AE81" i="23"/>
  <c r="AQ81" i="23"/>
  <c r="E81" i="23"/>
  <c r="D81" i="23"/>
  <c r="F81" i="23"/>
  <c r="G81" i="23"/>
  <c r="H81" i="23"/>
  <c r="B82" i="23"/>
  <c r="A63" i="20"/>
  <c r="A140" i="19" l="1"/>
  <c r="A137" i="20"/>
  <c r="T82" i="23"/>
  <c r="AO82" i="23"/>
  <c r="AC82" i="23"/>
  <c r="AG82" i="23"/>
  <c r="S82" i="23"/>
  <c r="AN82" i="23"/>
  <c r="AS82" i="23"/>
  <c r="O82" i="23"/>
  <c r="Y82" i="23"/>
  <c r="AD82" i="23"/>
  <c r="AH82" i="23"/>
  <c r="AB82" i="23"/>
  <c r="U82" i="23"/>
  <c r="AT82" i="23"/>
  <c r="AJ82" i="23"/>
  <c r="J82" i="23"/>
  <c r="AK82" i="23"/>
  <c r="W82" i="23"/>
  <c r="I82" i="23"/>
  <c r="L82" i="23"/>
  <c r="AF82" i="23"/>
  <c r="N82" i="23"/>
  <c r="P82" i="23"/>
  <c r="X82" i="23"/>
  <c r="M82" i="23"/>
  <c r="Q82" i="23"/>
  <c r="AL82" i="23"/>
  <c r="AP82" i="23"/>
  <c r="AR82" i="23"/>
  <c r="R82" i="23"/>
  <c r="AE82" i="23"/>
  <c r="AM82" i="23"/>
  <c r="AQ82" i="23"/>
  <c r="Z82" i="23"/>
  <c r="K82" i="23"/>
  <c r="AI82" i="23"/>
  <c r="AU82" i="23"/>
  <c r="V82" i="23"/>
  <c r="AA82" i="23"/>
  <c r="F82" i="23"/>
  <c r="H82" i="23"/>
  <c r="D82" i="23"/>
  <c r="G82" i="23"/>
  <c r="E82" i="23"/>
  <c r="B83" i="23"/>
  <c r="A64" i="20"/>
  <c r="A141" i="19" l="1"/>
  <c r="A138" i="20"/>
  <c r="S83" i="23"/>
  <c r="AG83" i="23"/>
  <c r="O83" i="23"/>
  <c r="W83" i="23"/>
  <c r="L83" i="23"/>
  <c r="T83" i="23"/>
  <c r="P83" i="23"/>
  <c r="X83" i="23"/>
  <c r="I83" i="23"/>
  <c r="AN83" i="23"/>
  <c r="AF83" i="23"/>
  <c r="M83" i="23"/>
  <c r="U83" i="23"/>
  <c r="AL83" i="23"/>
  <c r="AS83" i="23"/>
  <c r="Z83" i="23"/>
  <c r="AQ83" i="23"/>
  <c r="AK83" i="23"/>
  <c r="AO83" i="23"/>
  <c r="AC83" i="23"/>
  <c r="Y83" i="23"/>
  <c r="Q83" i="23"/>
  <c r="AP83" i="23"/>
  <c r="J83" i="23"/>
  <c r="R83" i="23"/>
  <c r="AB83" i="23"/>
  <c r="AT83" i="23"/>
  <c r="AJ83" i="23"/>
  <c r="AH83" i="23"/>
  <c r="AR83" i="23"/>
  <c r="AA83" i="23"/>
  <c r="AI83" i="23"/>
  <c r="AU83" i="23"/>
  <c r="AD83" i="23"/>
  <c r="AE83" i="23"/>
  <c r="K83" i="23"/>
  <c r="N83" i="23"/>
  <c r="V83" i="23"/>
  <c r="AM83" i="23"/>
  <c r="G83" i="23"/>
  <c r="E83" i="23"/>
  <c r="F83" i="23"/>
  <c r="H83" i="23"/>
  <c r="D83" i="23"/>
  <c r="B84" i="23"/>
  <c r="A65" i="20"/>
  <c r="A142" i="19" l="1"/>
  <c r="A139" i="20"/>
  <c r="AB84" i="23"/>
  <c r="L84" i="23"/>
  <c r="AF84" i="23"/>
  <c r="AN84" i="23"/>
  <c r="P84" i="23"/>
  <c r="S84" i="23"/>
  <c r="AK84" i="23"/>
  <c r="AC84" i="23"/>
  <c r="AO84" i="23"/>
  <c r="Y84" i="23"/>
  <c r="AL84" i="23"/>
  <c r="T84" i="23"/>
  <c r="X84" i="23"/>
  <c r="AS84" i="23"/>
  <c r="W84" i="23"/>
  <c r="M84" i="23"/>
  <c r="AR84" i="23"/>
  <c r="R84" i="23"/>
  <c r="AE84" i="23"/>
  <c r="AI84" i="23"/>
  <c r="AG84" i="23"/>
  <c r="O84" i="23"/>
  <c r="U84" i="23"/>
  <c r="AH84" i="23"/>
  <c r="AP84" i="23"/>
  <c r="I84" i="23"/>
  <c r="AD84" i="23"/>
  <c r="AT84" i="23"/>
  <c r="K84" i="23"/>
  <c r="Z84" i="23"/>
  <c r="V84" i="23"/>
  <c r="AQ84" i="23"/>
  <c r="AM84" i="23"/>
  <c r="AJ84" i="23"/>
  <c r="J84" i="23"/>
  <c r="N84" i="23"/>
  <c r="Q84" i="23"/>
  <c r="AA84" i="23"/>
  <c r="AU84" i="23"/>
  <c r="E84" i="23"/>
  <c r="F84" i="23"/>
  <c r="H84" i="23"/>
  <c r="G84" i="23"/>
  <c r="D84" i="23"/>
  <c r="B85" i="23"/>
  <c r="A66" i="20"/>
  <c r="A143" i="19" l="1"/>
  <c r="A140" i="20"/>
  <c r="L85" i="23"/>
  <c r="AF85" i="23"/>
  <c r="P85" i="23"/>
  <c r="AG85" i="23"/>
  <c r="T85" i="23"/>
  <c r="AC85" i="23"/>
  <c r="AB85" i="23"/>
  <c r="W85" i="23"/>
  <c r="I85" i="23"/>
  <c r="AK85" i="23"/>
  <c r="M85" i="23"/>
  <c r="AH85" i="23"/>
  <c r="AP85" i="23"/>
  <c r="AT85" i="23"/>
  <c r="K85" i="23"/>
  <c r="R85" i="23"/>
  <c r="AE85" i="23"/>
  <c r="AI85" i="23"/>
  <c r="AM85" i="23"/>
  <c r="AO85" i="23"/>
  <c r="AS85" i="23"/>
  <c r="AN85" i="23"/>
  <c r="X85" i="23"/>
  <c r="AL85" i="23"/>
  <c r="AR85" i="23"/>
  <c r="S85" i="23"/>
  <c r="O85" i="23"/>
  <c r="Y85" i="23"/>
  <c r="Z85" i="23"/>
  <c r="AD85" i="23"/>
  <c r="V85" i="23"/>
  <c r="J85" i="23"/>
  <c r="N85" i="23"/>
  <c r="Q85" i="23"/>
  <c r="U85" i="23"/>
  <c r="AU85" i="23"/>
  <c r="AJ85" i="23"/>
  <c r="AA85" i="23"/>
  <c r="AQ85" i="23"/>
  <c r="E85" i="23"/>
  <c r="G85" i="23"/>
  <c r="F85" i="23"/>
  <c r="D85" i="23"/>
  <c r="H85" i="23"/>
  <c r="B86" i="23"/>
  <c r="A67" i="20"/>
  <c r="A144" i="19" l="1"/>
  <c r="A141" i="20"/>
  <c r="S86" i="23"/>
  <c r="AN86" i="23"/>
  <c r="X86" i="23"/>
  <c r="T86" i="23"/>
  <c r="L86" i="23"/>
  <c r="P86" i="23"/>
  <c r="AC86" i="23"/>
  <c r="AF86" i="23"/>
  <c r="AO86" i="23"/>
  <c r="AS86" i="23"/>
  <c r="O86" i="23"/>
  <c r="I86" i="23"/>
  <c r="U86" i="23"/>
  <c r="AL86" i="23"/>
  <c r="Q86" i="23"/>
  <c r="AP86" i="23"/>
  <c r="J86" i="23"/>
  <c r="N86" i="23"/>
  <c r="R86" i="23"/>
  <c r="AB86" i="23"/>
  <c r="AG86" i="23"/>
  <c r="M86" i="23"/>
  <c r="AK86" i="23"/>
  <c r="W86" i="23"/>
  <c r="Y86" i="23"/>
  <c r="Z86" i="23"/>
  <c r="AD86" i="23"/>
  <c r="K86" i="23"/>
  <c r="AJ86" i="23"/>
  <c r="V86" i="23"/>
  <c r="AA86" i="23"/>
  <c r="AE86" i="23"/>
  <c r="AM86" i="23"/>
  <c r="AQ86" i="23"/>
  <c r="AR86" i="23"/>
  <c r="AU86" i="23"/>
  <c r="AH86" i="23"/>
  <c r="AT86" i="23"/>
  <c r="AI86" i="23"/>
  <c r="D86" i="23"/>
  <c r="E86" i="23"/>
  <c r="F86" i="23"/>
  <c r="H86" i="23"/>
  <c r="G86" i="23"/>
  <c r="B87" i="23"/>
  <c r="A68" i="20"/>
  <c r="A145" i="19" l="1"/>
  <c r="A142" i="20"/>
  <c r="P87" i="23"/>
  <c r="AG87" i="23"/>
  <c r="AO87" i="23"/>
  <c r="S87" i="23"/>
  <c r="AN87" i="23"/>
  <c r="X87" i="23"/>
  <c r="AK87" i="23"/>
  <c r="AC87" i="23"/>
  <c r="AS87" i="23"/>
  <c r="O87" i="23"/>
  <c r="L87" i="23"/>
  <c r="AF87" i="23"/>
  <c r="I87" i="23"/>
  <c r="AL87" i="23"/>
  <c r="AB87" i="23"/>
  <c r="U87" i="23"/>
  <c r="AD87" i="23"/>
  <c r="AH87" i="23"/>
  <c r="AJ87" i="23"/>
  <c r="T87" i="23"/>
  <c r="W87" i="23"/>
  <c r="AT87" i="23"/>
  <c r="K87" i="23"/>
  <c r="N87" i="23"/>
  <c r="V87" i="23"/>
  <c r="Y87" i="23"/>
  <c r="M87" i="23"/>
  <c r="Q87" i="23"/>
  <c r="Z87" i="23"/>
  <c r="AR87" i="23"/>
  <c r="J87" i="23"/>
  <c r="R87" i="23"/>
  <c r="AP87" i="23"/>
  <c r="AA87" i="23"/>
  <c r="AE87" i="23"/>
  <c r="AI87" i="23"/>
  <c r="AM87" i="23"/>
  <c r="AU87" i="23"/>
  <c r="AQ87" i="23"/>
  <c r="D87" i="23"/>
  <c r="G87" i="23"/>
  <c r="E87" i="23"/>
  <c r="F87" i="23"/>
  <c r="H87" i="23"/>
  <c r="B88" i="23"/>
  <c r="A69" i="20"/>
  <c r="A146" i="19" l="1"/>
  <c r="A143" i="20"/>
  <c r="AN88" i="23"/>
  <c r="P88" i="23"/>
  <c r="T88" i="23"/>
  <c r="X88" i="23"/>
  <c r="AG88" i="23"/>
  <c r="AO88" i="23"/>
  <c r="AB88" i="23"/>
  <c r="L88" i="23"/>
  <c r="S88" i="23"/>
  <c r="O88" i="23"/>
  <c r="Y88" i="23"/>
  <c r="AF88" i="23"/>
  <c r="I88" i="23"/>
  <c r="Z88" i="23"/>
  <c r="AH88" i="23"/>
  <c r="M88" i="23"/>
  <c r="K88" i="23"/>
  <c r="AJ88" i="23"/>
  <c r="AU88" i="23"/>
  <c r="AK88" i="23"/>
  <c r="AS88" i="23"/>
  <c r="AT88" i="23"/>
  <c r="AR88" i="23"/>
  <c r="J88" i="23"/>
  <c r="AC88" i="23"/>
  <c r="W88" i="23"/>
  <c r="AD88" i="23"/>
  <c r="AL88" i="23"/>
  <c r="AP88" i="23"/>
  <c r="V88" i="23"/>
  <c r="Q88" i="23"/>
  <c r="R88" i="23"/>
  <c r="AA88" i="23"/>
  <c r="AE88" i="23"/>
  <c r="AM88" i="23"/>
  <c r="AQ88" i="23"/>
  <c r="U88" i="23"/>
  <c r="N88" i="23"/>
  <c r="AI88" i="23"/>
  <c r="D88" i="23"/>
  <c r="E88" i="23"/>
  <c r="F88" i="23"/>
  <c r="H88" i="23"/>
  <c r="G88" i="23"/>
  <c r="B89" i="23"/>
  <c r="A70" i="20"/>
  <c r="A147" i="19" l="1"/>
  <c r="A144" i="20"/>
  <c r="S89" i="23"/>
  <c r="AB89" i="23"/>
  <c r="AN89" i="23"/>
  <c r="AC89" i="23"/>
  <c r="AK89" i="23"/>
  <c r="W89" i="23"/>
  <c r="AF89" i="23"/>
  <c r="Y89" i="23"/>
  <c r="P89" i="23"/>
  <c r="X89" i="23"/>
  <c r="L89" i="23"/>
  <c r="O89" i="23"/>
  <c r="M89" i="23"/>
  <c r="Q89" i="23"/>
  <c r="Z89" i="23"/>
  <c r="AD89" i="23"/>
  <c r="AP89" i="23"/>
  <c r="AG89" i="23"/>
  <c r="U89" i="23"/>
  <c r="AH89" i="23"/>
  <c r="AR89" i="23"/>
  <c r="AA89" i="23"/>
  <c r="AQ89" i="23"/>
  <c r="AO89" i="23"/>
  <c r="T89" i="23"/>
  <c r="AS89" i="23"/>
  <c r="I89" i="23"/>
  <c r="K89" i="23"/>
  <c r="N89" i="23"/>
  <c r="R89" i="23"/>
  <c r="V89" i="23"/>
  <c r="AL89" i="23"/>
  <c r="AJ89" i="23"/>
  <c r="AT89" i="23"/>
  <c r="J89" i="23"/>
  <c r="AE89" i="23"/>
  <c r="AM89" i="23"/>
  <c r="AU89" i="23"/>
  <c r="AI89" i="23"/>
  <c r="H89" i="23"/>
  <c r="G89" i="23"/>
  <c r="F89" i="23"/>
  <c r="E89" i="23"/>
  <c r="D89" i="23"/>
  <c r="B90" i="23"/>
  <c r="A71" i="20"/>
  <c r="A148" i="19" l="1"/>
  <c r="A145" i="20"/>
  <c r="L90" i="23"/>
  <c r="P90" i="23"/>
  <c r="AS90" i="23"/>
  <c r="Y90" i="23"/>
  <c r="AB90" i="23"/>
  <c r="AC90" i="23"/>
  <c r="AG90" i="23"/>
  <c r="S90" i="23"/>
  <c r="AN90" i="23"/>
  <c r="AK90" i="23"/>
  <c r="O90" i="23"/>
  <c r="Z90" i="23"/>
  <c r="AH90" i="23"/>
  <c r="I90" i="23"/>
  <c r="M90" i="23"/>
  <c r="AD90" i="23"/>
  <c r="AL90" i="23"/>
  <c r="N90" i="23"/>
  <c r="T90" i="23"/>
  <c r="AO90" i="23"/>
  <c r="W90" i="23"/>
  <c r="K90" i="23"/>
  <c r="AR90" i="23"/>
  <c r="J90" i="23"/>
  <c r="X90" i="23"/>
  <c r="AF90" i="23"/>
  <c r="Q90" i="23"/>
  <c r="AJ90" i="23"/>
  <c r="V90" i="23"/>
  <c r="AP90" i="23"/>
  <c r="AE90" i="23"/>
  <c r="AI90" i="23"/>
  <c r="AT90" i="23"/>
  <c r="AA90" i="23"/>
  <c r="U90" i="23"/>
  <c r="R90" i="23"/>
  <c r="AQ90" i="23"/>
  <c r="AU90" i="23"/>
  <c r="AM90" i="23"/>
  <c r="E90" i="23"/>
  <c r="G90" i="23"/>
  <c r="D90" i="23"/>
  <c r="F90" i="23"/>
  <c r="H90" i="23"/>
  <c r="B91" i="23"/>
  <c r="A72" i="20"/>
  <c r="A149" i="19" l="1"/>
  <c r="A146" i="20"/>
  <c r="S91" i="23"/>
  <c r="AB91" i="23"/>
  <c r="L91" i="23"/>
  <c r="P91" i="23"/>
  <c r="T91" i="23"/>
  <c r="AC91" i="23"/>
  <c r="AK91" i="23"/>
  <c r="Y91" i="23"/>
  <c r="X91" i="23"/>
  <c r="AS91" i="23"/>
  <c r="U91" i="23"/>
  <c r="Z91" i="23"/>
  <c r="AR91" i="23"/>
  <c r="AA91" i="23"/>
  <c r="AQ91" i="23"/>
  <c r="AU91" i="23"/>
  <c r="AN91" i="23"/>
  <c r="AG91" i="23"/>
  <c r="AO91" i="23"/>
  <c r="W91" i="23"/>
  <c r="I91" i="23"/>
  <c r="M91" i="23"/>
  <c r="AL91" i="23"/>
  <c r="AP91" i="23"/>
  <c r="O91" i="23"/>
  <c r="AF91" i="23"/>
  <c r="AT91" i="23"/>
  <c r="J91" i="23"/>
  <c r="N91" i="23"/>
  <c r="AJ91" i="23"/>
  <c r="R91" i="23"/>
  <c r="AD91" i="23"/>
  <c r="AE91" i="23"/>
  <c r="AI91" i="23"/>
  <c r="AM91" i="23"/>
  <c r="Q91" i="23"/>
  <c r="V91" i="23"/>
  <c r="AH91" i="23"/>
  <c r="K91" i="23"/>
  <c r="H91" i="23"/>
  <c r="E91" i="23"/>
  <c r="F91" i="23"/>
  <c r="D91" i="23"/>
  <c r="G91" i="23"/>
  <c r="B92" i="23"/>
  <c r="A73" i="20"/>
  <c r="A150" i="19" l="1"/>
  <c r="A147" i="20"/>
  <c r="S92" i="23"/>
  <c r="AC92" i="23"/>
  <c r="W92" i="23"/>
  <c r="AG92" i="23"/>
  <c r="AB92" i="23"/>
  <c r="T92" i="23"/>
  <c r="X92" i="23"/>
  <c r="AO92" i="23"/>
  <c r="AS92" i="23"/>
  <c r="AN92" i="23"/>
  <c r="L92" i="23"/>
  <c r="P92" i="23"/>
  <c r="O92" i="23"/>
  <c r="Y92" i="23"/>
  <c r="M92" i="23"/>
  <c r="AL92" i="23"/>
  <c r="AP92" i="23"/>
  <c r="I92" i="23"/>
  <c r="AD92" i="23"/>
  <c r="V92" i="23"/>
  <c r="AF92" i="23"/>
  <c r="AK92" i="23"/>
  <c r="Q92" i="23"/>
  <c r="U92" i="23"/>
  <c r="Z92" i="23"/>
  <c r="N92" i="23"/>
  <c r="R92" i="23"/>
  <c r="AT92" i="23"/>
  <c r="AR92" i="23"/>
  <c r="J92" i="23"/>
  <c r="AU92" i="23"/>
  <c r="AH92" i="23"/>
  <c r="AA92" i="23"/>
  <c r="AE92" i="23"/>
  <c r="K92" i="23"/>
  <c r="AI92" i="23"/>
  <c r="AQ92" i="23"/>
  <c r="AJ92" i="23"/>
  <c r="AM92" i="23"/>
  <c r="E92" i="23"/>
  <c r="F92" i="23"/>
  <c r="H92" i="23"/>
  <c r="G92" i="23"/>
  <c r="D92" i="23"/>
  <c r="B93" i="23"/>
  <c r="A74" i="20"/>
  <c r="A151" i="19" l="1"/>
  <c r="A148" i="20"/>
  <c r="O93" i="23"/>
  <c r="L93" i="23"/>
  <c r="T93" i="23"/>
  <c r="AG93" i="23"/>
  <c r="P93" i="23"/>
  <c r="AS93" i="23"/>
  <c r="W93" i="23"/>
  <c r="S93" i="23"/>
  <c r="AB93" i="23"/>
  <c r="AN93" i="23"/>
  <c r="AC93" i="23"/>
  <c r="AF93" i="23"/>
  <c r="AK93" i="23"/>
  <c r="Q93" i="23"/>
  <c r="AD93" i="23"/>
  <c r="AL93" i="23"/>
  <c r="AI93" i="23"/>
  <c r="AM93" i="23"/>
  <c r="AU93" i="23"/>
  <c r="X93" i="23"/>
  <c r="M93" i="23"/>
  <c r="AO93" i="23"/>
  <c r="AT93" i="23"/>
  <c r="AJ93" i="23"/>
  <c r="J93" i="23"/>
  <c r="Y93" i="23"/>
  <c r="I93" i="23"/>
  <c r="Z93" i="23"/>
  <c r="K93" i="23"/>
  <c r="N93" i="23"/>
  <c r="R93" i="23"/>
  <c r="V93" i="23"/>
  <c r="AP93" i="23"/>
  <c r="AQ93" i="23"/>
  <c r="U93" i="23"/>
  <c r="AH93" i="23"/>
  <c r="AR93" i="23"/>
  <c r="AA93" i="23"/>
  <c r="AE93" i="23"/>
  <c r="D93" i="23"/>
  <c r="G93" i="23"/>
  <c r="H93" i="23"/>
  <c r="F93" i="23"/>
  <c r="E93" i="23"/>
  <c r="B94" i="23"/>
  <c r="A75" i="20"/>
  <c r="A152" i="19" l="1"/>
  <c r="A149" i="20"/>
  <c r="AN94" i="23"/>
  <c r="T94" i="23"/>
  <c r="X94" i="23"/>
  <c r="AK94" i="23"/>
  <c r="O94" i="23"/>
  <c r="S94" i="23"/>
  <c r="AB94" i="23"/>
  <c r="AC94" i="23"/>
  <c r="AO94" i="23"/>
  <c r="AS94" i="23"/>
  <c r="W94" i="23"/>
  <c r="Y94" i="23"/>
  <c r="P94" i="23"/>
  <c r="AP94" i="23"/>
  <c r="AF94" i="23"/>
  <c r="Q94" i="23"/>
  <c r="Z94" i="23"/>
  <c r="AJ94" i="23"/>
  <c r="V94" i="23"/>
  <c r="AE94" i="23"/>
  <c r="AM94" i="23"/>
  <c r="AQ94" i="23"/>
  <c r="AG94" i="23"/>
  <c r="I94" i="23"/>
  <c r="M94" i="23"/>
  <c r="L94" i="23"/>
  <c r="U94" i="23"/>
  <c r="AT94" i="23"/>
  <c r="R94" i="23"/>
  <c r="AH94" i="23"/>
  <c r="K94" i="23"/>
  <c r="AR94" i="23"/>
  <c r="J94" i="23"/>
  <c r="AL94" i="23"/>
  <c r="N94" i="23"/>
  <c r="AU94" i="23"/>
  <c r="AD94" i="23"/>
  <c r="AI94" i="23"/>
  <c r="AA94" i="23"/>
  <c r="F94" i="23"/>
  <c r="H94" i="23"/>
  <c r="E94" i="23"/>
  <c r="G94" i="23"/>
  <c r="D94" i="23"/>
  <c r="B95" i="23"/>
  <c r="A76" i="20"/>
  <c r="A153" i="19" l="1"/>
  <c r="A150" i="20"/>
  <c r="AN95" i="23"/>
  <c r="X95" i="23"/>
  <c r="AK95" i="23"/>
  <c r="O95" i="23"/>
  <c r="W95" i="23"/>
  <c r="AF95" i="23"/>
  <c r="Y95" i="23"/>
  <c r="AG95" i="23"/>
  <c r="AO95" i="23"/>
  <c r="S95" i="23"/>
  <c r="P95" i="23"/>
  <c r="AC95" i="23"/>
  <c r="M95" i="23"/>
  <c r="Q95" i="23"/>
  <c r="Z95" i="23"/>
  <c r="AD95" i="23"/>
  <c r="AP95" i="23"/>
  <c r="L95" i="23"/>
  <c r="AT95" i="23"/>
  <c r="J95" i="23"/>
  <c r="N95" i="23"/>
  <c r="AI95" i="23"/>
  <c r="AB95" i="23"/>
  <c r="T95" i="23"/>
  <c r="U95" i="23"/>
  <c r="AH95" i="23"/>
  <c r="K95" i="23"/>
  <c r="AJ95" i="23"/>
  <c r="R95" i="23"/>
  <c r="AS95" i="23"/>
  <c r="I95" i="23"/>
  <c r="AL95" i="23"/>
  <c r="V95" i="23"/>
  <c r="AA95" i="23"/>
  <c r="AU95" i="23"/>
  <c r="AR95" i="23"/>
  <c r="AE95" i="23"/>
  <c r="AM95" i="23"/>
  <c r="AQ95" i="23"/>
  <c r="H95" i="23"/>
  <c r="E95" i="23"/>
  <c r="F95" i="23"/>
  <c r="D95" i="23"/>
  <c r="G95" i="23"/>
  <c r="B96" i="23"/>
  <c r="A77" i="20"/>
  <c r="A154" i="19" l="1"/>
  <c r="A151" i="20"/>
  <c r="AB96" i="23"/>
  <c r="L96" i="23"/>
  <c r="AK96" i="23"/>
  <c r="O96" i="23"/>
  <c r="AF96" i="23"/>
  <c r="Y96" i="23"/>
  <c r="AN96" i="23"/>
  <c r="P96" i="23"/>
  <c r="T96" i="23"/>
  <c r="X96" i="23"/>
  <c r="S96" i="23"/>
  <c r="AG96" i="23"/>
  <c r="AO96" i="23"/>
  <c r="AS96" i="23"/>
  <c r="U96" i="23"/>
  <c r="AD96" i="23"/>
  <c r="AC96" i="23"/>
  <c r="W96" i="23"/>
  <c r="AL96" i="23"/>
  <c r="AP96" i="23"/>
  <c r="AT96" i="23"/>
  <c r="AR96" i="23"/>
  <c r="J96" i="23"/>
  <c r="AA96" i="23"/>
  <c r="AE96" i="23"/>
  <c r="AM96" i="23"/>
  <c r="AQ96" i="23"/>
  <c r="I96" i="23"/>
  <c r="M96" i="23"/>
  <c r="AH96" i="23"/>
  <c r="K96" i="23"/>
  <c r="AJ96" i="23"/>
  <c r="Q96" i="23"/>
  <c r="Z96" i="23"/>
  <c r="N96" i="23"/>
  <c r="R96" i="23"/>
  <c r="AU96" i="23"/>
  <c r="V96" i="23"/>
  <c r="AI96" i="23"/>
  <c r="E96" i="23"/>
  <c r="F96" i="23"/>
  <c r="H96" i="23"/>
  <c r="G96" i="23"/>
  <c r="D96" i="23"/>
  <c r="B97" i="23"/>
  <c r="A78" i="20"/>
  <c r="A155" i="19" l="1"/>
  <c r="A152" i="20"/>
  <c r="P97" i="23"/>
  <c r="X97" i="23"/>
  <c r="AO97" i="23"/>
  <c r="AS97" i="23"/>
  <c r="S97" i="23"/>
  <c r="AB97" i="23"/>
  <c r="AN97" i="23"/>
  <c r="AC97" i="23"/>
  <c r="AG97" i="23"/>
  <c r="AK97" i="23"/>
  <c r="Y97" i="23"/>
  <c r="I97" i="23"/>
  <c r="L97" i="23"/>
  <c r="W97" i="23"/>
  <c r="U97" i="23"/>
  <c r="O97" i="23"/>
  <c r="Z97" i="23"/>
  <c r="K97" i="23"/>
  <c r="N97" i="23"/>
  <c r="R97" i="23"/>
  <c r="V97" i="23"/>
  <c r="M97" i="23"/>
  <c r="AH97" i="23"/>
  <c r="AP97" i="23"/>
  <c r="AR97" i="23"/>
  <c r="T97" i="23"/>
  <c r="AF97" i="23"/>
  <c r="AT97" i="23"/>
  <c r="AJ97" i="23"/>
  <c r="J97" i="23"/>
  <c r="Q97" i="23"/>
  <c r="AD97" i="23"/>
  <c r="AL97" i="23"/>
  <c r="AA97" i="23"/>
  <c r="AE97" i="23"/>
  <c r="AI97" i="23"/>
  <c r="AQ97" i="23"/>
  <c r="AM97" i="23"/>
  <c r="AU97" i="23"/>
  <c r="E97" i="23"/>
  <c r="D97" i="23"/>
  <c r="G97" i="23"/>
  <c r="H97" i="23"/>
  <c r="F97" i="23"/>
  <c r="B98" i="23"/>
  <c r="A79" i="20"/>
  <c r="A156" i="19" l="1"/>
  <c r="A153" i="20"/>
  <c r="S98" i="23"/>
  <c r="AB98" i="23"/>
  <c r="AC98" i="23"/>
  <c r="AG98" i="23"/>
  <c r="AO98" i="23"/>
  <c r="L98" i="23"/>
  <c r="P98" i="23"/>
  <c r="T98" i="23"/>
  <c r="X98" i="23"/>
  <c r="AF98" i="23"/>
  <c r="I98" i="23"/>
  <c r="AN98" i="23"/>
  <c r="AK98" i="23"/>
  <c r="AS98" i="23"/>
  <c r="O98" i="23"/>
  <c r="W98" i="23"/>
  <c r="Y98" i="23"/>
  <c r="M98" i="23"/>
  <c r="AH98" i="23"/>
  <c r="K98" i="23"/>
  <c r="AR98" i="23"/>
  <c r="J98" i="23"/>
  <c r="AA98" i="23"/>
  <c r="AI98" i="23"/>
  <c r="AD98" i="23"/>
  <c r="AL98" i="23"/>
  <c r="AP98" i="23"/>
  <c r="N98" i="23"/>
  <c r="U98" i="23"/>
  <c r="AT98" i="23"/>
  <c r="R98" i="23"/>
  <c r="V98" i="23"/>
  <c r="AQ98" i="23"/>
  <c r="Q98" i="23"/>
  <c r="AE98" i="23"/>
  <c r="AM98" i="23"/>
  <c r="AU98" i="23"/>
  <c r="Z98" i="23"/>
  <c r="AJ98" i="23"/>
  <c r="D98" i="23"/>
  <c r="F98" i="23"/>
  <c r="H98" i="23"/>
  <c r="E98" i="23"/>
  <c r="G98" i="23"/>
  <c r="B99" i="23"/>
  <c r="A80" i="20"/>
  <c r="A157" i="19" l="1"/>
  <c r="A154" i="20"/>
  <c r="AS99" i="23"/>
  <c r="S99" i="23"/>
  <c r="AB99" i="23"/>
  <c r="L99" i="23"/>
  <c r="P99" i="23"/>
  <c r="T99" i="23"/>
  <c r="AC99" i="23"/>
  <c r="AG99" i="23"/>
  <c r="O99" i="23"/>
  <c r="W99" i="23"/>
  <c r="I99" i="23"/>
  <c r="AK99" i="23"/>
  <c r="AO99" i="23"/>
  <c r="Y99" i="23"/>
  <c r="AH99" i="23"/>
  <c r="AF99" i="23"/>
  <c r="AL99" i="23"/>
  <c r="V99" i="23"/>
  <c r="AE99" i="23"/>
  <c r="AM99" i="23"/>
  <c r="X99" i="23"/>
  <c r="Q99" i="23"/>
  <c r="AD99" i="23"/>
  <c r="AR99" i="23"/>
  <c r="AN99" i="23"/>
  <c r="M99" i="23"/>
  <c r="U99" i="23"/>
  <c r="AP99" i="23"/>
  <c r="K99" i="23"/>
  <c r="AJ99" i="23"/>
  <c r="R99" i="23"/>
  <c r="N99" i="23"/>
  <c r="AA99" i="23"/>
  <c r="AI99" i="23"/>
  <c r="AU99" i="23"/>
  <c r="Z99" i="23"/>
  <c r="AT99" i="23"/>
  <c r="J99" i="23"/>
  <c r="AQ99" i="23"/>
  <c r="D99" i="23"/>
  <c r="G99" i="23"/>
  <c r="F99" i="23"/>
  <c r="H99" i="23"/>
  <c r="E99" i="23"/>
  <c r="B100" i="23"/>
  <c r="A81" i="20"/>
  <c r="A158" i="19" l="1"/>
  <c r="A155" i="20"/>
  <c r="AS100" i="23"/>
  <c r="S100" i="23"/>
  <c r="AC100" i="23"/>
  <c r="AG100" i="23"/>
  <c r="AK100" i="23"/>
  <c r="W100" i="23"/>
  <c r="I100" i="23"/>
  <c r="AB100" i="23"/>
  <c r="T100" i="23"/>
  <c r="X100" i="23"/>
  <c r="Q100" i="23"/>
  <c r="L100" i="23"/>
  <c r="P100" i="23"/>
  <c r="Y100" i="23"/>
  <c r="Z100" i="23"/>
  <c r="N100" i="23"/>
  <c r="R100" i="23"/>
  <c r="AI100" i="23"/>
  <c r="AN100" i="23"/>
  <c r="O100" i="23"/>
  <c r="AF100" i="23"/>
  <c r="M100" i="23"/>
  <c r="V100" i="23"/>
  <c r="AO100" i="23"/>
  <c r="U100" i="23"/>
  <c r="AH100" i="23"/>
  <c r="K100" i="23"/>
  <c r="AJ100" i="23"/>
  <c r="AT100" i="23"/>
  <c r="AP100" i="23"/>
  <c r="AA100" i="23"/>
  <c r="AE100" i="23"/>
  <c r="AM100" i="23"/>
  <c r="AU100" i="23"/>
  <c r="AD100" i="23"/>
  <c r="AL100" i="23"/>
  <c r="AR100" i="23"/>
  <c r="J100" i="23"/>
  <c r="AQ100" i="23"/>
  <c r="D100" i="23"/>
  <c r="G100" i="23"/>
  <c r="E100" i="23"/>
  <c r="F100" i="23"/>
  <c r="H100" i="23"/>
  <c r="B101" i="23"/>
  <c r="B3" i="22"/>
  <c r="D35" i="22"/>
  <c r="E35" i="22" s="1"/>
  <c r="D37" i="22"/>
  <c r="E37" i="22" s="1"/>
  <c r="J4" i="22"/>
  <c r="D40" i="22" s="1"/>
  <c r="A159" i="19" l="1"/>
  <c r="A156" i="20"/>
  <c r="L101" i="23"/>
  <c r="T101" i="23"/>
  <c r="AG101" i="23"/>
  <c r="X101" i="23"/>
  <c r="AO101" i="23"/>
  <c r="P101" i="23"/>
  <c r="AK101" i="23"/>
  <c r="AS101" i="23"/>
  <c r="Y101" i="23"/>
  <c r="I101" i="23"/>
  <c r="AH101" i="23"/>
  <c r="AL101" i="23"/>
  <c r="S101" i="23"/>
  <c r="AF101" i="23"/>
  <c r="AT101" i="23"/>
  <c r="AJ101" i="23"/>
  <c r="J101" i="23"/>
  <c r="AE101" i="23"/>
  <c r="AC101" i="23"/>
  <c r="O101" i="23"/>
  <c r="W101" i="23"/>
  <c r="AB101" i="23"/>
  <c r="AN101" i="23"/>
  <c r="Q101" i="23"/>
  <c r="U101" i="23"/>
  <c r="AD101" i="23"/>
  <c r="M101" i="23"/>
  <c r="AP101" i="23"/>
  <c r="AR101" i="23"/>
  <c r="AM101" i="23"/>
  <c r="AU101" i="23"/>
  <c r="N101" i="23"/>
  <c r="V101" i="23"/>
  <c r="AA101" i="23"/>
  <c r="AI101" i="23"/>
  <c r="K101" i="23"/>
  <c r="R101" i="23"/>
  <c r="AQ101" i="23"/>
  <c r="Z101" i="23"/>
  <c r="F101" i="23"/>
  <c r="H101" i="23"/>
  <c r="E101" i="23"/>
  <c r="D101" i="23"/>
  <c r="G101" i="23"/>
  <c r="B102" i="23"/>
  <c r="E38" i="22"/>
  <c r="E32" i="22"/>
  <c r="E27" i="22"/>
  <c r="E22" i="22"/>
  <c r="E16" i="22"/>
  <c r="E12" i="22"/>
  <c r="E7" i="22"/>
  <c r="E30" i="22"/>
  <c r="E24" i="22"/>
  <c r="E19" i="22"/>
  <c r="E14" i="22"/>
  <c r="E10" i="22"/>
  <c r="E31" i="22"/>
  <c r="E28" i="22"/>
  <c r="E21" i="22"/>
  <c r="E11" i="22"/>
  <c r="E8" i="22"/>
  <c r="E18" i="22"/>
  <c r="E15" i="22"/>
  <c r="E29" i="22"/>
  <c r="E25" i="22"/>
  <c r="E9" i="22"/>
  <c r="D38" i="22"/>
  <c r="D7" i="22"/>
  <c r="D18" i="22"/>
  <c r="D16" i="22"/>
  <c r="D24" i="22"/>
  <c r="D31" i="22"/>
  <c r="D29" i="22"/>
  <c r="D11" i="22"/>
  <c r="D9" i="22"/>
  <c r="D21" i="22"/>
  <c r="D27" i="22"/>
  <c r="D14" i="22"/>
  <c r="A160" i="19" l="1"/>
  <c r="A157" i="20"/>
  <c r="S102" i="23"/>
  <c r="W102" i="23"/>
  <c r="AF102" i="23"/>
  <c r="AN102" i="23"/>
  <c r="T102" i="23"/>
  <c r="X102" i="23"/>
  <c r="AB102" i="23"/>
  <c r="AC102" i="23"/>
  <c r="AO102" i="23"/>
  <c r="I102" i="23"/>
  <c r="Q102" i="23"/>
  <c r="U102" i="23"/>
  <c r="AD102" i="23"/>
  <c r="AL102" i="23"/>
  <c r="O102" i="23"/>
  <c r="Y102" i="23"/>
  <c r="AT102" i="23"/>
  <c r="R102" i="23"/>
  <c r="AU102" i="23"/>
  <c r="AS102" i="23"/>
  <c r="P102" i="23"/>
  <c r="AG102" i="23"/>
  <c r="M102" i="23"/>
  <c r="Z102" i="23"/>
  <c r="AJ102" i="23"/>
  <c r="V102" i="23"/>
  <c r="L102" i="23"/>
  <c r="AK102" i="23"/>
  <c r="AP102" i="23"/>
  <c r="N102" i="23"/>
  <c r="AH102" i="23"/>
  <c r="AR102" i="23"/>
  <c r="J102" i="23"/>
  <c r="K102" i="23"/>
  <c r="AE102" i="23"/>
  <c r="AI102" i="23"/>
  <c r="AA102" i="23"/>
  <c r="AM102" i="23"/>
  <c r="AQ102" i="23"/>
  <c r="D102" i="23"/>
  <c r="G102" i="23"/>
  <c r="F102" i="23"/>
  <c r="H102" i="23"/>
  <c r="E102" i="23"/>
  <c r="B103" i="23"/>
  <c r="A161" i="19" l="1"/>
  <c r="A158" i="20"/>
  <c r="AG103" i="23"/>
  <c r="AO103" i="23"/>
  <c r="AN103" i="23"/>
  <c r="X103" i="23"/>
  <c r="AK103" i="23"/>
  <c r="AB103" i="23"/>
  <c r="AF103" i="23"/>
  <c r="O103" i="23"/>
  <c r="W103" i="23"/>
  <c r="I103" i="23"/>
  <c r="AL103" i="23"/>
  <c r="P103" i="23"/>
  <c r="AS103" i="23"/>
  <c r="Y103" i="23"/>
  <c r="M103" i="23"/>
  <c r="U103" i="23"/>
  <c r="AP103" i="23"/>
  <c r="K103" i="23"/>
  <c r="AJ103" i="23"/>
  <c r="R103" i="23"/>
  <c r="L103" i="23"/>
  <c r="S103" i="23"/>
  <c r="Z103" i="23"/>
  <c r="AT103" i="23"/>
  <c r="J103" i="23"/>
  <c r="N103" i="23"/>
  <c r="T103" i="23"/>
  <c r="AC103" i="23"/>
  <c r="Q103" i="23"/>
  <c r="AD103" i="23"/>
  <c r="AH103" i="23"/>
  <c r="AR103" i="23"/>
  <c r="AQ103" i="23"/>
  <c r="V103" i="23"/>
  <c r="AA103" i="23"/>
  <c r="AE103" i="23"/>
  <c r="AI103" i="23"/>
  <c r="AM103" i="23"/>
  <c r="AU103" i="23"/>
  <c r="E103" i="23"/>
  <c r="F103" i="23"/>
  <c r="D103" i="23"/>
  <c r="G103" i="23"/>
  <c r="H103" i="23"/>
  <c r="B104" i="23"/>
  <c r="A162" i="19" l="1"/>
  <c r="A159" i="20"/>
  <c r="AN104" i="23"/>
  <c r="P104" i="23"/>
  <c r="T104" i="23"/>
  <c r="X104" i="23"/>
  <c r="AO104" i="23"/>
  <c r="AB104" i="23"/>
  <c r="L104" i="23"/>
  <c r="AG104" i="23"/>
  <c r="AC104" i="23"/>
  <c r="AF104" i="23"/>
  <c r="AK104" i="23"/>
  <c r="W104" i="23"/>
  <c r="I104" i="23"/>
  <c r="Z104" i="23"/>
  <c r="AH104" i="23"/>
  <c r="S104" i="23"/>
  <c r="Q104" i="23"/>
  <c r="U104" i="23"/>
  <c r="K104" i="23"/>
  <c r="AJ104" i="23"/>
  <c r="AU104" i="23"/>
  <c r="Y104" i="23"/>
  <c r="AD104" i="23"/>
  <c r="AL104" i="23"/>
  <c r="AP104" i="23"/>
  <c r="AT104" i="23"/>
  <c r="AR104" i="23"/>
  <c r="J104" i="23"/>
  <c r="AS104" i="23"/>
  <c r="O104" i="23"/>
  <c r="M104" i="23"/>
  <c r="V104" i="23"/>
  <c r="AI104" i="23"/>
  <c r="AQ104" i="23"/>
  <c r="R104" i="23"/>
  <c r="N104" i="23"/>
  <c r="AA104" i="23"/>
  <c r="AE104" i="23"/>
  <c r="AM104" i="23"/>
  <c r="E104" i="23"/>
  <c r="F104" i="23"/>
  <c r="H104" i="23"/>
  <c r="D104" i="23"/>
  <c r="G104" i="23"/>
  <c r="B105" i="23"/>
  <c r="A163" i="19" l="1"/>
  <c r="A160" i="20"/>
  <c r="S105" i="23"/>
  <c r="AB105" i="23"/>
  <c r="AN105" i="23"/>
  <c r="AC105" i="23"/>
  <c r="AK105" i="23"/>
  <c r="W105" i="23"/>
  <c r="AF105" i="23"/>
  <c r="Y105" i="23"/>
  <c r="P105" i="23"/>
  <c r="X105" i="23"/>
  <c r="T105" i="23"/>
  <c r="O105" i="23"/>
  <c r="AG105" i="23"/>
  <c r="AO105" i="23"/>
  <c r="M105" i="23"/>
  <c r="Q105" i="23"/>
  <c r="Z105" i="23"/>
  <c r="AD105" i="23"/>
  <c r="AP105" i="23"/>
  <c r="I105" i="23"/>
  <c r="AR105" i="23"/>
  <c r="AA105" i="23"/>
  <c r="AQ105" i="23"/>
  <c r="L105" i="23"/>
  <c r="AL105" i="23"/>
  <c r="K105" i="23"/>
  <c r="N105" i="23"/>
  <c r="R105" i="23"/>
  <c r="V105" i="23"/>
  <c r="AS105" i="23"/>
  <c r="U105" i="23"/>
  <c r="AH105" i="23"/>
  <c r="AJ105" i="23"/>
  <c r="AE105" i="23"/>
  <c r="AT105" i="23"/>
  <c r="J105" i="23"/>
  <c r="AI105" i="23"/>
  <c r="AM105" i="23"/>
  <c r="AU105" i="23"/>
  <c r="H105" i="23"/>
  <c r="D105" i="23"/>
  <c r="F105" i="23"/>
  <c r="E105" i="23"/>
  <c r="G105" i="23"/>
  <c r="B106" i="23"/>
  <c r="A164" i="19" l="1"/>
  <c r="A161" i="20"/>
  <c r="L106" i="23"/>
  <c r="P106" i="23"/>
  <c r="AS106" i="23"/>
  <c r="Y106" i="23"/>
  <c r="AB106" i="23"/>
  <c r="AC106" i="23"/>
  <c r="AG106" i="23"/>
  <c r="S106" i="23"/>
  <c r="T106" i="23"/>
  <c r="X106" i="23"/>
  <c r="AF106" i="23"/>
  <c r="Z106" i="23"/>
  <c r="AH106" i="23"/>
  <c r="AN106" i="23"/>
  <c r="AK106" i="23"/>
  <c r="U106" i="23"/>
  <c r="AP106" i="23"/>
  <c r="N106" i="23"/>
  <c r="O106" i="23"/>
  <c r="I106" i="23"/>
  <c r="Q106" i="23"/>
  <c r="K106" i="23"/>
  <c r="AR106" i="23"/>
  <c r="J106" i="23"/>
  <c r="AO106" i="23"/>
  <c r="W106" i="23"/>
  <c r="M106" i="23"/>
  <c r="AD106" i="23"/>
  <c r="AL106" i="23"/>
  <c r="AJ106" i="23"/>
  <c r="V106" i="23"/>
  <c r="AA106" i="23"/>
  <c r="AM106" i="23"/>
  <c r="AT106" i="23"/>
  <c r="AQ106" i="23"/>
  <c r="AU106" i="23"/>
  <c r="R106" i="23"/>
  <c r="AE106" i="23"/>
  <c r="AI106" i="23"/>
  <c r="E106" i="23"/>
  <c r="G106" i="23"/>
  <c r="F106" i="23"/>
  <c r="D106" i="23"/>
  <c r="H106" i="23"/>
  <c r="B107" i="23"/>
  <c r="A165" i="19" l="1"/>
  <c r="A162" i="20"/>
  <c r="S107" i="23"/>
  <c r="AB107" i="23"/>
  <c r="L107" i="23"/>
  <c r="P107" i="23"/>
  <c r="T107" i="23"/>
  <c r="AC107" i="23"/>
  <c r="W107" i="23"/>
  <c r="AF107" i="23"/>
  <c r="AS107" i="23"/>
  <c r="AN107" i="23"/>
  <c r="AG107" i="23"/>
  <c r="U107" i="23"/>
  <c r="O107" i="23"/>
  <c r="I107" i="23"/>
  <c r="Q107" i="23"/>
  <c r="AD107" i="23"/>
  <c r="AR107" i="23"/>
  <c r="AU107" i="23"/>
  <c r="AK107" i="23"/>
  <c r="Y107" i="23"/>
  <c r="M107" i="23"/>
  <c r="AH107" i="23"/>
  <c r="AJ107" i="23"/>
  <c r="X107" i="23"/>
  <c r="AO107" i="23"/>
  <c r="AT107" i="23"/>
  <c r="J107" i="23"/>
  <c r="N107" i="23"/>
  <c r="Z107" i="23"/>
  <c r="AL107" i="23"/>
  <c r="K107" i="23"/>
  <c r="V107" i="23"/>
  <c r="AA107" i="23"/>
  <c r="AE107" i="23"/>
  <c r="R107" i="23"/>
  <c r="AI107" i="23"/>
  <c r="AQ107" i="23"/>
  <c r="AP107" i="23"/>
  <c r="AM107" i="23"/>
  <c r="H107" i="23"/>
  <c r="E107" i="23"/>
  <c r="F107" i="23"/>
  <c r="D107" i="23"/>
  <c r="G107" i="23"/>
  <c r="B108" i="23"/>
  <c r="A166" i="19" l="1"/>
  <c r="A163" i="20"/>
  <c r="AC108" i="23"/>
  <c r="AK108" i="23"/>
  <c r="AS108" i="23"/>
  <c r="AG108" i="23"/>
  <c r="AO108" i="23"/>
  <c r="Y108" i="23"/>
  <c r="S108" i="23"/>
  <c r="W108" i="23"/>
  <c r="AF108" i="23"/>
  <c r="U108" i="23"/>
  <c r="Q108" i="23"/>
  <c r="J108" i="23"/>
  <c r="V108" i="23"/>
  <c r="AQ108" i="23"/>
  <c r="L108" i="23"/>
  <c r="P108" i="23"/>
  <c r="I108" i="23"/>
  <c r="M108" i="23"/>
  <c r="AB108" i="23"/>
  <c r="T108" i="23"/>
  <c r="X108" i="23"/>
  <c r="O108" i="23"/>
  <c r="AH108" i="23"/>
  <c r="AT108" i="23"/>
  <c r="N108" i="23"/>
  <c r="AN108" i="23"/>
  <c r="Z108" i="23"/>
  <c r="AD108" i="23"/>
  <c r="AL108" i="23"/>
  <c r="K108" i="23"/>
  <c r="AR108" i="23"/>
  <c r="R108" i="23"/>
  <c r="AJ108" i="23"/>
  <c r="AA108" i="23"/>
  <c r="AI108" i="23"/>
  <c r="AM108" i="23"/>
  <c r="AU108" i="23"/>
  <c r="AP108" i="23"/>
  <c r="AE108" i="23"/>
  <c r="H108" i="23"/>
  <c r="G108" i="23"/>
  <c r="D108" i="23"/>
  <c r="F108" i="23"/>
  <c r="E108" i="23"/>
  <c r="B109" i="23"/>
  <c r="A167" i="19" l="1"/>
  <c r="A164" i="20"/>
  <c r="X109" i="23"/>
  <c r="AC109" i="23"/>
  <c r="O109" i="23"/>
  <c r="Y109" i="23"/>
  <c r="AN109" i="23"/>
  <c r="L109" i="23"/>
  <c r="T109" i="23"/>
  <c r="AG109" i="23"/>
  <c r="AF109" i="23"/>
  <c r="I109" i="23"/>
  <c r="M109" i="23"/>
  <c r="AL109" i="23"/>
  <c r="P109" i="23"/>
  <c r="AS109" i="23"/>
  <c r="AH109" i="23"/>
  <c r="AT109" i="23"/>
  <c r="N109" i="23"/>
  <c r="V109" i="23"/>
  <c r="AI109" i="23"/>
  <c r="AM109" i="23"/>
  <c r="AU109" i="23"/>
  <c r="S109" i="23"/>
  <c r="W109" i="23"/>
  <c r="Q109" i="23"/>
  <c r="AD109" i="23"/>
  <c r="J109" i="23"/>
  <c r="AB109" i="23"/>
  <c r="AK109" i="23"/>
  <c r="AO109" i="23"/>
  <c r="Z109" i="23"/>
  <c r="K109" i="23"/>
  <c r="AJ109" i="23"/>
  <c r="AR109" i="23"/>
  <c r="AA109" i="23"/>
  <c r="AE109" i="23"/>
  <c r="U109" i="23"/>
  <c r="AP109" i="23"/>
  <c r="R109" i="23"/>
  <c r="AQ109" i="23"/>
  <c r="E109" i="23"/>
  <c r="G109" i="23"/>
  <c r="H109" i="23"/>
  <c r="D109" i="23"/>
  <c r="F109" i="23"/>
  <c r="B110" i="23"/>
  <c r="A168" i="19" l="1"/>
  <c r="A165" i="20"/>
  <c r="L110" i="23"/>
  <c r="X110" i="23"/>
  <c r="AC110" i="23"/>
  <c r="AK110" i="23"/>
  <c r="AS110" i="23"/>
  <c r="S110" i="23"/>
  <c r="AG110" i="23"/>
  <c r="Y110" i="23"/>
  <c r="AB110" i="23"/>
  <c r="AP110" i="23"/>
  <c r="AN110" i="23"/>
  <c r="T110" i="23"/>
  <c r="AO110" i="23"/>
  <c r="AD110" i="23"/>
  <c r="AL110" i="23"/>
  <c r="K110" i="23"/>
  <c r="V110" i="23"/>
  <c r="AA110" i="23"/>
  <c r="AE110" i="23"/>
  <c r="AM110" i="23"/>
  <c r="AU110" i="23"/>
  <c r="P110" i="23"/>
  <c r="M110" i="23"/>
  <c r="I110" i="23"/>
  <c r="AH110" i="23"/>
  <c r="AT110" i="23"/>
  <c r="R110" i="23"/>
  <c r="O110" i="23"/>
  <c r="W110" i="23"/>
  <c r="AF110" i="23"/>
  <c r="Z110" i="23"/>
  <c r="J110" i="23"/>
  <c r="AR110" i="23"/>
  <c r="Q110" i="23"/>
  <c r="N110" i="23"/>
  <c r="AI110" i="23"/>
  <c r="AJ110" i="23"/>
  <c r="AQ110" i="23"/>
  <c r="U110" i="23"/>
  <c r="F110" i="23"/>
  <c r="G110" i="23"/>
  <c r="E110" i="23"/>
  <c r="D110" i="23"/>
  <c r="H110" i="23"/>
  <c r="B111" i="23"/>
  <c r="A169" i="19" l="1"/>
  <c r="A166" i="20"/>
  <c r="S111" i="23"/>
  <c r="P111" i="23"/>
  <c r="AK111" i="23"/>
  <c r="O111" i="23"/>
  <c r="Y111" i="23"/>
  <c r="AB111" i="23"/>
  <c r="AG111" i="23"/>
  <c r="X111" i="23"/>
  <c r="AS111" i="23"/>
  <c r="W111" i="23"/>
  <c r="M111" i="23"/>
  <c r="Q111" i="23"/>
  <c r="AD111" i="23"/>
  <c r="AN111" i="23"/>
  <c r="AC111" i="23"/>
  <c r="AO111" i="23"/>
  <c r="AP111" i="23"/>
  <c r="AT111" i="23"/>
  <c r="AJ111" i="23"/>
  <c r="J111" i="23"/>
  <c r="N111" i="23"/>
  <c r="AA111" i="23"/>
  <c r="AM111" i="23"/>
  <c r="AF111" i="23"/>
  <c r="I111" i="23"/>
  <c r="AL111" i="23"/>
  <c r="AR111" i="23"/>
  <c r="R111" i="23"/>
  <c r="L111" i="23"/>
  <c r="T111" i="23"/>
  <c r="Z111" i="23"/>
  <c r="AH111" i="23"/>
  <c r="K111" i="23"/>
  <c r="V111" i="23"/>
  <c r="AI111" i="23"/>
  <c r="AU111" i="23"/>
  <c r="U111" i="23"/>
  <c r="AE111" i="23"/>
  <c r="AQ111" i="23"/>
  <c r="G111" i="23"/>
  <c r="H111" i="23"/>
  <c r="E111" i="23"/>
  <c r="F111" i="23"/>
  <c r="D111" i="23"/>
  <c r="B112" i="23"/>
  <c r="A167" i="20" l="1"/>
  <c r="A179" i="19"/>
  <c r="A180" i="19" s="1"/>
  <c r="A178" i="20" s="1"/>
  <c r="AB112" i="23"/>
  <c r="L112" i="23"/>
  <c r="AG112" i="23"/>
  <c r="AO112" i="23"/>
  <c r="AS112" i="23"/>
  <c r="O112" i="23"/>
  <c r="AF112" i="23"/>
  <c r="AN112" i="23"/>
  <c r="P112" i="23"/>
  <c r="T112" i="23"/>
  <c r="X112" i="23"/>
  <c r="I112" i="23"/>
  <c r="Y112" i="23"/>
  <c r="Z112" i="23"/>
  <c r="AP112" i="23"/>
  <c r="AD112" i="23"/>
  <c r="AL112" i="23"/>
  <c r="AR112" i="23"/>
  <c r="R112" i="23"/>
  <c r="AM112" i="23"/>
  <c r="AK112" i="23"/>
  <c r="S112" i="23"/>
  <c r="AC112" i="23"/>
  <c r="W112" i="23"/>
  <c r="AH112" i="23"/>
  <c r="AJ112" i="23"/>
  <c r="M112" i="23"/>
  <c r="AT112" i="23"/>
  <c r="N112" i="23"/>
  <c r="U112" i="23"/>
  <c r="K112" i="23"/>
  <c r="J112" i="23"/>
  <c r="AE112" i="23"/>
  <c r="AA112" i="23"/>
  <c r="V112" i="23"/>
  <c r="AI112" i="23"/>
  <c r="AU112" i="23"/>
  <c r="Q112" i="23"/>
  <c r="AQ112" i="23"/>
  <c r="E112" i="23"/>
  <c r="D112" i="23"/>
  <c r="H112" i="23"/>
  <c r="G112" i="23"/>
  <c r="F112" i="23"/>
  <c r="B113" i="23"/>
  <c r="AN113" i="23" l="1"/>
  <c r="L113" i="23"/>
  <c r="AK113" i="23"/>
  <c r="AO113" i="23"/>
  <c r="Y113" i="23"/>
  <c r="S113" i="23"/>
  <c r="X113" i="23"/>
  <c r="AB113" i="23"/>
  <c r="AS113" i="23"/>
  <c r="W113" i="23"/>
  <c r="I113" i="23"/>
  <c r="AC113" i="23"/>
  <c r="O113" i="23"/>
  <c r="Q113" i="23"/>
  <c r="U113" i="23"/>
  <c r="AD113" i="23"/>
  <c r="M113" i="23"/>
  <c r="Z113" i="23"/>
  <c r="AT113" i="23"/>
  <c r="K113" i="23"/>
  <c r="P113" i="23"/>
  <c r="T113" i="23"/>
  <c r="AF113" i="23"/>
  <c r="AP113" i="23"/>
  <c r="R113" i="23"/>
  <c r="AG113" i="23"/>
  <c r="AL113" i="23"/>
  <c r="AJ113" i="23"/>
  <c r="AR113" i="23"/>
  <c r="J113" i="23"/>
  <c r="N113" i="23"/>
  <c r="AQ113" i="23"/>
  <c r="V113" i="23"/>
  <c r="AM113" i="23"/>
  <c r="AU113" i="23"/>
  <c r="AH113" i="23"/>
  <c r="AA113" i="23"/>
  <c r="AE113" i="23"/>
  <c r="AI113" i="23"/>
  <c r="D113" i="23"/>
  <c r="F113" i="23"/>
  <c r="H113" i="23"/>
  <c r="E113" i="23"/>
  <c r="G113" i="23"/>
  <c r="B114" i="23"/>
  <c r="S114" i="23" l="1"/>
  <c r="AN114" i="23"/>
  <c r="Y114" i="23"/>
  <c r="AB114" i="23"/>
  <c r="L114" i="23"/>
  <c r="P114" i="23"/>
  <c r="T114" i="23"/>
  <c r="X114" i="23"/>
  <c r="AK114" i="23"/>
  <c r="AO114" i="23"/>
  <c r="O114" i="23"/>
  <c r="AC114" i="23"/>
  <c r="W114" i="23"/>
  <c r="Q114" i="23"/>
  <c r="AF114" i="23"/>
  <c r="Z114" i="23"/>
  <c r="AR114" i="23"/>
  <c r="J114" i="23"/>
  <c r="AI114" i="23"/>
  <c r="AS114" i="23"/>
  <c r="M114" i="23"/>
  <c r="U114" i="23"/>
  <c r="K114" i="23"/>
  <c r="AJ114" i="23"/>
  <c r="N114" i="23"/>
  <c r="AG114" i="23"/>
  <c r="I114" i="23"/>
  <c r="AH114" i="23"/>
  <c r="AT114" i="23"/>
  <c r="R114" i="23"/>
  <c r="AQ114" i="23"/>
  <c r="AL114" i="23"/>
  <c r="AP114" i="23"/>
  <c r="V114" i="23"/>
  <c r="AD114" i="23"/>
  <c r="AA114" i="23"/>
  <c r="AU114" i="23"/>
  <c r="AM114" i="23"/>
  <c r="AE114" i="23"/>
  <c r="D114" i="23"/>
  <c r="H114" i="23"/>
  <c r="F114" i="23"/>
  <c r="E114" i="23"/>
  <c r="G114" i="23"/>
  <c r="B115" i="23"/>
  <c r="AB115" i="23" l="1"/>
  <c r="AS115" i="23"/>
  <c r="AF115" i="23"/>
  <c r="P115" i="23"/>
  <c r="AC115" i="23"/>
  <c r="L115" i="23"/>
  <c r="AO115" i="23"/>
  <c r="Y115" i="23"/>
  <c r="I115" i="23"/>
  <c r="X115" i="23"/>
  <c r="O115" i="23"/>
  <c r="AH115" i="23"/>
  <c r="AP115" i="23"/>
  <c r="AR115" i="23"/>
  <c r="AE115" i="23"/>
  <c r="AI115" i="23"/>
  <c r="S115" i="23"/>
  <c r="AN115" i="23"/>
  <c r="W115" i="23"/>
  <c r="T115" i="23"/>
  <c r="AK115" i="23"/>
  <c r="M115" i="23"/>
  <c r="U115" i="23"/>
  <c r="Z115" i="23"/>
  <c r="K115" i="23"/>
  <c r="AG115" i="23"/>
  <c r="AL115" i="23"/>
  <c r="AJ115" i="23"/>
  <c r="J115" i="23"/>
  <c r="R115" i="23"/>
  <c r="AT115" i="23"/>
  <c r="AM115" i="23"/>
  <c r="AQ115" i="23"/>
  <c r="V115" i="23"/>
  <c r="AA115" i="23"/>
  <c r="AD115" i="23"/>
  <c r="Q115" i="23"/>
  <c r="N115" i="23"/>
  <c r="AU115" i="23"/>
  <c r="E115" i="23"/>
  <c r="H115" i="23"/>
  <c r="G115" i="23"/>
  <c r="D115" i="23"/>
  <c r="F115" i="23"/>
  <c r="B116" i="23"/>
  <c r="AS116" i="23" l="1"/>
  <c r="AF116" i="23"/>
  <c r="AC116" i="23"/>
  <c r="L116" i="23"/>
  <c r="P116" i="23"/>
  <c r="AB116" i="23"/>
  <c r="X116" i="23"/>
  <c r="AG116" i="23"/>
  <c r="AK116" i="23"/>
  <c r="O116" i="23"/>
  <c r="I116" i="23"/>
  <c r="U116" i="23"/>
  <c r="Z116" i="23"/>
  <c r="AP116" i="23"/>
  <c r="AO116" i="23"/>
  <c r="W116" i="23"/>
  <c r="AT116" i="23"/>
  <c r="N116" i="23"/>
  <c r="AE116" i="23"/>
  <c r="AM116" i="23"/>
  <c r="AQ116" i="23"/>
  <c r="T116" i="23"/>
  <c r="Y116" i="23"/>
  <c r="M116" i="23"/>
  <c r="Q116" i="23"/>
  <c r="AL116" i="23"/>
  <c r="J116" i="23"/>
  <c r="R116" i="23"/>
  <c r="S116" i="23"/>
  <c r="AN116" i="23"/>
  <c r="AD116" i="23"/>
  <c r="K116" i="23"/>
  <c r="AJ116" i="23"/>
  <c r="V116" i="23"/>
  <c r="AU116" i="23"/>
  <c r="AR116" i="23"/>
  <c r="AA116" i="23"/>
  <c r="AH116" i="23"/>
  <c r="AI116" i="23"/>
  <c r="D116" i="23"/>
  <c r="F116" i="23"/>
  <c r="E116" i="23"/>
  <c r="G116" i="23"/>
  <c r="H116" i="23"/>
  <c r="B117" i="23"/>
  <c r="S117" i="23" l="1"/>
  <c r="X117" i="23"/>
  <c r="AF117" i="23"/>
  <c r="AN117" i="23"/>
  <c r="L117" i="23"/>
  <c r="P117" i="23"/>
  <c r="T117" i="23"/>
  <c r="AC117" i="23"/>
  <c r="AG117" i="23"/>
  <c r="AK117" i="23"/>
  <c r="I117" i="23"/>
  <c r="M117" i="23"/>
  <c r="AD117" i="23"/>
  <c r="AL117" i="23"/>
  <c r="AO117" i="23"/>
  <c r="AS117" i="23"/>
  <c r="O117" i="23"/>
  <c r="Q117" i="23"/>
  <c r="AT117" i="23"/>
  <c r="J117" i="23"/>
  <c r="V117" i="23"/>
  <c r="AQ117" i="23"/>
  <c r="Y117" i="23"/>
  <c r="W117" i="23"/>
  <c r="AH117" i="23"/>
  <c r="AB117" i="23"/>
  <c r="U117" i="23"/>
  <c r="AP117" i="23"/>
  <c r="K117" i="23"/>
  <c r="R117" i="23"/>
  <c r="AR117" i="23"/>
  <c r="AJ117" i="23"/>
  <c r="AA117" i="23"/>
  <c r="AM117" i="23"/>
  <c r="Z117" i="23"/>
  <c r="AE117" i="23"/>
  <c r="AI117" i="23"/>
  <c r="N117" i="23"/>
  <c r="AU117" i="23"/>
  <c r="F117" i="23"/>
  <c r="G117" i="23"/>
  <c r="E117" i="23"/>
  <c r="H117" i="23"/>
  <c r="D117" i="23"/>
  <c r="B118" i="23"/>
  <c r="T118" i="23" l="1"/>
  <c r="O118" i="23"/>
  <c r="AF118" i="23"/>
  <c r="S118" i="23"/>
  <c r="AC118" i="23"/>
  <c r="AB118" i="23"/>
  <c r="L118" i="23"/>
  <c r="AG118" i="23"/>
  <c r="P118" i="23"/>
  <c r="X118" i="23"/>
  <c r="AO118" i="23"/>
  <c r="AD118" i="23"/>
  <c r="AK118" i="23"/>
  <c r="Z118" i="23"/>
  <c r="AH118" i="23"/>
  <c r="AL118" i="23"/>
  <c r="AT118" i="23"/>
  <c r="K118" i="23"/>
  <c r="AJ118" i="23"/>
  <c r="N118" i="23"/>
  <c r="R118" i="23"/>
  <c r="AE118" i="23"/>
  <c r="AQ118" i="23"/>
  <c r="AN118" i="23"/>
  <c r="W118" i="23"/>
  <c r="AS118" i="23"/>
  <c r="Y118" i="23"/>
  <c r="I118" i="23"/>
  <c r="U118" i="23"/>
  <c r="AP118" i="23"/>
  <c r="AR118" i="23"/>
  <c r="M118" i="23"/>
  <c r="Q118" i="23"/>
  <c r="J118" i="23"/>
  <c r="AM118" i="23"/>
  <c r="V118" i="23"/>
  <c r="AA118" i="23"/>
  <c r="AI118" i="23"/>
  <c r="AU118" i="23"/>
  <c r="H118" i="23"/>
  <c r="G118" i="23"/>
  <c r="D118" i="23"/>
  <c r="F118" i="23"/>
  <c r="E118" i="23"/>
  <c r="B119" i="23"/>
  <c r="S119" i="23" l="1"/>
  <c r="AG119" i="23"/>
  <c r="W119" i="23"/>
  <c r="L119" i="23"/>
  <c r="T119" i="23"/>
  <c r="X119" i="23"/>
  <c r="P119" i="23"/>
  <c r="AF119" i="23"/>
  <c r="I119" i="23"/>
  <c r="AB119" i="23"/>
  <c r="AO119" i="23"/>
  <c r="Y119" i="23"/>
  <c r="AH119" i="23"/>
  <c r="AL119" i="23"/>
  <c r="AS119" i="23"/>
  <c r="AP119" i="23"/>
  <c r="AA119" i="23"/>
  <c r="AI119" i="23"/>
  <c r="AQ119" i="23"/>
  <c r="AU119" i="23"/>
  <c r="AN119" i="23"/>
  <c r="AC119" i="23"/>
  <c r="AK119" i="23"/>
  <c r="O119" i="23"/>
  <c r="M119" i="23"/>
  <c r="U119" i="23"/>
  <c r="Z119" i="23"/>
  <c r="AD119" i="23"/>
  <c r="AT119" i="23"/>
  <c r="AJ119" i="23"/>
  <c r="J119" i="23"/>
  <c r="N119" i="23"/>
  <c r="V119" i="23"/>
  <c r="Q119" i="23"/>
  <c r="K119" i="23"/>
  <c r="R119" i="23"/>
  <c r="AM119" i="23"/>
  <c r="AR119" i="23"/>
  <c r="AE119" i="23"/>
  <c r="D119" i="23"/>
  <c r="F119" i="23"/>
  <c r="H119" i="23"/>
  <c r="E119" i="23"/>
  <c r="G119" i="23"/>
  <c r="B120" i="23"/>
  <c r="T120" i="23" l="1"/>
  <c r="X120" i="23"/>
  <c r="AO120" i="23"/>
  <c r="O120" i="23"/>
  <c r="S120" i="23"/>
  <c r="AB120" i="23"/>
  <c r="AN120" i="23"/>
  <c r="L120" i="23"/>
  <c r="AG120" i="23"/>
  <c r="P120" i="23"/>
  <c r="W120" i="23"/>
  <c r="Y120" i="23"/>
  <c r="AS120" i="23"/>
  <c r="Q120" i="23"/>
  <c r="AD120" i="23"/>
  <c r="AF120" i="23"/>
  <c r="Z120" i="23"/>
  <c r="AJ120" i="23"/>
  <c r="AC120" i="23"/>
  <c r="AK120" i="23"/>
  <c r="M120" i="23"/>
  <c r="AH120" i="23"/>
  <c r="AP120" i="23"/>
  <c r="AR120" i="23"/>
  <c r="I120" i="23"/>
  <c r="U120" i="23"/>
  <c r="AL120" i="23"/>
  <c r="K120" i="23"/>
  <c r="R120" i="23"/>
  <c r="J120" i="23"/>
  <c r="N120" i="23"/>
  <c r="AI120" i="23"/>
  <c r="V120" i="23"/>
  <c r="AE120" i="23"/>
  <c r="AM120" i="23"/>
  <c r="AQ120" i="23"/>
  <c r="AU120" i="23"/>
  <c r="AT120" i="23"/>
  <c r="AA120" i="23"/>
  <c r="D120" i="23"/>
  <c r="H120" i="23"/>
  <c r="G120" i="23"/>
  <c r="F120" i="23"/>
  <c r="E120" i="23"/>
  <c r="B121" i="23"/>
  <c r="P121" i="23" l="1"/>
  <c r="AG121" i="23"/>
  <c r="AO121" i="23"/>
  <c r="O121" i="23"/>
  <c r="W121" i="23"/>
  <c r="AB121" i="23"/>
  <c r="T121" i="23"/>
  <c r="AN121" i="23"/>
  <c r="AC121" i="23"/>
  <c r="AS121" i="23"/>
  <c r="AF121" i="23"/>
  <c r="Y121" i="23"/>
  <c r="S121" i="23"/>
  <c r="AK121" i="23"/>
  <c r="Q121" i="23"/>
  <c r="Z121" i="23"/>
  <c r="AP121" i="23"/>
  <c r="X121" i="23"/>
  <c r="I121" i="23"/>
  <c r="U121" i="23"/>
  <c r="AL121" i="23"/>
  <c r="K121" i="23"/>
  <c r="R121" i="23"/>
  <c r="AA121" i="23"/>
  <c r="AE121" i="23"/>
  <c r="AU121" i="23"/>
  <c r="M121" i="23"/>
  <c r="AJ121" i="23"/>
  <c r="AR121" i="23"/>
  <c r="N121" i="23"/>
  <c r="L121" i="23"/>
  <c r="AH121" i="23"/>
  <c r="AT121" i="23"/>
  <c r="AD121" i="23"/>
  <c r="J121" i="23"/>
  <c r="V121" i="23"/>
  <c r="AM121" i="23"/>
  <c r="AI121" i="23"/>
  <c r="AQ121" i="23"/>
  <c r="D121" i="23"/>
  <c r="F121" i="23"/>
  <c r="E121" i="23"/>
  <c r="H121" i="23"/>
  <c r="G121" i="23"/>
  <c r="B122" i="23"/>
  <c r="AB122" i="23" l="1"/>
  <c r="X122" i="23"/>
  <c r="AG122" i="23"/>
  <c r="Y122" i="23"/>
  <c r="AN122" i="23"/>
  <c r="P122" i="23"/>
  <c r="S122" i="23"/>
  <c r="L122" i="23"/>
  <c r="T122" i="23"/>
  <c r="AK122" i="23"/>
  <c r="AS122" i="23"/>
  <c r="O122" i="23"/>
  <c r="M122" i="23"/>
  <c r="Q122" i="23"/>
  <c r="AD122" i="23"/>
  <c r="J122" i="23"/>
  <c r="AA122" i="23"/>
  <c r="AM122" i="23"/>
  <c r="AC122" i="23"/>
  <c r="AO122" i="23"/>
  <c r="W122" i="23"/>
  <c r="AR122" i="23"/>
  <c r="AF122" i="23"/>
  <c r="I122" i="23"/>
  <c r="U122" i="23"/>
  <c r="AP122" i="23"/>
  <c r="Z122" i="23"/>
  <c r="AH122" i="23"/>
  <c r="N122" i="23"/>
  <c r="R122" i="23"/>
  <c r="AE122" i="23"/>
  <c r="AI122" i="23"/>
  <c r="AU122" i="23"/>
  <c r="AT122" i="23"/>
  <c r="K122" i="23"/>
  <c r="AJ122" i="23"/>
  <c r="AQ122" i="23"/>
  <c r="AL122" i="23"/>
  <c r="V122" i="23"/>
  <c r="H122" i="23"/>
  <c r="G122" i="23"/>
  <c r="D122" i="23"/>
  <c r="F122" i="23"/>
  <c r="E122" i="23"/>
  <c r="B123" i="23"/>
  <c r="P123" i="23" l="1"/>
  <c r="AO123" i="23"/>
  <c r="AS123" i="23"/>
  <c r="O123" i="23"/>
  <c r="S123" i="23"/>
  <c r="AB123" i="23"/>
  <c r="AN123" i="23"/>
  <c r="AC123" i="23"/>
  <c r="AK123" i="23"/>
  <c r="L123" i="23"/>
  <c r="T123" i="23"/>
  <c r="X123" i="23"/>
  <c r="AF123" i="23"/>
  <c r="I123" i="23"/>
  <c r="M123" i="23"/>
  <c r="AG123" i="23"/>
  <c r="Q123" i="23"/>
  <c r="K123" i="23"/>
  <c r="R123" i="23"/>
  <c r="AM123" i="23"/>
  <c r="W123" i="23"/>
  <c r="Y123" i="23"/>
  <c r="AH123" i="23"/>
  <c r="AR123" i="23"/>
  <c r="U123" i="23"/>
  <c r="Z123" i="23"/>
  <c r="AD123" i="23"/>
  <c r="AT123" i="23"/>
  <c r="AJ123" i="23"/>
  <c r="J123" i="23"/>
  <c r="N123" i="23"/>
  <c r="V123" i="23"/>
  <c r="AA123" i="23"/>
  <c r="AE123" i="23"/>
  <c r="AI123" i="23"/>
  <c r="AU123" i="23"/>
  <c r="AL123" i="23"/>
  <c r="AP123" i="23"/>
  <c r="AQ123" i="23"/>
  <c r="G123" i="23"/>
  <c r="E123" i="23"/>
  <c r="D123" i="23"/>
  <c r="F123" i="23"/>
  <c r="H123" i="23"/>
  <c r="B124" i="23"/>
  <c r="P124" i="23" l="1"/>
  <c r="AC124" i="23"/>
  <c r="AK124" i="23"/>
  <c r="W124" i="23"/>
  <c r="S124" i="23"/>
  <c r="AN124" i="23"/>
  <c r="T124" i="23"/>
  <c r="AO124" i="23"/>
  <c r="AF124" i="23"/>
  <c r="I124" i="23"/>
  <c r="L124" i="23"/>
  <c r="O124" i="23"/>
  <c r="Y124" i="23"/>
  <c r="AH124" i="23"/>
  <c r="AL124" i="23"/>
  <c r="AB124" i="23"/>
  <c r="U124" i="23"/>
  <c r="AD124" i="23"/>
  <c r="K124" i="23"/>
  <c r="R124" i="23"/>
  <c r="V124" i="23"/>
  <c r="AA124" i="23"/>
  <c r="AU124" i="23"/>
  <c r="AS124" i="23"/>
  <c r="X124" i="23"/>
  <c r="M124" i="23"/>
  <c r="J124" i="23"/>
  <c r="AG124" i="23"/>
  <c r="Q124" i="23"/>
  <c r="AP124" i="23"/>
  <c r="AR124" i="23"/>
  <c r="N124" i="23"/>
  <c r="AI124" i="23"/>
  <c r="AT124" i="23"/>
  <c r="AE124" i="23"/>
  <c r="AM124" i="23"/>
  <c r="AQ124" i="23"/>
  <c r="Z124" i="23"/>
  <c r="AJ124" i="23"/>
  <c r="E124" i="23"/>
  <c r="D124" i="23"/>
  <c r="H124" i="23"/>
  <c r="G124" i="23"/>
  <c r="F124" i="23"/>
  <c r="B125" i="23"/>
  <c r="AN125" i="23" l="1"/>
  <c r="L125" i="23"/>
  <c r="AC125" i="23"/>
  <c r="S125" i="23"/>
  <c r="X125" i="23"/>
  <c r="AB125" i="23"/>
  <c r="AO125" i="23"/>
  <c r="W125" i="23"/>
  <c r="P125" i="23"/>
  <c r="T125" i="23"/>
  <c r="AG125" i="23"/>
  <c r="AS125" i="23"/>
  <c r="AF125" i="23"/>
  <c r="Y125" i="23"/>
  <c r="AH125" i="23"/>
  <c r="AP125" i="23"/>
  <c r="AI125" i="23"/>
  <c r="AM125" i="23"/>
  <c r="AK125" i="23"/>
  <c r="O125" i="23"/>
  <c r="I125" i="23"/>
  <c r="Z125" i="23"/>
  <c r="AD125" i="23"/>
  <c r="AT125" i="23"/>
  <c r="J125" i="23"/>
  <c r="M125" i="23"/>
  <c r="AJ125" i="23"/>
  <c r="AR125" i="23"/>
  <c r="N125" i="23"/>
  <c r="Q125" i="23"/>
  <c r="AQ125" i="23"/>
  <c r="AU125" i="23"/>
  <c r="AL125" i="23"/>
  <c r="U125" i="23"/>
  <c r="AA125" i="23"/>
  <c r="K125" i="23"/>
  <c r="R125" i="23"/>
  <c r="V125" i="23"/>
  <c r="AE125" i="23"/>
  <c r="E125" i="23"/>
  <c r="H125" i="23"/>
  <c r="G125" i="23"/>
  <c r="D125" i="23"/>
  <c r="F125" i="23"/>
  <c r="B126" i="23"/>
  <c r="S126" i="23" l="1"/>
  <c r="AC126" i="23"/>
  <c r="AS126" i="23"/>
  <c r="L126" i="23"/>
  <c r="T126" i="23"/>
  <c r="AN126" i="23"/>
  <c r="W126" i="23"/>
  <c r="AF126" i="23"/>
  <c r="I126" i="23"/>
  <c r="AB126" i="23"/>
  <c r="AG126" i="23"/>
  <c r="AK126" i="23"/>
  <c r="O126" i="23"/>
  <c r="AL126" i="23"/>
  <c r="P126" i="23"/>
  <c r="X126" i="23"/>
  <c r="M126" i="23"/>
  <c r="Q126" i="23"/>
  <c r="U126" i="23"/>
  <c r="AP126" i="23"/>
  <c r="V126" i="23"/>
  <c r="AU126" i="23"/>
  <c r="AO126" i="23"/>
  <c r="Z126" i="23"/>
  <c r="AH126" i="23"/>
  <c r="AT126" i="23"/>
  <c r="K126" i="23"/>
  <c r="AJ126" i="23"/>
  <c r="N126" i="23"/>
  <c r="R126" i="23"/>
  <c r="Y126" i="23"/>
  <c r="AR126" i="23"/>
  <c r="AA126" i="23"/>
  <c r="J126" i="23"/>
  <c r="AE126" i="23"/>
  <c r="AI126" i="23"/>
  <c r="AM126" i="23"/>
  <c r="AD126" i="23"/>
  <c r="AQ126" i="23"/>
  <c r="E126" i="23"/>
  <c r="F126" i="23"/>
  <c r="H126" i="23"/>
  <c r="G126" i="23"/>
  <c r="D126" i="23"/>
  <c r="B127" i="23"/>
  <c r="L127" i="23" l="1"/>
  <c r="T127" i="23"/>
  <c r="X127" i="23"/>
  <c r="AK127" i="23"/>
  <c r="AG127" i="23"/>
  <c r="AN127" i="23"/>
  <c r="AC127" i="23"/>
  <c r="AS127" i="23"/>
  <c r="P127" i="23"/>
  <c r="U127" i="23"/>
  <c r="AD127" i="23"/>
  <c r="I127" i="23"/>
  <c r="Z127" i="23"/>
  <c r="AT127" i="23"/>
  <c r="AJ127" i="23"/>
  <c r="J127" i="23"/>
  <c r="N127" i="23"/>
  <c r="V127" i="23"/>
  <c r="AE127" i="23"/>
  <c r="AO127" i="23"/>
  <c r="AB127" i="23"/>
  <c r="W127" i="23"/>
  <c r="AL127" i="23"/>
  <c r="AP127" i="23"/>
  <c r="S127" i="23"/>
  <c r="O127" i="23"/>
  <c r="AF127" i="23"/>
  <c r="Y127" i="23"/>
  <c r="M127" i="23"/>
  <c r="AH127" i="23"/>
  <c r="AR127" i="23"/>
  <c r="R127" i="23"/>
  <c r="K127" i="23"/>
  <c r="AA127" i="23"/>
  <c r="AI127" i="23"/>
  <c r="AM127" i="23"/>
  <c r="AQ127" i="23"/>
  <c r="AU127" i="23"/>
  <c r="Q127" i="23"/>
  <c r="E127" i="23"/>
  <c r="F127" i="23"/>
  <c r="G127" i="23"/>
  <c r="D127" i="23"/>
  <c r="H127" i="23"/>
  <c r="B128" i="23"/>
  <c r="S128" i="23" l="1"/>
  <c r="AB128" i="23"/>
  <c r="AN128" i="23"/>
  <c r="L128" i="23"/>
  <c r="AG128" i="23"/>
  <c r="Y128" i="23"/>
  <c r="T128" i="23"/>
  <c r="X128" i="23"/>
  <c r="W128" i="23"/>
  <c r="P128" i="23"/>
  <c r="AO128" i="23"/>
  <c r="AF128" i="23"/>
  <c r="I128" i="23"/>
  <c r="M128" i="23"/>
  <c r="AL128" i="23"/>
  <c r="O128" i="23"/>
  <c r="Q128" i="23"/>
  <c r="AR128" i="23"/>
  <c r="R128" i="23"/>
  <c r="AC128" i="23"/>
  <c r="AK128" i="23"/>
  <c r="AS128" i="23"/>
  <c r="Z128" i="23"/>
  <c r="AT128" i="23"/>
  <c r="AJ128" i="23"/>
  <c r="N128" i="23"/>
  <c r="AD128" i="23"/>
  <c r="AH128" i="23"/>
  <c r="J128" i="23"/>
  <c r="U128" i="23"/>
  <c r="AI128" i="23"/>
  <c r="K128" i="23"/>
  <c r="V128" i="23"/>
  <c r="AA128" i="23"/>
  <c r="AP128" i="23"/>
  <c r="AE128" i="23"/>
  <c r="AQ128" i="23"/>
  <c r="AU128" i="23"/>
  <c r="AM128" i="23"/>
  <c r="F128" i="23"/>
  <c r="E128" i="23"/>
  <c r="D128" i="23"/>
  <c r="H128" i="23"/>
  <c r="G128" i="23"/>
  <c r="B129" i="23"/>
  <c r="AB129" i="23" l="1"/>
  <c r="T129" i="23"/>
  <c r="AG129" i="23"/>
  <c r="AK129" i="23"/>
  <c r="P129" i="23"/>
  <c r="L129" i="23"/>
  <c r="AO129" i="23"/>
  <c r="O129" i="23"/>
  <c r="AN129" i="23"/>
  <c r="W129" i="23"/>
  <c r="Y129" i="23"/>
  <c r="I129" i="23"/>
  <c r="U129" i="23"/>
  <c r="S129" i="23"/>
  <c r="AC129" i="23"/>
  <c r="M129" i="23"/>
  <c r="AH129" i="23"/>
  <c r="AJ129" i="23"/>
  <c r="AR129" i="23"/>
  <c r="J129" i="23"/>
  <c r="X129" i="23"/>
  <c r="AF129" i="23"/>
  <c r="AD129" i="23"/>
  <c r="AP129" i="23"/>
  <c r="K129" i="23"/>
  <c r="N129" i="23"/>
  <c r="AS129" i="23"/>
  <c r="Q129" i="23"/>
  <c r="Z129" i="23"/>
  <c r="AT129" i="23"/>
  <c r="AE129" i="23"/>
  <c r="AI129" i="23"/>
  <c r="AQ129" i="23"/>
  <c r="AL129" i="23"/>
  <c r="R129" i="23"/>
  <c r="V129" i="23"/>
  <c r="AA129" i="23"/>
  <c r="AM129" i="23"/>
  <c r="AU129" i="23"/>
  <c r="F129" i="23"/>
  <c r="H129" i="23"/>
  <c r="G129" i="23"/>
  <c r="E129" i="23"/>
  <c r="D129" i="23"/>
  <c r="B130" i="23"/>
  <c r="P130" i="23" l="1"/>
  <c r="W130" i="23"/>
  <c r="Y130" i="23"/>
  <c r="AB130" i="23"/>
  <c r="AC130" i="23"/>
  <c r="AN130" i="23"/>
  <c r="L130" i="23"/>
  <c r="S130" i="23"/>
  <c r="T130" i="23"/>
  <c r="AO130" i="23"/>
  <c r="M130" i="23"/>
  <c r="Z130" i="23"/>
  <c r="AH130" i="23"/>
  <c r="AP130" i="23"/>
  <c r="X130" i="23"/>
  <c r="AG130" i="23"/>
  <c r="AS130" i="23"/>
  <c r="Q130" i="23"/>
  <c r="AI130" i="23"/>
  <c r="AK130" i="23"/>
  <c r="O130" i="23"/>
  <c r="AF130" i="23"/>
  <c r="I130" i="23"/>
  <c r="U130" i="23"/>
  <c r="AD130" i="23"/>
  <c r="AL130" i="23"/>
  <c r="AR130" i="23"/>
  <c r="J130" i="23"/>
  <c r="AT130" i="23"/>
  <c r="K130" i="23"/>
  <c r="AJ130" i="23"/>
  <c r="N130" i="23"/>
  <c r="R130" i="23"/>
  <c r="V130" i="23"/>
  <c r="AA130" i="23"/>
  <c r="AE130" i="23"/>
  <c r="AM130" i="23"/>
  <c r="AQ130" i="23"/>
  <c r="AU130" i="23"/>
  <c r="D130" i="23"/>
  <c r="F130" i="23"/>
  <c r="H130" i="23"/>
  <c r="E130" i="23"/>
  <c r="G130" i="23"/>
  <c r="B131" i="23"/>
  <c r="AN131" i="23" l="1"/>
  <c r="AC131" i="23"/>
  <c r="Y131" i="23"/>
  <c r="T131" i="23"/>
  <c r="X131" i="23"/>
  <c r="AG131" i="23"/>
  <c r="O131" i="23"/>
  <c r="W131" i="23"/>
  <c r="AF131" i="23"/>
  <c r="AB131" i="23"/>
  <c r="L131" i="23"/>
  <c r="AK131" i="23"/>
  <c r="AS131" i="23"/>
  <c r="Q131" i="23"/>
  <c r="Z131" i="23"/>
  <c r="AP131" i="23"/>
  <c r="M131" i="23"/>
  <c r="U131" i="23"/>
  <c r="AD131" i="23"/>
  <c r="AH131" i="23"/>
  <c r="AJ131" i="23"/>
  <c r="AQ131" i="23"/>
  <c r="I131" i="23"/>
  <c r="P131" i="23"/>
  <c r="AO131" i="23"/>
  <c r="R131" i="23"/>
  <c r="S131" i="23"/>
  <c r="AL131" i="23"/>
  <c r="AR131" i="23"/>
  <c r="N131" i="23"/>
  <c r="AT131" i="23"/>
  <c r="AA131" i="23"/>
  <c r="AE131" i="23"/>
  <c r="AU131" i="23"/>
  <c r="K131" i="23"/>
  <c r="AI131" i="23"/>
  <c r="AM131" i="23"/>
  <c r="J131" i="23"/>
  <c r="V131" i="23"/>
  <c r="F131" i="23"/>
  <c r="D131" i="23"/>
  <c r="H131" i="23"/>
  <c r="E131" i="23"/>
  <c r="G131" i="23"/>
  <c r="B132" i="23"/>
  <c r="AS132" i="23" l="1"/>
  <c r="AF132" i="23"/>
  <c r="P132" i="23"/>
  <c r="AC132" i="23"/>
  <c r="AK132" i="23"/>
  <c r="S132" i="23"/>
  <c r="AN132" i="23"/>
  <c r="T132" i="23"/>
  <c r="W132" i="23"/>
  <c r="U132" i="23"/>
  <c r="AH132" i="23"/>
  <c r="AP132" i="23"/>
  <c r="L132" i="23"/>
  <c r="AG132" i="23"/>
  <c r="I132" i="23"/>
  <c r="Z132" i="23"/>
  <c r="AD132" i="23"/>
  <c r="AA132" i="23"/>
  <c r="AE132" i="23"/>
  <c r="AI132" i="23"/>
  <c r="AQ132" i="23"/>
  <c r="AB132" i="23"/>
  <c r="AO132" i="23"/>
  <c r="O132" i="23"/>
  <c r="Y132" i="23"/>
  <c r="K132" i="23"/>
  <c r="R132" i="23"/>
  <c r="X132" i="23"/>
  <c r="M132" i="23"/>
  <c r="AL132" i="23"/>
  <c r="AT132" i="23"/>
  <c r="AJ132" i="23"/>
  <c r="N132" i="23"/>
  <c r="Q132" i="23"/>
  <c r="AU132" i="23"/>
  <c r="AR132" i="23"/>
  <c r="AM132" i="23"/>
  <c r="J132" i="23"/>
  <c r="V132" i="23"/>
  <c r="D132" i="23"/>
  <c r="H132" i="23"/>
  <c r="E132" i="23"/>
  <c r="G132" i="23"/>
  <c r="F132" i="23"/>
  <c r="B133" i="23"/>
  <c r="S133" i="23" l="1"/>
  <c r="X133" i="23"/>
  <c r="AF133" i="23"/>
  <c r="Y133" i="23"/>
  <c r="AN133" i="23"/>
  <c r="L133" i="23"/>
  <c r="AG133" i="23"/>
  <c r="AC133" i="23"/>
  <c r="AK133" i="23"/>
  <c r="AS133" i="23"/>
  <c r="AB133" i="23"/>
  <c r="AO133" i="23"/>
  <c r="O133" i="23"/>
  <c r="Z133" i="23"/>
  <c r="T133" i="23"/>
  <c r="AT133" i="23"/>
  <c r="V133" i="23"/>
  <c r="AQ133" i="23"/>
  <c r="M133" i="23"/>
  <c r="P133" i="23"/>
  <c r="I133" i="23"/>
  <c r="AL133" i="23"/>
  <c r="J133" i="23"/>
  <c r="W133" i="23"/>
  <c r="U133" i="23"/>
  <c r="AD133" i="23"/>
  <c r="AP133" i="23"/>
  <c r="K133" i="23"/>
  <c r="N133" i="23"/>
  <c r="R133" i="23"/>
  <c r="AA133" i="23"/>
  <c r="AM133" i="23"/>
  <c r="AR133" i="23"/>
  <c r="AE133" i="23"/>
  <c r="AI133" i="23"/>
  <c r="Q133" i="23"/>
  <c r="AH133" i="23"/>
  <c r="AJ133" i="23"/>
  <c r="AU133" i="23"/>
  <c r="E133" i="23"/>
  <c r="F133" i="23"/>
  <c r="D133" i="23"/>
  <c r="H133" i="23"/>
  <c r="G133" i="23"/>
  <c r="B134" i="23"/>
  <c r="AN134" i="23" l="1"/>
  <c r="T134" i="23"/>
  <c r="AC134" i="23"/>
  <c r="AS134" i="23"/>
  <c r="O134" i="23"/>
  <c r="S134" i="23"/>
  <c r="L134" i="23"/>
  <c r="X134" i="23"/>
  <c r="AG134" i="23"/>
  <c r="AF134" i="23"/>
  <c r="Y134" i="23"/>
  <c r="AK134" i="23"/>
  <c r="W134" i="23"/>
  <c r="Q134" i="23"/>
  <c r="AD134" i="23"/>
  <c r="U134" i="23"/>
  <c r="AT134" i="23"/>
  <c r="K134" i="23"/>
  <c r="AJ134" i="23"/>
  <c r="N134" i="23"/>
  <c r="R134" i="23"/>
  <c r="AE134" i="23"/>
  <c r="AQ134" i="23"/>
  <c r="P134" i="23"/>
  <c r="AO134" i="23"/>
  <c r="AB134" i="23"/>
  <c r="M134" i="23"/>
  <c r="I134" i="23"/>
  <c r="Z134" i="23"/>
  <c r="AH134" i="23"/>
  <c r="AL134" i="23"/>
  <c r="AR134" i="23"/>
  <c r="J134" i="23"/>
  <c r="V134" i="23"/>
  <c r="AP134" i="23"/>
  <c r="AA134" i="23"/>
  <c r="AI134" i="23"/>
  <c r="AU134" i="23"/>
  <c r="AM134" i="23"/>
  <c r="G134" i="23"/>
  <c r="E134" i="23"/>
  <c r="D134" i="23"/>
  <c r="F134" i="23"/>
  <c r="H134" i="23"/>
  <c r="B135" i="23"/>
  <c r="L135" i="23" l="1"/>
  <c r="P135" i="23"/>
  <c r="AG135" i="23"/>
  <c r="O135" i="23"/>
  <c r="W135" i="23"/>
  <c r="S135" i="23"/>
  <c r="AB135" i="23"/>
  <c r="AO135" i="23"/>
  <c r="Y135" i="23"/>
  <c r="I135" i="23"/>
  <c r="AN135" i="23"/>
  <c r="T135" i="23"/>
  <c r="AC135" i="23"/>
  <c r="AF135" i="23"/>
  <c r="AH135" i="23"/>
  <c r="AL135" i="23"/>
  <c r="AR135" i="23"/>
  <c r="AI135" i="23"/>
  <c r="AU135" i="23"/>
  <c r="X135" i="23"/>
  <c r="AS135" i="23"/>
  <c r="M135" i="23"/>
  <c r="Q135" i="23"/>
  <c r="AT135" i="23"/>
  <c r="K135" i="23"/>
  <c r="J135" i="23"/>
  <c r="N135" i="23"/>
  <c r="V135" i="23"/>
  <c r="AK135" i="23"/>
  <c r="AP135" i="23"/>
  <c r="R135" i="23"/>
  <c r="Z135" i="23"/>
  <c r="AJ135" i="23"/>
  <c r="U135" i="23"/>
  <c r="AA135" i="23"/>
  <c r="AE135" i="23"/>
  <c r="AD135" i="23"/>
  <c r="AM135" i="23"/>
  <c r="AQ135" i="23"/>
  <c r="D135" i="23"/>
  <c r="H135" i="23"/>
  <c r="F135" i="23"/>
  <c r="E135" i="23"/>
  <c r="G135" i="23"/>
  <c r="B136" i="23"/>
  <c r="T136" i="23" l="1"/>
  <c r="X136" i="23"/>
  <c r="AO136" i="23"/>
  <c r="O136" i="23"/>
  <c r="W136" i="23"/>
  <c r="S136" i="23"/>
  <c r="AB136" i="23"/>
  <c r="AN136" i="23"/>
  <c r="L136" i="23"/>
  <c r="AG136" i="23"/>
  <c r="AC136" i="23"/>
  <c r="AS136" i="23"/>
  <c r="AK136" i="23"/>
  <c r="Q136" i="23"/>
  <c r="P136" i="23"/>
  <c r="M136" i="23"/>
  <c r="AL136" i="23"/>
  <c r="AP136" i="23"/>
  <c r="AT136" i="23"/>
  <c r="AJ136" i="23"/>
  <c r="N136" i="23"/>
  <c r="R136" i="23"/>
  <c r="V136" i="23"/>
  <c r="AM136" i="23"/>
  <c r="AU136" i="23"/>
  <c r="AF136" i="23"/>
  <c r="I136" i="23"/>
  <c r="U136" i="23"/>
  <c r="AH136" i="23"/>
  <c r="AR136" i="23"/>
  <c r="Y136" i="23"/>
  <c r="K136" i="23"/>
  <c r="J136" i="23"/>
  <c r="AE136" i="23"/>
  <c r="AQ136" i="23"/>
  <c r="Z136" i="23"/>
  <c r="AD136" i="23"/>
  <c r="AA136" i="23"/>
  <c r="AI136" i="23"/>
  <c r="F136" i="23"/>
  <c r="E136" i="23"/>
  <c r="D136" i="23"/>
  <c r="H136" i="23"/>
  <c r="G136" i="23"/>
  <c r="B137" i="23"/>
  <c r="P137" i="23" l="1"/>
  <c r="AG137" i="23"/>
  <c r="AK137" i="23"/>
  <c r="AO137" i="23"/>
  <c r="O137" i="23"/>
  <c r="W137" i="23"/>
  <c r="AB137" i="23"/>
  <c r="T137" i="23"/>
  <c r="X137" i="23"/>
  <c r="L137" i="23"/>
  <c r="AC137" i="23"/>
  <c r="AS137" i="23"/>
  <c r="U137" i="23"/>
  <c r="AD137" i="23"/>
  <c r="K137" i="23"/>
  <c r="J137" i="23"/>
  <c r="N137" i="23"/>
  <c r="AA137" i="23"/>
  <c r="AE137" i="23"/>
  <c r="AU137" i="23"/>
  <c r="S137" i="23"/>
  <c r="AN137" i="23"/>
  <c r="AF137" i="23"/>
  <c r="Y137" i="23"/>
  <c r="Q137" i="23"/>
  <c r="Z137" i="23"/>
  <c r="AJ137" i="23"/>
  <c r="AR137" i="23"/>
  <c r="I137" i="23"/>
  <c r="M137" i="23"/>
  <c r="AH137" i="23"/>
  <c r="AL137" i="23"/>
  <c r="AP137" i="23"/>
  <c r="AT137" i="23"/>
  <c r="V137" i="23"/>
  <c r="AI137" i="23"/>
  <c r="AQ137" i="23"/>
  <c r="R137" i="23"/>
  <c r="AM137" i="23"/>
  <c r="D137" i="23"/>
  <c r="G137" i="23"/>
  <c r="F137" i="23"/>
  <c r="E137" i="23"/>
  <c r="H137" i="23"/>
  <c r="B138" i="23"/>
  <c r="AB138" i="23" l="1"/>
  <c r="P138" i="23"/>
  <c r="AC138" i="23"/>
  <c r="I138" i="23"/>
  <c r="AN138" i="23"/>
  <c r="L138" i="23"/>
  <c r="AG138" i="23"/>
  <c r="AF138" i="23"/>
  <c r="Y138" i="23"/>
  <c r="M138" i="23"/>
  <c r="T138" i="23"/>
  <c r="Z138" i="23"/>
  <c r="AH138" i="23"/>
  <c r="AL138" i="23"/>
  <c r="J138" i="23"/>
  <c r="AA138" i="23"/>
  <c r="AM138" i="23"/>
  <c r="X138" i="23"/>
  <c r="AS138" i="23"/>
  <c r="S138" i="23"/>
  <c r="AO138" i="23"/>
  <c r="AP138" i="23"/>
  <c r="AK138" i="23"/>
  <c r="O138" i="23"/>
  <c r="W138" i="23"/>
  <c r="Q138" i="23"/>
  <c r="AD138" i="23"/>
  <c r="AR138" i="23"/>
  <c r="AQ138" i="23"/>
  <c r="N138" i="23"/>
  <c r="R138" i="23"/>
  <c r="AT138" i="23"/>
  <c r="K138" i="23"/>
  <c r="AJ138" i="23"/>
  <c r="V138" i="23"/>
  <c r="U138" i="23"/>
  <c r="AE138" i="23"/>
  <c r="AI138" i="23"/>
  <c r="AU138" i="23"/>
  <c r="G138" i="23"/>
  <c r="D138" i="23"/>
  <c r="F138" i="23"/>
  <c r="H138" i="23"/>
  <c r="E138" i="23"/>
  <c r="B139" i="23"/>
  <c r="T139" i="23" l="1"/>
  <c r="X139" i="23"/>
  <c r="AO139" i="23"/>
  <c r="AS139" i="23"/>
  <c r="AB139" i="23"/>
  <c r="AN139" i="23"/>
  <c r="AC139" i="23"/>
  <c r="S139" i="23"/>
  <c r="O139" i="23"/>
  <c r="AG139" i="23"/>
  <c r="Y139" i="23"/>
  <c r="I139" i="23"/>
  <c r="M139" i="23"/>
  <c r="AK139" i="23"/>
  <c r="W139" i="23"/>
  <c r="AL139" i="23"/>
  <c r="AP139" i="23"/>
  <c r="AR139" i="23"/>
  <c r="R139" i="23"/>
  <c r="AA139" i="23"/>
  <c r="AQ139" i="23"/>
  <c r="AF139" i="23"/>
  <c r="U139" i="23"/>
  <c r="Z139" i="23"/>
  <c r="AD139" i="23"/>
  <c r="K139" i="23"/>
  <c r="AJ139" i="23"/>
  <c r="L139" i="23"/>
  <c r="P139" i="23"/>
  <c r="Q139" i="23"/>
  <c r="AT139" i="23"/>
  <c r="J139" i="23"/>
  <c r="N139" i="23"/>
  <c r="V139" i="23"/>
  <c r="AH139" i="23"/>
  <c r="AE139" i="23"/>
  <c r="AI139" i="23"/>
  <c r="AM139" i="23"/>
  <c r="AU139" i="23"/>
  <c r="D139" i="23"/>
  <c r="G139" i="23"/>
  <c r="H139" i="23"/>
  <c r="F139" i="23"/>
  <c r="E139" i="23"/>
  <c r="B140" i="23"/>
  <c r="P140" i="23" l="1"/>
  <c r="AC140" i="23"/>
  <c r="AK140" i="23"/>
  <c r="AB140" i="23"/>
  <c r="X140" i="23"/>
  <c r="AG140" i="23"/>
  <c r="O140" i="23"/>
  <c r="Y140" i="23"/>
  <c r="I140" i="23"/>
  <c r="AS140" i="23"/>
  <c r="AP140" i="23"/>
  <c r="AN140" i="23"/>
  <c r="AL140" i="23"/>
  <c r="K140" i="23"/>
  <c r="N140" i="23"/>
  <c r="L140" i="23"/>
  <c r="W140" i="23"/>
  <c r="M140" i="23"/>
  <c r="S140" i="23"/>
  <c r="T140" i="23"/>
  <c r="AO140" i="23"/>
  <c r="AF140" i="23"/>
  <c r="Q140" i="23"/>
  <c r="Z140" i="23"/>
  <c r="AH140" i="23"/>
  <c r="R140" i="23"/>
  <c r="U140" i="23"/>
  <c r="AR140" i="23"/>
  <c r="J140" i="23"/>
  <c r="AT140" i="23"/>
  <c r="AJ140" i="23"/>
  <c r="AA140" i="23"/>
  <c r="AE140" i="23"/>
  <c r="AD140" i="23"/>
  <c r="AM140" i="23"/>
  <c r="AQ140" i="23"/>
  <c r="AU140" i="23"/>
  <c r="AI140" i="23"/>
  <c r="V140" i="23"/>
  <c r="E140" i="23"/>
  <c r="G140" i="23"/>
  <c r="D140" i="23"/>
  <c r="F140" i="23"/>
  <c r="H140" i="23"/>
  <c r="B141" i="23"/>
  <c r="AN141" i="23" l="1"/>
  <c r="L141" i="23"/>
  <c r="AO141" i="23"/>
  <c r="S141" i="23"/>
  <c r="X141" i="23"/>
  <c r="AG141" i="23"/>
  <c r="AF141" i="23"/>
  <c r="Y141" i="23"/>
  <c r="AD141" i="23"/>
  <c r="AP141" i="23"/>
  <c r="AB141" i="23"/>
  <c r="AK141" i="23"/>
  <c r="W141" i="23"/>
  <c r="M141" i="23"/>
  <c r="AH141" i="23"/>
  <c r="AL141" i="23"/>
  <c r="AT141" i="23"/>
  <c r="J141" i="23"/>
  <c r="AI141" i="23"/>
  <c r="AM141" i="23"/>
  <c r="T141" i="23"/>
  <c r="AC141" i="23"/>
  <c r="AS141" i="23"/>
  <c r="O141" i="23"/>
  <c r="I141" i="23"/>
  <c r="Q141" i="23"/>
  <c r="U141" i="23"/>
  <c r="R141" i="23"/>
  <c r="P141" i="23"/>
  <c r="AJ141" i="23"/>
  <c r="AR141" i="23"/>
  <c r="N141" i="23"/>
  <c r="K141" i="23"/>
  <c r="AA141" i="23"/>
  <c r="Z141" i="23"/>
  <c r="V141" i="23"/>
  <c r="AE141" i="23"/>
  <c r="AQ141" i="23"/>
  <c r="AU141" i="23"/>
  <c r="E141" i="23"/>
  <c r="H141" i="23"/>
  <c r="G141" i="23"/>
  <c r="D141" i="23"/>
  <c r="F141" i="23"/>
  <c r="B142" i="23"/>
  <c r="S142" i="23" l="1"/>
  <c r="AN142" i="23"/>
  <c r="T142" i="23"/>
  <c r="X142" i="23"/>
  <c r="AC142" i="23"/>
  <c r="AG142" i="23"/>
  <c r="AO142" i="23"/>
  <c r="AS142" i="23"/>
  <c r="AF142" i="23"/>
  <c r="P142" i="23"/>
  <c r="AK142" i="23"/>
  <c r="O142" i="23"/>
  <c r="AL142" i="23"/>
  <c r="W142" i="23"/>
  <c r="Y142" i="23"/>
  <c r="AD142" i="23"/>
  <c r="AR142" i="23"/>
  <c r="V142" i="23"/>
  <c r="AU142" i="23"/>
  <c r="M142" i="23"/>
  <c r="L142" i="23"/>
  <c r="I142" i="23"/>
  <c r="Q142" i="23"/>
  <c r="AT142" i="23"/>
  <c r="K142" i="23"/>
  <c r="N142" i="23"/>
  <c r="R142" i="23"/>
  <c r="AB142" i="23"/>
  <c r="U142" i="23"/>
  <c r="AP142" i="23"/>
  <c r="AJ142" i="23"/>
  <c r="AE142" i="23"/>
  <c r="AI142" i="23"/>
  <c r="AM142" i="23"/>
  <c r="Z142" i="23"/>
  <c r="AH142" i="23"/>
  <c r="J142" i="23"/>
  <c r="AA142" i="23"/>
  <c r="AQ142" i="23"/>
  <c r="E142" i="23"/>
  <c r="D142" i="23"/>
  <c r="G142" i="23"/>
  <c r="F142" i="23"/>
  <c r="H142" i="23"/>
  <c r="B143" i="23"/>
  <c r="S143" i="23" l="1"/>
  <c r="AK143" i="23"/>
  <c r="AF143" i="23"/>
  <c r="AB143" i="23"/>
  <c r="P143" i="23"/>
  <c r="T143" i="23"/>
  <c r="AG143" i="23"/>
  <c r="X143" i="23"/>
  <c r="L143" i="23"/>
  <c r="AO143" i="23"/>
  <c r="O143" i="23"/>
  <c r="U143" i="23"/>
  <c r="AD143" i="23"/>
  <c r="Y143" i="23"/>
  <c r="Q143" i="23"/>
  <c r="AT143" i="23"/>
  <c r="AR143" i="23"/>
  <c r="J143" i="23"/>
  <c r="N143" i="23"/>
  <c r="V143" i="23"/>
  <c r="AA143" i="23"/>
  <c r="AN143" i="23"/>
  <c r="AS143" i="23"/>
  <c r="I143" i="23"/>
  <c r="M143" i="23"/>
  <c r="AH143" i="23"/>
  <c r="K143" i="23"/>
  <c r="AC143" i="23"/>
  <c r="W143" i="23"/>
  <c r="Z143" i="23"/>
  <c r="R143" i="23"/>
  <c r="AI143" i="23"/>
  <c r="AL143" i="23"/>
  <c r="AP143" i="23"/>
  <c r="AM143" i="23"/>
  <c r="AQ143" i="23"/>
  <c r="AU143" i="23"/>
  <c r="AJ143" i="23"/>
  <c r="AE143" i="23"/>
  <c r="E143" i="23"/>
  <c r="D143" i="23"/>
  <c r="G143" i="23"/>
  <c r="H143" i="23"/>
  <c r="F143" i="23"/>
  <c r="B144" i="23"/>
  <c r="S144" i="23" l="1"/>
  <c r="AB144" i="23"/>
  <c r="AN144" i="23"/>
  <c r="L144" i="23"/>
  <c r="AG144" i="23"/>
  <c r="W144" i="23"/>
  <c r="Y144" i="23"/>
  <c r="T144" i="23"/>
  <c r="X144" i="23"/>
  <c r="AO144" i="23"/>
  <c r="AF144" i="23"/>
  <c r="AC144" i="23"/>
  <c r="I144" i="23"/>
  <c r="M144" i="23"/>
  <c r="AD144" i="23"/>
  <c r="AL144" i="23"/>
  <c r="U144" i="23"/>
  <c r="AR144" i="23"/>
  <c r="N144" i="23"/>
  <c r="R144" i="23"/>
  <c r="P144" i="23"/>
  <c r="Z144" i="23"/>
  <c r="AJ144" i="23"/>
  <c r="AK144" i="23"/>
  <c r="AS144" i="23"/>
  <c r="O144" i="23"/>
  <c r="Q144" i="23"/>
  <c r="AH144" i="23"/>
  <c r="AP144" i="23"/>
  <c r="AT144" i="23"/>
  <c r="J144" i="23"/>
  <c r="AA144" i="23"/>
  <c r="K144" i="23"/>
  <c r="AE144" i="23"/>
  <c r="AQ144" i="23"/>
  <c r="AU144" i="23"/>
  <c r="V144" i="23"/>
  <c r="AI144" i="23"/>
  <c r="AM144" i="23"/>
  <c r="G144" i="23"/>
  <c r="D144" i="23"/>
  <c r="E144" i="23"/>
  <c r="F144" i="23"/>
  <c r="H144" i="23"/>
  <c r="B145" i="23"/>
  <c r="AB145" i="23" l="1"/>
  <c r="T145" i="23"/>
  <c r="AS145" i="23"/>
  <c r="P145" i="23"/>
  <c r="S145" i="23"/>
  <c r="W145" i="23"/>
  <c r="X145" i="23"/>
  <c r="AC145" i="23"/>
  <c r="AF145" i="23"/>
  <c r="Q145" i="23"/>
  <c r="U145" i="23"/>
  <c r="Z145" i="23"/>
  <c r="AH145" i="23"/>
  <c r="AL145" i="23"/>
  <c r="L145" i="23"/>
  <c r="AG145" i="23"/>
  <c r="AJ145" i="23"/>
  <c r="AR145" i="23"/>
  <c r="N145" i="23"/>
  <c r="AO145" i="23"/>
  <c r="Y145" i="23"/>
  <c r="AK145" i="23"/>
  <c r="M145" i="23"/>
  <c r="AP145" i="23"/>
  <c r="K145" i="23"/>
  <c r="J145" i="23"/>
  <c r="AN145" i="23"/>
  <c r="O145" i="23"/>
  <c r="I145" i="23"/>
  <c r="AD145" i="23"/>
  <c r="R145" i="23"/>
  <c r="AQ145" i="23"/>
  <c r="AU145" i="23"/>
  <c r="V145" i="23"/>
  <c r="AA145" i="23"/>
  <c r="AM145" i="23"/>
  <c r="AT145" i="23"/>
  <c r="AE145" i="23"/>
  <c r="AI145" i="23"/>
  <c r="F145" i="23"/>
  <c r="H145" i="23"/>
  <c r="G145" i="23"/>
  <c r="E145" i="23"/>
  <c r="D145" i="23"/>
  <c r="B146" i="23"/>
  <c r="AK146" i="23" l="1"/>
  <c r="W146" i="23"/>
  <c r="AB146" i="23"/>
  <c r="AC146" i="23"/>
  <c r="AG146" i="23"/>
  <c r="T146" i="23"/>
  <c r="X146" i="23"/>
  <c r="Y146" i="23"/>
  <c r="I146" i="23"/>
  <c r="O146" i="23"/>
  <c r="Z146" i="23"/>
  <c r="AH146" i="23"/>
  <c r="AP146" i="23"/>
  <c r="AN146" i="23"/>
  <c r="AF146" i="23"/>
  <c r="M146" i="23"/>
  <c r="AI146" i="23"/>
  <c r="AS146" i="23"/>
  <c r="L146" i="23"/>
  <c r="P146" i="23"/>
  <c r="AO146" i="23"/>
  <c r="U146" i="23"/>
  <c r="AJ146" i="23"/>
  <c r="AR146" i="23"/>
  <c r="J146" i="23"/>
  <c r="S146" i="23"/>
  <c r="Q146" i="23"/>
  <c r="AT146" i="23"/>
  <c r="K146" i="23"/>
  <c r="N146" i="23"/>
  <c r="R146" i="23"/>
  <c r="AA146" i="23"/>
  <c r="AU146" i="23"/>
  <c r="AE146" i="23"/>
  <c r="AM146" i="23"/>
  <c r="AQ146" i="23"/>
  <c r="AD146" i="23"/>
  <c r="AL146" i="23"/>
  <c r="V146" i="23"/>
  <c r="F146" i="23"/>
  <c r="E146" i="23"/>
  <c r="D146" i="23"/>
  <c r="H146" i="23"/>
  <c r="G146" i="23"/>
  <c r="B147" i="23"/>
  <c r="AG147" i="23" l="1"/>
  <c r="W147" i="23"/>
  <c r="Y147" i="23"/>
  <c r="L147" i="23"/>
  <c r="X147" i="23"/>
  <c r="AC147" i="23"/>
  <c r="S147" i="23"/>
  <c r="AK147" i="23"/>
  <c r="AS147" i="23"/>
  <c r="O147" i="23"/>
  <c r="P147" i="23"/>
  <c r="AF147" i="23"/>
  <c r="M147" i="23"/>
  <c r="Q147" i="23"/>
  <c r="Z147" i="23"/>
  <c r="AP147" i="23"/>
  <c r="K147" i="23"/>
  <c r="AE147" i="23"/>
  <c r="AB147" i="23"/>
  <c r="T147" i="23"/>
  <c r="AO147" i="23"/>
  <c r="AL147" i="23"/>
  <c r="AJ147" i="23"/>
  <c r="R147" i="23"/>
  <c r="AN147" i="23"/>
  <c r="I147" i="23"/>
  <c r="U147" i="23"/>
  <c r="AD147" i="23"/>
  <c r="AH147" i="23"/>
  <c r="J147" i="23"/>
  <c r="V147" i="23"/>
  <c r="AM147" i="23"/>
  <c r="N147" i="23"/>
  <c r="AT147" i="23"/>
  <c r="AR147" i="23"/>
  <c r="AA147" i="23"/>
  <c r="AQ147" i="23"/>
  <c r="AU147" i="23"/>
  <c r="AI147" i="23"/>
  <c r="D147" i="23"/>
  <c r="F147" i="23"/>
  <c r="G147" i="23"/>
  <c r="E147" i="23"/>
  <c r="H147" i="23"/>
  <c r="B148" i="23"/>
  <c r="AN148" i="23" l="1"/>
  <c r="L148" i="23"/>
  <c r="X148" i="23"/>
  <c r="AS148" i="23"/>
  <c r="AF148" i="23"/>
  <c r="AC148" i="23"/>
  <c r="P148" i="23"/>
  <c r="W148" i="23"/>
  <c r="S148" i="23"/>
  <c r="AG148" i="23"/>
  <c r="AO148" i="23"/>
  <c r="O148" i="23"/>
  <c r="Y148" i="23"/>
  <c r="U148" i="23"/>
  <c r="AD148" i="23"/>
  <c r="AH148" i="23"/>
  <c r="AB148" i="23"/>
  <c r="AK148" i="23"/>
  <c r="Q148" i="23"/>
  <c r="Z148" i="23"/>
  <c r="R148" i="23"/>
  <c r="AM148" i="23"/>
  <c r="I148" i="23"/>
  <c r="M148" i="23"/>
  <c r="N148" i="23"/>
  <c r="T148" i="23"/>
  <c r="K148" i="23"/>
  <c r="AJ148" i="23"/>
  <c r="AL148" i="23"/>
  <c r="AP148" i="23"/>
  <c r="AT148" i="23"/>
  <c r="V148" i="23"/>
  <c r="AR148" i="23"/>
  <c r="J148" i="23"/>
  <c r="AA148" i="23"/>
  <c r="AE148" i="23"/>
  <c r="AU148" i="23"/>
  <c r="AI148" i="23"/>
  <c r="AQ148" i="23"/>
  <c r="F148" i="23"/>
  <c r="G148" i="23"/>
  <c r="D148" i="23"/>
  <c r="E148" i="23"/>
  <c r="H148" i="23"/>
  <c r="B149" i="23"/>
  <c r="S149" i="23" l="1"/>
  <c r="X149" i="23"/>
  <c r="AS149" i="23"/>
  <c r="AF149" i="23"/>
  <c r="AN149" i="23"/>
  <c r="L149" i="23"/>
  <c r="P149" i="23"/>
  <c r="T149" i="23"/>
  <c r="AG149" i="23"/>
  <c r="AK149" i="23"/>
  <c r="I149" i="23"/>
  <c r="AO149" i="23"/>
  <c r="O149" i="23"/>
  <c r="W149" i="23"/>
  <c r="U149" i="23"/>
  <c r="Z149" i="23"/>
  <c r="AD149" i="23"/>
  <c r="AP149" i="23"/>
  <c r="V149" i="23"/>
  <c r="AA149" i="23"/>
  <c r="AM149" i="23"/>
  <c r="AU149" i="23"/>
  <c r="AB149" i="23"/>
  <c r="AC149" i="23"/>
  <c r="Y149" i="23"/>
  <c r="AL149" i="23"/>
  <c r="AT149" i="23"/>
  <c r="M149" i="23"/>
  <c r="AH149" i="23"/>
  <c r="K149" i="23"/>
  <c r="R149" i="23"/>
  <c r="AI149" i="23"/>
  <c r="Q149" i="23"/>
  <c r="AR149" i="23"/>
  <c r="J149" i="23"/>
  <c r="AQ149" i="23"/>
  <c r="AJ149" i="23"/>
  <c r="N149" i="23"/>
  <c r="AE149" i="23"/>
  <c r="F149" i="23"/>
  <c r="G149" i="23"/>
  <c r="E149" i="23"/>
  <c r="H149" i="23"/>
  <c r="D149" i="23"/>
  <c r="B150" i="23"/>
  <c r="AB150" i="23" l="1"/>
  <c r="P150" i="23"/>
  <c r="AC150" i="23"/>
  <c r="AK150" i="23"/>
  <c r="O150" i="23"/>
  <c r="Y150" i="23"/>
  <c r="S150" i="23"/>
  <c r="AN150" i="23"/>
  <c r="AG150" i="23"/>
  <c r="L150" i="23"/>
  <c r="X150" i="23"/>
  <c r="AO150" i="23"/>
  <c r="W150" i="23"/>
  <c r="AS150" i="23"/>
  <c r="I150" i="23"/>
  <c r="M150" i="23"/>
  <c r="T150" i="23"/>
  <c r="Q150" i="23"/>
  <c r="U150" i="23"/>
  <c r="K150" i="23"/>
  <c r="AE150" i="23"/>
  <c r="AQ150" i="23"/>
  <c r="AD150" i="23"/>
  <c r="AT150" i="23"/>
  <c r="AJ150" i="23"/>
  <c r="AR150" i="23"/>
  <c r="J150" i="23"/>
  <c r="AF150" i="23"/>
  <c r="Z150" i="23"/>
  <c r="AH150" i="23"/>
  <c r="AP150" i="23"/>
  <c r="N150" i="23"/>
  <c r="V150" i="23"/>
  <c r="AL150" i="23"/>
  <c r="R150" i="23"/>
  <c r="AA150" i="23"/>
  <c r="AU150" i="23"/>
  <c r="AM150" i="23"/>
  <c r="AI150" i="23"/>
  <c r="G150" i="23"/>
  <c r="H150" i="23"/>
  <c r="F150" i="23"/>
  <c r="D150" i="23"/>
  <c r="E150" i="23"/>
  <c r="B151" i="23"/>
  <c r="P151" i="23" l="1"/>
  <c r="AG151" i="23"/>
  <c r="O151" i="23"/>
  <c r="AN151" i="23"/>
  <c r="L151" i="23"/>
  <c r="T151" i="23"/>
  <c r="AC151" i="23"/>
  <c r="AO151" i="23"/>
  <c r="AF151" i="23"/>
  <c r="I151" i="23"/>
  <c r="S151" i="23"/>
  <c r="X151" i="23"/>
  <c r="AK151" i="23"/>
  <c r="AS151" i="23"/>
  <c r="Y151" i="23"/>
  <c r="Q151" i="23"/>
  <c r="AH151" i="23"/>
  <c r="AL151" i="23"/>
  <c r="AB151" i="23"/>
  <c r="Z151" i="23"/>
  <c r="AD151" i="23"/>
  <c r="W151" i="23"/>
  <c r="U151" i="23"/>
  <c r="AP151" i="23"/>
  <c r="AT151" i="23"/>
  <c r="J151" i="23"/>
  <c r="N151" i="23"/>
  <c r="V151" i="23"/>
  <c r="M151" i="23"/>
  <c r="K151" i="23"/>
  <c r="AJ151" i="23"/>
  <c r="R151" i="23"/>
  <c r="AE151" i="23"/>
  <c r="AM151" i="23"/>
  <c r="AQ151" i="23"/>
  <c r="AR151" i="23"/>
  <c r="AA151" i="23"/>
  <c r="AU151" i="23"/>
  <c r="AI151" i="23"/>
  <c r="E151" i="23"/>
  <c r="H151" i="23"/>
  <c r="D151" i="23"/>
  <c r="F151" i="23"/>
  <c r="G151" i="23"/>
  <c r="B152" i="23"/>
  <c r="T152" i="23" l="1"/>
  <c r="AO152" i="23"/>
  <c r="L152" i="23"/>
  <c r="X152" i="23"/>
  <c r="AG152" i="23"/>
  <c r="AK152" i="23"/>
  <c r="AN152" i="23"/>
  <c r="P152" i="23"/>
  <c r="W152" i="23"/>
  <c r="Q152" i="23"/>
  <c r="AS152" i="23"/>
  <c r="AF152" i="23"/>
  <c r="Y152" i="23"/>
  <c r="AD152" i="23"/>
  <c r="K152" i="23"/>
  <c r="AJ152" i="23"/>
  <c r="N152" i="23"/>
  <c r="V152" i="23"/>
  <c r="AB152" i="23"/>
  <c r="O152" i="23"/>
  <c r="Z152" i="23"/>
  <c r="AH152" i="23"/>
  <c r="AL152" i="23"/>
  <c r="AT152" i="23"/>
  <c r="J152" i="23"/>
  <c r="S152" i="23"/>
  <c r="AC152" i="23"/>
  <c r="I152" i="23"/>
  <c r="M152" i="23"/>
  <c r="AP152" i="23"/>
  <c r="AR152" i="23"/>
  <c r="AQ152" i="23"/>
  <c r="U152" i="23"/>
  <c r="AE152" i="23"/>
  <c r="AI152" i="23"/>
  <c r="R152" i="23"/>
  <c r="AA152" i="23"/>
  <c r="AM152" i="23"/>
  <c r="AU152" i="23"/>
  <c r="D152" i="23"/>
  <c r="F152" i="23"/>
  <c r="H152" i="23"/>
  <c r="E152" i="23"/>
  <c r="G152" i="23"/>
  <c r="B153" i="23"/>
  <c r="P153" i="23" l="1"/>
  <c r="W153" i="23"/>
  <c r="S153" i="23"/>
  <c r="AB153" i="23"/>
  <c r="T153" i="23"/>
  <c r="AN153" i="23"/>
  <c r="AG153" i="23"/>
  <c r="AK153" i="23"/>
  <c r="I153" i="23"/>
  <c r="AL153" i="23"/>
  <c r="AC153" i="23"/>
  <c r="O153" i="23"/>
  <c r="M153" i="23"/>
  <c r="Q153" i="23"/>
  <c r="K153" i="23"/>
  <c r="AI153" i="23"/>
  <c r="L153" i="23"/>
  <c r="AO153" i="23"/>
  <c r="X153" i="23"/>
  <c r="Z153" i="23"/>
  <c r="AH153" i="23"/>
  <c r="AJ153" i="23"/>
  <c r="AR153" i="23"/>
  <c r="J153" i="23"/>
  <c r="N153" i="23"/>
  <c r="AS153" i="23"/>
  <c r="AF153" i="23"/>
  <c r="Y153" i="23"/>
  <c r="U153" i="23"/>
  <c r="AT153" i="23"/>
  <c r="R153" i="23"/>
  <c r="AD153" i="23"/>
  <c r="V153" i="23"/>
  <c r="AU153" i="23"/>
  <c r="AA153" i="23"/>
  <c r="AE153" i="23"/>
  <c r="AP153" i="23"/>
  <c r="AM153" i="23"/>
  <c r="AQ153" i="23"/>
  <c r="D153" i="23"/>
  <c r="E153" i="23"/>
  <c r="H153" i="23"/>
  <c r="G153" i="23"/>
  <c r="F153" i="23"/>
  <c r="B154" i="23"/>
  <c r="X154" i="23" l="1"/>
  <c r="AB154" i="23"/>
  <c r="AN154" i="23"/>
  <c r="P154" i="23"/>
  <c r="S154" i="23"/>
  <c r="AF154" i="23"/>
  <c r="I154" i="23"/>
  <c r="L154" i="23"/>
  <c r="T154" i="23"/>
  <c r="AC154" i="23"/>
  <c r="AK154" i="23"/>
  <c r="W154" i="23"/>
  <c r="Q154" i="23"/>
  <c r="AL154" i="23"/>
  <c r="AP154" i="23"/>
  <c r="AO154" i="23"/>
  <c r="AS154" i="23"/>
  <c r="O154" i="23"/>
  <c r="M154" i="23"/>
  <c r="Z154" i="23"/>
  <c r="AJ154" i="23"/>
  <c r="AR154" i="23"/>
  <c r="AA154" i="23"/>
  <c r="AM154" i="23"/>
  <c r="AG154" i="23"/>
  <c r="Y154" i="23"/>
  <c r="AH154" i="23"/>
  <c r="AT154" i="23"/>
  <c r="J154" i="23"/>
  <c r="R154" i="23"/>
  <c r="U154" i="23"/>
  <c r="AD154" i="23"/>
  <c r="N154" i="23"/>
  <c r="V154" i="23"/>
  <c r="AE154" i="23"/>
  <c r="AI154" i="23"/>
  <c r="AU154" i="23"/>
  <c r="K154" i="23"/>
  <c r="AQ154" i="23"/>
  <c r="E154" i="23"/>
  <c r="G154" i="23"/>
  <c r="F154" i="23"/>
  <c r="D154" i="23"/>
  <c r="H154" i="23"/>
  <c r="B155" i="23"/>
  <c r="B156" i="23" s="1"/>
  <c r="B157" i="23" l="1"/>
  <c r="O156" i="23"/>
  <c r="AG156" i="23"/>
  <c r="K156" i="23"/>
  <c r="AR156" i="23"/>
  <c r="R156" i="23"/>
  <c r="AK156" i="23"/>
  <c r="Z156" i="23"/>
  <c r="AD156" i="23"/>
  <c r="AP156" i="23"/>
  <c r="AE156" i="23"/>
  <c r="J156" i="23"/>
  <c r="T156" i="23"/>
  <c r="AN156" i="23"/>
  <c r="M156" i="23"/>
  <c r="N156" i="23"/>
  <c r="AU156" i="23"/>
  <c r="AF156" i="23"/>
  <c r="Q156" i="23"/>
  <c r="S156" i="23"/>
  <c r="P156" i="23"/>
  <c r="L156" i="23"/>
  <c r="AS156" i="23"/>
  <c r="AI156" i="23"/>
  <c r="AL156" i="23"/>
  <c r="AA156" i="23"/>
  <c r="AM156" i="23"/>
  <c r="I156" i="23"/>
  <c r="W156" i="23"/>
  <c r="Y156" i="23"/>
  <c r="AQ156" i="23"/>
  <c r="AJ156" i="23"/>
  <c r="AH156" i="23"/>
  <c r="AC156" i="23"/>
  <c r="X156" i="23"/>
  <c r="U156" i="23"/>
  <c r="AO156" i="23"/>
  <c r="V156" i="23"/>
  <c r="AB156" i="23"/>
  <c r="AT156" i="23"/>
  <c r="F156" i="23"/>
  <c r="H156" i="23"/>
  <c r="G156" i="23"/>
  <c r="D156" i="23"/>
  <c r="E156" i="23"/>
  <c r="AB155" i="23"/>
  <c r="P155" i="23"/>
  <c r="X155" i="23"/>
  <c r="AC155" i="23"/>
  <c r="AG155" i="23"/>
  <c r="AN155" i="23"/>
  <c r="W155" i="23"/>
  <c r="L155" i="23"/>
  <c r="AK155" i="23"/>
  <c r="AO155" i="23"/>
  <c r="I155" i="23"/>
  <c r="S155" i="23"/>
  <c r="Y155" i="23"/>
  <c r="M155" i="23"/>
  <c r="U155" i="23"/>
  <c r="AH155" i="23"/>
  <c r="AJ155" i="23"/>
  <c r="R155" i="23"/>
  <c r="AE155" i="23"/>
  <c r="AM155" i="23"/>
  <c r="O155" i="23"/>
  <c r="AR155" i="23"/>
  <c r="T155" i="23"/>
  <c r="AS155" i="23"/>
  <c r="AF155" i="23"/>
  <c r="AL155" i="23"/>
  <c r="AP155" i="23"/>
  <c r="AT155" i="23"/>
  <c r="J155" i="23"/>
  <c r="N155" i="23"/>
  <c r="V155" i="23"/>
  <c r="AD155" i="23"/>
  <c r="K155" i="23"/>
  <c r="Z155" i="23"/>
  <c r="AA155" i="23"/>
  <c r="AI155" i="23"/>
  <c r="Q155" i="23"/>
  <c r="AQ155" i="23"/>
  <c r="AU155" i="23"/>
  <c r="E155" i="23"/>
  <c r="H155" i="23"/>
  <c r="G155" i="23"/>
  <c r="D155" i="23"/>
  <c r="F155" i="23"/>
  <c r="B158" i="23" l="1"/>
  <c r="L158" i="23" s="1"/>
  <c r="E157" i="23"/>
  <c r="D157" i="23"/>
  <c r="S158" i="23"/>
  <c r="AN158" i="23"/>
  <c r="Y158" i="23"/>
  <c r="X158" i="23"/>
  <c r="AS158" i="23"/>
  <c r="O158" i="23"/>
  <c r="T158" i="23"/>
  <c r="AC158" i="23"/>
  <c r="U158" i="23"/>
  <c r="AH158" i="23"/>
  <c r="R158" i="23"/>
  <c r="AQ158" i="23"/>
  <c r="AD158" i="23"/>
  <c r="AP158" i="23"/>
  <c r="M158" i="23"/>
  <c r="Z158" i="23"/>
  <c r="J158" i="23"/>
  <c r="AM158" i="23"/>
  <c r="AI158" i="23"/>
  <c r="AE158" i="23"/>
  <c r="G158" i="23"/>
  <c r="F158" i="23"/>
  <c r="L157" i="23"/>
  <c r="T157" i="23"/>
  <c r="AC157" i="23"/>
  <c r="AK157" i="23"/>
  <c r="S157" i="23"/>
  <c r="AB157" i="23"/>
  <c r="X157" i="23"/>
  <c r="AS157" i="23"/>
  <c r="AF157" i="23"/>
  <c r="I157" i="23"/>
  <c r="Z157" i="23"/>
  <c r="AP157" i="23"/>
  <c r="AN157" i="23"/>
  <c r="O157" i="23"/>
  <c r="M157" i="23"/>
  <c r="AA157" i="23"/>
  <c r="AE157" i="23"/>
  <c r="AQ157" i="23"/>
  <c r="AG157" i="23"/>
  <c r="W157" i="23"/>
  <c r="Y157" i="23"/>
  <c r="P157" i="23"/>
  <c r="U157" i="23"/>
  <c r="AT157" i="23"/>
  <c r="J157" i="23"/>
  <c r="R157" i="23"/>
  <c r="AO157" i="23"/>
  <c r="AH157" i="23"/>
  <c r="AM157" i="23"/>
  <c r="Q157" i="23"/>
  <c r="AJ157" i="23"/>
  <c r="N157" i="23"/>
  <c r="V157" i="23"/>
  <c r="AL157" i="23"/>
  <c r="AR157" i="23"/>
  <c r="AD157" i="23"/>
  <c r="K157" i="23"/>
  <c r="AI157" i="23"/>
  <c r="AU157" i="23"/>
  <c r="G157" i="23"/>
  <c r="H157" i="23"/>
  <c r="F157" i="23"/>
  <c r="H158" i="23" l="1"/>
  <c r="V158" i="23"/>
  <c r="AR158" i="23"/>
  <c r="AK158" i="23"/>
  <c r="Q158" i="23"/>
  <c r="N158" i="23"/>
  <c r="I158" i="23"/>
  <c r="P158" i="23"/>
  <c r="AO158" i="23"/>
  <c r="AG158" i="23"/>
  <c r="AA158" i="23"/>
  <c r="AL158" i="23"/>
  <c r="AJ158" i="23"/>
  <c r="K158" i="23"/>
  <c r="AU158" i="23"/>
  <c r="AT158" i="23"/>
  <c r="AF158" i="23"/>
  <c r="W158" i="23"/>
  <c r="AB158" i="23"/>
  <c r="B159" i="23"/>
  <c r="V159" i="23" s="1"/>
  <c r="D158" i="23"/>
  <c r="E158" i="23"/>
  <c r="AB159" i="23"/>
  <c r="X159" i="23"/>
  <c r="M159" i="23"/>
  <c r="T159" i="23"/>
  <c r="AS159" i="23"/>
  <c r="AL159" i="23"/>
  <c r="N159" i="23"/>
  <c r="Z159" i="23"/>
  <c r="AA159" i="23"/>
  <c r="AI159" i="23"/>
  <c r="F159" i="23"/>
  <c r="B160" i="23" l="1"/>
  <c r="D159" i="23"/>
  <c r="E159" i="23"/>
  <c r="AE159" i="23"/>
  <c r="J159" i="23"/>
  <c r="AD159" i="23"/>
  <c r="L159" i="23"/>
  <c r="AF159" i="23"/>
  <c r="H159" i="23"/>
  <c r="AT159" i="23"/>
  <c r="W159" i="23"/>
  <c r="P159" i="23"/>
  <c r="AH159" i="23"/>
  <c r="AK159" i="23"/>
  <c r="AG159" i="23"/>
  <c r="G159" i="23"/>
  <c r="AR159" i="23"/>
  <c r="AO159" i="23"/>
  <c r="I159" i="23"/>
  <c r="S159" i="23"/>
  <c r="AJ159" i="23"/>
  <c r="R159" i="23"/>
  <c r="K159" i="23"/>
  <c r="AM159" i="23"/>
  <c r="Q159" i="23"/>
  <c r="AQ159" i="23"/>
  <c r="Y159" i="23"/>
  <c r="AP159" i="23"/>
  <c r="O159" i="23"/>
  <c r="AU159" i="23"/>
  <c r="U159" i="23"/>
  <c r="AC159" i="23"/>
  <c r="AN159" i="23"/>
  <c r="AB160" i="23"/>
  <c r="L160" i="23"/>
  <c r="P160" i="23"/>
  <c r="T160" i="23"/>
  <c r="AO160" i="23"/>
  <c r="AS160" i="23"/>
  <c r="O160" i="23"/>
  <c r="X160" i="23"/>
  <c r="AG160" i="23"/>
  <c r="AF160" i="23"/>
  <c r="Q160" i="23"/>
  <c r="U160" i="23"/>
  <c r="AD160" i="23"/>
  <c r="W160" i="23"/>
  <c r="I160" i="23"/>
  <c r="M160" i="23"/>
  <c r="AL160" i="23"/>
  <c r="AP160" i="23"/>
  <c r="AT160" i="23"/>
  <c r="K160" i="23"/>
  <c r="J160" i="23"/>
  <c r="N160" i="23"/>
  <c r="V160" i="23"/>
  <c r="AN160" i="23"/>
  <c r="AC160" i="23"/>
  <c r="Y160" i="23"/>
  <c r="S160" i="23"/>
  <c r="AK160" i="23"/>
  <c r="Z160" i="23"/>
  <c r="AA160" i="23"/>
  <c r="AQ160" i="23"/>
  <c r="AH160" i="23"/>
  <c r="AJ160" i="23"/>
  <c r="AM160" i="23"/>
  <c r="R160" i="23"/>
  <c r="AU160" i="23"/>
  <c r="AR160" i="23"/>
  <c r="AE160" i="23"/>
  <c r="AI160" i="23"/>
  <c r="G160" i="23"/>
  <c r="F160" i="23"/>
  <c r="H160" i="23"/>
  <c r="B161" i="23" l="1"/>
  <c r="D160" i="23"/>
  <c r="E160" i="23"/>
  <c r="T161" i="23"/>
  <c r="AG161" i="23"/>
  <c r="W161" i="23"/>
  <c r="Y161" i="23"/>
  <c r="L161" i="23"/>
  <c r="S161" i="23"/>
  <c r="AB161" i="23"/>
  <c r="P161" i="23"/>
  <c r="X161" i="23"/>
  <c r="AK161" i="23"/>
  <c r="AS161" i="23"/>
  <c r="AF161" i="23"/>
  <c r="I161" i="23"/>
  <c r="M161" i="23"/>
  <c r="Z161" i="23"/>
  <c r="AC161" i="23"/>
  <c r="AO161" i="23"/>
  <c r="AH161" i="23"/>
  <c r="AL161" i="23"/>
  <c r="AP161" i="23"/>
  <c r="AJ161" i="23"/>
  <c r="J161" i="23"/>
  <c r="AQ161" i="23"/>
  <c r="O161" i="23"/>
  <c r="AN161" i="23"/>
  <c r="Q161" i="23"/>
  <c r="U161" i="23"/>
  <c r="AD161" i="23"/>
  <c r="AR161" i="23"/>
  <c r="R161" i="23"/>
  <c r="AU161" i="23"/>
  <c r="K161" i="23"/>
  <c r="AE161" i="23"/>
  <c r="AI161" i="23"/>
  <c r="AT161" i="23"/>
  <c r="N161" i="23"/>
  <c r="V161" i="23"/>
  <c r="AA161" i="23"/>
  <c r="AM161" i="23"/>
  <c r="F161" i="23"/>
  <c r="H161" i="23"/>
  <c r="G161" i="23"/>
  <c r="B162" i="23" l="1"/>
  <c r="E161" i="23"/>
  <c r="D161" i="23"/>
  <c r="AB162" i="23"/>
  <c r="T162" i="23"/>
  <c r="AG162" i="23"/>
  <c r="AK162" i="23"/>
  <c r="AO162" i="23"/>
  <c r="AS162" i="23"/>
  <c r="S162" i="23"/>
  <c r="P162" i="23"/>
  <c r="L162" i="23"/>
  <c r="AC162" i="23"/>
  <c r="AF162" i="23"/>
  <c r="AN162" i="23"/>
  <c r="O162" i="23"/>
  <c r="W162" i="23"/>
  <c r="AL162" i="23"/>
  <c r="AP162" i="23"/>
  <c r="I162" i="23"/>
  <c r="Z162" i="23"/>
  <c r="AH162" i="23"/>
  <c r="AT162" i="23"/>
  <c r="K162" i="23"/>
  <c r="AJ162" i="23"/>
  <c r="AR162" i="23"/>
  <c r="J162" i="23"/>
  <c r="V162" i="23"/>
  <c r="AI162" i="23"/>
  <c r="Y162" i="23"/>
  <c r="M162" i="23"/>
  <c r="Q162" i="23"/>
  <c r="R162" i="23"/>
  <c r="X162" i="23"/>
  <c r="AD162" i="23"/>
  <c r="N162" i="23"/>
  <c r="AE162" i="23"/>
  <c r="AM162" i="23"/>
  <c r="AQ162" i="23"/>
  <c r="U162" i="23"/>
  <c r="AA162" i="23"/>
  <c r="AU162" i="23"/>
  <c r="G162" i="23"/>
  <c r="H162" i="23"/>
  <c r="F162" i="23"/>
  <c r="B163" i="23" l="1"/>
  <c r="B164" i="23" s="1"/>
  <c r="B165" i="23" s="1"/>
  <c r="B166" i="23" s="1"/>
  <c r="B167" i="23" s="1"/>
  <c r="B168" i="23" s="1"/>
  <c r="B169" i="23" s="1"/>
  <c r="B170" i="23" s="1"/>
  <c r="B171" i="23" s="1"/>
  <c r="B172" i="23" s="1"/>
  <c r="B173" i="23" s="1"/>
  <c r="B174" i="23" s="1"/>
  <c r="B175" i="23" s="1"/>
  <c r="D162" i="23"/>
  <c r="E162" i="23"/>
  <c r="AO163" i="23"/>
  <c r="W163" i="23"/>
  <c r="AF163" i="23"/>
  <c r="AB163" i="23"/>
  <c r="AN163" i="23"/>
  <c r="X163" i="23"/>
  <c r="AC163" i="23"/>
  <c r="T163" i="23"/>
  <c r="O163" i="23"/>
  <c r="S163" i="23"/>
  <c r="AS163" i="23"/>
  <c r="AH163" i="23"/>
  <c r="AD163" i="23"/>
  <c r="AR163" i="23"/>
  <c r="V163" i="23"/>
  <c r="AI163" i="23"/>
  <c r="L163" i="23"/>
  <c r="I163" i="23"/>
  <c r="M163" i="23"/>
  <c r="AG163" i="23"/>
  <c r="AK163" i="23"/>
  <c r="Q163" i="23"/>
  <c r="U163" i="23"/>
  <c r="AT163" i="23"/>
  <c r="N163" i="23"/>
  <c r="P163" i="23"/>
  <c r="Y163" i="23"/>
  <c r="Z163" i="23"/>
  <c r="AL163" i="23"/>
  <c r="K163" i="23"/>
  <c r="AJ163" i="23"/>
  <c r="J163" i="23"/>
  <c r="AE163" i="23"/>
  <c r="AM163" i="23"/>
  <c r="R163" i="23"/>
  <c r="AQ163" i="23"/>
  <c r="AP163" i="23"/>
  <c r="AA163" i="23"/>
  <c r="AU163" i="23"/>
  <c r="D163" i="23"/>
  <c r="F163" i="23"/>
  <c r="H163" i="23"/>
  <c r="E163" i="23"/>
  <c r="G163" i="23"/>
  <c r="L164" i="23" l="1"/>
  <c r="AC164" i="23"/>
  <c r="AG164" i="23"/>
  <c r="AK164" i="23"/>
  <c r="W164" i="23"/>
  <c r="AF164" i="23"/>
  <c r="Y164" i="23"/>
  <c r="S164" i="23"/>
  <c r="P164" i="23"/>
  <c r="T164" i="23"/>
  <c r="AN164" i="23"/>
  <c r="X164" i="23"/>
  <c r="Z164" i="23"/>
  <c r="AP164" i="23"/>
  <c r="U164" i="23"/>
  <c r="AR164" i="23"/>
  <c r="AE164" i="23"/>
  <c r="I164" i="23"/>
  <c r="AS164" i="23"/>
  <c r="O164" i="23"/>
  <c r="M164" i="23"/>
  <c r="AD164" i="23"/>
  <c r="AH164" i="23"/>
  <c r="K164" i="23"/>
  <c r="AJ164" i="23"/>
  <c r="R164" i="23"/>
  <c r="AB164" i="23"/>
  <c r="AO164" i="23"/>
  <c r="Q164" i="23"/>
  <c r="AA164" i="23"/>
  <c r="AI164" i="23"/>
  <c r="AU164" i="23"/>
  <c r="J164" i="23"/>
  <c r="V164" i="23"/>
  <c r="AM164" i="23"/>
  <c r="N164" i="23"/>
  <c r="AQ164" i="23"/>
  <c r="AL164" i="23"/>
  <c r="AT164" i="23"/>
  <c r="E164" i="23"/>
  <c r="D164" i="23"/>
  <c r="F164" i="23"/>
  <c r="G164" i="23"/>
  <c r="H164" i="23"/>
  <c r="AN165" i="23" l="1"/>
  <c r="L165" i="23"/>
  <c r="P165" i="23"/>
  <c r="Y165" i="23"/>
  <c r="S165" i="23"/>
  <c r="T165" i="23"/>
  <c r="AK165" i="23"/>
  <c r="AC165" i="23"/>
  <c r="AG165" i="23"/>
  <c r="AO165" i="23"/>
  <c r="AS165" i="23"/>
  <c r="AF165" i="23"/>
  <c r="M165" i="23"/>
  <c r="AD165" i="23"/>
  <c r="AH165" i="23"/>
  <c r="I165" i="23"/>
  <c r="Z165" i="23"/>
  <c r="AT165" i="23"/>
  <c r="J165" i="23"/>
  <c r="AE165" i="23"/>
  <c r="AM165" i="23"/>
  <c r="O165" i="23"/>
  <c r="AB165" i="23"/>
  <c r="X165" i="23"/>
  <c r="AL165" i="23"/>
  <c r="R165" i="23"/>
  <c r="W165" i="23"/>
  <c r="Q165" i="23"/>
  <c r="U165" i="23"/>
  <c r="AJ165" i="23"/>
  <c r="K165" i="23"/>
  <c r="V165" i="23"/>
  <c r="AI165" i="23"/>
  <c r="AU165" i="23"/>
  <c r="AP165" i="23"/>
  <c r="AR165" i="23"/>
  <c r="N165" i="23"/>
  <c r="AA165" i="23"/>
  <c r="AQ165" i="23"/>
  <c r="H165" i="23"/>
  <c r="E165" i="23"/>
  <c r="G165" i="23"/>
  <c r="D165" i="23"/>
  <c r="F165" i="23"/>
  <c r="AN166" i="23" l="1"/>
  <c r="P166" i="23"/>
  <c r="T166" i="23"/>
  <c r="AB166" i="23"/>
  <c r="Y166" i="23"/>
  <c r="X166" i="23"/>
  <c r="AC166" i="23"/>
  <c r="AO166" i="23"/>
  <c r="Q166" i="23"/>
  <c r="L166" i="23"/>
  <c r="I166" i="23"/>
  <c r="U166" i="23"/>
  <c r="Z166" i="23"/>
  <c r="AR166" i="23"/>
  <c r="N166" i="23"/>
  <c r="AM166" i="23"/>
  <c r="AU166" i="23"/>
  <c r="S166" i="23"/>
  <c r="AS166" i="23"/>
  <c r="AF166" i="23"/>
  <c r="AG166" i="23"/>
  <c r="W166" i="23"/>
  <c r="AL166" i="23"/>
  <c r="AP166" i="23"/>
  <c r="K166" i="23"/>
  <c r="AJ166" i="23"/>
  <c r="R166" i="23"/>
  <c r="AK166" i="23"/>
  <c r="O166" i="23"/>
  <c r="M166" i="23"/>
  <c r="AD166" i="23"/>
  <c r="AT166" i="23"/>
  <c r="J166" i="23"/>
  <c r="AA166" i="23"/>
  <c r="AI166" i="23"/>
  <c r="AH166" i="23"/>
  <c r="V166" i="23"/>
  <c r="AE166" i="23"/>
  <c r="AQ166" i="23"/>
  <c r="E166" i="23"/>
  <c r="F166" i="23"/>
  <c r="D166" i="23"/>
  <c r="H166" i="23"/>
  <c r="G166" i="23"/>
  <c r="AN167" i="23" l="1"/>
  <c r="X167" i="23"/>
  <c r="AB167" i="23"/>
  <c r="P167" i="23"/>
  <c r="AC167" i="23"/>
  <c r="AG167" i="23"/>
  <c r="AK167" i="23"/>
  <c r="AO167" i="23"/>
  <c r="AS167" i="23"/>
  <c r="O167" i="23"/>
  <c r="Y167" i="23"/>
  <c r="M167" i="23"/>
  <c r="Z167" i="23"/>
  <c r="AH167" i="23"/>
  <c r="S167" i="23"/>
  <c r="W167" i="23"/>
  <c r="AL167" i="23"/>
  <c r="R167" i="23"/>
  <c r="AA167" i="23"/>
  <c r="T167" i="23"/>
  <c r="AF167" i="23"/>
  <c r="L167" i="23"/>
  <c r="Q167" i="23"/>
  <c r="AD167" i="23"/>
  <c r="AT167" i="23"/>
  <c r="K167" i="23"/>
  <c r="I167" i="23"/>
  <c r="AP167" i="23"/>
  <c r="AJ167" i="23"/>
  <c r="U167" i="23"/>
  <c r="AR167" i="23"/>
  <c r="N167" i="23"/>
  <c r="AE167" i="23"/>
  <c r="AQ167" i="23"/>
  <c r="AM167" i="23"/>
  <c r="AU167" i="23"/>
  <c r="J167" i="23"/>
  <c r="V167" i="23"/>
  <c r="AI167" i="23"/>
  <c r="D167" i="23"/>
  <c r="E167" i="23"/>
  <c r="F167" i="23"/>
  <c r="H167" i="23"/>
  <c r="G167" i="23"/>
  <c r="AB168" i="23" l="1"/>
  <c r="X168" i="23"/>
  <c r="L168" i="23"/>
  <c r="AG168" i="23"/>
  <c r="S168" i="23"/>
  <c r="P168" i="23"/>
  <c r="Y168" i="23"/>
  <c r="I168" i="23"/>
  <c r="O168" i="23"/>
  <c r="W168" i="23"/>
  <c r="M168" i="23"/>
  <c r="U168" i="23"/>
  <c r="AD168" i="23"/>
  <c r="AH168" i="23"/>
  <c r="AK168" i="23"/>
  <c r="AO168" i="23"/>
  <c r="V168" i="23"/>
  <c r="AI168" i="23"/>
  <c r="AN168" i="23"/>
  <c r="T168" i="23"/>
  <c r="AS168" i="23"/>
  <c r="AF168" i="23"/>
  <c r="AT168" i="23"/>
  <c r="AR168" i="23"/>
  <c r="J168" i="23"/>
  <c r="AC168" i="23"/>
  <c r="Q168" i="23"/>
  <c r="Z168" i="23"/>
  <c r="AL168" i="23"/>
  <c r="AP168" i="23"/>
  <c r="K168" i="23"/>
  <c r="AJ168" i="23"/>
  <c r="R168" i="23"/>
  <c r="AA168" i="23"/>
  <c r="AM168" i="23"/>
  <c r="AQ168" i="23"/>
  <c r="N168" i="23"/>
  <c r="AE168" i="23"/>
  <c r="AU168" i="23"/>
  <c r="G168" i="23"/>
  <c r="E168" i="23"/>
  <c r="D168" i="23"/>
  <c r="F168" i="23"/>
  <c r="H168" i="23"/>
  <c r="S169" i="23" l="1"/>
  <c r="AB169" i="23"/>
  <c r="AK169" i="23"/>
  <c r="X169" i="23"/>
  <c r="AC169" i="23"/>
  <c r="AG169" i="23"/>
  <c r="L169" i="23"/>
  <c r="O169" i="23"/>
  <c r="W169" i="23"/>
  <c r="AN169" i="23"/>
  <c r="T169" i="23"/>
  <c r="Y169" i="23"/>
  <c r="M169" i="23"/>
  <c r="Q169" i="23"/>
  <c r="AD169" i="23"/>
  <c r="AH169" i="23"/>
  <c r="AJ169" i="23"/>
  <c r="J169" i="23"/>
  <c r="AI169" i="23"/>
  <c r="AQ169" i="23"/>
  <c r="AF169" i="23"/>
  <c r="I169" i="23"/>
  <c r="AP169" i="23"/>
  <c r="AR169" i="23"/>
  <c r="N169" i="23"/>
  <c r="P169" i="23"/>
  <c r="AO169" i="23"/>
  <c r="AS169" i="23"/>
  <c r="U169" i="23"/>
  <c r="Z169" i="23"/>
  <c r="AL169" i="23"/>
  <c r="K169" i="23"/>
  <c r="R169" i="23"/>
  <c r="AA169" i="23"/>
  <c r="AE169" i="23"/>
  <c r="AT169" i="23"/>
  <c r="V169" i="23"/>
  <c r="AU169" i="23"/>
  <c r="AM169" i="23"/>
  <c r="G169" i="23"/>
  <c r="F169" i="23"/>
  <c r="D169" i="23"/>
  <c r="E169" i="23"/>
  <c r="H169" i="23"/>
  <c r="P170" i="23" l="1"/>
  <c r="T170" i="23"/>
  <c r="O170" i="23"/>
  <c r="S170" i="23"/>
  <c r="AN170" i="23"/>
  <c r="AC170" i="23"/>
  <c r="AB170" i="23"/>
  <c r="W170" i="23"/>
  <c r="AF170" i="23"/>
  <c r="Y170" i="23"/>
  <c r="M170" i="23"/>
  <c r="X170" i="23"/>
  <c r="AK170" i="23"/>
  <c r="AD170" i="23"/>
  <c r="AT170" i="23"/>
  <c r="AJ170" i="23"/>
  <c r="J170" i="23"/>
  <c r="AA170" i="23"/>
  <c r="AI170" i="23"/>
  <c r="AQ170" i="23"/>
  <c r="L170" i="23"/>
  <c r="I170" i="23"/>
  <c r="AG170" i="23"/>
  <c r="AS170" i="23"/>
  <c r="AH170" i="23"/>
  <c r="AO170" i="23"/>
  <c r="AP170" i="23"/>
  <c r="K170" i="23"/>
  <c r="AR170" i="23"/>
  <c r="R170" i="23"/>
  <c r="AU170" i="23"/>
  <c r="Q170" i="23"/>
  <c r="N170" i="23"/>
  <c r="AE170" i="23"/>
  <c r="AM170" i="23"/>
  <c r="U170" i="23"/>
  <c r="Z170" i="23"/>
  <c r="AL170" i="23"/>
  <c r="V170" i="23"/>
  <c r="G170" i="23"/>
  <c r="D170" i="23"/>
  <c r="E170" i="23"/>
  <c r="F170" i="23"/>
  <c r="H170" i="23"/>
  <c r="W171" i="23" l="1"/>
  <c r="AF171" i="23"/>
  <c r="L171" i="23"/>
  <c r="AB171" i="23"/>
  <c r="P171" i="23"/>
  <c r="O171" i="23"/>
  <c r="T171" i="23"/>
  <c r="AK171" i="23"/>
  <c r="AO171" i="23"/>
  <c r="AS171" i="23"/>
  <c r="I171" i="23"/>
  <c r="Q171" i="23"/>
  <c r="U171" i="23"/>
  <c r="AD171" i="23"/>
  <c r="AL171" i="23"/>
  <c r="Y171" i="23"/>
  <c r="AP171" i="23"/>
  <c r="K171" i="23"/>
  <c r="AJ171" i="23"/>
  <c r="S171" i="23"/>
  <c r="X171" i="23"/>
  <c r="M171" i="23"/>
  <c r="AR171" i="23"/>
  <c r="J171" i="23"/>
  <c r="N171" i="23"/>
  <c r="AN171" i="23"/>
  <c r="AC171" i="23"/>
  <c r="AG171" i="23"/>
  <c r="AT171" i="23"/>
  <c r="R171" i="23"/>
  <c r="V171" i="23"/>
  <c r="Z171" i="23"/>
  <c r="AH171" i="23"/>
  <c r="AA171" i="23"/>
  <c r="AE171" i="23"/>
  <c r="AI171" i="23"/>
  <c r="AU171" i="23"/>
  <c r="AM171" i="23"/>
  <c r="AQ171" i="23"/>
  <c r="E171" i="23"/>
  <c r="F171" i="23"/>
  <c r="H171" i="23"/>
  <c r="D171" i="23"/>
  <c r="G171" i="23"/>
  <c r="S172" i="23" l="1"/>
  <c r="L172" i="23"/>
  <c r="AC172" i="23"/>
  <c r="AF172" i="23"/>
  <c r="X172" i="23"/>
  <c r="AN172" i="23"/>
  <c r="T172" i="23"/>
  <c r="AG172" i="23"/>
  <c r="AK172" i="23"/>
  <c r="AO172" i="23"/>
  <c r="AS172" i="23"/>
  <c r="AB172" i="23"/>
  <c r="P172" i="23"/>
  <c r="Y172" i="23"/>
  <c r="I172" i="23"/>
  <c r="Q172" i="23"/>
  <c r="Z172" i="23"/>
  <c r="O172" i="23"/>
  <c r="AL172" i="23"/>
  <c r="AP172" i="23"/>
  <c r="K172" i="23"/>
  <c r="AR172" i="23"/>
  <c r="R172" i="23"/>
  <c r="AE172" i="23"/>
  <c r="AU172" i="23"/>
  <c r="M172" i="23"/>
  <c r="U172" i="23"/>
  <c r="N172" i="23"/>
  <c r="W172" i="23"/>
  <c r="AH172" i="23"/>
  <c r="AT172" i="23"/>
  <c r="J172" i="23"/>
  <c r="AJ172" i="23"/>
  <c r="V172" i="23"/>
  <c r="AA172" i="23"/>
  <c r="AI172" i="23"/>
  <c r="AD172" i="23"/>
  <c r="AQ172" i="23"/>
  <c r="AM172" i="23"/>
  <c r="D172" i="23"/>
  <c r="H172" i="23"/>
  <c r="G172" i="23"/>
  <c r="E172" i="23"/>
  <c r="F172" i="23"/>
  <c r="T173" i="23" l="1"/>
  <c r="O173" i="23"/>
  <c r="S173" i="23"/>
  <c r="AN173" i="23"/>
  <c r="L173" i="23"/>
  <c r="P173" i="23"/>
  <c r="I173" i="23"/>
  <c r="W173" i="23"/>
  <c r="U173" i="23"/>
  <c r="AL173" i="23"/>
  <c r="AP173" i="23"/>
  <c r="AO173" i="23"/>
  <c r="AS173" i="23"/>
  <c r="J173" i="23"/>
  <c r="R173" i="23"/>
  <c r="V173" i="23"/>
  <c r="AM173" i="23"/>
  <c r="AC173" i="23"/>
  <c r="AG173" i="23"/>
  <c r="AK173" i="23"/>
  <c r="M173" i="23"/>
  <c r="AF173" i="23"/>
  <c r="Y173" i="23"/>
  <c r="AT173" i="23"/>
  <c r="AB173" i="23"/>
  <c r="X173" i="23"/>
  <c r="Z173" i="23"/>
  <c r="AR173" i="23"/>
  <c r="N173" i="23"/>
  <c r="Q173" i="23"/>
  <c r="AD173" i="23"/>
  <c r="K173" i="23"/>
  <c r="AE173" i="23"/>
  <c r="AH173" i="23"/>
  <c r="AJ173" i="23"/>
  <c r="AA173" i="23"/>
  <c r="AQ173" i="23"/>
  <c r="AU173" i="23"/>
  <c r="AI173" i="23"/>
  <c r="F173" i="23"/>
  <c r="H173" i="23"/>
  <c r="G173" i="23"/>
  <c r="E173" i="23"/>
  <c r="D173" i="23"/>
  <c r="AN174" i="23" l="1"/>
  <c r="P174" i="23"/>
  <c r="AC174" i="23"/>
  <c r="AG174" i="23"/>
  <c r="AO174" i="23"/>
  <c r="AS174" i="23"/>
  <c r="Y174" i="23"/>
  <c r="AB174" i="23"/>
  <c r="T174" i="23"/>
  <c r="I174" i="23"/>
  <c r="O174" i="23"/>
  <c r="Z174" i="23"/>
  <c r="AP174" i="23"/>
  <c r="W174" i="23"/>
  <c r="N174" i="23"/>
  <c r="R174" i="23"/>
  <c r="AA174" i="23"/>
  <c r="AE174" i="23"/>
  <c r="AI174" i="23"/>
  <c r="AU174" i="23"/>
  <c r="X174" i="23"/>
  <c r="AK174" i="23"/>
  <c r="S174" i="23"/>
  <c r="AF174" i="23"/>
  <c r="M174" i="23"/>
  <c r="AD174" i="23"/>
  <c r="AR174" i="23"/>
  <c r="L174" i="23"/>
  <c r="Q174" i="23"/>
  <c r="AT174" i="23"/>
  <c r="AH174" i="23"/>
  <c r="AL174" i="23"/>
  <c r="AQ174" i="23"/>
  <c r="U174" i="23"/>
  <c r="AJ174" i="23"/>
  <c r="J174" i="23"/>
  <c r="V174" i="23"/>
  <c r="AM174" i="23"/>
  <c r="K174" i="23"/>
  <c r="D174" i="23"/>
  <c r="H174" i="23"/>
  <c r="G174" i="23"/>
  <c r="E174" i="23"/>
  <c r="F174" i="23"/>
  <c r="AB175" i="23" l="1"/>
  <c r="X175" i="23"/>
  <c r="AC175" i="23"/>
  <c r="AK175" i="23"/>
  <c r="AO175" i="23"/>
  <c r="AS175" i="23"/>
  <c r="O175" i="23"/>
  <c r="W175" i="23"/>
  <c r="T175" i="23"/>
  <c r="AN175" i="23"/>
  <c r="S175" i="23"/>
  <c r="I175" i="23"/>
  <c r="Z175" i="23"/>
  <c r="AD175" i="23"/>
  <c r="AP175" i="23"/>
  <c r="P175" i="23"/>
  <c r="AF175" i="23"/>
  <c r="Q175" i="23"/>
  <c r="AH175" i="23"/>
  <c r="AA175" i="23"/>
  <c r="AG175" i="23"/>
  <c r="U175" i="23"/>
  <c r="K175" i="23"/>
  <c r="AJ175" i="23"/>
  <c r="N175" i="23"/>
  <c r="L175" i="23"/>
  <c r="Y175" i="23"/>
  <c r="M175" i="23"/>
  <c r="AL175" i="23"/>
  <c r="AT175" i="23"/>
  <c r="AR175" i="23"/>
  <c r="AU175" i="23"/>
  <c r="V175" i="23"/>
  <c r="AI175" i="23"/>
  <c r="AM175" i="23"/>
  <c r="J175" i="23"/>
  <c r="R175" i="23"/>
  <c r="AE175" i="23"/>
  <c r="AQ175" i="23"/>
  <c r="D175" i="23"/>
  <c r="F175" i="23"/>
  <c r="H175" i="23"/>
  <c r="E175" i="23"/>
  <c r="G175"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Gordon, Hal - NRCS, Portland, OR</author>
  </authors>
  <commentList>
    <comment ref="N1" authorId="0" shapeId="0" xr:uid="{00000000-0006-0000-0300-000001000000}">
      <text>
        <r>
          <rPr>
            <b/>
            <sz val="9"/>
            <color indexed="81"/>
            <rFont val="Tahoma"/>
            <family val="2"/>
          </rPr>
          <t>Place curser on practice cell (C1) and press the ENTER key, select practice from Drop Down Menu.</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E4" authorId="0" shapeId="0" xr:uid="{00000000-0006-0000-0900-000001000000}">
      <text>
        <r>
          <rPr>
            <b/>
            <sz val="8"/>
            <color indexed="81"/>
            <rFont val="Tahoma"/>
            <family val="2"/>
          </rPr>
          <t xml:space="preserve">Place curser on practice cell (C6) and press the ENTER key, select practice from Drop Down Menu.
</t>
        </r>
      </text>
    </comment>
  </commentList>
</comments>
</file>

<file path=xl/sharedStrings.xml><?xml version="1.0" encoding="utf-8"?>
<sst xmlns="http://schemas.openxmlformats.org/spreadsheetml/2006/main" count="22362" uniqueCount="4010">
  <si>
    <t>Leaching salts from the root zone may also leach pathogens.</t>
  </si>
  <si>
    <t>Infiltrating water in the basin may move soluble salts to ground water.</t>
  </si>
  <si>
    <t>Increases water infiltration that may move laterally to a seep area, particularly during fallow periods.</t>
  </si>
  <si>
    <t>Created wetlands will benefit some species, but their creation can alter hydrology of the area.</t>
  </si>
  <si>
    <t>Areas for cover/shelter are enhanced.</t>
  </si>
  <si>
    <t>Enhancement of wetlands will improve habitat and water quality for many species; the number and types of species that will benefit is dependent on the degree to which hydrological conditions are improved.</t>
  </si>
  <si>
    <t>Areas for food are restored.</t>
  </si>
  <si>
    <t>Areas for cover/shelter are restored.</t>
  </si>
  <si>
    <t xml:space="preserve">Managing water to maintain surface moisture reduces soil detachment by wind. </t>
  </si>
  <si>
    <t>Reduces runoff resulting in increased water infiltration which will slightly reduce the potential for flooding or ponding.</t>
  </si>
  <si>
    <t>Reduces runoff resulting in increased water infiltration which increases subsurface water.</t>
  </si>
  <si>
    <t xml:space="preserve">Controlling compaction from construction equipment </t>
  </si>
  <si>
    <t>Surface waters can be treated on site before release</t>
  </si>
  <si>
    <t xml:space="preserve">Access Control </t>
  </si>
  <si>
    <t xml:space="preserve">Vegetated Treatment Area </t>
  </si>
  <si>
    <t>Soil organic matter is a major concern that will be addressed by mulching, soil amendments, manure, compost, and high biomass producing plants</t>
  </si>
  <si>
    <t>There will be increased moisture availability and plant use efficiency caused by decrease in undesirable species.</t>
  </si>
  <si>
    <t>The establishment of vigorous vegetative cover will reduce erosion from water.</t>
  </si>
  <si>
    <t>Reduces runoff, ponding, and increase infiltration.</t>
  </si>
  <si>
    <t>Vegetation causes flooding and ponding.</t>
  </si>
  <si>
    <t>Barrier will act as drain.</t>
  </si>
  <si>
    <t>Row arrangement may result in more infiltration.</t>
  </si>
  <si>
    <t>Increased vegetation can reduce concentrated runoff flowing over streambanks.</t>
  </si>
  <si>
    <t>Runoff is controlled and managed to prevent erosion.</t>
  </si>
  <si>
    <t>Inflows into the stream are controlled to prevent erosion.</t>
  </si>
  <si>
    <t>Deep tillage increases infiltration and reduces runoff.</t>
  </si>
  <si>
    <t>Crop rotation balances available water with crop needs.</t>
  </si>
  <si>
    <t>Degree of effect is determined by the species whose aquatic habitat is improved and the extent to which connectivity of habitats is provided.</t>
  </si>
  <si>
    <t>Increase or decrease in food supply depends on plant species on the site due to soil moisture/plant relationships.</t>
  </si>
  <si>
    <t>Increase or decrease in cover/shelter depends on plant species on the site due to soil moisture/plant relationships.</t>
  </si>
  <si>
    <t>Increase or decrease in food supply depends on plant species on the site and degree of drainage.</t>
  </si>
  <si>
    <t>Plants are chosen and managed to enhance cover/shelter.</t>
  </si>
  <si>
    <t>Rapid removal of water off site has the potential to decrease infiltration, thus decreasing contamination of ground water.</t>
  </si>
  <si>
    <t xml:space="preserve">The action eliminates seepage losses from canals, which reduces the potential for movement of pathogens to groundwater.    </t>
  </si>
  <si>
    <t>The action reduces runoff and erosion.</t>
  </si>
  <si>
    <t>The action reduces runoff and erosion and traps adsorbed pesticides.</t>
  </si>
  <si>
    <t>The action reduces runoff.</t>
  </si>
  <si>
    <t>Not Applicable</t>
  </si>
  <si>
    <t>Mole drains will tend to dry the soil profile near surface accentuating any water shortages.  Does not affect water use efficiency.</t>
  </si>
  <si>
    <t xml:space="preserve">Increases infiltration and decreases evaporation resulting in more available water. </t>
  </si>
  <si>
    <t>Increases infiltration and decreases evaporation resulting in more available water.</t>
  </si>
  <si>
    <t>Harmful levels of heavy metals are rarely associated with manure.  Digester provides storage and treatment of manure and other organics which would normally reach surface water.</t>
  </si>
  <si>
    <t xml:space="preserve">Stripcropping decreases soil erosion by wind and water and may increase water infiltration, thereby reducing the potential for transport of pathogens to surface water </t>
  </si>
  <si>
    <t>Trails and landings are designed, located and maintained to minimize on site and off site impacts to resources including streambanks.</t>
  </si>
  <si>
    <t>If vegetation is used to protect the site, organic matter may be increased.  If some other material is used to protect the site, organic matter will be decreased or unchanged.</t>
  </si>
  <si>
    <t>Permanent vegetation increases soil organic matter in the footprint of the practice.</t>
  </si>
  <si>
    <t>Root development in the footprint of the practice will improve soil structure and porosity.</t>
  </si>
  <si>
    <t>Restoration and Management of Rare or Declining Habitats</t>
  </si>
  <si>
    <t>Riparian Forest Buffer</t>
  </si>
  <si>
    <t>Riparian Herbaceous Cover</t>
  </si>
  <si>
    <t>Rock Barrier</t>
  </si>
  <si>
    <t>Roof Runoff Structure</t>
  </si>
  <si>
    <t>Row Arrangement</t>
  </si>
  <si>
    <t>Salinity and Sodic Soil Management</t>
  </si>
  <si>
    <t>Sediment Basin</t>
  </si>
  <si>
    <t>There will be an increase in vegetative cover, deeper root systems, increased soil organic material and biological activity, and improved nutrient cycling.</t>
  </si>
  <si>
    <t>Growing conditions are altered to provide a diverse plant community with adequate food for wildlife.</t>
  </si>
  <si>
    <t>Growing conditions are altered to provide a diverse plant community with adequate cover for wildlife.</t>
  </si>
  <si>
    <t xml:space="preserve">An area with bare soil or reduction in vegetative cover and surface litter has potential for increased exposure of the soil surface to erosive wind energy. </t>
  </si>
  <si>
    <t xml:space="preserve">Removal of vegetation and litter from a site removes organic material that could have become soil organic matter. </t>
  </si>
  <si>
    <t>Concentrated flow is reduced or eliminated and excess water conveyed to safe outlet.</t>
  </si>
  <si>
    <t>Concentrated flows are directed to surface streams at an accelerated rate.</t>
  </si>
  <si>
    <t>Organic matter loss by wind erosion is reduced.</t>
  </si>
  <si>
    <t>The process of cuts and fills alters the soil profile.</t>
  </si>
  <si>
    <t>Could create habitat for noxious invasive plants</t>
  </si>
  <si>
    <t>Permanent vegetation established.</t>
  </si>
  <si>
    <t xml:space="preserve">Increased quality and quantity of vegetation provides more food and cover for wildlife, but vegetation removal limits cover. </t>
  </si>
  <si>
    <t xml:space="preserve">Footprint usually too small for effect. </t>
  </si>
  <si>
    <t xml:space="preserve">A strip with bare soil or reduction in vegetative cover and surface litter has potential for increased exposure of the soil surface to erosive wind energy. </t>
  </si>
  <si>
    <t>A streambank may be used as an anchor or end point for a fire break or as a fire break with vegetation removed.</t>
  </si>
  <si>
    <t>There will be an increase in cover and infiltration, reducing runoff and overland flow.</t>
  </si>
  <si>
    <t xml:space="preserve">Stripcropping decreases soil erosion by wind and water and may increase water infiltration, thereby reducing the transport of nutrients and organics to surface water. </t>
  </si>
  <si>
    <t>Increased water use and infiltration will reduce runoff and ponding.</t>
  </si>
  <si>
    <t>Improved management and plant health and vigor reduces nutrients and organics used.</t>
  </si>
  <si>
    <t>Undesired species can colonize areas left bare.</t>
  </si>
  <si>
    <t>Undesired plants can colonize newly treated areas.</t>
  </si>
  <si>
    <t>Undesired plants can colonize bedded areas.</t>
  </si>
  <si>
    <t>Canals transport water to areas of irrigation use.</t>
  </si>
  <si>
    <t>HUAs are not installed on streambanks</t>
  </si>
  <si>
    <t>Revegetation where obstructions are removed will increase OM</t>
  </si>
  <si>
    <t>Slight worsening</t>
  </si>
  <si>
    <t>Infiltration at area has the potential to aggravate already saturated conditions.</t>
  </si>
  <si>
    <t>Water can be managed to leach salts and chemicals below the root zone</t>
  </si>
  <si>
    <t>Hillside ditch may provide outlet for seepage</t>
  </si>
  <si>
    <t>Theoretically there will be an increase in infiltration at pond site.</t>
  </si>
  <si>
    <t>Polluted runoff is collected and stored.</t>
  </si>
  <si>
    <t>Drainage has the predominant impact on subsidence.</t>
  </si>
  <si>
    <t>Soil organic matter concerns will decrease when improved vegetative cover is provided and traffic is controlled</t>
  </si>
  <si>
    <t xml:space="preserve">The action will prevent surface contaminants from reaching the groundwater through the well.  </t>
  </si>
  <si>
    <t>Better distribution of animals away from surface water reduces the risk of salt contamination from manures.</t>
  </si>
  <si>
    <t>Improved vegetative cover will stabilize slopes reducing runoff from salt-affected soils.</t>
  </si>
  <si>
    <t xml:space="preserve">Maintaining a vigorous vegetative cover will reduce soil detachment by wind.    </t>
  </si>
  <si>
    <t xml:space="preserve">Disturbed areas are not extensive enough for wind erosion.  </t>
  </si>
  <si>
    <t xml:space="preserve">The unsheltered distance may be reduced by trapping saltating soil particles.   </t>
  </si>
  <si>
    <t>Shaping or grading of the channel conveys runoff water without causing erosion.</t>
  </si>
  <si>
    <t xml:space="preserve">Dense vegetation traps saltating particles. </t>
  </si>
  <si>
    <t>Properly applied sprinkler irrigation will not increase groundwater.</t>
  </si>
  <si>
    <t>Conversion from surface to sprinkler will reduce surface runoff.</t>
  </si>
  <si>
    <t>More uniform applications reduces subsurface flows.</t>
  </si>
  <si>
    <t>Separation may have an impact on the release of a number of manure constituents</t>
  </si>
  <si>
    <t>Vegetation and surface litter reduce raindrop impact and slow runoff water increasing infiltration.</t>
  </si>
  <si>
    <t>The action collects runoff but does not affect the total salt load from the field.</t>
  </si>
  <si>
    <t>The action allows more efficient use of irrigation water, but does not affect the amount of salt leaving the field.</t>
  </si>
  <si>
    <t xml:space="preserve">The action allows more efficient application of irrigation water, which reduces the potential for runoff from the field. </t>
  </si>
  <si>
    <t>Vegetation and surface litter reduces erosive water energy on the planted site.</t>
  </si>
  <si>
    <t>Vegetation creates a wind shadow and reduces erosive wind velocities and provides a stable area which stops saltating particles.</t>
  </si>
  <si>
    <t>Site modification reduces ponding and runoff.</t>
  </si>
  <si>
    <t>Control of onsite  water reduces subsurface water.</t>
  </si>
  <si>
    <t>Land reconstruction will include grading, shaping, and revegetation to reduce potential for flooding and ponding.</t>
  </si>
  <si>
    <t>Use of the practice requires adding contaminants to the soil surface, some of which will infiltrate.</t>
  </si>
  <si>
    <t>Traffic may increase around the practice, but the practice will help reduce excess moisture where traffic occurs.</t>
  </si>
  <si>
    <t xml:space="preserve">Removal of woody vegetation from a site removes organic material that could have become soil organic matter. </t>
  </si>
  <si>
    <t>Forest products that have assimilated salts/chemicals are removed or harvested from the site.</t>
  </si>
  <si>
    <t>Stream bank erosion due to flows are reduced because of controlled flows, but 'clean' water from basin could create stream bank erosion.</t>
  </si>
  <si>
    <t>Collection of water reduces runoff.</t>
  </si>
  <si>
    <t>Because irrigation-induced erosion is reduced, there is less delivery of sediment-attached nutrients to be carried off-site to surface water.</t>
  </si>
  <si>
    <t>Discharge of wastewater from these ponds can result in the contamination of surface water with nutrients and organics.</t>
  </si>
  <si>
    <t>Tailwater is eliminated from gully.</t>
  </si>
  <si>
    <t>Tailwater is eliminated from over land flow.</t>
  </si>
  <si>
    <t xml:space="preserve">A ditch constructed across the slope may intercept runoff water and shorten the slope length. </t>
  </si>
  <si>
    <t xml:space="preserve">A ditch constructed across the slope may intercept runoff water.  </t>
  </si>
  <si>
    <t>Increased water use by permanent vegetation. However, increased infiltration could increase seepage.</t>
  </si>
  <si>
    <t>The action smoothes the surface which reduces ponding and the transport of nutrients to ground water.</t>
  </si>
  <si>
    <t>The action improves water use efficiency resulting in decreased deep percolation.</t>
  </si>
  <si>
    <t>The action smoothes the surface which reduces ponding and the transport of nutrients to groundwater.</t>
  </si>
  <si>
    <t>The action reduces the potential to contaminate groundwater.</t>
  </si>
  <si>
    <t xml:space="preserve">The action decreases the potential for ground water contamination in the animal production area.  </t>
  </si>
  <si>
    <t>Shallow water habitat/space is created and/or managed.</t>
  </si>
  <si>
    <t>Modifications to soil conditions will increase infiltration and reduce runoff.  Improved plant growth will better utilize nutrients, decreasing the potential for losses in runoff.</t>
  </si>
  <si>
    <t>Planting can restore desired habitats/space.</t>
  </si>
  <si>
    <t>Residue restores some habitat/space.</t>
  </si>
  <si>
    <t>Declining habitats/space are restored.</t>
  </si>
  <si>
    <t>Buffers can restore desired habitats/space.</t>
  </si>
  <si>
    <t>Establishing permanent vegetation will increase biomass production, infiltration and  root establishment.</t>
  </si>
  <si>
    <t>If it affects drainage the practice can have an impact on subsidence.</t>
  </si>
  <si>
    <t>Permanent cover may increase salt uptake.</t>
  </si>
  <si>
    <t>High residue crops can lead to increased root development and increased soil organic carbon.</t>
  </si>
  <si>
    <t>Salt tolerant crops with high transpiration rates can increase salt uptake and reduce salt content in the root zone.</t>
  </si>
  <si>
    <t>Plants are chosen and managed to enhance food value for target species.</t>
  </si>
  <si>
    <t>Tall vegetation provides shelter.</t>
  </si>
  <si>
    <t>The process of cuts and fills alters the soil profile and aerates the soil.</t>
  </si>
  <si>
    <t xml:space="preserve">Equipment used for smoothing will cause compaction, which may be substantial in the short term.   </t>
  </si>
  <si>
    <t xml:space="preserve">Establishing or improving native vegetative cover will reduce erosion by water.  </t>
  </si>
  <si>
    <t xml:space="preserve">Establishing or improving native vegetative cover will reduce erosion by wind.  </t>
  </si>
  <si>
    <t>Warm Season grasses have a more rigid structure than cool season grasses and can maintain structural height under the weight of snow.</t>
  </si>
  <si>
    <t>The action improves infiltration, increases shade and provides for thermal regulation of gravitational water moving laterally to open water.</t>
  </si>
  <si>
    <t>The vegetation in the channel will filter out some sediments, and the vegetation will utilize some nutrients.</t>
  </si>
  <si>
    <t>Pipe can act as a collection and transport for water to prevent erosion.</t>
  </si>
  <si>
    <t xml:space="preserve">Wetting the surface reduces soil detachment by wind. </t>
  </si>
  <si>
    <t>Less intensive tillage reduces the potential for soil compaction.</t>
  </si>
  <si>
    <t>Soil disturbance to incorporate fertilizer loosens the soil and buries surface residue which can increase erosion. Other application methods do not contribute to erosion.</t>
  </si>
  <si>
    <t xml:space="preserve">Decreased erosion and less oxidation from lack of soil disturbance will increase or maintain organic matter. </t>
  </si>
  <si>
    <t>Because of more uniform infiltration.</t>
  </si>
  <si>
    <t>Canopy and soil cover reduce erosive energy of concentrated water flows limiting the detachment of soil particles.</t>
  </si>
  <si>
    <t>Infiltrating water in the basin can move soluble salts to the ground water</t>
  </si>
  <si>
    <t>Management of salts and the use of soil amendments improves plant productivity and vigor.</t>
  </si>
  <si>
    <t>Plants are selected and managed to maintain optimal productivity and health for their intended use.</t>
  </si>
  <si>
    <t>Available water to facilitate irrigation or grazing management improves growth and vigor of plants.</t>
  </si>
  <si>
    <t xml:space="preserve">Protection measures improves site conditions to enhance plant health and vigor of the desired plant community. </t>
  </si>
  <si>
    <t>Cuts may alter the soil profile moving salts into the root zone from deeper layers.</t>
  </si>
  <si>
    <t xml:space="preserve">Improving the health and vigor of plant communities will increase vegetative cover and decrease erosion by wind.  </t>
  </si>
  <si>
    <t>A channel constructed across the slope diverts damaging runoff and shortens slope length</t>
  </si>
  <si>
    <t>Runoff is reduced by increased ground cover.</t>
  </si>
  <si>
    <t>Reduced channel degradation improves ground water levels in floodplains, riparian areas, and wetlands.</t>
  </si>
  <si>
    <t>Removal of obstructions will reduce flooding.</t>
  </si>
  <si>
    <t xml:space="preserve">The action should allow better management of salts, but the degree of impact depends on water management. </t>
  </si>
  <si>
    <t>The action can over time collect or redistribute salts within a field due to seepage, if present.</t>
  </si>
  <si>
    <t>Pipeline will be used in conjunction with other practice to address resource concern.</t>
  </si>
  <si>
    <t>Dams can also provide stock water.</t>
  </si>
  <si>
    <t>Ponds provide stock water.</t>
  </si>
  <si>
    <t>Pipeline facilitates the distribution of water to livestock.</t>
  </si>
  <si>
    <t xml:space="preserve">Lining will prolong availability of water for livestock.  </t>
  </si>
  <si>
    <t>Pumping plants facilitates the distribution of water to livestock.</t>
  </si>
  <si>
    <t>Roof runoff can be diverted for stock water use.</t>
  </si>
  <si>
    <t>The criteria for this practice requires the finished grade match existing grades.</t>
  </si>
  <si>
    <t>There could be some increase in infiltration of soluble contaminants in the case of seepage.</t>
  </si>
  <si>
    <t xml:space="preserve">Improved plant production and vegetative cover decreases runoff and duration to streams. </t>
  </si>
  <si>
    <t xml:space="preserve">The action traps nutrients and organics. </t>
  </si>
  <si>
    <t xml:space="preserve">Maintaining sufficient canopy and residue cover reduces soil detachment by wind. </t>
  </si>
  <si>
    <t xml:space="preserve">Maintaining vegetation on the contour reduces runoff velocities, thus reducing the detachment and transport capacity of over-land flow.  </t>
  </si>
  <si>
    <t>Reduces overland flow to stream.</t>
  </si>
  <si>
    <t>Reduces runoff and traps drifting snow resulting in increased water infiltration that may move laterally to a seep area, particularly during fallow periods.</t>
  </si>
  <si>
    <t>Soil/plant moisture relationships are improved near and on channel banks for species diversity and plant growth.  Structures will not inhibit fish passage.</t>
  </si>
  <si>
    <t>Clearing removes tree-related food.</t>
  </si>
  <si>
    <t>Mulching enhances production of any food species planted.</t>
  </si>
  <si>
    <t>The action reduces erosion and runoff and improves water efficiency.</t>
  </si>
  <si>
    <t>Mulches can stabilize the soil surface, reducing the generation of particulate matter.</t>
  </si>
  <si>
    <t>Vegetation planted across the slope and surface litter reduces erosive water energy.</t>
  </si>
  <si>
    <t>Vegetation across the slope reduces erosive energy of concentrated flows.</t>
  </si>
  <si>
    <t>Organic matter oxidation is reduced in flooded areas.  Where soil moisture is enhanced vegetative growth will be increased.</t>
  </si>
  <si>
    <t>Establishing permanent vegetation reduces the potential for generation of particulates by wind erosion.</t>
  </si>
  <si>
    <t>If a dike is constructed to hold water, suspended sediment and turbidity decreases; if dike is constructed as flood control measure, suspended sediment and turbidity will increase because of erosive effect of flowing, channelized water.</t>
  </si>
  <si>
    <t>Dikes will retain water benefiting some species, however if placed in floodplains aquatic habitats will be fragmented.</t>
  </si>
  <si>
    <t>Seepage may increase due to temporary storage behind the diversion.</t>
  </si>
  <si>
    <t>Moist soil surface is susceptible to equipment compaction.</t>
  </si>
  <si>
    <t>Drainage provides conditions for optimum plant growth.</t>
  </si>
  <si>
    <t xml:space="preserve">Disturbance of the site has short term but negligible effect on soil detachment by water. </t>
  </si>
  <si>
    <t xml:space="preserve">Disturbance of the site has short term but negligible effect on soil detachment by wind. </t>
  </si>
  <si>
    <t xml:space="preserve">Improved plant diversity and quality and quantity of vegetation provides food for wildlife. </t>
  </si>
  <si>
    <t xml:space="preserve">Improved plant diversity and quality and quantity of vegetation provides cover for wildlife. </t>
  </si>
  <si>
    <t>Amendments can alter the waste stream to better meet the needs of the plant</t>
  </si>
  <si>
    <t>Amendments could favorably alter the waste stream to better provide the needs of growing feed and forage, but this would be minor impact</t>
  </si>
  <si>
    <t>Water containing salt could be diverted from a surface outlet to the subsurface.</t>
  </si>
  <si>
    <t>Separation and other treatment options are often used  to remove nutrients and organics from the waste stream</t>
  </si>
  <si>
    <t>Separation and other treatment options can be used to alter the waste stream to remove salts, metals, and some pathogens.</t>
  </si>
  <si>
    <t>Controlled traffic confines compaction to a more limited area.</t>
  </si>
  <si>
    <t>Interception water and reduction of seeps that can cause gully formation.</t>
  </si>
  <si>
    <t>Amendments are often used  to remove nutrients and organics from the waste stream</t>
  </si>
  <si>
    <t>Some amendments are used to treat the waste stream to the point water can be reused by livestock</t>
  </si>
  <si>
    <t>Constriction impacts to structures and sites and damage to organic archaeological remains possible</t>
  </si>
  <si>
    <t>Reduced wind erosion decreases organic matter loss.</t>
  </si>
  <si>
    <t>Vegetative strips decrease organic matter loss by reducing wind erosion</t>
  </si>
  <si>
    <t>Reshaping the surface of the land provides the opportunity for more uniform flow.</t>
  </si>
  <si>
    <t>Drying of  soil profile promotes oxidation of organic material and subsidence.  The degree of subsidence depends on the amount of organic material in the soil.</t>
  </si>
  <si>
    <t>Infiltrating water leaches salts from the soil profile.</t>
  </si>
  <si>
    <t xml:space="preserve">Improved plant production and vegetative cover decreases depletion. </t>
  </si>
  <si>
    <t>If used, vegetation residue stores carbon.</t>
  </si>
  <si>
    <t xml:space="preserve">The available water meeting the quality required by target species is improved by the filtering functions of the barriers. </t>
  </si>
  <si>
    <t>Growth of herbaceous and shrubby plants are enhanced and available as food for wildlife.</t>
  </si>
  <si>
    <t>Controlling the volume, frequency, and application rate of irrigation water reduces runoff and erosion that may carry pesticides into surface water.</t>
  </si>
  <si>
    <t>Equipment operations temporarily produce particulate emissions and exhaust emissions.</t>
  </si>
  <si>
    <t>Spring flows provide some dilution effect.</t>
  </si>
  <si>
    <t>If the drain is designed to collect surface runoff, pesticides in surface water may be increased.  If the purpose is to collect subsurface water, surface runoff will be decreased and aerobic degradation of pesticide residues will increase.</t>
  </si>
  <si>
    <t>Exclusion of rainfall on the facility will reduce incidence of overflow and associated contaminants.</t>
  </si>
  <si>
    <t>Hedgerows can provide some shade and protection from wind.</t>
  </si>
  <si>
    <t>Removal of vegetation will reduce shelter.</t>
  </si>
  <si>
    <t>Captured water in basins can supplement stock water.</t>
  </si>
  <si>
    <t>Construction impacts (mechanical)</t>
  </si>
  <si>
    <t>Storage provides flexibility in rate, timing, and location of waste application, with the potential for reductions of contaminants available for transport.</t>
  </si>
  <si>
    <t>Storage allows nutrient application at a rate, time, and location most suited to the plant needs.</t>
  </si>
  <si>
    <t>Polluted runoff is collected and stored, but less likely than storage facility.</t>
  </si>
  <si>
    <t>This color indicates a change from the previous rating.  The change has been posted to SmarTech.</t>
  </si>
  <si>
    <t>Available water to facilitate grazing management improves growth and vigor of plants.</t>
  </si>
  <si>
    <t xml:space="preserve">Growing conditions are altered to enhance health and productivity of the more desirable plants. </t>
  </si>
  <si>
    <t>Improved plant and animal management enhances growing conditions of the desired plant community.</t>
  </si>
  <si>
    <t>Site modification will enhance the health and vigor of desired species.</t>
  </si>
  <si>
    <t>Permanent vegetation can serve as a windbreak, reducing erosive wind velocities and providing a stable area which stops saltating particles.</t>
  </si>
  <si>
    <t xml:space="preserve">A channel constructed across the slope intercepts surface flow and decreases soil detachment by water.  </t>
  </si>
  <si>
    <t xml:space="preserve">Tailwater is safely conveyed to a recovery site, therefore reducing concentrated flow.  </t>
  </si>
  <si>
    <t>Tall vegetation will trap snow upwind of structures and animal concentration areas.</t>
  </si>
  <si>
    <t>The barrier will trap snow upwind of structures and animal concentration areas.</t>
  </si>
  <si>
    <t>Ponds provide water for wildlife; entrapment, especially of fish and salamanders, as waters recede or are withdrawn, should be minimized to the extent possible.</t>
  </si>
  <si>
    <t>Because of improved water distribution.</t>
  </si>
  <si>
    <t>Activities are carried out to reduce fuel loading.</t>
  </si>
  <si>
    <t>Management will increased health and vigor and competition by desirable plants which will decrease noxious and invasive plants.</t>
  </si>
  <si>
    <t xml:space="preserve">Reducing stream flows will reduce available habitat for aquatic and riparian species. </t>
  </si>
  <si>
    <t>Reservoirs reduce existing space used by wildlife.</t>
  </si>
  <si>
    <t>Impoundments create additional pond-type habitat/space for species requiring such habitat.</t>
  </si>
  <si>
    <t>Burning can restore desired habitats/space.</t>
  </si>
  <si>
    <t>Management can restore desired habitats/space.</t>
  </si>
  <si>
    <t>Plants are selected and managed to maintain optimal productivity and health and can contribute to subsequent crop health and productivity.</t>
  </si>
  <si>
    <t xml:space="preserve">Salts in the root zone are reduced by leaching, drainage and/or plant management. </t>
  </si>
  <si>
    <t xml:space="preserve">Equipment used for cuts and fills will cause compaction, which may be substantial in the short term.   </t>
  </si>
  <si>
    <t>The action results in increased infiltration and potential for leaching soil contaminates.</t>
  </si>
  <si>
    <t>Soil bulk density decreases on long-term basis because of an increase in vegetative cover, deeper root systems, and increased soil organic material. There may be a slight increase in bulk density in the short term on intensively managed grazing systems.</t>
  </si>
  <si>
    <t>Selected plants improve food supply and availability.</t>
  </si>
  <si>
    <t>Selected desirable plants improve cover for wildlife.</t>
  </si>
  <si>
    <t>Vegetated canals may provide food for fish.</t>
  </si>
  <si>
    <t>Vegetated canals may provide cover for fish.</t>
  </si>
  <si>
    <t xml:space="preserve">Reservoirs provide food for some fish and wildlife.  </t>
  </si>
  <si>
    <t>Reservoirs provide water for wildlife; however entrapment, especially of fish and salamanders, as waters recede or are withdrawn.</t>
  </si>
  <si>
    <t>Removal of vegetation will reduce cover/shelter.</t>
  </si>
  <si>
    <t>Loss of habitat occurs as land is disturbed.</t>
  </si>
  <si>
    <t>If food sources exist they will be eliminated.</t>
  </si>
  <si>
    <t>Animal access will be maintained while other disturbances will be reduced.</t>
  </si>
  <si>
    <t>Carbon can be released with the disposal of material if the material is burned and/or soil surface disturbed.</t>
  </si>
  <si>
    <t>Management enhances production and diversity of cover/shelter conditions/</t>
  </si>
  <si>
    <t>Grading and shaping activities eliminate or reduce cover/shelter.</t>
  </si>
  <si>
    <t>Upland Wildlife Habitat Management</t>
  </si>
  <si>
    <t>The action may promote increased salinity uptake due to vigorous plant growth..</t>
  </si>
  <si>
    <t xml:space="preserve">The action eliminates a potential source of salinity to the groundwater.  </t>
  </si>
  <si>
    <t>The action will result in increased uptake by plants.</t>
  </si>
  <si>
    <t xml:space="preserve">The action results in water reuse, which concentrates the contaminants in water that infiltrates.  </t>
  </si>
  <si>
    <t xml:space="preserve">The action eliminates seepage from earth canals which can move soluble salts to the ground water.    </t>
  </si>
  <si>
    <t>The action reduces infiltration into spoils containing contaminants.</t>
  </si>
  <si>
    <t>The action results in increased vegetative growth which may take up contaminants.</t>
  </si>
  <si>
    <t>Road will create ponding opportunities.</t>
  </si>
  <si>
    <t>There is a minimal reduction of ozone precursors through reduced incidence of wildfire.</t>
  </si>
  <si>
    <t xml:space="preserve">Reshaping the surface of land may reduce the degree of slope, however, slope length may be increased.  </t>
  </si>
  <si>
    <t>Varied canopy layers and surface cover and organic matter management reduces sediment-laden runoff from reaching surface water conveyances.</t>
  </si>
  <si>
    <t>Fewer field operations and less tillage reduce the potential for soil compaction.</t>
  </si>
  <si>
    <t>No-till increases infiltration resulting in more water moving through the profile.</t>
  </si>
  <si>
    <t>No-till increases infiltration, reducing  runoff and ponding.</t>
  </si>
  <si>
    <t>No-till increases infiltration and decreases evaporation resulting in more available water. However, increased infiltration reduces the efficiency of flood and furrow irrigation.</t>
  </si>
  <si>
    <t>No-till increases infiltration and decreases evaporation resulting in more available water.</t>
  </si>
  <si>
    <t>Better infiltration increases leaching potential.</t>
  </si>
  <si>
    <t>Less erosion and runoff reduces transport of nutrients.</t>
  </si>
  <si>
    <t>Less runoff reduces transport of soluble salts. However increased infiltration results in more seepage which can carry soluble salts to the surface.</t>
  </si>
  <si>
    <t>Measures taken are to be compatible with conservation of fish and wildlife habitat components in and adjacent to stream or shore.</t>
  </si>
  <si>
    <t>Aquatic habitat is improved providing food for fish and wildlife.</t>
  </si>
  <si>
    <t>Aquatic habitat is improved providing cover for fish and wildlife.</t>
  </si>
  <si>
    <t>Surface run-off is diminished if flow is intercepted by alley cropping.</t>
  </si>
  <si>
    <t>The improved drainage that results from this practice can increase the delivery of nutrients in solution to surface waters.</t>
  </si>
  <si>
    <t>Non-commercial fishpond should not likely harbor pathogens.</t>
  </si>
  <si>
    <t>Rapid removal of water off site has the potential to decrease infiltration, thus increasing contamination of surface water.</t>
  </si>
  <si>
    <t>Liners reduce or prevent seepage losses from waste storage ponds, reducing the delivery of nutrients to surface water.</t>
  </si>
  <si>
    <t xml:space="preserve">The action increases infiltration of water and soluble contaminants. </t>
  </si>
  <si>
    <t>Water is applied at rates that minimize salinity transport to surface water.</t>
  </si>
  <si>
    <t>Interception water and reduction of seeps that can cause streambank instability.</t>
  </si>
  <si>
    <t>Increased infiltration increases the amount of available water for crop growth.</t>
  </si>
  <si>
    <t>Land use</t>
  </si>
  <si>
    <t>Forest</t>
  </si>
  <si>
    <t>Drainage ways provide better conveyance to waterways and other surface waters.</t>
  </si>
  <si>
    <t xml:space="preserve">Decreased erosion and less oxidation from less soil disturbance may increase or maintain organic matter. </t>
  </si>
  <si>
    <t>The action eliminates the potential for irrigation water to pick up salts from the ditch.</t>
  </si>
  <si>
    <t>Watering Facility</t>
  </si>
  <si>
    <t>Waterspreading</t>
  </si>
  <si>
    <t>Well Water Testing</t>
  </si>
  <si>
    <t>Wetland Creation</t>
  </si>
  <si>
    <t>Wetland Enhancement</t>
  </si>
  <si>
    <t>Wetland Restoration</t>
  </si>
  <si>
    <t>A uniform surface reduces the amount of runoff.</t>
  </si>
  <si>
    <t>May increase because of aquatic animal feed or decaying vegetation.</t>
  </si>
  <si>
    <t>The action increases groundwater elevation which moves it closer in proximity to nutrients. This increases the potential to contaminate groundwater.</t>
  </si>
  <si>
    <t>Fire increases smoke, particulates, and associated odors.</t>
  </si>
  <si>
    <t>Proper management will spread livestock, reducing manure concentrations.</t>
  </si>
  <si>
    <t xml:space="preserve">The action reduces soil erosion from wind.  Also, the barriers may attract beneficial insects or trap insect pests which reduce the need for pesticide applications.  </t>
  </si>
  <si>
    <t>The action retains pesticide residues for degradation.</t>
  </si>
  <si>
    <t>Runoff is captured and discharged subsurface reducing erosion potential.</t>
  </si>
  <si>
    <t>Increased grass cover due to better distribution of water will retard flows decreasing opportunity for classic erosion.</t>
  </si>
  <si>
    <t>The action reduces the amount of nutrients excreted in manure which reduces the potential for over-application on the land.</t>
  </si>
  <si>
    <t>The action may slightly increases infiltration within the waterway. However, the vegetation will uptake nutrients.</t>
  </si>
  <si>
    <t>Improves uniformity of water distribution.</t>
  </si>
  <si>
    <t>Improved water distribution.</t>
  </si>
  <si>
    <t>Warm surface irrigation water is re-used rather than discharged to streams or other water bodies.</t>
  </si>
  <si>
    <t>There is a short-term increase in vehicle emissions and ozone precursors from land clearing equipment.</t>
  </si>
  <si>
    <t>Removal of water to stabilize slopes reduces seepage.</t>
  </si>
  <si>
    <t>Canopy and understory removal reduces fuel loadings, breaks up fuel continuity, removes "ladder" fuels.</t>
  </si>
  <si>
    <t>Storage and reuse can increases available water.</t>
  </si>
  <si>
    <t>Provides a dependable supply of water allowing improved management.</t>
  </si>
  <si>
    <t>Vegetation provides cover, reduces wind velocities, and increases infiltration.</t>
  </si>
  <si>
    <t>Slowing water in associated structures will cause sediment to settle.</t>
  </si>
  <si>
    <t>Vegetation slows runoff, filters water, and increases infiltration.</t>
  </si>
  <si>
    <t>Reconstruction plans will provide for wildlife habitat improvements according to client objectives</t>
  </si>
  <si>
    <t>Water conveyed by these drains can transport dissolved nutrients to surface water.</t>
  </si>
  <si>
    <t>Irrigation Water Management</t>
  </si>
  <si>
    <t>Land Clearing</t>
  </si>
  <si>
    <t>Land Reclamation, Landslide Treatment</t>
  </si>
  <si>
    <t>Cover can restore desired habitats/space.</t>
  </si>
  <si>
    <t>Diversions will trap some sediment, reducing the amount of sediment-adsorbed nutrients delivered off-site.  Because diversions concentrate overland flows, there can be an increase in solubles offsite.</t>
  </si>
  <si>
    <t xml:space="preserve">May prevent small amounts of erosion </t>
  </si>
  <si>
    <t xml:space="preserve">Reduced soil erosion decreases organic matter loss. </t>
  </si>
  <si>
    <t>Ripping breaks up compaction, improves plant soil moisture, promotes root growth, and soil structure.</t>
  </si>
  <si>
    <t>Vegetation reduces erosive energy of concentrated water flows reducing detachment of soil particles.</t>
  </si>
  <si>
    <t>If practice is used to create roadways, trails, or other traffic areas, heavy machinery and traffic will increase compaction.</t>
  </si>
  <si>
    <t>Trees and shrubs take up pesticide residues.  Also, pesticide degradation may be improved by increased soil organic matter and biological activity.</t>
  </si>
  <si>
    <t xml:space="preserve">Some slash is disposed of and the remainder redistributed to control erosion. </t>
  </si>
  <si>
    <t xml:space="preserve">Some slash is disposed of and the remainder redistributed to control erosion and initiation of head-cutting. </t>
  </si>
  <si>
    <t>Some slash is disposed of and the remainder redistributed close to the ground or incorporated to facilitate decomposition.</t>
  </si>
  <si>
    <t>Shallow Water Development and Management</t>
  </si>
  <si>
    <t>Silvopasture Establishment</t>
  </si>
  <si>
    <t>Solid/Liquid Waste Separation Facility</t>
  </si>
  <si>
    <t>Spoil Spreading</t>
  </si>
  <si>
    <t>Spring Development</t>
  </si>
  <si>
    <t>Stream Crossing</t>
  </si>
  <si>
    <t>Stream Habitat Improvement and Management</t>
  </si>
  <si>
    <t>Streambank and Shoreline Protection</t>
  </si>
  <si>
    <t>Stripcropping</t>
  </si>
  <si>
    <t>Structure for Water Control</t>
  </si>
  <si>
    <t>Subsurface Drain</t>
  </si>
  <si>
    <t>Surface Drainage, Field Ditch</t>
  </si>
  <si>
    <t>Surface Drainage, Main or Lateral</t>
  </si>
  <si>
    <t>Surface Roughening</t>
  </si>
  <si>
    <t>Terrace</t>
  </si>
  <si>
    <t>Tree/Shrub Establishment</t>
  </si>
  <si>
    <t>Tree/Shrub Pruning</t>
  </si>
  <si>
    <t>Provides water for terrestrial species.</t>
  </si>
  <si>
    <t>Breaks in vegetative cover may interrupt continuity of habitat for certain wildlife species.</t>
  </si>
  <si>
    <t>Nitrogen demanding or deep rooted crops can remove excess nitrogen. Legume in rotation will provide slow release nitrogen and reduce need for additional nitrogen.</t>
  </si>
  <si>
    <t xml:space="preserve">Suitable crops can take up salts, the amount depending on crop rotation and rooting pattern, </t>
  </si>
  <si>
    <t>The action increases infiltration that contributes to nutrient leaching. Also, high organic carbon will cause microbes to immobilize nutrients.</t>
  </si>
  <si>
    <t>The action will retain a substantial amount of contaminants in the pond.  The magnitude of the effect will depend on the integrity of the pond before lining.</t>
  </si>
  <si>
    <t>The action increases plant vigor and uptake of nutrients.</t>
  </si>
  <si>
    <t>The action facilitates the removal of surface runoff, thus reducing percolation of water and nutrients.</t>
  </si>
  <si>
    <t>Integrated Pest Management</t>
  </si>
  <si>
    <t>Distribution of residual slash reduces sediment delivery.</t>
  </si>
  <si>
    <t xml:space="preserve">Vegetative strips oriented across the prevailing wind erosion direction trap saltating soil particles.  </t>
  </si>
  <si>
    <t>Water can be diverted for beneficial use</t>
  </si>
  <si>
    <t>Reducing stream flows will decrease food supplies for stream species but will increase food supplies for pond or lake species of fish and wildlife.</t>
  </si>
  <si>
    <t>Barriers provide some additional space.</t>
  </si>
  <si>
    <t>Additional habitat/space is available once  water is available.</t>
  </si>
  <si>
    <t>Additional wetland space is maintained.</t>
  </si>
  <si>
    <t>Additional wetland space is restored.</t>
  </si>
  <si>
    <t>Additional wetland space is enhanced.</t>
  </si>
  <si>
    <t>Mechanical disturbance of soil surface increases infiltration rate and soil moisture retention.</t>
  </si>
  <si>
    <t>There is a short-term increase in vehicle emissions and ozone precursors from site preparation equipment.</t>
  </si>
  <si>
    <t>Residual vegetation and debris maintain non-erosive conditions.</t>
  </si>
  <si>
    <t>Proper design, location, and maintenance will minimize off-site delivery of sediment and nutrients from areas disturbed during logging.</t>
  </si>
  <si>
    <t>Breaks in canopy cover may interrupt continuity of habitat for certain wildlife species.</t>
  </si>
  <si>
    <t>The action promotes optimum biomass production.</t>
  </si>
  <si>
    <t>The quality and quantity of feed and forage plants is enhanced by improving the microclimate.</t>
  </si>
  <si>
    <t>Solid organics and nutrients attached to sediment may be filtered out. Soluble organics infiltrate into the soil and may be taken up by plants and soil organisms.</t>
  </si>
  <si>
    <t>Diversion of surface water to subsurface will increase any existing problems.</t>
  </si>
  <si>
    <t>Pond contents will provide limited source of moisture.</t>
  </si>
  <si>
    <t>Properly spaced barriers can effectively reduce wind erosion and particulate emissions.</t>
  </si>
  <si>
    <t>An irrigation application moistens the soil surface and reduces the erodibility of the soil.  Increased production from irrigation lowers the soil wind erodibility group by one class.</t>
  </si>
  <si>
    <t>Increased production from irrigation lowers the soil wind erodibility group by one class.</t>
  </si>
  <si>
    <t>Maintaining adequate soil moisture content reduces the potential soil erodibility and increases crop growth and residue production.</t>
  </si>
  <si>
    <t>Creates a more uniform surface and removal of depressions reduces seepage.</t>
  </si>
  <si>
    <t>Vegetation will reduce wind movement and intercept VOCs, fine particulates, and fugitive dust.</t>
  </si>
  <si>
    <t>Reduction of brush canopy will increase  herbaceous ground cover resulting in increased infiltration, reduced overland flow and reduced soil detachment.  There may be a temporary increase in exposure of the soil surface following mechanical treatment.</t>
  </si>
  <si>
    <t>Tall vegetation creates a wind shadow, reduces erosive wind velocities and provides a stable area which stops saltating particles.</t>
  </si>
  <si>
    <t>Vegetation reduces erosive energy of concentrated flows.</t>
  </si>
  <si>
    <t>Snow is captured within and down wind of tree/shrub rows.</t>
  </si>
  <si>
    <t>The action will tend to accumulate contaminants attached to sediments, and infiltrating waters will remove soluble contaminants.</t>
  </si>
  <si>
    <t>The action impounds surface water which reduces the potential to transport nutrients and organics downstream.</t>
  </si>
  <si>
    <t>Equipment used to maintain minimum vegetation can compact forest soils.</t>
  </si>
  <si>
    <t>The action supplies water to alternative locations hence protecting stream and riparian areas.</t>
  </si>
  <si>
    <t>Trees or shrubs create turbulence, reduce erosive wind velocities and provide a stable area which stops saltating particles.</t>
  </si>
  <si>
    <t>The action reduces soil erosion from wind and the potential transport of soil-adsorbed nutrients to surface water.</t>
  </si>
  <si>
    <t>The action collects runoff and delivers possible organics and dissolved nutrients to surface water.</t>
  </si>
  <si>
    <t>Surface water introduced to strata below the zones conducive to seepage.</t>
  </si>
  <si>
    <t>Excluded rainfall on pond will contribute to runoff.</t>
  </si>
  <si>
    <t>Well development will provide a dependable supply of water allowing more concentrated management.</t>
  </si>
  <si>
    <t>Provides temporary flood storage reducing flooding and ponding.</t>
  </si>
  <si>
    <t>Increases infiltration to subsurface water.</t>
  </si>
  <si>
    <t>Cultural Resources and/or  Historic Properties Present or Suspected to be Present (Effect)</t>
  </si>
  <si>
    <t>Cultural Resources and/or Historic Properties Present or Suspected to be Present (Rationale)</t>
  </si>
  <si>
    <t>Cultural Resources and/or Historic Properties Present or Suspected to be Present (Purpose)</t>
  </si>
  <si>
    <t>The action captures and delays pathogen movement, but pathogen mortality may also be delayed because vegetative cover may protect pathogens from desiccation.</t>
  </si>
  <si>
    <t xml:space="preserve">The action reuses irrigation water that may have higher levels of pathogens.  </t>
  </si>
  <si>
    <t>Water is applied at rates that reduce the potential for erosion and detachment, and minimize nutrient transport to surface water.</t>
  </si>
  <si>
    <t>The action increases surface runoff.</t>
  </si>
  <si>
    <t>The action reduces the need for pesticide use, decreases runoff and erosion, and increases soil organic matter.</t>
  </si>
  <si>
    <t>The action reduces soil erosion from wind.</t>
  </si>
  <si>
    <t>Land application equipment will tend to compact the soil in the area of travel.</t>
  </si>
  <si>
    <t>To the extent wastewater application increase hydraulic loading of the soil, there is some potential for increasing seeps.</t>
  </si>
  <si>
    <t>Water content of material applied from waste storage/treatment facilities can increase soil moisture.</t>
  </si>
  <si>
    <t xml:space="preserve">The action insures wastes are properly handled and contaminants are not available for infiltration. </t>
  </si>
  <si>
    <t>The action insures wastes are properly handled and pathogens are not available for infiltration or runoff.</t>
  </si>
  <si>
    <t xml:space="preserve">Proper handling of wastes will decrease the potential for surface water contamination in animal production areas.  </t>
  </si>
  <si>
    <t xml:space="preserve">The action insures wastes are properly handled and reduces the potential for salt runoff. </t>
  </si>
  <si>
    <t xml:space="preserve">The action requires ponding water, which will increase infiltration in ponded areas.  Infiltrating waters may leach pathogens.  </t>
  </si>
  <si>
    <t xml:space="preserve">The action increases infiltration of water and contaminants, including pathogens. </t>
  </si>
  <si>
    <t>The action decreases runoff and erosion.</t>
  </si>
  <si>
    <t>Material may contain weed seeds and other contaminants as a result of livestock consuming feed containing weed seed.</t>
  </si>
  <si>
    <t>Application aggregates soil particles making them less susceptible to detachment from concentrated flow.</t>
  </si>
  <si>
    <t xml:space="preserve">Maintaining sufficient canopy and residue cover reduces soil detachment by water. </t>
  </si>
  <si>
    <t xml:space="preserve">The action increases soil organic matter, biological activity, and pesticide uptake.  </t>
  </si>
  <si>
    <t>The action excludes surface water from the pesticide application site.</t>
  </si>
  <si>
    <t>The action diverts water from the pesticide application site.</t>
  </si>
  <si>
    <t>Trails and landings are located to avoid negative impacts on desirable plants as well as allow access for management activities to improve productivity, health and vigor.</t>
  </si>
  <si>
    <t>Thick and/or impenetrable mulch cover can prevent emergence of undesired species.</t>
  </si>
  <si>
    <t>Overstory trees are spaced and managed to reduce hazard.</t>
  </si>
  <si>
    <t>Impounded water is managed for aquatic species.</t>
  </si>
  <si>
    <t>Change in alignment, capacity, and velocity will cause a temporary increase in sediments and turbidity.</t>
  </si>
  <si>
    <t>Increased biomass and roots improve aggregation, which gives better resistance to compaction.</t>
  </si>
  <si>
    <t>The action increases runoff.</t>
  </si>
  <si>
    <t>The action reduces the need for pesticide use and increases soil organic matter.</t>
  </si>
  <si>
    <t>The action reduces the need for pesticide use by breaking pest lifecycles.</t>
  </si>
  <si>
    <t>Vegetation reduces soil erosion from wind and the resulting offsite sediment deposits</t>
  </si>
  <si>
    <t>Sediment is trapped as water velocity is reduced.</t>
  </si>
  <si>
    <t>The action eliminates a potential source of pathogens to the groundwater.</t>
  </si>
  <si>
    <t>Removal of canopy cover reduces the amount of shade and cooling effects on streams and water courses. Mitigation is part of practice design.</t>
  </si>
  <si>
    <t>Smoothing activities are temporary.</t>
  </si>
  <si>
    <t>Fish pathogens from facility wastewater could be discharged into surface waters. Mitigation is part of practice design.</t>
  </si>
  <si>
    <t>Management of multi layered canopy cover and organic matter impedes movement of harmful pathogens.</t>
  </si>
  <si>
    <t>Permanent vegetation traps air and slows movement of air, reducing wind velocities and wind stress on crops while providing a stable area to intercept air particles.</t>
  </si>
  <si>
    <t xml:space="preserve">Planned vegetation is installed and managed to control undesired species. </t>
  </si>
  <si>
    <t>In coastal areas pumping fresh groundwater may allow the intrusion of saltwater.</t>
  </si>
  <si>
    <t xml:space="preserve">Sealing the well will prevent soluble salts on the surface from reaching the groundwater through the well, or stop artesian flow.  </t>
  </si>
  <si>
    <t>Restored vegetation will uptake excess nutrients.</t>
  </si>
  <si>
    <t xml:space="preserve">Composting dead animals produces a stable product whose nutrients are slowly available to crops. </t>
  </si>
  <si>
    <t xml:space="preserve">The action decreases soil erosion by water and may increase water infiltration, thereby reducing the transport of nutrients and organics to surface water. </t>
  </si>
  <si>
    <t>Management of multi layered canopy cover and organic matter results in increased plant vigor and microbial activity reduces harmful pathogens.</t>
  </si>
  <si>
    <t>Plants and soil organisms uptake nutrients. Increase in tannins due to organic matter.</t>
  </si>
  <si>
    <t>Enhanced root growth and the reduction of concentrated contaminants improves plant health and vigor.</t>
  </si>
  <si>
    <t>Seepage may increase due to temporary storage behind the dikes.</t>
  </si>
  <si>
    <t>Provides for spill containment of fertilizer mixing operation</t>
  </si>
  <si>
    <t>Herbicides, if used, could reach surface water.</t>
  </si>
  <si>
    <t>Conditions created are temporary. The action is designed to recreate woody habitat/space.</t>
  </si>
  <si>
    <t>Breaks in vegetative cover may interrupt continuity of habitat for certain wildlife species and create diversity for other species\.</t>
  </si>
  <si>
    <t>Removal of slash increases forage access.</t>
  </si>
  <si>
    <t>Forage species can be favored on a long-term basis to maintain practice function.</t>
  </si>
  <si>
    <t>Rotations with grass and legumes and high residue crops will reduce erosion and runoff.</t>
  </si>
  <si>
    <t>Rationale</t>
  </si>
  <si>
    <t>Trees, shrubs and other vegetation reduce runoff, trap adsorbed pesticides, take up pesticide residues and may intercept pesticide drift.</t>
  </si>
  <si>
    <t>Areas for cover/shelter are created, restored, or enhanced.</t>
  </si>
  <si>
    <t>Removal of permanent vegetative cover may increase runoff and erosion and the delivery of sediment-attached nutrients to surface water.</t>
  </si>
  <si>
    <t>Road/Trail/Landing Closure and Treatment</t>
  </si>
  <si>
    <t>Possible seepage from pit.</t>
  </si>
  <si>
    <t>Permanent vegetation reduces wind erosion and generation of fugitive dust.</t>
  </si>
  <si>
    <t>The proper selection of crops in the rotation can reduce the generation of fugitive dust.</t>
  </si>
  <si>
    <t>Ground cover helps reduce wind erosion and generation of fugitive dust.</t>
  </si>
  <si>
    <t>Permanent cover helps reduce wind erosion and generation of fugitive dust.</t>
  </si>
  <si>
    <t>Surface roughness oriented perpendicular to the erosive wind direction will reduce wind erosion.</t>
  </si>
  <si>
    <t>Any effect will tend to be an increase in seepage because of controlled runoff that may increase infiltration.</t>
  </si>
  <si>
    <t>Stored water in basin will infiltrate adding to seepage problem.</t>
  </si>
  <si>
    <t>Basin will retard flows reducing the runoff and controlling water releases.</t>
  </si>
  <si>
    <t>Retarded water in basin will infiltrate adding to subsurface water.</t>
  </si>
  <si>
    <t>Water collected and removed from site.</t>
  </si>
  <si>
    <t>Subsurface water collected and removed from the site.</t>
  </si>
  <si>
    <t>Increased water infiltration that may move laterally to a seep area, particularly during fallow periods.</t>
  </si>
  <si>
    <t>Drifting snow traps results in increased water infiltration which will slightly reduce the potential for flooding or ponding.</t>
  </si>
  <si>
    <t>Efficient and uniform irrigation reduces transport to surface water</t>
  </si>
  <si>
    <t>Because of reduced sediment yields and runoff</t>
  </si>
  <si>
    <t>Water is applied at rates that minimize pathogens transport to surface water</t>
  </si>
  <si>
    <t>removal of cover may increase runoff and erosion</t>
  </si>
  <si>
    <t>Cover crops will add supplemental forage.</t>
  </si>
  <si>
    <t>Established vegetation may add forage for domestic animals.</t>
  </si>
  <si>
    <t>Forage production may be enhanced by increasing rooting depth and vigor.</t>
  </si>
  <si>
    <t>Improving vegetative cover will reduce runoff and erosion, and reduce the delivery of organics and nutrients to surface water.</t>
  </si>
  <si>
    <t>Managing residue to reduce soil disturbance and increase residue cover reduces erosion by water.</t>
  </si>
  <si>
    <t>Managing residue to reduce soil disturbance and increase residue cover reduces erosion by wind.</t>
  </si>
  <si>
    <t>Subsurface earthen channels increase infiltration by improving drainage and therefore decrease water runoff.</t>
  </si>
  <si>
    <t xml:space="preserve">Subsurface earthen channels improve drainage and may increase surface soil drying. </t>
  </si>
  <si>
    <t xml:space="preserve">Soil cover reduces erosion from water.   </t>
  </si>
  <si>
    <t xml:space="preserve">Soil cover reduces erosion from wind.   </t>
  </si>
  <si>
    <t xml:space="preserve">The action traps nutrients and organics which are broken down and used by wetland plants. </t>
  </si>
  <si>
    <t>Wetland systems will utilize dissolved nutrients and trap sediment-attached nutrients and organics.</t>
  </si>
  <si>
    <t>Permanent woody vegetation will utilize nutrients and filter suspended organic material from runoff.</t>
  </si>
  <si>
    <t>Application aggregates soil particles making them less susceptible to detachment from flowing water.</t>
  </si>
  <si>
    <t>Application aggregates soil particles making them less susceptible to detachment from wind energy.</t>
  </si>
  <si>
    <t>Increased animal traffic around developed water source will increase compaction potential especially if the soil is moist.</t>
  </si>
  <si>
    <t>Amendments can be used to alter the waste stream to remove salts, metals, and some pathogens.</t>
  </si>
  <si>
    <t>Vegetative strips reduce soil erosion from wind and the resulting offsite sediment transport.</t>
  </si>
  <si>
    <t>Suspended sediments are trapped.</t>
  </si>
  <si>
    <t>Collects and slows run-off to a non-erosive velocity.</t>
  </si>
  <si>
    <t>Although vegetation is manipulated, soil disturbance is minimal.</t>
  </si>
  <si>
    <t>Diverts damaging runoff and shorten slope length.</t>
  </si>
  <si>
    <t>Diverts overland flow that may reach streambanks.</t>
  </si>
  <si>
    <t>Control of water table - subsurface water is collected and conveyed to a proper outlet.</t>
  </si>
  <si>
    <t>Because of improved drainage.</t>
  </si>
  <si>
    <t>Road will provide better farm and irrigation equipment access.</t>
  </si>
  <si>
    <t>The action facilitates the removal of surface water, thus reducing percolation of water and nutrients.</t>
  </si>
  <si>
    <t>Less runoff reduces transport of soluble salts. Permanent vegetation can use excess water which reduces seepage.</t>
  </si>
  <si>
    <t>The action stimulates plants to take up and assimilate nutrients and organics more efficiently.</t>
  </si>
  <si>
    <t>The action entails the application of waste which increases the potential for groundwater contamination.</t>
  </si>
  <si>
    <t>Anaerobic Digester</t>
  </si>
  <si>
    <t>The action can reduce erosion and runoff which reduces transport of salts. Some crops may accumulate salts.</t>
  </si>
  <si>
    <t>The action can reduce the transport of wind-borne saline particles to surface water bodies.</t>
  </si>
  <si>
    <t>The action can reduce the rate at which salt-contaminated water is released, but has no effect on the amount of salt.</t>
  </si>
  <si>
    <t>Undesired species can colonize areas where vegetation has been treated.</t>
  </si>
  <si>
    <t>Restoration of degraded wetlands will improve habitat and water quality for many species; the number and types of species (for example nesting waterfowl or juvenile fish) that will benefit is dependent on the degree to which hydrological conditions and connections in the floodplain are improved.</t>
  </si>
  <si>
    <t>Actively managing wetlands (e.g., water levels), improves habitat for some species, and adversely affects others that become entrapped (e.g., fish); the taxa that benefit depend on the degree to which hydrological conditions are conserved.</t>
  </si>
  <si>
    <t>Water is temporarily stored, and sediment and debris are removed from runoff.</t>
  </si>
  <si>
    <t xml:space="preserve">Fish and wildlife habitat is a management objective. </t>
  </si>
  <si>
    <t>Proper nutrient application should minimize leaching losses.  Uses of manure for other than land application will decrease opportunity for water contamination.</t>
  </si>
  <si>
    <t>Removal of cover may increase transport of salinity if contained in runoff and erosion related sediments.</t>
  </si>
  <si>
    <t>Less runoff reduces transport potential of soluble salts.</t>
  </si>
  <si>
    <t>Basins will tend to accumulate contaminants attached to sediments, and infiltrating waters will remove soluble contaminants.</t>
  </si>
  <si>
    <t>Percolating water picks up salts that are then collected in tile lines and outletted to surface waters.</t>
  </si>
  <si>
    <t>Proper nutrient application should minimize runoff losses.  Uses of manure for other than land application will decrease opportunity for water contamination.</t>
  </si>
  <si>
    <t xml:space="preserve">Removal of shade-producing canopy will lead to an increase in surface water temperature, especially during low flows. </t>
  </si>
  <si>
    <t>Nutrients in the water diverted into a vertical drain is kept out of surface water.</t>
  </si>
  <si>
    <t>Over land return flows cause erosion on streambanks.</t>
  </si>
  <si>
    <t xml:space="preserve">Unsuitable aquatic plants are managed to maintain habitat values.  </t>
  </si>
  <si>
    <t>Infiltrating water in treatment area will increase soluble contaminants moving to groundwater, however there will be die-off as pathogens are trapped in the vegetation and increased microbial activity enhances competition with pathogens.</t>
  </si>
  <si>
    <t>Infiltration and plant uptake in the treatment area will remove contaminants from polluted runoff and waste water.</t>
  </si>
  <si>
    <t>Captured water in structures can supplement stock water.</t>
  </si>
  <si>
    <t xml:space="preserve">The action eliminates seepage losses from canals, which reduces the potential for movement of heavy metals to groundwater.    </t>
  </si>
  <si>
    <t xml:space="preserve">Ponds provide plant and animal foods for certain fish and wildlife.  </t>
  </si>
  <si>
    <t>Management enhances production and diversity of the plant community including food species.</t>
  </si>
  <si>
    <t>Grading and shaping activities eliminate or reduce food species.</t>
  </si>
  <si>
    <t>Establishment of permanent vegetation provide competition that slows the spread of noxious plants; other treatment removes noxious plants directly.</t>
  </si>
  <si>
    <t>Treatments restore hydrologic processes.</t>
  </si>
  <si>
    <t>Improved access increases ability to manage stands.</t>
  </si>
  <si>
    <t>Plants are selected and managed to maintain optimal productivity and health.</t>
  </si>
  <si>
    <t>Improved drainage can enhance plant health and vigor.</t>
  </si>
  <si>
    <t>The removal of competition increases desirable plant community health, vigor, and biodiversity.</t>
  </si>
  <si>
    <t>Could be slight worsening to slight improvement depending on whether salts are concentrated or removed from the land applied waste stream</t>
  </si>
  <si>
    <t>There is potential for a decrease in seep flow because of increased utilization of soil moisture, however there may be slight worsening due to increased infiltration, especially during dormant season.</t>
  </si>
  <si>
    <t>Mole drains tend to dry surface soils promoting oxidation of organic material.</t>
  </si>
  <si>
    <t>Water is removed from the profile creating a drier less compactable soil surface.</t>
  </si>
  <si>
    <t>Increased cover will reduce runoff.</t>
  </si>
  <si>
    <t>Better vegetation and cover can reduce overland flow.</t>
  </si>
  <si>
    <t>Conditions created are temporary.  The action is designed to recreate woody habitat/space.</t>
  </si>
  <si>
    <t>Reduced slope and water velocity will reduce erosion.</t>
  </si>
  <si>
    <t xml:space="preserve">Controlling erosion and runoff will reduce off-site sediment. </t>
  </si>
  <si>
    <t>Basin retains sediment, decreasing runoff turbidity.</t>
  </si>
  <si>
    <t>Ponding slows water velocity, allowing sediment to settle.</t>
  </si>
  <si>
    <t xml:space="preserve">Sediment originating from spoil no longer reaches water bodies. </t>
  </si>
  <si>
    <t>Reduces erosion on banks and shorelines.</t>
  </si>
  <si>
    <t>Crossing will prevent stream bank erosion and stream bottom sediment displacement.</t>
  </si>
  <si>
    <t>Improved vegetation and management will reduce streambank erosion and improve channel stability.</t>
  </si>
  <si>
    <t>Reduces erosion, slows water and wind velocities, increases infiltration.</t>
  </si>
  <si>
    <t>Decrease in water velocity will result in reduction in suspended sediments.</t>
  </si>
  <si>
    <t>Improved plant diversity and quantity and quality of vegetation provides habitat/space for wildlife.</t>
  </si>
  <si>
    <t>Conservation Crop Rotation</t>
  </si>
  <si>
    <t>Constructed Wetland</t>
  </si>
  <si>
    <t>Contour Buffer Strips</t>
  </si>
  <si>
    <t>Contour Farming</t>
  </si>
  <si>
    <t>Cover Crop</t>
  </si>
  <si>
    <t>Critical Area Planting</t>
  </si>
  <si>
    <t>Cross Wind Ridges</t>
  </si>
  <si>
    <t>Cross Wind Trap Strips</t>
  </si>
  <si>
    <t>Dam</t>
  </si>
  <si>
    <t>Dam, Diversion</t>
  </si>
  <si>
    <t>Deep Tillage</t>
  </si>
  <si>
    <t>Dike</t>
  </si>
  <si>
    <t>Diversion</t>
  </si>
  <si>
    <t>Drainage Water Management</t>
  </si>
  <si>
    <t>Dry Hydrant</t>
  </si>
  <si>
    <t>Early Successional Habitat Development/Mgt.</t>
  </si>
  <si>
    <t>Feed Management</t>
  </si>
  <si>
    <t>Fence</t>
  </si>
  <si>
    <t>Tall vegetation established near surface waters provides shade and reduces direct sunlight heating.</t>
  </si>
  <si>
    <t>Surface runoff retained will provide temporary water to wildlife as sediment is trapped,  improving water quality in watershed.</t>
  </si>
  <si>
    <t>Improved soil moisture may increase plant diversity and production as food for wildlife.</t>
  </si>
  <si>
    <t>Areas for food are created.</t>
  </si>
  <si>
    <t>Areas for cover/shelter are created.</t>
  </si>
  <si>
    <t>Equipment used in removing obstructions will tend to increase compaction in travel areas.</t>
  </si>
  <si>
    <t>The action decreases runoff and promotes aerobic degradation of pesticide residues.   Avoid direct outlet to surface water.</t>
  </si>
  <si>
    <t>The action reduces runoff, erosion and the need for pesticide use.  Impervious mulches may increase runoff.</t>
  </si>
  <si>
    <t>The action reduces runoff and traps adsorbed pesticides.</t>
  </si>
  <si>
    <t>Impact could be negligible to substantial worsening or improvement depending on species of concern.</t>
  </si>
  <si>
    <t>Anionic Polyacrylamide (PAM) Erosion Control</t>
  </si>
  <si>
    <t>Aquaculture Ponds</t>
  </si>
  <si>
    <t>Bedding</t>
  </si>
  <si>
    <t>Brush Management</t>
  </si>
  <si>
    <t>Clearing &amp; Snagging</t>
  </si>
  <si>
    <t>Composting Facility</t>
  </si>
  <si>
    <t>Conservation Cover</t>
  </si>
  <si>
    <t>Risk of wildfire and release of CO2 is diminished and decomposition of residual slash eventually becomes SOM.</t>
  </si>
  <si>
    <t>Additional habitat/space is available once water is available.</t>
  </si>
  <si>
    <t>Concentrated flow erosion control is part of practice.</t>
  </si>
  <si>
    <t>Lining decreases contamination immediately below the pond.</t>
  </si>
  <si>
    <t>Reduction in seepage due to less water seeping from ponds.</t>
  </si>
  <si>
    <t>Field Border</t>
  </si>
  <si>
    <t>Filter Strip</t>
  </si>
  <si>
    <t>Firebreak</t>
  </si>
  <si>
    <t>Fish Raceway or Tank</t>
  </si>
  <si>
    <t>Fishpond Management</t>
  </si>
  <si>
    <t>Forage Harvest Management</t>
  </si>
  <si>
    <t>Forest Stand Improvement</t>
  </si>
  <si>
    <t>Forest Trails and Landings</t>
  </si>
  <si>
    <t>Fuel Break</t>
  </si>
  <si>
    <t>Grade Stabilization Structure</t>
  </si>
  <si>
    <t>Grassed Waterway</t>
  </si>
  <si>
    <t>Grazing Land Mechanical Treatment</t>
  </si>
  <si>
    <t>Heavy Use Area Protection</t>
  </si>
  <si>
    <t>Hedgerow Planting</t>
  </si>
  <si>
    <t>Herbaceous Wind Barriers</t>
  </si>
  <si>
    <t>Hillside Ditch</t>
  </si>
  <si>
    <t>Irrigation Canal or Lateral</t>
  </si>
  <si>
    <t>Irrigation Field Ditch</t>
  </si>
  <si>
    <t>Irrigation Land Leveling</t>
  </si>
  <si>
    <t>Irrigation System, Microirrigation</t>
  </si>
  <si>
    <t>Irrigation System, Sprinkler</t>
  </si>
  <si>
    <t>Irrigation System, Surface &amp; Subsurface</t>
  </si>
  <si>
    <t>Irrigation System, Tailwater Recovery</t>
  </si>
  <si>
    <t>Pond</t>
  </si>
  <si>
    <t>Pond Sealing or Lining, Bentonite Sealant</t>
  </si>
  <si>
    <t>Pond Sealing or Lining, Compacted Clay Treatment</t>
  </si>
  <si>
    <t>Pond Sealing or Lining, Flexible Membrane</t>
  </si>
  <si>
    <t>Pond Sealing or Lining, Soil Dispersant</t>
  </si>
  <si>
    <t>Precision Land Forming</t>
  </si>
  <si>
    <t>Prescribed Burning</t>
  </si>
  <si>
    <t>Prescribed Grazing</t>
  </si>
  <si>
    <t>Pumping Plant</t>
  </si>
  <si>
    <t>Range Planting</t>
  </si>
  <si>
    <t>Recreation Area Improvement</t>
  </si>
  <si>
    <t>Recreation Land Grading and Shaping</t>
  </si>
  <si>
    <t>Residue and Tillage Management, Mulch Till</t>
  </si>
  <si>
    <t>Residue and Tillage Management, No Till/Strip Till/Direct Seed</t>
  </si>
  <si>
    <t>Residue and Tillage Management, Ridge Till</t>
  </si>
  <si>
    <t>Residue Management, Seasonal</t>
  </si>
  <si>
    <t>Improved irrigation efficiency improves crop health and vigor which decreases weed competition.</t>
  </si>
  <si>
    <t>Small irrigation applications and improved uniformity reduces seepage.</t>
  </si>
  <si>
    <t>The action provides better conveyance to waterways and other surface waters, reducing opportunity for infiltration.</t>
  </si>
  <si>
    <t xml:space="preserve">The action slows runoff, which may increase water infiltration, reducing the potential for transport of salts to surface water. </t>
  </si>
  <si>
    <t>The action results in slight increase of infiltration that could decrease soluble salts in runoff.</t>
  </si>
  <si>
    <t>The action reduces soil surface evaporation, increases infiltration and reduces runoff.</t>
  </si>
  <si>
    <t>Most productive, healthy and vigorous plants are retained.</t>
  </si>
  <si>
    <t>The uniform surface that results from this practice increases infiltration and reduces the potential for transport of nutrients to surface water.</t>
  </si>
  <si>
    <t>Land surface is formed to a non-erosive grade.</t>
  </si>
  <si>
    <t>Improved irrigation efficiency improves crop health and vigor which decrease weed competition.</t>
  </si>
  <si>
    <t>Erosion and runoff are reduced by the efficient application of irrigation water.</t>
  </si>
  <si>
    <t>A more uniform and efficient irrigation prevents losses to deep percolation.</t>
  </si>
  <si>
    <t>Water is applied more efficiently and uniformly.</t>
  </si>
  <si>
    <t>Lining eliminates water losses providing more water for irrigation.</t>
  </si>
  <si>
    <t>Pipe will convey water and make it possible to use more efficiently.</t>
  </si>
  <si>
    <t>Managed application of water for irrigation will increase the efficiency of use.</t>
  </si>
  <si>
    <t>Water diverted subsurface will reduce surface water flows.</t>
  </si>
  <si>
    <t>Better timing of waste application due to storage will minimize risk of runoff.</t>
  </si>
  <si>
    <t>Water development will decrease livestock trampling in wet areas and nearby streams.</t>
  </si>
  <si>
    <t>System traps sediment.</t>
  </si>
  <si>
    <t>The action stabilizes channel to prevent further erosion.</t>
  </si>
  <si>
    <t>Increased organic matter will buffer salts.</t>
  </si>
  <si>
    <t>Forage and Biomass Planting</t>
  </si>
  <si>
    <t>Movement of soils during construction and maintenance causes oxidation of the organic matter.</t>
  </si>
  <si>
    <t>Shaping of bedding areas increase removal of water from field.</t>
  </si>
  <si>
    <t>There will be increased infiltration, increased available water, and extended interflow yield.</t>
  </si>
  <si>
    <t>Calculated by amortizing the estimated average annual installation cost over the practice standard life of the practice and then adding expected annual O&amp;M costs in order to estimate the average annual cost of implementing the practice.</t>
  </si>
  <si>
    <t>Root penetration and organic matter helps restore soil structure and counteracts compactive forces of hooves as livestock traverse the grazed area.</t>
  </si>
  <si>
    <t xml:space="preserve">Adapted and managed vegetative production allows more efficient use of  available water. </t>
  </si>
  <si>
    <t>The uniform surface grade reduces ponding and excessive infiltration of contaminated water.</t>
  </si>
  <si>
    <t>Efficient and uniform irrigation reduces transport to ground water.</t>
  </si>
  <si>
    <t>Uniform water application reduces the potential for deep percolation.</t>
  </si>
  <si>
    <t>Water is applied at rates and times that minimize nutrient transport to ground water.</t>
  </si>
  <si>
    <t>An estimate, based on national data, of the average total cost of installing a typical or representative case of the conservation practice. This figure includes only "cost-shareable" expenses and is intended to give conservation planners a rough or "ballpark" idea as to the relative costs of implementing different conservation practices. It is not intended for use as the basis for calculating actual cost estimates for specific conservation systems or practices on individual land units.</t>
  </si>
  <si>
    <t>Estimated Average Annual Cost</t>
  </si>
  <si>
    <t>Composting kills pathogens.</t>
  </si>
  <si>
    <t>Permanent vegetation will uptake excess nutrients.</t>
  </si>
  <si>
    <t>Any salinity in runoff or wastewater will be assimilated in the wetland rather than infiltrating to groundwater.</t>
  </si>
  <si>
    <t>Microbial activity in wetlands can reduce pathogen levels.</t>
  </si>
  <si>
    <t>Increased water infiltration could move pathogens into the soil.</t>
  </si>
  <si>
    <t>Trees and shrubs take up pesticide residues and may intercept pesticide drift.  Also, the practice reduces runoff and erosion.</t>
  </si>
  <si>
    <t>Pesticides may be used to control brush.</t>
  </si>
  <si>
    <t>Water is applied at rates that minimize salinity transport to ground water.</t>
  </si>
  <si>
    <t>The action may attract beneficial insects or trap insect pests, reducing the need for pesticide applications.</t>
  </si>
  <si>
    <t>The action causes a decrease in ponding and a more uniform infiltration.</t>
  </si>
  <si>
    <t>Correct row arrangement provides better drainage control.</t>
  </si>
  <si>
    <t>Water is applied at rates that minimize pathogen transport to ground water.</t>
  </si>
  <si>
    <t xml:space="preserve">A strip with bare soil or reduction in vegetative cover and surface litter has potential for increases in erosive water energy. </t>
  </si>
  <si>
    <t>The plant species selected will be adapted to meet the seasonal distribution of moisture.</t>
  </si>
  <si>
    <t>Better infiltration could increase leaching, but increased microbial activity increases competition with pathogens.</t>
  </si>
  <si>
    <t>Water discharges are generally warmer than ambient temperature of receiving waters</t>
  </si>
  <si>
    <t>Eventual canopy cover of stand will shade streams.</t>
  </si>
  <si>
    <t xml:space="preserve">Contour Buffer Strips reduce sheet and rill erosion and slow the velocity of runoff, thereby reducing the transport of sediment to surface water </t>
  </si>
  <si>
    <t>Separation could favorably alter the waste stream to better provide the needs of growing feed and forage, but this would be minor impact</t>
  </si>
  <si>
    <t>Stream banks on and off site will benefit from controlled flows.</t>
  </si>
  <si>
    <t xml:space="preserve">Controlled flow will reduce gulley erosion down slope of basin. </t>
  </si>
  <si>
    <t xml:space="preserve">Constructing or improving channels may increase or decrease cover/shelter for fish and wildlife. </t>
  </si>
  <si>
    <t>Plant species are selected that are well-adapted and compatible to the site and provide food for wildlife.</t>
  </si>
  <si>
    <t>Trails provide firebreaks and access to sites for fuel reduction activities.</t>
  </si>
  <si>
    <t>Management reduces fuel loadings.</t>
  </si>
  <si>
    <t>Cropland taken out of production</t>
  </si>
  <si>
    <t>The action results in increased vigor of plant community which may increase contaminant uptake.</t>
  </si>
  <si>
    <t>The action may result in some uptake by plants.</t>
  </si>
  <si>
    <t>Existing areas for food are enhanced.</t>
  </si>
  <si>
    <t xml:space="preserve">Although water retained in basin is warmer than flowing surface water, discharge to surface waters is unlikely. </t>
  </si>
  <si>
    <t>Springs are cooler than surface water and their proximity to streams moderates stream temperatures, via hyporheic exchange. Development of springs may decrease amount of hyporheic water in channel. .</t>
  </si>
  <si>
    <t>Restoration of riparian conditions will contribute to moderation of stream temperatures.</t>
  </si>
  <si>
    <t>Surface water is conveyed relatively quickly, reducing the risk of warming.</t>
  </si>
  <si>
    <t>Near streams and other water bodies, trees and shrubs provide shade to moderate water temperature.</t>
  </si>
  <si>
    <t xml:space="preserve">The slope length of the concentrated flow channel is shortened. </t>
  </si>
  <si>
    <t>Maintaining water table in the root zone decreases oxidation of organic matter.  Lowering water table can increase oxidation in certain situations.</t>
  </si>
  <si>
    <t>Increased recreation use and disturbance reduces habitat availability.</t>
  </si>
  <si>
    <t>Liner will retain a substantial amount of contaminants in the pond.  The magnitude of the effect will depend on the integrity of the pond before lining.</t>
  </si>
  <si>
    <t>Lining decreases contamination immediately below the pond, but salts often used as dispersants can migrate below the pond.</t>
  </si>
  <si>
    <t>Roof runoff is collected and conveyed to a safe outlet.</t>
  </si>
  <si>
    <t>Establishment of permanent vegetation reduces erosion by water.</t>
  </si>
  <si>
    <t xml:space="preserve">Vegetative terraces may shorten the unsheltered distance and trap saltating soil particles when orientation is across the prevailing wind erosion direction.        </t>
  </si>
  <si>
    <t>Storage provides flexibility in rate, timing, and location of waste application; however, there could be some increase in infiltration of soluble contaminants at storage site.</t>
  </si>
  <si>
    <t>The action reduces soil erosion from wind which decreases the potential for transport of soil-adsorbed nutrients to surface water.</t>
  </si>
  <si>
    <t>The action increases organic matter promoting microbial activity which competes with pathogens.</t>
  </si>
  <si>
    <t xml:space="preserve">The action will alter the timing and possibly amount of drainage.  Holding water in root zone may contribute to pathogen die-off.  </t>
  </si>
  <si>
    <t>Plant species are selected that are well-adapted and compatible to the site and provide cover for wildlife.</t>
  </si>
  <si>
    <t xml:space="preserve">Travel-ways and cleared areas are treated to minimize soil detachment by water. </t>
  </si>
  <si>
    <t>Seepage from ditch or canal will be eliminated.</t>
  </si>
  <si>
    <t xml:space="preserve">The infiltration that occurs in the tailwater pond will reduce the amount of salt leaving the field.  </t>
  </si>
  <si>
    <t>Recovery and storage of tailwater eliminates runoff and ponding.</t>
  </si>
  <si>
    <t>Seepage from pit.</t>
  </si>
  <si>
    <t>The action impounds water which has the potential to transport nutrients to groundwater.</t>
  </si>
  <si>
    <t xml:space="preserve">The action reduces the velocity of runoff and traps drifting snow resulting in increased water infiltration which could move salts to groundwater. </t>
  </si>
  <si>
    <t>The action increases infiltration which is offset by increased soil organic matter and biological activity .</t>
  </si>
  <si>
    <t>Where well flows are used for irrigation, contaminants can be leached below the root zone.</t>
  </si>
  <si>
    <t>Water ponding promotes growth of wetland vegetation and reduces decomposition of soil organic matter.</t>
  </si>
  <si>
    <t>Support vegetation or diversion may reduce salinity from run-in water</t>
  </si>
  <si>
    <t>Support vegetation or diversion may trap and allow pesticides to degrade before surface water enters the sinkhole</t>
  </si>
  <si>
    <t>Reduction in nutrients and organic concentrations in run-in water may reduce them in water bodies that receive ground water.</t>
  </si>
  <si>
    <t>Reduction in sediment concentrations in run-in water may reduce sediment yield in water bodies that receive ground water.</t>
  </si>
  <si>
    <t>Impervious materials prevents erosion.</t>
  </si>
  <si>
    <t>Water is applied at rates that minimize soil erosion.</t>
  </si>
  <si>
    <t>Control of onsite  water reduces seepage.</t>
  </si>
  <si>
    <t>Formation of clods will reduce wind erosion.</t>
  </si>
  <si>
    <t>Terraces slow water and allow sediment deposition.</t>
  </si>
  <si>
    <t>Improved forage management improves water use efficiency.</t>
  </si>
  <si>
    <t>Depending on crop rotation and biomass produced, crop rotation reduces erosion and runoff which reduces transport of  sediment.</t>
  </si>
  <si>
    <t>Depending on crop rotation, less erosion and runoff reduces delivery of pathogens.</t>
  </si>
  <si>
    <t>Enhanced ground cover will reduce particulate generation.</t>
  </si>
  <si>
    <t>The action stabilizes channel to prevent further erosion</t>
  </si>
  <si>
    <t>The action is designed to prevent subsidence around mine area.</t>
  </si>
  <si>
    <t xml:space="preserve">Properly handled mortality will prevent  contamination.  </t>
  </si>
  <si>
    <t>The action reduces erosion and runoff, reducing the loss of dissolved and sediment-bound nutrients from the site.</t>
  </si>
  <si>
    <t>521D</t>
  </si>
  <si>
    <t>Increased cover and growing vegetation will increase soil organic matter.</t>
  </si>
  <si>
    <t>Increased root growth will decrease compaction.</t>
  </si>
  <si>
    <t>Retarded water in basin will infiltrate causing seepage problems below basin.</t>
  </si>
  <si>
    <t>Basin will retard flows reducing runoff.</t>
  </si>
  <si>
    <t>Retarded water in basin will infiltrate causing increased subsurface water.</t>
  </si>
  <si>
    <t xml:space="preserve">The action reduces sheet and rill erosion and can increase water infiltration, thereby reducing the transport of nutrients and organics to surface water. </t>
  </si>
  <si>
    <t xml:space="preserve">The action decreases sheet and rill erosion and may increase water infiltration, thereby reducing the transport of nutrients and organics to surface water. </t>
  </si>
  <si>
    <t>The action reduces erosion and runoff and transport of nutrients. Cover crops can uptake excess nutrients.</t>
  </si>
  <si>
    <t>The action reduces erosion and sediment-attached nutrient delivery to surface water.  Permanent vegetation will uptake nutrients.</t>
  </si>
  <si>
    <t>Improved vegetation due to better distribution of water will filter and reduce water borne contaminants.  In addition, better distribution of animals results in less concentration of contaminants.</t>
  </si>
  <si>
    <t>Rows are arranged in direction, grade, and length to reduce erosion</t>
  </si>
  <si>
    <t>Reduced erosion and sediment load can create water energy/stream bank erosion from runoff</t>
  </si>
  <si>
    <t>Reduced erosion reduces loss of organic material in sediments</t>
  </si>
  <si>
    <t>Improved moisture control may result in leaching of contaminants below the root zone</t>
  </si>
  <si>
    <t>Improved management will improve quantity and quality of feed and forage.</t>
  </si>
  <si>
    <t>Grazing management considers location of animals and available shelter(s) throughout the year.</t>
  </si>
  <si>
    <t>Agrichemical Handling Facility</t>
  </si>
  <si>
    <t>Provides for spill containment of pesticide mixing operation</t>
  </si>
  <si>
    <t>Less runoff reduces transport of soluble salts. Growing vegetation can use excess water which reduces seepage.</t>
  </si>
  <si>
    <t>The action stabilizes existing and prevent future gully erosion.</t>
  </si>
  <si>
    <t>The action not installed in gully area</t>
  </si>
  <si>
    <t>Water from roof is delivered to stable outlet, minimizing surface erosion.</t>
  </si>
  <si>
    <t>Spring flows are typically better quality than surface flows allowing opportunity for dilution.  Effect depends on the proportion of one flow to the other.</t>
  </si>
  <si>
    <t>Undesired aquatic vegetation is controlled by management.</t>
  </si>
  <si>
    <t>Site conditions are managed to minimize undesired vegetation.</t>
  </si>
  <si>
    <t>Filling in the pond will make maintenance somewhat easier so undesirable species can be controlled.</t>
  </si>
  <si>
    <t>Leaching of saline and sodic soils will be intercepted before salinity reaches groundwater.</t>
  </si>
  <si>
    <t>Reducing water table increases oxidation of organic matter</t>
  </si>
  <si>
    <t>By providing an alternate water source animal traffic on streambanks is removed reducing erosion.</t>
  </si>
  <si>
    <t>Trees and other vegetation are cut or killed but woody debris is left on site in contact with the ground surface.</t>
  </si>
  <si>
    <t>More uniform applications reduces ponding and excessive tailwater runoff.</t>
  </si>
  <si>
    <t>Field operations on moist soils cause soil compaction.</t>
  </si>
  <si>
    <t>Excess nitrogen promotes shoot growth in relation to root growth.</t>
  </si>
  <si>
    <t>Proper waste utilization will not result in salt build up.</t>
  </si>
  <si>
    <t>May avoid or increase effects (due to new vegetative growth)</t>
  </si>
  <si>
    <t>Construction impacts may occur</t>
  </si>
  <si>
    <t>Construction impacts possible; may support culturally significant plants</t>
  </si>
  <si>
    <t>Vegetation retards sediment-laden water to allow it to drop sediment load.</t>
  </si>
  <si>
    <t>Improved production and vegetative density removes CO2 from the air and stores it in the form of carbon in the plants and soil.</t>
  </si>
  <si>
    <t>Reduces concentrated flow from the land unit. May increase sediment carrying capacity of runoff water entering stream.</t>
  </si>
  <si>
    <t>Because of increased infiltration</t>
  </si>
  <si>
    <t>Reduced use of machinery reduces CO2 emissions and increases soil carbon storage.</t>
  </si>
  <si>
    <t>Plants and soil organisms in the buffer will utilize nutrients.  The buffer will filter out suspended particles to which nutrients are attached.</t>
  </si>
  <si>
    <t xml:space="preserve">Contouring reduces sheet and rill erosion and slows the velocity of runoff, thereby reducing the transport of sediment to surface water </t>
  </si>
  <si>
    <t>Less erosion and runoff reduces transport of sediment.</t>
  </si>
  <si>
    <t>Less erosion and runoff reduces delivery of pathogens.</t>
  </si>
  <si>
    <t>Concentrated flow is eliminated and excess water conveyed to safe outlet</t>
  </si>
  <si>
    <t>Reducing stream flows will reduce habitat for aquatic species that live in streams.</t>
  </si>
  <si>
    <t>Reducing stream flows will reduce habitat for aquatic species and water supply for riparian species.</t>
  </si>
  <si>
    <t>Stabilized channels increase suitable space for fish.</t>
  </si>
  <si>
    <t>Additional wetland space is created.</t>
  </si>
  <si>
    <t>Additional early habitat/space is created.</t>
  </si>
  <si>
    <t>Additional pond habitat/space is created.</t>
  </si>
  <si>
    <t>Provides additional vertical habitat/space.</t>
  </si>
  <si>
    <t xml:space="preserve">Herbaceous wind barriers can provide additional habitat/space.                </t>
  </si>
  <si>
    <t>There will be enhancement of protective riparian vegetation.</t>
  </si>
  <si>
    <t>The land application process may disturb the soil surface and increase the potential of erosion by water.</t>
  </si>
  <si>
    <t xml:space="preserve">The action utilizes excess nutrients and increases organic matter. The additional organic matter will increase cation exchange capacity which will hold nutrients. </t>
  </si>
  <si>
    <t xml:space="preserve">The action reduces the velocity of runoff and traps drifting snow resulting in increased water infiltration which could move nutrients and organics to groundwater. </t>
  </si>
  <si>
    <t xml:space="preserve">The action reduces the velocity of runoff, resulting in increased water infiltration which could move nutrients and organics to groundwater. </t>
  </si>
  <si>
    <t>Increased surface water movement carries soil particles to waterways.</t>
  </si>
  <si>
    <t>Maintaining stable channels usually results in decreased suspended sediment.</t>
  </si>
  <si>
    <t>System traps and holds suspended materials from entering surface waters.</t>
  </si>
  <si>
    <t>Vegetation will reduce erosion and transport of sediment.</t>
  </si>
  <si>
    <t>Management of plant communities reduces fuel loads.</t>
  </si>
  <si>
    <t>Activities reduce and isolate fuel loads.</t>
  </si>
  <si>
    <t xml:space="preserve">Increased cover during erosive periods will reduce concentrated flow and associated soil detachment.    </t>
  </si>
  <si>
    <t xml:space="preserve">Adding roughness to the soil across the prevailing wind direction reduces saltation. </t>
  </si>
  <si>
    <t xml:space="preserve">A channel across the slope reduces the slope length and the opportunity for runoff water to detach soil particles.    </t>
  </si>
  <si>
    <t>Contaminated soil will be removed from the surface and buried using precautions that prevent water contamination</t>
  </si>
  <si>
    <t>Improved vegetative cover will reduce runoff causing erosion.</t>
  </si>
  <si>
    <t>Gully will be stabilized by grading and reshaping for recreation.</t>
  </si>
  <si>
    <t>Streambanks will be stabilized by grading and reshaping for recreation.</t>
  </si>
  <si>
    <t>Management options are increased.  Proper field application of nutrients should minimize runoff losses.</t>
  </si>
  <si>
    <t>Plants may take up some salts, and increased root penetration improves infiltration that may lead to increased leaching.</t>
  </si>
  <si>
    <t>Improved vegetative cover removes CO2 from the air and stores it in the form of carbon in the plants and soil.</t>
  </si>
  <si>
    <t>If used, vegetation removes CO2 from the air and stores it in the form of carbon in the plants and soil.</t>
  </si>
  <si>
    <t>Removal of overstory canopy increases amounts and vigor of erosion-controlling ground cover.</t>
  </si>
  <si>
    <t>Onsite gullies are reclaimed and stabilized.</t>
  </si>
  <si>
    <t>Any salts in surface runoff will be detained in the wetland. Some wetland plants may take up salts.</t>
  </si>
  <si>
    <t xml:space="preserve">Increased soil microbial activity will enhance competition with pathogens.  </t>
  </si>
  <si>
    <t>Vegetation and surface litter reduces erosive water energy.</t>
  </si>
  <si>
    <t>Roots of vegetation binds the soil making it resistant to water flow erosion.</t>
  </si>
  <si>
    <t>The action limits seepage to prevent leaching of pathogens from the pond.</t>
  </si>
  <si>
    <t>The action may increase soil microbial activity enhancing competition with pathogens.</t>
  </si>
  <si>
    <t>Renovated tall vegetation creates vertical habitat structure and enhanced space for wildlife.</t>
  </si>
  <si>
    <t>Water is distributed for more efficient use.</t>
  </si>
  <si>
    <t>Infiltrating water and soluble salts are removed through the drainage system.</t>
  </si>
  <si>
    <t>Storage will allow better management of waste as to rate and timing of application, which allows application when compaction is least likely.</t>
  </si>
  <si>
    <t>Infiltration in the treatment area may remove some salts from polluted runoff and waste water.</t>
  </si>
  <si>
    <t>Can be used to prevent need for long term storage of manure</t>
  </si>
  <si>
    <t>Treatment area will receive excess nutrients which could be toxic and diminish plant health.</t>
  </si>
  <si>
    <t>Area provides only limited additional space for most species.</t>
  </si>
  <si>
    <t>Crop or grassland converted to VTA</t>
  </si>
  <si>
    <t>Terrace embankments will collect snow</t>
  </si>
  <si>
    <t>Wastewater discharge  from ponds could result in groundwater contamination.</t>
  </si>
  <si>
    <t>Channels between beds facilitate surface drainage and reduce infiltration.</t>
  </si>
  <si>
    <t>Restoration of habitat adjacent to streams or water bodies will moderate surface water temperatures.</t>
  </si>
  <si>
    <t>Riparian areas capture and delay pathogen movement and increase pathogen mortality.  Soil microbial activity enhances competition with pathogens.</t>
  </si>
  <si>
    <t>Seepage is controlled by vegetation uptake and other hydrologic treatments.</t>
  </si>
  <si>
    <t>Hydrologic processes are restored through vegetative and other treatments.</t>
  </si>
  <si>
    <t>Vegetation and other treatments reduce erosion and sediment delivery.</t>
  </si>
  <si>
    <t>Permanent cover and other treatments help reduce wind erosion and wind and traffic generation of fugitive dust.</t>
  </si>
  <si>
    <t>Improved drainage enhances growing environment for non-hydrophytes.  If hydrophytes are desired, drainage will increase the problem.</t>
  </si>
  <si>
    <t>Mulching materials improve growing conditions contributing to increased plant  health and vigor.</t>
  </si>
  <si>
    <t>Nutrients and soil amendments are optimized to enhance health and vigor of desired species.</t>
  </si>
  <si>
    <t>Management enhances production of any food species planted.</t>
  </si>
  <si>
    <t>Planted species provide food for certain species.</t>
  </si>
  <si>
    <t>Permanent vegetation will increase roots and organic matter and result in less field operations to cause compaction.</t>
  </si>
  <si>
    <t>Permanent vegetation can trap snow.</t>
  </si>
  <si>
    <t xml:space="preserve">An area of land with a reduction in vegetative cover and surface litter has potential for increases in erosive water energy. </t>
  </si>
  <si>
    <t>Nutrient cycling is diminished on areas with reduced vegetation.</t>
  </si>
  <si>
    <t>Establishment of permanent woody vegetation can lead to increased root and shoot development. Decomposition increases soil organic matter.</t>
  </si>
  <si>
    <t>Additional habitat/space is available once spring water is available.</t>
  </si>
  <si>
    <t>Stabilized banks and shoreline increase suitable space for fish.</t>
  </si>
  <si>
    <t>Restored habitats increase suitable space for fish.</t>
  </si>
  <si>
    <t>The action reduces infiltration and seepage from waterways.</t>
  </si>
  <si>
    <t>The action removes concentrated flows before they infiltrate.</t>
  </si>
  <si>
    <t>The action may result in minor amounts of increased infiltration due to retarding flows with better vegetative cover.</t>
  </si>
  <si>
    <t>The action may result in minor amounts of increased infiltration (less surface flows) due to retarding flows with better vegetative cover.</t>
  </si>
  <si>
    <t>The action may remove obstruction that catches snow.</t>
  </si>
  <si>
    <t>588</t>
  </si>
  <si>
    <t>The action reduces runoff and erosion.  Also, the borders may attract beneficial insects or trap insect pests, reducing the need for pesticide applications.</t>
  </si>
  <si>
    <t>The action reduces runoff and traps adsorbed pesticides.  Also, the strips may attract beneficial insects or trap insect pests, reducing the need for pesticide applications.</t>
  </si>
  <si>
    <t>The action increases infiltration and traps adsorbed pesticides.</t>
  </si>
  <si>
    <t>The action reduces pesticide drift and may reduce runoff and erosion.  Also, the borders may attract beneficial insects or trap insect pests which reduce the need for pesticide applications.</t>
  </si>
  <si>
    <t>Managed foot traffic increases vegetative cover.</t>
  </si>
  <si>
    <t>Reduced use of machinery reduces ozone precursor emissions.</t>
  </si>
  <si>
    <t>Facility will properly treat manure or other agricultural by-products into a stable material. The nutrients are slowly available and less susceptible to losses from runoff or leaching.</t>
  </si>
  <si>
    <t>Water diverted to the subsurface may contain some pathogens.</t>
  </si>
  <si>
    <t xml:space="preserve">Contour Farming reduces sheet and rill erosion and slows the velocity of runoff, thereby reducing the transport of sediment to surface water </t>
  </si>
  <si>
    <t>Reduced runoff because of more efficient application</t>
  </si>
  <si>
    <t>Possible chemical impacts to organic remains</t>
  </si>
  <si>
    <t>Adverse effects possible during planting and/or removal</t>
  </si>
  <si>
    <t>Treatment may affect archaeological sites positively by decreasing erosion or negatively through mechanical activity</t>
  </si>
  <si>
    <t>Effects will vary, if any, dependent upon type of facility selected</t>
  </si>
  <si>
    <t>Management improves vegetative cover, decrease runoff, and increased soil microbiological activity.</t>
  </si>
  <si>
    <t>Waterway acts as filter and reduces pathogens in the runoff</t>
  </si>
  <si>
    <t>Collects runoff and delivers possible pesticides to surface water</t>
  </si>
  <si>
    <t>Return flows from canals may deliver possible contaminates to surface water</t>
  </si>
  <si>
    <t>Removal of canopy/woody vegetation exposes the site and increases mortality of pathogens that would have otherwise entered ground water.</t>
  </si>
  <si>
    <t>Using amendments and separation could create high organic residues that when land applied could increase soil organic matter in excess of the application of untreated manure</t>
  </si>
  <si>
    <t>If used to manage water tables, this practice may increase or decrease organic matter oxidation.</t>
  </si>
  <si>
    <t xml:space="preserve">Removal of trees, stumps, and other vegetation increases runoff and erosion. </t>
  </si>
  <si>
    <t>Removing irregularities on the land surface reduces runoff.</t>
  </si>
  <si>
    <t>Reshaping the surface of the land reduces erosion.</t>
  </si>
  <si>
    <t>Managing for desirable plant vigor reduces runoff, erosion, and the need for pesticide applications.</t>
  </si>
  <si>
    <t>Soils have less risk of compaction when they are dryer.</t>
  </si>
  <si>
    <t xml:space="preserve">Surface and subsurface drainage diverted to underground strata and not available to surface problems.  </t>
  </si>
  <si>
    <t>Reduced seepage from the pond will result in less contribution to the ground water, particularly in the immediate area of the pond.</t>
  </si>
  <si>
    <t>Unlined earthen waste storage ponds do leak and may allow movement of pathogens to groundwater.</t>
  </si>
  <si>
    <t>Gullies are typically not part of practice setting.</t>
  </si>
  <si>
    <t>Removal of surface water with soluble contaminants will reduce soil concentrations.</t>
  </si>
  <si>
    <t>The land application process may disturb the soil surface and increase the potential of erosion by wind.</t>
  </si>
  <si>
    <t>Improved drainage promotes surface runoff and reduces infiltration, reducing potential for pathogen movement to groundwater.</t>
  </si>
  <si>
    <t>May provide a water source for infiltration that will add to subsurface water.</t>
  </si>
  <si>
    <t>The canal may intercept runoff and act as floodways.</t>
  </si>
  <si>
    <t>The action increases infiltration which may provide transport for nutrients.</t>
  </si>
  <si>
    <t xml:space="preserve">Reducing soil profile saturation increases infiltration by improving drainage and therefore decreases water runoff. </t>
  </si>
  <si>
    <t>Terrace shortens slope length and reduces erosion by water.</t>
  </si>
  <si>
    <t>Permanent vegetation planted across the slope reduces erosive water energy.</t>
  </si>
  <si>
    <t>Stiff-stemmed, permanent vegetation traps saltating particles. More roughened surface slows wind velocities.</t>
  </si>
  <si>
    <t>Vegetation across the slope reduces erosive energy of concentrated flows where they exit the field.</t>
  </si>
  <si>
    <t>Permanent cover and lack of soil disturbance reduces decomposition of soil organic materials such as roots and allows accumulation.</t>
  </si>
  <si>
    <t xml:space="preserve">Root penetration and organic matter helps restore soil structure. </t>
  </si>
  <si>
    <t>Removing woody debris from stream reduces aquatic habitat.</t>
  </si>
  <si>
    <t xml:space="preserve">Increased quality and quantity of vegetation provides more food for wildlife. </t>
  </si>
  <si>
    <t xml:space="preserve">Increased quality and quantity of vegetation provides more cover for wildlife. </t>
  </si>
  <si>
    <t>Stiff stemmed herbaceous vegetation established across the prevailing wind erosion direction reduces soil erosion from wind by trapping saltating soil particles and sheltering an area down wind.</t>
  </si>
  <si>
    <t xml:space="preserve">Provides permanent water storage. </t>
  </si>
  <si>
    <t xml:space="preserve">Retention of water in pond will allow more optimal use of water.  </t>
  </si>
  <si>
    <t xml:space="preserve">Retention of water in pond will allow more optimal use of water. </t>
  </si>
  <si>
    <t>Profitability - Change in Profitability</t>
  </si>
  <si>
    <t>Operations &amp; Maintenance Factor</t>
  </si>
  <si>
    <t>Practice Life</t>
  </si>
  <si>
    <t>Ponds may provide incidental use by wildlife.</t>
  </si>
  <si>
    <t>The stabilized channel provides more and deeper pools.</t>
  </si>
  <si>
    <t>The wetland  provides additional water but it will likely be chemical-laden and unfit for fish and wildlife use.</t>
  </si>
  <si>
    <t>Seasonal flooding provides water for some species.</t>
  </si>
  <si>
    <t>Gullies are stabilized with retention of some water in or near structures.</t>
  </si>
  <si>
    <t>Water will be temporarily available in the ditch.</t>
  </si>
  <si>
    <t>Water will be temporarily available in the canal.</t>
  </si>
  <si>
    <t>Control of water surface elevations keeps the soil surface moist and prevents soil detachment by wind.</t>
  </si>
  <si>
    <t xml:space="preserve">Maintaining a vigorous vegetative cover will reduce soil detachment by water.  </t>
  </si>
  <si>
    <t>Nutrient cycling is halted on strips left unvegetated.</t>
  </si>
  <si>
    <t>Replacement of older pumping plants with more efficient internal combustion engines or electric motors will reduce emissions of ozone precursors, however, new placement of internal combustion engines will result in increase in emission of ozone precursors.</t>
  </si>
  <si>
    <t>Vegetative cover reduces wind erosion and fugitive dust generation.</t>
  </si>
  <si>
    <t xml:space="preserve">The action may prevent outside water from percolating through mine shaft and moving dissolved contaminants to ground water.  </t>
  </si>
  <si>
    <t>The action prevents contaminants in the pond from moving below the pond to the groundwater.</t>
  </si>
  <si>
    <t>The action may promote contaminant uptake by plants.</t>
  </si>
  <si>
    <t>The action smoothes the surface which increases infiltration and reduces transport of nutrients to surface waters.</t>
  </si>
  <si>
    <t>Slight Worsening</t>
  </si>
  <si>
    <t>Moderate Worsening</t>
  </si>
  <si>
    <t>Substantial Worsening</t>
  </si>
  <si>
    <t>Slight to Moderate Worsening</t>
  </si>
  <si>
    <t>Moderate to Substantial Worsening</t>
  </si>
  <si>
    <t>Slight to Moderate Improvement</t>
  </si>
  <si>
    <t>Moderate to Substantial Improvement</t>
  </si>
  <si>
    <t>Slight Improvement</t>
  </si>
  <si>
    <t>Moderate Improvement</t>
  </si>
  <si>
    <t>Substantial Improvement</t>
  </si>
  <si>
    <t xml:space="preserve">Improved plant production and vegetative cover reduces erosion from water. </t>
  </si>
  <si>
    <t xml:space="preserve">Improved plant production and vegetative cover reduces erosion from wind. </t>
  </si>
  <si>
    <t>Diversions collect and slow run-off to a non-erosive velocity.</t>
  </si>
  <si>
    <t>Soil disturbance increases erosion from the site.</t>
  </si>
  <si>
    <t>Trails will be designed to minimize erosion.</t>
  </si>
  <si>
    <t>Erosion control and revegetation will reduce concerns about sediments.</t>
  </si>
  <si>
    <t>Basin retains sediment and minimizes turbidity</t>
  </si>
  <si>
    <t>Pond water discharges will be warmer than ambient temperature of receiving waters.</t>
  </si>
  <si>
    <t>Herbaceous plants provide some shade and protect banks, moderating stream temperature.</t>
  </si>
  <si>
    <t>Equipment movement during construction and maintenance may cause compaction.</t>
  </si>
  <si>
    <t>Using amendments could create high organic residues that when land applied could increase soil organic matter in excess of the application of untreated manure</t>
  </si>
  <si>
    <t>Reduced peak flows downstream from embankment.</t>
  </si>
  <si>
    <t>Reduces overland flow</t>
  </si>
  <si>
    <t xml:space="preserve">Causes higher water depths and velocities. </t>
  </si>
  <si>
    <t>Overland flow is diverted from gully.</t>
  </si>
  <si>
    <t>Improved plant uptake reduces excessive seepage.</t>
  </si>
  <si>
    <t>Provide temporary flood storage.</t>
  </si>
  <si>
    <t>There could be some water contaminants on site, but overall impact of practice will be small.  The action tends to increase on site infiltration/reduce runoff to off site.</t>
  </si>
  <si>
    <t>No Effect</t>
  </si>
  <si>
    <t xml:space="preserve">Improved soil moisture facilitates improved health and vigor of desirable vegetation therefore reducing invasion of noxious weed. </t>
  </si>
  <si>
    <t>Helps collect excess water and convey to other locations where the water maybe used.</t>
  </si>
  <si>
    <t>Vegetation across the slope traps sediment preventing it from being deposited elsewhere.</t>
  </si>
  <si>
    <t>Restored vegetation traps sediment preventing it from being deposited elsewhere.</t>
  </si>
  <si>
    <t>vegetation traps pathogens providing increased opportunity for solar and microbial action to destroy some</t>
  </si>
  <si>
    <t>Barriers should increase infiltration of water and any associated pathogens.  Pathogens attached to deposited sediments will  not reach surface waters</t>
  </si>
  <si>
    <t>Roof runoff diverted away from manure areas.  Degree of impact depends on the portion of contamination associated with the roof runoff.</t>
  </si>
  <si>
    <t>Retarding surface water flow will reduce transport of pathogens</t>
  </si>
  <si>
    <t>Strip provides only limited additional space for most species.</t>
  </si>
  <si>
    <t>Establishment of permanent vegetation reduces erosion by wind.</t>
  </si>
  <si>
    <t>The action diverts water from barnyard and feedlot areas, where it could pick up salts from manure.</t>
  </si>
  <si>
    <t>The action can increase percolation, which reduces the runoff of soluble salts. The action can also increase surface drainage, which moves contaminants from the site.</t>
  </si>
  <si>
    <t>The action removes both surface and subsurface flows and soluble contaminates from site.</t>
  </si>
  <si>
    <t>The action can increase infiltration, which will reduce runoff of salts from a field.</t>
  </si>
  <si>
    <t>The action does not increase or decrease the amount of salt lost from a field.</t>
  </si>
  <si>
    <t>Increased infiltration may permit leaching of some salts below the root zone.</t>
  </si>
  <si>
    <t>The action increases infiltration, increasing leaching potential and reducing the potential for moving salts to surface water.</t>
  </si>
  <si>
    <t>The action requires that appropriate erosion control practices will be applied on disturbed areas.</t>
  </si>
  <si>
    <t>Some alternatives are used to treat the waste stream to the point water can be reused by livestock</t>
  </si>
  <si>
    <t xml:space="preserve">Provides permanent water storage for irrigation. </t>
  </si>
  <si>
    <t>Roots and vegetative matter from permanent vegetation increases organic matter.</t>
  </si>
  <si>
    <t>Support vegetation may trap and use nutrients and organics from run-in water</t>
  </si>
  <si>
    <t>Support vegetation or diversion may trap and ameliorate bacteria from run-in water.</t>
  </si>
  <si>
    <t>Reduction in bacteria concentrations in run-in water may reduce bacteria contamination of water bodies that receive ground water.</t>
  </si>
  <si>
    <t>Land Reclamation, Toxic Discharge Control</t>
  </si>
  <si>
    <t>Land Smoothing</t>
  </si>
  <si>
    <t>Uniform surface eliminates ponding and associated infiltration, decreasing salt transport to ground water.</t>
  </si>
  <si>
    <t>Obstruction Removal</t>
  </si>
  <si>
    <t>Open Channel</t>
  </si>
  <si>
    <t>Trails and Walkways</t>
  </si>
  <si>
    <t>Herbaceous Weed Control</t>
  </si>
  <si>
    <t>Root penetration and organic matter helps restore soil structure.</t>
  </si>
  <si>
    <t>Plants and soil organisms uptake nutrients.</t>
  </si>
  <si>
    <t>Most woody species take up limited quantities of salts.</t>
  </si>
  <si>
    <t xml:space="preserve">Drainage increases aerobic pesticide degradation in the root zone during the periods when crops are growing. </t>
  </si>
  <si>
    <t>Managing for desirable plant vigor reduces the need for pesticide applications.</t>
  </si>
  <si>
    <t>A uniform surface reduces deep percolation.</t>
  </si>
  <si>
    <t xml:space="preserve">Impounded water improves food availability for some fish and wildlife, but decreases food sources for other species, especially stream dwellers.  </t>
  </si>
  <si>
    <t xml:space="preserve">Impounded water improves cover and shelter for some fish and wildlife, but decreases it for stream species. </t>
  </si>
  <si>
    <t xml:space="preserve">Although water is impounded for lotic species, passage to upstream and downstream habitats is not possible for fish and other aquatic wildlife.  </t>
  </si>
  <si>
    <t>Ponds and adjacent areas provide additional space for wildlife and pond-dwelling species, but eliminates space for stream species.</t>
  </si>
  <si>
    <t>Lined Waterway or Outlet</t>
  </si>
  <si>
    <t>Mine Shaft &amp; Adit Closing</t>
  </si>
  <si>
    <t>Mole Drain</t>
  </si>
  <si>
    <t>Monitoring Well</t>
  </si>
  <si>
    <t>Mulching</t>
  </si>
  <si>
    <t>Deep rooted plants uptake excess water.</t>
  </si>
  <si>
    <t xml:space="preserve">Ponding and flooding are conveyed to a safe outlet.  </t>
  </si>
  <si>
    <t>Water conveyed to subsurface strata may contain organics and nutrients.</t>
  </si>
  <si>
    <t>Water containing soluble salts is outlet below the soil surface where it may reach groundwater.</t>
  </si>
  <si>
    <t>Crop residue provides some food for wildlife.</t>
  </si>
  <si>
    <t>Any food species are eliminated in the area used for the basin.</t>
  </si>
  <si>
    <t>The action reduces soil erosion from wind and may intercept pesticide drift.</t>
  </si>
  <si>
    <t>The degree to which implementing the conservation practice is expected to cause an increase or decrease in the amount of capital equipment required for farm or ranch operations.</t>
  </si>
  <si>
    <t>A qualitative measure of the increase in total investment dollars required in order to implement the conservation practice.</t>
  </si>
  <si>
    <t>Underground outlets can provide a direct conduit for runoff to surface waters</t>
  </si>
  <si>
    <t>Underground outlets can provide a direct conduit for runoff contaminated with pathogens to surface waters</t>
  </si>
  <si>
    <t>Water containing pesticides may seep from the basin into the groundwater in highly permeable soils.</t>
  </si>
  <si>
    <t>Nutrients impounded could contaminate groundwater in highly permeable soils.</t>
  </si>
  <si>
    <t>Infiltrating water in the basin may leach pathogens into the groundwater in highly permeable soils.</t>
  </si>
  <si>
    <t>Basins reduce runoff losses but provide a direct conduit to surface waters</t>
  </si>
  <si>
    <t>The degree to which risk, as related to the flexibility of farm or ranch operations, is expected to increase or decrease as a result of implementing the conservation practice.  For example, converting from flood irrigation to a sprinkler system gives a farmer an increase in flexibility of irrigation, which results in a decrease in the level of risk associated with inflexibility of operations.</t>
  </si>
  <si>
    <t xml:space="preserve">Temporary site conditions may decrease cover/shelter for wildlife.   </t>
  </si>
  <si>
    <t>A qualitative measure of the expected change in annual capital costs required in order to operate and maintain the conservation practice.</t>
  </si>
  <si>
    <t>Proper plant selection, nutrient modification, and management improves plant growth and vigor.</t>
  </si>
  <si>
    <t>The reduction of wind erosion decreases physical plant damage and maintains soil quality.</t>
  </si>
  <si>
    <t>Water is managed to optimize moisture requirements for plants.</t>
  </si>
  <si>
    <t>Increased vegetation cover and other treatments will decrease erosion and runoff.</t>
  </si>
  <si>
    <t>An increase in vegetation cover and other treatments will improve infiltration, protect the soil surface and decrease soil detachment by concentrated flow.</t>
  </si>
  <si>
    <t>Plant species will be selected that accommodate seasonal livestock production and nutritional needs.</t>
  </si>
  <si>
    <t xml:space="preserve">Plant and/or site conditions are restored to improve production and quality of desirable forage species. </t>
  </si>
  <si>
    <t>Livestock numbers are in balance with available feed and forage that meets nutritional and productive needs for the kinds and classes of livestock.</t>
  </si>
  <si>
    <t>These sites may be used as feed and forage by livestock if the intended purpose is maintained.</t>
  </si>
  <si>
    <t>Forage vigor and quantity is improved through effective management of soil salinity and sodium.</t>
  </si>
  <si>
    <t>There is short term carbon storage, however, periodic maintenance practices (tillage, burning) can release stored carbon.</t>
  </si>
  <si>
    <t>Basins will tend to accumulate contaminants attached to sediments, and infiltrating waters will remove soluble contaminants</t>
  </si>
  <si>
    <t>Vegetative barriers capture sediment-bound pathogens and retard pathogen movement, allowing more time for mortality to occur before pathogens can reach water bodies.</t>
  </si>
  <si>
    <t>The surface is protected from erosion by establishing vegetative cover, by surfacing with suitable materials, and/or by installing needed structures.</t>
  </si>
  <si>
    <t>Changes hydrology of the  land unit</t>
  </si>
  <si>
    <t>Established vegetation on spoils can provide additional forage.</t>
  </si>
  <si>
    <t>Re-establishment of streambank vegetation can provide additional forage.</t>
  </si>
  <si>
    <t>Vegetation reduces erosion and sediment delivery.</t>
  </si>
  <si>
    <t>Stream banks are stabilized.</t>
  </si>
  <si>
    <t>Terracing promotes vegetative growth that removes CO2 from the air and stores it in the form of carbon in the plants and soil.</t>
  </si>
  <si>
    <t>Yes</t>
  </si>
  <si>
    <t>No</t>
  </si>
  <si>
    <t>Activities are carried out to reduce ladder fuels.</t>
  </si>
  <si>
    <t>Areas for food are created, restored, or enhanced.</t>
  </si>
  <si>
    <t>Areas for cover are created, restored, or enhanced.</t>
  </si>
  <si>
    <t>The action is not intended for use during irrigation periods.</t>
  </si>
  <si>
    <t>Water is conveyed offsite during periods of excess moisture.  The action may remove water during periods of crop needs.</t>
  </si>
  <si>
    <t>The action increases infiltration.</t>
  </si>
  <si>
    <t>The action increases soil organic matter and biological activity.</t>
  </si>
  <si>
    <t xml:space="preserve">The action increases infiltration </t>
  </si>
  <si>
    <t>The action discharges wastewater which could result in groundwater contamination.</t>
  </si>
  <si>
    <t xml:space="preserve">The action reduces the velocity of runoff, resulting in increased water infiltration which could move salts to groundwater. </t>
  </si>
  <si>
    <t xml:space="preserve">The action requires ponding water which will increase infiltration in ponded areas, which may carry soluble salts to groundwater. </t>
  </si>
  <si>
    <t>The action removes surface flows before infiltration and intercepts subsurface flows.</t>
  </si>
  <si>
    <t>The action removes both surface and subsurface water and associated contaminants from the site.</t>
  </si>
  <si>
    <t>The action results in increased infiltration and potential for moving soluble salts to ground water.</t>
  </si>
  <si>
    <t xml:space="preserve">The action may increase vegetative uptake in the shelterbelt.  </t>
  </si>
  <si>
    <t>Increases water infiltration which will slightly reduce the potential for flooding or ponding.</t>
  </si>
  <si>
    <t>Restored roots and vegetative matter and its breakdown increases organic matter.</t>
  </si>
  <si>
    <t>Restored root penetration and organic matter helps restore soil structure.</t>
  </si>
  <si>
    <t>Conservation Practices Physical Effects (CPPE) - National Template</t>
  </si>
  <si>
    <t>Pathogens leached from the soil will be intercepted before reaching groundwater.</t>
  </si>
  <si>
    <t>Increased vegetative cover and soil microbial activity can enhance competition with pathogens.</t>
  </si>
  <si>
    <t>Due to stabilization gully from embankment construction.</t>
  </si>
  <si>
    <t>Reduced peak flows downstream from reservoir.</t>
  </si>
  <si>
    <t>Land forming is used to reshape and fill gully.</t>
  </si>
  <si>
    <t>There will be decreased overland flow, enhanced vegetation cover.</t>
  </si>
  <si>
    <t>Control of animals influences vigor and health of vegetation.</t>
  </si>
  <si>
    <t>Distribution of animals makes forage more readily available to livestock.</t>
  </si>
  <si>
    <t>Less erosion and runoff reduces delivery of pathogens. More moist environment in permanent vegetation may slow pathogen mortality, however.</t>
  </si>
  <si>
    <t>Plants may be chosen and managed to enhance value as cover/shelter.</t>
  </si>
  <si>
    <t>Permanent vegetation may provide added habitat and connectivity for selected wildlife species.</t>
  </si>
  <si>
    <t>Interception of runoff.</t>
  </si>
  <si>
    <t xml:space="preserve">Reducing soil profile saturation increases infiltration by improving drainage and therefore decreases water runoff.  </t>
  </si>
  <si>
    <t xml:space="preserve">Improving drainage may increase surface soil drying. </t>
  </si>
  <si>
    <t xml:space="preserve">Increased cover during erosive periods will reduce soil detachment by water.  </t>
  </si>
  <si>
    <t xml:space="preserve">Increased cover during erosive periods will reduce soil detachment by wind.   </t>
  </si>
  <si>
    <t>Controlled flow will reduce gulley erosion down slope of basin</t>
  </si>
  <si>
    <t>These sites may be used as feed and forage by livestock if the desired trees and shrubs are not harmed.</t>
  </si>
  <si>
    <t>Crop</t>
  </si>
  <si>
    <t>Wastes are applied to enhance production and nutritive value of the forage used by livestock.</t>
  </si>
  <si>
    <t>Roads provide firebreaks and access to sites for fuel reduction activities.</t>
  </si>
  <si>
    <t>Drier soils in high traffic areas around buildings may decrease compaction potential.</t>
  </si>
  <si>
    <t>Tailwater runoff  may cause gully erosion.</t>
  </si>
  <si>
    <t>Mole drains outlet at stream bank and will tend to increase surface erosion on streambanks.</t>
  </si>
  <si>
    <t xml:space="preserve">A channel constructed across the slope may intercept runoff water.  </t>
  </si>
  <si>
    <t xml:space="preserve">Selected crops and suitable rotations may provide more food and cover for wildlife. </t>
  </si>
  <si>
    <t>Increases infiltration and reduces runoff.</t>
  </si>
  <si>
    <t>Slope length is shortened therefore reducing erosion by water.</t>
  </si>
  <si>
    <t>Improved vegetation encourages infiltration of surface water and associated pathogens, but increased plant vigor and microbial activity reduces pathogen numbers.</t>
  </si>
  <si>
    <t>Heavy metals are rarely associated with manure.  Earthen waste storage ponds do have limited seepage which  may contain some metals.</t>
  </si>
  <si>
    <t>Drainage reduces runoff and erosion.</t>
  </si>
  <si>
    <t>An increase in vegetation and cover will protect the soil surface and decrease soil detachment by wind.</t>
  </si>
  <si>
    <t>An increase in vegetation and cover will improve infiltration, protect the soil surface and decrease soil detachment by concentrated flow.</t>
  </si>
  <si>
    <t>The degree to which farm or ranch profitability is expected to increase or decrease as a result of implementing the conservation practice.</t>
  </si>
  <si>
    <t>Access road does not exist on the planning unit or is just a driving path.</t>
  </si>
  <si>
    <t>The planning unit contains runoff and/or wastewater from agricultural lands that needs treatment.</t>
  </si>
  <si>
    <t>Untreated manure and/or other agricultural wastes are being applied to the land.</t>
  </si>
  <si>
    <t>Crop field is subject to wind erosion.</t>
  </si>
  <si>
    <t>Conservation cover does not exist.</t>
  </si>
  <si>
    <t>Increasing the random roughness of the soil surface reduces the potential for wind erosion.</t>
  </si>
  <si>
    <t>Permanent vegetative cover reduces wind erosion and fugitive dust generation.</t>
  </si>
  <si>
    <t>Plants are managed to maintain optimal productivity and health.</t>
  </si>
  <si>
    <t>Site is modified to enhance the health and vigor of desired species.</t>
  </si>
  <si>
    <t>Plants selected will be maintained at optimal growing conditions for the intended purpose.</t>
  </si>
  <si>
    <t>Diverting runoff and reducing erosion will enhance the health and vigor of desired species.</t>
  </si>
  <si>
    <t>Increased water availability enhances plant growth, health and vigor.</t>
  </si>
  <si>
    <t>Site modification to improve irrigation application enhances the health and vigor of desired species.</t>
  </si>
  <si>
    <t>Increased water availability and access enhances plant growth, health and vigor.</t>
  </si>
  <si>
    <t>Increased water availability and managed application enhances plant growth, health and vigor.</t>
  </si>
  <si>
    <t>Managed application of water enhances plant growth, health and vigor.</t>
  </si>
  <si>
    <t>Removal of undesirable plants will provide a better growing environment for desired plant species.</t>
  </si>
  <si>
    <t>Vegetative cover species will be selected and maintained at optimal conditions for the intended purpose.</t>
  </si>
  <si>
    <t>The action will allow waste application at rates and times to address the resource concern.</t>
  </si>
  <si>
    <t xml:space="preserve">The action increases water infiltration and plant uptake, increasing biomass production. </t>
  </si>
  <si>
    <t>The action limits the wetted area in the soil profile as compared to other irrigation methods.  The compaction during field operations should be limited.</t>
  </si>
  <si>
    <t>Vegetative Barrier</t>
  </si>
  <si>
    <t>Vertical Drain</t>
  </si>
  <si>
    <t>Waste Storage Facility</t>
  </si>
  <si>
    <t>Waste Treatment</t>
  </si>
  <si>
    <t>Waste Treatment Lagoon</t>
  </si>
  <si>
    <t>Water and Sediment Control Basin</t>
  </si>
  <si>
    <t>Water Harvesting Catchment</t>
  </si>
  <si>
    <t>Water Well</t>
  </si>
  <si>
    <t>Constructing or improving channel may increase or decrease food and habitat for fish and wildlife depending on species and the vegetation of the stabilized channel..</t>
  </si>
  <si>
    <t xml:space="preserve">Selected crops and suitable rotations may provide more food for wildlife. </t>
  </si>
  <si>
    <t>Surface water removal may result in increased oxidation of organic matter.</t>
  </si>
  <si>
    <t>Water used from storage for fire suppression will not be available for other uses.</t>
  </si>
  <si>
    <t>Runoff reduction will do little to impact the classic gully.</t>
  </si>
  <si>
    <t>Activities are designed and carried out to manage undesirable vegetation.</t>
  </si>
  <si>
    <t xml:space="preserve">Tall vegetation reduces wind speeds and evapotranspiration allowing more efficient use of available water. </t>
  </si>
  <si>
    <t>Vegetation restored across the slope and surface litter reduces erosive water energy.</t>
  </si>
  <si>
    <t>Conserving moisture and reduced erosion will improve plant productivity and health.</t>
  </si>
  <si>
    <t>Reducing oxidation of organic matter will reduce the opportunity for subsidence.</t>
  </si>
  <si>
    <t>If the water table is kept high, salt build up may occur.</t>
  </si>
  <si>
    <t>Earthen waste storage ponds do have limited seepage.  The amount of seepage depends on the viability of the lining materials chosen. Seepage will contain some level of salinity.</t>
  </si>
  <si>
    <t>Restored tall vegetation provides shelter.</t>
  </si>
  <si>
    <t xml:space="preserve">There is a minimal reduction of ozone precursors through reduced incidence of wildfire. There is a short-term increase in ozone precursors (NOx and VOC emissions) during the burn. </t>
  </si>
  <si>
    <t>Replacement of older pumping plants with more efficient internal combustion engines or electric motors will reduce CO2 emissions, however, new placement of internal combustion engines will result in an increase in CO2 emissions.</t>
  </si>
  <si>
    <t>Enhanced ground cover will improve carbon storage in soils and in biomass, however, the removal of trees will reduce carbon storage in biomass.</t>
  </si>
  <si>
    <t>Aquatic plants in impounded water provides cover/shelter for fish.</t>
  </si>
  <si>
    <t xml:space="preserve">There will be improved root development, litter accumulation, increased biological activity and decrease number of mechanical operations. </t>
  </si>
  <si>
    <t>Because of increased cover and reduced infiltration</t>
  </si>
  <si>
    <t>Reconstructed mine land provides reduced runoff and erosion and the filtering effects of vegetation reduces the risk of harmful levels of pathogens entering surface water.</t>
  </si>
  <si>
    <t>Irrigation Pipeline</t>
  </si>
  <si>
    <t>Irrigation Reservoir</t>
  </si>
  <si>
    <t>Use of heavy equipment during land forming may cause compaction. Mitigation and appropriate timing are part of practice design.</t>
  </si>
  <si>
    <t>When applied on or near the contour, this practice reduces runoff velocities, thus reducing the detachment and transport capacity of overland flow.  Additional credit is given for the sediment trapped and retained on the slope by the non-erosive strips.</t>
  </si>
  <si>
    <t>The action promotes contaminant uptake by plants.</t>
  </si>
  <si>
    <t>Control of animals facilitates grazing management enhancing health and vigor of desired plant communities.</t>
  </si>
  <si>
    <t>Where pathogens are transported by sediments</t>
  </si>
  <si>
    <t>Deep tillage can bury the organic horizon and reduce the organic matter content by diluting it with subsoil materials.  The mixing and inversion action of deep moldboard plows, or the lifting and fracturing of deep rippers increases the oxidation of organic matter.</t>
  </si>
  <si>
    <t>Deep tillage causes mixing and aeration. Histosols are subject to subsidence if drained and tilled.  Deep tillage will increase oxidation of organic soils.</t>
  </si>
  <si>
    <t>Storage provides flexibility in rate, timing, and location of waste application, reducing the potential for pathogen contamination.. Increased infiltration of pathogens at storage site is possible.  Treatment tends to encourage die-off of bacteria.</t>
  </si>
  <si>
    <t>Efficient and uniform irrigation reduces runoff and erosion.</t>
  </si>
  <si>
    <t>Riparian areas capture and delay pathogen movement and thereby increase their mortality.</t>
  </si>
  <si>
    <t>Feed and forage are in balance to ensure nutritional requirements of livestock.</t>
  </si>
  <si>
    <t xml:space="preserve">Reduced erosion will reduce losses of organic matter. </t>
  </si>
  <si>
    <t>Construction activities cause compaction in the terrace channel and embankment.</t>
  </si>
  <si>
    <t xml:space="preserve">Classic gullies on site are not a common feature of development site; off site gullies will receive controlled flows. </t>
  </si>
  <si>
    <t xml:space="preserve">Deep ripping a tillage pan or fragipan can remove a perched water table in the root zone. </t>
  </si>
  <si>
    <t>Deep ripping increases infiltration resulting in greater leaching potential.</t>
  </si>
  <si>
    <t>The action facilitates the removal of surface runoff, thus increasing the potential for surface water contamination by organics and nutrients.</t>
  </si>
  <si>
    <t>Lined ditches reduce the delivery of sediment-attached nutrients to surface water.</t>
  </si>
  <si>
    <t>Utilizing pipelines for water delivery reduces the delivery of sediment-attached nutrients to surface water.</t>
  </si>
  <si>
    <t xml:space="preserve">Diversion of stream flow during warm periods when irrigation is needed will decrease depth of flow, making stream more susceptible to solar radiation and increased stream temperature. </t>
  </si>
  <si>
    <t>Water released from impoundments may be warmer or cooler than receiving waters, depending on site conditions.</t>
  </si>
  <si>
    <t>Surface water temperature is dependent on site conditions and location of dike.</t>
  </si>
  <si>
    <t>Removal of shade-producing canopy along streams will lead to an increase in surface water temperature, especially during low flows.</t>
  </si>
  <si>
    <t>Waterways constructed in cropland will increase space and provide wildlife corridor</t>
  </si>
  <si>
    <t xml:space="preserve">Water is not retained in the waterway </t>
  </si>
  <si>
    <t xml:space="preserve">Improvement in vegetative cover will reduce erosion from water.  </t>
  </si>
  <si>
    <t xml:space="preserve">Improvement in vegetative cover will reduce erosion from wind.  </t>
  </si>
  <si>
    <t xml:space="preserve">Improvement in vegetative cover will reduce erosion from water.   </t>
  </si>
  <si>
    <t xml:space="preserve">Pathways may direct travel away from erosion prone areas. </t>
  </si>
  <si>
    <t>Woody vegetation captures and delays pathogen movement and thereby increase their mortality.</t>
  </si>
  <si>
    <t xml:space="preserve">Collecting and releasing nutrient laden water removed from fields to receiving surface waters.  </t>
  </si>
  <si>
    <t>Drifting snow trapped results in increased water infiltration and greater water storage in the profile.</t>
  </si>
  <si>
    <t>Drains can collect water for beneficial use or reuse and improved soil, water air relationship.</t>
  </si>
  <si>
    <t>May provide outlet for seepage, however canals may provide a source of seepage.</t>
  </si>
  <si>
    <t>May collect and conveys runoff to safe outlet.</t>
  </si>
  <si>
    <t>Possible seepage from Reservoir.</t>
  </si>
  <si>
    <t>Site modifications may include revegetation or other features that impact compaction.</t>
  </si>
  <si>
    <t>In some cases the loose talus may contain salts or other material that must be removed to re-establish vegetation.</t>
  </si>
  <si>
    <t>Mulching, soil amendments, compost, and tillage will address soil compaction of the reconstructed area.</t>
  </si>
  <si>
    <t>Removal of overstory canopy can increase the amount and vigor of ground cover, slowing runoff and increasing infiltration.</t>
  </si>
  <si>
    <t xml:space="preserve">Stripcropping slows runoff  and can increase water, thereby reducing the potential for transport of salts to surface water. </t>
  </si>
  <si>
    <t>Multi-Story Cropping</t>
  </si>
  <si>
    <t>The action decreases deep percolation and promotes aerobic degradation of pesticide residues.</t>
  </si>
  <si>
    <t>The action reduces the need for pesticide use and trees and shrubs take up pesticide residues.</t>
  </si>
  <si>
    <t xml:space="preserve">Creating a more uniform surface may increase infiltration and decrease concentrated flow. </t>
  </si>
  <si>
    <t>Shaping and lining the channel conveys runoff water without causing erosion.</t>
  </si>
  <si>
    <t>The establishment of vigorous vegetative cover will reduce erosion from wind.</t>
  </si>
  <si>
    <t>Reshaping of disturbed land and establishing vegetative cover can reduce erosion from water.</t>
  </si>
  <si>
    <t>Reshaping of disturbed land and establishing vegetative cover can reduce erosion from wind.</t>
  </si>
  <si>
    <t xml:space="preserve">Reshaping the land surface may decrease the degree of slope, however, the slope length may be increased.   </t>
  </si>
  <si>
    <t>Improved irrigation allows the limited leaching of salt below the root zone.</t>
  </si>
  <si>
    <t>Reuse of contaminated water increases salts in the profile.</t>
  </si>
  <si>
    <t>Organic material may be removed by clearing.</t>
  </si>
  <si>
    <t>Efficient and uniform irrigation reduces soluble contaminant transport to ground water.  Magnitude of effect depends on previous irrigation method.</t>
  </si>
  <si>
    <t>Provides control for better water distribution.</t>
  </si>
  <si>
    <t>Reduced evaporation may reduce salt build-up. Added organic matter will buffer salts.</t>
  </si>
  <si>
    <t>Stabilizing grade diminishes hyporheic (subsurface) flow.</t>
  </si>
  <si>
    <t>Use of this practice along small streams increases shade and moderates stream temperatures.</t>
  </si>
  <si>
    <t>Ditches collect but do not retain overland flow.</t>
  </si>
  <si>
    <t>Reduced runoff of higher temperature water is likely.</t>
  </si>
  <si>
    <t>Conservation irrigation systems minimize affects to surface water quality.</t>
  </si>
  <si>
    <t xml:space="preserve">Diverted water does not generally return to surface water source. </t>
  </si>
  <si>
    <t>Improved hydrological conditions are likely.</t>
  </si>
  <si>
    <t>Row arrangement with proper grade and length improves water capture.</t>
  </si>
  <si>
    <t>Control of salt improves use of available water.</t>
  </si>
  <si>
    <t>Vegetation, surface litter and roots reduce erosive energy of concentrated flows.</t>
  </si>
  <si>
    <t>Runoff and resulting erosion will be decreased</t>
  </si>
  <si>
    <t>Only data managers are to modify this worksheet; they are cautioned that changes to ratings in "named" ranges will make newly rated items inconsistent with national values. Only named ranges highlighted in green are used at this time.</t>
  </si>
  <si>
    <t>Pipeline can collect and convey excessive seepage to suitable outlet.</t>
  </si>
  <si>
    <t xml:space="preserve">Fish and wildlife habitat considerations are addressed in the design. </t>
  </si>
  <si>
    <t>Seasonal flooding provides habitat for some species.</t>
  </si>
  <si>
    <t xml:space="preserve">Increased quality and quantity of vegetation provides more food and cover for wildlife. </t>
  </si>
  <si>
    <t>Travel-ways and cleared areas are treated to minimize soil detachment by water.</t>
  </si>
  <si>
    <t>Site planted to adapted species could contribute to the reduction of saline seep areas.  There would be a negligible decrease of selenium, boron, and heavy metals because of very limited uptake by range plants.</t>
  </si>
  <si>
    <t>Permanent vegetation established and organic matter captured</t>
  </si>
  <si>
    <t>If protection isn't provided the diverted flows may cause erosion</t>
  </si>
  <si>
    <t>Flows are diverted into other channels to provide relief</t>
  </si>
  <si>
    <t>Removal of trees and vegetation will increase runoff and erosion. Mitigation is part of practice design.</t>
  </si>
  <si>
    <t>Stabilizing eroding banks will reduce the delivery of nutrients and organic material in the soil profile to surface water.</t>
  </si>
  <si>
    <t>Drifting snow trapped results in increased infiltration which could contribute to excess subsurface water.</t>
  </si>
  <si>
    <t>Structure used for flow control, or level regulation of water.</t>
  </si>
  <si>
    <t>Interception of excessive seepage through drainage.</t>
  </si>
  <si>
    <t>Removal of excessive surface water through drainage will reduce flooding and ponding.</t>
  </si>
  <si>
    <t>Pasture</t>
  </si>
  <si>
    <t xml:space="preserve">Proper siting and management are required If used as part of an agricultural waste management system </t>
  </si>
  <si>
    <t>Management of water to establish vegetation desirable for wildlife is expected to retard invasive plants.</t>
  </si>
  <si>
    <t>Winds acting on the road edges that are routinely graded may cause saltation, creep, and suspension of soil particles.</t>
  </si>
  <si>
    <t>Proper nutrient application should minimize leaching losses.</t>
  </si>
  <si>
    <t>Proper nutrient application should minimize losses due to runoff.</t>
  </si>
  <si>
    <t>The action will intercept and move Infiltrating water off site or to an outlet.</t>
  </si>
  <si>
    <t>Increased cover will increase space for wildlife. May be used to connect other cover areas.</t>
  </si>
  <si>
    <t>The action increases infiltration and reduces runoff.</t>
  </si>
  <si>
    <t xml:space="preserve">Access Road </t>
  </si>
  <si>
    <t>Alley Cropping</t>
  </si>
  <si>
    <t>Amendments for Treatment of Agricultural Waste</t>
  </si>
  <si>
    <t>Animal Mortality Facility</t>
  </si>
  <si>
    <t>Animal Trails and Walkways</t>
  </si>
  <si>
    <t>Erosion control and increased cover will reduce runoff and sediment.</t>
  </si>
  <si>
    <t>Proper nutrient application will minimize losses due to runoff.</t>
  </si>
  <si>
    <t>Management will result in increased plant vigor and cover, decreasing sediment yields.</t>
  </si>
  <si>
    <t>Suspended sediment and turbidity in surface water will decrease due to controlled traffic and reduced erosion</t>
  </si>
  <si>
    <t>Benching will reduce slopes and erosion.</t>
  </si>
  <si>
    <t>Erosion is controlled, vegetation traps sediment, and runoff is delivered at a safe velocity.</t>
  </si>
  <si>
    <t>Protection can reduce erosion and sediment.</t>
  </si>
  <si>
    <t>The action increases infiltration and reduces runoff, which may reduce salt movement off-site..</t>
  </si>
  <si>
    <t>Treatment can alter the waste stream to better meet the needs of the plant</t>
  </si>
  <si>
    <t>Amendments and other treatment options are often used  to remove nutrients and organics from the waste stream</t>
  </si>
  <si>
    <t>Amendments and other treatment options can be used to alter the waste stream to remove salts, metals, and some pathogens.</t>
  </si>
  <si>
    <t>Treatment could favorably alter the waste stream to better provide the needs of growing feed and forage, but this would be minor impact</t>
  </si>
  <si>
    <t>Increased drainage and runoff will carry sediments.</t>
  </si>
  <si>
    <t>Permanent vegetation increases organic matter promoting microbial activity which competes with pathogens.</t>
  </si>
  <si>
    <t>Less erosion and runoff reduces transport of nutrients. Permanent cover can take up excess nutrients and convert them to stable organic forms.</t>
  </si>
  <si>
    <t>The action collects and stores adsorbed pesticides.</t>
  </si>
  <si>
    <t xml:space="preserve">The action reduces runoff and erosion and traps adsorbed pesticides.  </t>
  </si>
  <si>
    <t>The action reduces runoff and the need for pesticide use.  Also, trees and shrubs take up pesticide residues.</t>
  </si>
  <si>
    <t>Fish pathogens from facility wastewater could be discharged into surface waters and infect wild fish</t>
  </si>
  <si>
    <t>vegetation, microbes, and sediments may trap</t>
  </si>
  <si>
    <t xml:space="preserve">Contour Buffer Strips decrease sheet and rill erosion and slow runoff velocities, thereby reducing the potential for transport of pathogens to surface water </t>
  </si>
  <si>
    <t>Stabilizes channel to prevent further degradation and improves bank stabilization.</t>
  </si>
  <si>
    <t>Stabilization of the gully due to the embankment.</t>
  </si>
  <si>
    <t xml:space="preserve">Stiff-stemmed vegetation planted along the contour or across areas of concentrated flow slows runoff, effectively reducing slope length and increasing infiltration . </t>
  </si>
  <si>
    <t>Increase in infiltration may be negated by the increased erosion of the bare and loosened soil conditions that result from the deep tillage method.</t>
  </si>
  <si>
    <t xml:space="preserve">Deep ripping increases infiltration, reducing runoff and erosion. </t>
  </si>
  <si>
    <t>Vegetated buffer reduces soil/contaminant runoff to ground water.</t>
  </si>
  <si>
    <t>Vegetation is maintained at optimal conditions for the function of the waterway</t>
  </si>
  <si>
    <t xml:space="preserve">The reduction of undesirable brush species increases production of forage that meets nutritional and productive needs for livestock. </t>
  </si>
  <si>
    <t>There may be some use of the planting for feed and forage by livestock.</t>
  </si>
  <si>
    <t>The percentage of initial installation cost that a producer is expected to need to spend on an annual basis in order to perform the operations and maintenance (O&amp;M) necessary to meeting the requirements of NRCS practice standards. To calculate expected annual O&amp;M costs, multiply the installation cost by the O&amp;M factor.</t>
  </si>
  <si>
    <t>The chemical make up of the soil is not altered by disturbance or short term manipulation of vegetative cover.</t>
  </si>
  <si>
    <t>Creates a more uniform surface and removal of depressions improves drainage.</t>
  </si>
  <si>
    <t>Creates a more uniform surface and removal of depressions reduces subsurface water.</t>
  </si>
  <si>
    <t>Waterway provides a stable conveyance and outlet for runoff, flooding and ponding.</t>
  </si>
  <si>
    <t>Reduces runoff and erosion.</t>
  </si>
  <si>
    <t xml:space="preserve">Plant and structure provide cover/shelter for fish and wildlife.  </t>
  </si>
  <si>
    <t>Contouring reduces runoff velocities and changes overland flow direction, thus reducing the detachment and transport capacity of concentrated over-land flow.</t>
  </si>
  <si>
    <t>Leveling facilitates more uniform application of irrigation water.</t>
  </si>
  <si>
    <t>Burning mineralizes organic materials.</t>
  </si>
  <si>
    <t xml:space="preserve">Improved plant production and vegetative cover reduces runoff. </t>
  </si>
  <si>
    <t>Farming operations are not on the contour.</t>
  </si>
  <si>
    <t>Decreased erosion and biomass addition from organic mulches will increase soil organic matter.</t>
  </si>
  <si>
    <t>Water collected subsurface will remain relatively cool.</t>
  </si>
  <si>
    <t xml:space="preserve">Sound management of upland vegetation tends to improve watershed conditions.  </t>
  </si>
  <si>
    <t>Diversion of drainage water subsurface removes water from surface flows.</t>
  </si>
  <si>
    <t xml:space="preserve">Catchment draining for seasonal protection is generally done during fall, when retained water is cooler. </t>
  </si>
  <si>
    <t>Runoff is collected and given less infiltration time.</t>
  </si>
  <si>
    <t>Water is collected for more efficient use.</t>
  </si>
  <si>
    <t>Heavy equipment used to apply the practice may result in temporary compaction.</t>
  </si>
  <si>
    <t>Contouring reduces runoff velocities and changes overland flow direction, thus reducing the detachment and transport capacity of over-land flow.</t>
  </si>
  <si>
    <t>Improved surface drainage promotes surface runoff, reduces infiltration and reduces salts in groundwater.</t>
  </si>
  <si>
    <t>Improved distribution of animals makes forage more readily available to livestock.</t>
  </si>
  <si>
    <t>Restoration of tall vegetation reestablishes a wind shadow, reduces erosive wind velocities and provides a stable area which stops saltating particles.</t>
  </si>
  <si>
    <t>Vegetation restored across the slope reduces erosive energy of concentrated flows.</t>
  </si>
  <si>
    <t>The spring increases the quality and quantity of water for livestock.</t>
  </si>
  <si>
    <t>Crossings facilitate access to water.</t>
  </si>
  <si>
    <t>Growing plants will reduce runoff and increase infiltration.</t>
  </si>
  <si>
    <t>Possible seepage from ponding of water.</t>
  </si>
  <si>
    <t xml:space="preserve">Runoff and peak flows reduced. </t>
  </si>
  <si>
    <t>Seepage from ponded water.</t>
  </si>
  <si>
    <t>Water is kept within the channel and prevents flooding.</t>
  </si>
  <si>
    <t>Water is diverted and prevented from ponding or flooding.</t>
  </si>
  <si>
    <t>Intercepts shallow subsurface flows.</t>
  </si>
  <si>
    <t>Water table is managed to prevent excessive seepage.</t>
  </si>
  <si>
    <t>Runoff is controlled to create ponding or flooding conditions.</t>
  </si>
  <si>
    <t>Pathogens are trapped in the wetland.</t>
  </si>
  <si>
    <t>Control access of animals and/or people to stream areas.</t>
  </si>
  <si>
    <t>Removal of canopy/woody vegetation exposes the site and increases mortality of pathogens that would have otherwise entered surface water.</t>
  </si>
  <si>
    <t>The rate of water release is slower than under natural conditions, allowing more time for some nutrients in solution to volatilize and for sediment-attached nutrient to settle out.</t>
  </si>
  <si>
    <t>Reducing the amount of nutrients excreted in manure can reduce the potential for over-application of nutrients on land which the manure is applied, thus reducing the potential for loss to surface waters.</t>
  </si>
  <si>
    <t>Solid organics and sediment-attached nutrients are filtered out. Soluble nutrients infiltrate the soil and may be taken up by plants or utilized by soil organisms.</t>
  </si>
  <si>
    <t>Increases infiltration which could contribute to excess subsurface water.</t>
  </si>
  <si>
    <t>Growing plants will take up excess water. However, infiltration will increase, which may offset some of the benefits.</t>
  </si>
  <si>
    <t>Ridges reduce soil erosion from wind and the resulting offsite sediment transport.</t>
  </si>
  <si>
    <t>Treatment improves plant production and species diversity.</t>
  </si>
  <si>
    <t>Production will be improved with uniform and consistent application of water.</t>
  </si>
  <si>
    <t>Revegetation efforts could include species that provide quality forage for livestock.</t>
  </si>
  <si>
    <t>Quantity and quality of forage species will be improved if drainage is installed to enhance their production.</t>
  </si>
  <si>
    <t>Nutrients are managed to ensure optimal production and nutritive value of the forage used by livestock.</t>
  </si>
  <si>
    <t xml:space="preserve">Clods and ridges from tillage temporarily reduce wind erosion </t>
  </si>
  <si>
    <t>Heat in the composting process normally destroys weed seeds.</t>
  </si>
  <si>
    <t>Accessing the dry hydrant may result in limited compaction in the area of the water source.</t>
  </si>
  <si>
    <t>Controlled runoff could increase temperature on site, but will be little impact off site</t>
  </si>
  <si>
    <t xml:space="preserve">Nutrients from runoff are removed when the strips of vegetation are established where they can intercept overland flow or wind-borne soil. </t>
  </si>
  <si>
    <t>Return flows from canals may deliver dissolved and sediment-attached nutrients to surface water.</t>
  </si>
  <si>
    <t>Efficient and uniform irrigation reduces transport of nutrients to surface water.</t>
  </si>
  <si>
    <t>Because of higher concentration and velocities from water collection.</t>
  </si>
  <si>
    <t>Pond is to be managed for aquatic species</t>
  </si>
  <si>
    <t>Increases water infiltration resulting in improved water storage in the profile.</t>
  </si>
  <si>
    <t xml:space="preserve">Contouring reduces slope grade, velocities of irrigation applied water and increases infiltration. </t>
  </si>
  <si>
    <t>Baseline Setting</t>
  </si>
  <si>
    <t>Stabilizing high-traffic areas can reduce the amount of dust generated from human, animal and vehicular traffic.</t>
  </si>
  <si>
    <t>Ditches facilitate proper use of irrigation water.</t>
  </si>
  <si>
    <t>Increased water infiltration and improved plant, soil, moisture, and air relationships.</t>
  </si>
  <si>
    <t>Trapped snow can provide additional plant available moisture.</t>
  </si>
  <si>
    <t>Where practice is used to increase infiltration, the percolating water has the potential to remove contaminants from the soil profile.</t>
  </si>
  <si>
    <t>Collecting and conveying roof runoff away from buildings to an outlet will tend to reduce opportunity for infiltration at the site.</t>
  </si>
  <si>
    <t>Consider if trail is historic and needs maintenance</t>
  </si>
  <si>
    <t>Elimination of eroding banks in areas adjacent to feedlots and livestock stream accesses.</t>
  </si>
  <si>
    <t>Increased vegetation will increase salt uptake and increased organic matter may tie up salts and other chemicals.</t>
  </si>
  <si>
    <t>Ground vegetation captures and delays pathogen movement and thereby increase their mortality.</t>
  </si>
  <si>
    <t>Digester provides storage and treatment of manure and other organics which would normally reach surface water.</t>
  </si>
  <si>
    <t xml:space="preserve">The action requires that temporary cover will be established as necessary to control wind erosion on the cleared area until the planned land use is in place.   </t>
  </si>
  <si>
    <t xml:space="preserve">The action requires that temporary cover will be established as necessary to control water erosion on the cleared area until the planned land use is in place.   </t>
  </si>
  <si>
    <t>There will be enhanced biomass production, root development, litter accumulation, increased biological activity, and/or reduced tillage if associated with change in land use.</t>
  </si>
  <si>
    <t>Wetland Wildlife Habitat Management</t>
  </si>
  <si>
    <t>Windbreak/Shelterbelt Establishment</t>
  </si>
  <si>
    <t>Windbreak/Shelterbelt Renovation</t>
  </si>
  <si>
    <t>Establishing vegetation on areas where the soil surface is exposed can reduce erosion from water.</t>
  </si>
  <si>
    <t xml:space="preserve">An area with disturbed soil or reduction in vegetative cover and surface litter has potential for increases in erosive water energy. </t>
  </si>
  <si>
    <t>Establishing vegetation on areas where the soil surface is exposed can reduce erosion from wind.</t>
  </si>
  <si>
    <t>New vegetation may be established.</t>
  </si>
  <si>
    <t>Conserving moisture and improving soil conditions contribute to enhanced plant productivity and health.</t>
  </si>
  <si>
    <t>Site modification will reduce erosion and enhance the health and vigor of desired species.</t>
  </si>
  <si>
    <t>Permanent vegetation can take up salts and water reducing the leaching potential of salts.</t>
  </si>
  <si>
    <t>The action captures pesticide residues and facilitates their degradation.</t>
  </si>
  <si>
    <t xml:space="preserve">Contour Farming decreases sheet and rill erosion and slows runoff velocities, thereby reducing the potential for transport of pathogens to surface water </t>
  </si>
  <si>
    <t>Vegetation planted for stabilization can consist of food species.</t>
  </si>
  <si>
    <t>Food species can be included in the barrier.</t>
  </si>
  <si>
    <t>Tree/Shrub Site Preparation</t>
  </si>
  <si>
    <t>Underground Outlet</t>
  </si>
  <si>
    <t>Revegetation of spoil will improve soil organic matter</t>
  </si>
  <si>
    <t>Food covered by spoil can be re-established by revegetation</t>
  </si>
  <si>
    <t>Habitat covered by spoil can be re-established by revegetation</t>
  </si>
  <si>
    <t>Noxious and invasive plants are removed from streambank and replaced with stabilization species.</t>
  </si>
  <si>
    <t>Capital - Total Investment Cost</t>
  </si>
  <si>
    <t>Capital - Annual Cost</t>
  </si>
  <si>
    <t>Capital - Credit &amp; Farm Program Eligibility</t>
  </si>
  <si>
    <t>Labor - Labor</t>
  </si>
  <si>
    <t>Labor - Change in Management Level</t>
  </si>
  <si>
    <t>Risk - Yield</t>
  </si>
  <si>
    <t>Risk - Flexibility</t>
  </si>
  <si>
    <t>Risk - Cash Flow</t>
  </si>
  <si>
    <t>The action reduces erosion and sediment load</t>
  </si>
  <si>
    <t>The action reduces erosion and sediment load.</t>
  </si>
  <si>
    <t>The action will not appreciably alter runoff and runoff-related contaminants.</t>
  </si>
  <si>
    <t xml:space="preserve">Improved plant production and vegetative cover reduces runoff and sediment. </t>
  </si>
  <si>
    <t>Increased surface roughness and improved vegetation cover will increase infiltration, reduce runoff, reduce soil movement.</t>
  </si>
  <si>
    <t>Collected water can be used to increase available water for other uses.</t>
  </si>
  <si>
    <t>Planning area includes an orchard or fruit area that is not on the contour, or installation of a contour orchard is being considered.</t>
  </si>
  <si>
    <t>Contamination would be minimal when practice standard is properly implemented</t>
  </si>
  <si>
    <t>Included to make conservation planners aware of the potential availability of funding for implementing conservation practices.</t>
  </si>
  <si>
    <t>The degree to which implementing the conservation practice is likely to cause an increase or decrease in the total amount of overall farm or ranch labor required for operations.</t>
  </si>
  <si>
    <t>The degree to which implementing the conservation practice is likely to cause an increase or decrease in the total amount of required active management on a farm or ranch.</t>
  </si>
  <si>
    <t>The degree to which risk, as related to crop or livestock yields, is expected to increase or decrease as a result of implementing the conservation practice.</t>
  </si>
  <si>
    <t>521A</t>
  </si>
  <si>
    <t>521B</t>
  </si>
  <si>
    <t>521C</t>
  </si>
  <si>
    <t>Lead Discipline(s)</t>
  </si>
  <si>
    <t>Practice Code</t>
  </si>
  <si>
    <t xml:space="preserve">A channel constructed across the slope diverts damaging runoff to a protected outlet. </t>
  </si>
  <si>
    <t>Riparian forest canopy shades streams and rivers, moderating water temperatures.</t>
  </si>
  <si>
    <t>Increased woody vegetation on site may encourage microbial activity in the soil, reducing pathogen numbers.</t>
  </si>
  <si>
    <t>Forest products that are storing salts in their biomass may be removed or harvested from the site. Reduced stand density can increase infiltration and leaching of salts.</t>
  </si>
  <si>
    <t xml:space="preserve">Improved availability of wildlife food is created by water and moist soil management. </t>
  </si>
  <si>
    <t>Spoils are used for grading and stabilizing gullies.</t>
  </si>
  <si>
    <t>Protected strips will capture additional snow.</t>
  </si>
  <si>
    <t>Water collected And conveyed to surface outlet will have limited opportunity to infiltrate.</t>
  </si>
  <si>
    <t>Seepage that may contain pesticide residues is controlled .</t>
  </si>
  <si>
    <t>Efficient and uniform irrigation reduces deep percolation.</t>
  </si>
  <si>
    <t>The action is designed or mitigated to maintain surface water temperatures.</t>
  </si>
  <si>
    <t xml:space="preserve">Some shrubs and trees which provide shelter are removed from area. </t>
  </si>
  <si>
    <t>Temporary site condition.</t>
  </si>
  <si>
    <t xml:space="preserve">Site is altered to allow more suitable species to grow resulting in increased productivity, improved health and vigor. </t>
  </si>
  <si>
    <t>Trails and landings are designed, located and maintained to minimize on site and off site impacts to resources.</t>
  </si>
  <si>
    <t>Wet and flood prone areas are avoided.</t>
  </si>
  <si>
    <t>Reservoirs can also provide stock water.</t>
  </si>
  <si>
    <t>Dense vegetation will increase infiltration and reduce runoff.  Planting of range species in recharge areas may reduce movement of salts to seep areas and surface waters.</t>
  </si>
  <si>
    <t xml:space="preserve">Barriers should increase infiltration of water and any dissolved chemical.  </t>
  </si>
  <si>
    <t>Recreational traffic is diverted away from problem area and can facilitate healing.</t>
  </si>
  <si>
    <t>Effect will vary based upon initial land use.</t>
  </si>
  <si>
    <t>Clearing may allow for increased vehicle traffic.</t>
  </si>
  <si>
    <t>Site modifications including vegetation establishment increases on-site organic matter.</t>
  </si>
  <si>
    <t xml:space="preserve">Planting of wildlife adapted plants outside the hydraulic functioning area of the waterway will provide cover/shelter. </t>
  </si>
  <si>
    <t>Establishment of permanent vegetation may provide competition that would slow the spread of noxious plants.</t>
  </si>
  <si>
    <t>Use of heavy equipment compacts soil.</t>
  </si>
  <si>
    <t>Permanent vegetation in the area of the waterway increases soil organic matter.</t>
  </si>
  <si>
    <t>Vegetation traps contaminated sediment.</t>
  </si>
  <si>
    <t>Improved plant vigor and productivity increases organic matter.</t>
  </si>
  <si>
    <t>Establishment of temporary vegetative cover is needed to protect the treated area from erosion until the planned use is in place.</t>
  </si>
  <si>
    <t>Establishment of adapted species  increases vegetative cover and reduces erosion potential.  During the establishment period, there may be a slight to moderate risk of erosion,  depending on seedbed preparation, seeding method, and species planted.</t>
  </si>
  <si>
    <t>Restored plants and soil organisms uptake nutrients.</t>
  </si>
  <si>
    <t>Water</t>
  </si>
  <si>
    <t>Land use definitions</t>
  </si>
  <si>
    <t xml:space="preserve">The degree to which implementation of the conservation practice is expected to increase or decrease the risk of cultural resource disturbance, degradation, or loss. </t>
  </si>
  <si>
    <t>CED-EE &amp; ESD-NM</t>
  </si>
  <si>
    <t>ESD-NM &amp; CED-EE</t>
  </si>
  <si>
    <t>ESD-WBio &amp; CED-WME</t>
  </si>
  <si>
    <t>ESD-Agron &amp; CED-LA</t>
  </si>
  <si>
    <t>CED-HE</t>
  </si>
  <si>
    <t>ESD-WBio</t>
  </si>
  <si>
    <t>ESD-AqEco</t>
  </si>
  <si>
    <t>ESD-AqEco &amp; CED-DE</t>
  </si>
  <si>
    <t>ESD- Graz Land Sp</t>
  </si>
  <si>
    <t>ESD-For &amp; CED-AE</t>
  </si>
  <si>
    <t>ESD-Agron &amp; CED-AE</t>
  </si>
  <si>
    <t>CED-WME &amp; ESD-Agron</t>
  </si>
  <si>
    <t>CED-SE</t>
  </si>
  <si>
    <t>ESD-PM &amp; CED-EE</t>
  </si>
  <si>
    <t>CED-CE</t>
  </si>
  <si>
    <t>ESD-For &amp; CED-LA</t>
  </si>
  <si>
    <t>ESD- Wbio</t>
  </si>
  <si>
    <t>ESD-Wbio</t>
  </si>
  <si>
    <t>589C</t>
  </si>
  <si>
    <t>Consider if structure is an historic property</t>
  </si>
  <si>
    <t>There will be an increase in plant uptake and transpiration in the long-term.  There may be a slight to moderate increase in seepage because of increased infiltration depending on the species selected.</t>
  </si>
  <si>
    <t>Vegetation and dense roots protects and binds the soil making it resistant to water flow erosion.</t>
  </si>
  <si>
    <t>Infiltrating waters are intercepted and removed from the site, thus reducing the water available for seeps.</t>
  </si>
  <si>
    <t>Any cover is eliminated in the area used for the reservoir.</t>
  </si>
  <si>
    <t>Water is temporarily provided during the irrigation season.</t>
  </si>
  <si>
    <t>Water is temporarily provided when operating.</t>
  </si>
  <si>
    <t>The crossing allows animals easier access to stream, which may result in the deposit of animal waste in the stream.</t>
  </si>
  <si>
    <t>Restored plants uptake excess water.</t>
  </si>
  <si>
    <t>Snow is captured within and down wind of restored tree/shrub rows.</t>
  </si>
  <si>
    <t xml:space="preserve">Restored tall vegetation reduces wind speeds and evapotranspiration allowing more efficient use of available water. </t>
  </si>
  <si>
    <t>Total carbon content is maintained.</t>
  </si>
  <si>
    <t>There is a decrease in CO2 emissions from reduced incidence of wildfire.</t>
  </si>
  <si>
    <t xml:space="preserve">Stiff-stemmed vegetation effectively reduces the unsheltered distance when oriented across the prevailing wind erosion direction.   </t>
  </si>
  <si>
    <t>Increased vegetated cover due to better distribution of water reduces soil erosion.</t>
  </si>
  <si>
    <t>The action reduces salts and toxic chemicals both on and off-site.</t>
  </si>
  <si>
    <t>The action impounds water reducing the delivery of nutrients to surface water downstream.</t>
  </si>
  <si>
    <t>The action keeps excess runoff water out of concentrated livestock areas.  The degree of impact depends on the portion of contamination associated with the roof runoff.</t>
  </si>
  <si>
    <t>Efficient and uniform irrigation reduces the potential for transport of dissolved nutrient to surface water.</t>
  </si>
  <si>
    <t>Increased availability and managed application of irrigation water enhances plant growth, health and vigor.</t>
  </si>
  <si>
    <t>Plants are renovated and managed to maintain optimal productivity and health.</t>
  </si>
  <si>
    <t>Subsurface water is managed to limit periods of saturation compatible with the present or intended land use.</t>
  </si>
  <si>
    <t>Provide outlet for seeps.</t>
  </si>
  <si>
    <t>Waterways provide outlets for diversions and other water control practices.</t>
  </si>
  <si>
    <t>Subsurface drainage installed as part of this practice removes excess water.</t>
  </si>
  <si>
    <t>Increased infiltration and decreased runoff.</t>
  </si>
  <si>
    <t>Impermeable surfaces will cause increased runoff.</t>
  </si>
  <si>
    <t>Collects and conveys runoff to safe outlet.</t>
  </si>
  <si>
    <t>Canal may provide outlet for seepage, however canals may provide a source of seepage.</t>
  </si>
  <si>
    <t>Woody vegetation takes up limited quantities of salts and other chemicals.</t>
  </si>
  <si>
    <t>Reduced peak flows downstream from impoundment.</t>
  </si>
  <si>
    <t>There will be improved vegetative cover with a reduction of runoff and sedimentation.</t>
  </si>
  <si>
    <t>Row arrangement with proper grade and length improves irrigation efficiency.</t>
  </si>
  <si>
    <t xml:space="preserve">Vegetation protects soil surface and traps sediment. </t>
  </si>
  <si>
    <t xml:space="preserve">Vegetation protects soil surface and traps sediment, nutrients and other materials. </t>
  </si>
  <si>
    <t>Traffic is confined to road areas.</t>
  </si>
  <si>
    <t>May help capture and reuse runoff.</t>
  </si>
  <si>
    <t>Increased vegetation and cover will decrease erosion and runoff.</t>
  </si>
  <si>
    <t>Uniform slopes reduce ponding. May increase runoff.</t>
  </si>
  <si>
    <t>Because of more uniform infiltration and less ponding</t>
  </si>
  <si>
    <t>Perennial crops in the alternating strips can add organic matter to the soil. Reduced erosion reduces organic matter loss.</t>
  </si>
  <si>
    <t>Seasonal Tunnel System for Crops</t>
  </si>
  <si>
    <t>Roofs and Covers</t>
  </si>
  <si>
    <t>Stormwater Runoff Control</t>
  </si>
  <si>
    <t xml:space="preserve">Stripcropping reduces the "L" factor value of WEQ.  The amount of erosion reduction depends on strip width, vegetative cover and strip orientation in relation to the direction of erosive winds. </t>
  </si>
  <si>
    <t>Permanent vegetation will reduce runoff and increase infiltration.</t>
  </si>
  <si>
    <t xml:space="preserve">Decreased erosion, increased root mass and less oxidation from lack of soil disturbance under permanent cover will increase or maintain organic matter. </t>
  </si>
  <si>
    <t xml:space="preserve">Improved vegetative cover may increase soil organic matter. However, if prescribed burning is used, removal of vegetation and litter from a site temporarily removes organic material that could have become soil organic matter. </t>
  </si>
  <si>
    <t>When prescribed burning is used, organic materials are mineralized.</t>
  </si>
  <si>
    <t>Increased vegetative matter and its breakdown increases soil organic matter.</t>
  </si>
  <si>
    <t>The action design addresses stream water quality and fish habitat, which includes stream temperature.</t>
  </si>
  <si>
    <t>The action controls surface erosion and surface water movement.</t>
  </si>
  <si>
    <t>Barriers reduce the  excessive disturbance of soil and vegetation by facilitating the effective control of timing, frequency, duration and intensity of use of an area by  animals or people.</t>
  </si>
  <si>
    <t>Barriers reduce the excessive disturbance of soil and vegetation by facilitating the effective control of timing, frequency, duration and intensity of use of an area by animals or people.</t>
  </si>
  <si>
    <t>Barriers reduce the excessive disturbance of soil and vegetation by facilitating the effective control of timing, frequency, duration and intensity of use of an area by animals or people. This promotes vegetative growth and streambank stabilization.</t>
  </si>
  <si>
    <t>Vegetation reduces erosive wind velocities and provides a stable area which stops saltating particles.</t>
  </si>
  <si>
    <t>Vegetative cover reduces wind erosion and provides a stable area which stops saltating particles.</t>
  </si>
  <si>
    <t>Preventing or reducing salt accumulation in the soil leads to improved vegetative cover, reducing the potential for soil movement by wind.</t>
  </si>
  <si>
    <t>Vegetated strips provide ground cover and reduces wind erosion.</t>
  </si>
  <si>
    <t xml:space="preserve">No. and Ac-Ft </t>
  </si>
  <si>
    <t xml:space="preserve">Ft. and Ft3 </t>
  </si>
  <si>
    <t xml:space="preserve">No. and Ac </t>
  </si>
  <si>
    <t>AU.</t>
  </si>
  <si>
    <t>Flow through the channel is accelerated reducing slow-water habitat.</t>
  </si>
  <si>
    <t>Duration of water in pond is extended.</t>
  </si>
  <si>
    <t>Improvement activities can include the creation of a wildlife watering source.</t>
  </si>
  <si>
    <t>Water can be temporarily trapped in the riparian area. Warm-season water is cooled.</t>
  </si>
  <si>
    <t>Spreading temporarily concentrates natural precipitation.</t>
  </si>
  <si>
    <t>There will be crusting of soil surface during seed germination and wheel compaction due to movement of the irrigation system.</t>
  </si>
  <si>
    <t>Improved irrigation allows the leaching of salt below the root zone.</t>
  </si>
  <si>
    <t>Increased soil moisture in the profile may result in increased compaction during field operations.</t>
  </si>
  <si>
    <t>Erosion and sediment control features are a part of the practice</t>
  </si>
  <si>
    <t>Controlling the volume, frequency, and application rate of irrigation water reduces deep percolation.</t>
  </si>
  <si>
    <t>Removing irregularities on the land surface reduces deep percolation.</t>
  </si>
  <si>
    <t>Reshaping the surface of the land reduces deep percolation.</t>
  </si>
  <si>
    <t>Trees, shrubs, and other vegetation take up pesticide residues.  Also, pesticide degradation may be improved by increased soil organic matter and biological activity.</t>
  </si>
  <si>
    <t>Pesticide degradation may be improved by increased soil organic matter and biological activity.</t>
  </si>
  <si>
    <t>Water is removed from subsurface water source.</t>
  </si>
  <si>
    <t>Spring development removes seeps and flows that keep stream banks saturated and easily erodible.</t>
  </si>
  <si>
    <t>Crossing will prevent sloughing and erosion due to traffic on streambanks.</t>
  </si>
  <si>
    <t xml:space="preserve">Management and improvement measures create or maintain the  health and vigor of desired riparian and aquatic plant communities. </t>
  </si>
  <si>
    <t>Managing for desirable plant health and vigor reduces the need for pesticide applications.</t>
  </si>
  <si>
    <t>Managing for desirable plant health and vigor reduces runoff, erosion, and the need for pesticide applications.</t>
  </si>
  <si>
    <t xml:space="preserve">Storage provides flexibility in rate, timing, and location of waste application, reducing the potential for pathogen contamination.  Increased infiltration of water containing pathogens at the storage site is possible. </t>
  </si>
  <si>
    <t>Proper waste application should minimize leaching losses.  Uses of manure for other than land application will decrease opportunity for water contamination.</t>
  </si>
  <si>
    <t>Establishment of adapted species increases vegetative cover and reduces erosion potential. During the establishment period, there may be a slight to moderate risk of erosion, depending on seedbed preparation, seeding method, and species planted.</t>
  </si>
  <si>
    <t>Improved vegetative cover reduces the generation of particulates.</t>
  </si>
  <si>
    <t>Less soil disturbance, increased residue on the surface and fewer field operations reduce the generation of particulate matter.</t>
  </si>
  <si>
    <t>Closure limits surface water entering mine and adding to subsurface water.</t>
  </si>
  <si>
    <t>Water is intercepted and removed from the site, thus reducing subsurface water.</t>
  </si>
  <si>
    <t>Increased infiltration results in more water moving through the profile.</t>
  </si>
  <si>
    <t>Increased infiltration, reduces  runoff and ponding.</t>
  </si>
  <si>
    <t>Water conveyance reduces seepage.</t>
  </si>
  <si>
    <t>Channel capacity accommodates runoff and reduces flooding and ponding.</t>
  </si>
  <si>
    <t>Provides suitable outlets and facilitates drainage.</t>
  </si>
  <si>
    <t>Creates a more uniform surface and removal of depressions.</t>
  </si>
  <si>
    <t>Creates a more uniform surface and removal of depressions will eliminate ponding.</t>
  </si>
  <si>
    <t>Creates a more uniform surface and removes depressions to improve drainages.</t>
  </si>
  <si>
    <t>Runoff will be reduced and infiltration increased due to improved vegetative cover.</t>
  </si>
  <si>
    <t>Provide drainage by the removal of  groundwater.</t>
  </si>
  <si>
    <t>Provides drainage by the removal of surface water.</t>
  </si>
  <si>
    <t>Depending on crop rotation, crop rotation creates diversity that may reduce weed pressures, break weed life cycles, and provide competition that would slow the spread of noxious plants.</t>
  </si>
  <si>
    <t>Water containing pesticides may seep from the basin.</t>
  </si>
  <si>
    <t xml:space="preserve">this practice increases infiltration </t>
  </si>
  <si>
    <t>Water entering the drain may contain pesticide residues.</t>
  </si>
  <si>
    <t>Drier soil profile promotes infiltration that decreases runoff peaks.</t>
  </si>
  <si>
    <t xml:space="preserve">Less erosion and runoff reduces sediment. </t>
  </si>
  <si>
    <t>The degree to which implementing the conservation practice is expected to cause a change from one land use to another.</t>
  </si>
  <si>
    <t>The degree to which implementing the conservation practice is expected to cause an increase or decrease in the amount of land in production.</t>
  </si>
  <si>
    <t>Crop residue provides some cover/shelter.</t>
  </si>
  <si>
    <t>Any cover is eliminated in the area used for the basin.</t>
  </si>
  <si>
    <t>Vegetation planted for stabilization can consist of cover for wildlife.</t>
  </si>
  <si>
    <t>Food for wildlife is improved because of proximity of strips to one another.</t>
  </si>
  <si>
    <t>Cover for wildlife is improved because of proximity of strips to one another.</t>
  </si>
  <si>
    <t>Vegetation-backed terraces provide limited cover.</t>
  </si>
  <si>
    <t>The barrier provides  cover for some species.</t>
  </si>
  <si>
    <t>Improved soil moisture may increase plant diversity and production used as cover for wildlife.</t>
  </si>
  <si>
    <t>Nutrient Management</t>
  </si>
  <si>
    <t>CED-AE</t>
  </si>
  <si>
    <t>ESD-For</t>
  </si>
  <si>
    <t>CED-EE</t>
  </si>
  <si>
    <t>CED-AE &amp; ESD-Graz Land Sp</t>
  </si>
  <si>
    <t>CED-WME</t>
  </si>
  <si>
    <t>CED-AE &amp; ESD-AqEco</t>
  </si>
  <si>
    <t>ESD-Graz Land Sp</t>
  </si>
  <si>
    <t>CED-EG</t>
  </si>
  <si>
    <t>ESD-Agron</t>
  </si>
  <si>
    <t>CED-DE</t>
  </si>
  <si>
    <t>There will be an improvement in composition, structure, amount, and availability of plants for food.</t>
  </si>
  <si>
    <t>Seepage from reservoir.</t>
  </si>
  <si>
    <t xml:space="preserve">Maintaining water levels reduces opportunity for organic material oxidation, however, if the pump is used as a drainage tool, the oxidation and resulting subsidence may increase.  </t>
  </si>
  <si>
    <t>Enhanced root development, litter accumulation, increased biological activity, and/or reduced tillage may improve soil structure.</t>
  </si>
  <si>
    <t>Soil/plant moisture relationships are improved for species diversity and plant growth.  Structures will not inhibit fish passage.</t>
  </si>
  <si>
    <t xml:space="preserve">Planting of wildlife adapted plants outside the hydraulic functioning area of the waterway will provide food. </t>
  </si>
  <si>
    <t>There will be an increase in vegetative cover and deeper root systems that may increase soil organic material.</t>
  </si>
  <si>
    <t>Deep tillage may temporarily increase soil water content.</t>
  </si>
  <si>
    <t>Improved infiltration and porosity leaches salts. Deep plowing will bury and dilute the contaminant.</t>
  </si>
  <si>
    <t>Increased vegetation and cover will improve infiltration and decrease soil detachment by water.</t>
  </si>
  <si>
    <t>Increased vegetation and cover, and stabilization of erosive conditions   will improve infiltration and decrease soil detachment by water.</t>
  </si>
  <si>
    <t xml:space="preserve">Shade provided by trees and shrubs may moderate stream temperatures. </t>
  </si>
  <si>
    <t>Infiltrating water in the basin may move pathogens to the ground water.</t>
  </si>
  <si>
    <t xml:space="preserve">Stripcropping may reduce the velocity of runoff and trap drifting snow resulting in increased water infiltration which could move salts to groundwater. </t>
  </si>
  <si>
    <t>Soil organic matter concerns will decrease when improved vegetative cover is provided and traffic is controlled.  There will be a temporary increase in the problem as organic material oxidizes during construction.</t>
  </si>
  <si>
    <t>The decrease is due to improved plant cover and increased infiltration, reducing overland flow and runoff.</t>
  </si>
  <si>
    <t>Storage water for irrigation can be used in amore timely fashion increasing efficiency.</t>
  </si>
  <si>
    <t>More uniform application of water.</t>
  </si>
  <si>
    <t>There will be an increase in plant uptake when adapted plant species are used.  There is the slight potential for leaching of salt into ground water because of increased infiltration.</t>
  </si>
  <si>
    <t>Infiltrating water behind barriers could leach salts from the profile when present.</t>
  </si>
  <si>
    <t>Diverted water maybe be used for irrigation</t>
  </si>
  <si>
    <t xml:space="preserve">May collect or direct water for water-spreading or water-harvesting systems. </t>
  </si>
  <si>
    <t>Mulch till increases infiltration, reducing  runoff and ponding.</t>
  </si>
  <si>
    <t>Mulch till increases infiltration and decreases evaporation resulting in more available water. However, increased infiltration reduces the efficiency of flood and furrow irrigation.</t>
  </si>
  <si>
    <t>Mulch till increases infiltration and decreases evaporation resulting in more available water.</t>
  </si>
  <si>
    <t>Crop rotation may be designed to add forage crops.</t>
  </si>
  <si>
    <t>More biomass produced will increase organic matter.</t>
  </si>
  <si>
    <t>Plants uptake excess water.</t>
  </si>
  <si>
    <t>Vegetation removes CO2 from the air and stores it in the form of carbon in the plants and soil.</t>
  </si>
  <si>
    <t>Worksheet: Lookup</t>
  </si>
  <si>
    <t>Activities reduce fuel load buildup.</t>
  </si>
  <si>
    <t>Increasing the rate of runoff from a field can increase the amount of soluble pollutants delivered to surface water.</t>
  </si>
  <si>
    <t>Reduced erosion and increased infiltration can result in fewer dissolved and sediment-attached nutrients leaving the field.</t>
  </si>
  <si>
    <t>Establishment of vegetative cover, surfacing with suitable materials, or installing needed structures will provide needed cover to protect area from soil erosion.</t>
  </si>
  <si>
    <t xml:space="preserve">Disturbed areas are revegetated and provide some food for wildlife. </t>
  </si>
  <si>
    <t xml:space="preserve">Disturbed areas are revegetated and  provide some cover for wildlife. </t>
  </si>
  <si>
    <t>Mulching enhances cover/shelter conditions.</t>
  </si>
  <si>
    <t>Management enhances cover/shelter conditions.</t>
  </si>
  <si>
    <t>Decrease in potential surface water contamination in the animal production areas.  May be limited increase in surface  water contamination in the areas where manure is land applied.</t>
  </si>
  <si>
    <t>The improved vegetative cover and increased soil microbiological activity will reduce movement of pathogens, however a land use change to pasture may increase potential pathogen levels.</t>
  </si>
  <si>
    <t>Permanent rows of trees or shrubs can reduce wind erosion and intercept and trap airborne particles.</t>
  </si>
  <si>
    <t>Type of lagoon and location will determine odor production, however, a correctly sited and managed facility will be relatively odor free.</t>
  </si>
  <si>
    <t>Collected water provides drinking for livestock.</t>
  </si>
  <si>
    <t>Facilities supply water at remote locations.</t>
  </si>
  <si>
    <t>Wells facilitate the availability and distribution of water.</t>
  </si>
  <si>
    <t>Optimum moisture is maintained for forage production.</t>
  </si>
  <si>
    <t>Infiltration in the treatment area will add to subsurface water.</t>
  </si>
  <si>
    <t xml:space="preserve">Riparian and instream improvements will improve water quality, and where applicable, water quantity for aquatic and riparian species and their habitats.. </t>
  </si>
  <si>
    <t>Land - Change in Land Use (Effect)</t>
  </si>
  <si>
    <t>Land - Land in Production (Effect)</t>
  </si>
  <si>
    <t>Capital - Change in Equipment (Effect)</t>
  </si>
  <si>
    <t>Capital - Total Investment Cost (Effect)</t>
  </si>
  <si>
    <t>Labor - Labor (Effect)</t>
  </si>
  <si>
    <t>Labor - Change in Management Level (Effect)</t>
  </si>
  <si>
    <t>Profitability - Change in Profitability (Effect)</t>
  </si>
  <si>
    <t xml:space="preserve">If beds are oriented across the prevailing wind erosion direction, detachment may be reduced. </t>
  </si>
  <si>
    <t>Design criteria prohibit erosive concentrated flow.</t>
  </si>
  <si>
    <t>The degree to which risk, as related to cash flow in farm or ranch operations, is expected to increase or decrease as a result of implementing the conservation practice.</t>
  </si>
  <si>
    <t xml:space="preserve">Temporary site conditions may decrease food species used by wildlife.   </t>
  </si>
  <si>
    <t>Cropland field is subject to wind erosion and has soils that are stable enough to sustain effective ridges and cloddiness.</t>
  </si>
  <si>
    <t>Improved vegetative cover will reduce runoff, flooding, or ponding on the recreation area.</t>
  </si>
  <si>
    <t>Proper nutrient application should reduce salinity if nutrient source contains salts.</t>
  </si>
  <si>
    <t xml:space="preserve">The action collects and stores water preventing both infiltration and runoff.  </t>
  </si>
  <si>
    <t xml:space="preserve">The action collects and removes water and soluble nutrients from the site.  </t>
  </si>
  <si>
    <t>May reduce sediment in runoff water which tends to increase gully erosion, but will also decrease runoff peaks</t>
  </si>
  <si>
    <t>The period of time, measured in years, during which the conservation practice must remain fully functional--through design, construction, implementation, and/or O&amp;M--in order to meet the requirements of NRCS practice standards.</t>
  </si>
  <si>
    <t>Land - Change in Land Use</t>
  </si>
  <si>
    <t>Land - Land in Production</t>
  </si>
  <si>
    <t>Capital - Change in Equipment</t>
  </si>
  <si>
    <t>Stabilized channel bottom and sides.</t>
  </si>
  <si>
    <t xml:space="preserve">There will be an increase of vegetative cover and reduced runoff in the watershed in the long-term. </t>
  </si>
  <si>
    <t>Clearing will reduce vegetation resulting in a short term increase of erosion.</t>
  </si>
  <si>
    <t>Reduced erosion will improve site potential to enhance plant productivity and health.</t>
  </si>
  <si>
    <t xml:space="preserve">Pruning increases health and vigor of selected tree/shrub species as well as desired understory vegetation.  </t>
  </si>
  <si>
    <t>Reduced erosion and improved water management creates site conditions favorable to plant health and productivity.</t>
  </si>
  <si>
    <t>Nutrients and soil amendments are applied to optimize to plant health and productivity.</t>
  </si>
  <si>
    <t xml:space="preserve">Water diverted from gulley and spread in a nonerosive manner. </t>
  </si>
  <si>
    <t>Worksheet: Physical Effects</t>
  </si>
  <si>
    <t>Planning unit includes channels or drainages that contain snags, drifts, or other obstructions.</t>
  </si>
  <si>
    <t>Organic waste material is generated from agricultural production or processing in the headquarters area.</t>
  </si>
  <si>
    <t>There is no on-farm facility for disposal of livestock or poultry carcasses.</t>
  </si>
  <si>
    <t>Planning area has brush cover.</t>
  </si>
  <si>
    <t>Cropland without bedding.</t>
  </si>
  <si>
    <t>Water storage is increased and runoff is reduced.</t>
  </si>
  <si>
    <t>Irrigation Ditch Lining</t>
  </si>
  <si>
    <t>The amount and timing of nutrient application are balanced with plant needs.</t>
  </si>
  <si>
    <t>Lagoon contents will provide limited source of moisture.</t>
  </si>
  <si>
    <t>Practice Units</t>
  </si>
  <si>
    <t>Improves infiltration, soil structure, and winter water use that may otherwise be lost. For dry climates (&lt;20 inches/year); cover crops will compete for main crop's moisture.</t>
  </si>
  <si>
    <t>The soil compaction concern will decrease as vegetative cover improves and traffic is controlled</t>
  </si>
  <si>
    <t xml:space="preserve">Establishment of salt tolerant species will reduce the salinity concern </t>
  </si>
  <si>
    <t>Channel is stabilized and protected from excessive erosion.</t>
  </si>
  <si>
    <t>Monitoring and Evaluation</t>
  </si>
  <si>
    <t xml:space="preserve">Initial increase in compaction due to construction equipment will be followed by a decrease in compaction due to the effect of improved vegetative cover.   </t>
  </si>
  <si>
    <t xml:space="preserve">Dense herbaceous vegetation reduces erosion from wind.  </t>
  </si>
  <si>
    <t>Treatment options such as amendments can be used to alter the waste stream to remove salts, metals, and some pathogens.</t>
  </si>
  <si>
    <t>The process of land forming alters the soil profile and aerates the soil.</t>
  </si>
  <si>
    <t xml:space="preserve">Increased percolation may move soluble salts into groundwater.  </t>
  </si>
  <si>
    <t>Controlled flow will reduce gulley erosion down slope of basin.</t>
  </si>
  <si>
    <t>Smoothing causes a more uniform infiltration</t>
  </si>
  <si>
    <t xml:space="preserve">Vegetation is installed and managed to control undesired species. </t>
  </si>
  <si>
    <t>Tall vegetation creates vertical habitat structure and enhanced space for wildlife.</t>
  </si>
  <si>
    <t xml:space="preserve">Improving the health and vigor of plant communities will increase vegetative cover and/or water infiltration and decrease erosion by water.   </t>
  </si>
  <si>
    <t>Cover crops can take up salts and water reducing the leaching potential of salts.</t>
  </si>
  <si>
    <t>Vegetation takes up moisture and salts.</t>
  </si>
  <si>
    <t>Nutrients impounded could contaminate groundwater.</t>
  </si>
  <si>
    <t>Pathogen-creating actions are mitigated during practice design.</t>
  </si>
  <si>
    <t xml:space="preserve">The action requires removing salts from the root-zone. Leaching is one alternative and degree of effect depends on the amount of leaching used and the location of the ground water table.  </t>
  </si>
  <si>
    <t xml:space="preserve">Permanent vegetation will take up available nutrients and increase organic matter. The increased organic matter will increase cation exchange capacity which will hold nutrients. </t>
  </si>
  <si>
    <t>Some carbon may be lost due to soil disturbance.</t>
  </si>
  <si>
    <t>Conserving moisture and improving soil conditions contribute to enhanced plant productivity and health. However, on cold and wet soils there may be a delay in emergence and early growth.</t>
  </si>
  <si>
    <t>Some alternatives are used to treat the waste stream to the point water can be reused by livestock.  Liquid/solid separation is almost always the first step</t>
  </si>
  <si>
    <t>Reduced runoff and erosion will reduce the concern about sediment and turbidity in surface water</t>
  </si>
  <si>
    <t>There will be a removal of competition to increase desirable plant community health, vigor, and biodiversity.</t>
  </si>
  <si>
    <t>Infiltrating water and soluble salts are collected and conveyed to an outlet.</t>
  </si>
  <si>
    <t>Water from mole drains will tend to be cooler than that exposed to sunlight, but not appreciably so.</t>
  </si>
  <si>
    <t>There could be a slight reduction of pathogens in surface waters because runoff will be reduced; however this is expected to be offset by increased pathogen levels in the water from the drains.</t>
  </si>
  <si>
    <t>The action conveys water quickly and will not result in increased surface water temperatures.</t>
  </si>
  <si>
    <t>The action protects soil and water quality.</t>
  </si>
  <si>
    <t>The action includes vegetation along stream courses.</t>
  </si>
  <si>
    <t>The action is used to control water releases and regulate surface water temperature.</t>
  </si>
  <si>
    <t>Runoff is to be controlled on the site itself.</t>
  </si>
  <si>
    <t>There could be some water contaminants on site, but overall impact of practice will be small/</t>
  </si>
  <si>
    <t>Because of aquatic animal feed or decaying vegetation, or from excessive nutrients in runoff</t>
  </si>
  <si>
    <t>Enables better runoff management</t>
  </si>
  <si>
    <t>There is a potential to increase infiltration and absorption by plant roots and breakdown of pesticides with biological activity.</t>
  </si>
  <si>
    <t>Salts leached from the root zone by drainage may enter surface water.</t>
  </si>
  <si>
    <t>Growth of herbaceous and shrubby plants are enhanced and available as cover/shelter for wildlife.</t>
  </si>
  <si>
    <t>Roughened surface may cause some modest infiltration increases, moving soluble contaminates and pathogens below the root zone.</t>
  </si>
  <si>
    <t>The stabilized channel traps and provides more food for fish.</t>
  </si>
  <si>
    <t>The stabilized channel provides more cover/shelter for fish.</t>
  </si>
  <si>
    <t xml:space="preserve">Restricting floodplains eliminates refuge habitat for stream and river-dwelling wildlife species.  </t>
  </si>
  <si>
    <t>Purpose of practice is to protect vegetation along water courses, which in turn moderates stream temperatures.</t>
  </si>
  <si>
    <t>Water retained in basin is generally warmer than receiving waters to which outlets drain.</t>
  </si>
  <si>
    <t>Planning area has a need for Critical Area Planting.</t>
  </si>
  <si>
    <t>Planning area requires vegetative cover for natural resource protection or improvement.</t>
  </si>
  <si>
    <t>Planning area has uniform slopes ranging from 4-8 percent, with appropriate slope lengths for contour buffers.</t>
  </si>
  <si>
    <t>Contaminants taken up by forage plants will be returned to the soil as manure. Most tree species take up limited amounts of salt.</t>
  </si>
  <si>
    <t>The action improves surface water quality and provides seasonal habitat for aquatic species, especially if connected to a stream or river.</t>
  </si>
  <si>
    <t>The action will increase available wet habitat for some species and decrease it for others.</t>
  </si>
  <si>
    <t>Lowering of water table allows the oxidation of organic matter.</t>
  </si>
  <si>
    <t xml:space="preserve">The leached salts may be removed from the soil through drainage. </t>
  </si>
  <si>
    <t>Drainage increases organic matter oxidation.</t>
  </si>
  <si>
    <t>Soluble pollutants will decrease because of increased water removal.</t>
  </si>
  <si>
    <t>NA</t>
  </si>
  <si>
    <t xml:space="preserve">A channel constructed across the slope may intercept runoff water and shorten the slope length.  </t>
  </si>
  <si>
    <t>Reduced opportunity for overflow due to rainfall exclusion will reduce opportunity for groundwater contamination.</t>
  </si>
  <si>
    <t xml:space="preserve">The action will increase available wet habitat for some species and decrease it for others.  </t>
  </si>
  <si>
    <t>The action will enhance wet habitat for some species and diminish habitat for others, depending on location in a watershed.</t>
  </si>
  <si>
    <t>The action causes a decrease in diversity</t>
  </si>
  <si>
    <t>The action may remove structures used for shelter.</t>
  </si>
  <si>
    <t>The action criteria requires non-erosive water velocities.</t>
  </si>
  <si>
    <t>Pipeline can collect and convey excessive subsurface water to suitable outlet.</t>
  </si>
  <si>
    <t>Management of irrigation water will help reduce excess subsurface water.</t>
  </si>
  <si>
    <t>Removal of vegetation may increase runoff.</t>
  </si>
  <si>
    <t>Removal of vegetation may decrease evapotranspiration.</t>
  </si>
  <si>
    <t>Debris removal may remove habitat used for cover/shelter by wildlife.</t>
  </si>
  <si>
    <t xml:space="preserve">Constructing or improving channels may increase or decrease food for fish and wildlife. </t>
  </si>
  <si>
    <t xml:space="preserve">Peak flows are reduced. </t>
  </si>
  <si>
    <t>Seepage is minimal.</t>
  </si>
  <si>
    <t>Erosion control is positive unless combined with other practices such as, but not limited to land leveling</t>
  </si>
  <si>
    <t>Applicable to establishing new orchard and perennial crops</t>
  </si>
  <si>
    <t>Use of heavy equipment may affect surface and subsurface archaeological resources</t>
  </si>
  <si>
    <t>yes</t>
  </si>
  <si>
    <t>Air Filtration and Scrubbing</t>
  </si>
  <si>
    <t>Various filtration and scrubbing systems are highly effective at mitigating particulate matter emissions.</t>
  </si>
  <si>
    <t>Some filtration and scrubbing systems can be highly effective at mitigating emissions of volatile organic compounds (VOCs).</t>
  </si>
  <si>
    <t>Some filtration and scrubbing systems can be highly effective at mitigating emissions of volatile organic compounds (VOCs), odorous sulfur compounds, and ammonia.</t>
  </si>
  <si>
    <t>Combustion System Improvement</t>
  </si>
  <si>
    <t>A primary purpose of this standard is to mitigate emissions of particulate matter from agricultural combustion systems.</t>
  </si>
  <si>
    <t>A primary purpose of this standard is to mitigate emissions of oxides of nitrogen (NOx) from agricultural combustion systems.</t>
  </si>
  <si>
    <t>Depending on the technology used to improve the agricultural combustion system, reductions in fossil fuel emissions of CO2 can be achieved.</t>
  </si>
  <si>
    <t>Dust Control on Unpaved Roads and Surfaces</t>
  </si>
  <si>
    <t>Treatment of unpaved surfaces can help to bind particles, resulting in reduced erosion.</t>
  </si>
  <si>
    <t>Treatment of unpaved surfaces can help to bind particles, resulting in reduced erosion and sediment load to nearby surface waters.</t>
  </si>
  <si>
    <t>Waste Facility Closure</t>
  </si>
  <si>
    <t>Dust Control from Animal Activity on Open Lot Surfaces</t>
  </si>
  <si>
    <t>Removal of undesirable obstructions will prevent bank erosion by eddies or redirection of flow.</t>
  </si>
  <si>
    <t xml:space="preserve">Removal of snags or large wood may re-suspend sediments into the stream. </t>
  </si>
  <si>
    <t>Noxious or invasive plants can be removed and the area replanted with appropriate species.</t>
  </si>
  <si>
    <t>Depending on species, availability of food sources may be lost with removal of in-stream materials.</t>
  </si>
  <si>
    <t>Depending on species, availability of cover will be lost with removal of in-stream materials.</t>
  </si>
  <si>
    <t>Clearing of bank vegetation and in-stream wood generally increases flow velocities and decreases slow-water habitat complexity.</t>
  </si>
  <si>
    <t xml:space="preserve">Aquatic Organism Passage </t>
  </si>
  <si>
    <t>Equipment operated on the contour vs up and down hill</t>
  </si>
  <si>
    <t>Cover crops can reduce nitrogen inputs.</t>
  </si>
  <si>
    <t>Equipment will not need to cross gullies nor do tillage to fill the gullies</t>
  </si>
  <si>
    <t>High Energy Requirement to Roughen the Surface</t>
  </si>
  <si>
    <t>The same tillage and physical inputs are required with or without the tunnel</t>
  </si>
  <si>
    <t>Waste can provide nutrients, but transportation requires substantial fuel</t>
  </si>
  <si>
    <t>Channel Bed Stabilization</t>
  </si>
  <si>
    <t xml:space="preserve">Karst Sinkhole Treatment </t>
  </si>
  <si>
    <t>Water Well Decommissioning</t>
  </si>
  <si>
    <t>A properly designed well will allow use of an efficient pumping system.</t>
  </si>
  <si>
    <t>Fewer gullies to cross with equipment</t>
  </si>
  <si>
    <t>No tillage equipment needed</t>
  </si>
  <si>
    <t>No tillage operations</t>
  </si>
  <si>
    <t>Although the hoop structure may capture solar energy, more energy is needed for irrigation and other management</t>
  </si>
  <si>
    <t>CED-AqEco</t>
  </si>
  <si>
    <t xml:space="preserve">Increase health and vigor of desirable plant species increases ground cover decreasing sheet and rill erosion.  </t>
  </si>
  <si>
    <t>Increase health and vigor of desirable plant species increases ground cover decreasing wind erosion.</t>
  </si>
  <si>
    <t>Increase health and vigor of desirable plant species increases ground cover decreasing  erosion potential.</t>
  </si>
  <si>
    <t>Pesticides may be used to control vegetation.</t>
  </si>
  <si>
    <t>Management may reduces fuel loadings.</t>
  </si>
  <si>
    <t>There may be an improvement in composition, structure, amount, and availability of plants for food.</t>
  </si>
  <si>
    <t>The degree will depend on the species removed and the enhancement of stand composition and structure.  There may be a slight to significant initial short-term loss of cover.</t>
  </si>
  <si>
    <t xml:space="preserve">The reduction of undesirable  species increases production of forage that meets nutritional and productive needs for livestock. </t>
  </si>
  <si>
    <t xml:space="preserve">Improving aquatic passage could reduce pooling and standing water within stream channel potentially reducing heating. </t>
  </si>
  <si>
    <t>Providing aquatic organism passage allows those migrating organisms to get to the cover/shelter it is seeking for feeding or breeding purposes.</t>
  </si>
  <si>
    <t>Improving instream passage can result in more even flows of water allowing for passage to occur.</t>
  </si>
  <si>
    <t xml:space="preserve">All aquatic habitats where barriers impede passage for fish and other aquatic organisms. </t>
  </si>
  <si>
    <t>Fouling organisms will be removed from nets and cages and from the aqueous environment reducing organics in localized surface waters</t>
  </si>
  <si>
    <t xml:space="preserve">By removing fouling organisms material infected with pathogens or diseased organisms will also be removed from the local aquatic environment. </t>
  </si>
  <si>
    <t xml:space="preserve">Bivalves thrive by filtering nutrients and organisms out of the water.  Aquaculture production of increases bivalve biomass and increase water filtration.  </t>
  </si>
  <si>
    <t xml:space="preserve">Bivalve shellfish aquaculture production sites in approved areas. </t>
  </si>
  <si>
    <t>Identified in On-Farm Energy Audit</t>
  </si>
  <si>
    <t>Land Reclamation, Abandoned Mined Land</t>
  </si>
  <si>
    <t>Land Reclamation, Currently Mined Land</t>
  </si>
  <si>
    <t>Waste Transfer</t>
  </si>
  <si>
    <t>Improves diet, reduces manure excretion. Reduces energy needed to transport and utilize manure.</t>
  </si>
  <si>
    <t>Requires less water and lower pressure pumping. Substantially reduces water needs because being applied directly to plant roots.</t>
  </si>
  <si>
    <t>Reduces energy requirements for firefighting and pest control.</t>
  </si>
  <si>
    <t>Efficient pumping plant saves energy</t>
  </si>
  <si>
    <t>Few tillage trips across the field and less horsepower requirements.</t>
  </si>
  <si>
    <t>Reduced energy due to conversion of crop to permanent cover.  Reduced energy due to ephemeral gully erosion management. Potential for biomass product.</t>
  </si>
  <si>
    <t>If used in conjunction with capturing methane, can capture a source of energy</t>
  </si>
  <si>
    <t>Use in concert with cover to capture methane</t>
  </si>
  <si>
    <t>Less water stress on crops. Potential biomass.</t>
  </si>
  <si>
    <t xml:space="preserve"> By-products from this practice can be used in lieu of fossil fuels</t>
  </si>
  <si>
    <t xml:space="preserve">Reduce volume/weight for material transport. </t>
  </si>
  <si>
    <t>Combustion systems can be improved for energy efficiency.</t>
  </si>
  <si>
    <t>Some air filtration systems are energy intensive.</t>
  </si>
  <si>
    <t>Improved equipment efficiency can reduce particulate matter emissions from combustion.</t>
  </si>
  <si>
    <t>Improved equipment efficiency can reduce emissions of oxides of nitrogen associated with combustion.</t>
  </si>
  <si>
    <t>No additional field equipment required, some installation equipment required</t>
  </si>
  <si>
    <t>Materials &amp; construction costs</t>
  </si>
  <si>
    <t>Land taken out of production</t>
  </si>
  <si>
    <t>Initial construction; increased public access can have adverse effects</t>
  </si>
  <si>
    <t>Excavated storage may adversely effect historic properties</t>
  </si>
  <si>
    <t>No change in field equipment, acquire facility equipment</t>
  </si>
  <si>
    <t>Materials, on-site equipment &amp; installation costs</t>
  </si>
  <si>
    <t>Initial plantings; changes in setting can have adverse effects</t>
  </si>
  <si>
    <t>No additional field equipment required</t>
  </si>
  <si>
    <t>Materials and  management costs</t>
  </si>
  <si>
    <t>Excavated pits can adversely effect historic properties</t>
  </si>
  <si>
    <t>Construction impacts</t>
  </si>
  <si>
    <t>Equipment required to install practice</t>
  </si>
  <si>
    <t>Materials and installation costs</t>
  </si>
  <si>
    <t>Mechanical removal impacts; TCP important plant species</t>
  </si>
  <si>
    <t>Brush-free land could be grazed or cropped</t>
  </si>
  <si>
    <t>Materials, farm equipment and  management costs</t>
  </si>
  <si>
    <t>Mechanical removal impacts</t>
  </si>
  <si>
    <t>Construction impacts; effects to historic structures at headquarters</t>
  </si>
  <si>
    <t>Some land taken out of production</t>
  </si>
  <si>
    <t>Historic properties in agricultural context can be protected from erosion</t>
  </si>
  <si>
    <t>If new deep rooted crops are introduced to manage saline seeps, adverse effects may occur</t>
  </si>
  <si>
    <t>Management costs</t>
  </si>
  <si>
    <t>Substantial, convert to wetland</t>
  </si>
  <si>
    <t>Operation and maintenance costs to maintain water level and control pests</t>
  </si>
  <si>
    <t>Less income if land taken out of crop or livestock production</t>
  </si>
  <si>
    <t>Slight, convert cropland to vegetated strips</t>
  </si>
  <si>
    <t>Materials &amp; installation costs</t>
  </si>
  <si>
    <t>Construction adverse effects; effects of inundation</t>
  </si>
  <si>
    <t>Historic properties below existing plow zone can be adversely effected</t>
  </si>
  <si>
    <t>Farm equipment and installation costs</t>
  </si>
  <si>
    <t>Construction adverse effects; effects of concentrated flows</t>
  </si>
  <si>
    <t>Operation and maintenance costs to control water levels</t>
  </si>
  <si>
    <t>Construction adverse impacts</t>
  </si>
  <si>
    <t>Dependent on fence type, construction methods, resource type</t>
  </si>
  <si>
    <t>Reduced livestock management costs</t>
  </si>
  <si>
    <t>Historic properties in agricultural context can be protected from erosion by permanent vegetative cover</t>
  </si>
  <si>
    <t>Slight, cropland converted to border</t>
  </si>
  <si>
    <t>Slight, cropland converted to strips</t>
  </si>
  <si>
    <t>Operation and maintenance costs to maintain cover and control pests</t>
  </si>
  <si>
    <t>Slight, cropland converted to firebreak</t>
  </si>
  <si>
    <t>Land use change to fish production</t>
  </si>
  <si>
    <t>Farm equipment and management costs</t>
  </si>
  <si>
    <t>Use of heavy equipment may affect surface or subsurface resources</t>
  </si>
  <si>
    <t>Construction effects to surface and subsurface resources possible</t>
  </si>
  <si>
    <t>Reduced travel time</t>
  </si>
  <si>
    <t>Moderate if large areas planted, N/A if small areas planted</t>
  </si>
  <si>
    <t xml:space="preserve">Vegetative cover may protect surface or subsurface resources; heavy surface treatment or structures may affect these resources  </t>
  </si>
  <si>
    <t>Operation and maintenance costs to keep pad clear and surfaced</t>
  </si>
  <si>
    <t>Crop or grazed land converted to shrub/tree and wildlife use</t>
  </si>
  <si>
    <t>Materials &amp; planting costs</t>
  </si>
  <si>
    <t>Operation and maintenance costs to keep ditch clear and surfaced</t>
  </si>
  <si>
    <t>Some monitoring equipment required</t>
  </si>
  <si>
    <t>Materials &amp; management costs</t>
  </si>
  <si>
    <t>Canals and laterals may protect historic propertied from erosion but construction and operations/maintenance may have an adverse effect</t>
  </si>
  <si>
    <t>Consider if ditch is historic structure</t>
  </si>
  <si>
    <t>Historic properties may be protected by erosion reduction but land surface reshaping will affect surface and subsurface historic properties</t>
  </si>
  <si>
    <t xml:space="preserve">Historic properties may be affected by construction and maintenance </t>
  </si>
  <si>
    <t>Substantial, conversion of crop or grazed land to water storage</t>
  </si>
  <si>
    <t>Construction impacts (mechanical) in subsurface applications</t>
  </si>
  <si>
    <t>Materials, on-site equipment &amp; management costs</t>
  </si>
  <si>
    <t>Consider if mine is historic structure</t>
  </si>
  <si>
    <t>Substantial if land is brought into production</t>
  </si>
  <si>
    <t>Construction impacts (mechanical) where disturbance is below previous plow zone</t>
  </si>
  <si>
    <t>Slight increase, some land brought into production</t>
  </si>
  <si>
    <t xml:space="preserve">If obstruction or its setting include historic properties or landscapes, removal may cause an adverse effect </t>
  </si>
  <si>
    <t>Construction impacts (mechanical); inundation, shore erosion</t>
  </si>
  <si>
    <t>Adverse effects to historic structures and landscapes</t>
  </si>
  <si>
    <t>Some monitoring equipment may be required</t>
  </si>
  <si>
    <t>Substantial if land use changes from dryland to irrigated</t>
  </si>
  <si>
    <t>Historic properties may be affected by brush management and mechanical treatment if employed</t>
  </si>
  <si>
    <t>Increased access and impacts by people</t>
  </si>
  <si>
    <t>Some additional field equipment required</t>
  </si>
  <si>
    <t>Farm equipment &amp; management costs</t>
  </si>
  <si>
    <t xml:space="preserve">Historic properties will generally not be affected except when site preparation involves construction or land (shoreline) modification </t>
  </si>
  <si>
    <t>Change from roadway to other land use</t>
  </si>
  <si>
    <t>Land brought into production</t>
  </si>
  <si>
    <t>Additional labor to maintain roof runoff system</t>
  </si>
  <si>
    <t>Management required to operate and maintain roof runoff structures</t>
  </si>
  <si>
    <t>No change in field equipment</t>
  </si>
  <si>
    <t>Additional equipment required</t>
  </si>
  <si>
    <t>Construction impacts associated with site preparation</t>
  </si>
  <si>
    <t>Historic properties may be affected by chemical contamination of archaeological site contents or if preparation requires land shaping</t>
  </si>
  <si>
    <t>Historic properties may be affected by construction (mechanical) where disturbance is below current plow zone</t>
  </si>
  <si>
    <t>Substantial if land use changes</t>
  </si>
  <si>
    <t>Operation and maintenance costs to maintain terrace, remove sediment and control pests</t>
  </si>
  <si>
    <t>Construction impacts (mechanical) associated with site preparation</t>
  </si>
  <si>
    <t>Materials &amp; equipment costs</t>
  </si>
  <si>
    <t>Annual structure management costs</t>
  </si>
  <si>
    <t>Equipment required to install and maintain practice</t>
  </si>
  <si>
    <t xml:space="preserve">Historic properties may be protected by erosion reduction </t>
  </si>
  <si>
    <t>Construction impacts (mechanical); inundation</t>
  </si>
  <si>
    <t>Reduced labor hauling &amp; managing manure</t>
  </si>
  <si>
    <t>Buried historic properties may be affected by chemical changes of organic materials are present</t>
  </si>
  <si>
    <t>If buried pipelines are utilized</t>
  </si>
  <si>
    <t>Historic properties may be affected by site preparation and construction</t>
  </si>
  <si>
    <t>Slight increase, offset by improvements in crop production</t>
  </si>
  <si>
    <t>Consider impacts to historic landscapes</t>
  </si>
  <si>
    <t>Substantial Increase if land brought into production</t>
  </si>
  <si>
    <t>Substantial Increase, land brought into production</t>
  </si>
  <si>
    <t>Substantial Increase if land is brought into forage production</t>
  </si>
  <si>
    <t>Slight Decrease to Moderate Increase</t>
  </si>
  <si>
    <t>Slight, conversion of crop or grazed land to fuel break</t>
  </si>
  <si>
    <t>Ft.</t>
  </si>
  <si>
    <t>Soil Erosion</t>
  </si>
  <si>
    <t>Soil Quality Degradation</t>
  </si>
  <si>
    <t>Excess Water</t>
  </si>
  <si>
    <t>Insufficient Water</t>
  </si>
  <si>
    <t>Water Quality Degradation</t>
  </si>
  <si>
    <t>Fish and Wildlife - Inadequate Habitat</t>
  </si>
  <si>
    <t>Livestock Production Limitation</t>
  </si>
  <si>
    <t>Inefficient Energy Use</t>
  </si>
  <si>
    <t>Sheet, Rill, &amp; Wind Erosion</t>
  </si>
  <si>
    <t xml:space="preserve">Concentrated Flow Erosion </t>
  </si>
  <si>
    <t>Subsidence</t>
  </si>
  <si>
    <t>Compaction</t>
  </si>
  <si>
    <t xml:space="preserve">Organic Matter Depletion </t>
  </si>
  <si>
    <t>Ponding, Flooding, Seasonal High Water Table, Seeps and Drifted Snow</t>
  </si>
  <si>
    <t>Inefficient Use of Irrigation Water</t>
  </si>
  <si>
    <t>Elevated Water Temperature</t>
  </si>
  <si>
    <t>Objectionable Odors</t>
  </si>
  <si>
    <t xml:space="preserve">Habitat Degradation </t>
  </si>
  <si>
    <t>Inadequate Feed and Forage</t>
  </si>
  <si>
    <t>Inadequate Shelter</t>
  </si>
  <si>
    <t>Inadequate Water</t>
  </si>
  <si>
    <t>Equipment and Facilities</t>
  </si>
  <si>
    <t>Emissions of Greenhouse Gases (GHGs)</t>
  </si>
  <si>
    <t>Air Quality Impacts</t>
  </si>
  <si>
    <t>Emissions of Particulate Matter (PM) and PM Precursors</t>
  </si>
  <si>
    <t>Degraded Plant Condition</t>
  </si>
  <si>
    <t>Farming/ranching practices and field operations</t>
  </si>
  <si>
    <t>Emissions of Ozone Precursors</t>
  </si>
  <si>
    <t>Waste Recycling</t>
  </si>
  <si>
    <t>Woody Residue Treatment</t>
  </si>
  <si>
    <t>Concentrates salts and chemicals in one location where build up over time can occur.</t>
  </si>
  <si>
    <t xml:space="preserve">Salts and other chemicals removed from the facility will be remediated.  </t>
  </si>
  <si>
    <t>Emptying and closing unused waste storage facilities eliminates potential sources of spills, overflows, or runoff from improperly abandoned facilities.</t>
  </si>
  <si>
    <t>The action eliminates potential waste leakage from facilities.</t>
  </si>
  <si>
    <t>Headquarters area includes a waste facility that is no longer needed as part of a waste management system.</t>
  </si>
  <si>
    <t>Agricultural waste or by-product is generated that is not being processed and/or recycled to prevent a resource problem or provide a conservation benefit.</t>
  </si>
  <si>
    <t>Management of pH and applying sufficient nutrients will maintain or enhance biomass production</t>
  </si>
  <si>
    <t>Matching plant requirements with nutrient applications decreases excess nutrient conditions and reduces salts and other contaminants</t>
  </si>
  <si>
    <t>Right: Amount, source, placement, and timing (4R) provides nutrients when plants need them most.</t>
  </si>
  <si>
    <t>Bivalve Aquaculture Gear and Biofouling Control</t>
  </si>
  <si>
    <t>Certain feedstuffs lead to high salt levels in manure</t>
  </si>
  <si>
    <t xml:space="preserve"> Certain additives can be fed that will reduce pathogens in manure.</t>
  </si>
  <si>
    <t>Certain additives can be fed that reduce pathogens in manure.</t>
  </si>
  <si>
    <t>Farmstead Energy Improvement</t>
  </si>
  <si>
    <t>Possible if water-source heat pump is installed.</t>
  </si>
  <si>
    <t>Reduced energy use will typically reduce GHG.</t>
  </si>
  <si>
    <t>Farming/ranching practices and field operations addressed by other conservation practices.</t>
  </si>
  <si>
    <t xml:space="preserve">Reduces seepage losses which can result in reduced energy use for pumping. </t>
  </si>
  <si>
    <t>Properly sizing pipe to reduce friction losses, will result in reduced energy use for pumping.</t>
  </si>
  <si>
    <t>Allows for off-peak or night time irrigation, will can result in reduced energy use for pumping.</t>
  </si>
  <si>
    <t>Improvement of Distribution Uniformity can result in reduced energy use for pumping.</t>
  </si>
  <si>
    <t>Reuse of tailwater runoff will result in reduced energy use for pumping.</t>
  </si>
  <si>
    <t>Improvement of Irrigation Efficiency can result in reduced energy use for pumping.</t>
  </si>
  <si>
    <t>More efficient water distribution, will result in reduced energy use for pumping.</t>
  </si>
  <si>
    <t>Properly sizing pumps, power plants, and controllers to maximize efficiency, will result in reduced energy use for pumping.</t>
  </si>
  <si>
    <t xml:space="preserve">Potential biomass production </t>
  </si>
  <si>
    <t>-1 Slight Worsening</t>
  </si>
  <si>
    <t>The use of legume crops to supply nitrogen</t>
  </si>
  <si>
    <t>Resource Concerns</t>
  </si>
  <si>
    <t>CPPE Resource Concern Components</t>
  </si>
  <si>
    <t>Soil Erosion - Sheet and Rill Erosion</t>
  </si>
  <si>
    <t>Soil Erosion - Wind Erosion</t>
  </si>
  <si>
    <t>Soil Erosion - Ephemeral Gully Erosion</t>
  </si>
  <si>
    <t>Soil Erosion - Classic Gully Erosion</t>
  </si>
  <si>
    <t>Soil Erosion - Streambank, Shoreline, Water Conveyance Channels</t>
  </si>
  <si>
    <t>Soil Quality Degradation - Organic Matter Depletion</t>
  </si>
  <si>
    <t>Soil Quality Degradation - Compaction</t>
  </si>
  <si>
    <t>Soil Quality Degradation - Subsidence</t>
  </si>
  <si>
    <t>Soil Quality Degradation - Concentration of Salts or Other Chemicals</t>
  </si>
  <si>
    <t>Excess Water - Seeps</t>
  </si>
  <si>
    <t>Excess Water - Runoff, Flooding, or Ponding</t>
  </si>
  <si>
    <t>Excess Water - Seasonal High Water Table</t>
  </si>
  <si>
    <t>Excess Water - Drifted Snow</t>
  </si>
  <si>
    <t>Insufficient Water - Inefficient Use of Irrigation Water</t>
  </si>
  <si>
    <t>Water Quality Degradation - Pesticides in Surface Water</t>
  </si>
  <si>
    <t>Water Quality Degradation - Pesticides in Groundwater</t>
  </si>
  <si>
    <t>Water Quality Degradation - Nutrients in Surface water</t>
  </si>
  <si>
    <t>Water Quality Degradation - Nutrients in Groundwater</t>
  </si>
  <si>
    <t>Water Quality Degradation - Salts in Surface Water</t>
  </si>
  <si>
    <t>Water Quality Degradation - Salts in Groundwater</t>
  </si>
  <si>
    <t>Water Quality Degradation - Elevated Water Temperature</t>
  </si>
  <si>
    <t>Air Quality Impacts - Emissions of Particulate Matter (PM) and PM Precursors</t>
  </si>
  <si>
    <t>Air Quality Impacts - Emissions of Ozone Precursors</t>
  </si>
  <si>
    <t>Air Quality Impacts - Emissions of Greenhouse Gases (GHGs)</t>
  </si>
  <si>
    <t>Air Quality Impacts - Objectionable Odors</t>
  </si>
  <si>
    <t>Fish and Wildlife - Inadequate Habitat - Food</t>
  </si>
  <si>
    <t>Fish and Wildlife - Inadequate Habitat - Cover/Shelter</t>
  </si>
  <si>
    <t>Fish and Wildlife - Inadequate Habitat - Water</t>
  </si>
  <si>
    <t>Fish and Wildlife - Inadequate Habitat - Habitat Continuity (Space)</t>
  </si>
  <si>
    <t>Livestock Production Limitation - Inadequate Feed and Forage</t>
  </si>
  <si>
    <t>Livestock Production Limitation - Inadequate Shelter</t>
  </si>
  <si>
    <t>Livestock Production Limitation - Inadequate Water</t>
  </si>
  <si>
    <t>Inefficient Energy Use - Equipment and Facilities</t>
  </si>
  <si>
    <t>Effect</t>
  </si>
  <si>
    <t>Water Quality Degradation - Excess Pathogens and Chemicals from Manure, Bio-solids or Compost Applications in Groundwater</t>
  </si>
  <si>
    <t>Degraded Plant Condition - Undesirable Plant Productivity and Health</t>
  </si>
  <si>
    <t xml:space="preserve">Degraded Plant Condition - Inadequate Structure and Composition </t>
  </si>
  <si>
    <t>Degraded Plant Condition - Excessive Plant Pest Pressure</t>
  </si>
  <si>
    <t>Degraded Plant Condition - Wildfire Hazard, Excessive Biomass Accumulation</t>
  </si>
  <si>
    <t>Inefficient Energy Use - Farming/Ranching Practices and Field Operations</t>
  </si>
  <si>
    <t>Practices</t>
  </si>
  <si>
    <t>- 4 Moderate to Substantial Worsening</t>
  </si>
  <si>
    <t>- 2 Slight to Moderate Worsening</t>
  </si>
  <si>
    <t>- 3 Moderate Worsening</t>
  </si>
  <si>
    <t>- 5 Substantial Worsening</t>
  </si>
  <si>
    <t xml:space="preserve">  5 Substantial Improvement</t>
  </si>
  <si>
    <t xml:space="preserve">  4 Moderate to Substantial Improvement</t>
  </si>
  <si>
    <t xml:space="preserve">  3 Moderate Improvement</t>
  </si>
  <si>
    <t xml:space="preserve">  2 Slight to Moderate Improvement</t>
  </si>
  <si>
    <t xml:space="preserve">  1 Slight Improvement</t>
  </si>
  <si>
    <t xml:space="preserve">  0 No Effect</t>
  </si>
  <si>
    <t>CED-AQS &amp; ESD-ARS</t>
  </si>
  <si>
    <t xml:space="preserve">CED-AQS &amp; ESC-ARS </t>
  </si>
  <si>
    <t xml:space="preserve">CED-AQS &amp; ESD-ARS </t>
  </si>
  <si>
    <t>ESD-AH</t>
  </si>
  <si>
    <t>CED-AE &amp; ESD-Agron</t>
  </si>
  <si>
    <t>ESD-Graz Land Sp &amp; ESD-For</t>
  </si>
  <si>
    <t xml:space="preserve">CED-LA &amp; ESD-For </t>
  </si>
  <si>
    <t>ESD-For &amp; CED-LA &amp; ESD-Wbio</t>
  </si>
  <si>
    <t>CED-AE &amp; ESD-Wbio</t>
  </si>
  <si>
    <t>Concentration of  Salts or Other Chemicals</t>
  </si>
  <si>
    <t>Excess Nutrients in Surface and Groundwater</t>
  </si>
  <si>
    <t>Pesticides Transported to Surface and Groundwater</t>
  </si>
  <si>
    <t>Salts in Surface and Groundwater</t>
  </si>
  <si>
    <t>Excess Pathogens and Chemicals from Manure, Bio-solids or Compost Applications</t>
  </si>
  <si>
    <t>Excessive Sediment in Surface Water</t>
  </si>
  <si>
    <t>Water Quality Degradation - Excessive Sediment in Surface Water</t>
  </si>
  <si>
    <t>Water Quality Degradation - Excess Pathogens and Chemicals from Manure, Bio-solids or Compost Applications in Surface Water</t>
  </si>
  <si>
    <t>Water Quality Degradation - Petroleum, Heavy Metals and Other Pollutants Transported to Surface Water</t>
  </si>
  <si>
    <t>Water Quality Degradation - Petroleum, Heavy Metals and Other Pollutants Transported to Groundwater</t>
  </si>
  <si>
    <t>Petroleum, Heavy Metals and Other Pollutants Transported to Receiving Waters</t>
  </si>
  <si>
    <t>Undesirable Plant Productivity and Health</t>
  </si>
  <si>
    <t xml:space="preserve">Inadequate Structure and Composition </t>
  </si>
  <si>
    <t>Excessive Plant Pest Pressure</t>
  </si>
  <si>
    <t>Wildfire Hazard, Excessive Biomass Accumulation</t>
  </si>
  <si>
    <t>Growing plants will take up metals.</t>
  </si>
  <si>
    <t>PAM will reduce transport of heavy metals attached to soils.</t>
  </si>
  <si>
    <t>Vegetation and anaerobic conditions trap heavy metals.</t>
  </si>
  <si>
    <t>Decreased erosion and runoff reduces heavy metal delivery to surface water. Increased soil organic matter increases capacity of soils to retain heavy metals. Permanent vegetation can uptake heavy metals.</t>
  </si>
  <si>
    <t>Controlled runoff reduces erosion and heavy metals attached to associated sediment.</t>
  </si>
  <si>
    <t>Water releases are controlled giving less opportunity for heavy metal-laden sediment to enter surface water.</t>
  </si>
  <si>
    <t>Runoff containing heavy metals is slowed, trapping sediment and increasing infiltration into the soil where metals are often tied up. Some plants can take up heavy metals.</t>
  </si>
  <si>
    <t>Increased uptake by some pasture plants and reduced erosion and runoff  may reduce off-site movement of heavy metals attached to sediment.</t>
  </si>
  <si>
    <t xml:space="preserve">Improved plant density, health and vigor will marginally improve plant uptake. </t>
  </si>
  <si>
    <t>Removal of overstory canopy increases  vigor of ground cover that can increase heavy metal uptake and reduces runoff.</t>
  </si>
  <si>
    <t>Waterway acts as filter and reduces heavy metals in the runoff. Vegetation may take up heavy metals.</t>
  </si>
  <si>
    <t>The action collects runoff and may deliver heavy metals to surface water.</t>
  </si>
  <si>
    <t>Return flows from canals may deliver contaminates to surface water.</t>
  </si>
  <si>
    <t>The action may collect runoff and return flows may deliver possible contaminates to surface water.</t>
  </si>
  <si>
    <t>Uniform surface reduces transport to surface water.</t>
  </si>
  <si>
    <t>Efficient and uniform irrigation reduces transport to surface water.</t>
  </si>
  <si>
    <t>More efficient application reduces potential runoff.</t>
  </si>
  <si>
    <t>The action captures irrigation runoff and associated metal-laden sediment.</t>
  </si>
  <si>
    <t>Water is applied at rates that minimize heavy metals transport to surface water.</t>
  </si>
  <si>
    <t>Removal of cover may increase runoff and erosion.</t>
  </si>
  <si>
    <t>Increased vegetation increases infiltration and reduces runoff and erosion.</t>
  </si>
  <si>
    <t>Control of discharge and reduction in infiltration reduces off-site movement of contaminated water.</t>
  </si>
  <si>
    <t>Smoothing uneven land allows the application of practices that can reduce sheet, rill and ephemeral gully erosion and increase infiltration.</t>
  </si>
  <si>
    <t>Where closure occurs, the practice prevents toxic discharge from mines to surface water.</t>
  </si>
  <si>
    <t>Changing pH will alter the solubility of metals. The action will reduce the application rate of heavy metals if required.</t>
  </si>
  <si>
    <t>Rapid movement of water off site will tend to move contaminants in surface water.</t>
  </si>
  <si>
    <t>Initial removal of vegetation is followed by improved plant growth.</t>
  </si>
  <si>
    <t>The action filters sediment, and some plants may take up heavy metals.</t>
  </si>
  <si>
    <t xml:space="preserve">Barriers should increase infiltration of water and any dissolved chemical.  Chemicals attached to deposited sediments will  not reach surface waters.  </t>
  </si>
  <si>
    <t xml:space="preserve">Heavy metals are rarely associated with manure.  Roof runoff is diverted away from manure areas. </t>
  </si>
  <si>
    <t>Exclusion of rainfall on the facility will reduce incidents of manure overflow and associated contaminants.</t>
  </si>
  <si>
    <t>Collected runoff may discharge into surface water.</t>
  </si>
  <si>
    <t>Basins will tend to accumulate contaminants attached to sediments.</t>
  </si>
  <si>
    <t>Some plants may take up heavy metals.</t>
  </si>
  <si>
    <t>Spring flows are typically better quality than surface flows allowing opportunity for dilution. Effect depends on the proportion of one flow to the other.</t>
  </si>
  <si>
    <t>Onsite treatment can reduce the release of heavy metals to surface waters</t>
  </si>
  <si>
    <t>The action reduces runoff and increases infiltration. Percolating water picks up metals that are then collected in tile lines.</t>
  </si>
  <si>
    <t>Heavy metals are carried with sediment to surface waters.</t>
  </si>
  <si>
    <t xml:space="preserve">The action traps sediment, reduces ephemeral gully erosion and increases infiltration of surface runoff. </t>
  </si>
  <si>
    <t>Decrease in erosion  will lead to decrease in sediment bound contaminants, but practice can increase the delivery of soluble contaminants.</t>
  </si>
  <si>
    <t>Heavy metals are rarely associated with manure; however, infiltration and plant uptake in the treatment strip will remove contaminants from polluted runoff and waste water.</t>
  </si>
  <si>
    <t>Water diverted subsurface will reduce metal transport to surface waters.</t>
  </si>
  <si>
    <t>Excess heavy metals are rarely associated with manure.  There is a decrease in potential surface water contamination in the animal production areas.  There may be limited increase in surface  water contamination in the areas where manure is land applied.</t>
  </si>
  <si>
    <t xml:space="preserve">The action increases infiltration and reduces surface runoff.  </t>
  </si>
  <si>
    <t>The action reduces wind erosion, reducing transport of heavy metals attached to particulates. Some plants may take up heavy metals..</t>
  </si>
  <si>
    <t>The action may promote increased uptake due to vigorous plant growth.</t>
  </si>
  <si>
    <t>Improved drainage promotes surface runoff and reduces infiltration, reducing potential for metal movement to groundwater.</t>
  </si>
  <si>
    <t xml:space="preserve">Heavy metals attached to sediment can be trapped in wetlands.  </t>
  </si>
  <si>
    <t>Higher organic matter levels increases buffering capacity of the soil. Vegetation can take up some heavy metals.</t>
  </si>
  <si>
    <t xml:space="preserve">Changing the soil water level can affect soil chemistry, which can increase the solubility of some metals. This may make them more or less susceptible to leaching.  </t>
  </si>
  <si>
    <t>Higher organic matter levels increases buffering capacity of the soil. Some plants can take up some heavy metals.</t>
  </si>
  <si>
    <t>Certain plant species can take up heavy metals.  Increased infiltration may increase the potential of heavy metal movement to groundwater.</t>
  </si>
  <si>
    <t xml:space="preserve">The action reuses irrigation water that may have higher levels of heavy metals.  </t>
  </si>
  <si>
    <t>Water is applied at rates that minimize heavy metal transport to ground water.</t>
  </si>
  <si>
    <t>Support vegetation may reduce concentrations of heavy metals in run-in water.</t>
  </si>
  <si>
    <t>The action results in increased vegetative growth which may take up heavy metals.</t>
  </si>
  <si>
    <t>The action reduces infiltration through spoils containing heavy metals.</t>
  </si>
  <si>
    <t xml:space="preserve">The action may prevent outside water from percolating through the mine shaft and moving heavy metals to ground water.  </t>
  </si>
  <si>
    <t>Management of diverse species and organic matter may promote increased uptake.</t>
  </si>
  <si>
    <t>Management of pH will alter the solubility of metals.  The action will reduce the application rate of heavy metals, if required</t>
  </si>
  <si>
    <t>The action limits seepage to prevent leaching of heavy metals from the pond.</t>
  </si>
  <si>
    <t>The action may result in metal uptake by some plants.</t>
  </si>
  <si>
    <t>Leaching salts from the root zone may also leach heavy metals.</t>
  </si>
  <si>
    <t>Infiltrating water in the basin may move soluble contaminants to the ground water.</t>
  </si>
  <si>
    <t xml:space="preserve">The action requires ponding water which will increase infiltration in ponded areas.  Infiltrating waters may leach heavy metals.  </t>
  </si>
  <si>
    <t>Heavy metals leached from the soil will be intercepted before reaching groundwater.</t>
  </si>
  <si>
    <t>Establishing metal-accumulating trees and shrubs may remove heavy metals from the soil profile.</t>
  </si>
  <si>
    <t>Increased woody vegetation on site may result in minor uptake of contaminants.</t>
  </si>
  <si>
    <t>Heavy metals are rarely associated with manure, however, infiltrating water in treatment strip will increase soluble contaminants moving to groundwater.</t>
  </si>
  <si>
    <t>Water diverted to the subsurface may contain some heavy metals.</t>
  </si>
  <si>
    <t>Heavy metals are rarely associated with manure, but this practice could eliminate the source.</t>
  </si>
  <si>
    <t>Heavy metals are rarely associated with manure; however, storage provides flexibility in rate, timing, and location of waste application.  There could be some increase in infiltration of soluble contaminants at storage site.</t>
  </si>
  <si>
    <t>Infiltrating water in the basin will move soluble contaminants to the ground water in highly permeable soils.</t>
  </si>
  <si>
    <t xml:space="preserve">Not Applicable </t>
  </si>
  <si>
    <t xml:space="preserve">Plants selected are adapted and suited.  </t>
  </si>
  <si>
    <t>When species are selected, they are adapted and suited.</t>
  </si>
  <si>
    <t>Crop selection will be modified to include species better suited to soils and climate.</t>
  </si>
  <si>
    <t>Control of animals facilitates grazing management which encourages growth of plants that are adapted and suitable for the site.</t>
  </si>
  <si>
    <t xml:space="preserve">Unsuitable aquatic plants are controlled.  </t>
  </si>
  <si>
    <t>There will be a selection of well-adapted and compatible species, varieties, and/or cultivars for each site.</t>
  </si>
  <si>
    <t>Plants selected for retention are more adapted and suited.</t>
  </si>
  <si>
    <t>Site is modified to enhancing suited and desired species.</t>
  </si>
  <si>
    <t>Undesirable species will be removed by physical, chemical, or biological means to make it suitable for the desired plant community.</t>
  </si>
  <si>
    <t>When species are selected for stabilization, they are adapted and suited.</t>
  </si>
  <si>
    <t>Nutrients and soil amendments are optimized to enhance suited and desired species.</t>
  </si>
  <si>
    <t xml:space="preserve">Growing conditions are altered to allow more suitable species to grow. </t>
  </si>
  <si>
    <t xml:space="preserve">Grazing management is implemented to create or maintain the desired plant community. </t>
  </si>
  <si>
    <t xml:space="preserve">Restoration and management creates or maintains the desired plant community. </t>
  </si>
  <si>
    <t xml:space="preserve">Buffer establishment and management creates or maintains the desired plant community. </t>
  </si>
  <si>
    <t xml:space="preserve">Establishment and management of cover creates or maintains the desired plant community. </t>
  </si>
  <si>
    <t>Management of salts and the use of soil amendments enhances suited and desired species.</t>
  </si>
  <si>
    <t xml:space="preserve">Moist soil management creates or maintains the desired plant community. </t>
  </si>
  <si>
    <t xml:space="preserve">Management and improvement measures create or maintain the desired riparian and aquatic plant communities. </t>
  </si>
  <si>
    <t xml:space="preserve">Protection measures create or maintain the desired plant community. </t>
  </si>
  <si>
    <t xml:space="preserve">Plants selected  are adapted and suited.  </t>
  </si>
  <si>
    <t xml:space="preserve">Site is altered to allow more suited and desired species to grow. </t>
  </si>
  <si>
    <t xml:space="preserve">Management and improvement measures create or maintain the desired plant communities. </t>
  </si>
  <si>
    <t xml:space="preserve">Renovation maintains adapted and suited plants.  </t>
  </si>
  <si>
    <t>Site is altered to allow establishment or planting of more suited and desired species.</t>
  </si>
  <si>
    <t>Not Applicable since subsidence is water table function.</t>
  </si>
  <si>
    <t>Growing plants will take up excess water but planting area is so small there is a neutral effect.</t>
  </si>
  <si>
    <t>Could be neutral to slight improvement where excess water originates in part from leaking waste facilities.</t>
  </si>
  <si>
    <t>Excessive Bank Erosion from Streams Shorelines or Water Conveyance Channels</t>
  </si>
  <si>
    <t>Insufficient Water - Inefficient Moisture Management</t>
  </si>
  <si>
    <t>Some amendments such as PAM could alter the intake rates of soils receiving an altered waste stream,</t>
  </si>
  <si>
    <t>Altered waste stream with minimum solids will be compatible with irrigation needs</t>
  </si>
  <si>
    <t>A number of amendments are very successful in reducing odor emissions from manure</t>
  </si>
  <si>
    <t>The action reduces runoff and erosion and the amount of pesticide applied.</t>
  </si>
  <si>
    <t>Contour Orchard and Other Perennial Crops</t>
  </si>
  <si>
    <t>Filter strips capture and delay pathogen movement, but mortality may also be delayed because vegetative cover may protect pathogens from desiccation.</t>
  </si>
  <si>
    <t>Uniform surface reduces transport to surface water</t>
  </si>
  <si>
    <t xml:space="preserve">The action reduces the potential for runoff from the field but concentrates salts around the wetted perimeter. </t>
  </si>
  <si>
    <t>Reduction in pesticide concentrations in run-in water may reduce pesticides in water bodies that receive ground water.</t>
  </si>
  <si>
    <t>Management of multiple layers and surface organic matter reduce ladder fuel load buildup.</t>
  </si>
  <si>
    <t xml:space="preserve">Species selected from the Ecological Site Description generally resist or are adapted to pest thereby eliminating the need for harmful pesticides. </t>
  </si>
  <si>
    <t>Plants are selected and managed to maintain optimal productivity, health and ecological function.</t>
  </si>
  <si>
    <t>Maladaptation will be avoided by a plant selection based on considerations of geographic region, precipitation, winter hardiness, soil type, genetic ploidy, field testing and Ecological Site Description information.</t>
  </si>
  <si>
    <t>Plant species are selected from the Ecological Site Description that are compatible for the site and provide wildlife food</t>
  </si>
  <si>
    <t>Plant species are selected from the Ecological Site Description that are compatible for the site and provide wildlife cover.</t>
  </si>
  <si>
    <t>Conventional clean tilled field</t>
  </si>
  <si>
    <t>Increased root growth from established vegetation and restorative treatments will decrease compaction.</t>
  </si>
  <si>
    <t>Liquid/solids separators are very successful in facilitating the reduction of odor emissions from manure, particularly when solids are allowed to remain in an aerobic environment</t>
  </si>
  <si>
    <t>Limited decrease due to decreased runoff, but any infiltrating water with pathogens will be concentrated in tile lines</t>
  </si>
  <si>
    <t>Stabilized trails can improve cover on other areas</t>
  </si>
  <si>
    <t>Removal of excess surface water can positively affect plant growth and vigor</t>
  </si>
  <si>
    <t>Permanent vegetation established</t>
  </si>
  <si>
    <t>Water diverted subsurface reduces surface runoff.</t>
  </si>
  <si>
    <t>If the treatment process includes a storage component, it will allow better management of waste as to rate and timing of application, which allows application when compaction is least likely.</t>
  </si>
  <si>
    <t>Treatment with some amendments such as PAM could alter the intake rates of soils receiving an altered waste stream,</t>
  </si>
  <si>
    <t>A number of treatment options  are very successful in reducing odor emissions from manure</t>
  </si>
  <si>
    <t>This color indicates the CPPE subcommittee has an opportunity to recommend changes from the national discipline leaders effects.</t>
  </si>
  <si>
    <t>This color instructs  the national discipline leaders to develop new or edit effects.</t>
  </si>
  <si>
    <t>Inefficient Moisture Management</t>
  </si>
  <si>
    <t>Reduced runoff, grazing management, and properly placed and designed watering facilities will reduce risk of movement of pathogens in surface waters.</t>
  </si>
  <si>
    <t>Range</t>
  </si>
  <si>
    <t>Land used primarily for the production and harvest of annual or perennial field, forage, food, fiber, horticultural, orchards, vineyards and/or energy crops.</t>
  </si>
  <si>
    <t>Lands composed of introduced or domesticated native forage species that is used primarily for the production of livestock. They receive periodic renovation and/or cultural treatments, such as tillage, fertilization, mowing, weed control, and may be irrigated. They are not in rotation with crops.</t>
  </si>
  <si>
    <t>Land used primarily for the production of grazing animals. Includes native plant communities and those seeded to native or introduced species, or naturalized by introduced species, that are ecologically managed using range management principles.</t>
  </si>
  <si>
    <t>Land on which the primary vegetation is tree cover (climax, natural or introduced plant community) and use is primarily for production of wood products and/or non-timber forest products.</t>
  </si>
  <si>
    <t>Designated Protected Areas</t>
  </si>
  <si>
    <t>Land used for facilities and supporting infrastructure where farming, forestry, animal husbandry and ranching activities are often initiated.  This may include dwellings, equipment storage plus farm input and output storage and handling facilities. Also includes land dedicated to the facilitation and production of high intensity animal agriculture in a containment facility where daily nutritional requirements are obtained from other lands or feed sources.  Land used for dwellings, barns, pens, corrals, or other facilities used in connection with farm and ranch operations.</t>
  </si>
  <si>
    <t>Farmstead</t>
  </si>
  <si>
    <t>Land occupied by buildings and related facilities used for residences, commercial sites, public highways, airports, and open space associated with towns and cities.</t>
  </si>
  <si>
    <t>Developed Land</t>
  </si>
  <si>
    <t>Land associated with farms and ranches that are not purposefully managed for food, forage or fiber and are typically associated with nearby production and/or conservation lands.  This could include incidental areas such as: idle center pivot corners, odd areas, ditches and watercourses, riparian areas, field edges, seasonal and permanent wetlands, and other similar areas.</t>
  </si>
  <si>
    <t>Associated Agriculture Lands</t>
  </si>
  <si>
    <t>Geographic area whose dominant characteristic is open water/permanent ice or snow. May include intermingled land, including tidal influenced coastal marsh lands.</t>
  </si>
  <si>
    <t>Land that is barren, sandy, rocky or that is impacted by the extraction of natural resources such as minerals, gravel/sand, coal, shale, rock, oil or natural gas.</t>
  </si>
  <si>
    <t>Other</t>
  </si>
  <si>
    <t>Livestock Pipeline</t>
  </si>
  <si>
    <t xml:space="preserve">       Economic Effects of NRCS Conservation Practices - National</t>
  </si>
  <si>
    <t xml:space="preserve"> </t>
  </si>
  <si>
    <t>Code:</t>
  </si>
  <si>
    <t>Units:</t>
  </si>
  <si>
    <t>LAND</t>
  </si>
  <si>
    <t>Typical Landuse:</t>
  </si>
  <si>
    <t>Change in Land Use - The original farm enterprise will no longer be maintained.</t>
  </si>
  <si>
    <t>Land Available for Production - Land  available for the original farm enterprise.</t>
  </si>
  <si>
    <t xml:space="preserve">  Change in Land Use:</t>
  </si>
  <si>
    <t>Change in Equipment - New or additional equipment is required to implement the practice.</t>
  </si>
  <si>
    <t xml:space="preserve">  Land in Production:</t>
  </si>
  <si>
    <t>LABOR</t>
  </si>
  <si>
    <t>Labor - The number of farm workers or hours of work needed to preform farm operatons.</t>
  </si>
  <si>
    <t xml:space="preserve">  Change in Equipment</t>
  </si>
  <si>
    <t>Management - The time required to investigate, plan, oversee and record farm activities.</t>
  </si>
  <si>
    <t>CAPITAL</t>
  </si>
  <si>
    <t xml:space="preserve">  Total Investment Cost:</t>
  </si>
  <si>
    <t>Total Investment Cost -  Costs associated with implementing or beginning the practice.</t>
  </si>
  <si>
    <t>Annual Cost - Costs that are expected to be incurred on an annual basis (operation &amp;  maintenance).</t>
  </si>
  <si>
    <t>RISK</t>
  </si>
  <si>
    <t xml:space="preserve">  Profitability</t>
  </si>
  <si>
    <t>Yield - The projected affect of practice implementation on crop/livestock yield.</t>
  </si>
  <si>
    <t>Flexibility - The adaptability of the practice to the overall farm/ranch operation.</t>
  </si>
  <si>
    <t>Profitability - The dollar benefits exceeding the dollar costs.</t>
  </si>
  <si>
    <t xml:space="preserve">  Labor:</t>
  </si>
  <si>
    <t>MANAGEMENT LEVEL</t>
  </si>
  <si>
    <t xml:space="preserve">  Change in Management</t>
  </si>
  <si>
    <t xml:space="preserve">  Yield:</t>
  </si>
  <si>
    <t xml:space="preserve">  Flexibility &amp; Timing:</t>
  </si>
  <si>
    <t xml:space="preserve">  Cash Flow:</t>
  </si>
  <si>
    <t>BALLPARK COST ESTIMATE</t>
  </si>
  <si>
    <t>CPPE Practice Effects:</t>
  </si>
  <si>
    <t>0 No Effect</t>
  </si>
  <si>
    <t xml:space="preserve">  Operation/Maintenance Factor:</t>
  </si>
  <si>
    <t>5 Substantial Improvement</t>
  </si>
  <si>
    <t xml:space="preserve">  Practice Life (Years):</t>
  </si>
  <si>
    <t>4 Moderate to Substantial Improvement</t>
  </si>
  <si>
    <t>-2 Slight to Moderate Worsening</t>
  </si>
  <si>
    <t xml:space="preserve">  Installation Cost ($/Unit):</t>
  </si>
  <si>
    <t>3 Moderate Improvement</t>
  </si>
  <si>
    <t>-3 Moderate Worsening</t>
  </si>
  <si>
    <t xml:space="preserve">  Average Annual Cost ($/Unit/Yr):</t>
  </si>
  <si>
    <t>2 Slight to Moderate Improvement</t>
  </si>
  <si>
    <t>-4 Moderate to Substantial Worsening</t>
  </si>
  <si>
    <t xml:space="preserve">  Interest Rate:</t>
  </si>
  <si>
    <t>1 Slight Improvement</t>
  </si>
  <si>
    <t>-5 Substantial Worsening</t>
  </si>
  <si>
    <t>Source: National Conservation Practices Physical Effects - Human</t>
  </si>
  <si>
    <t xml:space="preserve">               Hal Gordon, WNTSC Economist, Portland, Oregon</t>
  </si>
  <si>
    <t xml:space="preserve">                Effects of NRCS Conservation Practices - National</t>
  </si>
  <si>
    <t>Units</t>
  </si>
  <si>
    <t>SOIL EROSION - Sheet, rill, &amp; wind erosion</t>
  </si>
  <si>
    <t>Detachment and transportation of soil particles caused by rainfall runoff/splash, irrigation runoff or wind that degrades soil quality</t>
  </si>
  <si>
    <t>SOIL EROSION – Concentrated flow erosion</t>
  </si>
  <si>
    <t>Untreated classic gullies may enlarge progressively by head cutting and/or lateral widening. Ephemeral gullies occur in the same flow area and are obscured by tillage. This includes concentrated flow erosion caused by runoff from rainfall, snowmelt or irrigation water.</t>
  </si>
  <si>
    <t>SOIL EROSION– Excessive bank erosion from streams shorelines or water conveyance channels</t>
  </si>
  <si>
    <t>Sediment from banks or shorelines threatens to degrade water quality and limit use for intended purposes</t>
  </si>
  <si>
    <t>SOIL QUALITY DEGRADATION - Subsidence</t>
  </si>
  <si>
    <t>SOIL QUALITY DEGRADATION – Compaction</t>
  </si>
  <si>
    <t>Management induced soil compaction resulting in decreased rooting depth that reduces plant growth, animal habitat and soil biological activity</t>
  </si>
  <si>
    <t>SOIL QUALITY DEGRADATION – Organic matter depletion</t>
  </si>
  <si>
    <t>Soil organic matter is not adequate to provide a suitable medium for plant growth, animal habitat, and soil biological activity</t>
  </si>
  <si>
    <t>SOIL QUALITY DEGRADATION – Concentration of salts or other chemicals</t>
  </si>
  <si>
    <t>Concentration of salts leading to salinity and/or sodicity reducing productivity or limiting desired use
Concentrations of other chemicals impacting productivity or limiting desired use</t>
  </si>
  <si>
    <t>Surface water or poor subsurface drainage restricts land use and management goals. Wind-blown snow accumulates around and over surface structures, restricting access to humans and animals.</t>
  </si>
  <si>
    <t>INSUFFICIENT WATER – Inefficient moisture management</t>
  </si>
  <si>
    <t>Natural precipitation is not optimally managed to support desired land use goals or ecological processes</t>
  </si>
  <si>
    <t>INSUFFICIENT WATER – Inefficient use of irrigation water</t>
  </si>
  <si>
    <t xml:space="preserve">Irrigation water is not stored, delivered, scheduled and/or applied efficiently Aquifer or surface water withdrawals threaten sustained availability of ground or surface water Available irrigation water supplies have been reduced due to aquifer depletion, competition, regulation and/or drought </t>
  </si>
  <si>
    <t>WATER QUALITY DEGRADATION – Excess nutrients in surface and ground waters</t>
  </si>
  <si>
    <t>Nutrients - organic and inorganic - are transported to receiving waters through surface runoff and/or leaching into shallow ground waters in quantities that degrade water quality and limit use for intended purposes</t>
  </si>
  <si>
    <t>WATER QUALITY DEGRADATION – Pesticides transported to surface and ground waters</t>
  </si>
  <si>
    <t>Pest control chemicals are transported to receiving waters in quantities that degrade water quality and limit use for intended purposes</t>
  </si>
  <si>
    <t>Pathogens, pharmaceuticals, and other chemicals carried by land applied soil amendments are transported to receiving waters in quantities that degrade water quality and limit use for intended purposes. This resource concern also includes the off-site transport of leachate and runoff from compost or other organic materials of animal origin.</t>
  </si>
  <si>
    <t>WATER QUALITY DEGRADATION – Excessive salts in surface and ground waters</t>
  </si>
  <si>
    <t>Irrigation or rainfall runoff transports salts to receiving water in quantities that degrade water quality and limit use for intended purposes</t>
  </si>
  <si>
    <t>WATER QUALITY DEGRADATION – Petroleum, heavy metals and other pollutants transported to receiving waters</t>
  </si>
  <si>
    <t>Heavy metals, petroleum and other pollutants are transported to receiving water sources in quantities that degrade water quality and limit use for intended purposes</t>
  </si>
  <si>
    <t>WATER QUALITY DEGRADATION – Excessive sediment in surface waters</t>
  </si>
  <si>
    <t>Off-site transport of sediment from sheet, rill, gully, and wind erosion into surface water that threatens to degrade surface water quality and limit use for intended purposes</t>
  </si>
  <si>
    <t>WATER QUALITY DEGRADATION – Elevated water temperature</t>
  </si>
  <si>
    <t>Surface water temperatures exceed State/Federal standards and/or limit use for intended purposes</t>
  </si>
  <si>
    <t>DEGRADED PLANT CONDITION – Undesirable plant productivity and health</t>
  </si>
  <si>
    <t>Plant productivity, vigor and/or quality negatively impacts other resources or does not meet yield potential due to improper fertility, management or plants not adapted to site This includes addressing pollinators and beneficial insects.</t>
  </si>
  <si>
    <t>DEGRADED PLANT CONDITION – Inadequate structure and composition</t>
  </si>
  <si>
    <t>Plant communities have insufficient composition and structure to achieve ecological functions and management objectives This includes degradation of wetland habitat, targeted ecosystems, or unique plant communities.</t>
  </si>
  <si>
    <t>DEGRADED PLANT CONDITION – Excessive plant pest pressure</t>
  </si>
  <si>
    <t>Excessive pest damage to plants including that from undesired plants, diseases, animals, soil borne pathogens, and nematodes This concern addresses invasive plant, animal and insect species</t>
  </si>
  <si>
    <t>DEGRADED PLANT CONDITION– Wildfire hazard, excessive biomass accumulation</t>
  </si>
  <si>
    <t>The kinds and amounts of fuel loadings - plant biomass - create wildfire hazards that pose risks to human safety, structures, plants, animals, and air resources</t>
  </si>
  <si>
    <t>INADEQUATE HABITAT FOR FISH AND WILDLIFE – Habitat degradation</t>
  </si>
  <si>
    <t>Quantity, quality or connectivity of food, cover, space, shelter and/or water is inadequate to meet requirements of identified fish, wildlife or invertebrate species</t>
  </si>
  <si>
    <t>LIVESTOCK PRODUCTION LIMITATION – Inadequate feed and forage</t>
  </si>
  <si>
    <t>Feed and forage quality or quantity is inadequate for nutritional needs and production goals of the kinds and classes of livestock</t>
  </si>
  <si>
    <t>LIVESTOCK PRODUCTION LIMITATION – Inadequate livestock shelter</t>
  </si>
  <si>
    <t>Livestock lack adequate shelter from climatic conditions to maintain health or production goals</t>
  </si>
  <si>
    <t>LIVESTOCK PRODUCTION LIMITATION – Inadequate livestock water</t>
  </si>
  <si>
    <t>Quantity, quality and/or distribution of drinking water are insufficient to maintain health or production goals for the kinds and classes of livestock</t>
  </si>
  <si>
    <t>INEFFICIENT ENERGY USE – Equipment and facilities</t>
  </si>
  <si>
    <t>Inefficient use of energy in the Farm Operation increases dependence on non-renewable energy sources that can be addressed through improved energy efficiency and the use of on-farm renewable energy sources. As an example, this concern addresses inefficient energy use in pumping plants, on-farm processing, drying and storage.</t>
  </si>
  <si>
    <t>INEFFICIENT ENERGY USE – Farming/ranching practices and field operations</t>
  </si>
  <si>
    <t>Inefficient use of energy in field operations increases dependence on non-renewable energy sources that can be addressed through improved efficiency and the use of on-farm renewable energy sources.</t>
  </si>
  <si>
    <t>AIR QUALITY IMPACTS - Emissions of Particulate Matter - PM - and PM Precursors</t>
  </si>
  <si>
    <t>Direct emissions of particulate matter - dust and smoke -, as well as the formation of fine particulate matter in the atmosphere from other agricultural emissions - ammonia, NOx, and VOCs - cause multiple environmental impacts, such as: 1) The unintended movement of particulate matter - typically dust or smoke - results in safety or nuisance visibility restriction, 2) The unintended movement of particulate matter and/or chemical droplets results in unwanted deposits on surfaces, 3) Increased atmospheric concentrations of particulate matter can impact human and animal health and degrade regional visibility.</t>
  </si>
  <si>
    <t>AIR QUALITY IMPACTS - Emissions of Greenhouse Gases - GHGs -</t>
  </si>
  <si>
    <t>Emissions increase atmospheric concentrations of greenhouse gases.</t>
  </si>
  <si>
    <t>AIR QUALITY IMPACTS - Emissions of Ozone Precursors</t>
  </si>
  <si>
    <t>Emissions of ozone precursors - NOx and VOCs - resulting in formation of ground- level ozone that cause negative impacts to plants and animals.</t>
  </si>
  <si>
    <t>AIR QUALITY IMPACTS - Objectionable odors</t>
  </si>
  <si>
    <t>Emissions of odorous compounds - VOCs, ammonia and odorous sulfur compounds - cause nuisance conditions</t>
  </si>
  <si>
    <t>Resource Concerns and Definitions</t>
  </si>
  <si>
    <t xml:space="preserve">  Organic Matter Depletion</t>
  </si>
  <si>
    <t xml:space="preserve">  Compaction</t>
  </si>
  <si>
    <t xml:space="preserve">  Subsidence</t>
  </si>
  <si>
    <t xml:space="preserve">  Concentration of Salts or Other Chemicals</t>
  </si>
  <si>
    <t xml:space="preserve">  Excess Water - Seeps</t>
  </si>
  <si>
    <t xml:space="preserve">  Excess Water - Runoff, Flooding, or Ponding</t>
  </si>
  <si>
    <t xml:space="preserve">  Excess Water - Seasonal High Water Table</t>
  </si>
  <si>
    <t xml:space="preserve">  Excess Water - Drifted Snow</t>
  </si>
  <si>
    <t xml:space="preserve">  Insufficient Water - Inefficient Use of Irrigation Water</t>
  </si>
  <si>
    <t xml:space="preserve">  Insufficient Water - Inefficient Moisture Management</t>
  </si>
  <si>
    <t xml:space="preserve">  Pesticides in Surface Water</t>
  </si>
  <si>
    <t xml:space="preserve">  Pesticides in Groundwater</t>
  </si>
  <si>
    <t xml:space="preserve">  Nutrients in Groundwater</t>
  </si>
  <si>
    <t xml:space="preserve">  Salts in Surface Water</t>
  </si>
  <si>
    <t xml:space="preserve">  Salts in Groundwater</t>
  </si>
  <si>
    <t xml:space="preserve">   Excess Pathogens and Chemicals from Manure, Bio-solids or Compost Applications in Surface Water</t>
  </si>
  <si>
    <t xml:space="preserve">   Excess Pathogens and Chemicals from Manure, Bio-solids or Compost Applications in Groundwater</t>
  </si>
  <si>
    <t xml:space="preserve">   Excessive Sediment in Surface Water</t>
  </si>
  <si>
    <t xml:space="preserve">   Elevated Water Temperature</t>
  </si>
  <si>
    <t xml:space="preserve">   Petroleum, Heavy Metals and Other Pollutants Transported to Groundwater</t>
  </si>
  <si>
    <t xml:space="preserve">   Petroleum, Heavy Metals and Other Pollutants Transported to Surface Water</t>
  </si>
  <si>
    <t xml:space="preserve">  Emissions of Particulate Matter (PM) and PM Precursors</t>
  </si>
  <si>
    <t xml:space="preserve">  Emissions of Greenhouse Gases (GHGs)</t>
  </si>
  <si>
    <t xml:space="preserve">  Emissions of Ozone Precursors</t>
  </si>
  <si>
    <t xml:space="preserve">   Objectionable Odors</t>
  </si>
  <si>
    <t xml:space="preserve">  Undesirable Plant Productivity and Health</t>
  </si>
  <si>
    <t xml:space="preserve">  Inadequate Structure and Composition </t>
  </si>
  <si>
    <t xml:space="preserve">  Excessive Plant Pest Pressure</t>
  </si>
  <si>
    <t xml:space="preserve">  Wildfire Hazard, Excessive Biomass Accumulation</t>
  </si>
  <si>
    <t xml:space="preserve">  Inadequate Habitat - Food</t>
  </si>
  <si>
    <t xml:space="preserve">  Inadequate Habitat - Cover/Shelter</t>
  </si>
  <si>
    <t xml:space="preserve">  Inadequate Habitat - Water</t>
  </si>
  <si>
    <t xml:space="preserve">  Inadequate Habitat - Habitat Continuity (Space)</t>
  </si>
  <si>
    <t xml:space="preserve">  Inadequate Feed and Forage</t>
  </si>
  <si>
    <t xml:space="preserve">  Inadequate Shelter</t>
  </si>
  <si>
    <t xml:space="preserve">  Inadequate Water</t>
  </si>
  <si>
    <t xml:space="preserve">  Equipment and Facilities</t>
  </si>
  <si>
    <t xml:space="preserve">  Farming/Ranching Practices and Field Operations</t>
  </si>
  <si>
    <t xml:space="preserve">  Nutrients in Surface water</t>
  </si>
  <si>
    <t>Source: National Conservation Practices Physical Effects</t>
  </si>
  <si>
    <t>Loss of volume and depth of organic soils due to oxidation caused by above normal microbial activity resulting from excessive water drainage, soil disturbance, or extended drought.  This excludes karst / sinkholes issues or depressions caused by underground activities.</t>
  </si>
  <si>
    <t>ac</t>
  </si>
  <si>
    <t>ft.</t>
  </si>
  <si>
    <t>no</t>
  </si>
  <si>
    <t>ani unt</t>
  </si>
  <si>
    <t>ac.</t>
  </si>
  <si>
    <t>mi</t>
  </si>
  <si>
    <t>no.</t>
  </si>
  <si>
    <t>sq ft</t>
  </si>
  <si>
    <t>ft</t>
  </si>
  <si>
    <t>Conservation Practice Descriptions</t>
  </si>
  <si>
    <t>Practice Name</t>
  </si>
  <si>
    <t>Code</t>
  </si>
  <si>
    <t>Practice Description</t>
  </si>
  <si>
    <t>Landuse</t>
  </si>
  <si>
    <t>The temporary or permanent exclusion of animals, people, vehicles, and/or equipment from an area.</t>
  </si>
  <si>
    <t>A travel-way for equipment and vehicles constructed as part of a conservation plan.</t>
  </si>
  <si>
    <t>Feet</t>
  </si>
  <si>
    <t>Number</t>
  </si>
  <si>
    <t>A facility with an impervious surface to provide an environmentally safe area for the handling of on-farm agrichemicals.</t>
  </si>
  <si>
    <t>A device or system for reducing emissions of air contaminants from a structure via interception and/or collection.</t>
  </si>
  <si>
    <t>Trees or shrubs planted in a set or series of single or multiple rows with agronomic, horticultural crops or forages produced in the alleys between the rows of woody plants.</t>
  </si>
  <si>
    <t>Acre</t>
  </si>
  <si>
    <t>Treatment of manure, process wastewater, storm water runoff from lots or other high intensity areas, and other wastes, with chemical or biological additives</t>
  </si>
  <si>
    <t>An on-farm facility for the treatment or disposal of livestock and poultry carcasses for routine and catastrophic mortality events.</t>
  </si>
  <si>
    <t>Application of water-soluble Anionic Polyacrylamide (PAM) to meet a resource concern.</t>
  </si>
  <si>
    <t>A water impoundment constructed and managed for farming of freshwater and saltwater organisms including fish, mollusks, crustaceans and aquatic plants.</t>
  </si>
  <si>
    <t>Modification or removal of barriers that restrict or impede movement of aquatic organisms.</t>
  </si>
  <si>
    <t>Plowing, blading, or otherwise elevating the surface of flat land into a series of broad, low ridges separated by shallow, parallel channels with positive drainage.</t>
  </si>
  <si>
    <t xml:space="preserve">Actions that reduce, clean or remove biofouling organisms and other waste from bivalve production areas while minimizing environmental risk. </t>
  </si>
  <si>
    <t>The management or removal of woody (non-herbaceous or succulent) plants including those that are invasive and noxious.</t>
  </si>
  <si>
    <t>Measure(s) used to stabilize the bed or bottom of a channel.</t>
  </si>
  <si>
    <t>Removal of vegetation along the bank (clearing) and/or selective removal of snags, drifts, or other obstructions (snagging) from natural or improved channels and streams</t>
  </si>
  <si>
    <t>Installing, replacing, or retrofitting agricultural combustion systems and/or related components or devices for air quality and energy efficiency improvement.</t>
  </si>
  <si>
    <t>Growing crops in a planned sequence on the same field.</t>
  </si>
  <si>
    <t>An artificial ecosystem with hydrophytic vegetation for water treatment.</t>
  </si>
  <si>
    <t>Narrow strips of permanent, herbaceous vegetative cover established around the hill slope, and alternated down the slope with wider cropped strips that are farmed on the contour.</t>
  </si>
  <si>
    <t>Using ridges and furrows formed by tillage, planting and other farming operations to change the direction of runoff from directly downslope to around the hillslope</t>
  </si>
  <si>
    <t>Planting orchards, vineyards, or other perennial crops so that all cultural operations are done on or near the contour.</t>
  </si>
  <si>
    <t>Crops including grasses, legumes, and forbs for seasonal cover and other conservation purposes.</t>
  </si>
  <si>
    <t>Establishing permanent vegetation on sites that have, or are expected to have, high erosion rates, and on sites that have physical, chemical or biological conditions that prevent the establishment of vegetation with normal practices.</t>
  </si>
  <si>
    <t>Ridges formed by tillage, planting or other operations and aligned across the direction of erosive wind</t>
  </si>
  <si>
    <t>Herbaceous cover established in one or more strips typically perpendicular to the most erosive wind events.</t>
  </si>
  <si>
    <t xml:space="preserve">A structure built to divert all or part of the water from a waterway or a stream. </t>
  </si>
  <si>
    <t>Performing tillage operations below the normal tillage depth to modify adverse physical or chemical properties of a soil.</t>
  </si>
  <si>
    <t>A barrier constucted of earth or manufactured materials</t>
  </si>
  <si>
    <t>A channel generally constructed across the slope with a supporting ridge on the lower side.</t>
  </si>
  <si>
    <t>The process of managing water discharges from surface and/or subsurface agricultural drainage systems</t>
  </si>
  <si>
    <t>A non-pressurized permanent pipe assembly system installed into water sources that permits the withdrawal of water by suction.</t>
  </si>
  <si>
    <t>Reducing or preventing the emissions of particulate matter arising from animal activity on open lot surfaces at animal feeding operations.</t>
  </si>
  <si>
    <t>Controlling direct particulate matter emissions produced by vehicle and machinery traffic or wind action from unpaved roads and other surfaces by applying a palliative on the surface.</t>
  </si>
  <si>
    <t>Manage plant succession to develop and maintain early successional habitat to benefit desired wildlife and/or natural communities.</t>
  </si>
  <si>
    <t xml:space="preserve">Development and implementation of improvements to reduce, or improve the energy efficiency of on-farm energy use   </t>
  </si>
  <si>
    <t>Manipulating and controlling the quantity and quality of available nutrients, feedstuffs, or additives fed to livestock and poultry.</t>
  </si>
  <si>
    <t>A constructed barrier to animals or people.</t>
  </si>
  <si>
    <t>A stripe of permanent vegetation established at the edge or around the perimeter or a field.</t>
  </si>
  <si>
    <t>A strip or area of herbaceous vegetation that removes contaminants from overland flow.</t>
  </si>
  <si>
    <t>A permanent or temporary strip of bare or vegetated land planned to retard fire.</t>
  </si>
  <si>
    <t>A channel or tank with a continuous flow or water constructed or used for high-density fish production.</t>
  </si>
  <si>
    <t>Managing impounded aquatic habitat and water quality for the production of fish.</t>
  </si>
  <si>
    <t>Establishing adapted and/or compatible species, varieties, or cultivars of herbaceous species suitable for pasture, hay, or biomass production.</t>
  </si>
  <si>
    <t>The timely cutting and removal or forages from the field as hay, green-chop, or ensilage.</t>
  </si>
  <si>
    <t>The manipulation of species composition, stand structure, and stocking by cutting or killing selected trees and understory vegetation.</t>
  </si>
  <si>
    <t>A temporary or infrequently used route, path or cleared area.</t>
  </si>
  <si>
    <t>A structure used to control the grade and head cutting in a natural or artificial channels.</t>
  </si>
  <si>
    <t>A shaped or graded channel that is established with suitable vegetation to carry surface water at a non-erosive velocity to a stable outlet.</t>
  </si>
  <si>
    <t>Modifying physical soil and or plant conditions with mechanical tools by treatment such as; pitting, contour furrowing, and ripping or sub-soiling.</t>
  </si>
  <si>
    <t>The stabilization or areas frequently and intensively used by people, animals or vehicles by establishing vegetation cover, by surfacing with suitable materials, and/or by installing needed structures.</t>
  </si>
  <si>
    <t>Establishment of dense vegetation in a linear design to achieve a natural resource conservation purpose.</t>
  </si>
  <si>
    <t>The removal or control of herbaceous weeds including invasive, noxious and prohibited plants.</t>
  </si>
  <si>
    <t>Herbaceous vegetation established in rows or narrow strips in the field across the prevailing wind direction.</t>
  </si>
  <si>
    <t>A channel that has a supporting ridge on the lower side constructed across the slope at definite vertical intervals and gradient, with or without a vegetative barrier.</t>
  </si>
  <si>
    <t>A site-specific combination of pest prevention, pest avoidance, pest monitoring, and pest suppression strategies.</t>
  </si>
  <si>
    <t>A permanent channel constructed to convey irrigation water from the source of supply to one or more irrigated areas.</t>
  </si>
  <si>
    <t>A permanent irrigation ditch constructed in or with earth materials, to convey water from the source of supply to a field or fields in an irrigation system.</t>
  </si>
  <si>
    <t>Reshaping the surface of land to be irrigated, to planned lines and grades.</t>
  </si>
  <si>
    <t>A pipeline and appurtenances installed to convey water for storage or application, as part of an irrigation water system.</t>
  </si>
  <si>
    <t>An irrigation water storage structure made by constructing a dam, embankment, pit, or tank.</t>
  </si>
  <si>
    <t>An irrigation system for frequent application of small quantities of water on or below the soil surface: as drops, tiny streams or miniature spray through emitters or applicators placed along a water delivery line.</t>
  </si>
  <si>
    <t>An irrigation system in which all necessary equipment and facilities are installed for efficiently applying water by means of nozzles operated under pressure.</t>
  </si>
  <si>
    <t>A system in which all necessary earthwork, multi-outlet pipelines, and water-control structures have been installed for distribution of water by surface means, such as furrows, borders, and contour levees, or by subsurface means through water table control</t>
  </si>
  <si>
    <t>A planned irrigation system in which all facilities utilized for the collection, storage, and transportation of irrigation tailwater and/or rainfall runoff for reuse have been installed</t>
  </si>
  <si>
    <t>Irrigation water management is the process of determining and controlling the volume, frequency, and application rate of irrigation water in a planned, efficient manner.</t>
  </si>
  <si>
    <t>The treatment of sinkholes in karst areas to reduce contamination of groundwater resources, and/or to improve farm safety</t>
  </si>
  <si>
    <t>Removing trees, stumps, and other vegetation from wooded areas to achieve a conservation objective.</t>
  </si>
  <si>
    <t>Reclamation of land and water areas adversely affected by past mining activities</t>
  </si>
  <si>
    <t>Restoring currently mined land to an acceptable form and planned use.</t>
  </si>
  <si>
    <t>Managing in-place natural materials, mine spoil (excavated over-burden), mine waste or overburden to reduce down-slope movement.</t>
  </si>
  <si>
    <t>Control of acid or otherwise toxic aqueous discharge from abandoned coal mines or coal-mine waste.</t>
  </si>
  <si>
    <t>Removing irregularities on the land surface</t>
  </si>
  <si>
    <t>A pipeline and appurtenances installed to convey water for livestock or wildlife.</t>
  </si>
  <si>
    <t>Closure of underground mine openings by filling, plugging, capping, installing barriers, gating or fencing.</t>
  </si>
  <si>
    <t>An underground conduit constructed by pulling a bullet-shaped cylinder though the soil.</t>
  </si>
  <si>
    <t>A well designed and installed to obtain representative groundwater quality samples and hydrogeologic information.</t>
  </si>
  <si>
    <t>Applying plant residues or other suitable materials produced off site, to the land surface</t>
  </si>
  <si>
    <t>Existing or planted stands of trees or shrubs that are managed as an overstory with an understory of woody and/or non-woody plants that are grown for a variety of products.</t>
  </si>
  <si>
    <t>Managing the amount (rate), source, placement (method of application), and timing of plant nutrients and soil amendments.</t>
  </si>
  <si>
    <t>Removal and disposal of buildings, structures, other works of improvement, vegetation, debris or other materials.</t>
  </si>
  <si>
    <t>Constructing or improving a channel either natural or artificial, in which water flows with a free surface</t>
  </si>
  <si>
    <t>A water impoundment made by constructing an embankment or by excavating a pit or dugout.</t>
  </si>
  <si>
    <t>A liner for a pond or waste storage impoundment consisting of a compacted soil-bentonite mixture.</t>
  </si>
  <si>
    <t>A liner for a pond or waste storage impoundment constructed using compacted soil without soil amendments.</t>
  </si>
  <si>
    <t xml:space="preserve">A manufactured hydraulic barrier consisting of a functionally continuous layer of synthetic or partially synthetic, flexible material.  </t>
  </si>
  <si>
    <t>A liner for a pond or waste impoundment consisting of a compacted soil-dispersant mixture.</t>
  </si>
  <si>
    <t>Reshaping the surface of land to planned grades.</t>
  </si>
  <si>
    <t>Controlled fire applied to a predetermined area</t>
  </si>
  <si>
    <t>Managing the harvest of vegetation with grazing and/or browsing animals.</t>
  </si>
  <si>
    <t>A facility that delivers water at a designed pressure and flow rate.  Includes the required pump(s), associated power unit(s), plumbing, appurtenances, and may include on-site fuel or energy source(s), and protective structures.</t>
  </si>
  <si>
    <t>Establishment of adapted perennial or self-sustaining vegetation such as grasses, forbs, legumes, shrubs and trees.</t>
  </si>
  <si>
    <t>Establishing grasses, legumes, vines, shrubs, trees, or other plants or selectively reducing stand density and trimming woody plants to improve an area for recreation.</t>
  </si>
  <si>
    <t xml:space="preserve">Reshaping the surface of the land to support recreation land use. </t>
  </si>
  <si>
    <t>Managing the amount, orientation and distribution of crop and other plant residue on the soil surface year round while limiting the soil-disturbing activities used to grow and harvest  crops in systems where the field surface is tilled prior to planting.</t>
  </si>
  <si>
    <t>Managing the amount, orientation and distribution of crop and other plant residue on the soil surface year round, limiting soil-disturbing activities to those necessary to place nutrients, condition residue and plant crops.</t>
  </si>
  <si>
    <t>Restoring, conserving, and managing unique or diminishing native terrestrial and aquatic ecosystems.</t>
  </si>
  <si>
    <t>An area predominantly trees and/or shrubs located adjacent to and up-gradient from watercourses or water bodies.</t>
  </si>
  <si>
    <t>Grasses, sedges, rushes, ferns, legumes, and forbs tolerant of intermittent flooding or saturated soils, established or managed as the dominant vegetation in the transitional zone between upland and aquatic habitats.</t>
  </si>
  <si>
    <t>The closure, decommissioning, or abandonment of roads, trails, and/or landings and associated treatment to achieve conservation objectives.</t>
  </si>
  <si>
    <t>A rock retaining wall constructed across the slope to form and support a bench terrace that will control the flow of water and check erosion on sloping land.</t>
  </si>
  <si>
    <t>Structures that collect, control, and transport precipitation from roofs.</t>
  </si>
  <si>
    <t>A rigid, semi-rigid, or flexible manufactured membrane, composite material, or roof structure placed over a waste management facility.</t>
  </si>
  <si>
    <t>A system of crop rows on planned grades and lengths.</t>
  </si>
  <si>
    <t>Management of land, water and plants to reduce accumulations of salts and/or sodium on the soil surface and in the crop rooting zone.</t>
  </si>
  <si>
    <t>A basin constructed with an engineered outlet, formed by an embankment or excavation or a combination of the two.</t>
  </si>
  <si>
    <t>The inundation of lands to provide habitat for fish and/or wildlife.</t>
  </si>
  <si>
    <t>An application establishing a combination of trees or shrubs and compatible forages on the same acreage.</t>
  </si>
  <si>
    <t>A filtration or screening device, settling tank, settling basin, or settling channel used to separate a portion of solids from a liquid waste stream.</t>
  </si>
  <si>
    <t>Disposal of surplus excavated materials</t>
  </si>
  <si>
    <t>Collection of water from springs or seeps to provide water for a conservation need.</t>
  </si>
  <si>
    <t>Controlling the quantity and quality of stormwater runoff.</t>
  </si>
  <si>
    <t>Treatment(s) used to stabilize and protect banks of streams or constructed channels, and shorelines of lakes, reservoirs, or estuaries.</t>
  </si>
  <si>
    <t>A stabilized area or structure constructed across a stream to provide a travel way for people, livestock, equipment, or vehicles.</t>
  </si>
  <si>
    <t>Maintain, improve or restore physical, chemical and biological functions of a stream, and its associated riparian zone, necessary for meeting the life history requirements of desired aquatic species.</t>
  </si>
  <si>
    <t>Growing planned rotations of row crops, forages, small grains, or fallow in a systematic arrangement of equal width strips across a field.</t>
  </si>
  <si>
    <t>A structure in a water management system that conveys water, controls the direction or rate of flow, maintains a desired water surface elevation or measures water.</t>
  </si>
  <si>
    <t>A conduit installed beneath the ground surface to collect and/or convey excess water.</t>
  </si>
  <si>
    <t>Performing tillage operations that create random roughness of the soil surface.</t>
  </si>
  <si>
    <t>A graded ditch for collecting excess water in a field.</t>
  </si>
  <si>
    <t>An open drainage ditch constructed to a designed cross section, alignment and grade.</t>
  </si>
  <si>
    <t>A pathway for pedestrian, equestrian, bicycle, other off-road modes of recreation travel, farm-workers, construction/maintenance access and small walk behind equipment.</t>
  </si>
  <si>
    <t>An earth embankment, or a combination ridge and channel, constructed across the field slope.</t>
  </si>
  <si>
    <t>Establishing woody plants by planting seedlings or cuttings, direct seeding, or natural regeneration.</t>
  </si>
  <si>
    <t>The removal of all or part of selected branches, leaders or roots from trees and shrubs.</t>
  </si>
  <si>
    <t>Treatment of areas to improve site conditions for establishing trees and/or shrubs.</t>
  </si>
  <si>
    <t>A conduit or system of conduits installed beneath the surface of the ground to convey surface water to a suitable outlet.</t>
  </si>
  <si>
    <t>Provide and manage upland habitats and connectivity within the landscape for wildlife.</t>
  </si>
  <si>
    <t>An area of permanent vegetation used for agricultural wastewater treatment.</t>
  </si>
  <si>
    <t>Permanent strips of stiff, dense vegetation established along the general contour of slopes or across concentrated flow areas.</t>
  </si>
  <si>
    <t>A well, pipe, pit, or bore in porous, underground strata into which drainage water can be discharged without contaminating groundwater resources.</t>
  </si>
  <si>
    <t>The decommissioning of facilities, and/or the rehabilitation of contaminated soil, in an environmentally safe manner, where agricultural waste has been handled, treated, and/or stored and is no longer used for the intended purpose.</t>
  </si>
  <si>
    <t>A waste storage impoundment made by constructing an embankment and/or excavating a pit or dugout, or by fabricating a structure.</t>
  </si>
  <si>
    <t xml:space="preserve">A system using structures, conduits or equipment to convey byproducts (wastes) from agricultural operations to points of usage.  </t>
  </si>
  <si>
    <t>The mechanical, chemical or biological treatment of agricultural waste.</t>
  </si>
  <si>
    <t>A waste treatment impoundment made by constructing an embankment and/or excavating a pit or dugout.</t>
  </si>
  <si>
    <t>The use of the by-products of agricultural production or the agricultural use of non-agricultural by-products.</t>
  </si>
  <si>
    <t>An earth embankment or a combination ridge and channel constructed across the slope of minor watercourses to form a sediment trap and water detention basin with a stable outlet.</t>
  </si>
  <si>
    <t>A facility for collecting and storing runoff from precipitation.</t>
  </si>
  <si>
    <t>A hole drilled, dug, driven, bored, jetted or otherwise constructed to an aquifer for water supply.</t>
  </si>
  <si>
    <t>A permanent or portable device to provide an adequate amount and quality of drinking water for livestock and or wildlife.</t>
  </si>
  <si>
    <t>A system of dams, dikes, ditches, or other means of diverting or collecting runoff from natural channels, gullies, or streams and spreading it over relatively flat areas.</t>
  </si>
  <si>
    <t>The sealing and permanent closure of an inactive, abandoned, or unusable water well.</t>
  </si>
  <si>
    <t>The creation of a wetland on a site location that was historically non-wetland.</t>
  </si>
  <si>
    <t>The augmentation of wetland functions beyond the original natural conditions on a former, degraded, or naturally functioning wetland site; sometimes at the expense of other functions.</t>
  </si>
  <si>
    <t xml:space="preserve">The return of a wetland and its functions to a close approximation of its original condition as it existed prior to disturbance on a former or degraded wetland site. </t>
  </si>
  <si>
    <t>Retaining, developing or managing wetland habitat for wetland wildlife.</t>
  </si>
  <si>
    <t>Windbreaks or shelterbelts are single or multiple rows of trees or shrubs in linear configurations.</t>
  </si>
  <si>
    <t>Replacing, releasing and/or removing selected trees and shrubs or rows within an existing windbreak or shelterbelt, adding rows to the windbreak or shelterbelt or removing selected tree and shrub branches.</t>
  </si>
  <si>
    <t>The treatment of residual woody material that is created due to management activities or natural disturbances.</t>
  </si>
  <si>
    <t>Search the Database by Practice Name</t>
  </si>
  <si>
    <t>Help</t>
  </si>
  <si>
    <t>A structure or device to contain and facilitate the controlled aerobic decomposition of manure or other organic material by micro-organisms into a biologically stable organic material that is suitable for use as a soil amendment.</t>
  </si>
  <si>
    <t>Establishing and maintaining permanent vegetative cover</t>
  </si>
  <si>
    <t>An artificial barrier that can impound water for one or more beneficial purposes.</t>
  </si>
  <si>
    <t>A strip or block of land on which the vegetation, debris and detritus have been reduced and/or modified to control or diminish the risk of the spread of fire crossing the strip or block of land.</t>
  </si>
  <si>
    <t>A lining of impervious material or chemical treatment, installed in an irrigation ditch, canal, or lateral.</t>
  </si>
  <si>
    <t>A waterway or outlet having an erosion-resistant lining of concrete, stone, synthetic turf reinforcement fabrics, or other permanent material.</t>
  </si>
  <si>
    <t>Hal Gordon</t>
  </si>
  <si>
    <t>USDA-NRCS, Portland, Oregon</t>
  </si>
  <si>
    <t>Human</t>
  </si>
  <si>
    <t>Estimated Average Installation Cost</t>
  </si>
  <si>
    <t>SOIL</t>
  </si>
  <si>
    <t>WATER</t>
  </si>
  <si>
    <t>EXCESS WATER – Ponding, flooding, seasonal high water table, seeps, and drifted snow</t>
  </si>
  <si>
    <t>WATER QUALITY DEGRADATION – Excess pathogens and chemicals from manure, bio-solids or compost applications</t>
  </si>
  <si>
    <t>PLANT</t>
  </si>
  <si>
    <t>ANIMAL</t>
  </si>
  <si>
    <t>ENERGY</t>
  </si>
  <si>
    <t>AIR</t>
  </si>
  <si>
    <t>Conservation Practices</t>
  </si>
  <si>
    <t>Landuses</t>
  </si>
  <si>
    <t>Protected</t>
  </si>
  <si>
    <t>Associated Ag. Land</t>
  </si>
  <si>
    <t>Anionic Polyacrylamide (PAM) Application</t>
  </si>
  <si>
    <t xml:space="preserve">Bivalve Aquaculture Gear and Biofouling Control </t>
  </si>
  <si>
    <t xml:space="preserve">Building Envelope Improvement </t>
  </si>
  <si>
    <t>Early Successional Habitat Development/Management</t>
  </si>
  <si>
    <t xml:space="preserve">Lighting System Improvement </t>
  </si>
  <si>
    <t>W</t>
  </si>
  <si>
    <t>Waste Separation Facility</t>
  </si>
  <si>
    <t>Associated Ag. Land               Other                                         Water                          Developed Land               Farmstead                     Protected                         Pasture                                Range                                     Forest                                     Crop</t>
  </si>
  <si>
    <t>C</t>
  </si>
  <si>
    <t>F</t>
  </si>
  <si>
    <t>R</t>
  </si>
  <si>
    <t>P</t>
  </si>
  <si>
    <t>Pr</t>
  </si>
  <si>
    <t>FS</t>
  </si>
  <si>
    <t>DL</t>
  </si>
  <si>
    <t>O</t>
  </si>
  <si>
    <t>AL</t>
  </si>
  <si>
    <t>D</t>
  </si>
  <si>
    <t>AL-Aso Land               O-Other                                         W-Water                          D-Developed               FS-Farmstead                     Pr-Protected                         P-Pasture                                R-Range                                     F-Forest                                     C-Crop</t>
  </si>
  <si>
    <t>Side Calculations</t>
  </si>
  <si>
    <t>Drop-Down Choice</t>
  </si>
  <si>
    <t>Look-Up</t>
  </si>
  <si>
    <t>Text</t>
  </si>
  <si>
    <t>Calculated</t>
  </si>
  <si>
    <t>On-Farm Equipment Cost (% of Typical Installation Cost that is producer-purchased equipment, does not include equipment only used for installation )</t>
  </si>
  <si>
    <t>Annual Operations &amp; Maintenance Factor (O&amp;M = factor x typical installation cost)</t>
  </si>
  <si>
    <t>Typical Average Annual Cost ($/Acre/Year) (Amortized Installation Cost + Annual O&amp;M + Annual Foregone Income) per Acre</t>
  </si>
  <si>
    <t>Typical Enterprise Net Income ($/Ac/Yr)</t>
  </si>
  <si>
    <t>Typical Percent Increase in Net Income from the Practice (usually from yield increase)</t>
  </si>
  <si>
    <t>Cost Savings or Additional Income Rationale</t>
  </si>
  <si>
    <t xml:space="preserve">Typical Average Annual Benefit ($/Acre/Year) </t>
  </si>
  <si>
    <t>Benefit/Cost Ratio</t>
  </si>
  <si>
    <t>Years to Break-Even</t>
  </si>
  <si>
    <t>Percent Payback over the Life of the Practice</t>
  </si>
  <si>
    <t>Capital - Total Investment Cost (Rational 1)</t>
  </si>
  <si>
    <t>Capital - Total Investment Cost (Rational 2)</t>
  </si>
  <si>
    <t>Profitability - Change in Profitability Effect (Effect)</t>
  </si>
  <si>
    <t>Profitability - Change in Profitability Effect (Rational 1)</t>
  </si>
  <si>
    <t>Profitability - Change in Profitability Effect (Rational 2)</t>
  </si>
  <si>
    <t>Risk - Yield Effect (Effect)</t>
  </si>
  <si>
    <t>Risk - Yield Effect (Rational 1)</t>
  </si>
  <si>
    <t>Risk - Yield Effect (Rational 2)</t>
  </si>
  <si>
    <t>Risk - Cash Flow Effect (Effect)</t>
  </si>
  <si>
    <t>Risk - Cash Flow Effect (Rational 1)</t>
  </si>
  <si>
    <t>Risk - Cash Flow Effect (Rational 2)</t>
  </si>
  <si>
    <t>Land - Change in Land Use (Rational 1)</t>
  </si>
  <si>
    <t>Land - Change in Land Use (Rational 2)</t>
  </si>
  <si>
    <t>Land - Land in Production (Rational 1)</t>
  </si>
  <si>
    <t>Land - Land in Production (Rational 2)</t>
  </si>
  <si>
    <t>Capital - Change in Equipment (Rational 1)</t>
  </si>
  <si>
    <t>Capital - Change in Equipment (Rational 2)</t>
  </si>
  <si>
    <t>Labor - Labor (Rational 1)</t>
  </si>
  <si>
    <t>Labor - Labor (Rational 2)</t>
  </si>
  <si>
    <t>Labor - Change in Management Level (Rational 1)</t>
  </si>
  <si>
    <t>Labor - Change in Management Level (Rational 2)</t>
  </si>
  <si>
    <t>Risk - Flexibility and Timing (Effect)</t>
  </si>
  <si>
    <t>Risk - Flexibility and Timing (Rational 1)</t>
  </si>
  <si>
    <t>Risk - Flexibility and Timing (Rational 2)</t>
  </si>
  <si>
    <t>Maintain control barrier</t>
  </si>
  <si>
    <t>5 to 50 percent change in landuse</t>
  </si>
  <si>
    <t>5 to 50 percent of area change to less intensive agricultural use</t>
  </si>
  <si>
    <t>50 to 100 hours labor no longer required for enterprise</t>
  </si>
  <si>
    <t>25 to 50 hours management no longer required for enterprise</t>
  </si>
  <si>
    <t>Discourages other enterprises, shortens or restricts season of use</t>
  </si>
  <si>
    <t>1 percent or less change in landuse</t>
  </si>
  <si>
    <t>1 percent or less of area change to less intensive agricultural use</t>
  </si>
  <si>
    <t>Up to 50 hours labor no longer required for enterprise</t>
  </si>
  <si>
    <t>Creates new opportunities for other enterprises</t>
  </si>
  <si>
    <t>Up to 50 hours additional labor required for enterprise</t>
  </si>
  <si>
    <t>Opportunities for other enterprise activities benefited while implementing the practice</t>
  </si>
  <si>
    <t>No change in landuse</t>
  </si>
  <si>
    <t>No change in agricultural production</t>
  </si>
  <si>
    <t>5 to 50 percent of area change to more intensive agricultural use</t>
  </si>
  <si>
    <t>Compliments other enterprises, allows earlier access or longer season of use</t>
  </si>
  <si>
    <t>No change in management</t>
  </si>
  <si>
    <t>100 to 250 hours additional labor required for enterprise</t>
  </si>
  <si>
    <t>50 to 100 additional hours management required for enterprise</t>
  </si>
  <si>
    <t>50 to 100 additional hours labor required for enterprise</t>
  </si>
  <si>
    <t xml:space="preserve">Historic properties may be affected by concentrated animal traffic, construction and maintenance </t>
  </si>
  <si>
    <t>1 percent or less of area change to more intensive agricultural use</t>
  </si>
  <si>
    <t>Construction and on-going maintenance activities could have adverse effects</t>
  </si>
  <si>
    <t>1 to 5 percent change in landuse</t>
  </si>
  <si>
    <t>25 to 50 additional hours management required for enterprise</t>
  </si>
  <si>
    <t>Reduced fuel costs</t>
  </si>
  <si>
    <t>No change in permanent labor</t>
  </si>
  <si>
    <t>100 percent permanent change in landuse</t>
  </si>
  <si>
    <t>Other enterprise activities delayed while implementing the practice</t>
  </si>
  <si>
    <t>1 to 5 percent of area change to less intensive agricultural use</t>
  </si>
  <si>
    <t>Reduced irrigation costs</t>
  </si>
  <si>
    <t>50 to 100 hours management no longer required for enterprise</t>
  </si>
  <si>
    <t>Reduced travel and mgt costs</t>
  </si>
  <si>
    <t xml:space="preserve">Pipeline installation may affect historic properties, depending upon method of installation, depth and materials </t>
  </si>
  <si>
    <t>50 to 75 percent change in landuse</t>
  </si>
  <si>
    <t>100 percent of area change to more intensive agricultural use</t>
  </si>
  <si>
    <t>1 to 5 percent of area change to more intensive agricultural use</t>
  </si>
  <si>
    <t>Reduced livestock mgt costs</t>
  </si>
  <si>
    <t xml:space="preserve">Historic properties may be affected by construction buy not by O&amp;M </t>
  </si>
  <si>
    <t>100 percent of area change to less intensive agricultural use</t>
  </si>
  <si>
    <t>Bring portions of a field into production</t>
  </si>
  <si>
    <t>Historic properties may be affected to a greater or lesser extent, by construction activities</t>
  </si>
  <si>
    <t>Historic properties may be affected by construction or maintenance</t>
  </si>
  <si>
    <t>50 to 75 percent of area change to more intensive agricultural use</t>
  </si>
  <si>
    <t xml:space="preserve">Surface and subsurface historic properties may be affected by route preparation or construction and by certain O&amp;M actions </t>
  </si>
  <si>
    <t>Inhibits other enterprises</t>
  </si>
  <si>
    <t>No change in flexibility or timing</t>
  </si>
  <si>
    <t>Discount Rate:</t>
  </si>
  <si>
    <t>* Typical Net Income - Use default data (see Lookup Tab)</t>
  </si>
  <si>
    <t xml:space="preserve">  or override with local data.</t>
  </si>
  <si>
    <t>Capital - Total Investment Cost Effect</t>
  </si>
  <si>
    <t xml:space="preserve">(AR) Practice cost X% </t>
  </si>
  <si>
    <t>* Must convert from "per practice unit" to "per acre" unit.</t>
  </si>
  <si>
    <t>of enterprise annual net income</t>
  </si>
  <si>
    <t>&gt;% Income</t>
  </si>
  <si>
    <t>CPPE Score</t>
  </si>
  <si>
    <t>No investment cost</t>
  </si>
  <si>
    <t>Acres</t>
  </si>
  <si>
    <t>$/Acre/Year</t>
  </si>
  <si>
    <t>Capital - Annual Cost Effect</t>
  </si>
  <si>
    <t>(AS) Annual O&amp;M Costs</t>
  </si>
  <si>
    <t>No O&amp;M costs</t>
  </si>
  <si>
    <t>Annual O&amp;M costs less than 1% of total installation costs</t>
  </si>
  <si>
    <t>Annual O&amp;M costs 1 to 2% of total installation costs</t>
  </si>
  <si>
    <t>Annual O&amp;M costs 2 to 3% of total installation costs</t>
  </si>
  <si>
    <t>Annual O&amp;M costs 3 to 4% of total installation costs</t>
  </si>
  <si>
    <t>Annual O&amp;M costs greater than 4% of total installation costs</t>
  </si>
  <si>
    <t>Profitability - Change in Profitability Effect</t>
  </si>
  <si>
    <t>(AT) Benefit/Cost Ratio</t>
  </si>
  <si>
    <t>B/C</t>
  </si>
  <si>
    <t>Risk - Yield Effect</t>
  </si>
  <si>
    <t>(AU) Risk - Yield</t>
  </si>
  <si>
    <t>Greater than 50% yield increase</t>
  </si>
  <si>
    <t>5% or less yield increase</t>
  </si>
  <si>
    <t>No change in yield</t>
  </si>
  <si>
    <t>5% or less yield decrease</t>
  </si>
  <si>
    <t>&gt;-.50</t>
  </si>
  <si>
    <t>Greater than 50% yield decrease</t>
  </si>
  <si>
    <t>Risk - Cash Flow Effect</t>
  </si>
  <si>
    <t>(AT) Risk - Cash Flow</t>
  </si>
  <si>
    <t>Breakeven over Loan Period</t>
  </si>
  <si>
    <t>Years</t>
  </si>
  <si>
    <t>1 or less years to breakeven</t>
  </si>
  <si>
    <t>1-2 years to breakeven</t>
  </si>
  <si>
    <t>2-3 years to breakeven</t>
  </si>
  <si>
    <t>3-4 years to breakeven</t>
  </si>
  <si>
    <t>4-5 years to breakeven</t>
  </si>
  <si>
    <t>No change in cash flow</t>
  </si>
  <si>
    <t>5-6 years to breakeven</t>
  </si>
  <si>
    <t>6-7 years to breakeven</t>
  </si>
  <si>
    <t>7-8 years to breakeven</t>
  </si>
  <si>
    <t>8-9 years to breakeven</t>
  </si>
  <si>
    <t>9 or more years to breakeven</t>
  </si>
  <si>
    <t>50 to 75 percent of area change to less intensive agricultural use</t>
  </si>
  <si>
    <t>More than one half-time laborer no longer required for enterprise</t>
  </si>
  <si>
    <t>At least one quarter-time laborer no longer required for enterprise</t>
  </si>
  <si>
    <t>100 to 250 hours labor no longer required for enterprise</t>
  </si>
  <si>
    <t>At least one quarter-time laborer required for enterprise</t>
  </si>
  <si>
    <t>More than one half-time additional laborer required for enterprise</t>
  </si>
  <si>
    <t>Risk - Flexibility and Timing</t>
  </si>
  <si>
    <t>Consideration</t>
  </si>
  <si>
    <t>Definition</t>
  </si>
  <si>
    <t>Human Effect - Informal Rules to Estimate Effects</t>
  </si>
  <si>
    <t>Completed by NHQ Cultural Resource Specialist</t>
  </si>
  <si>
    <t>The degree to which implementing the conservation practice is expected to cause an increase or decrease in the amount of capital equipment required for farm or ranch operations.  Equipment can be purchased, rented or bartered.  Does not include equipment for practice installation.  Salvage value of formerly used and unnessary equipment not included.</t>
  </si>
  <si>
    <t>A qualitative measure of the expected change in annual capital costs required in order to operate and maintain the conservation practice (does not include installation costs for multi-year practices).</t>
  </si>
  <si>
    <t>The degree to which risk, as related to the flexibility and timing of farm or ranch operations, is expected to increase or decrease as a result of implementing the conservation practice.</t>
  </si>
  <si>
    <t>Estimated Average Installation Cost (2005 Estimates)</t>
  </si>
  <si>
    <t>Definitions</t>
  </si>
  <si>
    <t>Enterprise</t>
  </si>
  <si>
    <t>The agricultural operation where the conservation practice is applied.  Typically where the benefits and cost will occur.  In broad terms crop, forage, livestock, timber production.</t>
  </si>
  <si>
    <t>Costs</t>
  </si>
  <si>
    <t>Out of pocket costs to the landuser, not offset by monetary benefits.  Include materials, equipment, labor, mobilization, operation &amp; maintenance, foregone income, administration and permit costs.</t>
  </si>
  <si>
    <t>Equipment Salvage Value</t>
  </si>
  <si>
    <t>Equipment no longer needed for the enterprise, that could be sold.</t>
  </si>
  <si>
    <t>Annual Net Equipment</t>
  </si>
  <si>
    <t>Annualized new equipment minus salvage value of unused equipment.</t>
  </si>
  <si>
    <t>Effects Conversion Table: Text-to-Numbers-to-Text</t>
  </si>
  <si>
    <t>Land or water used for the preservation, protection, and observation of the existing resources, archaeological or historical interpretation, resource interpretation, or for aesthetic value. These areas are officially designated by legislation or other authorities. Examples: legislated natural or scenic areas and rural burial plots.</t>
  </si>
  <si>
    <r>
      <rPr>
        <b/>
        <sz val="10"/>
        <rFont val="Arial"/>
        <family val="2"/>
      </rPr>
      <t>Practice Setting:</t>
    </r>
    <r>
      <rPr>
        <sz val="10"/>
        <rFont val="Arial"/>
        <family val="2"/>
      </rPr>
      <t xml:space="preserve"> A description of the practice as typically used and its representative setting. Applicable land use(s) and other specific information may be listed to further define the situation being rated for "effects."</t>
    </r>
  </si>
  <si>
    <r>
      <rPr>
        <b/>
        <sz val="10"/>
        <rFont val="Arial"/>
        <family val="2"/>
      </rPr>
      <t>Baseline Setting:</t>
    </r>
    <r>
      <rPr>
        <sz val="10"/>
        <rFont val="Arial"/>
        <family val="2"/>
      </rPr>
      <t xml:space="preserve"> A description of the conditions that exist in the planning situation on which the effects of practice application are based.</t>
    </r>
  </si>
  <si>
    <r>
      <rPr>
        <b/>
        <sz val="10"/>
        <rFont val="Arial"/>
        <family val="2"/>
      </rPr>
      <t>Effect:</t>
    </r>
    <r>
      <rPr>
        <sz val="10"/>
        <rFont val="Arial"/>
        <family val="2"/>
      </rPr>
      <t xml:space="preserve"> The magnitude of the practice's effect on the resource concern assuming the practice is fully functional. WORSENING indicates the concern becomes greater and IMPROVEMENT denotes the concern diminishes. The term SLIGHT signifies a noticeable but limited worsening or improvement in the resource concern commensurate with the potential influence at the site level (e.g., generally no more than a 10 percent change in measurable quantities achievable at the site level). The term SUBSTANTIAL denotes that the practice clearly and markedly worsens or improves the resource concern (e.g., usually more than a 50 percent change at the site level). The term MODERATE describes a condition more than SLIGHT and less than SUBSTANTIAL. A rating of No Effect indicates that the fully-functioning practice normally causes no change, a negligible change, or a "net" no effect in the resource concern. No Effect can also be used when the practice normally has no relation to the resource concern.</t>
    </r>
  </si>
  <si>
    <r>
      <rPr>
        <b/>
        <sz val="10"/>
        <rFont val="Arial"/>
        <family val="2"/>
      </rPr>
      <t>Rationale:</t>
    </r>
    <r>
      <rPr>
        <sz val="10"/>
        <rFont val="Arial"/>
        <family val="2"/>
      </rPr>
      <t xml:space="preserve"> Explanation of how the practice produces the effect</t>
    </r>
  </si>
  <si>
    <t>TERM / DESCRIPTION</t>
  </si>
  <si>
    <t>Cost Information</t>
  </si>
  <si>
    <t>Benefit Information</t>
  </si>
  <si>
    <t>Practice Technical Life (Yrs)</t>
  </si>
  <si>
    <t>Strippcropping</t>
  </si>
  <si>
    <t>Reduced herding costs</t>
  </si>
  <si>
    <t/>
  </si>
  <si>
    <t>If the design takes into account historic properties protection, then there should be ; if it cannot, implementation will have an effect</t>
  </si>
  <si>
    <t>Minimizing furrow erosion allows a higher water flow in the furrow that provides more efficient application.</t>
  </si>
  <si>
    <t>Lining eliminates seepage.</t>
  </si>
  <si>
    <t>Piipline eliminates surface flow that could pick up salts from an unlined ditch.  The pipeline also eliminates evaporation, which can concentrate salts in irrigation water.</t>
  </si>
  <si>
    <t xml:space="preserve">Water releases are controlled, lowering the overall amount of drainage water released. </t>
  </si>
  <si>
    <t>May collect runoff and return flows that could deliver  contaminates to surface water.</t>
  </si>
  <si>
    <t>May collect runoff and return flows that deliver possible contaminates to surface water.</t>
  </si>
  <si>
    <t>Pipeline eliminates surface water flow reducing contaminated water runoff.</t>
  </si>
  <si>
    <t>Installation of irrigation system limits or eliminates surface erosion and resulting sedimentation.</t>
  </si>
  <si>
    <t>Canal could distribute water more efficiently or could increase return flows that deliver contaminates to surface water.</t>
  </si>
  <si>
    <t>Pipeline does not pick up contaminated surface runoff.</t>
  </si>
  <si>
    <t>Increased irrigation efficiency improves crop health and vigor which decrease weed competition.</t>
  </si>
  <si>
    <t>Requires less water and lower pressure pumping.  Reduces water applied due to an increase in application uniformity.</t>
  </si>
  <si>
    <t>not applicable</t>
  </si>
  <si>
    <t>Deep rooted crops in the rotation may reduce compaction</t>
  </si>
  <si>
    <t>Improves infiltration</t>
  </si>
  <si>
    <t>Compacted layers or sediment deposition is adversely affecting crop growth and infiltration.</t>
  </si>
  <si>
    <t>Can reduce evaporation and increase infiltration of water</t>
  </si>
  <si>
    <t>Excess runoff from plastic causes concentrated flow</t>
  </si>
  <si>
    <t>requires irrigation where non was required prior</t>
  </si>
  <si>
    <t>Concentrated flow from tunnel</t>
  </si>
  <si>
    <t>Reduced runoff results in increased water infiltration which will slightly reduce the potential for flooding or ponding.</t>
  </si>
  <si>
    <t>Snow is captured by tree/shrub crowns and deposited between rows.</t>
  </si>
  <si>
    <t>Crops must be adapted and managed to account for use of  available water by trees.</t>
  </si>
  <si>
    <t>Vegetation encourages infiltration, which reduces the amount of surface runoff.</t>
  </si>
  <si>
    <t>Use of designated trails restricts compaction to limited areas.</t>
  </si>
  <si>
    <t xml:space="preserve">Trails and landings facilitate management of undesirable vegetation. </t>
  </si>
  <si>
    <t>Improved efficiency in harvest operations.</t>
  </si>
  <si>
    <t>Removal of vegetation may reduce uptake of subsurface water.</t>
  </si>
  <si>
    <t>Trees or shrubs increase infiltration but may retard flood water movement from the site.</t>
  </si>
  <si>
    <t>Disturbed road and trail areas are generally not extensive enough for wind erosion.  An increase in vegetation and cover on landings will protect the soil surface and decrease soil detachment by wind.</t>
  </si>
  <si>
    <t>Reestablishment of natural hydrology can improve hyporheic flow.</t>
  </si>
  <si>
    <t>Grazing animals may cause difficulty in scheduling irrigations.</t>
  </si>
  <si>
    <t>Snow is captured and deposited down wind of planted trees and shrubs.</t>
  </si>
  <si>
    <t>Herbicides, if used, could reach groundwater.</t>
  </si>
  <si>
    <t xml:space="preserve">Shelting effect of windbreak reduces evapotranspiration allowing more efficient use of available water. </t>
  </si>
  <si>
    <t>Woody debris may be redistributed close to the ground to serve as mulch.</t>
  </si>
  <si>
    <t>Removing woody residue facilitates movement of livestock within stand.</t>
  </si>
  <si>
    <t>Building Envelope Improvement</t>
  </si>
  <si>
    <t>672</t>
  </si>
  <si>
    <t>Less equipment useage can reduce particulate matter emissions from combustion.</t>
  </si>
  <si>
    <t>Less equipment useage can reduce emissions of oxides of nitrogen associated with combustion.</t>
  </si>
  <si>
    <t>Planning unit was wasting energy</t>
  </si>
  <si>
    <t>Lighting System Improvement</t>
  </si>
  <si>
    <t>670</t>
  </si>
  <si>
    <t>Not applicable.</t>
  </si>
  <si>
    <t>Undesirable brush species will be managed by physical, chemical, or biological means to make it suitable for the desired plant community.</t>
  </si>
  <si>
    <t xml:space="preserve">The degree will depend on the amount of brush removed and the enhancement of stand composition and structure. </t>
  </si>
  <si>
    <t>Removal or control of brush is planned to provide habitat continuity.</t>
  </si>
  <si>
    <t>Brush manipulation is needed to achieve land management objectives.</t>
  </si>
  <si>
    <t>Species dependent.</t>
  </si>
  <si>
    <t>Fence used to control movement of animals and/or people.</t>
  </si>
  <si>
    <t>The plant species selected will decrease runoff and erosion.</t>
  </si>
  <si>
    <t>Plants are selected based on site adaptability.</t>
  </si>
  <si>
    <t>Plants selected are adapted and suited.</t>
  </si>
  <si>
    <t xml:space="preserve">Not applicable. </t>
  </si>
  <si>
    <t>Establish adapted plants suitable for forage, hay, or biomass production.</t>
  </si>
  <si>
    <t xml:space="preserve">Not applicable.  </t>
  </si>
  <si>
    <t xml:space="preserve">Plants are managed to maintain the composition of adapted and suited species.  </t>
  </si>
  <si>
    <t xml:space="preserve">Increased quality and quantity of vegetation provides more food for certain species of wildlife. </t>
  </si>
  <si>
    <t xml:space="preserve">Timing of harvest of vegetation improves habitat for wildlife. </t>
  </si>
  <si>
    <t>Removal of forages as hay green-chop or ensilage.</t>
  </si>
  <si>
    <t>An increase in vegetative cover decreases erosion by wind.</t>
  </si>
  <si>
    <t>Slight improvement because of increased infiltration and decreased runoff.</t>
  </si>
  <si>
    <t>Inproved hydrologic indicators increase infiltration and decreases runoff.</t>
  </si>
  <si>
    <t>Based on management objective</t>
  </si>
  <si>
    <t>There may be a slight improvement due to plant community ground cover reducing overland flow.</t>
  </si>
  <si>
    <t>Functional group change may create effect.</t>
  </si>
  <si>
    <t>Dependent on management goals for habitat characteristic.</t>
  </si>
  <si>
    <t>Organic soils are susceptible.</t>
  </si>
  <si>
    <t xml:space="preserve">Improving the vigor of plant communities will speed vegetative recovery when eposodic storms cause erosion.   </t>
  </si>
  <si>
    <t>Enhanced vegetation cover limits the speed of concentrated flow.</t>
  </si>
  <si>
    <t>Bare Ground is covered by increased litter and plant bases. Cover reduces evaporative salt accumulation.</t>
  </si>
  <si>
    <t>Springs and seeps can be utilized and maintained.</t>
  </si>
  <si>
    <t>Toxic substances not grazed.</t>
  </si>
  <si>
    <t>Improved infiltration increases lag streamflow.</t>
  </si>
  <si>
    <t>There will be enhanced root development, litter accumulation, and increased biological activity.</t>
  </si>
  <si>
    <t>Mitigated by low application requirements.</t>
  </si>
  <si>
    <t>Live plant growth reduces runoff.</t>
  </si>
  <si>
    <t xml:space="preserve">Vegetation strategy is to control undesired species.  </t>
  </si>
  <si>
    <t>Proper handling of solid agrichemicals can reduce emissions of particulate matter.  Proper handling of nitrogen-based fertilizers can reduce emissions of ammonia.</t>
  </si>
  <si>
    <t>Proper handling of organic liquids can reduce emissions of VOCs.</t>
  </si>
  <si>
    <t>Some filtration and scrubbing systems can be highly effective at mitigating emissions of methane.  However, some biofilters may also increase emissions of nitrous oxide (N2O).</t>
  </si>
  <si>
    <t>Amendments can reduce ammonia emissions and inhibit dust.</t>
  </si>
  <si>
    <t>Amendments that help retain nitrogen can reduce emissions of NOx, however, one would not normally use an amendment specifically for this purpose.</t>
  </si>
  <si>
    <t>Amendments that help retain nitrogen can reduce emissions of N2O, however, one would not normally use an amendment specifically for this purpose.</t>
  </si>
  <si>
    <t xml:space="preserve"> Dust from manure application will be less from a liguid application system than a dry untreated manure system.  However, anaerobic digestion may result in a greater potential for ammonia release.</t>
  </si>
  <si>
    <t>There is a decrease in potential ozone precursor emissions.  Digesters breakdown VOCs which are ozone precursors.</t>
  </si>
  <si>
    <t>By flaring or combusting the syngas, methane is converted to CO2, reducing net GHG.</t>
  </si>
  <si>
    <t>Cover will retain gas emissions and eliminate contact with atmosphere.  Digesters breakdown VOCs, substantially reducing odors.</t>
  </si>
  <si>
    <t xml:space="preserve">Mortality incinerators can produce PM emissions.  Proper composting of mortalities can decrease ammonia and PM emissions. </t>
  </si>
  <si>
    <t>Mortality incinerators can produce emissions of NOx</t>
  </si>
  <si>
    <t>CO2 emissions are increased when incineration is used.  Methane releases are typically decreased from proper mortality management.</t>
  </si>
  <si>
    <t xml:space="preserve">Proper mortality management reduces odor emissions from dead animals </t>
  </si>
  <si>
    <t>Application of PAM can reduce the susceptibility of soil to wind erosion.</t>
  </si>
  <si>
    <t>Intensive tillage can increase emissions of particulate matter.</t>
  </si>
  <si>
    <t>Intensive tillage can increase emissions of NOx and VOC from tractor engines.</t>
  </si>
  <si>
    <t>Intensive tillage can release stored soil carbon as carbon dioxide.</t>
  </si>
  <si>
    <t>Removal of vegetation by mechanical means or burning can increase short-term PM emissions.  However, there should be no long-term effect from brush management.</t>
  </si>
  <si>
    <t>Removal of vegetation by chemical means or burning can increase short-term VOC and/or NOx emissions.  However, there should be no long-term effect from brush management.</t>
  </si>
  <si>
    <t>Removal of vegetation by burning can increase short-term CO2 emissions.  However, there should be a positive long-term carbon sequestration effect from brush management.</t>
  </si>
  <si>
    <t>Proper composting can reduce ammonia and PM emissions.</t>
  </si>
  <si>
    <t>Proper composting can reduce emissions of VOCs by converting them to CO2.</t>
  </si>
  <si>
    <t>Proper composting will increase CO2 emissions, but decrease the potential for methane and nitrous oxide production.</t>
  </si>
  <si>
    <t>Proper composting can reduce emissions of odorous compounds.</t>
  </si>
  <si>
    <t>Reduced use of machinery in permanent vegetation reduces ozone precursor emissions.</t>
  </si>
  <si>
    <t>Vegetation removes CO2 from the air and stores it in the form of carbon in the plants and soil.  Reduced use of machinery in permanent vegetation reduces CO2 emissions.</t>
  </si>
  <si>
    <t>The accumulation of organic matter and sediments sequester carbon.  However, anaerobic conditions can promote the generation of methane.</t>
  </si>
  <si>
    <t>Anaerobic conditions can promote the generation of hydrogen sulfide and other odorous compounds.</t>
  </si>
  <si>
    <t>Strips of vegetation that trap saltating soil particles can help slow or stop the wind erosion process.</t>
  </si>
  <si>
    <t>Managing drainage water can keep the soil surface moist, reducing the potential for wind erosion.</t>
  </si>
  <si>
    <t>Provides for conditions to promote plant growth.  Increased plant growth removes CO2 from the air and stores it in the form of carbon in the plants and soil.</t>
  </si>
  <si>
    <t>Use of dust suppressants will mitigate particulate matter emissions from vehicle traffic and wind erosion on unpaved roads and surfaces.  The primary purpose of this standard is to mitigate particulate matter emissions.</t>
  </si>
  <si>
    <t>Changing form of feed can reduce dust level.  Better nitrogen management in feed can greatly reduce emissions of ammonia.</t>
  </si>
  <si>
    <t>Feed management can reduce VOC emissions.  Better nitrogen management can reduce nitrogen excretion, resulting in lower potential for emissions of oxides of nitrogen.</t>
  </si>
  <si>
    <t>Feed management can reduce nitrogen excretion, resulting in lower potential for nitrous oxide emissions.  Feed management in ruminants can also reduce methane emissions.</t>
  </si>
  <si>
    <t>Feed management can reduce VOC emissions.  Better nitrogen and sulfur management can result in lower ammonia and hydrogen sulfide emissions.</t>
  </si>
  <si>
    <t>Fencing can be used to protect and/or improve vegetation.</t>
  </si>
  <si>
    <t>Permanent vegetation around the field edge reduces particulate emissions from vehicle traffic and tillage in the border area.</t>
  </si>
  <si>
    <t>Areas converted to permanent vegetation reduce the area susceptible to wind erosion and tillage.</t>
  </si>
  <si>
    <t>There is a minimal reduction of particulate matter through reduced incidence of wildfire.</t>
  </si>
  <si>
    <t>Vegetation removes CO2 from the air and stores it in the form of carbon in the plants and soil.  Also, use of biomass as an alternative energy source can greatly reduce the use of (and emissions of CO2 from) fossil fuels.</t>
  </si>
  <si>
    <t>Can be used to intercept and filter odorous gases.</t>
  </si>
  <si>
    <t>Removal of vegetation by mechanical means or burning can increase short-term PM emissions.  However, there should be no long-term effect from herbaceous weed control.</t>
  </si>
  <si>
    <t>Removal of vegetation by chemical means or burning can increase short-term VOC and/or NOx emissions.  However, there should be no long-term effect from herbaceous weed control.</t>
  </si>
  <si>
    <t>Removal of vegetation by burning can increase short-term CO2 emissions.  However, there should be a positive long-term carbon sequestration effect from herbaceous weed control.</t>
  </si>
  <si>
    <t>Intensive disturbance of soil can release particulate matter, but this is a short-term effect.  Better irrigation capability via land leveling should have a corresponding positive effect by allowing for better soil moisture management.</t>
  </si>
  <si>
    <t>Intensive disturbance of soil can release stored soil carbon as carbon dioxide, but this is a short-term effect.</t>
  </si>
  <si>
    <t>Increased vegetative growth from irrigation can improve carbon sequestration in a reduced tillage system.</t>
  </si>
  <si>
    <t>Equipment operations temporarily produce particulate emissions and exhaust emissions.  Also, disturbance of the soil surface can release particulate emissions and cleared land may have more susceptibility to PM emissions from wind erosion.</t>
  </si>
  <si>
    <t>Vegetation stabilizes the soil surface and helps to keep soil particulate from being emitted.</t>
  </si>
  <si>
    <t>Equipment operations temporarily produce particulate emissions and exhaust emissions.  Also, disturbance of the soil surface can release particulate emissions and smooth land may have more susceptibility to PM emissions from wind erosion.</t>
  </si>
  <si>
    <t>Closure of underground mine openings can reduce release of methane emissions created in the mine.</t>
  </si>
  <si>
    <t>Closure of underground mine openings can reduce release of hydrogen sulfide emissions created in the mine.</t>
  </si>
  <si>
    <t>The proper application of nitrogen can greatly reduce ammonia emissions.  Proper application techniques can also reduce particulate emissions from solid manure and fertilizers.</t>
  </si>
  <si>
    <t>The proper application of nitrogen can reduce NOx emissions.  Proper application techniques can also reduce VOC emissions from manure.</t>
  </si>
  <si>
    <t>Management of nutrients optimizes the storage of soil carbon.  The propoer application of nitrogen can reduce emissions of nitrous oxide.</t>
  </si>
  <si>
    <t>The proper application of nitrogen can reduce ammonia emissions.  Proper application techniques can also reduce emissions of VOCs and other odorous compounds from manure.</t>
  </si>
  <si>
    <t>Dust may be generated during obstruction removal and smoke may be generated if the obstruction materials are burned.  However, if obstructions are removed instead of burning, there could be a decrease in PM emissions.</t>
  </si>
  <si>
    <t>NOx will be generated if the obstruction materials are burned.  However, if obstructions are removed instead of burning, there could be a decrease in NOx emissions.</t>
  </si>
  <si>
    <t>CO2 will be generated if the obstruction materials are burned.  However, if obstructions are removed instead of burning, there could be a decrease in CO2 emissions.</t>
  </si>
  <si>
    <t>Equipment operations temporarily produce exhaust emissions.</t>
  </si>
  <si>
    <t>Increased plant vigor reduces the potential for generation of particulates by wind erosion.  However, there will be increased particulate emissions from the fire itself.</t>
  </si>
  <si>
    <t>CO2 emissions are decreased with the decreased incidence of wildfire.  Increased plant vigor also increases the potential for carbon sequestration.</t>
  </si>
  <si>
    <t>Replacement of older pumping plants with more efficient internal combustion engines or electric motors will reduce PM emissions, however, new placement of internal combustion engines will result in increase in PM emissions.</t>
  </si>
  <si>
    <t>Covering solid materials protects those materials from erosive wind forces.  Covers can also help to prevent emissions of ammonia.</t>
  </si>
  <si>
    <t>Cover can prevent emission of VOCs.  Roofs and covers can also be used to prevent excess moisture addition to solid materials, which helps to reduce emissions of NOx and VOCs.</t>
  </si>
  <si>
    <t>Covers can be used for capturing biogas (methane) reducing net GHG emissions. Covered lagoon would be substantial.  Roofs and covers can also be used to prevent excess moisture addition to solid materials, which helps to reduce air emissions.</t>
  </si>
  <si>
    <t>Cover can prevent emission of odorous gases. Covered lagoon would be substantial.  Roofs and covers can also be used to prevent excess moisture addition to solid materials, which helps to reduce air emissions.</t>
  </si>
  <si>
    <t>Preventing or reducing salt accumulation in the soil leads to improved vegetative cover, which improves CO2 removal from the atmosphere and stores it in the form of carbon in the plants and soil.</t>
  </si>
  <si>
    <t>Solid/liquid separation allows for better management of solid and liquid manure streams.  Improperly managed solid manure may result in particulate emissions, however.</t>
  </si>
  <si>
    <t>Solid/liquid separation can help to reduce emissions of VOCs via better management of aerobic solid systems and anaerobic liquid systems.</t>
  </si>
  <si>
    <t>Vegetation will reduce wind movement and can intercept odors.</t>
  </si>
  <si>
    <t>There is a short-term increase in vehicle emissions from site preparation equipment.</t>
  </si>
  <si>
    <t>Reduces particulate emissions from aged waste facilities.</t>
  </si>
  <si>
    <t>Reduces VOC emissions from aged waste facilities.</t>
  </si>
  <si>
    <t>Reduces emissions from aged waste facilities.</t>
  </si>
  <si>
    <t>Uncovered storages can increase ammonia emissions.  Uncovered solid material storages can increase particulate matter emissions.</t>
  </si>
  <si>
    <t>Uncovered storages can increase emissions of VOCs.</t>
  </si>
  <si>
    <t>Uncovered storages can increase emissions of methane and nitrous oxide.</t>
  </si>
  <si>
    <t>Uncovered storages can increase odor emissions.</t>
  </si>
  <si>
    <t xml:space="preserve">Movement and application of material can increase emissions of particulates. Waste products tranferred through a piping system should have no effect on emissions of particulate matter </t>
  </si>
  <si>
    <t>Movement and application of material can increase emissions. Waste products tranferred through a piping system should have no effect on emissions of ozone precursors</t>
  </si>
  <si>
    <t>Movement and application of material  can increase emissions of particulates, VOCs, and  odors.</t>
  </si>
  <si>
    <t>Some treatment options may result in less particulate matter and ammonia emissions.</t>
  </si>
  <si>
    <t>Some treatment options may result in less VOC emissions.</t>
  </si>
  <si>
    <t>Some treatment options may result in less methane or nitrous oxide emissions.</t>
  </si>
  <si>
    <t>Lagoons convert organic nitrogen to ammonia.</t>
  </si>
  <si>
    <t>Properly functioning lagoons can reduce emissions of VOCs.</t>
  </si>
  <si>
    <t>Anaerobic conditions create methane.</t>
  </si>
  <si>
    <t>Windbreaks can be very effective in reducing particulate emissions associated with wind erosion.  They are also effective in filtering particulate matter and ammonia from the air.</t>
  </si>
  <si>
    <t>Vegetation removes CO2 from the air and stores it in the form of carbon in the plants and soil.  Renovation of a windbreak/shelterbelt will not provide as much vegetation growth as newly established windbreaks/shelterbelts.</t>
  </si>
  <si>
    <t>Availability of water source to fight fires.</t>
  </si>
  <si>
    <t xml:space="preserve">The testing itself does not improve water quality degraded by pesticides.  However, if testing indicates their presence in groundwater, it will be the measures taken afterward that will control the movement of pesticides into groundwater.   </t>
  </si>
  <si>
    <t xml:space="preserve">The testing itself does not improve water quality degraded by salts.  However, if testing indicates their presence in groundwater, it will be the measures taken afterward that will control the movement of salts into groundwater.   </t>
  </si>
  <si>
    <t xml:space="preserve">The testing itself does not improve water quality degradation by manure.  However, if testing indicates their presence in groundwater, it will be the measures taken afterward that will control the movement of manure into groundwater.   </t>
  </si>
  <si>
    <t>Slight Increase with improved forage yields</t>
  </si>
  <si>
    <t>No change</t>
  </si>
  <si>
    <t>B/C Ratio 1.75 to 2.00</t>
  </si>
  <si>
    <t>B/C Ratio 1.50 to 1.75</t>
  </si>
  <si>
    <t>B/C Ratio 1.25 to 1.50</t>
  </si>
  <si>
    <t>B/C Ratio .50 to .75</t>
  </si>
  <si>
    <t>B/C Ratio .25 to .50</t>
  </si>
  <si>
    <t>B/C Ratio .10 to .25</t>
  </si>
  <si>
    <t>25 to 50% yield increase</t>
  </si>
  <si>
    <t>10 to 25% yield increase</t>
  </si>
  <si>
    <t>5 to 10% yield increase</t>
  </si>
  <si>
    <t>5 to 10% yield decrease</t>
  </si>
  <si>
    <t>10 to 25% yield decrease</t>
  </si>
  <si>
    <t>25 to 50% yield decrease</t>
  </si>
  <si>
    <t>MANAGEMENT</t>
  </si>
  <si>
    <t>Cash Flow - Change in net revenue over time</t>
  </si>
  <si>
    <t>Materials &amp; construction costs, forgone income</t>
  </si>
  <si>
    <t>Cleaner air will reduce damages on above ground artifacts</t>
  </si>
  <si>
    <t>Management and crop production costs</t>
  </si>
  <si>
    <t>Farm equipment and implementation costs</t>
  </si>
  <si>
    <t>Materials, on-site equipment and implementation costs</t>
  </si>
  <si>
    <t>Materials &amp; implementation costs</t>
  </si>
  <si>
    <t>Materials, on-site equipment &amp; implementation costs</t>
  </si>
  <si>
    <t>Materials &amp; planting costs, foregone income</t>
  </si>
  <si>
    <t>Implementation costs</t>
  </si>
  <si>
    <t>Materials, construction, planting costs, foregone income</t>
  </si>
  <si>
    <t>On-site equipment &amp; implementation costs</t>
  </si>
  <si>
    <t>Materials &amp; on-farm equipment costs</t>
  </si>
  <si>
    <t>Installation costs</t>
  </si>
  <si>
    <t>Construction costs</t>
  </si>
  <si>
    <t>Materials and implementation costs</t>
  </si>
  <si>
    <t>Consultants, permits, safety considerations and implementation costs</t>
  </si>
  <si>
    <t>Materials, planting and construction costs</t>
  </si>
  <si>
    <t>Earth moving costs</t>
  </si>
  <si>
    <t>Materials and management costs</t>
  </si>
  <si>
    <t>Materials, equipment and planting costs</t>
  </si>
  <si>
    <t>Materials and planting costs</t>
  </si>
  <si>
    <t>Materials, on-site equipment, planting &amp; installation costs</t>
  </si>
  <si>
    <t>Materials, planting &amp; installation costs</t>
  </si>
  <si>
    <t>Maintain storage structure and equipment</t>
  </si>
  <si>
    <t>Maintain equipment</t>
  </si>
  <si>
    <t>Maintain equipment and replace filters</t>
  </si>
  <si>
    <t>Maintain vegetation and manage pests</t>
  </si>
  <si>
    <t>Maintain structure, equipment and dispose of compost</t>
  </si>
  <si>
    <t>Maintain trails and walkways, control vegetation</t>
  </si>
  <si>
    <t>* No O&amp;M cost for annual practices (1 year life)</t>
  </si>
  <si>
    <t>Capital - Annual O&amp;M Cost (Effect)</t>
  </si>
  <si>
    <t>Capital - Annual O&amp;M Cost (Rational 1)</t>
  </si>
  <si>
    <t>Capital - Annual O&amp;M Cost (Rational 2)</t>
  </si>
  <si>
    <t xml:space="preserve">  Annual O&amp;M Cost:</t>
  </si>
  <si>
    <t>Maintain pond, clean-out, repair/replace equipment and materials</t>
  </si>
  <si>
    <t>Clean-out debris, repair/replace equipment and materials</t>
  </si>
  <si>
    <t>Repair/replace equipment and materials</t>
  </si>
  <si>
    <t>Clean-out unwanted vegetation and debris</t>
  </si>
  <si>
    <t>Repair/replace equipment</t>
  </si>
  <si>
    <t>Clean-out debris</t>
  </si>
  <si>
    <t>Clean-out debris, repair/replace equipment</t>
  </si>
  <si>
    <t>Clean-out debris, repair/replace materials</t>
  </si>
  <si>
    <t>Clean-out debris, repair/replace equipment, maintain vegetation and manage pests</t>
  </si>
  <si>
    <t>Clean-out debris, repair/replace structures, maintain vegetation and manage pests</t>
  </si>
  <si>
    <t>Maintain water bars, barriers and structures</t>
  </si>
  <si>
    <t>Maintain barriers and structures</t>
  </si>
  <si>
    <t>Clean-out debris, repair/replace structures and equipment</t>
  </si>
  <si>
    <t>Repair/replace structures and equipment</t>
  </si>
  <si>
    <t>Repair/replace structures</t>
  </si>
  <si>
    <t>Maintain vegetation and water control structures, manage pests</t>
  </si>
  <si>
    <t>Maintain improvements and vegetation</t>
  </si>
  <si>
    <t>Maintain structures and vegetation</t>
  </si>
  <si>
    <t>Fence post, wire and gate maintenance costs</t>
  </si>
  <si>
    <t>No O&amp;M costs, only one-time implementation costs</t>
  </si>
  <si>
    <t>Maintain road surface</t>
  </si>
  <si>
    <t>Spot treatment for reinvading brush</t>
  </si>
  <si>
    <t>Clean-out debris, maintain vegetation, reshape slope</t>
  </si>
  <si>
    <t>Service and maintain motor and equipment</t>
  </si>
  <si>
    <t>Clean-out debris, repair structure</t>
  </si>
  <si>
    <t>Clean-out debris, repair/replace equipment and structure</t>
  </si>
  <si>
    <t>Manage vegetation and control pests</t>
  </si>
  <si>
    <t>Clean-out debris, shape high/low areas</t>
  </si>
  <si>
    <t>Clean-out debris, reshape banks</t>
  </si>
  <si>
    <t>Maintain structures</t>
  </si>
  <si>
    <t>Maintain pathway, control vegetation and manage pests</t>
  </si>
  <si>
    <t>Maintain control barrier and pests</t>
  </si>
  <si>
    <t>Increased crop yields and reduced sediment management costs</t>
  </si>
  <si>
    <t>Reduced animal control costs and crop damage</t>
  </si>
  <si>
    <t>Increased management and equipment costs</t>
  </si>
  <si>
    <t>Increased farm enterprise costs</t>
  </si>
  <si>
    <t>May improve crop quality and yields</t>
  </si>
  <si>
    <t>May reduce erosion/sediment control costs</t>
  </si>
  <si>
    <t>Increase crop yields</t>
  </si>
  <si>
    <t>Reduce flood damages</t>
  </si>
  <si>
    <t>Improved crop yields with water management</t>
  </si>
  <si>
    <t>Improved opportunities for water use</t>
  </si>
  <si>
    <t>Energy cost savings</t>
  </si>
  <si>
    <t>High implementation costs (a facilitating practice that may make other activities more profitable)</t>
  </si>
  <si>
    <t>Less intense agricultural production</t>
  </si>
  <si>
    <t>Increased farm enterprise costs, may be profitable if gas/electricity/compost has a market value</t>
  </si>
  <si>
    <t>Change in farm enterprise</t>
  </si>
  <si>
    <t>Increased crop yields</t>
  </si>
  <si>
    <t>Increased forage yields</t>
  </si>
  <si>
    <t>Increased land management costs</t>
  </si>
  <si>
    <t>Increased farm enterprise costs, may be profitable if compost has a market value</t>
  </si>
  <si>
    <t>Improved crop production</t>
  </si>
  <si>
    <t>Increased livestock production costs</t>
  </si>
  <si>
    <t>Increase in management costs</t>
  </si>
  <si>
    <t>Increase in construction costs</t>
  </si>
  <si>
    <t>Increase in crop yields</t>
  </si>
  <si>
    <t>Increase in implementation costs</t>
  </si>
  <si>
    <t>Increase crop yields with some land taken out of production</t>
  </si>
  <si>
    <t>May increase crop yields or bring land into crop production</t>
  </si>
  <si>
    <t>May increase crop yields</t>
  </si>
  <si>
    <t>High implementation costs</t>
  </si>
  <si>
    <t>Bring land into crop production</t>
  </si>
  <si>
    <t>Profitability is not the goal, but to collect conservation effects data</t>
  </si>
  <si>
    <t xml:space="preserve"> Increased management costs (a facilitating practice that may make other activities more profitable)</t>
  </si>
  <si>
    <t>Increase in crop production costs, possible yield increase</t>
  </si>
  <si>
    <t>Opportunity to produce two or more sources of income</t>
  </si>
  <si>
    <t>Reduced crop production costs, possible yield increase</t>
  </si>
  <si>
    <t>May bring additional land into production</t>
  </si>
  <si>
    <t>Facilitating practice that may make other activities more profitable</t>
  </si>
  <si>
    <t>A facilitating practice that may make other activities more profitable</t>
  </si>
  <si>
    <t>Facilitating practice, may bring additional land into production</t>
  </si>
  <si>
    <t>Increase in forage yield and quality</t>
  </si>
  <si>
    <t>Possible increase in crop yields</t>
  </si>
  <si>
    <t>High implementation cost</t>
  </si>
  <si>
    <t>Increase in crop quality and yield</t>
  </si>
  <si>
    <t>Maintain equipment, crop management costs</t>
  </si>
  <si>
    <t>Increase in crop yield and quality</t>
  </si>
  <si>
    <t>Reduced sediment damages to farm</t>
  </si>
  <si>
    <t>Improved forage availability and use</t>
  </si>
  <si>
    <t>May reduce water management costs and increase crop yield</t>
  </si>
  <si>
    <t>May reduce irrigation costs and increase crop yield</t>
  </si>
  <si>
    <t>High implementation costs, offset by some increase in crop yields and reduced sediment damages</t>
  </si>
  <si>
    <t>High implementation costs, benefits not captured in the life of the practice</t>
  </si>
  <si>
    <t>Crop yield/quality increase resulting from reduced crop damage, energy savings</t>
  </si>
  <si>
    <t>Crop yield/quality maintained, reduced crop damage, energy savings</t>
  </si>
  <si>
    <t>Reduced waste management costs</t>
  </si>
  <si>
    <t xml:space="preserve">Purchase less commercial inputs </t>
  </si>
  <si>
    <t>Purchase less commercial inputs</t>
  </si>
  <si>
    <t>High implementation costs, may reduce irrigation costs and sediment damages</t>
  </si>
  <si>
    <t>High implementation costs, may reduce irrigation or livestock watering costs</t>
  </si>
  <si>
    <t>Reduce livestock water costs, develop more intensive grazing system</t>
  </si>
  <si>
    <t>Reduce irrigation or livestock water costs, develop more intensive agriculture</t>
  </si>
  <si>
    <t>Reduction in yield in non-use area</t>
  </si>
  <si>
    <t>Increase in yield with improved access and management</t>
  </si>
  <si>
    <t>Increase in yield with improved chemical management</t>
  </si>
  <si>
    <t>No yield improvement</t>
  </si>
  <si>
    <t>Reduced manure management costs</t>
  </si>
  <si>
    <t>Reduced erosion and sediment damage to crop yields</t>
  </si>
  <si>
    <t>Increase due to improved soil quality and harvesting cover crop</t>
  </si>
  <si>
    <t>Crop taken out of production</t>
  </si>
  <si>
    <t>Crop taken out of production, yield increase with reduced sedimentation</t>
  </si>
  <si>
    <t>Increase yield with grazing management</t>
  </si>
  <si>
    <t>Increase weight gain with livestock nutrition management</t>
  </si>
  <si>
    <t>Increase from reduction of competitive vegetation</t>
  </si>
  <si>
    <t>Increase from improved  health, extended grazing period, improved forage</t>
  </si>
  <si>
    <t>Increase from better plant species mix and plant density</t>
  </si>
  <si>
    <t>Increase due to improved fish habitat and management</t>
  </si>
  <si>
    <t>Increase after the aquaculture system is functional</t>
  </si>
  <si>
    <t>Increase due to improved surface drainage</t>
  </si>
  <si>
    <t>Increase due to improved plant community</t>
  </si>
  <si>
    <t>Increase due to improved soil quality, fertility and moisture holding capacity</t>
  </si>
  <si>
    <t>Facilitating practice, may increase yield with improved water management</t>
  </si>
  <si>
    <t>Improved infiltration and root penetration</t>
  </si>
  <si>
    <t>Increase due to reduced flooding, some land taken out of production</t>
  </si>
  <si>
    <t>Increase due to less crop flooding and lower water table</t>
  </si>
  <si>
    <t>Crop taken out of production, yield increase with reduced sedimentation/flooding</t>
  </si>
  <si>
    <t>Crop taken out of production, yield increase with reduced erosion/sedimentation</t>
  </si>
  <si>
    <t>Increase due to improved soil permeability, infiltration and plant vigor</t>
  </si>
  <si>
    <t>Increase due to reduced weed competition</t>
  </si>
  <si>
    <t>Increase from reduced  wind erosion, some land taken our of production</t>
  </si>
  <si>
    <t>Increased irrigation efficiency, some land taken out of production</t>
  </si>
  <si>
    <t>Increase from healthier environment for crop production</t>
  </si>
  <si>
    <t>Increase due to increased irrigation efficiency</t>
  </si>
  <si>
    <t>Increased irrigation efficiency</t>
  </si>
  <si>
    <t>Reduced flood damages, increased irrigation efficiency, some land taken out of production</t>
  </si>
  <si>
    <t>Increase due to increased water availability</t>
  </si>
  <si>
    <t>Increase due to effective management of soil moisture</t>
  </si>
  <si>
    <t>Increase due to restoration of previously unproductive areas</t>
  </si>
  <si>
    <t>Increase due to improved drainage</t>
  </si>
  <si>
    <t>Increased yield from reduced sediment and flood damages</t>
  </si>
  <si>
    <t>Increase from improved crop management</t>
  </si>
  <si>
    <t>Improved soil health, increase in pests may reduce crop yield</t>
  </si>
  <si>
    <t>Increase due to more effective use of nutrients and plant protection</t>
  </si>
  <si>
    <t>Increase due to more effective use of nutrients</t>
  </si>
  <si>
    <t>Bring or restore land to crop production</t>
  </si>
  <si>
    <t>Increased water use efficiency, some land taken out of production</t>
  </si>
  <si>
    <t>Improved livestock distribution, increased weight gain</t>
  </si>
  <si>
    <t>Increase due to reduction of seepage losses</t>
  </si>
  <si>
    <t>Increase due to improved water availability</t>
  </si>
  <si>
    <t>Increase due to improved crop quality and quantity</t>
  </si>
  <si>
    <t>Increase from improved health, extended grazing period, improved forage</t>
  </si>
  <si>
    <t>Improved from better irrigation water management</t>
  </si>
  <si>
    <t>Slight improvement with plantings</t>
  </si>
  <si>
    <t>Improvement in soil health, water holding capacity and reduced erosion</t>
  </si>
  <si>
    <t>Increase due to reduced salt levels</t>
  </si>
  <si>
    <t>Intense crop production</t>
  </si>
  <si>
    <t>Reduced flooding</t>
  </si>
  <si>
    <t>Increase due to reduction of water erosion</t>
  </si>
  <si>
    <t>Protect crop land, reduce erosion</t>
  </si>
  <si>
    <t>Reduce erosion and sedimentation</t>
  </si>
  <si>
    <t>Increase in timber production due to improved growing conditions</t>
  </si>
  <si>
    <t>No yield improvement, facilitating practice</t>
  </si>
  <si>
    <t>Increase in wildlife due to improved habitat</t>
  </si>
  <si>
    <t>No yield improvement, some land taken out of production</t>
  </si>
  <si>
    <t>Increase due to improved water management</t>
  </si>
  <si>
    <t>Improved access to irrigation water</t>
  </si>
  <si>
    <t>Improved access to livestock water</t>
  </si>
  <si>
    <t>Increase due to water distribution</t>
  </si>
  <si>
    <t>Increase in productive soils, improved land management</t>
  </si>
  <si>
    <t>Cleaner working environment</t>
  </si>
  <si>
    <t>Note: Economics is only one factor in decision-making, the land user should also consider environmental &amp; social effects and how this practice fits into a complete conservation system.</t>
  </si>
  <si>
    <t>No breakeven</t>
  </si>
  <si>
    <t>Annual costs greater than annual benefits</t>
  </si>
  <si>
    <t>Annual benefits significantly greater than annual costs</t>
  </si>
  <si>
    <t>Annual benefits moderately greater than annual costs</t>
  </si>
  <si>
    <t>Annual benefits slightly greater than annual costs</t>
  </si>
  <si>
    <t>Change in intensity of land use, some land taken out of production</t>
  </si>
  <si>
    <t>Slight change, some land changed to roadway</t>
  </si>
  <si>
    <t>No Change</t>
  </si>
  <si>
    <t>Increased intensity of land use, producing two or more crops</t>
  </si>
  <si>
    <t>Slight change, some land changed to walkways</t>
  </si>
  <si>
    <t>Substantial if large areas are planted</t>
  </si>
  <si>
    <t>Land may be utilized more intensely</t>
  </si>
  <si>
    <t>Substantial, to convert to water storage</t>
  </si>
  <si>
    <t>Substantial, to convert land to dike and water storage</t>
  </si>
  <si>
    <t>Change to very intense agriculture production</t>
  </si>
  <si>
    <t>Potential change to headquarters landuse</t>
  </si>
  <si>
    <t>Change if land converted to waterway</t>
  </si>
  <si>
    <t>N/A if currently hayed/grazed, substantial if change from non-crop landuse</t>
  </si>
  <si>
    <t>Minor amount of land taken out of production</t>
  </si>
  <si>
    <t>Slight, land converted to structure footprint</t>
  </si>
  <si>
    <t>Minimal agricultural land converted to non-use</t>
  </si>
  <si>
    <t>Crop land converted to grass/forb production</t>
  </si>
  <si>
    <t>Slight if no change in crops irrigated, substantial if water changes landuse</t>
  </si>
  <si>
    <t>No change if crops irrigated, substantial if water changes landuse</t>
  </si>
  <si>
    <t>Possible change in land use</t>
  </si>
  <si>
    <t>No change if currently farmed, substantial if change from non-use to agricultural production</t>
  </si>
  <si>
    <t>Facilitating practice, substantial if land changes from dryland to irrigated</t>
  </si>
  <si>
    <t>No change if currently grazed, substantial if change from other land use</t>
  </si>
  <si>
    <t>No change if currently recreation use, substantial if converted from other land use</t>
  </si>
  <si>
    <t>Agricultural land converted to wildlife use</t>
  </si>
  <si>
    <t>Substantial  if land is converted to timber production</t>
  </si>
  <si>
    <t>Substantial if converting to woodland</t>
  </si>
  <si>
    <t>Facilitating practice may convert from irrigated land or intensive grazed land to less intensive landuse</t>
  </si>
  <si>
    <t>Facilitating practice may convert to irrigated land or more intensive grazed land</t>
  </si>
  <si>
    <t>May convert to more intensive grazed land</t>
  </si>
  <si>
    <t>Convert agricultural land to wetland</t>
  </si>
  <si>
    <t>Convert to more intensive wetland</t>
  </si>
  <si>
    <t>Minor amount of land taken out of agricultural production</t>
  </si>
  <si>
    <t>Change to less intense land use, some land taken out of agricultural production</t>
  </si>
  <si>
    <t>Change to less intense land use, some land converted from crop to tree production</t>
  </si>
  <si>
    <t>Minor amount of land taken out of agricultural production, channel banks taken out of production</t>
  </si>
  <si>
    <t>Cropland converted to permanent cover</t>
  </si>
  <si>
    <t>Significant amount of land taken out of agricultural production</t>
  </si>
  <si>
    <t>Some land taken out of agricultural production</t>
  </si>
  <si>
    <t>Possible corners and end pieces taken out of production</t>
  </si>
  <si>
    <t>More intense crop production</t>
  </si>
  <si>
    <t>Moderate amount of land taken out of agricultural production</t>
  </si>
  <si>
    <t>Change to more intensive production with drained soils</t>
  </si>
  <si>
    <t>Change to less intensive agriculture</t>
  </si>
  <si>
    <t>Change to more intensive timber production</t>
  </si>
  <si>
    <t>Minor amount of land taken out of timber production</t>
  </si>
  <si>
    <t>Minor amount of land brought into agricultural production</t>
  </si>
  <si>
    <t>Increase in land use intensity</t>
  </si>
  <si>
    <t>Moderate Increase, land brought into production</t>
  </si>
  <si>
    <t>Slight increase in crop production</t>
  </si>
  <si>
    <t>Convert to more intensive agriculture</t>
  </si>
  <si>
    <t>Slight increase, channel banks brought into production</t>
  </si>
  <si>
    <t>Slight increase, rough areas brought into production</t>
  </si>
  <si>
    <t>Increase in land use, brush/tree areas brought into production</t>
  </si>
  <si>
    <t>Slight increase with better livestock distribution</t>
  </si>
  <si>
    <t>Decrease if land taken out of production</t>
  </si>
  <si>
    <t>More intensive land use</t>
  </si>
  <si>
    <t>Reduced access may reduce land in production</t>
  </si>
  <si>
    <t>Substantial if land use changes from agricultural to wildlife land use</t>
  </si>
  <si>
    <t>Substantial if land use changes from cropland to partial timber production</t>
  </si>
  <si>
    <t>Minor amount of land taken out of agricultural production, substantial increase if land is brought into production</t>
  </si>
  <si>
    <t>Slight decrease, channel banks taken out of crop production</t>
  </si>
  <si>
    <t>Change to less intensive crop production</t>
  </si>
  <si>
    <t>Minor amount of land taken out of agricultural production, some land brought into crop production if no longer flooded</t>
  </si>
  <si>
    <t>Minimal amount of land taken out of agricultural production</t>
  </si>
  <si>
    <t>Minimal amount of land brought into agricultural production</t>
  </si>
  <si>
    <t>Significant increase in production with irrigation</t>
  </si>
  <si>
    <t>Substantial decrease if land taken out of production</t>
  </si>
  <si>
    <t>Moderate increase in land use intensity if livestock can access additional land</t>
  </si>
  <si>
    <t>Moderate increase in land use intensity if land is irrigated</t>
  </si>
  <si>
    <t>Substantial decrease if agricultural land is convert to wetland</t>
  </si>
  <si>
    <t>Annual On-Farm Equipment Cost Percent of Annual Net Income</t>
  </si>
  <si>
    <t>Annual on-farm equipment costs 75% or greater of enterprise annual net income</t>
  </si>
  <si>
    <t>Annual on-farm equipment costs 75 to 50% of enterprise annual net income</t>
  </si>
  <si>
    <t>Annual on-farm equipment costs 50 to 25% of enterprise annual net income</t>
  </si>
  <si>
    <t>Annual on-farm equipment costs 25 to 5% of enterprise annual net income</t>
  </si>
  <si>
    <t>Annual on-farm equipment costs 5% or less of enterprise annual net income</t>
  </si>
  <si>
    <t>No change in on-farm equipment</t>
  </si>
  <si>
    <t>No additional field equipment required, installation equipment required</t>
  </si>
  <si>
    <t>No additional field equipment required, some installation equipment needed</t>
  </si>
  <si>
    <t>Some application and monitoring equipment required</t>
  </si>
  <si>
    <t>Sediment removal and distribution equipment required</t>
  </si>
  <si>
    <t>Some sediment removal and installation equipment required</t>
  </si>
  <si>
    <t>Some mixing and field application equipment required</t>
  </si>
  <si>
    <t>Some earth-moving field equipment required</t>
  </si>
  <si>
    <t>Some pond management equipment required</t>
  </si>
  <si>
    <t>Equipment required to implement the practice</t>
  </si>
  <si>
    <t>Some application equipment required</t>
  </si>
  <si>
    <t>Some earth moving equipment required, some installation equipment required</t>
  </si>
  <si>
    <t>Some water management equipment required, some installation equipment needed</t>
  </si>
  <si>
    <t>Some water management equipment required, some installation equipment required</t>
  </si>
  <si>
    <t>New field implement required</t>
  </si>
  <si>
    <t>No additional field equipment required, some water management and installation equipment required</t>
  </si>
  <si>
    <t>Additional equipment may be required</t>
  </si>
  <si>
    <t>Water management and distribution equipment required, acquire facility equipment</t>
  </si>
  <si>
    <t>Maintenance equipment required</t>
  </si>
  <si>
    <t>Some fence maintenance equipment may be required, installation equipment needed</t>
  </si>
  <si>
    <t>Some wood cutting/hauling equipment required during implementation</t>
  </si>
  <si>
    <t>Some brush management equipment may be required, some installation equipment needed</t>
  </si>
  <si>
    <t>More efficient movement around farm</t>
  </si>
  <si>
    <t>Decrease in labor with land taken out of production.</t>
  </si>
  <si>
    <t>Additional time to clean equipment and store materials</t>
  </si>
  <si>
    <t>Additional time to clean equipment</t>
  </si>
  <si>
    <t>Reduced labor with less intensive agriculture</t>
  </si>
  <si>
    <t>Additional time to treat waste material</t>
  </si>
  <si>
    <t>Additional time to operate and maintain equipment and compost</t>
  </si>
  <si>
    <t>Reduced time herding livestock</t>
  </si>
  <si>
    <t>Less time managing sediment in waterways</t>
  </si>
  <si>
    <t>Increase in labor with new enterprise</t>
  </si>
  <si>
    <t>Increase in time to clean equipment</t>
  </si>
  <si>
    <t>Less time managing livestock, reduced travel time</t>
  </si>
  <si>
    <t>Less time managing debris in waterways</t>
  </si>
  <si>
    <t>Reduced time cultivating crop</t>
  </si>
  <si>
    <t>Additional time cultivating crops</t>
  </si>
  <si>
    <t>Reduced labor with land taken out of production</t>
  </si>
  <si>
    <t>Increase in labor to annually maintain strips</t>
  </si>
  <si>
    <t>Increase in labor to annually maintain contour</t>
  </si>
  <si>
    <t>Increase in labor to plant crop</t>
  </si>
  <si>
    <t>Reduce labor repairing critical erosion areas and removing sediment</t>
  </si>
  <si>
    <t>Increase in tillage operations</t>
  </si>
  <si>
    <t>Reduced time required for water management and growing crops</t>
  </si>
  <si>
    <t>Increase in labor with additional tillage operations</t>
  </si>
  <si>
    <t>Additional labor required to operate and maintain water control structures</t>
  </si>
  <si>
    <t>Additional labor required to operate dust control equipment</t>
  </si>
  <si>
    <t>Additional labor depending if habitat is naturally or artificially maintained</t>
  </si>
  <si>
    <t>Increased labor on livestock feed preparation</t>
  </si>
  <si>
    <t>Reduced labor herding livestock</t>
  </si>
  <si>
    <t>Slight increase with weed control, slight decrease turning equipment at ends of fields</t>
  </si>
  <si>
    <t>Slight increase with weed control and sediment removal</t>
  </si>
  <si>
    <t>Decrease in labor from annual cropping</t>
  </si>
  <si>
    <t>Increase in labor to move livestock or operate haying equipment</t>
  </si>
  <si>
    <t>Increase in labor to thin and prune trees</t>
  </si>
  <si>
    <t>Slight increase to maintain bare ground and vegetation</t>
  </si>
  <si>
    <t>Reduced time removing sediment</t>
  </si>
  <si>
    <t>Reduced time removing sediment and less intensive cropping system</t>
  </si>
  <si>
    <t>Reduced time removing debris and managing livestock</t>
  </si>
  <si>
    <t>Additional labor maintaining hedgerow, reduced time with some land out of crop production</t>
  </si>
  <si>
    <t>Additional time controlling weeds</t>
  </si>
  <si>
    <t>Additional labor maintaining wind barriers</t>
  </si>
  <si>
    <t>Additional labor to maintain ditch, less irrigation labor required</t>
  </si>
  <si>
    <t>Increase in labor to scout crops and control pests</t>
  </si>
  <si>
    <t>Additional labor to maintain canal, less irrigation labor required</t>
  </si>
  <si>
    <t>Less labor to maintain canal, less irrigation labor required</t>
  </si>
  <si>
    <t>Less labor irrigating</t>
  </si>
  <si>
    <t>Less labor irrigating or maintaining waterways</t>
  </si>
  <si>
    <t>Less time irrigating</t>
  </si>
  <si>
    <t>Additional labor to maintain pit and sediment removal, less irrigation labor required</t>
  </si>
  <si>
    <t>Additional labor monitor soil moisture, crop condition and monitor water</t>
  </si>
  <si>
    <t>Additional labor to implement the practice</t>
  </si>
  <si>
    <t>Less labor working around unwanted trees and other obstructions</t>
  </si>
  <si>
    <t>B/C Ratio .05 to .10</t>
  </si>
  <si>
    <t>B/C Ratio less than .02</t>
  </si>
  <si>
    <t>B/C Ratio 2.00 to 2.25</t>
  </si>
  <si>
    <t>B/C Ratio greater than 2.25</t>
  </si>
  <si>
    <t>Properly control spoil material</t>
  </si>
  <si>
    <t>Properly control toxic discharge</t>
  </si>
  <si>
    <t>Labor saving not controlling erosion and sediment</t>
  </si>
  <si>
    <t>Labor saving not controlling mined site</t>
  </si>
  <si>
    <t>Additional field operation</t>
  </si>
  <si>
    <t>Additional field operations</t>
  </si>
  <si>
    <t>Labor saving not working around debris</t>
  </si>
  <si>
    <t>Labor saving not working on inadequate waterway</t>
  </si>
  <si>
    <t>Labor saving distributing water and livestock</t>
  </si>
  <si>
    <t>Additional labor maintaining pond</t>
  </si>
  <si>
    <t>Labor saving maintaining pond and distributing water</t>
  </si>
  <si>
    <t>Labor savings managing brush and improved livestock herding</t>
  </si>
  <si>
    <t>Additional labor herding livestock between pastures</t>
  </si>
  <si>
    <t>Reduced irrigation labor</t>
  </si>
  <si>
    <t>Fewer passes over the field</t>
  </si>
  <si>
    <t>Decrease with land taken out of production.</t>
  </si>
  <si>
    <t>Increase depending if habitat is natural or artificial maintained</t>
  </si>
  <si>
    <t>Reduced labor managing sediment</t>
  </si>
  <si>
    <t>Additional labor to maintain roof</t>
  </si>
  <si>
    <t>Increase in labor maintaining rows</t>
  </si>
  <si>
    <t>Increase in labor managing irrigation and crop production</t>
  </si>
  <si>
    <t>Increase in labor managing intensive crop production</t>
  </si>
  <si>
    <t>Increase in labor to remove accumulated sediment</t>
  </si>
  <si>
    <t>Increase depending if water level is natural or artificial maintained</t>
  </si>
  <si>
    <t>Increase in labor managing timber and crop production</t>
  </si>
  <si>
    <t>Increase depending on type of separation facility</t>
  </si>
  <si>
    <t>Increase in labor managing spoil</t>
  </si>
  <si>
    <t>Reduced labor managing livestock and reduced travel time</t>
  </si>
  <si>
    <t>Reduced labor managing sediment and sloughing shoreline</t>
  </si>
  <si>
    <t>Increase in labor operating and maintaining improvements</t>
  </si>
  <si>
    <t>Increase where short rows exist, and time to move between strips</t>
  </si>
  <si>
    <t>Reduced labor managing water and sediment</t>
  </si>
  <si>
    <t>Decrease in tillage operations from reduced soil wetness, better traction and reduced drag</t>
  </si>
  <si>
    <t>Increase to perform tillage/roughening operations</t>
  </si>
  <si>
    <t>Reduced livestock management and travel time</t>
  </si>
  <si>
    <t>Increase during planting, otherwise negligible</t>
  </si>
  <si>
    <t>Increase during pruning, otherwise negligible</t>
  </si>
  <si>
    <t>Increase to maintain risers and remove sediment</t>
  </si>
  <si>
    <t>Increase depending on managed area, species and intensity of wildlife</t>
  </si>
  <si>
    <t>Increase to remove sediment and waste and pest management</t>
  </si>
  <si>
    <t>Increase to remove sediment and maintain vegetation</t>
  </si>
  <si>
    <t>Increase to maintain drain and remove sediment</t>
  </si>
  <si>
    <t>Increase during closure, otherwise negligible</t>
  </si>
  <si>
    <t>Increase depending on type of waste and method of distribution</t>
  </si>
  <si>
    <t>Increase depending on type of storage structure</t>
  </si>
  <si>
    <t>Increase treating manure</t>
  </si>
  <si>
    <t>Increase depending on size of storage structure and managing by products</t>
  </si>
  <si>
    <t>Increase to maintain structure and remove sediment</t>
  </si>
  <si>
    <t>Increase to maintain structure</t>
  </si>
  <si>
    <t>Increase to maintain structures</t>
  </si>
  <si>
    <t>Increase to test well and keep records</t>
  </si>
  <si>
    <t>Decrease with land taken out of production</t>
  </si>
  <si>
    <t>Increase in labor to remove accumulated sediment and debris</t>
  </si>
  <si>
    <t>Increase labor to manipulate debris, otherwise negligible</t>
  </si>
  <si>
    <t>Increase in record keeping and planning</t>
  </si>
  <si>
    <t>Reduced time developing livestock management plans</t>
  </si>
  <si>
    <t>Increase in record keeping</t>
  </si>
  <si>
    <t>Reduced time managing livestock, people or other farm enterprises</t>
  </si>
  <si>
    <t>Increase to manage new mix of farm enterprises</t>
  </si>
  <si>
    <t>Increase in record keeping and developing management plans</t>
  </si>
  <si>
    <t>Increase in record keeping and developing waste management plans</t>
  </si>
  <si>
    <t>Increase in record keeping and developing irrigation schedules</t>
  </si>
  <si>
    <t>Increase in management for a new farm enterprise</t>
  </si>
  <si>
    <t>Reduced time managing unwanted aquatic organisms</t>
  </si>
  <si>
    <t>Up to 10 hours management no longer required for enterprise</t>
  </si>
  <si>
    <t>10 to 25 hours management no longer required for enterprise</t>
  </si>
  <si>
    <t>More than 100 hours management no longer required for enterprise</t>
  </si>
  <si>
    <t>Up to 10 hours additional management required for enterprise</t>
  </si>
  <si>
    <t>10 to 25 additional hours management required for enterprise</t>
  </si>
  <si>
    <t>More than 100 additional hours management required for enterprise</t>
  </si>
  <si>
    <t>Increase in record keeping and developing disposal management plans</t>
  </si>
  <si>
    <t>Reduced time managing unwanted brush and livestock</t>
  </si>
  <si>
    <t>Reduced time managing waterways</t>
  </si>
  <si>
    <t>Reduced time managing crop production</t>
  </si>
  <si>
    <t>Increase time managing crop production</t>
  </si>
  <si>
    <t>Reduced crop management, increased management of water levels and pests</t>
  </si>
  <si>
    <t>Reduced time managing crop production and sediment</t>
  </si>
  <si>
    <t>Increased time managing crop production, reduced time managing sediment</t>
  </si>
  <si>
    <t>Increased management of water, sediment and safety</t>
  </si>
  <si>
    <t>Increased management of water control structures</t>
  </si>
  <si>
    <t>Increased management of equipment and record keeping</t>
  </si>
  <si>
    <t>Increased management of plant community</t>
  </si>
  <si>
    <t>Increased record keeping and obtaining feed supplements</t>
  </si>
  <si>
    <t>Increase in grazing plan development and record keeping</t>
  </si>
  <si>
    <t>Increased management of crop production</t>
  </si>
  <si>
    <t>Increased planning and management of firebreak</t>
  </si>
  <si>
    <t>Increased management of crop production, field scouting</t>
  </si>
  <si>
    <t>Increased management of timber production</t>
  </si>
  <si>
    <t>Increased management of crop production, field scouting, planning</t>
  </si>
  <si>
    <t>Increased management of site</t>
  </si>
  <si>
    <t>Increase in crop production planning and scouting</t>
  </si>
  <si>
    <t>Increase in crop production planning and field scouting</t>
  </si>
  <si>
    <t>Increase in water planning costs</t>
  </si>
  <si>
    <t>Reduced management if converting from flood/surface irrigation</t>
  </si>
  <si>
    <t>increased management developing irrigation schedule, record keeping and field scouting</t>
  </si>
  <si>
    <t>Increase in plan development and record keeping</t>
  </si>
  <si>
    <t>Increase in record keeping and field scouting</t>
  </si>
  <si>
    <t>Increase to take soil test, calibrate equipment, keep records</t>
  </si>
  <si>
    <t>Increased livestock management with additional water sources</t>
  </si>
  <si>
    <t>Increase in developing fire management plan</t>
  </si>
  <si>
    <t>Increase in field scouting and to determine when to move livestock and manage forage, minerals and water</t>
  </si>
  <si>
    <t>Increase in developing irrigation management plan and record keeping</t>
  </si>
  <si>
    <t>Increase in developing recreation area management plan</t>
  </si>
  <si>
    <t>Increase in developing crop management plan and record keeping</t>
  </si>
  <si>
    <t>Increase in developing habitat management plan, field scouting and record keeping</t>
  </si>
  <si>
    <t>Management required to operate and maintain roof structures</t>
  </si>
  <si>
    <t>Increase in developing sediment management plan</t>
  </si>
  <si>
    <t>Increase in developing water management plan and record keeping</t>
  </si>
  <si>
    <t>Monitoring stormwater runoff</t>
  </si>
  <si>
    <t>Increase in developing water and grazing management plan, field scouting, record keeping</t>
  </si>
  <si>
    <t>Increase in developing water management plan, field scouting, record keeping</t>
  </si>
  <si>
    <t>Increase in developing crop and sediment management plan</t>
  </si>
  <si>
    <t>Increase in developing waste management plan</t>
  </si>
  <si>
    <t>Increase in developing water management plan</t>
  </si>
  <si>
    <t>Develop waste management plan</t>
  </si>
  <si>
    <t>Increase in record keeping and developing waste disposal management plans</t>
  </si>
  <si>
    <t>Develop water and sediment management plan</t>
  </si>
  <si>
    <t>Develop water management plan</t>
  </si>
  <si>
    <t>Keep records</t>
  </si>
  <si>
    <t>Develop water, pest and wildlife management plan</t>
  </si>
  <si>
    <t>Develop treatment plan</t>
  </si>
  <si>
    <t>Increase due to improved access to forage, water and shelter</t>
  </si>
  <si>
    <t>Decrease due to required crops in rotation.</t>
  </si>
  <si>
    <t>Increase in management options with facility</t>
  </si>
  <si>
    <t>Decrease due to following designed cropping pattern and perennial plantings</t>
  </si>
  <si>
    <t>Increase due to more manure application options</t>
  </si>
  <si>
    <t>Increase due to energy and compost by-product opportunities</t>
  </si>
  <si>
    <t>Increase due to waste disposal and compost by-product opportunities</t>
  </si>
  <si>
    <t>Increase furrow irrigation management options</t>
  </si>
  <si>
    <t>Increased aquaculture opportunities</t>
  </si>
  <si>
    <t>Increase with the restoration of more productive plant community</t>
  </si>
  <si>
    <t>Increased water management opportunities</t>
  </si>
  <si>
    <t>Increased water access and management opportunities</t>
  </si>
  <si>
    <t>Decrease due to taking land out of agricultural production</t>
  </si>
  <si>
    <t>Decrease due to following designed row pattern</t>
  </si>
  <si>
    <t>Decreased by incorporating additional crop in the rotation</t>
  </si>
  <si>
    <t>Decrease by taking land out of agricultural production</t>
  </si>
  <si>
    <t>Increase with flood control and extending water supply</t>
  </si>
  <si>
    <t>Increase with improved water control</t>
  </si>
  <si>
    <t>Increase due to more conductive growing conditions</t>
  </si>
  <si>
    <t>Improved working conditions and animal health</t>
  </si>
  <si>
    <t>Increase in wildlife habitat diversity</t>
  </si>
  <si>
    <t>Required to adhere to limited feed rations</t>
  </si>
  <si>
    <t>Increase based on livestock management objectives</t>
  </si>
  <si>
    <t>Reduced with land taken out of production</t>
  </si>
  <si>
    <t>Increase by protecting land and improvements</t>
  </si>
  <si>
    <t>Additional income opportunity</t>
  </si>
  <si>
    <t>Reduction by adhering to strict forage management plan</t>
  </si>
  <si>
    <t>Increase due to reduction of competitive vegetation</t>
  </si>
  <si>
    <t>Increase in timber access and management opportunities</t>
  </si>
  <si>
    <t>Increase by protecting agricultural land and improvements</t>
  </si>
  <si>
    <t>Increase by protecting agricultural land, decrease by taking land out of production</t>
  </si>
  <si>
    <t>Increase in forage productivity and grazing opportunities</t>
  </si>
  <si>
    <t>Increase in livestock health and management</t>
  </si>
  <si>
    <t>Increase in crop productivity and diversity</t>
  </si>
  <si>
    <t>Increased water management and crop production opportunities</t>
  </si>
  <si>
    <t>Increased water use opportunities</t>
  </si>
  <si>
    <t>Increased agricultural production opportunities</t>
  </si>
  <si>
    <t>Improved crop production opportunities</t>
  </si>
  <si>
    <t>Increase in public safety and the environment</t>
  </si>
  <si>
    <t>Increase in public safety, water management and the environment</t>
  </si>
  <si>
    <t>Reduced with annual crop land put into perennial vegetation</t>
  </si>
  <si>
    <t>Improved opportunities for other agricultural enterprises</t>
  </si>
  <si>
    <t>Improved with enhanced opportunities for land use and water management</t>
  </si>
  <si>
    <t>Improved livestock distribution, increased forage availability and management options</t>
  </si>
  <si>
    <t>Improved livestock/wildlife distribution, increased forage availability and management options</t>
  </si>
  <si>
    <t>Improvement with reduced seepage losses</t>
  </si>
  <si>
    <t>Improved opportunities for additional land use opportunities</t>
  </si>
  <si>
    <t>Improvement with water savings and additional irrigation opportunities</t>
  </si>
  <si>
    <t>Increase in wildlife habitat opportunities</t>
  </si>
  <si>
    <t>Improvement by stabilizing steep land and bringing land into production</t>
  </si>
  <si>
    <t>Increased farm efficiency by eliminating wet areas near headquarters</t>
  </si>
  <si>
    <t>Increased opportunities for a wider variety of crops</t>
  </si>
  <si>
    <t>Increased capacity of waterways and additional opportunities for wildlife and water use</t>
  </si>
  <si>
    <t>Improvement with diversification of land uses</t>
  </si>
  <si>
    <t>Increase due to more manure management options</t>
  </si>
  <si>
    <t>Reduced by taking land out of production</t>
  </si>
  <si>
    <t>Improvement with more dependable water supply</t>
  </si>
  <si>
    <t>Increased livestock management options</t>
  </si>
  <si>
    <t>Improved water management options and irrigation water use</t>
  </si>
  <si>
    <t>Improved cropping opportunities and more conductive growing conditions</t>
  </si>
  <si>
    <t>Increase due to improved accessibility</t>
  </si>
  <si>
    <t>Increase in agricultural waste management options</t>
  </si>
  <si>
    <t>Time allocated to recycle not available for other enterprises</t>
  </si>
  <si>
    <t>Time and resources allocated to manure management not available for other enterprises</t>
  </si>
  <si>
    <t>Improved opportunities to distribute waste</t>
  </si>
  <si>
    <t>Improved opportunities to utilize waste</t>
  </si>
  <si>
    <t>Increased capacity of waterways, improved water control and distribution and additional opportunities for wildlife and water use</t>
  </si>
  <si>
    <t>Increased opportunities for water use</t>
  </si>
  <si>
    <t>Improved options for agricultural production</t>
  </si>
  <si>
    <t>Reduced options for agricultural production</t>
  </si>
  <si>
    <t>Reduced land in production</t>
  </si>
  <si>
    <t>Increased options for agricultural production</t>
  </si>
  <si>
    <t>CPPE Effect Numerical Value:</t>
  </si>
  <si>
    <t>Note: Human effects are neither "good" or "bad" but are value judgments based on the land users goals and objectives.  For some concerns, only "positive" or only "negative" effects will be used to imply the magnitude of change from the current typical situation.  The "effects" may be both on-site or off-site of the practice's footprint.</t>
  </si>
  <si>
    <t>Typical</t>
  </si>
  <si>
    <t>Field Size</t>
  </si>
  <si>
    <t>Net Income</t>
  </si>
  <si>
    <t>Logic to calculate "effects" and "rational" statements (changing "blue" wording changes CPPE matrix text):</t>
  </si>
  <si>
    <t>Human Considerations</t>
  </si>
  <si>
    <t xml:space="preserve">  Practice Unit:  </t>
  </si>
  <si>
    <t>Notes to Users:</t>
  </si>
  <si>
    <t>Human Considerations Tabs:</t>
  </si>
  <si>
    <t xml:space="preserve">     Row 1, Columns X-BS, Instructions:</t>
  </si>
  <si>
    <t xml:space="preserve">       Drop Down Choice List: Use "drop down" lists (see arrow)</t>
  </si>
  <si>
    <t xml:space="preserve">       Text:  The developed inputs text</t>
  </si>
  <si>
    <t xml:space="preserve">     Cost Information (Columns G-M)</t>
  </si>
  <si>
    <t xml:space="preserve">     Benefit Information (Columns N-S)</t>
  </si>
  <si>
    <t xml:space="preserve">          Cost data is very general information only used to broadly compare practices</t>
  </si>
  <si>
    <t xml:space="preserve">     Side Calculations (Columns T-W)</t>
  </si>
  <si>
    <t xml:space="preserve">          Use the cost and benefit data to estimate economic and financial parameters</t>
  </si>
  <si>
    <t xml:space="preserve">     The numbers are used to distribute the effects rating, the text describes the effects rating</t>
  </si>
  <si>
    <t xml:space="preserve">     The user can adjust the "blue" numbers with caution</t>
  </si>
  <si>
    <t>ONLY edit "blue" text and numbers in the entire spreadsheet</t>
  </si>
  <si>
    <t xml:space="preserve">       LookUp: Worksheet automatically imports the text/number from within the spreadsheet</t>
  </si>
  <si>
    <t xml:space="preserve">          Enter the most common/typical practice scenario cost data</t>
  </si>
  <si>
    <t xml:space="preserve">          Select the most typical landuse from drop-down menu, income/acres are imported from the Lookup tab</t>
  </si>
  <si>
    <t xml:space="preserve">     Human effects are calculated using the "blue text/numbers in the Lookup tab, and correspond with the +5/-5 rating</t>
  </si>
  <si>
    <t>Decrease due to deferred land use, reduced grazing or agricultural production options</t>
  </si>
  <si>
    <t>Installation, operation and maintenance equipment required</t>
  </si>
  <si>
    <t>Implementation, site preparation and management costs</t>
  </si>
  <si>
    <t>Crops sheltered from airborne sediment and chemical drift, some land with change in crop production</t>
  </si>
  <si>
    <t>Slight increase in field operations</t>
  </si>
  <si>
    <t>Increase developing crop management plans</t>
  </si>
  <si>
    <t>Increase by creating more productive growing conditions for a wider variety of crops</t>
  </si>
  <si>
    <t>Increase due to reduced competition and meter management</t>
  </si>
  <si>
    <t>Decrease due to taking land out of crop production with perennial vegetation</t>
  </si>
  <si>
    <t>Crop yield/quality increase resulting from reduced crop damage</t>
  </si>
  <si>
    <t>Land taken out of production, but may reduce flood damages and increase water quantity</t>
  </si>
  <si>
    <t>No change if currently irrigated, slight if creating an irrigation system</t>
  </si>
  <si>
    <t>Improved water access and potential fire protection</t>
  </si>
  <si>
    <t>Convert to less intensive agriculture</t>
  </si>
  <si>
    <t>Opportunity to utilize conserved energy in other agricultural operations</t>
  </si>
  <si>
    <t>Increase with higher quality planting, decrease if converting from annual to perennial crop</t>
  </si>
  <si>
    <t>Increase in timber yield and quality</t>
  </si>
  <si>
    <t>Clean-out debris, repair/replace materials, maintain vegetation, control pests</t>
  </si>
  <si>
    <t xml:space="preserve">Vegetative covers may protect near surface or subsurface historic properties but certain management practices such as prescribed burying may affect sites and historic structures </t>
  </si>
  <si>
    <t>Increase crop yield and quality</t>
  </si>
  <si>
    <t>Increase for field scouting, selecting control system, timing, calibration &amp; record keeping</t>
  </si>
  <si>
    <t>Increase in crop production costs</t>
  </si>
  <si>
    <t>No Change if land is currently irrigated</t>
  </si>
  <si>
    <t>increased management developing irrigation schedule and sediment management plan</t>
  </si>
  <si>
    <t>Increase in passes over the field</t>
  </si>
  <si>
    <t>Increase in land use intensity if used to better distribute livestock</t>
  </si>
  <si>
    <t>Some land taken out of production, increase in land use intensity if used to better distribute livestock</t>
  </si>
  <si>
    <t>Some land may be taken out of agricultural production</t>
  </si>
  <si>
    <t>Historic properties may be affected by burning and mechanical treatment if employed</t>
  </si>
  <si>
    <t>Increase in livestock carrying capacity</t>
  </si>
  <si>
    <t>Possible increase in livestock carrying capacity</t>
  </si>
  <si>
    <t>Reduced flexibility when tillage is not available as a management option</t>
  </si>
  <si>
    <t>Reduced flexibility when land is taken out of production</t>
  </si>
  <si>
    <t>Decrease due to restricting access, reduced grazing or agricultural production options</t>
  </si>
  <si>
    <t>Reduced flexibility when required to follow designed row pattern</t>
  </si>
  <si>
    <t>Some field and installed monitoring equipment required</t>
  </si>
  <si>
    <t>Allows longer growing season and greater variety of crops</t>
  </si>
  <si>
    <t>Increase in wildlife habitat opportunities, reduced flexibility by taking land out of production</t>
  </si>
  <si>
    <t>Minimal land taken out of agricultural production</t>
  </si>
  <si>
    <t>Clean-out debris, repair/replace materials, Control vegetation and pests</t>
  </si>
  <si>
    <t>Increase in labor operating and maintaining structure, pipe, trough and vegetation.</t>
  </si>
  <si>
    <t>Increase in labor operating and maintaining structure</t>
  </si>
  <si>
    <t>Increase in wildlife habitat opportunities, reduced flexibility if taking land out of production</t>
  </si>
  <si>
    <t>Increase in land protected for agricultural production and improved wildlife habitat opportunities, reduced flexibility if taking land out of production</t>
  </si>
  <si>
    <t>Reduce erosion during critical erosion period</t>
  </si>
  <si>
    <t>Increase to annually maintain terraces and remove sediment</t>
  </si>
  <si>
    <t>Reduced flexibility when required to work around terraces, some land may be taken out of production</t>
  </si>
  <si>
    <t>Reduced flexibility by change to permanent vegetation</t>
  </si>
  <si>
    <t>Increase during site preparation, otherwise negligible</t>
  </si>
  <si>
    <t>Minimal land brought into agricultural production</t>
  </si>
  <si>
    <t>Reduced sediment damages</t>
  </si>
  <si>
    <t>Reduce irrigation or culinary water costs, develop more intensive agriculture</t>
  </si>
  <si>
    <t>Typical Installation Cost ($/Unit) Estimates (2013)</t>
  </si>
  <si>
    <t>Percent Foregone Income per Acre</t>
  </si>
  <si>
    <t>Most typical Land Use</t>
  </si>
  <si>
    <t>Reduced trespass damage</t>
  </si>
  <si>
    <t>Fertilizer value of manure</t>
  </si>
  <si>
    <t>Fertilizer value, compost sales</t>
  </si>
  <si>
    <t>Reduced labor, mgt costs</t>
  </si>
  <si>
    <t>Reduced travel time, improved animal health</t>
  </si>
  <si>
    <t>Reduced ditch clean-out</t>
  </si>
  <si>
    <t>Reduced flooding, debris clean-up</t>
  </si>
  <si>
    <t>Reduced mgt costs, fertilizer value</t>
  </si>
  <si>
    <t>Reduced sediment clean-up</t>
  </si>
  <si>
    <t>Reduced flood damages</t>
  </si>
  <si>
    <t>Reduced flood damages, reduced irrigation costs</t>
  </si>
  <si>
    <t>Reduced crop mgt costs</t>
  </si>
  <si>
    <t>Reduced insurance costs</t>
  </si>
  <si>
    <t>Reduced engine filter costs</t>
  </si>
  <si>
    <t>Reduced energy costs</t>
  </si>
  <si>
    <t>Reduced livestock mgt costs and wildlife damages</t>
  </si>
  <si>
    <t>Reduced sediment clean-up costs</t>
  </si>
  <si>
    <t>Reduced nutrient and pest mgt costs</t>
  </si>
  <si>
    <t>Reduced nutrient mgt costs</t>
  </si>
  <si>
    <t>Reduced vet costs</t>
  </si>
  <si>
    <t>Reduced irrigation costs: labor, energy, water</t>
  </si>
  <si>
    <t>Reduced fuel and labor costs</t>
  </si>
  <si>
    <t>Reduced trespass damages</t>
  </si>
  <si>
    <t>Reduced HQ mgt costs and water damages</t>
  </si>
  <si>
    <t>Energy savings</t>
  </si>
  <si>
    <t>Reduced irrigation mgt costs and water damages</t>
  </si>
  <si>
    <t>Reduced water mgt costs and water damages</t>
  </si>
  <si>
    <t>Reduced sediment deposition and clean-up damages</t>
  </si>
  <si>
    <t>Reduced transportation costs</t>
  </si>
  <si>
    <t>Reduced manure mgt costs</t>
  </si>
  <si>
    <t>Reduced chemical loss, improved life</t>
  </si>
  <si>
    <t>Reduced O&amp;M costs</t>
  </si>
  <si>
    <t>Typical Annual Cost Savings or Additional Income (not previously counted) per unit from the Practice (typically $/Ac/Yr)</t>
  </si>
  <si>
    <t>Reduced erosion and sediment damages</t>
  </si>
  <si>
    <t>Reduced waste treatment costs</t>
  </si>
  <si>
    <t>Forage Income</t>
  </si>
  <si>
    <t>Reduced wind blown sediment damages</t>
  </si>
  <si>
    <t>Reduced ponding water</t>
  </si>
  <si>
    <t>Reduced insurance costs, more accessable water source</t>
  </si>
  <si>
    <t>Wildlife revenue</t>
  </si>
  <si>
    <t>Increase in animal performance</t>
  </si>
  <si>
    <t>Practice Unit Conversion Factor to convert Unit to Acres (i.e. convert from Linerar Feet to Acre equivalent)  Enter 1 if costs &amp; benefits are same units</t>
  </si>
  <si>
    <t>Increse in farm income</t>
  </si>
  <si>
    <t>Weed free new planting</t>
  </si>
  <si>
    <t>Reduced disease and pests</t>
  </si>
  <si>
    <t>Reduced wild damage to crops</t>
  </si>
  <si>
    <t>Crop quality improvement</t>
  </si>
  <si>
    <t>Improved access</t>
  </si>
  <si>
    <t>Improved water management</t>
  </si>
  <si>
    <t>Improved livestock distrubtion</t>
  </si>
  <si>
    <t>Improved water quanity</t>
  </si>
  <si>
    <t>Reduced work around obstructions</t>
  </si>
  <si>
    <t>Improved forage qulaity</t>
  </si>
  <si>
    <t>Improved recreational income opportunities</t>
  </si>
  <si>
    <t>Opportunity for wildlife of other income</t>
  </si>
  <si>
    <t>Improved crop quality</t>
  </si>
  <si>
    <t>Opportunity for wildlife or other income</t>
  </si>
  <si>
    <t>Wood products income</t>
  </si>
  <si>
    <t>Reduced labor/mgt costs, sell by products</t>
  </si>
  <si>
    <t>Facilitating practice, other enterprise may benefit</t>
  </si>
  <si>
    <t>Opportunity for wildlife, grazing, haying or other income</t>
  </si>
  <si>
    <t>Timber products or wildlife income</t>
  </si>
  <si>
    <t>Reduced fire hazard</t>
  </si>
  <si>
    <t>Crop, wildlife and livestock improved distribution and yields</t>
  </si>
  <si>
    <t>Wildlife and livestock improved distribution and yields</t>
  </si>
  <si>
    <t>Reduced risk to groundwater</t>
  </si>
  <si>
    <t>Wildlife income opportunities</t>
  </si>
  <si>
    <t>Ac.</t>
  </si>
  <si>
    <t>No.</t>
  </si>
  <si>
    <t>Mi.</t>
  </si>
  <si>
    <t>No. and Ac.</t>
  </si>
  <si>
    <t>Converson to Acre Rationale (based on Land Use)</t>
  </si>
  <si>
    <t>Assume 3 AUY/Acre</t>
  </si>
  <si>
    <t>Reduced irrigation costs and increased crop yields</t>
  </si>
  <si>
    <t>One-time practice implementation cost 5% or less of enterprise annual net income</t>
  </si>
  <si>
    <t>One-time practice implementation cost 5 to 100% of enterprise annual net income</t>
  </si>
  <si>
    <t>One-time practice implementation cost 1 to 2 times enterprise annual net income</t>
  </si>
  <si>
    <t>One-time practice implementation cost 2 to 5 times enterprise annual net income</t>
  </si>
  <si>
    <t>One-time practice implementation cost 5 times or greater enterprise annual net income</t>
  </si>
  <si>
    <t>Does not work yet…</t>
  </si>
  <si>
    <t>Cross Wind  Ridges</t>
  </si>
  <si>
    <t>Site Specific</t>
  </si>
  <si>
    <t>Energy Savings</t>
  </si>
  <si>
    <t>Most comfortable working environment</t>
  </si>
  <si>
    <t>CED</t>
  </si>
  <si>
    <t>Maintain materials</t>
  </si>
  <si>
    <t>Purchase new fixtures and materials</t>
  </si>
  <si>
    <t>Other farm enterprises may be possible</t>
  </si>
  <si>
    <t xml:space="preserve">Complete replacement or retrofitting of one or more components of an existing agricultural lighting system. </t>
  </si>
  <si>
    <t>Modification or retrofit of the building envelope of an existing agricultural structure.</t>
  </si>
  <si>
    <t>Negative Effects (only)</t>
  </si>
  <si>
    <t>HUMAN EFFECTS TERMINOLOGY</t>
  </si>
  <si>
    <t>B/C Ratio .75 to 1.25</t>
  </si>
  <si>
    <t>A surfaced access road will be less erosive.</t>
  </si>
  <si>
    <t xml:space="preserve">Road will intercept runoff and break up gullies. </t>
  </si>
  <si>
    <t>In the west, roads may create landscape breaks increasing snow trapping and drifting.  In some cases, this would assist with groundwater recharge.</t>
  </si>
  <si>
    <t xml:space="preserve">The standard has a surfacing criterion to address particulate emissions.  </t>
  </si>
  <si>
    <t>Roads reduce and fragment space for small species.</t>
  </si>
  <si>
    <t>Lower fuel usage with properly placed roads and a stable surface.</t>
  </si>
  <si>
    <t>The HUAP area will be used preferentially and the area adjacent to the site will have less compaction.</t>
  </si>
  <si>
    <t>HUAs will allow collection of manure that would otherwise runoff to contaminate surface water</t>
  </si>
  <si>
    <t xml:space="preserve">By providing a protected area for use, there will be less traffic on adjacent areas, resulting in improved plant health. </t>
  </si>
  <si>
    <t>CED-AE, ESD-Graz Land Sp, &amp; CED-LA</t>
  </si>
  <si>
    <t>575</t>
  </si>
  <si>
    <t>Traffic is diverted away from problem area and can facilitate healing of gully.</t>
  </si>
  <si>
    <t>Trails and Walkways can move traffic away from sensitive areas</t>
  </si>
  <si>
    <t>By confining animals to a trail, animals will stay out of the stream and away from wildlife food sources.</t>
  </si>
  <si>
    <t>By confining animals to a trail, animals will stay out of the stream and away from wildlife cover sources.</t>
  </si>
  <si>
    <t>Minimize destruction of habitat.</t>
  </si>
  <si>
    <t>Provides access to previously inaccessible feeding areas.</t>
  </si>
  <si>
    <t>Provides access to previously inaccessible water areas.</t>
  </si>
  <si>
    <t>When used in place of a in-stream water source, this action decreases manure deposition in stream.</t>
  </si>
  <si>
    <t>Improved vegetation due to better distribution of animals will filter and reduce water borne contaminants.  In addition, better distribution of animals results in less concentration of contaminants.</t>
  </si>
  <si>
    <t>The action tends to concentrate animals, however, getting animals out of the stream will keep them cleaner and reduce contact with manure-borne pathogens.</t>
  </si>
  <si>
    <t>May create cover/shelter where outlet is adjacent to watercourse.</t>
  </si>
  <si>
    <t>Treatment of open lots to reduce dust emissions from animal activity can also lessen the potential for entrainment of particles by wind.</t>
  </si>
  <si>
    <t>Surface drain lowers the water table and minimizes surface runoff</t>
  </si>
  <si>
    <t>Properly installed ditch has no impact on classic gullies.</t>
  </si>
  <si>
    <t>On-Farm Secondary Containment Facility</t>
  </si>
  <si>
    <t>319</t>
  </si>
  <si>
    <t>Provides for spill containment of petroleum products</t>
  </si>
  <si>
    <t>Short Term Storage of Animal Waste and Byproducts</t>
  </si>
  <si>
    <t>318</t>
  </si>
  <si>
    <t>cy</t>
  </si>
  <si>
    <t>Temporary storage will allow better management of waste as to rate and timing of application, which allows application when compaction is least likely.</t>
  </si>
  <si>
    <t>Short term storage provides flexibility in rate, timing, and location of waste application, with the potential for reductions of contaminants available for transport.</t>
  </si>
  <si>
    <t>Stackable animal waste and byproduct material is generated from animal production in the headquarters area.</t>
  </si>
  <si>
    <t>The action collects and disposes of runoff which could dissolve and convey nutrients to groundwater.</t>
  </si>
  <si>
    <t>Soil disturbing land application processes by equipment or vehicles is not covered by this practice.</t>
  </si>
  <si>
    <t>649</t>
  </si>
  <si>
    <t>Groundwater Testing</t>
  </si>
  <si>
    <t>576</t>
  </si>
  <si>
    <t>Residue and Tillage Management, No Till</t>
  </si>
  <si>
    <t>Residue and Tillage Management, Reduced Till</t>
  </si>
  <si>
    <t>Excluding animals, people and vehicles reduces disturbance of soil and vegetation.</t>
  </si>
  <si>
    <t>Excluding animals, people and vehicles help maintain conditions of soil and vegetation.</t>
  </si>
  <si>
    <t>Excluding animals, people and vehicles lessens compactive forces on soil.</t>
  </si>
  <si>
    <t>Excluding animals, people and vehicles influences vigor and health of vegetation which in turn can influence water uptake and infiltration.</t>
  </si>
  <si>
    <t>Excluding animals, people and vehicles can improve vigor and health of vegetation and improve soil structure which can increase retardance of water flows. Also, exclusion structures can trap debris further retarding flows.</t>
  </si>
  <si>
    <t>Excluding animals, people and vehicles influences vigor and health of vegetation which in turn can influence water uptake.</t>
  </si>
  <si>
    <t>Excluding animals, people and vehicles influences vegetation vigor and soil structure which can help optimize water use.</t>
  </si>
  <si>
    <t>Excluding animals, people and vehicles influences vigor and health of vegetation and soil conditions which retain pesticides when applied with other management practices.</t>
  </si>
  <si>
    <t>Excluding animals, people and vehicles influences vigor and health of vegetation and soil condition reducing runoff when applied with other management practices.</t>
  </si>
  <si>
    <t>Excluding animals, people, and vehicles influences vegetation vigor and soil structure which can accelerate use and breakdown of nutrients/organics.</t>
  </si>
  <si>
    <t>Excluding animals, people and vehicles influences vigor and health of vegetation and soil condition which in turn can influence water uptake and infiltration to reduce runoff and increase mortality of pathogens.</t>
  </si>
  <si>
    <t>Excluding animals and people lessens pathogen production in sensitive areas.</t>
  </si>
  <si>
    <t>Excluding animals, people and vehicles influences vigor and health of vegetation and soil condition reducing sediment supply to surface waters when applied with other management practices.</t>
  </si>
  <si>
    <t>Excluding animals, people and vehicles influences vigor, health, and availability of riparian vegetation which can shade associated surface waters.</t>
  </si>
  <si>
    <t>Excluding animals, people and vehicles improves vigor and health of vegetation and soil condition, which influences water uptake and infiltration to reduce runoff. Reducing vehicles eliminates heavy metals from brakes and fuel.</t>
  </si>
  <si>
    <t>Excluding animals, people, and vehicles influences vegetation vigor and soil structure which can accelerate attenuation of heavy metals.</t>
  </si>
  <si>
    <t>Excluding vehicles influences vegetation health and vigor, resulting in improved ground cover and reducing the generation of particulates.</t>
  </si>
  <si>
    <t>Excluding vehicles reduces engine emissions from the area.</t>
  </si>
  <si>
    <t>Excluding animals, people, and vehicles when applied with other conservation practices maintains and enhances health and vigor of desired plant communities.</t>
  </si>
  <si>
    <t>Excluding access encourages natural revegetation and aids in establishment of seeded or planted species.</t>
  </si>
  <si>
    <t>Excluding animals, people and vehicles influences vigor and health of desirable vegetation thereby reducing threat of noxious and invasive plants when applied with other conservation practices.</t>
  </si>
  <si>
    <t>Excluding people and vehicles from high hazard areas reduces the risk of fire starts.</t>
  </si>
  <si>
    <t>Excluding livestock, people and vehicles influences vigor, health, and availability of vegetation, thus improving food supply for certain wildlife species.</t>
  </si>
  <si>
    <t>Excluding livestock, people and vehicles influences vigor, health, and availability of vegetation, thus improving habitat features for certain wildlife species.</t>
  </si>
  <si>
    <t>Excluding livestock, people and vehicles protects available water sources.</t>
  </si>
  <si>
    <t>Excluding livestock, people, and vehicles protects space requirements for certain wildlife species.</t>
  </si>
  <si>
    <t>Excluding animals, people, and vehicles influences vigor and health of vegetation.</t>
  </si>
  <si>
    <t>Excluding animals, people, and vehicles influences vigor and health of vegetation, including trees that limit livestock heat stress.</t>
  </si>
  <si>
    <t>Any land use needing permanent or temporary use exclusion to protect, maintain, or improve the quantity and quality of the natural resources in the area.</t>
  </si>
  <si>
    <t>Vegetation and surface litter reduces the flows contributing to gully erosion.</t>
  </si>
  <si>
    <t xml:space="preserve">Plants are selected for desirable composition and structural characteristics.  </t>
  </si>
  <si>
    <t>Plant species are chosen and managed to enhance food value for target species.</t>
  </si>
  <si>
    <t>Suitable plant species may be selected and managed to enhance cover/shelter for target wildlife species.</t>
  </si>
  <si>
    <t xml:space="preserve">Tall vegetation creates vertical habitat structure for target species. </t>
  </si>
  <si>
    <t>Trees are chosen to limit livestock heat stress.</t>
  </si>
  <si>
    <t xml:space="preserve">Depending on previous land uses, alley cropping management operations may be comparatively more energy-efficient. </t>
  </si>
  <si>
    <t>Depending on previous land uses, alley cropping management operations may be comparatively more energy-efficient.  Potential biofuel production may or may not produce an energy gain.</t>
  </si>
  <si>
    <t>Cropland or forage land fields. Field concerns are water and wind erosion, plant stress and lack of woody habitat and products.</t>
  </si>
  <si>
    <t xml:space="preserve">A strip with bare soil or reduced vegetative cover and surface litter has potential for increases in erosive water energy that may transport additional sediments to surface waters. </t>
  </si>
  <si>
    <t>Plant productivity and health are improved through reduced incidence of wildfire.</t>
  </si>
  <si>
    <t>Fuel loadings are isolated and wildfire risk is reduced.</t>
  </si>
  <si>
    <t>The incidence of wildfire is reduced, and energy use associated with fighting wildfire is also reduced.</t>
  </si>
  <si>
    <t>Areas with fuel loadings or flammable conditions that pose a risk of wildfire.</t>
  </si>
  <si>
    <t>Trees and other vegetation are cut or killed; decomposition of woody debris and dead root systems increases soil OM.</t>
  </si>
  <si>
    <t>Equipment used to harvest or remove forest products can compact forest soils; however, forest management plans and practice plans will minimize impacts.</t>
  </si>
  <si>
    <t>Reduction in tree density temporarily leads to less evapotranspiration and more water on site, but increases in vigor as the stand regrows will offset this condition.</t>
  </si>
  <si>
    <t>Excess trees and undesired vegetation are removed which reallocates water to remaining desired vegetation or may provide additional water yield from the site.</t>
  </si>
  <si>
    <t>Management may include the use of pesticides; stand entry may lead to invasion of undesired plants and pests in some caes, but increased health and vigor of desired tree species may reduce the need for pesticide use in others.</t>
  </si>
  <si>
    <t>Management may includesthe use of pesticides; stand entry may lead to invasion of undesired plants and pests in some caes, but increased health and vigor of desired tree species may reduce the need for pesticide use in others.</t>
  </si>
  <si>
    <t>As the vigor of the stand increases following removal of all or part of the overstory, nutrient uptake increases.</t>
  </si>
  <si>
    <t>Use of Best Management Practices, and maintaining vegetative cover, should result in minimal sediment production.</t>
  </si>
  <si>
    <t>Use of Best Management Practices, including maintaining vegetative cover in riparian zones, should improve water temperature.</t>
  </si>
  <si>
    <t>As the vigor of the stand increases following removal of all or part of the overstory, uptake of heavy metals and some pollutants increases, reducing the potential for leaching.</t>
  </si>
  <si>
    <t>On fireprone sites, there may be a minimal reduction of particulate matter through reduced incidence of wildfire; however, this improvement is partly offset by emissions from equipment used in stand management.</t>
  </si>
  <si>
    <t>Decomposition increases with canopy opening and releases carbon stored on site. Increased vigor of remaining plants increases their rate of capture of CO2 but it may be many years before on-site storage is recouped. Carbon may be stored in long-lived wood products, or released as CO2 soon after harvest. On some sites there is a decrease in CO2 emissions from reduced incidence of wildfires.</t>
  </si>
  <si>
    <t>Plants selected for retention are those that make the stand more desirable in structure and composition.</t>
  </si>
  <si>
    <t>Noxious and invasive plants are controlled.</t>
  </si>
  <si>
    <t>Changes in stand structure and composition will have positive effects on food supplies for certain wildlife species.</t>
  </si>
  <si>
    <t>Changes in stand structure and composition will have positive effects on cover and shelter for certain wildlife species, and negative effects on others. Decreases in snags, cavity trees, and large trees with loose bark will affect some less-common species.</t>
  </si>
  <si>
    <t>Changes in stand structure and composition may interrupt continuity of habitat for certain wildlife species and create habitat diversity and edge conditions favored by others.</t>
  </si>
  <si>
    <t xml:space="preserve">Changes in stand structure may increase forage, but typically not by an amount that would reduce limitations on livestock production. </t>
  </si>
  <si>
    <t>Remaining canopy and understory continue to provide shelter on sites where livestock grazing is appropriate.</t>
  </si>
  <si>
    <t xml:space="preserve">Management operations, including equipment utilization, may be more energy-efficient than in stands not receiving assistance.  </t>
  </si>
  <si>
    <t>Management operations may be more energy-efficient than in stands not receiving assistance.  Potential biomass production may or may not produce an energy gain.</t>
  </si>
  <si>
    <t>1) Desired tree species competing with undesired species; 2) overstocked desired tree species.</t>
  </si>
  <si>
    <t>Trails provide firebreaks and access to sites for fuel reduction activities or firefighting.</t>
  </si>
  <si>
    <t>A forest stand where temporary, periodic equipment access is needed to carry out a management activity. Sites are on suited soils with appropriate bearing strength, drainage class, and slope. Sites avoid critical wildlife habitat and environmentally sensitive areas.</t>
  </si>
  <si>
    <t>Equipment used to treat vegetation can compact soils.; however, conservation plans and practice plans will minimize impacts.</t>
  </si>
  <si>
    <t>Herbicides, if used to treat fuels, could reach surface water.</t>
  </si>
  <si>
    <t xml:space="preserve">Herbicides applied to treat fuels may reduce vegetative cover, resulting in less pesticide degradation and more pesticide residue reaching groundwater.  </t>
  </si>
  <si>
    <t xml:space="preserve">An area with bare soil or reduced vegetative cover and surface litter has potential for increases in erosive water energy that may transport additional sediments to surface waters. </t>
  </si>
  <si>
    <t>The treated area can provide additional food sources for certain wildlife species.</t>
  </si>
  <si>
    <t>Vegetation, snags, and woody debris are treated and reduced in quantity.</t>
  </si>
  <si>
    <t>Removal of trees can exacerbate heat stress.</t>
  </si>
  <si>
    <t>On sites that previously lacked permanent vegetatation, an increase in biological activity, root depth and density, and vegetative matter cycling from permanent vegetation increases surface and below-ground organic components.</t>
  </si>
  <si>
    <t>On sites that previously lacked permanent vegetatation, root penetration, organic matter cycling, and biological activity help to restore soil structure.</t>
  </si>
  <si>
    <t xml:space="preserve">On sites that previously lacked permanent vegetatation, canopy cover and organic matter provide soil buffer during extended tropical droughts to reduce OM oxidation and loss. </t>
  </si>
  <si>
    <t>On sites that previously lacked permanent vegetatation, plants may take up some salts, and increased root penetration improves infiltration that may lead to increased leaching.</t>
  </si>
  <si>
    <t>On sites that previously lacked permanent vegetatation, plant evapotranspiration utilizes water, and increased soil OM holds water.</t>
  </si>
  <si>
    <t>On sites that previously lacked permanent vegetatation, roots increase infiltration, evapotranspiration utilizes water, and increased soil OM holds water.</t>
  </si>
  <si>
    <t>On sites that previously lacked permanent vegetatation, management of mixed multistoried crops reduces need for chemicals to manage pests. Pesticide degradation may be improved by interception of drift by varied canopy layers.</t>
  </si>
  <si>
    <t>On sites that previously lacked permanent vegetatation, management of mixed multistoried crops reduces need for chemicals to manage pests. Also, pesticide degradation may be improved by increased soil organic matter and biological activity.</t>
  </si>
  <si>
    <t>On sites that were formerly cropland, permanent vegetatation and soil organisms uptake nutrients.</t>
  </si>
  <si>
    <t>Varied canopy layers and surface cover and organic matter management increases infiltration and reduces need for irrigation or chemical inputs.</t>
  </si>
  <si>
    <t>On sites that previously lacked permanent vegetatation, CO2 removed from the air is stored as carbon in living plants (stem, roots, foliage, etc.) and soil organic carbon components.</t>
  </si>
  <si>
    <t>Plants selected are those that make the stand more desirable in structure and composition.</t>
  </si>
  <si>
    <t>If suitable plant species are chosen and managed, food value for target species can be enhanced.</t>
  </si>
  <si>
    <t>Suitable plant species may be selected and managed to enhance cover/shelter for wildlife.</t>
  </si>
  <si>
    <t>Cropland or unmanaged forest with the potential for growing trees or shrubs.</t>
  </si>
  <si>
    <t>On sites that previously lacked permanent vegetatation, establishing a combination of trees or shrubs and compatible forages will reduce erosion by water.</t>
  </si>
  <si>
    <t>On sites that previously lacked permanent tall vegetation, a wind shadow will reduce erosive wind velocities and, along with understory forage, provide a stable area which stops saltating particles.</t>
  </si>
  <si>
    <t>For riparian areas that previously lacked permanent vegetatation, establishing a combination of trees or shrubs and compatible forages will reduce erosion by water.</t>
  </si>
  <si>
    <t>On sites that previously lacked permanent vegetation, roots, vegetative matter and livestock waste and their breakdown increases organic matter.</t>
  </si>
  <si>
    <t>On sites that previously lacked permanent vegetatation, establishing a combination of trees or shrubs and compatible forages will reduce runoff.</t>
  </si>
  <si>
    <t>There may be an increase in evapotranspiration due to changes in vegetative structure and composition, resulting in a lowered seasonal water table.</t>
  </si>
  <si>
    <t>On sites that previously lacked permanent tall vegetation, snow is captured by tree/shrub crowns and deposited within the forage area.</t>
  </si>
  <si>
    <t>Depending on the amount of change from previous vegetative conditions, there may be increased infiltration, increased available water, and extended interflow yield.</t>
  </si>
  <si>
    <t>On sites that previously lacked permanent tall vegetation, trees and shrubs will take up additional pesticide residues and may intercept pesticide drift.  Also, the practice reduces runoff and erosion.</t>
  </si>
  <si>
    <t>On sites that previously lacked permanent tall vegetation, trees and shrubs will take up additional pesticide residues.  Also, pesticide degradation may be improved by increased soil organic matter and biological activity.</t>
  </si>
  <si>
    <t>Depending on previous vegetative conditions, whether forestland or pasture, the permanent silvopasture vegetation may take up comparatively greater amounts of nutrients.</t>
  </si>
  <si>
    <t>Depending on previous vegetative conditions, whether forestland or pasture, the permanent silvopasture vegetation may take up comparatively greater amounts of nutrients and limit leaching.</t>
  </si>
  <si>
    <t>Dense vegetation will increase infiltration and reduce runoff.  Planting of suited species in recharge areas may reduce movement of salts to seep areas and surface waters.</t>
  </si>
  <si>
    <t>Establishing silvopasture vegetation may increase salt uptake by plants, reducing its movement to groundwater.</t>
  </si>
  <si>
    <t>For grazed lands, a permanent silvopasture vegetation will be more effective in capturing and delaying pathogen movement, and creating more open conditions that increase pathogen mortality. Conversion from forest land to silvpasture will not produce this benefit.</t>
  </si>
  <si>
    <t>On sites that previously lacked permanent vegetatation, establishing a combination of trees or shrubs and compatible forages will reduce the erosive force of water, and reduce sedimentation.</t>
  </si>
  <si>
    <t xml:space="preserve">Depending on previous vegetative conditions, the permanent silvopasture vegetation may take up comparatively more heavy metals. </t>
  </si>
  <si>
    <t xml:space="preserve">Depending on previous vegetative conditions, the permanent silvopasture vegetation may may take up comparatively more heavy metals. </t>
  </si>
  <si>
    <t>Depending on previous vegetative conditions, the permanent silvopasture vegetation may be comparatively more effective at slowing winds to reduce erosive wind velocities, filtering particulates from the air, and stopping saltating particles.</t>
  </si>
  <si>
    <t xml:space="preserve">Depending on previous vegetative conditions, the permanent silvopasture vegetation may be comparatively more effective at capturing and storing carbon. On sites converted from forest land and not previously grazed, livestock will release methane. </t>
  </si>
  <si>
    <t xml:space="preserve">Depending on previous vegetative conditions, establishment of permanent silvopasture vegetation may negatively impact the native understroy plant community. </t>
  </si>
  <si>
    <t>Changes in stand structure and composition will have positive effects on food supplies for certain wildlife species, and negative effects on others.</t>
  </si>
  <si>
    <t xml:space="preserve">Suitable plant species may be selected and managed to enhance cover/shelter for target wildlife species. Depending on previous vegetative conditions, silvopasture may benefit different target species than those that previously utilized the site. </t>
  </si>
  <si>
    <t>Changes in stand structure and composition may interrupt continuity of habitat for certain wildlife species and create habitat diversity and edge conditions favored by others. Establishment of silvopasture may be a benefit or detriment; effects are species-specific.</t>
  </si>
  <si>
    <t>Depending on previous vegetative conditions, plant species established in the understory may be comparatively more effective in supporting seasonal livestock production and nutritional needs.</t>
  </si>
  <si>
    <t>Depending on previous vegetative conditions, silvopasture establishment may be comparatively more effective in providing livestock shelter.</t>
  </si>
  <si>
    <t>Depending on previous land uses, silvopasture management operations may be comparatively more energy-efficient.  Potential biofuel production may or may not produce an energy gain.</t>
  </si>
  <si>
    <t>Cropland, forage, or forested fields suitable for the establishment of the desired woody and forage plant species</t>
  </si>
  <si>
    <t>Depending on initial conditions, root penetration and organic matter deposition will help restore soil structure.</t>
  </si>
  <si>
    <t>Former riparian forests and habitat used for forage, cropland, speculation property, or other nonforest condition. Livestock are excluded from riparian areas. Includes cutover riparian zones within forested areas</t>
  </si>
  <si>
    <t>Existing road, trail, and/or landing that will be closed and treated to achieve a resource objective</t>
  </si>
  <si>
    <t>Reduces heating and cooling around farmsteads</t>
  </si>
  <si>
    <t>Cropland; forage land; animal feeding operations; or urban area where wind erosion, snow drift, plant, animal, and human stress related to wind or temperature; energy consumption; or odor are concerns.</t>
  </si>
  <si>
    <t xml:space="preserve"> Existing decadent windbreaks/shelterbelts that have reduced  functionality for intended purposes</t>
  </si>
  <si>
    <t>Short-term emissions from equipment operation and dust from mechanical activities add particulate matter to the air; however, this effect is offset by reduced incidence of wildfire.</t>
  </si>
  <si>
    <t xml:space="preserve">Lands with quantities of woody slash and debris that are treated during forestry, agroforestry, and horticultural activities. </t>
  </si>
  <si>
    <t xml:space="preserve">Woody material is retained on site (unless is poses a fire risk), increasing soil organic matter content. </t>
  </si>
  <si>
    <t>Pruning improves structure and growth form of selected tree/shrub species.</t>
  </si>
  <si>
    <t xml:space="preserve">Where alternative methods of implemeting the practice are available, onservation plans call for use of equipment and facilities that improve energy use. </t>
  </si>
  <si>
    <t xml:space="preserve">Where alternative methods of implemeting the practice are available, onservation plans call for use of operations that improve energy use. </t>
  </si>
  <si>
    <t>Forest, wildlife, or other land dominated by tree growth and/or shrub cover that is characterized by undesirable branching limiting the intended purpose</t>
  </si>
  <si>
    <t>There is a short-term increase in vehicle emissions and dust during site preparation operations.</t>
  </si>
  <si>
    <t xml:space="preserve">Nonforested sites capable of producing wood fiber and forest habitat; or cutover forestland. </t>
  </si>
  <si>
    <t>Plantings reduce need for heating and cooling around farmsteads</t>
  </si>
  <si>
    <t>1) Nonforested sites capable of producing wood fiber and forest habitat; or 2) cutover forestland. Both settings lack woody biomass of desired species.</t>
  </si>
  <si>
    <t>Wildlife Structure</t>
  </si>
  <si>
    <t>Areas for cover/shelter are created</t>
  </si>
  <si>
    <t>The practice gives animals a place to shelter away from stream banks and riparian areas</t>
  </si>
  <si>
    <t>Moving livestock away from streams and riparian areas will decreae the probability of excess  manure nutrients in the water</t>
  </si>
  <si>
    <t>Removing livestock from streams and riparian areas will decrease the probability of manure pathogens degrading water quality</t>
  </si>
  <si>
    <t>Removing livestock from streams and riparian areas should decrease sediment in stream waters.</t>
  </si>
  <si>
    <t>Livestock shelter availability will increase likelihood that aniimals will graze away from riparian areas.</t>
  </si>
  <si>
    <t>Practice will provide shelter from wind or sun away from riparian areas</t>
  </si>
  <si>
    <t>Livestock Shelter Structure</t>
  </si>
  <si>
    <t>Ea.</t>
  </si>
  <si>
    <t>ea.</t>
  </si>
  <si>
    <t>A permanent or portable structure with less than four walls and/or a roof to provide for improved utilization of pastureland and rangeland and to shelter livestock from negative environmental factors.  This structure is not to be construed to be a building.</t>
  </si>
  <si>
    <t>Use of manure harvesting and/or water sprinkling will mitigate particulate matter emissions from animal activity on open lot surfaces.  The primary purpose of this standard is to mitigate particulate matter emissions.</t>
  </si>
  <si>
    <t>If more frequent manure removal is applied, there will be less potential for odors to arise from biological breakdown of manure in the open lot.</t>
  </si>
  <si>
    <t>If more frequent manure removal is applied, there will be less potential for manure nutrients to be included in runoff from the open lot surface.  If only water sprinkling is applied, there should be no effect.</t>
  </si>
  <si>
    <t>If more frequent manure removal is applied, there will be less potential for manure salts to be included in runoff from the open lot surface.  If only water sprinkling is applied, there should be no effect.</t>
  </si>
  <si>
    <t>If more frequent manure removal is applied, there will be less potential for pathogens and chemicals to be included in runoff from the open lot surface.  If only water sprinkling is applied, there should be no effect.</t>
  </si>
  <si>
    <t>If road oils are used, nearby surface water may be impacted.  Otherwise, no effect is expected.</t>
  </si>
  <si>
    <t>Treatment of unpaved surfaces can help to bind particles, resulting in reduced erosion.  Addressing wind erosion is a purpose in the standard.</t>
  </si>
  <si>
    <t>Unit</t>
  </si>
  <si>
    <t>Practice</t>
  </si>
  <si>
    <t>DRAFT</t>
  </si>
  <si>
    <t>Draft Do Not Edit</t>
  </si>
  <si>
    <t>Well Decommissioning</t>
  </si>
  <si>
    <t>Structures for Wildlife</t>
  </si>
  <si>
    <t>ESD-BIO</t>
  </si>
  <si>
    <t>Feral Swine Management</t>
  </si>
  <si>
    <t>A seasonal polyethylene covered structure that is used to cover crops to extend the growing season in an environmentally safe manner.</t>
  </si>
  <si>
    <t>Field Operations Emissions Reduction</t>
  </si>
  <si>
    <t>Emergency Animal Mortality Management</t>
  </si>
  <si>
    <t>Denitrifying Bioreactor</t>
  </si>
  <si>
    <t>Controlled Traffic Farming</t>
  </si>
  <si>
    <t>Amending Soil Properties with Gypsum Products</t>
  </si>
  <si>
    <t>Waste Separation Facility (no)</t>
  </si>
  <si>
    <t>Sprinkler System</t>
  </si>
  <si>
    <t>High Tunnel System</t>
  </si>
  <si>
    <t>Primarily air flow from structures (livestock containment, etc.) that have air emissions of various types.  Can be ventilation systems and others.</t>
  </si>
  <si>
    <t>Combustion systems of many types that could reduce various air emissions via system changes.</t>
  </si>
  <si>
    <t>Open lot surfaces at animal feeding operations where dust (particulate matter emissions) are of concern.</t>
  </si>
  <si>
    <t>Unpaved roads or surfaces where dust (particulate matter emissions) are of concern.</t>
  </si>
  <si>
    <t>Many of these techniques will reduce the potential for sheet and rill erosion</t>
  </si>
  <si>
    <t>Many of these techniques will reduce the potential for wind erosion</t>
  </si>
  <si>
    <t>Reduce soil and residue particulates in the air via changes in tillage, harvest and other field operations.</t>
  </si>
  <si>
    <t>Excess particulate matter emissions (dust, esp.) are being produced from various field operations (primarily cropping situations).</t>
  </si>
  <si>
    <t>Recycling organic material as a soil amendment will  increase soil organic matter and nutrients as per the nutrient management needs.</t>
  </si>
  <si>
    <t>Waste recycling can improve soil heath when properly applied and at a time when compaction is least likely.</t>
  </si>
  <si>
    <t>Improved soil health will also increase water holding capacity of the soil profile.</t>
  </si>
  <si>
    <t>Recycled waste handling can potentially create more PM emissions.</t>
  </si>
  <si>
    <t>Recycled waste handling can potentially create more ozone precursors.</t>
  </si>
  <si>
    <t>Recycled waste handling can potentially create more emissions from GHG.</t>
  </si>
  <si>
    <t>Recycled waste handling can potentially create more objectionable odors.</t>
  </si>
  <si>
    <t>Properly handled mortality will prevent groundwater contamination.</t>
  </si>
  <si>
    <t xml:space="preserve">Properly handled mortality should prevent groundwater contamination. </t>
  </si>
  <si>
    <t>Reactors remove 30 to 60% of the nitrogen load coming from a drain pipe.</t>
  </si>
  <si>
    <t>Water containing nirtrogen could infiltrate and contribute to additional N in the groundwater. Bioreactor removes  30 to % of the annual nitrogen load in drain tile outflow.</t>
  </si>
  <si>
    <t>Waste Hauling</t>
  </si>
  <si>
    <t>Lands with vegetation or residue fuel loads with potential to carry and/or exacerbate wildfire.</t>
  </si>
  <si>
    <t>Cover will produce more concentrated runoff</t>
  </si>
  <si>
    <t>Tunnel increases plant healh and vigor by extending growing season</t>
  </si>
  <si>
    <t>Improves soil structure</t>
  </si>
  <si>
    <t>Improves Soil Structure</t>
  </si>
  <si>
    <t>Improved soil structure</t>
  </si>
  <si>
    <t>Reduce aluminum toxicity</t>
  </si>
  <si>
    <t>Improved infiltration</t>
  </si>
  <si>
    <t>Can improve Ca:Mg ratio for improved nutrient use efficiency</t>
  </si>
  <si>
    <t>Field with high P levels or aluminum toxicity concerns</t>
  </si>
  <si>
    <t>Wheel track are confined to the same tracks at all times.</t>
  </si>
  <si>
    <t>more infiltration</t>
  </si>
  <si>
    <t>Better infiltration</t>
  </si>
  <si>
    <t>Reduced compaction area and better infiltration</t>
  </si>
  <si>
    <t>Field with compaction where future wheel/tracks are limits to specific zones</t>
  </si>
  <si>
    <t>With reduce sheet and rill the emphemeral erosion can be reduced</t>
  </si>
  <si>
    <t>Using gypsum- (calcium sulfate dihydrate) derived products to change the physical and/or chemical properties of soil.</t>
  </si>
  <si>
    <t xml:space="preserve">Testing the physical, biological, and chemical quality of groundwater from a water well or spring. </t>
  </si>
  <si>
    <t xml:space="preserve">A permanent facility designed to provide secondary containment of oil and petroleum products used on-farm.  </t>
  </si>
  <si>
    <t>Temporary, non-structural measures used to store solid or semi-solid, organic agricultural waste or manure (stackable livestock and poultry manure, bedding, litter, spilled feed, or soil mixed with manure) on a short-term basis between collection and utilization.</t>
  </si>
  <si>
    <t>A structure installed to replace or modify a missing or deficient wildlife habitat component.</t>
  </si>
  <si>
    <t>Mass mortality die-off may result in excavation for burial and short-term soil disturbance.</t>
  </si>
  <si>
    <t>Properly handled mortality will prevent groundwater contamination.  May be slight worsening in problem where burial pits are the facility option.</t>
  </si>
  <si>
    <t>Properly handled mortality should prevent groundwater contamination.  Where burial pits are used a slight potential for pathogen movement exists.</t>
  </si>
  <si>
    <t>There is no on-farm plan for disposal of catastrophic mortality of livestock or poultry.</t>
  </si>
  <si>
    <t>Controlled Traffic Farming (CTF) is confining all high load wheel traffic from farm equipment to specific lanes or tramlines (traffic pattern) in crop fields year after year.</t>
  </si>
  <si>
    <t>Adjusting field operations and technologies to reduce particulate matter (PM) emissions from field operations.</t>
  </si>
  <si>
    <t>As part of an area-wide effort of monitoring, scouting, and exclusion to document and reduce resource damage and focus inter-agency management efforts to lessen adverse resource impacts and health concerns for other animals and humans due to feral swine.</t>
  </si>
  <si>
    <t>A means or method for the management of animal carcasses from catastrophic mortality events.</t>
  </si>
  <si>
    <t>A structure containing a carbon source, installed to reduce the concentration of nitrate nitrogen in subsurface agricultural drainage flow via enhanced denitrification.</t>
  </si>
  <si>
    <r>
      <t xml:space="preserve">By practice (rows), two interpretations are displayed for each resource concern (columns): 1) the </t>
    </r>
    <r>
      <rPr>
        <i/>
        <sz val="9"/>
        <rFont val="Arial"/>
        <family val="2"/>
      </rPr>
      <t>effect,</t>
    </r>
    <r>
      <rPr>
        <sz val="9"/>
        <rFont val="Arial"/>
        <family val="2"/>
      </rPr>
      <t xml:space="preserve"> 2) the </t>
    </r>
    <r>
      <rPr>
        <i/>
        <sz val="9"/>
        <rFont val="Arial"/>
        <family val="2"/>
      </rPr>
      <t>rationale</t>
    </r>
    <r>
      <rPr>
        <sz val="9"/>
        <rFont val="Arial"/>
        <family val="2"/>
      </rPr>
      <t xml:space="preserve"> for how the practice produces the effect. In addition, lead disciplines for each practice, the practice code, and a </t>
    </r>
    <r>
      <rPr>
        <i/>
        <sz val="9"/>
        <rFont val="Arial"/>
        <family val="2"/>
      </rPr>
      <t>practice setting</t>
    </r>
    <r>
      <rPr>
        <sz val="9"/>
        <rFont val="Arial"/>
        <family val="2"/>
      </rPr>
      <t xml:space="preserve"> is recorded to define the typical circumstances and settings of how the practice is used and rated. This setting is used as the basis or reference for establishing the </t>
    </r>
    <r>
      <rPr>
        <i/>
        <sz val="9"/>
        <rFont val="Arial"/>
        <family val="2"/>
      </rPr>
      <t>effect</t>
    </r>
    <r>
      <rPr>
        <sz val="9"/>
        <rFont val="Arial"/>
        <family val="2"/>
      </rPr>
      <t>.</t>
    </r>
  </si>
  <si>
    <t>Cu Ft</t>
  </si>
  <si>
    <t xml:space="preserve"> Hauling waste off-site.</t>
  </si>
  <si>
    <t>FY 2017 - Do Not Edit</t>
  </si>
  <si>
    <t>The action will properly treat manure and organic waste that was once mishandled.  Degree of impact depends on conditions before installation.</t>
  </si>
  <si>
    <t>Facility will properly treat manure solids and organic waste reducing pathogens.</t>
  </si>
  <si>
    <t>Improves surface infiltration rate</t>
  </si>
  <si>
    <t>Increased surface infiltration rate</t>
  </si>
  <si>
    <t>Saturated Buffer</t>
  </si>
  <si>
    <t>Buffer removes 60-100% of Nitrogen from drain pipe discharge</t>
  </si>
  <si>
    <t>Removing impediments and obstructions to aquatic organisms provides connectivity and continuity in a watershed.</t>
  </si>
  <si>
    <t>Fish raceway or tank allows appropriate feeding for aquaculture production</t>
  </si>
  <si>
    <t>Fish raceway or tank provides appropriate conditions for aquaculture production</t>
  </si>
  <si>
    <t>Might improve or might not, as many sites could be fenced from grazing.</t>
  </si>
  <si>
    <t>Proper application of manure, compost, and bio-solids should reduce or eliminate pathogens and/or chemicals (if present in source material) from moving into surface water.</t>
  </si>
  <si>
    <t>Proper application of manure, compost, and bio-solids should reduce or eliminate pathogens and/or chemicals (if present in source material) from moving into ground water.</t>
  </si>
  <si>
    <t>Management may improve livestock water quality.</t>
  </si>
  <si>
    <t xml:space="preserve">The testing itself does not improve water quality degraded by nutrients.  However, if testing indicates their presence in groundwater, it will be the measures taken afterward that will control the movement of nutrients into groundwater.   </t>
  </si>
  <si>
    <t>If the sinkhole is treated with an inverted filter or plugged, there may be a slight increase in flooding or ponding potential.</t>
  </si>
  <si>
    <t>The action has no direct effect on any resource concern.  Wells do provide an access to aquifers to monitor groundwater quality.</t>
  </si>
  <si>
    <t>Provides dependable water supply to livestock and wildlife in areas where surface water is scarce.</t>
  </si>
  <si>
    <t>Use of wells to irrigate previously non irrigated land will increase the likelihood of soluble and sediment-attached contaminants moving off-site.  Probable less contaminants on grazing lands</t>
  </si>
  <si>
    <t>In some areas, pumping large volumes of groundwater from a well may cause subsidence.</t>
  </si>
  <si>
    <t>Pond Sealing or Lining, Compacted Soil Treatment</t>
  </si>
  <si>
    <t>Pond Sealing or Lining, Concrete</t>
  </si>
  <si>
    <t>IPM mitigation practices can reduce risks to solution and adsorbed runoff losses.</t>
  </si>
  <si>
    <t>IPM mitigation practices can reduce risks to soil, air, drift and volatilization losses.</t>
  </si>
  <si>
    <t>IPM mitigation practices can reduce the risks to solution and adsorbed runoff losses.</t>
  </si>
  <si>
    <t>Organic matter depletion can be decreased with IPM mitigation practices.</t>
  </si>
  <si>
    <t>Soil compaction can be decreased by optimizing the timing and application of IPM mitigation practices.</t>
  </si>
  <si>
    <t>IPM mitigation practices can reduce the risks from solution and adsorbed runoff losses to improve surface water quality.</t>
  </si>
  <si>
    <t>IPM mitigation practices can reduce the risks from leaching losses and improve groundwater quality.</t>
  </si>
  <si>
    <t>IPM mitigation practices can reduce the effects of chemical drift of liquid particles.</t>
  </si>
  <si>
    <t>IPM mitigation practices can reduce the effects of VOCs.</t>
  </si>
  <si>
    <t>IPM mitigation pratices can reduce the the effects of VOCs.</t>
  </si>
  <si>
    <t>IPM mitigation practices can reduce the negative impacts to fish and wildlife food quantity and quality.</t>
  </si>
  <si>
    <t>IPM mitigation practices can reduce negative impacts to fish and wildlife water quantity and quality.</t>
  </si>
  <si>
    <t>IPM mitigation practices can reduce the negative impacts to livestock water quality.</t>
  </si>
  <si>
    <t>IPM mitigation practices can result in a reduction of field operations.</t>
  </si>
  <si>
    <t>Typical area on cropland where high hazard pesticides are used with potentail effects to water and air quality.</t>
  </si>
  <si>
    <t>not Applicable</t>
  </si>
  <si>
    <t>Not applicable</t>
  </si>
  <si>
    <t>A liner for an impoundment constructed using reinforced or nonreinforced concrete.</t>
  </si>
  <si>
    <t>POND SEALING OR LINING – CONCRETE</t>
  </si>
  <si>
    <t>Saturated Buffer (604) (Ft)</t>
  </si>
  <si>
    <t>Ft</t>
  </si>
  <si>
    <t>A subsurface, perforated distribution pipe is used to divert and spread drainage system discharge to a vegetated area to increase soil saturation.</t>
  </si>
  <si>
    <t>Channels beds undergoing damaging aggradation or degradation that cannot be feasibly controlled by clearing or snagging, establishment of vegetative protection, installation of bank protection, or installation of upstream water control measures.</t>
  </si>
  <si>
    <t>Where an intermittent or perennial watercourse exists and a ford, bridge, or culvert type crossing is needed for controlled access.</t>
  </si>
  <si>
    <t>A controlled access crossing does not allows animals access a to stream, which may reduce the impacts of animal waste on surface water quality.</t>
  </si>
  <si>
    <t>The action has no direct effect on any resource concern.  Wells do provide an access to aquifers and the water table to monitor fluctuations in groundwater elevations.</t>
  </si>
  <si>
    <t>Reduced channel degradation improves ground water levels and surface water levels in floodplains, riparian areas, and wetlands.</t>
  </si>
  <si>
    <t>Aquaculture pond provides appropriate conditions for aquaculture production</t>
  </si>
  <si>
    <t>Existing aquaculture production system has 1) excessive seepage or frequent release of nutrient laden aquaculture water, 2) potential of loss of non-native aquaculture production fish species to the native environment, and/or 3) poor growing conditions for the current aquaculture species.</t>
  </si>
  <si>
    <t>Aquaculture production system has 1) excessive seepage or frequent release of nutrient laden aquaculture water, 2) potential of loss of non-native aquaculture production fish species to the native environment, and/or 3) poor growing conditions for the current aquaculture species.</t>
  </si>
  <si>
    <t>An existing pond, lake, or reservoir that is not managed for commercial aquaculture purposes.</t>
  </si>
  <si>
    <t>Streams, including their associated backwaters, floodplains, wetlands, and riparian areas, that have impaired habitat.</t>
  </si>
  <si>
    <t xml:space="preserve">Reduced soil erosion and increased infiltration will increase or maintain organic matter. </t>
  </si>
  <si>
    <t>Producer is mixing pesticide and fertilizers in a manner where spills could contaminate surface or groundwater resources.</t>
  </si>
  <si>
    <t>Agriculture waste are stored in a manner where odor and greenhouse gasses are released in excess.</t>
  </si>
  <si>
    <t>Producer needs secondary containment of petroleum in order to protect surface and groundwater from accidental spills.</t>
  </si>
  <si>
    <t>Producer has uncontrolled roof runoff which will be contaminated by entering the livestock production area.</t>
  </si>
  <si>
    <t>Producer can capture odor and greenhouse gasses from a waste storage area or needs to divert rain water away from a waste storage area.</t>
  </si>
  <si>
    <t>Agricultural waste water has a high amount of solids material which is limiting the methods of utilizing the waste beneficially.</t>
  </si>
  <si>
    <t>Agricultural manure of by-product is stored in a manner which leaves the material vulnerable to contamination of surface or ground water resources.</t>
  </si>
  <si>
    <t xml:space="preserve">CED-AQS &amp; ESCD-ARS </t>
  </si>
  <si>
    <t>CED-AQS &amp; ESD-ARS &amp; ESD-Agron</t>
  </si>
  <si>
    <t>If salt-based hygroscopic suppressants (such as calcium chloride or magnesium chloride) are used, adjacent soil may be impacted.</t>
  </si>
  <si>
    <t>If organic suppressants (such as lignosulfonates or oils) are used, nearby surface water may be impacted.</t>
  </si>
  <si>
    <t>If salt-based hygroscopic suppressants (such as calcium chloride or magnesium chloride) are used, nearby surface water may be impacted.</t>
  </si>
  <si>
    <t>Vegetation removes CO2 from the air and stores it in the form of carbon in the plants and soil and reduced soil organic matter loss</t>
  </si>
  <si>
    <t>Intensive disturbance of soil can release particulate matter.  However, improved grazing  land systems will improve vegetative cover and thus reduce overall PM emissions.</t>
  </si>
  <si>
    <t>Intensive disturbance of soil can release stored soil carbon as carbon dioxide.  However, improvements to grazing lands systems can build long-term soil carbon.</t>
  </si>
  <si>
    <t>On fireprone sites, there may be a minimal reduction of ozone precursors through reduced incidence of wildfire; however, this improvement is partly offset by emissions from equipment used in stand management.</t>
  </si>
  <si>
    <t>Some of these techniques can reduce GHG emissions from engines</t>
  </si>
  <si>
    <t>Denitrification can produce nitrous oxide (N2O)</t>
  </si>
  <si>
    <t>Excluding vehicles influences vegetation health and vigor, resulting more removal of CO2 from the air.  Excluding vehicles also reduces engine emissions from the area.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</si>
</sst>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quot;#,##0.00"/>
    <numFmt numFmtId="165" formatCode="0.000%"/>
    <numFmt numFmtId="166" formatCode="0_)"/>
    <numFmt numFmtId="167" formatCode="&quot;$&quot;#,##0"/>
  </numFmts>
  <fonts count="101" x14ac:knownFonts="1">
    <font>
      <sz val="10"/>
      <name val="Arial"/>
    </font>
    <font>
      <sz val="11"/>
      <color theme="1"/>
      <name val="Calibri"/>
      <family val="2"/>
      <scheme val="minor"/>
    </font>
    <font>
      <sz val="11"/>
      <color theme="1"/>
      <name val="Calibri"/>
      <family val="2"/>
      <scheme val="minor"/>
    </font>
    <font>
      <sz val="10"/>
      <name val="Arial"/>
      <family val="2"/>
    </font>
    <font>
      <sz val="10"/>
      <name val="Arial"/>
      <family val="2"/>
    </font>
    <font>
      <sz val="8"/>
      <name val="Arial"/>
      <family val="2"/>
    </font>
    <font>
      <u/>
      <sz val="10"/>
      <color indexed="12"/>
      <name val="Arial"/>
      <family val="2"/>
    </font>
    <font>
      <b/>
      <sz val="10"/>
      <name val="Arial"/>
      <family val="2"/>
    </font>
    <font>
      <b/>
      <sz val="9"/>
      <name val="Arial"/>
      <family val="2"/>
    </font>
    <font>
      <sz val="9"/>
      <name val="Arial"/>
      <family val="2"/>
    </font>
    <font>
      <i/>
      <sz val="9"/>
      <name val="Arial"/>
      <family val="2"/>
    </font>
    <font>
      <b/>
      <sz val="8"/>
      <color indexed="81"/>
      <name val="Tahoma"/>
      <family val="2"/>
    </font>
    <font>
      <b/>
      <i/>
      <sz val="9"/>
      <name val="Arial"/>
      <family val="2"/>
    </font>
    <font>
      <b/>
      <sz val="10"/>
      <name val="Arial"/>
      <family val="2"/>
    </font>
    <font>
      <b/>
      <sz val="14"/>
      <color indexed="10"/>
      <name val="Arial"/>
      <family val="2"/>
    </font>
    <font>
      <sz val="10"/>
      <name val="Arial"/>
      <family val="2"/>
    </font>
    <font>
      <b/>
      <sz val="12"/>
      <color indexed="10"/>
      <name val="Arial"/>
      <family val="2"/>
    </font>
    <font>
      <b/>
      <sz val="8"/>
      <name val="Arial"/>
      <family val="2"/>
    </font>
    <font>
      <b/>
      <sz val="9"/>
      <color theme="0"/>
      <name val="Arial"/>
      <family val="2"/>
    </font>
    <font>
      <b/>
      <sz val="14"/>
      <color theme="1"/>
      <name val="Arial"/>
      <family val="2"/>
    </font>
    <font>
      <b/>
      <sz val="9"/>
      <color theme="1"/>
      <name val="Arial"/>
      <family val="2"/>
    </font>
    <font>
      <b/>
      <i/>
      <sz val="9"/>
      <color theme="1"/>
      <name val="Arial"/>
      <family val="2"/>
    </font>
    <font>
      <b/>
      <i/>
      <sz val="8"/>
      <color theme="1"/>
      <name val="Arial"/>
      <family val="2"/>
    </font>
    <font>
      <sz val="5"/>
      <name val="Arial"/>
      <family val="2"/>
    </font>
    <font>
      <sz val="9"/>
      <color indexed="10"/>
      <name val="Arial"/>
      <family val="2"/>
    </font>
    <font>
      <sz val="12"/>
      <name val="Arial"/>
      <family val="2"/>
    </font>
    <font>
      <sz val="10"/>
      <color indexed="10"/>
      <name val="Arial"/>
      <family val="2"/>
    </font>
    <font>
      <b/>
      <i/>
      <sz val="24"/>
      <color indexed="12"/>
      <name val="Arial"/>
      <family val="2"/>
    </font>
    <font>
      <sz val="10"/>
      <color indexed="14"/>
      <name val="Arial"/>
      <family val="2"/>
    </font>
    <font>
      <b/>
      <sz val="12"/>
      <name val="Arial"/>
      <family val="2"/>
    </font>
    <font>
      <b/>
      <sz val="12"/>
      <color indexed="12"/>
      <name val="Arial"/>
      <family val="2"/>
    </font>
    <font>
      <sz val="10"/>
      <color indexed="62"/>
      <name val="Arial"/>
      <family val="2"/>
    </font>
    <font>
      <b/>
      <sz val="10"/>
      <color indexed="12"/>
      <name val="Arial"/>
      <family val="2"/>
    </font>
    <font>
      <b/>
      <sz val="10"/>
      <color indexed="39"/>
      <name val="Arial"/>
      <family val="2"/>
    </font>
    <font>
      <b/>
      <u/>
      <sz val="12"/>
      <color indexed="8"/>
      <name val="Arial"/>
      <family val="2"/>
    </font>
    <font>
      <b/>
      <u/>
      <sz val="12"/>
      <name val="Arial"/>
      <family val="2"/>
    </font>
    <font>
      <sz val="10"/>
      <color indexed="39"/>
      <name val="Arial"/>
      <family val="2"/>
    </font>
    <font>
      <b/>
      <sz val="10"/>
      <color indexed="8"/>
      <name val="Arial"/>
      <family val="2"/>
    </font>
    <font>
      <b/>
      <sz val="12"/>
      <color indexed="8"/>
      <name val="Arial"/>
      <family val="2"/>
    </font>
    <font>
      <b/>
      <i/>
      <u/>
      <sz val="10"/>
      <name val="Arial"/>
      <family val="2"/>
    </font>
    <font>
      <b/>
      <i/>
      <sz val="8"/>
      <name val="Arial"/>
      <family val="2"/>
    </font>
    <font>
      <b/>
      <sz val="12"/>
      <color indexed="37"/>
      <name val="Arial"/>
      <family val="2"/>
    </font>
    <font>
      <b/>
      <u/>
      <sz val="10"/>
      <name val="Arial"/>
      <family val="2"/>
    </font>
    <font>
      <b/>
      <sz val="10"/>
      <color indexed="37"/>
      <name val="Arial"/>
      <family val="2"/>
    </font>
    <font>
      <sz val="11"/>
      <name val="Arial"/>
      <family val="2"/>
    </font>
    <font>
      <sz val="10"/>
      <color rgb="FF000000"/>
      <name val="Times New Roman"/>
      <family val="1"/>
    </font>
    <font>
      <b/>
      <sz val="10"/>
      <color rgb="FF0000FF"/>
      <name val="Arial"/>
      <family val="2"/>
    </font>
    <font>
      <b/>
      <i/>
      <u/>
      <sz val="10"/>
      <color indexed="61"/>
      <name val="Arial"/>
      <family val="2"/>
    </font>
    <font>
      <b/>
      <sz val="9"/>
      <color rgb="FF000000"/>
      <name val="Arial"/>
      <family val="2"/>
    </font>
    <font>
      <sz val="9"/>
      <color rgb="FF000000"/>
      <name val="Arial"/>
      <family val="2"/>
    </font>
    <font>
      <b/>
      <i/>
      <sz val="9"/>
      <color rgb="FFFF0000"/>
      <name val="Arial"/>
      <family val="2"/>
    </font>
    <font>
      <sz val="10"/>
      <name val="Times New Roman"/>
      <family val="1"/>
    </font>
    <font>
      <b/>
      <sz val="20"/>
      <name val="Times New Roman"/>
      <family val="1"/>
    </font>
    <font>
      <b/>
      <u/>
      <sz val="10"/>
      <name val="Times New Roman"/>
      <family val="1"/>
    </font>
    <font>
      <b/>
      <sz val="10"/>
      <name val="Times New Roman"/>
      <family val="1"/>
    </font>
    <font>
      <b/>
      <sz val="16"/>
      <name val="Times New Roman"/>
      <family val="1"/>
    </font>
    <font>
      <b/>
      <sz val="14"/>
      <name val="Times New Roman"/>
      <family val="1"/>
    </font>
    <font>
      <b/>
      <sz val="20"/>
      <name val="Arial"/>
      <family val="2"/>
    </font>
    <font>
      <b/>
      <sz val="11"/>
      <color theme="1"/>
      <name val="Calibri"/>
      <family val="2"/>
      <scheme val="minor"/>
    </font>
    <font>
      <sz val="10"/>
      <color theme="1"/>
      <name val="Calibri"/>
      <family val="2"/>
      <scheme val="minor"/>
    </font>
    <font>
      <b/>
      <i/>
      <sz val="24"/>
      <name val="Arial"/>
      <family val="2"/>
    </font>
    <font>
      <b/>
      <i/>
      <sz val="8"/>
      <color rgb="FF0000FF"/>
      <name val="Arial"/>
      <family val="2"/>
    </font>
    <font>
      <b/>
      <sz val="8"/>
      <color rgb="FF0000FF"/>
      <name val="Arial"/>
      <family val="2"/>
    </font>
    <font>
      <sz val="8"/>
      <color rgb="FFC00000"/>
      <name val="Arial"/>
      <family val="2"/>
    </font>
    <font>
      <b/>
      <sz val="8"/>
      <color indexed="12"/>
      <name val="Arial"/>
      <family val="2"/>
    </font>
    <font>
      <u/>
      <sz val="8"/>
      <name val="Arial"/>
      <family val="2"/>
    </font>
    <font>
      <sz val="8"/>
      <color rgb="FF0000FF"/>
      <name val="Arial"/>
      <family val="2"/>
    </font>
    <font>
      <b/>
      <sz val="8"/>
      <color rgb="FFC00000"/>
      <name val="Arial"/>
      <family val="2"/>
    </font>
    <font>
      <b/>
      <sz val="10"/>
      <color theme="6" tint="-0.499984740745262"/>
      <name val="Arial"/>
      <family val="2"/>
    </font>
    <font>
      <sz val="24"/>
      <color rgb="FFFF0000"/>
      <name val="Arial"/>
      <family val="2"/>
    </font>
    <font>
      <sz val="6"/>
      <name val="Times New Roman"/>
      <family val="1"/>
    </font>
    <font>
      <b/>
      <sz val="6"/>
      <name val="Arial"/>
      <family val="2"/>
    </font>
    <font>
      <sz val="8"/>
      <color indexed="10"/>
      <name val="Times New Roman"/>
      <family val="1"/>
    </font>
    <font>
      <b/>
      <sz val="5"/>
      <color rgb="FFFF0000"/>
      <name val="Arial"/>
      <family val="2"/>
    </font>
    <font>
      <b/>
      <sz val="5"/>
      <name val="Arial"/>
      <family val="2"/>
    </font>
    <font>
      <b/>
      <sz val="24"/>
      <color theme="2" tint="-0.749992370372631"/>
      <name val="Arial"/>
      <family val="2"/>
    </font>
    <font>
      <b/>
      <sz val="12"/>
      <color theme="2" tint="-0.749992370372631"/>
      <name val="Arial"/>
      <family val="2"/>
    </font>
    <font>
      <sz val="10"/>
      <color theme="2" tint="-0.749992370372631"/>
      <name val="Arial"/>
      <family val="2"/>
    </font>
    <font>
      <b/>
      <sz val="10"/>
      <color theme="2" tint="-0.749992370372631"/>
      <name val="Arial"/>
      <family val="2"/>
    </font>
    <font>
      <b/>
      <i/>
      <u/>
      <sz val="10"/>
      <color theme="2" tint="-0.749992370372631"/>
      <name val="Arial"/>
      <family val="2"/>
    </font>
    <font>
      <b/>
      <sz val="6.5"/>
      <color theme="2" tint="-0.749992370372631"/>
      <name val="Arial"/>
      <family val="2"/>
    </font>
    <font>
      <b/>
      <sz val="9"/>
      <color theme="1"/>
      <name val="Calibri"/>
      <family val="2"/>
      <scheme val="minor"/>
    </font>
    <font>
      <sz val="11"/>
      <color rgb="FF0000FF"/>
      <name val="Calibri"/>
      <family val="2"/>
      <scheme val="minor"/>
    </font>
    <font>
      <b/>
      <sz val="8"/>
      <color rgb="FFFF0000"/>
      <name val="Arial"/>
      <family val="2"/>
    </font>
    <font>
      <sz val="10"/>
      <color rgb="FF0000FF"/>
      <name val="Arial"/>
      <family val="2"/>
    </font>
    <font>
      <b/>
      <i/>
      <sz val="8"/>
      <color theme="9" tint="-0.499984740745262"/>
      <name val="Arial"/>
      <family val="2"/>
    </font>
    <font>
      <sz val="10"/>
      <color theme="9" tint="-0.499984740745262"/>
      <name val="Arial"/>
      <family val="2"/>
    </font>
    <font>
      <b/>
      <u/>
      <sz val="12"/>
      <color indexed="39"/>
      <name val="Arial"/>
      <family val="2"/>
    </font>
    <font>
      <sz val="12"/>
      <color theme="2" tint="-0.749992370372631"/>
      <name val="Arial"/>
      <family val="2"/>
    </font>
    <font>
      <b/>
      <u/>
      <sz val="8"/>
      <name val="Arial"/>
      <family val="2"/>
    </font>
    <font>
      <b/>
      <sz val="7"/>
      <color theme="2" tint="-0.749992370372631"/>
      <name val="Arial"/>
      <family val="2"/>
    </font>
    <font>
      <b/>
      <sz val="10"/>
      <color rgb="FF000000"/>
      <name val="Arial"/>
      <family val="2"/>
    </font>
    <font>
      <sz val="9"/>
      <color rgb="FFFF0000"/>
      <name val="Arial"/>
      <family val="2"/>
    </font>
    <font>
      <sz val="8"/>
      <color rgb="FF0000FF"/>
      <name val="Calibri"/>
      <family val="2"/>
    </font>
    <font>
      <b/>
      <sz val="9"/>
      <color rgb="FFFF0000"/>
      <name val="Arial"/>
      <family val="2"/>
    </font>
    <font>
      <sz val="12"/>
      <name val="Times New Roman"/>
      <family val="1"/>
    </font>
    <font>
      <sz val="11"/>
      <name val="Calibri"/>
      <family val="2"/>
      <scheme val="minor"/>
    </font>
    <font>
      <b/>
      <sz val="14"/>
      <name val="Arial"/>
      <family val="2"/>
    </font>
    <font>
      <sz val="9"/>
      <color indexed="81"/>
      <name val="Tahoma"/>
      <family val="2"/>
    </font>
    <font>
      <b/>
      <sz val="9"/>
      <color indexed="81"/>
      <name val="Tahoma"/>
      <family val="2"/>
    </font>
    <font>
      <sz val="10"/>
      <color rgb="FFFF0000"/>
      <name val="Arial"/>
      <family val="2"/>
    </font>
  </fonts>
  <fills count="52">
    <fill>
      <patternFill patternType="none"/>
    </fill>
    <fill>
      <patternFill patternType="gray125"/>
    </fill>
    <fill>
      <patternFill patternType="solid">
        <fgColor indexed="41"/>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
      <patternFill patternType="solid">
        <fgColor indexed="43"/>
        <bgColor indexed="64"/>
      </patternFill>
    </fill>
    <fill>
      <patternFill patternType="solid">
        <fgColor rgb="FFFFFF99"/>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2" tint="-0.249977111117893"/>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8" tint="-0.249977111117893"/>
        <bgColor indexed="64"/>
      </patternFill>
    </fill>
    <fill>
      <patternFill patternType="solid">
        <fgColor theme="6" tint="0.79998168889431442"/>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2" tint="-0.749992370372631"/>
        <bgColor indexed="64"/>
      </patternFill>
    </fill>
    <fill>
      <patternFill patternType="solid">
        <fgColor theme="2" tint="-9.9978637043366805E-2"/>
        <bgColor indexed="64"/>
      </patternFill>
    </fill>
    <fill>
      <patternFill patternType="solid">
        <fgColor rgb="FFD60093"/>
        <bgColor indexed="64"/>
      </patternFill>
    </fill>
    <fill>
      <patternFill patternType="solid">
        <fgColor rgb="FFFF66CC"/>
        <bgColor indexed="64"/>
      </patternFill>
    </fill>
    <fill>
      <patternFill patternType="solid">
        <fgColor rgb="FFFFCCCC"/>
        <bgColor indexed="64"/>
      </patternFill>
    </fill>
    <fill>
      <patternFill patternType="solid">
        <fgColor rgb="FFCC9900"/>
        <bgColor indexed="64"/>
      </patternFill>
    </fill>
    <fill>
      <patternFill patternType="solid">
        <fgColor rgb="FF993300"/>
        <bgColor indexed="64"/>
      </patternFill>
    </fill>
    <fill>
      <patternFill patternType="solid">
        <fgColor rgb="FFFF6600"/>
        <bgColor indexed="64"/>
      </patternFill>
    </fill>
    <fill>
      <patternFill patternType="solid">
        <fgColor rgb="FFFF9999"/>
        <bgColor indexed="64"/>
      </patternFill>
    </fill>
    <fill>
      <patternFill patternType="solid">
        <fgColor indexed="31"/>
        <bgColor indexed="64"/>
      </patternFill>
    </fill>
    <fill>
      <patternFill patternType="solid">
        <fgColor rgb="FFFFFFFF"/>
      </patternFill>
    </fill>
    <fill>
      <patternFill patternType="solid">
        <fgColor rgb="FFCCFFFF"/>
        <bgColor indexed="64"/>
      </patternFill>
    </fill>
    <fill>
      <patternFill patternType="solid">
        <fgColor rgb="FF66CCFF"/>
        <bgColor indexed="64"/>
      </patternFill>
    </fill>
    <fill>
      <patternFill patternType="solid">
        <fgColor rgb="FFCCFFCC"/>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2"/>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rgb="FFCCFF66"/>
        <bgColor indexed="64"/>
      </patternFill>
    </fill>
  </fills>
  <borders count="9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23"/>
      </left>
      <right style="medium">
        <color indexed="23"/>
      </right>
      <top style="medium">
        <color indexed="64"/>
      </top>
      <bottom style="medium">
        <color indexed="64"/>
      </bottom>
      <diagonal/>
    </border>
    <border>
      <left/>
      <right/>
      <top style="medium">
        <color indexed="64"/>
      </top>
      <bottom style="medium">
        <color indexed="64"/>
      </bottom>
      <diagonal/>
    </border>
    <border>
      <left style="medium">
        <color indexed="23"/>
      </left>
      <right/>
      <top style="medium">
        <color indexed="64"/>
      </top>
      <bottom style="medium">
        <color indexed="64"/>
      </bottom>
      <diagonal/>
    </border>
    <border>
      <left style="medium">
        <color indexed="64"/>
      </left>
      <right style="medium">
        <color indexed="23"/>
      </right>
      <top style="medium">
        <color indexed="64"/>
      </top>
      <bottom/>
      <diagonal/>
    </border>
    <border>
      <left style="medium">
        <color indexed="23"/>
      </left>
      <right style="medium">
        <color indexed="23"/>
      </right>
      <top style="medium">
        <color indexed="64"/>
      </top>
      <bottom/>
      <diagonal/>
    </border>
    <border>
      <left style="medium">
        <color indexed="64"/>
      </left>
      <right style="medium">
        <color indexed="23"/>
      </right>
      <top style="medium">
        <color indexed="64"/>
      </top>
      <bottom style="medium">
        <color indexed="23"/>
      </bottom>
      <diagonal/>
    </border>
    <border>
      <left/>
      <right/>
      <top style="thick">
        <color indexed="64"/>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top/>
      <bottom/>
      <diagonal/>
    </border>
    <border>
      <left/>
      <right style="thick">
        <color indexed="64"/>
      </right>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style="thick">
        <color indexed="64"/>
      </right>
      <top style="thick">
        <color indexed="64"/>
      </top>
      <bottom/>
      <diagonal/>
    </border>
    <border>
      <left style="thick">
        <color indexed="64"/>
      </left>
      <right style="thick">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diagonal/>
    </border>
    <border>
      <left style="thick">
        <color indexed="64"/>
      </left>
      <right/>
      <top style="thick">
        <color indexed="64"/>
      </top>
      <bottom/>
      <diagonal/>
    </border>
    <border>
      <left style="thin">
        <color indexed="64"/>
      </left>
      <right/>
      <top/>
      <bottom style="thin">
        <color indexed="64"/>
      </bottom>
      <diagonal/>
    </border>
    <border>
      <left style="thick">
        <color indexed="64"/>
      </left>
      <right/>
      <top/>
      <bottom style="dashed">
        <color indexed="64"/>
      </bottom>
      <diagonal/>
    </border>
    <border>
      <left/>
      <right/>
      <top/>
      <bottom style="dashed">
        <color indexed="64"/>
      </bottom>
      <diagonal/>
    </border>
    <border>
      <left/>
      <right style="thick">
        <color indexed="64"/>
      </right>
      <top/>
      <bottom style="dashed">
        <color indexed="64"/>
      </bottom>
      <diagonal/>
    </border>
    <border>
      <left style="thick">
        <color indexed="64"/>
      </left>
      <right style="thin">
        <color indexed="64"/>
      </right>
      <top style="thick">
        <color indexed="64"/>
      </top>
      <bottom/>
      <diagonal/>
    </border>
    <border>
      <left style="thin">
        <color indexed="64"/>
      </left>
      <right style="thick">
        <color indexed="64"/>
      </right>
      <top style="thick">
        <color indexed="64"/>
      </top>
      <bottom/>
      <diagonal/>
    </border>
    <border>
      <left style="thick">
        <color indexed="64"/>
      </left>
      <right style="thin">
        <color indexed="64"/>
      </right>
      <top/>
      <bottom/>
      <diagonal/>
    </border>
    <border>
      <left style="thin">
        <color indexed="64"/>
      </left>
      <right style="thick">
        <color indexed="64"/>
      </right>
      <top/>
      <bottom/>
      <diagonal/>
    </border>
    <border>
      <left style="thick">
        <color indexed="64"/>
      </left>
      <right style="thin">
        <color indexed="64"/>
      </right>
      <top/>
      <bottom style="thick">
        <color indexed="64"/>
      </bottom>
      <diagonal/>
    </border>
    <border>
      <left/>
      <right/>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medium">
        <color indexed="64"/>
      </bottom>
      <diagonal/>
    </border>
    <border>
      <left style="thin">
        <color indexed="64"/>
      </left>
      <right/>
      <top style="thick">
        <color indexed="64"/>
      </top>
      <bottom/>
      <diagonal/>
    </border>
    <border>
      <left style="thin">
        <color indexed="64"/>
      </left>
      <right style="thick">
        <color indexed="64"/>
      </right>
      <top/>
      <bottom style="thin">
        <color indexed="64"/>
      </bottom>
      <diagonal/>
    </border>
    <border>
      <left/>
      <right/>
      <top style="thin">
        <color auto="1"/>
      </top>
      <bottom/>
      <diagonal/>
    </border>
    <border>
      <left/>
      <right/>
      <top style="thin">
        <color indexed="64"/>
      </top>
      <bottom style="thin">
        <color indexed="64"/>
      </bottom>
      <diagonal/>
    </border>
    <border>
      <left style="medium">
        <color auto="1"/>
      </left>
      <right style="thin">
        <color auto="1"/>
      </right>
      <top style="medium">
        <color auto="1"/>
      </top>
      <bottom/>
      <diagonal/>
    </border>
    <border>
      <left style="medium">
        <color indexed="23"/>
      </left>
      <right style="medium">
        <color indexed="23"/>
      </right>
      <top style="medium">
        <color indexed="23"/>
      </top>
      <bottom style="medium">
        <color indexed="23"/>
      </bottom>
      <diagonal/>
    </border>
    <border>
      <left style="thick">
        <color indexed="64"/>
      </left>
      <right/>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ck">
        <color auto="1"/>
      </left>
      <right style="thin">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ck">
        <color indexed="64"/>
      </left>
      <right style="thick">
        <color auto="1"/>
      </right>
      <top style="thick">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style="thick">
        <color indexed="64"/>
      </left>
      <right/>
      <top style="dashed">
        <color indexed="64"/>
      </top>
      <bottom/>
      <diagonal/>
    </border>
    <border>
      <left style="dashed">
        <color auto="1"/>
      </left>
      <right style="dashed">
        <color auto="1"/>
      </right>
      <top style="dashed">
        <color auto="1"/>
      </top>
      <bottom/>
      <diagonal/>
    </border>
    <border>
      <left style="dashed">
        <color auto="1"/>
      </left>
      <right style="dashed">
        <color auto="1"/>
      </right>
      <top/>
      <bottom/>
      <diagonal/>
    </border>
    <border>
      <left style="dashed">
        <color auto="1"/>
      </left>
      <right style="dashed">
        <color auto="1"/>
      </right>
      <top/>
      <bottom style="dashed">
        <color auto="1"/>
      </bottom>
      <diagonal/>
    </border>
    <border>
      <left style="medium">
        <color indexed="23"/>
      </left>
      <right/>
      <top/>
      <bottom style="medium">
        <color indexed="23"/>
      </bottom>
      <diagonal/>
    </border>
    <border>
      <left style="medium">
        <color indexed="23"/>
      </left>
      <right/>
      <top style="medium">
        <color indexed="23"/>
      </top>
      <bottom style="medium">
        <color indexed="23"/>
      </bottom>
      <diagonal/>
    </border>
    <border>
      <left style="medium">
        <color auto="1"/>
      </left>
      <right style="medium">
        <color auto="1"/>
      </right>
      <top style="medium">
        <color auto="1"/>
      </top>
      <bottom style="medium">
        <color auto="1"/>
      </bottom>
      <diagonal/>
    </border>
    <border>
      <left style="medium">
        <color indexed="23"/>
      </left>
      <right style="medium">
        <color indexed="23"/>
      </right>
      <top style="medium">
        <color indexed="23"/>
      </top>
      <bottom style="medium">
        <color indexed="23"/>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indexed="64"/>
      </left>
      <right/>
      <top style="medium">
        <color indexed="64"/>
      </top>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s>
  <cellStyleXfs count="11">
    <xf numFmtId="0" fontId="0" fillId="0" borderId="0"/>
    <xf numFmtId="0" fontId="6" fillId="0" borderId="0" applyNumberFormat="0" applyFill="0" applyBorder="0" applyAlignment="0" applyProtection="0">
      <alignment vertical="top"/>
      <protection locked="0"/>
    </xf>
    <xf numFmtId="0" fontId="15" fillId="0" borderId="0"/>
    <xf numFmtId="0" fontId="15" fillId="0" borderId="0"/>
    <xf numFmtId="0" fontId="13" fillId="0" borderId="0"/>
    <xf numFmtId="0" fontId="3" fillId="0" borderId="0"/>
    <xf numFmtId="0" fontId="45" fillId="0" borderId="0"/>
    <xf numFmtId="0" fontId="51" fillId="0" borderId="0"/>
    <xf numFmtId="0" fontId="3" fillId="0" borderId="0"/>
    <xf numFmtId="0" fontId="2" fillId="0" borderId="0"/>
    <xf numFmtId="0" fontId="7" fillId="0" borderId="0"/>
  </cellStyleXfs>
  <cellXfs count="663">
    <xf numFmtId="0" fontId="0" fillId="0" borderId="0" xfId="0"/>
    <xf numFmtId="0" fontId="0" fillId="0" borderId="0" xfId="0" applyAlignment="1">
      <alignment wrapText="1"/>
    </xf>
    <xf numFmtId="0" fontId="9" fillId="0" borderId="0" xfId="0" applyFont="1"/>
    <xf numFmtId="0" fontId="0" fillId="0" borderId="0" xfId="0" applyAlignment="1">
      <alignment horizontal="center" vertical="center"/>
    </xf>
    <xf numFmtId="0" fontId="0" fillId="0" borderId="0" xfId="0" applyAlignment="1">
      <alignment horizontal="left" vertical="top" wrapText="1"/>
    </xf>
    <xf numFmtId="0" fontId="9" fillId="0" borderId="0" xfId="0" applyFont="1" applyAlignment="1">
      <alignment horizontal="left" vertical="top"/>
    </xf>
    <xf numFmtId="0" fontId="9" fillId="0" borderId="0" xfId="0" applyFont="1" applyAlignment="1">
      <alignment horizontal="center"/>
    </xf>
    <xf numFmtId="0" fontId="4" fillId="0" borderId="0" xfId="0" applyFont="1"/>
    <xf numFmtId="0" fontId="7" fillId="0" borderId="0" xfId="0" applyFont="1" applyFill="1" applyBorder="1"/>
    <xf numFmtId="0" fontId="0" fillId="0" borderId="0" xfId="0" applyFill="1" applyBorder="1"/>
    <xf numFmtId="0" fontId="10" fillId="0" borderId="0" xfId="0" applyFont="1" applyFill="1" applyAlignment="1">
      <alignment horizontal="left"/>
    </xf>
    <xf numFmtId="0" fontId="10" fillId="0" borderId="0" xfId="0" applyFont="1" applyAlignment="1">
      <alignment horizontal="left"/>
    </xf>
    <xf numFmtId="0" fontId="8" fillId="2" borderId="13" xfId="0" applyFont="1" applyFill="1" applyBorder="1" applyAlignment="1">
      <alignment horizontal="left" wrapText="1"/>
    </xf>
    <xf numFmtId="0" fontId="4" fillId="0" borderId="1" xfId="0" applyFont="1" applyBorder="1" applyAlignment="1">
      <alignment vertical="top" wrapText="1"/>
    </xf>
    <xf numFmtId="0" fontId="0" fillId="5" borderId="0" xfId="0" applyFill="1" applyAlignment="1">
      <alignment horizontal="left" vertical="top" wrapText="1"/>
    </xf>
    <xf numFmtId="0" fontId="9" fillId="0" borderId="0" xfId="0" applyFont="1" applyFill="1" applyAlignment="1">
      <alignment horizontal="center"/>
    </xf>
    <xf numFmtId="0" fontId="14" fillId="2" borderId="12" xfId="0" applyFont="1" applyFill="1" applyBorder="1" applyAlignment="1">
      <alignment horizontal="left" wrapText="1"/>
    </xf>
    <xf numFmtId="0" fontId="9" fillId="0" borderId="0" xfId="0" applyFont="1" applyAlignment="1" applyProtection="1">
      <alignment horizontal="left" vertical="top"/>
      <protection locked="0"/>
    </xf>
    <xf numFmtId="0" fontId="9" fillId="0" borderId="0" xfId="0" applyFont="1" applyFill="1" applyAlignment="1" applyProtection="1">
      <alignment horizontal="left" vertical="top"/>
      <protection locked="0"/>
    </xf>
    <xf numFmtId="0" fontId="7" fillId="3" borderId="1" xfId="0" applyFont="1" applyFill="1" applyBorder="1" applyAlignment="1" applyProtection="1">
      <alignment vertical="top" wrapText="1"/>
      <protection locked="0"/>
    </xf>
    <xf numFmtId="0" fontId="9" fillId="0" borderId="0" xfId="0" applyFont="1" applyAlignment="1" applyProtection="1">
      <alignment horizontal="left" vertical="top"/>
    </xf>
    <xf numFmtId="0" fontId="9" fillId="4" borderId="0" xfId="0" applyFont="1" applyFill="1" applyAlignment="1" applyProtection="1">
      <alignment horizontal="left" vertical="top"/>
      <protection locked="0"/>
    </xf>
    <xf numFmtId="0" fontId="10" fillId="4" borderId="0" xfId="0" applyFont="1" applyFill="1" applyAlignment="1">
      <alignment horizontal="left"/>
    </xf>
    <xf numFmtId="0" fontId="9" fillId="4" borderId="0" xfId="0" applyFont="1" applyFill="1" applyAlignment="1">
      <alignment horizontal="left" vertical="top"/>
    </xf>
    <xf numFmtId="0" fontId="9" fillId="4" borderId="0" xfId="0" applyFont="1" applyFill="1" applyAlignment="1" applyProtection="1">
      <alignment horizontal="left" vertical="top"/>
    </xf>
    <xf numFmtId="0" fontId="9" fillId="4" borderId="0" xfId="0" applyFont="1" applyFill="1" applyAlignment="1">
      <alignment horizontal="center"/>
    </xf>
    <xf numFmtId="0" fontId="0" fillId="4" borderId="0" xfId="0" applyFill="1"/>
    <xf numFmtId="0" fontId="9" fillId="4" borderId="0" xfId="0" applyFont="1" applyFill="1" applyAlignment="1">
      <alignment horizontal="left"/>
    </xf>
    <xf numFmtId="0" fontId="4" fillId="4" borderId="0" xfId="0" applyFont="1" applyFill="1"/>
    <xf numFmtId="0" fontId="0" fillId="0" borderId="0" xfId="0" applyAlignment="1">
      <alignment horizontal="center"/>
    </xf>
    <xf numFmtId="0" fontId="8" fillId="2" borderId="13" xfId="0" applyFont="1" applyFill="1" applyBorder="1" applyAlignment="1">
      <alignment horizontal="center" wrapText="1"/>
    </xf>
    <xf numFmtId="0" fontId="7" fillId="0" borderId="0" xfId="0" applyFont="1" applyFill="1" applyAlignment="1">
      <alignment horizontal="center" vertical="top" wrapText="1"/>
    </xf>
    <xf numFmtId="49" fontId="7" fillId="3" borderId="1" xfId="0" applyNumberFormat="1" applyFont="1" applyFill="1" applyBorder="1" applyAlignment="1" applyProtection="1">
      <alignment horizontal="center" vertical="top" wrapText="1"/>
      <protection locked="0"/>
    </xf>
    <xf numFmtId="0" fontId="0" fillId="8" borderId="0" xfId="0" applyFill="1" applyBorder="1"/>
    <xf numFmtId="0" fontId="9" fillId="0" borderId="0" xfId="0" applyFont="1" applyFill="1" applyAlignment="1">
      <alignment horizontal="left" vertical="top"/>
    </xf>
    <xf numFmtId="0" fontId="9" fillId="0" borderId="0" xfId="0" applyFont="1" applyFill="1" applyAlignment="1" applyProtection="1">
      <alignment horizontal="left" vertical="top"/>
    </xf>
    <xf numFmtId="0" fontId="0" fillId="0" borderId="0" xfId="0" applyFill="1" applyBorder="1" applyAlignment="1">
      <alignment horizontal="center" vertical="center"/>
    </xf>
    <xf numFmtId="0" fontId="0" fillId="8" borderId="0" xfId="0" applyFill="1" applyBorder="1" applyAlignment="1">
      <alignment horizontal="center" vertical="center"/>
    </xf>
    <xf numFmtId="0" fontId="4" fillId="0" borderId="0" xfId="0" applyFont="1" applyFill="1"/>
    <xf numFmtId="0" fontId="9" fillId="0" borderId="0" xfId="0" applyFont="1" applyAlignment="1">
      <alignment horizontal="center" vertical="center"/>
    </xf>
    <xf numFmtId="0" fontId="7" fillId="0" borderId="0" xfId="0" applyFont="1" applyFill="1" applyBorder="1" applyAlignment="1">
      <alignment horizontal="center" vertical="center"/>
    </xf>
    <xf numFmtId="0" fontId="7" fillId="8" borderId="0" xfId="0" applyFont="1" applyFill="1" applyBorder="1" applyAlignment="1">
      <alignment horizontal="center" vertical="center"/>
    </xf>
    <xf numFmtId="0" fontId="17" fillId="0" borderId="35" xfId="0" applyFont="1" applyFill="1" applyBorder="1" applyAlignment="1">
      <alignment horizontal="center" vertical="center" wrapText="1"/>
    </xf>
    <xf numFmtId="0" fontId="8" fillId="0" borderId="0" xfId="0" applyFont="1" applyAlignment="1">
      <alignment horizontal="center" vertical="center"/>
    </xf>
    <xf numFmtId="0" fontId="5" fillId="0" borderId="0" xfId="0" applyFont="1" applyAlignment="1">
      <alignment horizontal="center" vertical="center"/>
    </xf>
    <xf numFmtId="0" fontId="21" fillId="0" borderId="0" xfId="0" applyFont="1" applyFill="1" applyAlignment="1">
      <alignment horizontal="left"/>
    </xf>
    <xf numFmtId="0" fontId="21" fillId="0" borderId="0" xfId="0" applyFont="1" applyAlignment="1">
      <alignment horizontal="left"/>
    </xf>
    <xf numFmtId="0" fontId="3" fillId="2" borderId="0" xfId="0" applyFont="1" applyFill="1" applyAlignment="1">
      <alignment horizontal="left" vertical="top" wrapText="1"/>
    </xf>
    <xf numFmtId="0" fontId="3" fillId="6" borderId="0" xfId="0" applyFont="1" applyFill="1" applyAlignment="1">
      <alignment horizontal="left" vertical="top" wrapText="1"/>
    </xf>
    <xf numFmtId="0" fontId="23" fillId="0" borderId="0" xfId="5" applyFont="1" applyProtection="1"/>
    <xf numFmtId="0" fontId="24" fillId="0" borderId="0" xfId="5" quotePrefix="1" applyFont="1" applyAlignment="1" applyProtection="1">
      <alignment horizontal="left"/>
    </xf>
    <xf numFmtId="0" fontId="3" fillId="0" borderId="0" xfId="5" applyProtection="1"/>
    <xf numFmtId="0" fontId="3" fillId="0" borderId="0" xfId="5" applyFont="1" applyProtection="1"/>
    <xf numFmtId="0" fontId="3" fillId="0" borderId="0" xfId="5" applyFont="1"/>
    <xf numFmtId="0" fontId="25" fillId="0" borderId="0" xfId="5" applyFont="1" applyFill="1" applyBorder="1"/>
    <xf numFmtId="0" fontId="26" fillId="0" borderId="0" xfId="5" applyFont="1" applyFill="1" applyBorder="1"/>
    <xf numFmtId="0" fontId="3" fillId="0" borderId="0" xfId="5" applyFont="1" applyFill="1" applyBorder="1"/>
    <xf numFmtId="0" fontId="3" fillId="0" borderId="0" xfId="5" applyFill="1" applyBorder="1"/>
    <xf numFmtId="0" fontId="3" fillId="0" borderId="0" xfId="5"/>
    <xf numFmtId="0" fontId="27" fillId="39" borderId="21" xfId="5" quotePrefix="1" applyFont="1" applyFill="1" applyBorder="1" applyAlignment="1" applyProtection="1">
      <alignment horizontal="left"/>
    </xf>
    <xf numFmtId="0" fontId="28" fillId="39" borderId="15" xfId="5" applyFont="1" applyFill="1" applyBorder="1" applyProtection="1"/>
    <xf numFmtId="0" fontId="28" fillId="39" borderId="22" xfId="5" applyFont="1" applyFill="1" applyBorder="1" applyProtection="1"/>
    <xf numFmtId="0" fontId="3" fillId="39" borderId="23" xfId="5" applyFont="1" applyFill="1" applyBorder="1" applyProtection="1"/>
    <xf numFmtId="0" fontId="3" fillId="0" borderId="0" xfId="5" applyBorder="1"/>
    <xf numFmtId="0" fontId="3" fillId="3" borderId="15" xfId="5" applyFont="1" applyFill="1" applyBorder="1" applyProtection="1"/>
    <xf numFmtId="0" fontId="3" fillId="3" borderId="0" xfId="5" applyFont="1" applyFill="1" applyBorder="1" applyProtection="1"/>
    <xf numFmtId="0" fontId="29" fillId="3" borderId="15" xfId="5" applyFont="1" applyFill="1" applyBorder="1" applyAlignment="1" applyProtection="1">
      <alignment horizontal="right"/>
    </xf>
    <xf numFmtId="0" fontId="31" fillId="0" borderId="0" xfId="5" quotePrefix="1" applyFont="1" applyAlignment="1">
      <alignment horizontal="left"/>
    </xf>
    <xf numFmtId="0" fontId="7" fillId="0" borderId="0" xfId="5" quotePrefix="1" applyFont="1" applyFill="1" applyBorder="1" applyAlignment="1">
      <alignment horizontal="center"/>
    </xf>
    <xf numFmtId="0" fontId="7" fillId="0" borderId="0" xfId="5" applyFont="1" applyFill="1" applyBorder="1" applyAlignment="1">
      <alignment horizontal="center"/>
    </xf>
    <xf numFmtId="0" fontId="32" fillId="0" borderId="0" xfId="5" quotePrefix="1" applyFont="1" applyFill="1" applyBorder="1" applyAlignment="1">
      <alignment horizontal="center"/>
    </xf>
    <xf numFmtId="0" fontId="25" fillId="0" borderId="0" xfId="5" applyFont="1" applyProtection="1"/>
    <xf numFmtId="0" fontId="29" fillId="3" borderId="0" xfId="5" quotePrefix="1" applyFont="1" applyFill="1" applyBorder="1" applyAlignment="1" applyProtection="1">
      <alignment horizontal="right"/>
    </xf>
    <xf numFmtId="0" fontId="25" fillId="0" borderId="0" xfId="5" applyFont="1"/>
    <xf numFmtId="0" fontId="33" fillId="0" borderId="0" xfId="5" applyFont="1"/>
    <xf numFmtId="0" fontId="34" fillId="0" borderId="0" xfId="5" quotePrefix="1" applyFont="1" applyFill="1" applyBorder="1" applyAlignment="1">
      <alignment horizontal="center"/>
    </xf>
    <xf numFmtId="0" fontId="34" fillId="0" borderId="0" xfId="5" applyFont="1" applyFill="1" applyBorder="1" applyAlignment="1">
      <alignment horizontal="center"/>
    </xf>
    <xf numFmtId="0" fontId="35" fillId="0" borderId="0" xfId="5" quotePrefix="1" applyFont="1" applyFill="1" applyBorder="1" applyAlignment="1" applyProtection="1">
      <alignment horizontal="center"/>
    </xf>
    <xf numFmtId="0" fontId="35" fillId="0" borderId="0" xfId="5" applyFont="1" applyFill="1" applyBorder="1" applyAlignment="1">
      <alignment horizontal="left"/>
    </xf>
    <xf numFmtId="0" fontId="3" fillId="3" borderId="0" xfId="5" applyFill="1" applyBorder="1" applyProtection="1"/>
    <xf numFmtId="0" fontId="30" fillId="3" borderId="0" xfId="5" applyFont="1" applyFill="1" applyBorder="1" applyAlignment="1" applyProtection="1">
      <alignment horizontal="left"/>
    </xf>
    <xf numFmtId="0" fontId="36" fillId="0" borderId="0" xfId="5" quotePrefix="1" applyFont="1" applyAlignment="1">
      <alignment horizontal="left"/>
    </xf>
    <xf numFmtId="0" fontId="3" fillId="3" borderId="20" xfId="5" applyFont="1" applyFill="1" applyBorder="1" applyProtection="1"/>
    <xf numFmtId="0" fontId="37" fillId="0" borderId="0" xfId="5" applyNumberFormat="1" applyFont="1" applyFill="1" applyBorder="1" applyAlignment="1">
      <alignment horizontal="left"/>
    </xf>
    <xf numFmtId="164" fontId="32" fillId="0" borderId="0" xfId="5" applyNumberFormat="1" applyFont="1" applyFill="1" applyBorder="1" applyAlignment="1">
      <alignment horizontal="right"/>
    </xf>
    <xf numFmtId="164" fontId="38" fillId="0" borderId="0" xfId="5" quotePrefix="1" applyNumberFormat="1" applyFont="1" applyFill="1" applyBorder="1" applyAlignment="1" applyProtection="1">
      <alignment horizontal="right"/>
    </xf>
    <xf numFmtId="0" fontId="29" fillId="0" borderId="0" xfId="5" applyFont="1" applyFill="1" applyBorder="1" applyAlignment="1" applyProtection="1">
      <alignment horizontal="left"/>
    </xf>
    <xf numFmtId="0" fontId="7" fillId="0" borderId="0" xfId="5" applyFont="1" applyFill="1" applyBorder="1"/>
    <xf numFmtId="9" fontId="23" fillId="0" borderId="0" xfId="5" applyNumberFormat="1" applyFont="1" applyProtection="1"/>
    <xf numFmtId="0" fontId="30" fillId="0" borderId="0" xfId="5" applyFont="1" applyFill="1" applyBorder="1" applyAlignment="1" applyProtection="1">
      <alignment horizontal="left"/>
    </xf>
    <xf numFmtId="0" fontId="3" fillId="3" borderId="44" xfId="5" applyFont="1" applyFill="1" applyBorder="1" applyProtection="1"/>
    <xf numFmtId="0" fontId="3" fillId="3" borderId="45" xfId="5" applyFont="1" applyFill="1" applyBorder="1" applyProtection="1"/>
    <xf numFmtId="0" fontId="32" fillId="0" borderId="0" xfId="5" applyNumberFormat="1" applyFont="1" applyFill="1" applyBorder="1" applyAlignment="1">
      <alignment horizontal="left"/>
    </xf>
    <xf numFmtId="164" fontId="38" fillId="0" borderId="0" xfId="5" applyNumberFormat="1" applyFont="1" applyFill="1" applyBorder="1" applyAlignment="1" applyProtection="1">
      <alignment horizontal="right"/>
    </xf>
    <xf numFmtId="0" fontId="32" fillId="0" borderId="0" xfId="5" applyFont="1" applyFill="1" applyBorder="1" applyProtection="1"/>
    <xf numFmtId="0" fontId="30" fillId="0" borderId="0" xfId="5" quotePrefix="1" applyFont="1" applyFill="1" applyBorder="1" applyAlignment="1" applyProtection="1">
      <alignment horizontal="left"/>
    </xf>
    <xf numFmtId="1" fontId="23" fillId="0" borderId="0" xfId="5" applyNumberFormat="1" applyFont="1" applyProtection="1"/>
    <xf numFmtId="0" fontId="33" fillId="0" borderId="0" xfId="5" applyFont="1" applyAlignment="1">
      <alignment horizontal="left"/>
    </xf>
    <xf numFmtId="0" fontId="32" fillId="0" borderId="0" xfId="5" applyFont="1" applyFill="1" applyBorder="1"/>
    <xf numFmtId="0" fontId="25" fillId="0" borderId="0" xfId="5" quotePrefix="1" applyFont="1" applyFill="1" applyBorder="1" applyAlignment="1">
      <alignment horizontal="right"/>
    </xf>
    <xf numFmtId="0" fontId="31" fillId="0" borderId="0" xfId="5" applyFont="1"/>
    <xf numFmtId="0" fontId="37" fillId="0" borderId="0" xfId="5" quotePrefix="1" applyFont="1" applyFill="1" applyBorder="1" applyAlignment="1">
      <alignment horizontal="right"/>
    </xf>
    <xf numFmtId="164" fontId="37" fillId="0" borderId="0" xfId="5" applyNumberFormat="1" applyFont="1" applyFill="1" applyBorder="1" applyAlignment="1">
      <alignment horizontal="right"/>
    </xf>
    <xf numFmtId="164" fontId="34" fillId="0" borderId="0" xfId="5" quotePrefix="1" applyNumberFormat="1" applyFont="1" applyFill="1" applyBorder="1" applyAlignment="1" applyProtection="1">
      <alignment horizontal="right"/>
    </xf>
    <xf numFmtId="0" fontId="7" fillId="3" borderId="0" xfId="5" quotePrefix="1" applyFont="1" applyFill="1" applyBorder="1" applyAlignment="1" applyProtection="1">
      <alignment horizontal="center"/>
    </xf>
    <xf numFmtId="0" fontId="7" fillId="0" borderId="0" xfId="5" applyFont="1" applyFill="1" applyBorder="1" applyAlignment="1">
      <alignment horizontal="right"/>
    </xf>
    <xf numFmtId="164" fontId="7" fillId="0" borderId="0" xfId="5" applyNumberFormat="1" applyFont="1" applyFill="1" applyBorder="1" applyAlignment="1">
      <alignment horizontal="right"/>
    </xf>
    <xf numFmtId="0" fontId="9" fillId="0" borderId="0" xfId="5" applyFont="1" applyFill="1" applyBorder="1"/>
    <xf numFmtId="0" fontId="9" fillId="0" borderId="0" xfId="5" applyFont="1"/>
    <xf numFmtId="0" fontId="7" fillId="0" borderId="0" xfId="5" applyFont="1" applyFill="1" applyBorder="1" applyProtection="1"/>
    <xf numFmtId="0" fontId="9" fillId="0" borderId="0" xfId="5" applyFont="1" applyProtection="1"/>
    <xf numFmtId="0" fontId="9" fillId="3" borderId="17" xfId="5" quotePrefix="1" applyFont="1" applyFill="1" applyBorder="1" applyAlignment="1" applyProtection="1">
      <alignment horizontal="left"/>
    </xf>
    <xf numFmtId="0" fontId="3" fillId="0" borderId="0" xfId="5" applyFont="1" applyFill="1" applyBorder="1" applyProtection="1"/>
    <xf numFmtId="3" fontId="7" fillId="0" borderId="0" xfId="5" applyNumberFormat="1" applyFont="1" applyFill="1" applyBorder="1" applyAlignment="1" applyProtection="1">
      <alignment horizontal="left"/>
      <protection locked="0"/>
    </xf>
    <xf numFmtId="0" fontId="29" fillId="0" borderId="0" xfId="5" quotePrefix="1" applyFont="1" applyFill="1" applyBorder="1" applyAlignment="1">
      <alignment horizontal="left"/>
    </xf>
    <xf numFmtId="164" fontId="41" fillId="0" borderId="0" xfId="5" applyNumberFormat="1" applyFont="1" applyFill="1" applyBorder="1"/>
    <xf numFmtId="0" fontId="7" fillId="0" borderId="0" xfId="5" applyFont="1" applyFill="1" applyBorder="1" applyAlignment="1">
      <alignment horizontal="left"/>
    </xf>
    <xf numFmtId="164" fontId="7" fillId="0" borderId="0" xfId="5" applyNumberFormat="1" applyFont="1" applyFill="1" applyBorder="1" applyAlignment="1" applyProtection="1">
      <alignment horizontal="left"/>
      <protection locked="0"/>
    </xf>
    <xf numFmtId="0" fontId="42" fillId="0" borderId="0" xfId="5" applyFont="1" applyProtection="1"/>
    <xf numFmtId="0" fontId="9" fillId="0" borderId="0" xfId="5" applyFont="1" applyFill="1" applyBorder="1" applyProtection="1"/>
    <xf numFmtId="164" fontId="43" fillId="0" borderId="0" xfId="5" quotePrefix="1" applyNumberFormat="1" applyFont="1" applyFill="1" applyBorder="1" applyAlignment="1" applyProtection="1">
      <alignment horizontal="left"/>
    </xf>
    <xf numFmtId="0" fontId="44" fillId="0" borderId="0" xfId="5" applyFont="1" applyFill="1" applyBorder="1"/>
    <xf numFmtId="0" fontId="3" fillId="0" borderId="0" xfId="5" quotePrefix="1" applyAlignment="1" applyProtection="1">
      <alignment horizontal="left"/>
    </xf>
    <xf numFmtId="0" fontId="23" fillId="0" borderId="0" xfId="0" applyFont="1" applyFill="1" applyAlignment="1" applyProtection="1">
      <alignment horizontal="left" vertical="top"/>
      <protection locked="0"/>
    </xf>
    <xf numFmtId="0" fontId="23" fillId="0" borderId="0" xfId="0" applyFont="1" applyAlignment="1">
      <alignment horizontal="left" vertical="top"/>
    </xf>
    <xf numFmtId="0" fontId="7" fillId="3" borderId="19" xfId="5" quotePrefix="1" applyFont="1" applyFill="1" applyBorder="1" applyAlignment="1" applyProtection="1">
      <alignment horizontal="left"/>
    </xf>
    <xf numFmtId="0" fontId="32" fillId="0" borderId="0" xfId="5" applyFont="1" applyFill="1" applyBorder="1" applyAlignment="1" applyProtection="1">
      <alignment horizontal="left"/>
    </xf>
    <xf numFmtId="0" fontId="47" fillId="3" borderId="19" xfId="5" applyFont="1" applyFill="1" applyBorder="1" applyProtection="1"/>
    <xf numFmtId="0" fontId="7" fillId="3" borderId="16" xfId="5" quotePrefix="1" applyFont="1" applyFill="1" applyBorder="1" applyAlignment="1" applyProtection="1">
      <alignment horizontal="left"/>
    </xf>
    <xf numFmtId="0" fontId="3" fillId="3" borderId="17" xfId="5" applyFont="1" applyFill="1" applyBorder="1" applyProtection="1"/>
    <xf numFmtId="0" fontId="7" fillId="0" borderId="0" xfId="5" applyFont="1" applyFill="1" applyBorder="1" applyAlignment="1" applyProtection="1">
      <alignment horizontal="left"/>
    </xf>
    <xf numFmtId="0" fontId="48" fillId="40" borderId="0" xfId="6" applyFont="1" applyFill="1" applyBorder="1" applyAlignment="1">
      <alignment horizontal="left" vertical="top"/>
    </xf>
    <xf numFmtId="0" fontId="49" fillId="40" borderId="0" xfId="6" applyFont="1" applyFill="1" applyBorder="1" applyAlignment="1">
      <alignment horizontal="left" vertical="top"/>
    </xf>
    <xf numFmtId="166" fontId="51" fillId="0" borderId="0" xfId="7" applyNumberFormat="1" applyFill="1" applyBorder="1" applyAlignment="1" applyProtection="1">
      <alignment horizontal="left"/>
      <protection locked="0"/>
    </xf>
    <xf numFmtId="0" fontId="51" fillId="0" borderId="0" xfId="7" applyFont="1" applyFill="1" applyBorder="1"/>
    <xf numFmtId="0" fontId="3" fillId="0" borderId="1" xfId="0" applyFont="1" applyBorder="1" applyAlignment="1">
      <alignment vertical="top" wrapText="1"/>
    </xf>
    <xf numFmtId="0" fontId="50" fillId="41" borderId="1" xfId="1" applyFont="1" applyFill="1" applyBorder="1" applyAlignment="1" applyProtection="1">
      <alignment horizontal="left" vertical="top" wrapText="1"/>
    </xf>
    <xf numFmtId="1" fontId="52" fillId="0" borderId="0" xfId="7" applyNumberFormat="1" applyFont="1" applyAlignment="1">
      <alignment horizontal="left"/>
    </xf>
    <xf numFmtId="0" fontId="51" fillId="0" borderId="0" xfId="7" applyAlignment="1">
      <alignment horizontal="center"/>
    </xf>
    <xf numFmtId="0" fontId="51" fillId="0" borderId="0" xfId="7"/>
    <xf numFmtId="1" fontId="54" fillId="0" borderId="0" xfId="7" applyNumberFormat="1" applyFont="1" applyAlignment="1">
      <alignment horizontal="left"/>
    </xf>
    <xf numFmtId="0" fontId="51" fillId="0" borderId="0" xfId="7" applyFont="1" applyAlignment="1">
      <alignment horizontal="center"/>
    </xf>
    <xf numFmtId="0" fontId="51" fillId="0" borderId="0" xfId="7" applyFont="1"/>
    <xf numFmtId="1" fontId="53" fillId="0" borderId="0" xfId="7" quotePrefix="1" applyNumberFormat="1" applyFont="1" applyAlignment="1">
      <alignment horizontal="left"/>
    </xf>
    <xf numFmtId="0" fontId="53" fillId="0" borderId="0" xfId="7" applyFont="1"/>
    <xf numFmtId="0" fontId="51" fillId="0" borderId="0" xfId="7" applyFont="1" applyFill="1" applyBorder="1" applyAlignment="1">
      <alignment horizontal="center"/>
    </xf>
    <xf numFmtId="166" fontId="51" fillId="0" borderId="0" xfId="7" quotePrefix="1" applyNumberFormat="1" applyFill="1" applyBorder="1" applyAlignment="1" applyProtection="1">
      <alignment horizontal="left"/>
      <protection locked="0"/>
    </xf>
    <xf numFmtId="0" fontId="53" fillId="0" borderId="0" xfId="7" quotePrefix="1" applyFont="1" applyAlignment="1">
      <alignment horizontal="left"/>
    </xf>
    <xf numFmtId="1" fontId="53" fillId="0" borderId="0" xfId="7" applyNumberFormat="1" applyFont="1" applyAlignment="1">
      <alignment horizontal="center"/>
    </xf>
    <xf numFmtId="0" fontId="53" fillId="0" borderId="0" xfId="7" applyFont="1" applyAlignment="1">
      <alignment horizontal="center"/>
    </xf>
    <xf numFmtId="1" fontId="51" fillId="0" borderId="0" xfId="7" applyNumberFormat="1" applyAlignment="1">
      <alignment horizontal="center"/>
    </xf>
    <xf numFmtId="0" fontId="51" fillId="0" borderId="0" xfId="7" applyAlignment="1">
      <alignment horizontal="left"/>
    </xf>
    <xf numFmtId="0" fontId="51" fillId="0" borderId="0" xfId="7" quotePrefix="1" applyAlignment="1">
      <alignment horizontal="left"/>
    </xf>
    <xf numFmtId="0" fontId="51" fillId="0" borderId="0" xfId="7" quotePrefix="1" applyFont="1" applyAlignment="1">
      <alignment horizontal="left"/>
    </xf>
    <xf numFmtId="0" fontId="51" fillId="0" borderId="0" xfId="7" quotePrefix="1" applyAlignment="1">
      <alignment horizontal="center"/>
    </xf>
    <xf numFmtId="17" fontId="51" fillId="0" borderId="0" xfId="7" applyNumberFormat="1"/>
    <xf numFmtId="17" fontId="51" fillId="0" borderId="0" xfId="7" applyNumberFormat="1" applyAlignment="1">
      <alignment horizontal="center"/>
    </xf>
    <xf numFmtId="1" fontId="51" fillId="0" borderId="0" xfId="7" applyNumberFormat="1" applyFont="1" applyAlignment="1">
      <alignment horizontal="center"/>
    </xf>
    <xf numFmtId="0" fontId="20" fillId="41" borderId="1" xfId="1" applyFont="1" applyFill="1" applyBorder="1" applyAlignment="1" applyProtection="1">
      <alignment horizontal="left" vertical="top" wrapText="1"/>
    </xf>
    <xf numFmtId="0" fontId="57" fillId="0" borderId="0" xfId="1" applyFont="1" applyFill="1" applyBorder="1" applyAlignment="1" applyProtection="1">
      <alignment horizontal="left" wrapText="1"/>
    </xf>
    <xf numFmtId="0" fontId="2" fillId="0" borderId="0" xfId="9" applyFill="1" applyBorder="1"/>
    <xf numFmtId="0" fontId="59" fillId="0" borderId="37" xfId="9" applyFont="1" applyFill="1" applyBorder="1" applyAlignment="1">
      <alignment horizontal="center" vertical="center" textRotation="180"/>
    </xf>
    <xf numFmtId="0" fontId="59" fillId="0" borderId="38" xfId="9" applyFont="1" applyFill="1" applyBorder="1" applyAlignment="1">
      <alignment horizontal="center" vertical="center" textRotation="180"/>
    </xf>
    <xf numFmtId="0" fontId="59" fillId="0" borderId="38" xfId="9" applyFont="1" applyFill="1" applyBorder="1" applyAlignment="1">
      <alignment horizontal="center" vertical="center" textRotation="180" wrapText="1"/>
    </xf>
    <xf numFmtId="0" fontId="59" fillId="0" borderId="39" xfId="9" applyFont="1" applyFill="1" applyBorder="1" applyAlignment="1">
      <alignment horizontal="center" vertical="center" textRotation="180"/>
    </xf>
    <xf numFmtId="0" fontId="2" fillId="0" borderId="7" xfId="9" applyFill="1" applyBorder="1" applyAlignment="1">
      <alignment horizontal="left" wrapText="1"/>
    </xf>
    <xf numFmtId="0" fontId="2" fillId="0" borderId="2" xfId="9" applyFill="1" applyBorder="1" applyAlignment="1">
      <alignment horizontal="left" wrapText="1"/>
    </xf>
    <xf numFmtId="0" fontId="2" fillId="0" borderId="34" xfId="9" applyFill="1" applyBorder="1" applyAlignment="1">
      <alignment horizontal="center" wrapText="1"/>
    </xf>
    <xf numFmtId="0" fontId="2" fillId="0" borderId="34" xfId="9" applyNumberFormat="1" applyFill="1" applyBorder="1" applyAlignment="1">
      <alignment horizontal="center" wrapText="1"/>
    </xf>
    <xf numFmtId="0" fontId="2" fillId="0" borderId="1" xfId="9" applyFill="1" applyBorder="1"/>
    <xf numFmtId="0" fontId="2" fillId="0" borderId="3" xfId="9" applyFill="1" applyBorder="1" applyAlignment="1">
      <alignment horizontal="left" wrapText="1"/>
    </xf>
    <xf numFmtId="0" fontId="2" fillId="0" borderId="55" xfId="9" applyFill="1" applyBorder="1" applyAlignment="1">
      <alignment horizontal="center" wrapText="1"/>
    </xf>
    <xf numFmtId="0" fontId="40" fillId="3" borderId="16" xfId="5" quotePrefix="1" applyFont="1" applyFill="1" applyBorder="1" applyAlignment="1" applyProtection="1">
      <alignment horizontal="left"/>
    </xf>
    <xf numFmtId="0" fontId="23" fillId="0" borderId="0" xfId="5" applyFont="1"/>
    <xf numFmtId="0" fontId="3" fillId="42" borderId="29" xfId="5" applyFill="1" applyBorder="1" applyAlignment="1">
      <alignment horizontal="center"/>
    </xf>
    <xf numFmtId="0" fontId="5" fillId="0" borderId="0" xfId="5" applyFont="1"/>
    <xf numFmtId="0" fontId="17" fillId="2" borderId="1" xfId="5" applyFont="1" applyFill="1" applyBorder="1" applyAlignment="1">
      <alignment horizontal="left" wrapText="1"/>
    </xf>
    <xf numFmtId="0" fontId="17" fillId="2" borderId="1" xfId="5" applyFont="1" applyFill="1" applyBorder="1" applyAlignment="1">
      <alignment horizontal="center" wrapText="1"/>
    </xf>
    <xf numFmtId="0" fontId="17" fillId="3" borderId="1" xfId="5" applyFont="1" applyFill="1" applyBorder="1" applyAlignment="1" applyProtection="1">
      <alignment vertical="top" wrapText="1"/>
      <protection locked="0"/>
    </xf>
    <xf numFmtId="0" fontId="17" fillId="3" borderId="1" xfId="5" applyFont="1" applyFill="1" applyBorder="1" applyAlignment="1">
      <alignment horizontal="left" vertical="top" wrapText="1"/>
    </xf>
    <xf numFmtId="0" fontId="17" fillId="3" borderId="1" xfId="5" applyFont="1" applyFill="1" applyBorder="1" applyAlignment="1" applyProtection="1">
      <alignment horizontal="center" vertical="top" wrapText="1"/>
      <protection locked="0"/>
    </xf>
    <xf numFmtId="0" fontId="17" fillId="8" borderId="1" xfId="5" applyFont="1" applyFill="1" applyBorder="1" applyAlignment="1">
      <alignment horizontal="center" vertical="top" wrapText="1"/>
    </xf>
    <xf numFmtId="0" fontId="62" fillId="8" borderId="1" xfId="5" applyFont="1" applyFill="1" applyBorder="1" applyAlignment="1">
      <alignment horizontal="center" vertical="top" wrapText="1"/>
    </xf>
    <xf numFmtId="164" fontId="62" fillId="8" borderId="1" xfId="5" applyNumberFormat="1" applyFont="1" applyFill="1" applyBorder="1" applyAlignment="1">
      <alignment horizontal="center" vertical="top" wrapText="1"/>
    </xf>
    <xf numFmtId="9" fontId="62" fillId="8" borderId="1" xfId="5" applyNumberFormat="1" applyFont="1" applyFill="1" applyBorder="1" applyAlignment="1">
      <alignment horizontal="center" vertical="top" wrapText="1"/>
    </xf>
    <xf numFmtId="2" fontId="62" fillId="8" borderId="1" xfId="5" applyNumberFormat="1" applyFont="1" applyFill="1" applyBorder="1" applyAlignment="1">
      <alignment horizontal="center" vertical="top" wrapText="1"/>
    </xf>
    <xf numFmtId="164" fontId="17" fillId="8" borderId="1" xfId="5" applyNumberFormat="1" applyFont="1" applyFill="1" applyBorder="1" applyAlignment="1">
      <alignment horizontal="center" vertical="top" wrapText="1"/>
    </xf>
    <xf numFmtId="0" fontId="17" fillId="8" borderId="36" xfId="5" applyFont="1" applyFill="1" applyBorder="1" applyAlignment="1">
      <alignment horizontal="center" vertical="top" wrapText="1"/>
    </xf>
    <xf numFmtId="164" fontId="61" fillId="8" borderId="1" xfId="5" applyNumberFormat="1" applyFont="1" applyFill="1" applyBorder="1" applyAlignment="1">
      <alignment horizontal="center" vertical="top" wrapText="1"/>
    </xf>
    <xf numFmtId="4" fontId="17" fillId="0" borderId="1" xfId="5" quotePrefix="1" applyNumberFormat="1" applyFont="1" applyBorder="1" applyAlignment="1">
      <alignment horizontal="center" vertical="top"/>
    </xf>
    <xf numFmtId="10" fontId="17" fillId="0" borderId="1" xfId="5" quotePrefix="1" applyNumberFormat="1" applyFont="1" applyBorder="1" applyAlignment="1">
      <alignment horizontal="center" vertical="top"/>
    </xf>
    <xf numFmtId="0" fontId="17" fillId="8" borderId="2" xfId="5" applyFont="1" applyFill="1" applyBorder="1" applyAlignment="1">
      <alignment horizontal="center" vertical="top" wrapText="1"/>
    </xf>
    <xf numFmtId="1" fontId="17" fillId="8" borderId="1" xfId="5" applyNumberFormat="1" applyFont="1" applyFill="1" applyBorder="1" applyAlignment="1">
      <alignment horizontal="center" vertical="top" wrapText="1"/>
    </xf>
    <xf numFmtId="1" fontId="17" fillId="0" borderId="1" xfId="5" quotePrefix="1" applyNumberFormat="1" applyFont="1" applyBorder="1" applyAlignment="1">
      <alignment horizontal="center" vertical="top"/>
    </xf>
    <xf numFmtId="4" fontId="17" fillId="0" borderId="1" xfId="5" quotePrefix="1" applyNumberFormat="1" applyFont="1" applyBorder="1" applyAlignment="1">
      <alignment horizontal="left" vertical="top" wrapText="1"/>
    </xf>
    <xf numFmtId="4" fontId="5" fillId="0" borderId="1" xfId="5" quotePrefix="1" applyNumberFormat="1" applyFont="1" applyBorder="1" applyAlignment="1">
      <alignment horizontal="left" vertical="top" wrapText="1"/>
    </xf>
    <xf numFmtId="0" fontId="17" fillId="3" borderId="1" xfId="5" applyFont="1" applyFill="1" applyBorder="1" applyAlignment="1" applyProtection="1">
      <alignment horizontal="left" vertical="top" wrapText="1"/>
      <protection locked="0"/>
    </xf>
    <xf numFmtId="0" fontId="17" fillId="3" borderId="1" xfId="5" applyFont="1" applyFill="1" applyBorder="1" applyAlignment="1">
      <alignment horizontal="center" vertical="top" wrapText="1"/>
    </xf>
    <xf numFmtId="2" fontId="17" fillId="8" borderId="1" xfId="5" applyNumberFormat="1" applyFont="1" applyFill="1" applyBorder="1" applyAlignment="1">
      <alignment horizontal="center" vertical="top" wrapText="1"/>
    </xf>
    <xf numFmtId="9" fontId="17" fillId="8" borderId="1" xfId="5" applyNumberFormat="1" applyFont="1" applyFill="1" applyBorder="1" applyAlignment="1">
      <alignment horizontal="center" vertical="top" wrapText="1"/>
    </xf>
    <xf numFmtId="4" fontId="17" fillId="8" borderId="1" xfId="5" applyNumberFormat="1" applyFont="1" applyFill="1" applyBorder="1" applyAlignment="1">
      <alignment horizontal="center" vertical="top" wrapText="1"/>
    </xf>
    <xf numFmtId="0" fontId="5" fillId="0" borderId="0" xfId="5" applyFont="1" applyAlignment="1">
      <alignment horizontal="center"/>
    </xf>
    <xf numFmtId="2" fontId="5" fillId="0" borderId="0" xfId="5" applyNumberFormat="1" applyFont="1"/>
    <xf numFmtId="4" fontId="5" fillId="0" borderId="0" xfId="5" applyNumberFormat="1" applyFont="1"/>
    <xf numFmtId="1" fontId="5" fillId="0" borderId="0" xfId="5" applyNumberFormat="1" applyFont="1"/>
    <xf numFmtId="1" fontId="17" fillId="0" borderId="0" xfId="5" applyNumberFormat="1" applyFont="1"/>
    <xf numFmtId="0" fontId="63" fillId="0" borderId="0" xfId="5" applyFont="1"/>
    <xf numFmtId="1" fontId="63" fillId="0" borderId="0" xfId="5" applyNumberFormat="1" applyFont="1"/>
    <xf numFmtId="2" fontId="5" fillId="0" borderId="0" xfId="5" applyNumberFormat="1" applyFont="1" applyAlignment="1">
      <alignment horizontal="center"/>
    </xf>
    <xf numFmtId="165" fontId="64" fillId="0" borderId="0" xfId="10" applyNumberFormat="1" applyFont="1" applyBorder="1" applyAlignment="1">
      <alignment horizontal="center" wrapText="1"/>
    </xf>
    <xf numFmtId="0" fontId="63" fillId="0" borderId="58" xfId="5" applyFont="1" applyBorder="1"/>
    <xf numFmtId="1" fontId="63" fillId="0" borderId="58" xfId="5" applyNumberFormat="1" applyFont="1" applyBorder="1"/>
    <xf numFmtId="0" fontId="5" fillId="0" borderId="58" xfId="5" applyFont="1" applyBorder="1"/>
    <xf numFmtId="0" fontId="5" fillId="0" borderId="0" xfId="5" applyFont="1" applyBorder="1"/>
    <xf numFmtId="1" fontId="63" fillId="0" borderId="0" xfId="5" applyNumberFormat="1" applyFont="1" applyBorder="1"/>
    <xf numFmtId="1" fontId="5" fillId="0" borderId="0" xfId="5" applyNumberFormat="1" applyFont="1" applyBorder="1"/>
    <xf numFmtId="0" fontId="65" fillId="0" borderId="0" xfId="5" applyFont="1" applyBorder="1" applyAlignment="1">
      <alignment horizontal="center"/>
    </xf>
    <xf numFmtId="0" fontId="5" fillId="0" borderId="0" xfId="5" applyFont="1" applyBorder="1" applyAlignment="1">
      <alignment horizontal="center"/>
    </xf>
    <xf numFmtId="0" fontId="66" fillId="0" borderId="0" xfId="5" applyFont="1" applyBorder="1"/>
    <xf numFmtId="0" fontId="5" fillId="0" borderId="51" xfId="5" applyFont="1" applyBorder="1"/>
    <xf numFmtId="1" fontId="66" fillId="0" borderId="0" xfId="5" applyNumberFormat="1" applyFont="1" applyBorder="1" applyAlignment="1">
      <alignment horizontal="center"/>
    </xf>
    <xf numFmtId="0" fontId="63" fillId="0" borderId="0" xfId="5" applyFont="1" applyBorder="1"/>
    <xf numFmtId="0" fontId="5" fillId="0" borderId="0" xfId="5" applyFont="1" applyBorder="1" applyAlignment="1">
      <alignment horizontal="left" vertical="center"/>
    </xf>
    <xf numFmtId="0" fontId="63" fillId="0" borderId="51" xfId="5" applyFont="1" applyBorder="1"/>
    <xf numFmtId="1" fontId="65" fillId="0" borderId="0" xfId="5" applyNumberFormat="1" applyFont="1" applyBorder="1"/>
    <xf numFmtId="1" fontId="5" fillId="0" borderId="0" xfId="5" applyNumberFormat="1" applyFont="1" applyBorder="1" applyAlignment="1">
      <alignment horizontal="center"/>
    </xf>
    <xf numFmtId="0" fontId="66" fillId="0" borderId="0" xfId="5" applyFont="1" applyBorder="1" applyAlignment="1">
      <alignment horizontal="left" vertical="center"/>
    </xf>
    <xf numFmtId="1" fontId="5" fillId="0" borderId="0" xfId="5" applyNumberFormat="1" applyFont="1" applyAlignment="1">
      <alignment horizontal="center"/>
    </xf>
    <xf numFmtId="1" fontId="67" fillId="0" borderId="59" xfId="5" quotePrefix="1" applyNumberFormat="1" applyFont="1" applyBorder="1" applyAlignment="1">
      <alignment horizontal="center" vertical="top"/>
    </xf>
    <xf numFmtId="0" fontId="14" fillId="2" borderId="1" xfId="5" applyFont="1" applyFill="1" applyBorder="1" applyAlignment="1">
      <alignment horizontal="left" wrapText="1"/>
    </xf>
    <xf numFmtId="0" fontId="8" fillId="2" borderId="1" xfId="5" applyFont="1" applyFill="1" applyBorder="1" applyAlignment="1">
      <alignment horizontal="center" wrapText="1"/>
    </xf>
    <xf numFmtId="0" fontId="23" fillId="0" borderId="0" xfId="5" applyFont="1" applyBorder="1"/>
    <xf numFmtId="0" fontId="7" fillId="3" borderId="1" xfId="5" applyFont="1" applyFill="1" applyBorder="1" applyAlignment="1" applyProtection="1">
      <alignment vertical="top" wrapText="1"/>
      <protection locked="0"/>
    </xf>
    <xf numFmtId="0" fontId="8" fillId="3" borderId="1" xfId="5" applyFont="1" applyFill="1" applyBorder="1" applyAlignment="1">
      <alignment horizontal="center" vertical="top" wrapText="1"/>
    </xf>
    <xf numFmtId="0" fontId="8" fillId="0" borderId="1" xfId="5" quotePrefix="1" applyFont="1" applyFill="1" applyBorder="1" applyAlignment="1">
      <alignment horizontal="center" vertical="top" wrapText="1"/>
    </xf>
    <xf numFmtId="0" fontId="8" fillId="0" borderId="1" xfId="5" applyFont="1" applyFill="1" applyBorder="1" applyAlignment="1">
      <alignment horizontal="center" vertical="top" wrapText="1"/>
    </xf>
    <xf numFmtId="0" fontId="3" fillId="0" borderId="0" xfId="5" applyFont="1" applyBorder="1"/>
    <xf numFmtId="0" fontId="3" fillId="0" borderId="0" xfId="5" applyBorder="1" applyAlignment="1">
      <alignment horizontal="center"/>
    </xf>
    <xf numFmtId="0" fontId="7" fillId="0" borderId="0" xfId="5" applyFont="1"/>
    <xf numFmtId="0" fontId="68" fillId="43" borderId="60" xfId="5" applyFont="1" applyFill="1" applyBorder="1" applyAlignment="1" applyProtection="1">
      <alignment horizontal="center" wrapText="1"/>
    </xf>
    <xf numFmtId="0" fontId="68" fillId="43" borderId="53" xfId="5" applyFont="1" applyFill="1" applyBorder="1" applyAlignment="1" applyProtection="1">
      <alignment horizontal="center" wrapText="1"/>
    </xf>
    <xf numFmtId="0" fontId="68" fillId="43" borderId="54" xfId="5" applyFont="1" applyFill="1" applyBorder="1" applyAlignment="1" applyProtection="1">
      <alignment horizontal="center" wrapText="1"/>
    </xf>
    <xf numFmtId="0" fontId="68" fillId="43" borderId="5" xfId="5" applyFont="1" applyFill="1" applyBorder="1" applyAlignment="1">
      <alignment horizontal="center"/>
    </xf>
    <xf numFmtId="0" fontId="3" fillId="0" borderId="61" xfId="5" applyFont="1" applyBorder="1" applyAlignment="1">
      <alignment horizontal="left" vertical="center" wrapText="1"/>
    </xf>
    <xf numFmtId="0" fontId="69" fillId="0" borderId="0" xfId="5" applyFont="1"/>
    <xf numFmtId="0" fontId="42" fillId="0" borderId="0" xfId="5" applyFont="1"/>
    <xf numFmtId="0" fontId="7" fillId="0" borderId="0" xfId="5" applyFont="1" applyFill="1"/>
    <xf numFmtId="0" fontId="3" fillId="23" borderId="41" xfId="5" applyFill="1" applyBorder="1" applyAlignment="1" applyProtection="1">
      <alignment horizontal="center"/>
    </xf>
    <xf numFmtId="0" fontId="3" fillId="23" borderId="32" xfId="5" applyFill="1" applyBorder="1" applyAlignment="1">
      <alignment horizontal="center"/>
    </xf>
    <xf numFmtId="0" fontId="3" fillId="23" borderId="19" xfId="5" applyFill="1" applyBorder="1" applyAlignment="1" applyProtection="1">
      <alignment horizontal="center"/>
    </xf>
    <xf numFmtId="0" fontId="3" fillId="23" borderId="20" xfId="5" applyFill="1" applyBorder="1" applyAlignment="1">
      <alignment horizontal="center"/>
    </xf>
    <xf numFmtId="0" fontId="3" fillId="23" borderId="16" xfId="5" applyFill="1" applyBorder="1" applyAlignment="1" applyProtection="1">
      <alignment horizontal="center"/>
    </xf>
    <xf numFmtId="0" fontId="3" fillId="23" borderId="18" xfId="5" applyFill="1" applyBorder="1" applyAlignment="1">
      <alignment horizontal="center"/>
    </xf>
    <xf numFmtId="1" fontId="70" fillId="0" borderId="0" xfId="7" applyNumberFormat="1" applyFont="1" applyAlignment="1">
      <alignment horizontal="center"/>
    </xf>
    <xf numFmtId="0" fontId="47" fillId="3" borderId="0" xfId="5" applyFont="1" applyFill="1" applyBorder="1" applyAlignment="1" applyProtection="1">
      <alignment horizontal="center"/>
    </xf>
    <xf numFmtId="0" fontId="7" fillId="3" borderId="43" xfId="5" quotePrefix="1" applyFont="1" applyFill="1" applyBorder="1" applyAlignment="1" applyProtection="1">
      <alignment horizontal="left"/>
    </xf>
    <xf numFmtId="0" fontId="47" fillId="3" borderId="19" xfId="5" quotePrefix="1" applyFont="1" applyFill="1" applyBorder="1" applyAlignment="1" applyProtection="1">
      <alignment horizontal="left"/>
    </xf>
    <xf numFmtId="0" fontId="7" fillId="3" borderId="19" xfId="5" applyFont="1" applyFill="1" applyBorder="1" applyAlignment="1" applyProtection="1">
      <alignment horizontal="left"/>
    </xf>
    <xf numFmtId="0" fontId="39" fillId="3" borderId="41" xfId="5" applyFont="1" applyFill="1" applyBorder="1" applyProtection="1"/>
    <xf numFmtId="0" fontId="40" fillId="3" borderId="19" xfId="5" quotePrefix="1" applyFont="1" applyFill="1" applyBorder="1" applyAlignment="1" applyProtection="1">
      <alignment horizontal="left"/>
    </xf>
    <xf numFmtId="0" fontId="3" fillId="3" borderId="32" xfId="5" applyFont="1" applyFill="1" applyBorder="1" applyProtection="1"/>
    <xf numFmtId="0" fontId="3" fillId="3" borderId="18" xfId="5" applyFont="1" applyFill="1" applyBorder="1" applyProtection="1"/>
    <xf numFmtId="0" fontId="40" fillId="3" borderId="41" xfId="5" quotePrefix="1" applyFont="1" applyFill="1" applyBorder="1" applyAlignment="1" applyProtection="1">
      <alignment horizontal="left"/>
    </xf>
    <xf numFmtId="0" fontId="7" fillId="8" borderId="65" xfId="0" applyFont="1" applyFill="1" applyBorder="1" applyAlignment="1">
      <alignment horizontal="center" vertical="center" wrapText="1"/>
    </xf>
    <xf numFmtId="0" fontId="2" fillId="0" borderId="66" xfId="9" applyFill="1" applyBorder="1"/>
    <xf numFmtId="0" fontId="7" fillId="8" borderId="67" xfId="0" applyFont="1" applyFill="1" applyBorder="1" applyAlignment="1">
      <alignment horizontal="center" vertical="center" wrapText="1"/>
    </xf>
    <xf numFmtId="0" fontId="7" fillId="8" borderId="68" xfId="0" applyFont="1" applyFill="1" applyBorder="1" applyAlignment="1">
      <alignment horizontal="center" vertical="center" wrapText="1"/>
    </xf>
    <xf numFmtId="0" fontId="2" fillId="0" borderId="69" xfId="9" applyFill="1" applyBorder="1"/>
    <xf numFmtId="0" fontId="7" fillId="0" borderId="0" xfId="0" applyFont="1" applyFill="1" applyBorder="1" applyAlignment="1">
      <alignment horizontal="center"/>
    </xf>
    <xf numFmtId="0" fontId="3" fillId="46" borderId="33" xfId="0" applyFont="1" applyFill="1" applyBorder="1" applyAlignment="1">
      <alignment wrapText="1"/>
    </xf>
    <xf numFmtId="0" fontId="7" fillId="46" borderId="70" xfId="0" applyFont="1" applyFill="1" applyBorder="1"/>
    <xf numFmtId="0" fontId="72" fillId="0" borderId="0" xfId="7" applyFont="1" applyAlignment="1">
      <alignment horizontal="center"/>
    </xf>
    <xf numFmtId="0" fontId="3" fillId="7" borderId="1" xfId="5" applyFont="1" applyFill="1" applyBorder="1" applyAlignment="1">
      <alignment wrapText="1"/>
    </xf>
    <xf numFmtId="0" fontId="71" fillId="3" borderId="1" xfId="5" applyFont="1" applyFill="1" applyBorder="1" applyAlignment="1" applyProtection="1">
      <alignment horizontal="center" vertical="top" wrapText="1"/>
      <protection locked="0"/>
    </xf>
    <xf numFmtId="9" fontId="40" fillId="23" borderId="9" xfId="1" applyNumberFormat="1" applyFont="1" applyFill="1" applyBorder="1" applyAlignment="1" applyProtection="1">
      <alignment horizontal="left" wrapText="1"/>
    </xf>
    <xf numFmtId="4" fontId="40" fillId="23" borderId="9" xfId="1" applyNumberFormat="1" applyFont="1" applyFill="1" applyBorder="1" applyAlignment="1" applyProtection="1">
      <alignment horizontal="left" wrapText="1"/>
    </xf>
    <xf numFmtId="9" fontId="40" fillId="23" borderId="13" xfId="1" applyNumberFormat="1" applyFont="1" applyFill="1" applyBorder="1" applyAlignment="1" applyProtection="1">
      <alignment horizontal="left" wrapText="1"/>
    </xf>
    <xf numFmtId="9" fontId="40" fillId="26" borderId="13" xfId="1" applyNumberFormat="1" applyFont="1" applyFill="1" applyBorder="1" applyAlignment="1" applyProtection="1">
      <alignment horizontal="left" wrapText="1"/>
    </xf>
    <xf numFmtId="9" fontId="40" fillId="44" borderId="9" xfId="1" applyNumberFormat="1" applyFont="1" applyFill="1" applyBorder="1" applyAlignment="1" applyProtection="1">
      <alignment horizontal="left" wrapText="1"/>
    </xf>
    <xf numFmtId="9" fontId="40" fillId="17" borderId="9" xfId="1" applyNumberFormat="1" applyFont="1" applyFill="1" applyBorder="1" applyAlignment="1" applyProtection="1">
      <alignment horizontal="left" wrapText="1"/>
    </xf>
    <xf numFmtId="2" fontId="40" fillId="17" borderId="9" xfId="1" applyNumberFormat="1" applyFont="1" applyFill="1" applyBorder="1" applyAlignment="1" applyProtection="1">
      <alignment horizontal="left" wrapText="1"/>
    </xf>
    <xf numFmtId="0" fontId="66" fillId="0" borderId="1" xfId="5" quotePrefix="1" applyFont="1" applyBorder="1" applyAlignment="1">
      <alignment vertical="top" wrapText="1"/>
    </xf>
    <xf numFmtId="0" fontId="66" fillId="0" borderId="1" xfId="5" quotePrefix="1" applyFont="1" applyBorder="1" applyAlignment="1">
      <alignment horizontal="center" vertical="top" wrapText="1"/>
    </xf>
    <xf numFmtId="1" fontId="40" fillId="44" borderId="9" xfId="1" applyNumberFormat="1" applyFont="1" applyFill="1" applyBorder="1" applyAlignment="1" applyProtection="1">
      <alignment horizontal="left" wrapText="1"/>
    </xf>
    <xf numFmtId="9" fontId="40" fillId="29" borderId="9" xfId="1" applyNumberFormat="1" applyFont="1" applyFill="1" applyBorder="1" applyAlignment="1" applyProtection="1">
      <alignment horizontal="left" wrapText="1"/>
    </xf>
    <xf numFmtId="1" fontId="40" fillId="29" borderId="9" xfId="1" applyNumberFormat="1" applyFont="1" applyFill="1" applyBorder="1" applyAlignment="1" applyProtection="1">
      <alignment horizontal="left" wrapText="1"/>
    </xf>
    <xf numFmtId="0" fontId="40" fillId="29" borderId="11" xfId="10" applyFont="1" applyFill="1" applyBorder="1" applyAlignment="1">
      <alignment horizontal="left" wrapText="1"/>
    </xf>
    <xf numFmtId="1" fontId="40" fillId="31" borderId="9" xfId="1" applyNumberFormat="1" applyFont="1" applyFill="1" applyBorder="1" applyAlignment="1" applyProtection="1">
      <alignment horizontal="left" wrapText="1"/>
    </xf>
    <xf numFmtId="9" fontId="40" fillId="31" borderId="9" xfId="1" applyNumberFormat="1" applyFont="1" applyFill="1" applyBorder="1" applyAlignment="1" applyProtection="1">
      <alignment horizontal="left" wrapText="1"/>
    </xf>
    <xf numFmtId="1" fontId="40" fillId="45" borderId="9" xfId="1" applyNumberFormat="1" applyFont="1" applyFill="1" applyBorder="1" applyAlignment="1" applyProtection="1">
      <alignment horizontal="left" wrapText="1"/>
    </xf>
    <xf numFmtId="1" fontId="40" fillId="17" borderId="9" xfId="1" applyNumberFormat="1" applyFont="1" applyFill="1" applyBorder="1" applyAlignment="1" applyProtection="1">
      <alignment horizontal="left" wrapText="1"/>
    </xf>
    <xf numFmtId="1" fontId="40" fillId="23" borderId="9" xfId="1" applyNumberFormat="1" applyFont="1" applyFill="1" applyBorder="1" applyAlignment="1" applyProtection="1">
      <alignment horizontal="left" wrapText="1"/>
    </xf>
    <xf numFmtId="1" fontId="40" fillId="50" borderId="9" xfId="1" applyNumberFormat="1" applyFont="1" applyFill="1" applyBorder="1" applyAlignment="1" applyProtection="1">
      <alignment horizontal="left" wrapText="1"/>
    </xf>
    <xf numFmtId="9" fontId="40" fillId="50" borderId="9" xfId="1" applyNumberFormat="1" applyFont="1" applyFill="1" applyBorder="1" applyAlignment="1" applyProtection="1">
      <alignment horizontal="left" wrapText="1"/>
    </xf>
    <xf numFmtId="1" fontId="40" fillId="25" borderId="9" xfId="1" applyNumberFormat="1" applyFont="1" applyFill="1" applyBorder="1" applyAlignment="1" applyProtection="1">
      <alignment horizontal="left" wrapText="1"/>
    </xf>
    <xf numFmtId="9" fontId="40" fillId="25" borderId="9" xfId="1" applyNumberFormat="1" applyFont="1" applyFill="1" applyBorder="1" applyAlignment="1" applyProtection="1">
      <alignment horizontal="left" wrapText="1"/>
    </xf>
    <xf numFmtId="1" fontId="40" fillId="26" borderId="9" xfId="1" applyNumberFormat="1" applyFont="1" applyFill="1" applyBorder="1" applyAlignment="1" applyProtection="1">
      <alignment horizontal="left" wrapText="1"/>
    </xf>
    <xf numFmtId="9" fontId="40" fillId="26" borderId="9" xfId="1" applyNumberFormat="1" applyFont="1" applyFill="1" applyBorder="1" applyAlignment="1" applyProtection="1">
      <alignment horizontal="left" wrapText="1"/>
    </xf>
    <xf numFmtId="0" fontId="73" fillId="0" borderId="0" xfId="5" applyFont="1" applyAlignment="1">
      <alignment horizontal="center"/>
    </xf>
    <xf numFmtId="1" fontId="74" fillId="0" borderId="0" xfId="5" applyNumberFormat="1" applyFont="1" applyAlignment="1">
      <alignment horizontal="center"/>
    </xf>
    <xf numFmtId="0" fontId="74" fillId="0" borderId="0" xfId="5" applyFont="1" applyAlignment="1">
      <alignment horizontal="center"/>
    </xf>
    <xf numFmtId="17" fontId="3" fillId="0" borderId="0" xfId="5" applyNumberFormat="1" applyFont="1" applyAlignment="1" applyProtection="1">
      <alignment horizontal="center"/>
    </xf>
    <xf numFmtId="0" fontId="29" fillId="2" borderId="5" xfId="0" applyFont="1" applyFill="1" applyBorder="1"/>
    <xf numFmtId="0" fontId="75" fillId="3" borderId="41" xfId="5" quotePrefix="1" applyFont="1" applyFill="1" applyBorder="1" applyAlignment="1" applyProtection="1">
      <alignment horizontal="left"/>
    </xf>
    <xf numFmtId="0" fontId="76" fillId="3" borderId="15" xfId="5" quotePrefix="1" applyFont="1" applyFill="1" applyBorder="1" applyAlignment="1" applyProtection="1">
      <alignment horizontal="left"/>
    </xf>
    <xf numFmtId="0" fontId="76" fillId="3" borderId="0" xfId="5" quotePrefix="1" applyFont="1" applyFill="1" applyBorder="1" applyAlignment="1" applyProtection="1">
      <alignment horizontal="left"/>
    </xf>
    <xf numFmtId="0" fontId="78" fillId="3" borderId="0" xfId="5" applyFont="1" applyFill="1" applyBorder="1" applyAlignment="1" applyProtection="1">
      <alignment horizontal="center"/>
    </xf>
    <xf numFmtId="0" fontId="78" fillId="3" borderId="0" xfId="5" quotePrefix="1" applyFont="1" applyFill="1" applyBorder="1" applyAlignment="1" applyProtection="1">
      <alignment horizontal="left"/>
    </xf>
    <xf numFmtId="0" fontId="78" fillId="3" borderId="44" xfId="5" applyFont="1" applyFill="1" applyBorder="1" applyAlignment="1" applyProtection="1">
      <alignment horizontal="center"/>
    </xf>
    <xf numFmtId="0" fontId="78" fillId="3" borderId="44" xfId="5" quotePrefix="1" applyFont="1" applyFill="1" applyBorder="1" applyAlignment="1" applyProtection="1">
      <alignment horizontal="left"/>
    </xf>
    <xf numFmtId="0" fontId="77" fillId="3" borderId="0" xfId="5" applyFont="1" applyFill="1" applyBorder="1" applyAlignment="1" applyProtection="1">
      <alignment horizontal="center"/>
    </xf>
    <xf numFmtId="9" fontId="12" fillId="2" borderId="1" xfId="1" applyNumberFormat="1" applyFont="1" applyFill="1" applyBorder="1" applyAlignment="1" applyProtection="1">
      <alignment horizontal="left" wrapText="1"/>
    </xf>
    <xf numFmtId="0" fontId="7" fillId="41" borderId="61" xfId="5" applyFont="1" applyFill="1" applyBorder="1" applyAlignment="1">
      <alignment wrapText="1"/>
    </xf>
    <xf numFmtId="0" fontId="8" fillId="0" borderId="1" xfId="1" applyFont="1" applyFill="1" applyBorder="1" applyAlignment="1" applyProtection="1">
      <alignment horizontal="left" vertical="top" wrapText="1"/>
    </xf>
    <xf numFmtId="0" fontId="8" fillId="41" borderId="1" xfId="1" applyFont="1" applyFill="1" applyBorder="1" applyAlignment="1" applyProtection="1">
      <alignment horizontal="left" vertical="top" wrapText="1"/>
    </xf>
    <xf numFmtId="166" fontId="56" fillId="0" borderId="5" xfId="7" quotePrefix="1" applyNumberFormat="1" applyFont="1" applyFill="1" applyBorder="1" applyAlignment="1" applyProtection="1">
      <alignment horizontal="center" vertical="top"/>
      <protection locked="0"/>
    </xf>
    <xf numFmtId="0" fontId="55" fillId="44" borderId="24" xfId="7" applyFont="1" applyFill="1" applyBorder="1" applyAlignment="1" applyProtection="1">
      <alignment vertical="top"/>
      <protection locked="0"/>
    </xf>
    <xf numFmtId="0" fontId="82" fillId="0" borderId="2" xfId="9" applyFont="1" applyFill="1" applyBorder="1" applyAlignment="1">
      <alignment horizontal="center"/>
    </xf>
    <xf numFmtId="0" fontId="82" fillId="0" borderId="1" xfId="9" applyFont="1" applyFill="1" applyBorder="1" applyAlignment="1">
      <alignment horizontal="center"/>
    </xf>
    <xf numFmtId="0" fontId="82" fillId="0" borderId="8" xfId="9" applyFont="1" applyFill="1" applyBorder="1" applyAlignment="1">
      <alignment horizontal="center"/>
    </xf>
    <xf numFmtId="0" fontId="82" fillId="0" borderId="4" xfId="9" applyFont="1" applyFill="1" applyBorder="1" applyAlignment="1">
      <alignment horizontal="center"/>
    </xf>
    <xf numFmtId="0" fontId="3" fillId="23" borderId="15" xfId="5" applyFill="1" applyBorder="1" applyAlignment="1">
      <alignment horizontal="center"/>
    </xf>
    <xf numFmtId="0" fontId="3" fillId="23" borderId="0" xfId="5" applyFill="1" applyBorder="1" applyAlignment="1">
      <alignment horizontal="center"/>
    </xf>
    <xf numFmtId="0" fontId="3" fillId="23" borderId="17" xfId="5" applyFill="1" applyBorder="1" applyAlignment="1">
      <alignment horizontal="center"/>
    </xf>
    <xf numFmtId="0" fontId="83" fillId="2" borderId="1" xfId="5" applyFont="1" applyFill="1" applyBorder="1" applyAlignment="1">
      <alignment horizontal="center" vertical="center" wrapText="1"/>
    </xf>
    <xf numFmtId="0" fontId="23" fillId="0" borderId="0" xfId="0" applyFont="1" applyFill="1" applyAlignment="1">
      <alignment horizontal="left"/>
    </xf>
    <xf numFmtId="0" fontId="3" fillId="43" borderId="15" xfId="5" applyFont="1" applyFill="1" applyBorder="1"/>
    <xf numFmtId="0" fontId="9" fillId="43" borderId="17" xfId="5" applyFont="1" applyFill="1" applyBorder="1"/>
    <xf numFmtId="2" fontId="65" fillId="0" borderId="0" xfId="5" applyNumberFormat="1" applyFont="1" applyBorder="1" applyAlignment="1">
      <alignment horizontal="center"/>
    </xf>
    <xf numFmtId="2" fontId="66" fillId="0" borderId="0" xfId="5" applyNumberFormat="1" applyFont="1" applyBorder="1" applyAlignment="1">
      <alignment horizontal="center"/>
    </xf>
    <xf numFmtId="2" fontId="5" fillId="0" borderId="26" xfId="5" applyNumberFormat="1" applyFont="1" applyBorder="1"/>
    <xf numFmtId="2" fontId="5" fillId="0" borderId="27" xfId="5" applyNumberFormat="1" applyFont="1" applyBorder="1"/>
    <xf numFmtId="2" fontId="5" fillId="0" borderId="27" xfId="5" applyNumberFormat="1" applyFont="1" applyBorder="1" applyAlignment="1">
      <alignment horizontal="center"/>
    </xf>
    <xf numFmtId="0" fontId="5" fillId="0" borderId="79" xfId="5" applyFont="1" applyFill="1" applyBorder="1" applyAlignment="1">
      <alignment horizontal="center"/>
    </xf>
    <xf numFmtId="0" fontId="65" fillId="0" borderId="80" xfId="5" applyFont="1" applyFill="1" applyBorder="1" applyAlignment="1">
      <alignment horizontal="center"/>
    </xf>
    <xf numFmtId="2" fontId="5" fillId="0" borderId="40" xfId="5" applyNumberFormat="1" applyFont="1" applyBorder="1"/>
    <xf numFmtId="167" fontId="66" fillId="0" borderId="80" xfId="5" applyNumberFormat="1" applyFont="1" applyBorder="1" applyAlignment="1">
      <alignment horizontal="center"/>
    </xf>
    <xf numFmtId="2" fontId="5" fillId="0" borderId="28" xfId="5" applyNumberFormat="1" applyFont="1" applyBorder="1"/>
    <xf numFmtId="0" fontId="5" fillId="0" borderId="29" xfId="5" applyFont="1" applyBorder="1"/>
    <xf numFmtId="2" fontId="66" fillId="0" borderId="29" xfId="5" applyNumberFormat="1" applyFont="1" applyBorder="1" applyAlignment="1">
      <alignment horizontal="center"/>
    </xf>
    <xf numFmtId="167" fontId="66" fillId="0" borderId="30" xfId="5" applyNumberFormat="1" applyFont="1" applyBorder="1" applyAlignment="1">
      <alignment horizontal="center"/>
    </xf>
    <xf numFmtId="0" fontId="3" fillId="43" borderId="0" xfId="5" applyFont="1" applyFill="1" applyBorder="1"/>
    <xf numFmtId="0" fontId="5" fillId="0" borderId="0" xfId="5" quotePrefix="1" applyFont="1" applyAlignment="1">
      <alignment wrapText="1"/>
    </xf>
    <xf numFmtId="0" fontId="84" fillId="3" borderId="81" xfId="5" applyFont="1" applyFill="1" applyBorder="1" applyProtection="1"/>
    <xf numFmtId="0" fontId="9" fillId="3" borderId="0" xfId="5" quotePrefix="1" applyFont="1" applyFill="1" applyBorder="1" applyAlignment="1" applyProtection="1">
      <alignment horizontal="left"/>
    </xf>
    <xf numFmtId="0" fontId="5" fillId="0" borderId="1" xfId="5" quotePrefix="1" applyFont="1" applyBorder="1" applyAlignment="1">
      <alignment vertical="top" wrapText="1"/>
    </xf>
    <xf numFmtId="1" fontId="17" fillId="8" borderId="1" xfId="5" quotePrefix="1" applyNumberFormat="1" applyFont="1" applyFill="1" applyBorder="1" applyAlignment="1">
      <alignment horizontal="center" vertical="top"/>
    </xf>
    <xf numFmtId="16" fontId="5" fillId="0" borderId="0" xfId="5" applyNumberFormat="1" applyFont="1"/>
    <xf numFmtId="0" fontId="47" fillId="3" borderId="82" xfId="5" applyFont="1" applyFill="1" applyBorder="1" applyAlignment="1" applyProtection="1">
      <alignment horizontal="center"/>
    </xf>
    <xf numFmtId="9" fontId="46" fillId="3" borderId="83" xfId="5" quotePrefix="1" applyNumberFormat="1" applyFont="1" applyFill="1" applyBorder="1" applyAlignment="1" applyProtection="1">
      <alignment horizontal="center"/>
    </xf>
    <xf numFmtId="1" fontId="46" fillId="3" borderId="83" xfId="5" quotePrefix="1" applyNumberFormat="1" applyFont="1" applyFill="1" applyBorder="1" applyAlignment="1" applyProtection="1">
      <alignment horizontal="center"/>
    </xf>
    <xf numFmtId="164" fontId="46" fillId="3" borderId="83" xfId="5" quotePrefix="1" applyNumberFormat="1" applyFont="1" applyFill="1" applyBorder="1" applyAlignment="1" applyProtection="1">
      <alignment horizontal="center"/>
    </xf>
    <xf numFmtId="10" fontId="46" fillId="3" borderId="84" xfId="5" quotePrefix="1" applyNumberFormat="1" applyFont="1" applyFill="1" applyBorder="1" applyAlignment="1" applyProtection="1">
      <alignment horizontal="center"/>
    </xf>
    <xf numFmtId="164" fontId="7" fillId="51" borderId="83" xfId="5" quotePrefix="1" applyNumberFormat="1" applyFont="1" applyFill="1" applyBorder="1" applyAlignment="1" applyProtection="1">
      <alignment horizontal="center"/>
    </xf>
    <xf numFmtId="9" fontId="78" fillId="3" borderId="0" xfId="5" quotePrefix="1" applyNumberFormat="1" applyFont="1" applyFill="1" applyBorder="1" applyAlignment="1" applyProtection="1">
      <alignment horizontal="left"/>
      <protection locked="0"/>
    </xf>
    <xf numFmtId="1" fontId="78" fillId="3" borderId="0" xfId="5" quotePrefix="1" applyNumberFormat="1" applyFont="1" applyFill="1" applyBorder="1" applyAlignment="1" applyProtection="1">
      <alignment horizontal="left"/>
      <protection locked="0"/>
    </xf>
    <xf numFmtId="164" fontId="78" fillId="3" borderId="0" xfId="5" quotePrefix="1" applyNumberFormat="1" applyFont="1" applyFill="1" applyBorder="1" applyAlignment="1" applyProtection="1">
      <alignment horizontal="left"/>
      <protection locked="0"/>
    </xf>
    <xf numFmtId="10" fontId="78" fillId="3" borderId="0" xfId="5" quotePrefix="1" applyNumberFormat="1" applyFont="1" applyFill="1" applyBorder="1" applyAlignment="1" applyProtection="1">
      <alignment horizontal="left"/>
      <protection locked="0"/>
    </xf>
    <xf numFmtId="0" fontId="87" fillId="0" borderId="0" xfId="5" applyFont="1"/>
    <xf numFmtId="0" fontId="3" fillId="0" borderId="34" xfId="5" applyFont="1" applyBorder="1" applyAlignment="1">
      <alignment vertical="center" wrapText="1"/>
    </xf>
    <xf numFmtId="0" fontId="3" fillId="0" borderId="85" xfId="5" applyFont="1" applyBorder="1" applyAlignment="1">
      <alignment horizontal="left" vertical="center" wrapText="1"/>
    </xf>
    <xf numFmtId="0" fontId="3" fillId="0" borderId="86" xfId="5" applyFont="1" applyBorder="1" applyAlignment="1">
      <alignment horizontal="left" vertical="center" wrapText="1"/>
    </xf>
    <xf numFmtId="0" fontId="3" fillId="8" borderId="87" xfId="5" applyFont="1" applyFill="1" applyBorder="1" applyAlignment="1" applyProtection="1">
      <alignment horizontal="center" vertical="center" wrapText="1"/>
    </xf>
    <xf numFmtId="0" fontId="3" fillId="8" borderId="87" xfId="5" applyFill="1" applyBorder="1" applyAlignment="1" applyProtection="1">
      <alignment horizontal="center" vertical="center" wrapText="1"/>
    </xf>
    <xf numFmtId="0" fontId="3" fillId="0" borderId="87" xfId="5" applyFont="1" applyBorder="1" applyAlignment="1">
      <alignment horizontal="center" vertical="center" wrapText="1"/>
    </xf>
    <xf numFmtId="1" fontId="3" fillId="0" borderId="87" xfId="5" applyNumberFormat="1" applyFont="1" applyBorder="1" applyAlignment="1">
      <alignment horizontal="center" vertical="center" wrapText="1"/>
    </xf>
    <xf numFmtId="0" fontId="3" fillId="0" borderId="87" xfId="5" applyBorder="1" applyAlignment="1">
      <alignment horizontal="center" vertical="center" wrapText="1"/>
    </xf>
    <xf numFmtId="0" fontId="7" fillId="0" borderId="0" xfId="5" applyFont="1" applyAlignment="1">
      <alignment horizontal="right"/>
    </xf>
    <xf numFmtId="0" fontId="3" fillId="0" borderId="0" xfId="5" applyBorder="1" applyAlignment="1">
      <alignment horizontal="center" vertical="center" wrapText="1"/>
    </xf>
    <xf numFmtId="0" fontId="3" fillId="8" borderId="0" xfId="5" applyFill="1"/>
    <xf numFmtId="0" fontId="7" fillId="8" borderId="88" xfId="5" applyFont="1" applyFill="1" applyBorder="1" applyAlignment="1">
      <alignment wrapText="1"/>
    </xf>
    <xf numFmtId="0" fontId="3" fillId="8" borderId="86" xfId="5" applyFont="1" applyFill="1" applyBorder="1" applyAlignment="1">
      <alignment horizontal="left" vertical="center" wrapText="1"/>
    </xf>
    <xf numFmtId="0" fontId="3" fillId="8" borderId="0" xfId="5" applyFill="1" applyBorder="1" applyAlignment="1">
      <alignment horizontal="center" vertical="center" wrapText="1"/>
    </xf>
    <xf numFmtId="2" fontId="5" fillId="0" borderId="0" xfId="5" applyNumberFormat="1" applyFont="1" applyBorder="1"/>
    <xf numFmtId="2" fontId="5" fillId="0" borderId="0" xfId="5" applyNumberFormat="1" applyFont="1" applyBorder="1" applyAlignment="1">
      <alignment horizontal="center"/>
    </xf>
    <xf numFmtId="0" fontId="5" fillId="0" borderId="80" xfId="5" applyFont="1" applyFill="1" applyBorder="1" applyAlignment="1">
      <alignment horizontal="center"/>
    </xf>
    <xf numFmtId="0" fontId="3" fillId="0" borderId="0" xfId="0" applyFont="1"/>
    <xf numFmtId="0" fontId="7" fillId="0" borderId="0" xfId="0" applyFont="1"/>
    <xf numFmtId="0" fontId="7" fillId="3" borderId="0" xfId="5" applyFont="1" applyFill="1" applyBorder="1" applyAlignment="1" applyProtection="1">
      <alignment horizontal="right"/>
    </xf>
    <xf numFmtId="10" fontId="7" fillId="43" borderId="0" xfId="5" applyNumberFormat="1" applyFont="1" applyFill="1" applyBorder="1" applyAlignment="1" applyProtection="1">
      <alignment horizontal="left"/>
      <protection locked="0"/>
    </xf>
    <xf numFmtId="1" fontId="67" fillId="0" borderId="0" xfId="5" quotePrefix="1" applyNumberFormat="1" applyFont="1" applyBorder="1" applyAlignment="1">
      <alignment horizontal="center" vertical="top"/>
    </xf>
    <xf numFmtId="1" fontId="17" fillId="0" borderId="89" xfId="5" applyNumberFormat="1" applyFont="1" applyBorder="1"/>
    <xf numFmtId="0" fontId="63" fillId="0" borderId="90" xfId="5" applyFont="1" applyBorder="1"/>
    <xf numFmtId="1" fontId="63" fillId="0" borderId="90" xfId="5" applyNumberFormat="1" applyFont="1" applyBorder="1"/>
    <xf numFmtId="0" fontId="5" fillId="0" borderId="90" xfId="5" applyFont="1" applyBorder="1"/>
    <xf numFmtId="0" fontId="5" fillId="0" borderId="91" xfId="5" applyFont="1" applyBorder="1"/>
    <xf numFmtId="1" fontId="5" fillId="0" borderId="40" xfId="5" applyNumberFormat="1" applyFont="1" applyBorder="1"/>
    <xf numFmtId="0" fontId="5" fillId="0" borderId="80" xfId="5" applyFont="1" applyBorder="1"/>
    <xf numFmtId="0" fontId="65" fillId="0" borderId="80" xfId="5" applyFont="1" applyBorder="1" applyAlignment="1">
      <alignment horizontal="center"/>
    </xf>
    <xf numFmtId="1" fontId="65" fillId="0" borderId="40" xfId="5" applyNumberFormat="1" applyFont="1" applyBorder="1" applyAlignment="1">
      <alignment horizontal="center"/>
    </xf>
    <xf numFmtId="0" fontId="5" fillId="0" borderId="80" xfId="5" applyFont="1" applyBorder="1" applyAlignment="1">
      <alignment horizontal="center"/>
    </xf>
    <xf numFmtId="2" fontId="5" fillId="0" borderId="40" xfId="5" applyNumberFormat="1" applyFont="1" applyBorder="1" applyAlignment="1">
      <alignment horizontal="center"/>
    </xf>
    <xf numFmtId="2" fontId="66" fillId="0" borderId="40" xfId="5" applyNumberFormat="1" applyFont="1" applyBorder="1" applyAlignment="1">
      <alignment horizontal="center"/>
    </xf>
    <xf numFmtId="2" fontId="66" fillId="0" borderId="92" xfId="5" applyNumberFormat="1" applyFont="1" applyBorder="1" applyAlignment="1">
      <alignment horizontal="center"/>
    </xf>
    <xf numFmtId="0" fontId="5" fillId="0" borderId="93" xfId="5" applyFont="1" applyBorder="1" applyAlignment="1">
      <alignment horizontal="center"/>
    </xf>
    <xf numFmtId="0" fontId="66" fillId="0" borderId="93" xfId="5" applyFont="1" applyBorder="1"/>
    <xf numFmtId="1" fontId="5" fillId="0" borderId="93" xfId="5" applyNumberFormat="1" applyFont="1" applyBorder="1"/>
    <xf numFmtId="0" fontId="5" fillId="0" borderId="94" xfId="5" applyFont="1" applyBorder="1" applyAlignment="1">
      <alignment horizontal="center"/>
    </xf>
    <xf numFmtId="1" fontId="5" fillId="0" borderId="90" xfId="5" applyNumberFormat="1" applyFont="1" applyBorder="1"/>
    <xf numFmtId="0" fontId="63" fillId="0" borderId="93" xfId="5" applyFont="1" applyBorder="1"/>
    <xf numFmtId="0" fontId="5" fillId="0" borderId="93" xfId="5" applyFont="1" applyBorder="1"/>
    <xf numFmtId="0" fontId="63" fillId="0" borderId="94" xfId="5" applyFont="1" applyBorder="1"/>
    <xf numFmtId="1" fontId="5" fillId="0" borderId="40" xfId="5" applyNumberFormat="1" applyFont="1" applyBorder="1" applyAlignment="1">
      <alignment horizontal="center"/>
    </xf>
    <xf numFmtId="1" fontId="5" fillId="0" borderId="92" xfId="5" applyNumberFormat="1" applyFont="1" applyBorder="1" applyAlignment="1">
      <alignment horizontal="center"/>
    </xf>
    <xf numFmtId="0" fontId="5" fillId="0" borderId="94" xfId="5" applyFont="1" applyBorder="1"/>
    <xf numFmtId="0" fontId="63" fillId="0" borderId="91" xfId="5" applyFont="1" applyBorder="1"/>
    <xf numFmtId="0" fontId="63" fillId="0" borderId="80" xfId="5" applyFont="1" applyBorder="1"/>
    <xf numFmtId="0" fontId="66" fillId="0" borderId="93" xfId="5" applyFont="1" applyBorder="1" applyAlignment="1">
      <alignment horizontal="left" vertical="center"/>
    </xf>
    <xf numFmtId="0" fontId="5" fillId="0" borderId="93" xfId="5" applyFont="1" applyBorder="1" applyAlignment="1">
      <alignment horizontal="left" vertical="center"/>
    </xf>
    <xf numFmtId="1" fontId="5" fillId="0" borderId="93" xfId="5" applyNumberFormat="1" applyFont="1" applyBorder="1" applyAlignment="1">
      <alignment horizontal="center"/>
    </xf>
    <xf numFmtId="1" fontId="63" fillId="0" borderId="93" xfId="5" applyNumberFormat="1" applyFont="1" applyBorder="1"/>
    <xf numFmtId="2" fontId="5" fillId="0" borderId="92" xfId="5" applyNumberFormat="1" applyFont="1" applyBorder="1" applyAlignment="1">
      <alignment horizontal="center"/>
    </xf>
    <xf numFmtId="0" fontId="0" fillId="0" borderId="80" xfId="0" applyBorder="1"/>
    <xf numFmtId="0" fontId="17" fillId="0" borderId="0" xfId="5" applyFont="1" applyAlignment="1">
      <alignment horizontal="right"/>
    </xf>
    <xf numFmtId="0" fontId="89" fillId="0" borderId="40" xfId="5" applyFont="1" applyBorder="1"/>
    <xf numFmtId="0" fontId="0" fillId="0" borderId="0" xfId="0" quotePrefix="1"/>
    <xf numFmtId="0" fontId="42" fillId="0" borderId="0" xfId="0" applyFont="1"/>
    <xf numFmtId="9" fontId="90" fillId="3" borderId="64" xfId="5" quotePrefix="1" applyNumberFormat="1" applyFont="1" applyFill="1" applyBorder="1" applyAlignment="1" applyProtection="1">
      <alignment horizontal="left"/>
    </xf>
    <xf numFmtId="0" fontId="8" fillId="8" borderId="14" xfId="0" applyFont="1" applyFill="1" applyBorder="1" applyAlignment="1">
      <alignment horizontal="center" vertical="top" wrapText="1"/>
    </xf>
    <xf numFmtId="2" fontId="62" fillId="8" borderId="1" xfId="5" quotePrefix="1" applyNumberFormat="1" applyFont="1" applyFill="1" applyBorder="1" applyAlignment="1">
      <alignment horizontal="center" vertical="top" wrapText="1"/>
    </xf>
    <xf numFmtId="0" fontId="17" fillId="0" borderId="0" xfId="5" applyFont="1"/>
    <xf numFmtId="0" fontId="23" fillId="0" borderId="0" xfId="5" applyFont="1" applyFill="1" applyProtection="1"/>
    <xf numFmtId="0" fontId="24" fillId="0" borderId="0" xfId="5" quotePrefix="1" applyFont="1" applyFill="1" applyAlignment="1" applyProtection="1">
      <alignment horizontal="left"/>
    </xf>
    <xf numFmtId="0" fontId="3" fillId="0" borderId="0" xfId="5" applyFill="1" applyProtection="1"/>
    <xf numFmtId="0" fontId="3" fillId="0" borderId="0" xfId="5" applyFont="1" applyFill="1" applyProtection="1"/>
    <xf numFmtId="0" fontId="3" fillId="0" borderId="0" xfId="5" applyFont="1" applyFill="1"/>
    <xf numFmtId="0" fontId="3" fillId="0" borderId="0" xfId="5" applyFill="1"/>
    <xf numFmtId="0" fontId="25" fillId="0" borderId="0" xfId="5" applyFont="1" applyFill="1" applyProtection="1"/>
    <xf numFmtId="0" fontId="25" fillId="0" borderId="0" xfId="5" applyFont="1" applyFill="1"/>
    <xf numFmtId="9" fontId="3" fillId="0" borderId="0" xfId="5" applyNumberFormat="1" applyFont="1" applyFill="1" applyProtection="1"/>
    <xf numFmtId="9" fontId="23" fillId="0" borderId="0" xfId="5" applyNumberFormat="1" applyFont="1" applyFill="1" applyProtection="1"/>
    <xf numFmtId="0" fontId="9" fillId="0" borderId="0" xfId="5" applyFont="1" applyFill="1" applyProtection="1"/>
    <xf numFmtId="0" fontId="9" fillId="0" borderId="0" xfId="5" applyFont="1" applyFill="1"/>
    <xf numFmtId="0" fontId="42" fillId="0" borderId="0" xfId="5" applyFont="1" applyFill="1" applyProtection="1"/>
    <xf numFmtId="0" fontId="3" fillId="0" borderId="0" xfId="5" quotePrefix="1" applyFill="1" applyAlignment="1" applyProtection="1">
      <alignment horizontal="left"/>
    </xf>
    <xf numFmtId="17" fontId="3" fillId="0" borderId="0" xfId="5" applyNumberFormat="1" applyFont="1" applyFill="1" applyProtection="1"/>
    <xf numFmtId="17" fontId="3" fillId="0" borderId="0" xfId="5" applyNumberFormat="1" applyFont="1" applyFill="1" applyAlignment="1" applyProtection="1">
      <alignment horizontal="center"/>
    </xf>
    <xf numFmtId="0" fontId="75" fillId="43" borderId="19" xfId="5" quotePrefix="1" applyFont="1" applyFill="1" applyBorder="1" applyAlignment="1" applyProtection="1">
      <alignment horizontal="left" vertical="top"/>
    </xf>
    <xf numFmtId="0" fontId="3" fillId="43" borderId="15" xfId="5" applyFont="1" applyFill="1" applyBorder="1" applyAlignment="1" applyProtection="1">
      <alignment vertical="top"/>
    </xf>
    <xf numFmtId="0" fontId="3" fillId="43" borderId="0" xfId="5" applyFont="1" applyFill="1" applyBorder="1" applyAlignment="1" applyProtection="1">
      <alignment vertical="top"/>
    </xf>
    <xf numFmtId="0" fontId="29" fillId="43" borderId="15" xfId="5" applyFont="1" applyFill="1" applyBorder="1" applyAlignment="1" applyProtection="1">
      <alignment horizontal="right"/>
    </xf>
    <xf numFmtId="0" fontId="76" fillId="43" borderId="15" xfId="5" quotePrefix="1" applyFont="1" applyFill="1" applyBorder="1" applyAlignment="1" applyProtection="1">
      <alignment horizontal="center"/>
    </xf>
    <xf numFmtId="0" fontId="29" fillId="43" borderId="0" xfId="5" quotePrefix="1" applyFont="1" applyFill="1" applyBorder="1" applyAlignment="1" applyProtection="1">
      <alignment horizontal="right" vertical="top"/>
    </xf>
    <xf numFmtId="0" fontId="76" fillId="43" borderId="0" xfId="5" quotePrefix="1" applyFont="1" applyFill="1" applyBorder="1" applyAlignment="1" applyProtection="1">
      <alignment horizontal="center" vertical="top"/>
    </xf>
    <xf numFmtId="9" fontId="80" fillId="43" borderId="49" xfId="5" quotePrefix="1" applyNumberFormat="1" applyFont="1" applyFill="1" applyBorder="1" applyAlignment="1" applyProtection="1">
      <alignment horizontal="left"/>
    </xf>
    <xf numFmtId="0" fontId="47" fillId="43" borderId="19" xfId="5" applyFont="1" applyFill="1" applyBorder="1" applyAlignment="1" applyProtection="1">
      <alignment vertical="top"/>
    </xf>
    <xf numFmtId="0" fontId="47" fillId="43" borderId="0" xfId="5" applyFont="1" applyFill="1" applyBorder="1" applyAlignment="1" applyProtection="1">
      <alignment horizontal="center" vertical="top"/>
    </xf>
    <xf numFmtId="0" fontId="47" fillId="43" borderId="0" xfId="5" applyFont="1" applyFill="1" applyBorder="1" applyAlignment="1" applyProtection="1">
      <alignment horizontal="left" vertical="top"/>
    </xf>
    <xf numFmtId="0" fontId="3" fillId="43" borderId="20" xfId="5" applyFont="1" applyFill="1" applyBorder="1" applyAlignment="1" applyProtection="1">
      <alignment vertical="top"/>
    </xf>
    <xf numFmtId="0" fontId="7" fillId="43" borderId="19" xfId="5" quotePrefix="1" applyFont="1" applyFill="1" applyBorder="1" applyAlignment="1" applyProtection="1">
      <alignment horizontal="left" vertical="top"/>
    </xf>
    <xf numFmtId="0" fontId="78" fillId="43" borderId="0" xfId="5" applyFont="1" applyFill="1" applyBorder="1" applyAlignment="1" applyProtection="1">
      <alignment horizontal="center" vertical="top"/>
    </xf>
    <xf numFmtId="0" fontId="79" fillId="43" borderId="0" xfId="5" applyFont="1" applyFill="1" applyBorder="1" applyAlignment="1" applyProtection="1">
      <alignment horizontal="center" vertical="top"/>
    </xf>
    <xf numFmtId="0" fontId="77" fillId="43" borderId="0" xfId="5" applyFont="1" applyFill="1" applyBorder="1" applyAlignment="1" applyProtection="1">
      <alignment vertical="top"/>
    </xf>
    <xf numFmtId="0" fontId="77" fillId="43" borderId="20" xfId="5" applyFont="1" applyFill="1" applyBorder="1" applyAlignment="1" applyProtection="1">
      <alignment vertical="top"/>
    </xf>
    <xf numFmtId="0" fontId="7" fillId="43" borderId="19" xfId="5" quotePrefix="1" applyFont="1" applyFill="1" applyBorder="1" applyAlignment="1" applyProtection="1">
      <alignment horizontal="left"/>
    </xf>
    <xf numFmtId="0" fontId="3" fillId="43" borderId="0" xfId="5" applyFont="1" applyFill="1" applyBorder="1" applyProtection="1"/>
    <xf numFmtId="0" fontId="46" fillId="43" borderId="0" xfId="5" applyFont="1" applyFill="1" applyBorder="1" applyAlignment="1" applyProtection="1">
      <alignment horizontal="center"/>
    </xf>
    <xf numFmtId="0" fontId="46" fillId="43" borderId="0" xfId="5" applyFont="1" applyFill="1" applyBorder="1" applyAlignment="1" applyProtection="1">
      <alignment horizontal="left"/>
    </xf>
    <xf numFmtId="0" fontId="3" fillId="43" borderId="20" xfId="5" applyFont="1" applyFill="1" applyBorder="1" applyProtection="1"/>
    <xf numFmtId="0" fontId="47" fillId="43" borderId="19" xfId="5" applyFont="1" applyFill="1" applyBorder="1" applyProtection="1"/>
    <xf numFmtId="0" fontId="32" fillId="43" borderId="0" xfId="5" applyFont="1" applyFill="1" applyBorder="1" applyAlignment="1" applyProtection="1">
      <alignment horizontal="left"/>
    </xf>
    <xf numFmtId="0" fontId="39" fillId="43" borderId="46" xfId="5" applyFont="1" applyFill="1" applyBorder="1" applyProtection="1"/>
    <xf numFmtId="0" fontId="3" fillId="43" borderId="56" xfId="5" applyFont="1" applyFill="1" applyBorder="1" applyProtection="1"/>
    <xf numFmtId="0" fontId="40" fillId="43" borderId="41" xfId="5" applyFont="1" applyFill="1" applyBorder="1" applyProtection="1"/>
    <xf numFmtId="0" fontId="40" fillId="43" borderId="32" xfId="5" quotePrefix="1" applyFont="1" applyFill="1" applyBorder="1" applyAlignment="1" applyProtection="1">
      <alignment horizontal="left"/>
    </xf>
    <xf numFmtId="9" fontId="78" fillId="43" borderId="0" xfId="5" quotePrefix="1" applyNumberFormat="1" applyFont="1" applyFill="1" applyBorder="1" applyAlignment="1" applyProtection="1">
      <alignment horizontal="left"/>
    </xf>
    <xf numFmtId="0" fontId="40" fillId="43" borderId="48" xfId="5" quotePrefix="1" applyFont="1" applyFill="1" applyBorder="1" applyAlignment="1" applyProtection="1">
      <alignment horizontal="left"/>
    </xf>
    <xf numFmtId="0" fontId="40" fillId="43" borderId="19" xfId="5" applyFont="1" applyFill="1" applyBorder="1" applyProtection="1"/>
    <xf numFmtId="0" fontId="3" fillId="43" borderId="0" xfId="5" applyFont="1" applyFill="1"/>
    <xf numFmtId="0" fontId="40" fillId="43" borderId="20" xfId="5" quotePrefix="1" applyFont="1" applyFill="1" applyBorder="1" applyAlignment="1" applyProtection="1">
      <alignment horizontal="left"/>
    </xf>
    <xf numFmtId="1" fontId="78" fillId="43" borderId="0" xfId="5" quotePrefix="1" applyNumberFormat="1" applyFont="1" applyFill="1" applyBorder="1" applyAlignment="1" applyProtection="1">
      <alignment horizontal="left"/>
    </xf>
    <xf numFmtId="0" fontId="7" fillId="43" borderId="0" xfId="5" quotePrefix="1" applyFont="1" applyFill="1" applyBorder="1" applyAlignment="1" applyProtection="1">
      <alignment horizontal="center"/>
    </xf>
    <xf numFmtId="164" fontId="78" fillId="43" borderId="0" xfId="5" quotePrefix="1" applyNumberFormat="1" applyFont="1" applyFill="1" applyBorder="1" applyAlignment="1" applyProtection="1">
      <alignment horizontal="left"/>
    </xf>
    <xf numFmtId="0" fontId="7" fillId="43" borderId="16" xfId="5" quotePrefix="1" applyFont="1" applyFill="1" applyBorder="1" applyAlignment="1" applyProtection="1">
      <alignment horizontal="left"/>
    </xf>
    <xf numFmtId="0" fontId="3" fillId="43" borderId="17" xfId="5" applyFont="1" applyFill="1" applyBorder="1" applyProtection="1"/>
    <xf numFmtId="0" fontId="3" fillId="43" borderId="17" xfId="5" quotePrefix="1" applyFont="1" applyFill="1" applyBorder="1" applyAlignment="1" applyProtection="1">
      <alignment horizontal="left"/>
    </xf>
    <xf numFmtId="0" fontId="40" fillId="43" borderId="50" xfId="5" quotePrefix="1" applyFont="1" applyFill="1" applyBorder="1" applyAlignment="1" applyProtection="1">
      <alignment horizontal="left"/>
    </xf>
    <xf numFmtId="0" fontId="40" fillId="43" borderId="16" xfId="5" quotePrefix="1" applyFont="1" applyFill="1" applyBorder="1" applyAlignment="1" applyProtection="1">
      <alignment horizontal="left"/>
    </xf>
    <xf numFmtId="0" fontId="40" fillId="43" borderId="18" xfId="5" quotePrefix="1" applyFont="1" applyFill="1" applyBorder="1" applyAlignment="1" applyProtection="1">
      <alignment horizontal="left"/>
    </xf>
    <xf numFmtId="0" fontId="60" fillId="45" borderId="21" xfId="5" quotePrefix="1" applyFont="1" applyFill="1" applyBorder="1" applyAlignment="1" applyProtection="1">
      <alignment horizontal="left"/>
    </xf>
    <xf numFmtId="0" fontId="28" fillId="45" borderId="15" xfId="5" applyFont="1" applyFill="1" applyBorder="1" applyProtection="1"/>
    <xf numFmtId="0" fontId="28" fillId="45" borderId="22" xfId="5" applyFont="1" applyFill="1" applyBorder="1" applyProtection="1"/>
    <xf numFmtId="0" fontId="3" fillId="45" borderId="23" xfId="5" applyFont="1" applyFill="1" applyBorder="1" applyProtection="1"/>
    <xf numFmtId="0" fontId="5" fillId="0" borderId="0" xfId="0" applyFont="1" applyAlignment="1">
      <alignment wrapText="1"/>
    </xf>
    <xf numFmtId="0" fontId="5" fillId="0" borderId="0" xfId="0" applyFont="1" applyAlignment="1">
      <alignment horizontal="left" wrapText="1"/>
    </xf>
    <xf numFmtId="0" fontId="5" fillId="0" borderId="0" xfId="0" applyFont="1"/>
    <xf numFmtId="0" fontId="5" fillId="0" borderId="0" xfId="0" applyFont="1" applyAlignment="1">
      <alignment horizontal="left"/>
    </xf>
    <xf numFmtId="0" fontId="66" fillId="0" borderId="0" xfId="0" applyFont="1" applyAlignment="1">
      <alignment horizontal="center"/>
    </xf>
    <xf numFmtId="1" fontId="5" fillId="0" borderId="0" xfId="8" quotePrefix="1" applyNumberFormat="1" applyFont="1" applyFill="1" applyBorder="1" applyAlignment="1" applyProtection="1">
      <alignment horizontal="center" vertical="center"/>
    </xf>
    <xf numFmtId="0" fontId="5" fillId="0" borderId="0" xfId="0" applyFont="1" applyAlignment="1">
      <alignment horizontal="center" wrapText="1"/>
    </xf>
    <xf numFmtId="0" fontId="12" fillId="3" borderId="6" xfId="0" applyFont="1" applyFill="1" applyBorder="1" applyAlignment="1">
      <alignment horizontal="left" vertical="top" wrapText="1"/>
    </xf>
    <xf numFmtId="0" fontId="9" fillId="3" borderId="6" xfId="0" applyFont="1" applyFill="1" applyBorder="1" applyAlignment="1">
      <alignment horizontal="left" vertical="top" wrapText="1"/>
    </xf>
    <xf numFmtId="0" fontId="9" fillId="3" borderId="6" xfId="0" applyFont="1" applyFill="1" applyBorder="1" applyAlignment="1">
      <alignment horizontal="left" vertical="top" wrapText="1" indent="2"/>
    </xf>
    <xf numFmtId="0" fontId="9" fillId="3" borderId="6" xfId="0" quotePrefix="1" applyFont="1" applyFill="1" applyBorder="1" applyAlignment="1">
      <alignment horizontal="left" vertical="top" wrapText="1" indent="2"/>
    </xf>
    <xf numFmtId="0" fontId="9" fillId="3" borderId="31" xfId="0" applyFont="1" applyFill="1" applyBorder="1" applyAlignment="1">
      <alignment horizontal="left" vertical="top" wrapText="1"/>
    </xf>
    <xf numFmtId="0" fontId="92" fillId="3" borderId="6" xfId="0" applyFont="1" applyFill="1" applyBorder="1" applyAlignment="1">
      <alignment horizontal="left" vertical="top" wrapText="1"/>
    </xf>
    <xf numFmtId="0" fontId="83" fillId="3" borderId="1" xfId="5" applyFont="1" applyFill="1" applyBorder="1" applyAlignment="1" applyProtection="1">
      <alignment vertical="top" wrapText="1"/>
      <protection locked="0"/>
    </xf>
    <xf numFmtId="0" fontId="17" fillId="0" borderId="5" xfId="0" applyFont="1" applyFill="1" applyBorder="1" applyAlignment="1">
      <alignment horizontal="center" vertical="center" wrapText="1"/>
    </xf>
    <xf numFmtId="0" fontId="66" fillId="0" borderId="5" xfId="0" applyFont="1" applyFill="1" applyBorder="1" applyAlignment="1">
      <alignment horizontal="center" vertical="center" wrapText="1"/>
    </xf>
    <xf numFmtId="49" fontId="66" fillId="0" borderId="5" xfId="0" applyNumberFormat="1" applyFont="1" applyFill="1" applyBorder="1" applyAlignment="1">
      <alignment horizontal="center" vertical="center" wrapText="1"/>
    </xf>
    <xf numFmtId="0" fontId="5" fillId="0" borderId="5" xfId="0" applyFont="1" applyFill="1" applyBorder="1" applyAlignment="1">
      <alignment horizontal="center" vertical="center" wrapText="1"/>
    </xf>
    <xf numFmtId="0" fontId="93" fillId="0" borderId="5" xfId="0" applyFont="1" applyFill="1" applyBorder="1" applyAlignment="1">
      <alignment horizontal="center" vertical="center" wrapText="1"/>
    </xf>
    <xf numFmtId="0" fontId="66" fillId="0" borderId="5" xfId="0" applyFont="1" applyFill="1" applyBorder="1" applyAlignment="1">
      <alignment horizontal="center" vertical="top" wrapText="1"/>
    </xf>
    <xf numFmtId="0" fontId="66" fillId="0" borderId="5" xfId="10" applyFont="1" applyFill="1" applyBorder="1" applyAlignment="1">
      <alignment horizontal="left" vertical="top" wrapText="1"/>
    </xf>
    <xf numFmtId="0" fontId="66" fillId="0" borderId="25" xfId="10" applyFont="1" applyFill="1" applyBorder="1" applyAlignment="1">
      <alignment horizontal="center" vertical="center" wrapText="1"/>
    </xf>
    <xf numFmtId="0" fontId="66" fillId="0" borderId="25" xfId="0" applyFont="1" applyFill="1" applyBorder="1" applyAlignment="1">
      <alignment horizontal="center" vertical="center" wrapText="1"/>
    </xf>
    <xf numFmtId="0" fontId="19" fillId="2" borderId="5" xfId="0" applyFont="1" applyFill="1" applyBorder="1" applyAlignment="1">
      <alignment horizontal="left" wrapText="1"/>
    </xf>
    <xf numFmtId="0" fontId="21" fillId="2" borderId="5" xfId="0" applyFont="1" applyFill="1" applyBorder="1" applyAlignment="1">
      <alignment horizontal="center" vertical="center" wrapText="1"/>
    </xf>
    <xf numFmtId="0" fontId="22" fillId="2" borderId="5" xfId="0" applyFont="1" applyFill="1" applyBorder="1" applyAlignment="1">
      <alignment horizontal="center" vertical="center" wrapText="1"/>
    </xf>
    <xf numFmtId="49" fontId="8" fillId="43" borderId="5" xfId="0" applyNumberFormat="1" applyFont="1" applyFill="1" applyBorder="1" applyAlignment="1" applyProtection="1">
      <alignment horizontal="left" vertical="top" wrapText="1"/>
      <protection locked="0"/>
    </xf>
    <xf numFmtId="0" fontId="8" fillId="43" borderId="5" xfId="0" applyNumberFormat="1" applyFont="1" applyFill="1" applyBorder="1" applyAlignment="1" applyProtection="1">
      <alignment horizontal="center" vertical="top"/>
      <protection locked="0"/>
    </xf>
    <xf numFmtId="0" fontId="16" fillId="10" borderId="95" xfId="0" applyFont="1" applyFill="1" applyBorder="1" applyAlignment="1">
      <alignment horizontal="center" vertical="center" wrapText="1"/>
    </xf>
    <xf numFmtId="0" fontId="16" fillId="10" borderId="90" xfId="0" applyFont="1" applyFill="1" applyBorder="1" applyAlignment="1">
      <alignment horizontal="center" vertical="center" wrapText="1"/>
    </xf>
    <xf numFmtId="0" fontId="16" fillId="10" borderId="79" xfId="0" applyFont="1" applyFill="1" applyBorder="1" applyAlignment="1">
      <alignment horizontal="center" vertical="center" wrapText="1"/>
    </xf>
    <xf numFmtId="0" fontId="21" fillId="0" borderId="5" xfId="1" applyFont="1" applyFill="1" applyBorder="1" applyAlignment="1" applyProtection="1">
      <alignment horizontal="left" wrapText="1"/>
    </xf>
    <xf numFmtId="0" fontId="9" fillId="0" borderId="0" xfId="4" applyFont="1" applyFill="1" applyAlignment="1">
      <alignment vertical="top" wrapText="1"/>
    </xf>
    <xf numFmtId="0" fontId="9" fillId="0" borderId="0" xfId="4" applyFont="1" applyFill="1" applyAlignment="1">
      <alignment horizontal="center" vertical="center" wrapText="1"/>
    </xf>
    <xf numFmtId="0" fontId="66" fillId="0" borderId="25" xfId="4" applyFont="1" applyFill="1" applyBorder="1" applyAlignment="1">
      <alignment horizontal="left" vertical="top" wrapText="1"/>
    </xf>
    <xf numFmtId="0" fontId="66" fillId="0" borderId="25" xfId="10" applyFont="1" applyFill="1" applyBorder="1" applyAlignment="1">
      <alignment horizontal="left" vertical="top" wrapText="1"/>
    </xf>
    <xf numFmtId="0" fontId="20" fillId="2" borderId="5" xfId="0" applyFont="1" applyFill="1" applyBorder="1" applyAlignment="1">
      <alignment horizontal="center" wrapText="1"/>
    </xf>
    <xf numFmtId="0" fontId="2" fillId="0" borderId="42" xfId="9" applyFill="1" applyBorder="1" applyAlignment="1">
      <alignment horizontal="center" wrapText="1"/>
    </xf>
    <xf numFmtId="49" fontId="94" fillId="0" borderId="0" xfId="0" applyNumberFormat="1" applyFont="1" applyFill="1" applyBorder="1" applyAlignment="1">
      <alignment horizontal="center" vertical="top"/>
    </xf>
    <xf numFmtId="0" fontId="2" fillId="0" borderId="10" xfId="9" applyFill="1" applyBorder="1" applyAlignment="1">
      <alignment horizontal="center"/>
    </xf>
    <xf numFmtId="0" fontId="2" fillId="0" borderId="25" xfId="9" applyFill="1" applyBorder="1" applyAlignment="1">
      <alignment horizontal="center"/>
    </xf>
    <xf numFmtId="0" fontId="2" fillId="0" borderId="71" xfId="9" applyFill="1" applyBorder="1" applyAlignment="1">
      <alignment horizontal="center"/>
    </xf>
    <xf numFmtId="0" fontId="2" fillId="0" borderId="72" xfId="9" applyFill="1" applyBorder="1" applyAlignment="1">
      <alignment horizontal="center"/>
    </xf>
    <xf numFmtId="0" fontId="2" fillId="0" borderId="73" xfId="9" applyFill="1" applyBorder="1" applyAlignment="1">
      <alignment horizontal="center"/>
    </xf>
    <xf numFmtId="0" fontId="81" fillId="0" borderId="74" xfId="9" applyFont="1" applyFill="1" applyBorder="1" applyAlignment="1">
      <alignment horizontal="left" textRotation="180" wrapText="1"/>
    </xf>
    <xf numFmtId="0" fontId="9" fillId="0" borderId="59" xfId="0" applyFont="1" applyBorder="1" applyAlignment="1">
      <alignment horizontal="left" wrapText="1"/>
    </xf>
    <xf numFmtId="0" fontId="9" fillId="0" borderId="75" xfId="0" applyFont="1" applyBorder="1" applyAlignment="1">
      <alignment horizontal="left" wrapText="1"/>
    </xf>
    <xf numFmtId="0" fontId="2" fillId="0" borderId="74" xfId="9" applyFill="1" applyBorder="1" applyAlignment="1">
      <alignment horizontal="left"/>
    </xf>
    <xf numFmtId="0" fontId="0" fillId="0" borderId="59" xfId="0" applyBorder="1" applyAlignment="1">
      <alignment horizontal="left"/>
    </xf>
    <xf numFmtId="0" fontId="0" fillId="0" borderId="75" xfId="0" applyBorder="1" applyAlignment="1">
      <alignment horizontal="left"/>
    </xf>
    <xf numFmtId="0" fontId="2" fillId="0" borderId="76" xfId="9" applyFill="1" applyBorder="1" applyAlignment="1">
      <alignment horizontal="left"/>
    </xf>
    <xf numFmtId="0" fontId="0" fillId="0" borderId="77" xfId="0" applyBorder="1" applyAlignment="1">
      <alignment horizontal="left"/>
    </xf>
    <xf numFmtId="0" fontId="0" fillId="0" borderId="78" xfId="0" applyBorder="1" applyAlignment="1">
      <alignment horizontal="left"/>
    </xf>
    <xf numFmtId="0" fontId="95" fillId="0" borderId="0" xfId="0" applyFont="1" applyAlignment="1">
      <alignment vertical="center"/>
    </xf>
    <xf numFmtId="0" fontId="2" fillId="0" borderId="0" xfId="9" applyFill="1" applyBorder="1" applyAlignment="1"/>
    <xf numFmtId="0" fontId="1" fillId="0" borderId="0" xfId="9" applyFont="1" applyFill="1" applyBorder="1" applyAlignment="1"/>
    <xf numFmtId="0" fontId="1" fillId="0" borderId="7" xfId="9" applyFont="1" applyFill="1" applyBorder="1" applyAlignment="1">
      <alignment horizontal="left" wrapText="1"/>
    </xf>
    <xf numFmtId="0" fontId="82" fillId="0" borderId="3" xfId="9" applyFont="1" applyFill="1" applyBorder="1" applyAlignment="1">
      <alignment horizontal="center"/>
    </xf>
    <xf numFmtId="0" fontId="82" fillId="0" borderId="96" xfId="9" applyFont="1" applyFill="1" applyBorder="1" applyAlignment="1">
      <alignment horizontal="center"/>
    </xf>
    <xf numFmtId="49" fontId="8" fillId="0" borderId="0" xfId="0" applyNumberFormat="1" applyFont="1" applyFill="1" applyBorder="1" applyAlignment="1" applyProtection="1">
      <alignment horizontal="left" vertical="top" wrapText="1"/>
      <protection locked="0"/>
    </xf>
    <xf numFmtId="0" fontId="8" fillId="0" borderId="0" xfId="0" applyNumberFormat="1" applyFont="1" applyFill="1" applyBorder="1" applyAlignment="1" applyProtection="1">
      <alignment horizontal="center" vertical="top"/>
      <protection locked="0"/>
    </xf>
    <xf numFmtId="49" fontId="8" fillId="0" borderId="0" xfId="0" applyNumberFormat="1" applyFont="1" applyFill="1" applyBorder="1" applyAlignment="1">
      <alignment horizontal="left" vertical="top" wrapText="1"/>
    </xf>
    <xf numFmtId="49" fontId="8" fillId="0" borderId="0" xfId="0" applyNumberFormat="1" applyFont="1" applyFill="1" applyBorder="1" applyAlignment="1">
      <alignment horizontal="center" vertical="top"/>
    </xf>
    <xf numFmtId="1" fontId="8" fillId="0" borderId="0" xfId="0" applyNumberFormat="1" applyFont="1" applyFill="1" applyBorder="1" applyAlignment="1">
      <alignment horizontal="center" vertical="top"/>
    </xf>
    <xf numFmtId="49" fontId="8" fillId="0" borderId="0" xfId="0" applyNumberFormat="1" applyFont="1" applyFill="1" applyBorder="1" applyAlignment="1" applyProtection="1">
      <alignment horizontal="center" vertical="top"/>
      <protection locked="0"/>
    </xf>
    <xf numFmtId="0" fontId="8" fillId="0" borderId="0" xfId="0" applyNumberFormat="1" applyFont="1" applyFill="1" applyBorder="1" applyAlignment="1">
      <alignment horizontal="center" vertical="top"/>
    </xf>
    <xf numFmtId="49" fontId="8" fillId="0" borderId="0" xfId="0" applyNumberFormat="1" applyFont="1" applyFill="1" applyBorder="1" applyAlignment="1" applyProtection="1">
      <alignment horizontal="center" vertical="top"/>
    </xf>
    <xf numFmtId="1" fontId="8" fillId="0" borderId="0" xfId="0" applyNumberFormat="1" applyFont="1" applyFill="1" applyBorder="1" applyAlignment="1" applyProtection="1">
      <alignment horizontal="center" vertical="top"/>
    </xf>
    <xf numFmtId="0" fontId="7" fillId="0" borderId="0" xfId="0" applyNumberFormat="1" applyFont="1" applyFill="1" applyBorder="1" applyAlignment="1">
      <alignment horizontal="center" vertical="top" wrapText="1"/>
    </xf>
    <xf numFmtId="0" fontId="2" fillId="0" borderId="24" xfId="9" applyFill="1" applyBorder="1" applyAlignment="1">
      <alignment horizontal="left"/>
    </xf>
    <xf numFmtId="0" fontId="96" fillId="0" borderId="34" xfId="9" applyNumberFormat="1" applyFont="1" applyFill="1" applyBorder="1" applyAlignment="1">
      <alignment horizontal="center" wrapText="1"/>
    </xf>
    <xf numFmtId="0" fontId="66" fillId="0" borderId="97" xfId="10" applyFont="1" applyFill="1" applyBorder="1" applyAlignment="1">
      <alignment horizontal="center" vertical="center" wrapText="1"/>
    </xf>
    <xf numFmtId="1" fontId="51" fillId="0" borderId="0" xfId="7" applyNumberFormat="1" applyFont="1" applyAlignment="1">
      <alignment horizontal="left"/>
    </xf>
    <xf numFmtId="0" fontId="97" fillId="29" borderId="1" xfId="0" applyFont="1" applyFill="1" applyBorder="1"/>
    <xf numFmtId="0" fontId="100" fillId="0" borderId="0" xfId="5" applyFont="1" applyFill="1" applyAlignment="1">
      <alignment horizontal="center"/>
    </xf>
    <xf numFmtId="0" fontId="17" fillId="0" borderId="87" xfId="0" applyFont="1" applyFill="1" applyBorder="1" applyAlignment="1">
      <alignment horizontal="center" vertical="center" wrapText="1"/>
    </xf>
    <xf numFmtId="0" fontId="66" fillId="0" borderId="87" xfId="0" applyFont="1" applyFill="1" applyBorder="1" applyAlignment="1">
      <alignment horizontal="center" vertical="center" wrapText="1"/>
    </xf>
    <xf numFmtId="49" fontId="66" fillId="0" borderId="87" xfId="0" applyNumberFormat="1" applyFont="1" applyFill="1" applyBorder="1" applyAlignment="1">
      <alignment horizontal="center" vertical="center" wrapText="1"/>
    </xf>
    <xf numFmtId="0" fontId="66" fillId="0" borderId="98" xfId="10" applyFont="1" applyFill="1" applyBorder="1" applyAlignment="1">
      <alignment horizontal="left" vertical="top" wrapText="1"/>
    </xf>
    <xf numFmtId="0" fontId="66" fillId="0" borderId="98" xfId="4" applyFont="1" applyFill="1" applyBorder="1" applyAlignment="1">
      <alignment horizontal="left" vertical="top" wrapText="1"/>
    </xf>
    <xf numFmtId="49" fontId="8" fillId="43" borderId="87" xfId="0" applyNumberFormat="1" applyFont="1" applyFill="1" applyBorder="1" applyAlignment="1" applyProtection="1">
      <alignment horizontal="left" vertical="top" wrapText="1"/>
      <protection locked="0"/>
    </xf>
    <xf numFmtId="0" fontId="8" fillId="43" borderId="87" xfId="0" applyNumberFormat="1" applyFont="1" applyFill="1" applyBorder="1" applyAlignment="1" applyProtection="1">
      <alignment horizontal="center" vertical="top"/>
      <protection locked="0"/>
    </xf>
    <xf numFmtId="0" fontId="3" fillId="0" borderId="0" xfId="0" applyFont="1" applyAlignment="1">
      <alignment vertical="center"/>
    </xf>
    <xf numFmtId="0" fontId="66" fillId="9" borderId="98" xfId="10" applyFont="1" applyFill="1" applyBorder="1" applyAlignment="1">
      <alignment horizontal="left" vertical="top" wrapText="1"/>
    </xf>
    <xf numFmtId="49" fontId="66" fillId="9" borderId="87" xfId="0" applyNumberFormat="1" applyFont="1" applyFill="1" applyBorder="1" applyAlignment="1">
      <alignment horizontal="center" vertical="center" wrapText="1"/>
    </xf>
    <xf numFmtId="0" fontId="66" fillId="9" borderId="87" xfId="0" applyFont="1" applyFill="1" applyBorder="1" applyAlignment="1">
      <alignment horizontal="center" vertical="center" wrapText="1"/>
    </xf>
    <xf numFmtId="0" fontId="18" fillId="13" borderId="5" xfId="1" applyFont="1" applyFill="1" applyBorder="1" applyAlignment="1" applyProtection="1">
      <alignment horizontal="center" vertical="center" wrapText="1"/>
    </xf>
    <xf numFmtId="0" fontId="12" fillId="25" borderId="5" xfId="1" applyFont="1" applyFill="1" applyBorder="1" applyAlignment="1" applyProtection="1">
      <alignment horizontal="center" vertical="center" wrapText="1"/>
    </xf>
    <xf numFmtId="0" fontId="12" fillId="25" borderId="5" xfId="0" applyFont="1" applyFill="1" applyBorder="1" applyAlignment="1">
      <alignment horizontal="center" vertical="center" wrapText="1"/>
    </xf>
    <xf numFmtId="0" fontId="12" fillId="26" borderId="5" xfId="1" applyFont="1" applyFill="1" applyBorder="1" applyAlignment="1" applyProtection="1">
      <alignment horizontal="center" vertical="center" wrapText="1"/>
    </xf>
    <xf numFmtId="0" fontId="12" fillId="26" borderId="5" xfId="0" applyFont="1" applyFill="1" applyBorder="1" applyAlignment="1">
      <alignment horizontal="center" vertical="center" wrapText="1"/>
    </xf>
    <xf numFmtId="0" fontId="12" fillId="14" borderId="5" xfId="1" applyFont="1" applyFill="1" applyBorder="1" applyAlignment="1" applyProtection="1">
      <alignment horizontal="center" vertical="center" wrapText="1"/>
    </xf>
    <xf numFmtId="0" fontId="12" fillId="14" borderId="5" xfId="0" applyFont="1" applyFill="1" applyBorder="1" applyAlignment="1">
      <alignment horizontal="center" vertical="center" wrapText="1"/>
    </xf>
    <xf numFmtId="0" fontId="12" fillId="31" borderId="5" xfId="1" applyFont="1" applyFill="1" applyBorder="1" applyAlignment="1" applyProtection="1">
      <alignment horizontal="center" vertical="center" wrapText="1"/>
    </xf>
    <xf numFmtId="0" fontId="12" fillId="31" borderId="5" xfId="0" applyFont="1" applyFill="1" applyBorder="1" applyAlignment="1">
      <alignment horizontal="center" vertical="center" wrapText="1"/>
    </xf>
    <xf numFmtId="0" fontId="18" fillId="30" borderId="5" xfId="1" applyFont="1" applyFill="1" applyBorder="1" applyAlignment="1" applyProtection="1">
      <alignment horizontal="center" vertical="center" wrapText="1"/>
    </xf>
    <xf numFmtId="0" fontId="12" fillId="20" borderId="5" xfId="1" applyFont="1" applyFill="1" applyBorder="1" applyAlignment="1" applyProtection="1">
      <alignment horizontal="center" vertical="center" wrapText="1"/>
    </xf>
    <xf numFmtId="0" fontId="12" fillId="20" borderId="5" xfId="0" applyFont="1" applyFill="1" applyBorder="1" applyAlignment="1">
      <alignment horizontal="center" vertical="center" wrapText="1"/>
    </xf>
    <xf numFmtId="0" fontId="18" fillId="27" borderId="5" xfId="1" applyFont="1" applyFill="1" applyBorder="1" applyAlignment="1" applyProtection="1">
      <alignment horizontal="center" vertical="center" wrapText="1"/>
    </xf>
    <xf numFmtId="0" fontId="12" fillId="29" borderId="5" xfId="1" applyFont="1" applyFill="1" applyBorder="1" applyAlignment="1" applyProtection="1">
      <alignment horizontal="center" vertical="center" wrapText="1"/>
    </xf>
    <xf numFmtId="0" fontId="12" fillId="29" borderId="5" xfId="0" applyFont="1" applyFill="1" applyBorder="1" applyAlignment="1">
      <alignment horizontal="center" vertical="center" wrapText="1"/>
    </xf>
    <xf numFmtId="0" fontId="12" fillId="28" borderId="5" xfId="1" applyFont="1" applyFill="1" applyBorder="1" applyAlignment="1" applyProtection="1">
      <alignment horizontal="center" vertical="center" wrapText="1"/>
    </xf>
    <xf numFmtId="0" fontId="12" fillId="28" borderId="5" xfId="0" applyFont="1" applyFill="1" applyBorder="1" applyAlignment="1">
      <alignment horizontal="center" vertical="center" wrapText="1"/>
    </xf>
    <xf numFmtId="0" fontId="18" fillId="32" borderId="5" xfId="1" applyFont="1" applyFill="1" applyBorder="1" applyAlignment="1" applyProtection="1">
      <alignment horizontal="center" vertical="center" wrapText="1"/>
    </xf>
    <xf numFmtId="0" fontId="12" fillId="33" borderId="5" xfId="1" applyFont="1" applyFill="1" applyBorder="1" applyAlignment="1" applyProtection="1">
      <alignment horizontal="center" vertical="center" wrapText="1"/>
    </xf>
    <xf numFmtId="0" fontId="12" fillId="18" borderId="5" xfId="1" applyFont="1" applyFill="1" applyBorder="1" applyAlignment="1" applyProtection="1">
      <alignment horizontal="center" vertical="center" wrapText="1"/>
    </xf>
    <xf numFmtId="0" fontId="12" fillId="23" borderId="5" xfId="1" applyFont="1" applyFill="1" applyBorder="1" applyAlignment="1" applyProtection="1">
      <alignment horizontal="center" vertical="center" wrapText="1"/>
    </xf>
    <xf numFmtId="0" fontId="12" fillId="34" borderId="5" xfId="1" applyFont="1" applyFill="1" applyBorder="1" applyAlignment="1" applyProtection="1">
      <alignment horizontal="center" vertical="center" wrapText="1"/>
    </xf>
    <xf numFmtId="0" fontId="12" fillId="34" borderId="5" xfId="0" applyFont="1" applyFill="1" applyBorder="1" applyAlignment="1">
      <alignment horizontal="center" vertical="center" wrapText="1"/>
    </xf>
    <xf numFmtId="0" fontId="12" fillId="16" borderId="5" xfId="1" applyFont="1" applyFill="1" applyBorder="1" applyAlignment="1" applyProtection="1">
      <alignment horizontal="center" vertical="center" wrapText="1"/>
    </xf>
    <xf numFmtId="0" fontId="12" fillId="16" borderId="5" xfId="0" applyFont="1" applyFill="1" applyBorder="1" applyAlignment="1">
      <alignment horizontal="center" vertical="center" wrapText="1"/>
    </xf>
    <xf numFmtId="0" fontId="12" fillId="17" borderId="5" xfId="1" applyFont="1" applyFill="1" applyBorder="1" applyAlignment="1" applyProtection="1">
      <alignment horizontal="center" vertical="center" wrapText="1"/>
    </xf>
    <xf numFmtId="0" fontId="12" fillId="17" borderId="5" xfId="0" applyFont="1" applyFill="1" applyBorder="1" applyAlignment="1">
      <alignment horizontal="center" vertical="center" wrapText="1"/>
    </xf>
    <xf numFmtId="0" fontId="12" fillId="24" borderId="5" xfId="1" applyFont="1" applyFill="1" applyBorder="1" applyAlignment="1" applyProtection="1">
      <alignment horizontal="center" vertical="center" wrapText="1"/>
    </xf>
    <xf numFmtId="0" fontId="12" fillId="24" borderId="5" xfId="0" applyFont="1" applyFill="1" applyBorder="1" applyAlignment="1">
      <alignment horizontal="center" vertical="center" wrapText="1"/>
    </xf>
    <xf numFmtId="0" fontId="12" fillId="12" borderId="5" xfId="1" applyFont="1" applyFill="1" applyBorder="1" applyAlignment="1" applyProtection="1">
      <alignment horizontal="center" vertical="center" wrapText="1"/>
    </xf>
    <xf numFmtId="0" fontId="12" fillId="12" borderId="5" xfId="0" applyFont="1" applyFill="1" applyBorder="1" applyAlignment="1">
      <alignment horizontal="center" vertical="center" wrapText="1"/>
    </xf>
    <xf numFmtId="0" fontId="12" fillId="11" borderId="5" xfId="1" applyFont="1" applyFill="1" applyBorder="1" applyAlignment="1" applyProtection="1">
      <alignment horizontal="center" vertical="center" wrapText="1"/>
    </xf>
    <xf numFmtId="0" fontId="12" fillId="37" borderId="5" xfId="0" applyFont="1" applyFill="1" applyBorder="1" applyAlignment="1">
      <alignment horizontal="center" vertical="center" wrapText="1"/>
    </xf>
    <xf numFmtId="0" fontId="12" fillId="7" borderId="5" xfId="1" applyFont="1" applyFill="1" applyBorder="1" applyAlignment="1" applyProtection="1">
      <alignment horizontal="center" vertical="center" wrapText="1"/>
    </xf>
    <xf numFmtId="0" fontId="12" fillId="7" borderId="5" xfId="0" applyFont="1" applyFill="1" applyBorder="1" applyAlignment="1">
      <alignment horizontal="center" vertical="center" wrapText="1"/>
    </xf>
    <xf numFmtId="0" fontId="16" fillId="10" borderId="31" xfId="0" applyFont="1" applyFill="1" applyBorder="1" applyAlignment="1">
      <alignment horizontal="center" vertical="center" wrapText="1"/>
    </xf>
    <xf numFmtId="0" fontId="0" fillId="0" borderId="31" xfId="0" applyBorder="1" applyAlignment="1">
      <alignment horizontal="center" vertical="center" wrapText="1"/>
    </xf>
    <xf numFmtId="0" fontId="16" fillId="10" borderId="5" xfId="0" applyFont="1" applyFill="1" applyBorder="1" applyAlignment="1">
      <alignment horizontal="center" vertical="center" wrapText="1"/>
    </xf>
    <xf numFmtId="0" fontId="0" fillId="0" borderId="5" xfId="0" applyBorder="1" applyAlignment="1">
      <alignment horizontal="center" vertical="center" wrapText="1"/>
    </xf>
    <xf numFmtId="0" fontId="18" fillId="36" borderId="5" xfId="0" applyFont="1" applyFill="1" applyBorder="1" applyAlignment="1">
      <alignment horizontal="center" vertical="center" wrapText="1"/>
    </xf>
    <xf numFmtId="0" fontId="18" fillId="35" borderId="5" xfId="1" applyFont="1" applyFill="1" applyBorder="1" applyAlignment="1" applyProtection="1">
      <alignment horizontal="center" vertical="center" wrapText="1"/>
    </xf>
    <xf numFmtId="0" fontId="18" fillId="19" borderId="5" xfId="1" applyFont="1" applyFill="1" applyBorder="1" applyAlignment="1" applyProtection="1">
      <alignment horizontal="center" vertical="center" wrapText="1"/>
    </xf>
    <xf numFmtId="0" fontId="18" fillId="22" borderId="5" xfId="1" applyFont="1" applyFill="1" applyBorder="1" applyAlignment="1" applyProtection="1">
      <alignment horizontal="center" vertical="center" wrapText="1"/>
    </xf>
    <xf numFmtId="0" fontId="18" fillId="15" borderId="5" xfId="1" applyFont="1" applyFill="1" applyBorder="1" applyAlignment="1" applyProtection="1">
      <alignment horizontal="center" vertical="center" wrapText="1"/>
    </xf>
    <xf numFmtId="0" fontId="18" fillId="21" borderId="5" xfId="1" applyFont="1" applyFill="1" applyBorder="1" applyAlignment="1" applyProtection="1">
      <alignment horizontal="center" vertical="center" wrapText="1"/>
    </xf>
    <xf numFmtId="0" fontId="12" fillId="38" borderId="5" xfId="1" applyFont="1" applyFill="1" applyBorder="1" applyAlignment="1" applyProtection="1">
      <alignment horizontal="center" vertical="center" wrapText="1"/>
    </xf>
    <xf numFmtId="0" fontId="12" fillId="38" borderId="5" xfId="0" applyFont="1" applyFill="1" applyBorder="1" applyAlignment="1">
      <alignment horizontal="center" vertical="center" wrapText="1"/>
    </xf>
    <xf numFmtId="0" fontId="12" fillId="9" borderId="5" xfId="1" applyFont="1" applyFill="1" applyBorder="1" applyAlignment="1" applyProtection="1">
      <alignment horizontal="center" vertical="center" wrapText="1"/>
    </xf>
    <xf numFmtId="0" fontId="12" fillId="9" borderId="5" xfId="0" applyFont="1" applyFill="1" applyBorder="1" applyAlignment="1">
      <alignment horizontal="center" vertical="center" wrapText="1"/>
    </xf>
    <xf numFmtId="0" fontId="76" fillId="43" borderId="19" xfId="5" quotePrefix="1" applyFont="1" applyFill="1" applyBorder="1" applyAlignment="1" applyProtection="1">
      <alignment horizontal="left" vertical="top" wrapText="1"/>
    </xf>
    <xf numFmtId="0" fontId="77" fillId="43" borderId="0" xfId="0" applyFont="1" applyFill="1" applyAlignment="1">
      <alignment vertical="top" wrapText="1"/>
    </xf>
    <xf numFmtId="0" fontId="77" fillId="43" borderId="19" xfId="0" applyFont="1" applyFill="1" applyBorder="1" applyAlignment="1">
      <alignment vertical="top" wrapText="1"/>
    </xf>
    <xf numFmtId="0" fontId="78" fillId="43" borderId="0" xfId="5" applyFont="1" applyFill="1" applyBorder="1" applyAlignment="1" applyProtection="1">
      <alignment vertical="top" wrapText="1"/>
    </xf>
    <xf numFmtId="0" fontId="77" fillId="43" borderId="20" xfId="0" applyFont="1" applyFill="1" applyBorder="1" applyAlignment="1">
      <alignment vertical="top" wrapText="1"/>
    </xf>
    <xf numFmtId="0" fontId="78" fillId="43" borderId="0" xfId="5" applyFont="1" applyFill="1" applyBorder="1" applyAlignment="1" applyProtection="1">
      <alignment horizontal="left" vertical="top" wrapText="1"/>
    </xf>
    <xf numFmtId="0" fontId="78" fillId="43" borderId="20" xfId="5" applyFont="1" applyFill="1" applyBorder="1" applyAlignment="1" applyProtection="1">
      <alignment horizontal="left" vertical="top" wrapText="1"/>
    </xf>
    <xf numFmtId="0" fontId="17" fillId="43" borderId="47" xfId="5" quotePrefix="1" applyFont="1" applyFill="1" applyBorder="1" applyAlignment="1" applyProtection="1">
      <alignment horizontal="left" textRotation="180" wrapText="1"/>
    </xf>
    <xf numFmtId="0" fontId="5" fillId="43" borderId="57" xfId="0" applyFont="1" applyFill="1" applyBorder="1" applyAlignment="1">
      <alignment horizontal="left" textRotation="180" wrapText="1"/>
    </xf>
    <xf numFmtId="0" fontId="29" fillId="43" borderId="0" xfId="5" quotePrefix="1" applyFont="1" applyFill="1" applyBorder="1" applyAlignment="1" applyProtection="1">
      <alignment horizontal="right" vertical="top"/>
    </xf>
    <xf numFmtId="0" fontId="0" fillId="43" borderId="0" xfId="0" applyFill="1" applyAlignment="1">
      <alignment horizontal="right" vertical="top"/>
    </xf>
    <xf numFmtId="0" fontId="5" fillId="42" borderId="29" xfId="5" applyFont="1" applyFill="1" applyBorder="1" applyAlignment="1">
      <alignment horizontal="center"/>
    </xf>
    <xf numFmtId="0" fontId="3" fillId="42" borderId="29" xfId="5" applyFill="1" applyBorder="1" applyAlignment="1">
      <alignment horizontal="center"/>
    </xf>
    <xf numFmtId="0" fontId="17" fillId="48" borderId="29" xfId="5" applyFont="1" applyFill="1" applyBorder="1" applyAlignment="1">
      <alignment horizontal="center"/>
    </xf>
    <xf numFmtId="0" fontId="7" fillId="48" borderId="29" xfId="5" applyFont="1" applyFill="1" applyBorder="1" applyAlignment="1">
      <alignment horizontal="center"/>
    </xf>
    <xf numFmtId="0" fontId="7" fillId="48" borderId="93" xfId="5" applyFont="1" applyFill="1" applyBorder="1" applyAlignment="1">
      <alignment horizontal="center"/>
    </xf>
    <xf numFmtId="0" fontId="17" fillId="47" borderId="29" xfId="5" applyFont="1" applyFill="1" applyBorder="1" applyAlignment="1">
      <alignment horizontal="center"/>
    </xf>
    <xf numFmtId="0" fontId="7" fillId="47" borderId="29" xfId="5" applyFont="1" applyFill="1" applyBorder="1" applyAlignment="1">
      <alignment horizontal="center"/>
    </xf>
    <xf numFmtId="0" fontId="17" fillId="49" borderId="29" xfId="5" applyFont="1" applyFill="1" applyBorder="1" applyAlignment="1">
      <alignment horizontal="center"/>
    </xf>
    <xf numFmtId="0" fontId="7" fillId="49" borderId="29" xfId="5" applyFont="1" applyFill="1" applyBorder="1" applyAlignment="1">
      <alignment horizontal="center"/>
    </xf>
    <xf numFmtId="0" fontId="76" fillId="3" borderId="19" xfId="5" quotePrefix="1" applyFont="1" applyFill="1" applyBorder="1" applyAlignment="1" applyProtection="1">
      <alignment horizontal="left" vertical="top" wrapText="1"/>
    </xf>
    <xf numFmtId="0" fontId="88" fillId="0" borderId="0" xfId="0" applyFont="1" applyBorder="1" applyAlignment="1">
      <alignment vertical="top" wrapText="1"/>
    </xf>
    <xf numFmtId="0" fontId="88" fillId="0" borderId="62" xfId="0" applyFont="1" applyBorder="1" applyAlignment="1">
      <alignment vertical="top" wrapText="1"/>
    </xf>
    <xf numFmtId="0" fontId="88" fillId="0" borderId="51" xfId="0" applyFont="1" applyBorder="1" applyAlignment="1">
      <alignment vertical="top" wrapText="1"/>
    </xf>
    <xf numFmtId="0" fontId="17" fillId="3" borderId="47" xfId="5" quotePrefix="1" applyFont="1" applyFill="1" applyBorder="1" applyAlignment="1" applyProtection="1">
      <alignment horizontal="left" textRotation="180" wrapText="1"/>
    </xf>
    <xf numFmtId="0" fontId="5" fillId="0" borderId="57" xfId="0" applyFont="1" applyBorder="1" applyAlignment="1">
      <alignment horizontal="left" textRotation="180" wrapText="1"/>
    </xf>
    <xf numFmtId="0" fontId="29" fillId="3" borderId="51" xfId="5" quotePrefix="1" applyFont="1" applyFill="1" applyBorder="1" applyAlignment="1" applyProtection="1">
      <alignment horizontal="right"/>
    </xf>
    <xf numFmtId="0" fontId="0" fillId="0" borderId="63" xfId="0" applyBorder="1" applyAlignment="1"/>
    <xf numFmtId="0" fontId="85" fillId="3" borderId="15" xfId="5" quotePrefix="1" applyFont="1" applyFill="1" applyBorder="1" applyAlignment="1" applyProtection="1">
      <alignment horizontal="left" vertical="center" wrapText="1"/>
    </xf>
    <xf numFmtId="0" fontId="86" fillId="0" borderId="15" xfId="0" applyFont="1" applyBorder="1" applyAlignment="1">
      <alignment vertical="center" wrapText="1"/>
    </xf>
    <xf numFmtId="0" fontId="86" fillId="0" borderId="32" xfId="0" applyFont="1" applyBorder="1" applyAlignment="1">
      <alignment vertical="center" wrapText="1"/>
    </xf>
    <xf numFmtId="0" fontId="86" fillId="0" borderId="17" xfId="0" applyFont="1" applyBorder="1" applyAlignment="1">
      <alignment vertical="center" wrapText="1"/>
    </xf>
    <xf numFmtId="0" fontId="86" fillId="0" borderId="18" xfId="0" applyFont="1" applyBorder="1" applyAlignment="1">
      <alignment vertical="center" wrapText="1"/>
    </xf>
    <xf numFmtId="166" fontId="56" fillId="0" borderId="24" xfId="7" quotePrefix="1" applyNumberFormat="1" applyFont="1" applyFill="1" applyBorder="1" applyAlignment="1" applyProtection="1">
      <alignment horizontal="left" vertical="top" wrapText="1"/>
      <protection locked="0"/>
    </xf>
    <xf numFmtId="0" fontId="0" fillId="0" borderId="25" xfId="0" applyFill="1" applyBorder="1" applyAlignment="1">
      <alignment vertical="top"/>
    </xf>
    <xf numFmtId="14" fontId="58" fillId="0" borderId="35" xfId="9" applyNumberFormat="1" applyFont="1" applyFill="1" applyBorder="1" applyAlignment="1">
      <alignment horizontal="center" vertical="center" wrapText="1"/>
    </xf>
    <xf numFmtId="14" fontId="58" fillId="0" borderId="52" xfId="9" applyNumberFormat="1" applyFont="1" applyFill="1" applyBorder="1" applyAlignment="1">
      <alignment horizontal="center" vertical="center" wrapText="1"/>
    </xf>
    <xf numFmtId="14" fontId="58" fillId="0" borderId="3" xfId="9" applyNumberFormat="1" applyFont="1" applyFill="1" applyBorder="1" applyAlignment="1">
      <alignment horizontal="center" vertical="center" wrapText="1"/>
    </xf>
    <xf numFmtId="14" fontId="58" fillId="0" borderId="55" xfId="9" applyNumberFormat="1" applyFont="1" applyFill="1" applyBorder="1" applyAlignment="1">
      <alignment horizontal="center" vertical="center" wrapText="1"/>
    </xf>
    <xf numFmtId="0" fontId="7" fillId="8" borderId="55" xfId="0" applyFont="1" applyFill="1" applyBorder="1" applyAlignment="1">
      <alignment vertical="top" wrapText="1"/>
    </xf>
    <xf numFmtId="0" fontId="0" fillId="0" borderId="77" xfId="0" applyBorder="1" applyAlignment="1">
      <alignment wrapText="1"/>
    </xf>
    <xf numFmtId="0" fontId="0" fillId="0" borderId="78" xfId="0" applyBorder="1" applyAlignment="1">
      <alignment wrapText="1"/>
    </xf>
    <xf numFmtId="0" fontId="7" fillId="8" borderId="34" xfId="0" applyFont="1" applyFill="1" applyBorder="1" applyAlignment="1">
      <alignment vertical="top" wrapText="1"/>
    </xf>
    <xf numFmtId="0" fontId="0" fillId="0" borderId="59" xfId="0" applyBorder="1" applyAlignment="1">
      <alignment wrapText="1"/>
    </xf>
    <xf numFmtId="0" fontId="0" fillId="0" borderId="75" xfId="0" applyBorder="1" applyAlignment="1">
      <alignment wrapText="1"/>
    </xf>
  </cellXfs>
  <cellStyles count="11">
    <cellStyle name="Hyperlink" xfId="1" builtinId="8"/>
    <cellStyle name="Normal" xfId="0" builtinId="0"/>
    <cellStyle name="Normal 2" xfId="2" xr:uid="{00000000-0005-0000-0000-000002000000}"/>
    <cellStyle name="Normal 2 2" xfId="5" xr:uid="{00000000-0005-0000-0000-000003000000}"/>
    <cellStyle name="Normal 3" xfId="3" xr:uid="{00000000-0005-0000-0000-000004000000}"/>
    <cellStyle name="Normal 4" xfId="6" xr:uid="{00000000-0005-0000-0000-000005000000}"/>
    <cellStyle name="Normal 5" xfId="7" xr:uid="{00000000-0005-0000-0000-000006000000}"/>
    <cellStyle name="Normal 6" xfId="9" xr:uid="{00000000-0005-0000-0000-000007000000}"/>
    <cellStyle name="Normal_CPPE-7Nov2005-National-Template-HumanConsiderations" xfId="4" xr:uid="{00000000-0005-0000-0000-000008000000}"/>
    <cellStyle name="Normal_CPPE-7Nov2005-National-Template-HumanConsiderations 2" xfId="10" xr:uid="{00000000-0005-0000-0000-000009000000}"/>
    <cellStyle name="Normal_GuideSheetLight2005HG" xfId="8" xr:uid="{00000000-0005-0000-0000-00000A000000}"/>
  </cellStyles>
  <dxfs count="330">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
      <fill>
        <patternFill>
          <bgColor indexed="34"/>
        </patternFill>
      </fill>
    </dxf>
  </dxfs>
  <tableStyles count="0" defaultTableStyle="TableStyleMedium9" defaultPivotStyle="PivotStyleLight16"/>
  <colors>
    <mruColors>
      <color rgb="FFCCFFCC"/>
      <color rgb="FFFFFF99"/>
      <color rgb="FF0000FF"/>
      <color rgb="FFCCFF66"/>
      <color rgb="FFFFCCFF"/>
      <color rgb="FFFFCCCC"/>
      <color rgb="FFCCFFFF"/>
      <color rgb="FF00FFFF"/>
      <color rgb="FFCC3300"/>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Drop" dropLines="10" dropStyle="combo" dx="19" fmlaLink="$A$1" fmlaRange="'Physical Effects'!$B$6:$B$174" noThreeD="1" sel="122" val="120"/>
</file>

<file path=xl/ctrlProps/ctrlProp2.xml><?xml version="1.0" encoding="utf-8"?>
<formControlPr xmlns="http://schemas.microsoft.com/office/spreadsheetml/2009/9/main" objectType="Drop" dropLines="10" dropStyle="combo" dx="19" fmlaLink="$A$1" fmlaRange="'Human Considerations'!$B$3:$B$180" noThreeD="1" sel="21" val="124"/>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9008</xdr:colOff>
      <xdr:row>20</xdr:row>
      <xdr:rowOff>160818</xdr:rowOff>
    </xdr:from>
    <xdr:to>
      <xdr:col>1</xdr:col>
      <xdr:colOff>7153349</xdr:colOff>
      <xdr:row>59</xdr:row>
      <xdr:rowOff>26670</xdr:rowOff>
    </xdr:to>
    <xdr:sp macro="" textlink="">
      <xdr:nvSpPr>
        <xdr:cNvPr id="8193" name="Text Box 1">
          <a:extLst>
            <a:ext uri="{FF2B5EF4-FFF2-40B4-BE49-F238E27FC236}">
              <a16:creationId xmlns:a16="http://schemas.microsoft.com/office/drawing/2014/main" id="{00000000-0008-0000-0000-000001200000}"/>
            </a:ext>
          </a:extLst>
        </xdr:cNvPr>
        <xdr:cNvSpPr txBox="1">
          <a:spLocks noChangeArrowheads="1"/>
        </xdr:cNvSpPr>
      </xdr:nvSpPr>
      <xdr:spPr bwMode="auto">
        <a:xfrm>
          <a:off x="170933" y="4227993"/>
          <a:ext cx="7144341" cy="6180927"/>
        </a:xfrm>
        <a:prstGeom prst="rect">
          <a:avLst/>
        </a:prstGeom>
        <a:solidFill>
          <a:srgbClr val="CCFFCC"/>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0" bIns="0" anchor="t" upright="1"/>
        <a:lstStyle/>
        <a:p>
          <a:pPr algn="l" rtl="0">
            <a:defRPr sz="1000"/>
          </a:pPr>
          <a:endParaRPr lang="en-US" sz="900" b="0" i="0" u="none" strike="noStrike" baseline="0">
            <a:solidFill>
              <a:srgbClr val="000000"/>
            </a:solidFill>
            <a:latin typeface="Arial"/>
            <a:cs typeface="Arial"/>
          </a:endParaRPr>
        </a:p>
        <a:p>
          <a:pPr algn="l" rtl="0">
            <a:defRPr sz="1000"/>
          </a:pPr>
          <a:r>
            <a:rPr lang="en-US" sz="900" b="1" i="1" u="none" strike="noStrike" baseline="0">
              <a:solidFill>
                <a:srgbClr val="000000"/>
              </a:solidFill>
              <a:latin typeface="Arial"/>
              <a:cs typeface="Arial"/>
            </a:rPr>
            <a:t>Disclaimer</a:t>
          </a:r>
          <a:endParaRPr lang="en-US" sz="900" b="0" i="1" u="none" strike="noStrike" baseline="0">
            <a:solidFill>
              <a:srgbClr val="000000"/>
            </a:solidFill>
            <a:latin typeface="Arial"/>
            <a:cs typeface="Arial"/>
          </a:endParaRPr>
        </a:p>
        <a:p>
          <a:pPr algn="l" rtl="0">
            <a:defRPr sz="1000"/>
          </a:pP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CPPE effects and rationale statements have been developed in the context of field or conservation management unit application, i.e., the site level, and indicate the general resource effects and level of impact when a particular practice has reached a designed, functional state. Short-term effects shortly after construction, installation, planting, etc. are NOT rated unless the practice characteristically reaches a functional state quickly. Most plant-related practices take from months to a decade or more to become fully functional. Because of varying conditions within regions, states and local areas, many ratings in the National CPPE template are expressed as a range, e.g., ‘slight to moderate improvement’ in a particular resource concern. States and locales are encouraged to refine ratings to improve accuracy for CPPEs developed for an entire state or a particular Common Resource Area.</a:t>
          </a:r>
        </a:p>
        <a:p>
          <a:pPr algn="l" rtl="0">
            <a:defRPr sz="1000"/>
          </a:pP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Other considerations in using the CPPE and refining ratings locally include:</a:t>
          </a:r>
        </a:p>
        <a:p>
          <a:pPr algn="l" rtl="0">
            <a:defRPr sz="1000"/>
          </a:pP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1. Applying a practice on a planning unit may have a substantial effect at the site level that, when assessed at a landscape or watershed level, may be of a lesser degree. Beneficial watershed effects depend on the cumulative impacts of individual practices applied in many places and as part of the resource management systems.</a:t>
          </a:r>
        </a:p>
        <a:p>
          <a:pPr algn="l" rtl="0">
            <a:defRPr sz="1000"/>
          </a:pP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2. The CPPE ratings are for individual practices and, in a few applicable cases, practices that are very closely associated and usually installed concurrently with the practice being rated. It is recognized that practices are seldom installed singly and, when a system of practices is installed, a considerable synergistic effect can occur. Because the effects ratings focus on single practices, system effects and their magnitudes are not part of the CPPE. However, the additive effects of a group of practices could be individually accumulated giving some indication of a general overall effect on pertinent resource concerns. In addition, the consequences of planned systems are determined during the planning/environmental evaluation process and will vary from site to site.</a:t>
          </a:r>
        </a:p>
        <a:p>
          <a:pPr algn="l" rtl="0">
            <a:defRPr sz="1000"/>
          </a:pP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3. Even though not rated in the CPPE, short-term effects are an important aspect of conservation planning particularly when dealing with engineering or construction-type practices that require temporary ground disturbance. Short-term effects of preparing and installing a practice may cause undesired but temporary consequences. Such consequences are usually anticipated and mitigating measures are taken. For example, during site preparation and installation of Grade Stabilization Structure to treat a gully, soil disturbance can be substantial. When such disturbance is near or adjacent to a stream, a moderate to substantial amount of sediment can reach the stream unless mitigating actions are taken. Typically, the entire disturbed area is seeded and mulched shortly after construction to minimize sediment delivery to very low levels. Thus, the amount of sediment from the construction area in the short term is reduced to acceptable, low levels and represents an insignificant amount when compared to the sediment production and land wasting if the gully is left untreated.</a:t>
          </a:r>
        </a:p>
        <a:p>
          <a:pPr algn="l" rtl="0">
            <a:defRPr sz="1000"/>
          </a:pP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4. Some practices are difficult to rate because of a counter-productive influence on another condition or offsetting worsening and improvement in a resource concern. For example, the application of Upland Wildlife Habitat Management may improve habitat for one group of organisms while adversely affecting habitat for another group. The fact that habitat for a favored species is improved does not make up for the adverse effect on the other species. Another example is demonstrated by the effect of Grazing Land Mechanical Treatment on salinity in groundwater. Even though the practice is designed to improve infiltration which could result in more salts being leached to groundwater, plant growth and vigor is improved resulting in increased water use and diminished leaching. Thus, application of the practice produces both worsening and improving effects that tend to offset each other. Situations as depicted above were rated ‘neutral’ with a rationale statement explaining the circumstances.</a:t>
          </a:r>
        </a:p>
        <a:p>
          <a:pPr algn="l" rtl="0">
            <a:defRPr sz="1000"/>
          </a:pP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5. Many of the effects that, at first glance, would indicate an undesired worsening in a resource concern were rated as 'no effect because agency policy requires an on-site environmental assessment evaluation before the practice is installed requiring mitigating measures to eliminate undesired effects. Typically, the rationale statement for the ‘no effect' rating explains such circumstances.</a:t>
          </a:r>
        </a:p>
        <a:p>
          <a:pPr algn="l" rtl="0">
            <a:defRPr sz="1000"/>
          </a:pP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6. A number of practices under the leadership of the grazing lands discipline are considered "facilitating" practices, i.e., Fence, 382, and Animal Trails and Walkways, 575. The effects of such practices can only be assessed when used in context with other practices. Thus, many resource concerns are rated as "No Effect" with further explanation in the adjacent rationale column. </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38100</xdr:rowOff>
        </xdr:from>
        <xdr:to>
          <xdr:col>4</xdr:col>
          <xdr:colOff>257175</xdr:colOff>
          <xdr:row>0</xdr:row>
          <xdr:rowOff>257175</xdr:rowOff>
        </xdr:to>
        <xdr:sp macro="" textlink="">
          <xdr:nvSpPr>
            <xdr:cNvPr id="21505" name="Drop Down 1" hidden="1">
              <a:extLst>
                <a:ext uri="{63B3BB69-23CF-44E3-9099-C40C66FF867C}">
                  <a14:compatExt spid="_x0000_s21505"/>
                </a:ext>
                <a:ext uri="{FF2B5EF4-FFF2-40B4-BE49-F238E27FC236}">
                  <a16:creationId xmlns:a16="http://schemas.microsoft.com/office/drawing/2014/main" id="{00000000-0008-0000-03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38100</xdr:rowOff>
        </xdr:from>
        <xdr:to>
          <xdr:col>5</xdr:col>
          <xdr:colOff>19050</xdr:colOff>
          <xdr:row>0</xdr:row>
          <xdr:rowOff>257175</xdr:rowOff>
        </xdr:to>
        <xdr:sp macro="" textlink="">
          <xdr:nvSpPr>
            <xdr:cNvPr id="51201" name="Drop Down 1" hidden="1">
              <a:extLst>
                <a:ext uri="{63B3BB69-23CF-44E3-9099-C40C66FF867C}">
                  <a14:compatExt spid="_x0000_s51201"/>
                </a:ext>
                <a:ext uri="{FF2B5EF4-FFF2-40B4-BE49-F238E27FC236}">
                  <a16:creationId xmlns:a16="http://schemas.microsoft.com/office/drawing/2014/main" id="{00000000-0008-0000-07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171450</xdr:colOff>
          <xdr:row>1</xdr:row>
          <xdr:rowOff>57150</xdr:rowOff>
        </xdr:from>
        <xdr:to>
          <xdr:col>12</xdr:col>
          <xdr:colOff>742950</xdr:colOff>
          <xdr:row>1</xdr:row>
          <xdr:rowOff>333375</xdr:rowOff>
        </xdr:to>
        <xdr:sp macro="" textlink="">
          <xdr:nvSpPr>
            <xdr:cNvPr id="51202" name="Button 2" hidden="1">
              <a:extLst>
                <a:ext uri="{63B3BB69-23CF-44E3-9099-C40C66FF867C}">
                  <a14:compatExt spid="_x0000_s51202"/>
                </a:ext>
                <a:ext uri="{FF2B5EF4-FFF2-40B4-BE49-F238E27FC236}">
                  <a16:creationId xmlns:a16="http://schemas.microsoft.com/office/drawing/2014/main" id="{00000000-0008-0000-0700-000002C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Print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home\Hal.Gordon\HGEconAssistance\National\CPPESubcommittee\RMSPlanningTool\RMSPlanningToolNewResourceConcernsNorthCarolina10011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reg.zwicke\AppData\Local\Microsoft\Windows\Temporary%20Internet%20Files\Content.Outlook\V7UI0ZCC\NewRequests\CPPENationalFinal050713AQAC062013Zwicky.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greg.zwicke\AppData\Local\Microsoft\Windows\Temporary%20Internet%20Files\Content.Outlook\V7UI0ZCC\CPPENational061114%20Bogovich.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greg.zwicke\AppData\Local\Microsoft\Windows\Temporary%20Internet%20Files\Content.Outlook\V7UI0ZCC\CPPENational041414-wrr.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greg.zwicke\AppData\Local\Microsoft\Windows\Temporary%20Internet%20Files\Content.Outlook\V7UI0ZCC\CPPENational041414_CEL%20318.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hal.gordon\AppData\Local\Microsoft\Windows\Temporary%20Internet%20Files\Content.Outlook\A8O3OWEQ\AgronomyCopy%20of%20CPPENational05141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Recommend Practices"/>
      <sheetName val="Results"/>
      <sheetName val="CPPE"/>
      <sheetName val="Problem Definitions"/>
      <sheetName val="Practice Descriptions"/>
      <sheetName val="AlternativeSummary"/>
      <sheetName val="Lookup"/>
    </sheetNames>
    <sheetDataSet>
      <sheetData sheetId="0" refreshError="1"/>
      <sheetData sheetId="1"/>
      <sheetData sheetId="2" refreshError="1"/>
      <sheetData sheetId="3" refreshError="1"/>
      <sheetData sheetId="4" refreshError="1"/>
      <sheetData sheetId="5"/>
      <sheetData sheetId="6" refreshError="1"/>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Physical Effects"/>
      <sheetName val="Physical Effects-Numbers"/>
      <sheetName val="Human Considerations"/>
      <sheetName val="Human Considerations-Numbers"/>
      <sheetName val="HC Definitions"/>
      <sheetName val="Help"/>
      <sheetName val="Lookup"/>
      <sheetName val="Archived Practices"/>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5">
          <cell r="A5" t="str">
            <v>No Effect</v>
          </cell>
        </row>
        <row r="6">
          <cell r="A6" t="str">
            <v>Slight Improvement</v>
          </cell>
        </row>
        <row r="7">
          <cell r="A7" t="str">
            <v>Slight to Moderate Improvement</v>
          </cell>
        </row>
        <row r="8">
          <cell r="A8" t="str">
            <v>Moderate Improvement</v>
          </cell>
        </row>
        <row r="9">
          <cell r="A9" t="str">
            <v>Moderate to Substantial Improvement</v>
          </cell>
        </row>
        <row r="10">
          <cell r="A10" t="str">
            <v>Substantial Improvement</v>
          </cell>
        </row>
        <row r="11">
          <cell r="A11" t="str">
            <v>Substantial Worsening</v>
          </cell>
        </row>
        <row r="12">
          <cell r="A12" t="str">
            <v>Moderate to Substantial Worsening</v>
          </cell>
        </row>
        <row r="13">
          <cell r="A13" t="str">
            <v>Moderate Worsening</v>
          </cell>
        </row>
        <row r="14">
          <cell r="A14" t="str">
            <v>Slight to Moderate Worsening</v>
          </cell>
        </row>
        <row r="15">
          <cell r="A15" t="str">
            <v>Slight Worsening</v>
          </cell>
        </row>
      </sheetData>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PPE Introduction"/>
      <sheetName val="Physical Effects"/>
      <sheetName val="Physical Effects-Numbers"/>
      <sheetName val="Physical Effects-Tool"/>
      <sheetName val="Human Considerations"/>
      <sheetName val="Human Considerations-Numbers"/>
      <sheetName val="Human Consideration-Definitions"/>
      <sheetName val="Human Effects-Tool"/>
      <sheetName val="Resource Concerns"/>
      <sheetName val="Practice Descriptions"/>
      <sheetName val="Practice-LandUse"/>
      <sheetName val="Lookup"/>
      <sheetName val="Negativ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PPE Introduction"/>
      <sheetName val="Physical Effects"/>
      <sheetName val="Physical Effects-Numbers"/>
      <sheetName val="Physical Effects-Tool"/>
      <sheetName val="Human Considerations"/>
      <sheetName val="Human Considerations-Numbers"/>
      <sheetName val="Human Consideration-Definitions"/>
      <sheetName val="Human Effects-Tool"/>
      <sheetName val="Resource Concerns"/>
      <sheetName val="Practice Descriptions"/>
      <sheetName val="Practice-LandUse"/>
      <sheetName val="Lookup"/>
      <sheetName val="Negativ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PPE Introduction"/>
      <sheetName val="Physical Effects"/>
      <sheetName val="Physical Effects-Numbers"/>
      <sheetName val="Physical Effects-Tool"/>
      <sheetName val="Human Considerations"/>
      <sheetName val="Human Considerations-Numbers"/>
      <sheetName val="Human Consideration-Definitions"/>
      <sheetName val="Human Effects-Tool"/>
      <sheetName val="Resource Concerns"/>
      <sheetName val="Practice Descriptions"/>
      <sheetName val="Practice-LandUse"/>
      <sheetName val="Lookup"/>
      <sheetName val="Negativ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PPE Introduction"/>
      <sheetName val="Physical Effects"/>
      <sheetName val="Physical Effects-Numbers"/>
      <sheetName val="Physical Effects-Tool"/>
      <sheetName val="Human Considerations"/>
      <sheetName val="Human Considerations-Numbers"/>
      <sheetName val="Human Consideration-Definitions"/>
      <sheetName val="Human Effects-Tool"/>
      <sheetName val="Resource Concerns"/>
      <sheetName val="Practice Descriptions"/>
      <sheetName val="Practice-LandUse"/>
      <sheetName val="Lookup"/>
      <sheetName val="Negativ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99"/>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99"/>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1.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B1:M66"/>
  <sheetViews>
    <sheetView showGridLines="0" workbookViewId="0"/>
  </sheetViews>
  <sheetFormatPr defaultRowHeight="12.75" x14ac:dyDescent="0.2"/>
  <cols>
    <col min="1" max="1" width="2.42578125" customWidth="1"/>
    <col min="2" max="2" width="107.42578125" bestFit="1" customWidth="1"/>
    <col min="4" max="4" width="8.85546875" customWidth="1"/>
  </cols>
  <sheetData>
    <row r="1" spans="2:13" ht="13.5" thickBot="1" x14ac:dyDescent="0.25"/>
    <row r="2" spans="2:13" ht="18.600000000000001" customHeight="1" thickBot="1" x14ac:dyDescent="0.3">
      <c r="B2" s="302" t="s">
        <v>1091</v>
      </c>
      <c r="C2" s="8"/>
      <c r="D2" s="8"/>
      <c r="E2" s="8"/>
      <c r="F2" s="8"/>
      <c r="G2" s="8"/>
      <c r="H2" s="8"/>
      <c r="I2" s="8"/>
      <c r="J2" s="8"/>
      <c r="K2" s="8"/>
      <c r="L2" s="8"/>
      <c r="M2" s="8"/>
    </row>
    <row r="3" spans="2:13" x14ac:dyDescent="0.2">
      <c r="B3" s="495"/>
      <c r="C3" s="8"/>
      <c r="D3" s="8"/>
      <c r="E3" s="8"/>
      <c r="F3" s="8"/>
      <c r="G3" s="8"/>
      <c r="H3" s="8"/>
      <c r="I3" s="8"/>
      <c r="J3" s="8"/>
      <c r="K3" s="8"/>
      <c r="L3" s="8"/>
      <c r="M3" s="8"/>
    </row>
    <row r="4" spans="2:13" x14ac:dyDescent="0.2">
      <c r="B4" s="490" t="s">
        <v>1684</v>
      </c>
      <c r="C4" s="9"/>
      <c r="D4" s="9"/>
      <c r="E4" s="9"/>
      <c r="F4" s="9"/>
      <c r="G4" s="9"/>
      <c r="H4" s="9"/>
      <c r="I4" s="9"/>
      <c r="J4" s="9"/>
      <c r="K4" s="9"/>
      <c r="L4" s="9"/>
      <c r="M4" s="9"/>
    </row>
    <row r="5" spans="2:13" ht="56.25" customHeight="1" x14ac:dyDescent="0.2">
      <c r="B5" s="491" t="s">
        <v>3933</v>
      </c>
      <c r="C5" s="9"/>
      <c r="D5" s="9"/>
      <c r="E5" s="9"/>
      <c r="F5" s="9"/>
      <c r="G5" s="9"/>
      <c r="H5" s="9"/>
      <c r="I5" s="9"/>
      <c r="J5" s="9"/>
      <c r="K5" s="9"/>
      <c r="L5" s="9"/>
      <c r="M5" s="9"/>
    </row>
    <row r="6" spans="2:13" ht="16.5" customHeight="1" x14ac:dyDescent="0.2">
      <c r="B6" s="490" t="s">
        <v>1636</v>
      </c>
      <c r="C6" s="9"/>
      <c r="D6" s="9"/>
      <c r="E6" s="9"/>
      <c r="F6" s="9"/>
      <c r="G6" s="9"/>
      <c r="H6" s="9"/>
      <c r="I6" s="9"/>
      <c r="J6" s="9"/>
      <c r="K6" s="9"/>
      <c r="L6" s="9"/>
      <c r="M6" s="9"/>
    </row>
    <row r="7" spans="2:13" ht="24.6" customHeight="1" x14ac:dyDescent="0.2">
      <c r="B7" s="491" t="s">
        <v>1244</v>
      </c>
      <c r="C7" s="9"/>
      <c r="D7" s="9"/>
      <c r="E7" s="9"/>
      <c r="F7" s="9"/>
      <c r="G7" s="9"/>
      <c r="H7" s="9"/>
      <c r="I7" s="9"/>
      <c r="J7" s="9"/>
      <c r="K7" s="9"/>
      <c r="L7" s="9"/>
      <c r="M7" s="9"/>
    </row>
    <row r="8" spans="2:13" x14ac:dyDescent="0.2">
      <c r="B8" s="492" t="s">
        <v>2050</v>
      </c>
      <c r="C8" s="9"/>
      <c r="D8" s="9"/>
      <c r="E8" s="9"/>
      <c r="F8" s="9"/>
      <c r="G8" s="9"/>
      <c r="H8" s="9"/>
      <c r="I8" s="9"/>
      <c r="J8" s="9"/>
      <c r="K8" s="9"/>
      <c r="L8" s="9"/>
      <c r="M8" s="9"/>
    </row>
    <row r="9" spans="2:13" x14ac:dyDescent="0.2">
      <c r="B9" s="492" t="s">
        <v>2051</v>
      </c>
      <c r="C9" s="9"/>
      <c r="D9" s="9"/>
      <c r="E9" s="9"/>
      <c r="F9" s="9"/>
      <c r="G9" s="9"/>
      <c r="H9" s="9"/>
      <c r="I9" s="9"/>
      <c r="J9" s="9"/>
      <c r="K9" s="9"/>
      <c r="L9" s="9"/>
      <c r="M9" s="9"/>
    </row>
    <row r="10" spans="2:13" x14ac:dyDescent="0.2">
      <c r="B10" s="492" t="s">
        <v>2052</v>
      </c>
      <c r="C10" s="9"/>
      <c r="D10" s="9"/>
      <c r="E10" s="9"/>
      <c r="F10" s="9"/>
      <c r="G10" s="9"/>
      <c r="H10" s="9"/>
      <c r="I10" s="9"/>
      <c r="J10" s="9"/>
      <c r="K10" s="9"/>
      <c r="L10" s="9"/>
      <c r="M10" s="9"/>
    </row>
    <row r="11" spans="2:13" x14ac:dyDescent="0.2">
      <c r="B11" s="492" t="s">
        <v>2053</v>
      </c>
      <c r="C11" s="9"/>
      <c r="D11" s="9"/>
      <c r="E11" s="9"/>
      <c r="F11" s="9"/>
      <c r="G11" s="9"/>
      <c r="H11" s="9"/>
      <c r="I11" s="9"/>
      <c r="J11" s="9"/>
      <c r="K11" s="9"/>
      <c r="L11" s="9"/>
      <c r="M11" s="9"/>
    </row>
    <row r="12" spans="2:13" x14ac:dyDescent="0.2">
      <c r="B12" s="492" t="s">
        <v>2054</v>
      </c>
      <c r="C12" s="9"/>
      <c r="D12" s="9"/>
      <c r="E12" s="9"/>
      <c r="F12" s="9"/>
      <c r="G12" s="9"/>
      <c r="H12" s="9"/>
      <c r="I12" s="9"/>
      <c r="J12" s="9"/>
      <c r="K12" s="9"/>
      <c r="L12" s="9"/>
      <c r="M12" s="9"/>
    </row>
    <row r="13" spans="2:13" x14ac:dyDescent="0.2">
      <c r="B13" s="492" t="s">
        <v>2055</v>
      </c>
      <c r="C13" s="9"/>
      <c r="D13" s="9"/>
      <c r="E13" s="9"/>
      <c r="F13" s="9"/>
      <c r="G13" s="9"/>
      <c r="H13" s="9"/>
      <c r="I13" s="9"/>
      <c r="J13" s="9"/>
      <c r="K13" s="9"/>
      <c r="L13" s="9"/>
      <c r="M13" s="9"/>
    </row>
    <row r="14" spans="2:13" x14ac:dyDescent="0.2">
      <c r="B14" s="493" t="s">
        <v>2001</v>
      </c>
      <c r="C14" s="9"/>
      <c r="D14" s="9"/>
      <c r="E14" s="9"/>
      <c r="F14" s="9"/>
      <c r="G14" s="9"/>
      <c r="H14" s="9"/>
      <c r="I14" s="9"/>
      <c r="J14" s="9"/>
      <c r="K14" s="9"/>
      <c r="L14" s="9"/>
      <c r="M14" s="9"/>
    </row>
    <row r="15" spans="2:13" x14ac:dyDescent="0.2">
      <c r="B15" s="493" t="s">
        <v>2047</v>
      </c>
      <c r="C15" s="9"/>
      <c r="D15" s="9"/>
      <c r="E15" s="9"/>
      <c r="F15" s="9"/>
      <c r="G15" s="9"/>
      <c r="H15" s="9"/>
      <c r="I15" s="9"/>
      <c r="J15" s="9"/>
      <c r="K15" s="9"/>
      <c r="L15" s="9"/>
      <c r="M15" s="9"/>
    </row>
    <row r="16" spans="2:13" x14ac:dyDescent="0.2">
      <c r="B16" s="493" t="s">
        <v>2048</v>
      </c>
      <c r="C16" s="9"/>
      <c r="D16" s="9"/>
      <c r="E16" s="9"/>
      <c r="F16" s="9"/>
      <c r="G16" s="9"/>
      <c r="H16" s="9"/>
      <c r="I16" s="9"/>
      <c r="J16" s="9"/>
      <c r="K16" s="9"/>
      <c r="L16" s="9"/>
      <c r="M16" s="9"/>
    </row>
    <row r="17" spans="2:13" x14ac:dyDescent="0.2">
      <c r="B17" s="493" t="s">
        <v>2046</v>
      </c>
      <c r="C17" s="9"/>
      <c r="D17" s="9"/>
      <c r="E17" s="9"/>
      <c r="F17" s="9"/>
      <c r="G17" s="9"/>
      <c r="H17" s="9"/>
      <c r="I17" s="9"/>
      <c r="J17" s="9"/>
      <c r="K17" s="9"/>
      <c r="L17" s="9"/>
      <c r="M17" s="9"/>
    </row>
    <row r="18" spans="2:13" x14ac:dyDescent="0.2">
      <c r="B18" s="493" t="s">
        <v>2049</v>
      </c>
      <c r="C18" s="9"/>
      <c r="D18" s="9"/>
      <c r="E18" s="9"/>
      <c r="F18" s="9"/>
      <c r="G18" s="9"/>
      <c r="H18" s="9"/>
      <c r="I18" s="9"/>
      <c r="J18" s="9"/>
      <c r="K18" s="9"/>
      <c r="L18" s="9"/>
      <c r="M18" s="9"/>
    </row>
    <row r="19" spans="2:13" ht="13.5" thickBot="1" x14ac:dyDescent="0.25">
      <c r="B19" s="494"/>
      <c r="C19" s="9"/>
      <c r="D19" s="9"/>
      <c r="E19" s="9"/>
      <c r="F19" s="9"/>
      <c r="G19" s="9"/>
      <c r="H19" s="9"/>
      <c r="I19" s="9"/>
      <c r="J19" s="9"/>
      <c r="K19" s="9"/>
      <c r="L19" s="9"/>
      <c r="M19" s="9"/>
    </row>
    <row r="20" spans="2:13" x14ac:dyDescent="0.2">
      <c r="C20" s="9"/>
      <c r="D20" s="9"/>
      <c r="E20" s="9"/>
      <c r="F20" s="9"/>
      <c r="G20" s="9"/>
      <c r="H20" s="9"/>
      <c r="I20" s="9"/>
      <c r="J20" s="9"/>
      <c r="K20" s="9"/>
      <c r="L20" s="9"/>
      <c r="M20" s="9"/>
    </row>
    <row r="61" spans="2:2" ht="13.5" thickBot="1" x14ac:dyDescent="0.25"/>
    <row r="62" spans="2:2" ht="14.25" thickTop="1" thickBot="1" x14ac:dyDescent="0.25">
      <c r="B62" s="270" t="s">
        <v>2753</v>
      </c>
    </row>
    <row r="63" spans="2:2" ht="26.25" thickBot="1" x14ac:dyDescent="0.25">
      <c r="B63" s="269" t="s">
        <v>2749</v>
      </c>
    </row>
    <row r="64" spans="2:2" ht="26.25" thickBot="1" x14ac:dyDescent="0.25">
      <c r="B64" s="269" t="s">
        <v>2750</v>
      </c>
    </row>
    <row r="65" spans="2:2" ht="115.5" thickBot="1" x14ac:dyDescent="0.25">
      <c r="B65" s="269" t="s">
        <v>2751</v>
      </c>
    </row>
    <row r="66" spans="2:2" ht="13.5" thickBot="1" x14ac:dyDescent="0.25">
      <c r="B66" s="269" t="s">
        <v>2752</v>
      </c>
    </row>
  </sheetData>
  <customSheetViews>
    <customSheetView guid="{F424B91F-F60F-4B7D-B253-938B2614248E}">
      <selection activeCell="B4" sqref="B4"/>
      <pageMargins left="0.75" right="0.75" top="1" bottom="1" header="0.5" footer="0.5"/>
      <pageSetup scale="80" orientation="portrait" r:id="rId1"/>
      <headerFooter alignWithMargins="0">
        <oddHeader>&amp;RIntroduction</oddHeader>
        <oddFooter>Page &amp;P of &amp;N</oddFooter>
      </headerFooter>
    </customSheetView>
  </customSheetViews>
  <phoneticPr fontId="5" type="noConversion"/>
  <pageMargins left="0.75" right="0.75" top="1" bottom="1" header="0.5" footer="0.5"/>
  <pageSetup scale="80" orientation="portrait" r:id="rId2"/>
  <headerFooter alignWithMargins="0">
    <oddHeader>&amp;RIntroduction</oddHeader>
    <oddFooter>Page &amp;P of &amp;N</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6" tint="0.39997558519241921"/>
  </sheetPr>
  <dimension ref="A1:CR203"/>
  <sheetViews>
    <sheetView zoomScale="70" zoomScaleNormal="70" workbookViewId="0">
      <pane xSplit="4" ySplit="5" topLeftCell="E6" activePane="bottomRight" state="frozen"/>
      <selection pane="topRight" activeCell="D1" sqref="D1"/>
      <selection pane="bottomLeft" activeCell="A5" sqref="A5"/>
      <selection pane="bottomRight"/>
    </sheetView>
  </sheetViews>
  <sheetFormatPr defaultColWidth="9.140625" defaultRowHeight="12.75" x14ac:dyDescent="0.2"/>
  <cols>
    <col min="1" max="1" width="3" style="33" customWidth="1"/>
    <col min="2" max="2" width="26.85546875" style="4" customWidth="1"/>
    <col min="3" max="3" width="13.5703125" style="1" customWidth="1"/>
    <col min="4" max="4" width="11.42578125" style="3" customWidth="1"/>
    <col min="5" max="5" width="7.85546875" style="3" customWidth="1"/>
    <col min="6" max="6" width="16.7109375" style="43" customWidth="1"/>
    <col min="7" max="7" width="16.7109375" style="39" customWidth="1"/>
    <col min="8" max="57" width="17.28515625" style="39" customWidth="1"/>
    <col min="58" max="59" width="17.28515625" style="44" customWidth="1"/>
    <col min="60" max="93" width="17.28515625" style="39" customWidth="1"/>
    <col min="94" max="94" width="23.42578125" style="515" customWidth="1"/>
    <col min="95" max="96" width="9.140625" style="9"/>
    <col min="97" max="16384" width="9.140625" style="33"/>
  </cols>
  <sheetData>
    <row r="1" spans="1:96" ht="12.6" customHeight="1" thickBot="1" x14ac:dyDescent="0.25">
      <c r="F1" s="300" t="s">
        <v>2593</v>
      </c>
      <c r="G1" s="300" t="s">
        <v>2594</v>
      </c>
      <c r="H1" s="300" t="s">
        <v>2593</v>
      </c>
      <c r="I1" s="300" t="s">
        <v>2594</v>
      </c>
      <c r="J1" s="300" t="s">
        <v>2593</v>
      </c>
      <c r="K1" s="300" t="s">
        <v>2594</v>
      </c>
      <c r="L1" s="300" t="s">
        <v>2593</v>
      </c>
      <c r="M1" s="300" t="s">
        <v>2594</v>
      </c>
      <c r="N1" s="300" t="s">
        <v>2593</v>
      </c>
      <c r="O1" s="300" t="s">
        <v>2594</v>
      </c>
      <c r="P1" s="300" t="s">
        <v>2593</v>
      </c>
      <c r="Q1" s="300" t="s">
        <v>2594</v>
      </c>
      <c r="R1" s="300" t="s">
        <v>2593</v>
      </c>
      <c r="S1" s="300" t="s">
        <v>2594</v>
      </c>
      <c r="T1" s="300" t="s">
        <v>2593</v>
      </c>
      <c r="U1" s="300" t="s">
        <v>2594</v>
      </c>
      <c r="V1" s="300" t="s">
        <v>2593</v>
      </c>
      <c r="W1" s="300" t="s">
        <v>2594</v>
      </c>
      <c r="X1" s="300" t="s">
        <v>2593</v>
      </c>
      <c r="Y1" s="300" t="s">
        <v>2594</v>
      </c>
      <c r="Z1" s="300" t="s">
        <v>2593</v>
      </c>
      <c r="AA1" s="300" t="s">
        <v>2594</v>
      </c>
      <c r="AB1" s="300" t="s">
        <v>2593</v>
      </c>
      <c r="AC1" s="300" t="s">
        <v>2594</v>
      </c>
      <c r="AD1" s="300" t="s">
        <v>2593</v>
      </c>
      <c r="AE1" s="300" t="s">
        <v>2594</v>
      </c>
      <c r="AF1" s="300" t="s">
        <v>2593</v>
      </c>
      <c r="AG1" s="300" t="s">
        <v>2594</v>
      </c>
      <c r="AH1" s="300" t="s">
        <v>2593</v>
      </c>
      <c r="AI1" s="300" t="s">
        <v>2594</v>
      </c>
      <c r="AJ1" s="300" t="s">
        <v>2593</v>
      </c>
      <c r="AK1" s="300" t="s">
        <v>2594</v>
      </c>
      <c r="AL1" s="300" t="s">
        <v>2593</v>
      </c>
      <c r="AM1" s="300" t="s">
        <v>2594</v>
      </c>
      <c r="AN1" s="300" t="s">
        <v>2593</v>
      </c>
      <c r="AO1" s="300" t="s">
        <v>2594</v>
      </c>
      <c r="AP1" s="300" t="s">
        <v>2593</v>
      </c>
      <c r="AQ1" s="300" t="s">
        <v>2594</v>
      </c>
      <c r="AR1" s="300" t="s">
        <v>2593</v>
      </c>
      <c r="AS1" s="300" t="s">
        <v>2594</v>
      </c>
      <c r="AT1" s="300" t="s">
        <v>2593</v>
      </c>
      <c r="AU1" s="300" t="s">
        <v>2594</v>
      </c>
      <c r="AV1" s="300" t="s">
        <v>2593</v>
      </c>
      <c r="AW1" s="300" t="s">
        <v>2594</v>
      </c>
      <c r="AX1" s="300" t="s">
        <v>2593</v>
      </c>
      <c r="AY1" s="300" t="s">
        <v>2594</v>
      </c>
      <c r="AZ1" s="300" t="s">
        <v>2593</v>
      </c>
      <c r="BA1" s="300" t="s">
        <v>2594</v>
      </c>
      <c r="BB1" s="300" t="s">
        <v>2593</v>
      </c>
      <c r="BC1" s="300" t="s">
        <v>2594</v>
      </c>
      <c r="BD1" s="300" t="s">
        <v>2593</v>
      </c>
      <c r="BE1" s="300" t="s">
        <v>2594</v>
      </c>
      <c r="BF1" s="300" t="s">
        <v>2593</v>
      </c>
      <c r="BG1" s="300" t="s">
        <v>2594</v>
      </c>
      <c r="BH1" s="300" t="s">
        <v>2593</v>
      </c>
      <c r="BI1" s="300" t="s">
        <v>2594</v>
      </c>
      <c r="BJ1" s="300" t="s">
        <v>2593</v>
      </c>
      <c r="BK1" s="300" t="s">
        <v>2594</v>
      </c>
      <c r="BL1" s="300" t="s">
        <v>2593</v>
      </c>
      <c r="BM1" s="300" t="s">
        <v>2594</v>
      </c>
      <c r="BN1" s="300" t="s">
        <v>2593</v>
      </c>
      <c r="BO1" s="300" t="s">
        <v>2594</v>
      </c>
      <c r="BP1" s="300" t="s">
        <v>2593</v>
      </c>
      <c r="BQ1" s="300" t="s">
        <v>2594</v>
      </c>
      <c r="BR1" s="300" t="s">
        <v>2593</v>
      </c>
      <c r="BS1" s="300" t="s">
        <v>2594</v>
      </c>
      <c r="BT1" s="300" t="s">
        <v>2593</v>
      </c>
      <c r="BU1" s="300" t="s">
        <v>2594</v>
      </c>
      <c r="BV1" s="300" t="s">
        <v>2593</v>
      </c>
      <c r="BW1" s="300" t="s">
        <v>2594</v>
      </c>
      <c r="BX1" s="300" t="s">
        <v>2593</v>
      </c>
      <c r="BY1" s="300" t="s">
        <v>2594</v>
      </c>
      <c r="BZ1" s="300" t="s">
        <v>2593</v>
      </c>
      <c r="CA1" s="300" t="s">
        <v>2594</v>
      </c>
      <c r="CB1" s="300" t="s">
        <v>2593</v>
      </c>
      <c r="CC1" s="300" t="s">
        <v>2594</v>
      </c>
      <c r="CD1" s="300" t="s">
        <v>2593</v>
      </c>
      <c r="CE1" s="300" t="s">
        <v>2594</v>
      </c>
      <c r="CF1" s="300" t="s">
        <v>2593</v>
      </c>
      <c r="CG1" s="300" t="s">
        <v>2594</v>
      </c>
      <c r="CH1" s="300" t="s">
        <v>2593</v>
      </c>
      <c r="CI1" s="300" t="s">
        <v>2594</v>
      </c>
      <c r="CJ1" s="300" t="s">
        <v>2593</v>
      </c>
      <c r="CK1" s="300" t="s">
        <v>2594</v>
      </c>
      <c r="CL1" s="300" t="s">
        <v>2593</v>
      </c>
      <c r="CM1" s="300" t="s">
        <v>2594</v>
      </c>
      <c r="CN1" s="300" t="s">
        <v>2593</v>
      </c>
      <c r="CO1" s="300" t="s">
        <v>2594</v>
      </c>
    </row>
    <row r="2" spans="1:96" s="41" customFormat="1" ht="16.5" thickBot="1" x14ac:dyDescent="0.25">
      <c r="B2" s="511"/>
      <c r="C2" s="512"/>
      <c r="D2" s="512"/>
      <c r="E2" s="513"/>
      <c r="F2" s="569" t="s">
        <v>1945</v>
      </c>
      <c r="G2" s="569"/>
      <c r="H2" s="569"/>
      <c r="I2" s="569"/>
      <c r="J2" s="569"/>
      <c r="K2" s="569"/>
      <c r="L2" s="569"/>
      <c r="M2" s="569"/>
      <c r="N2" s="569"/>
      <c r="O2" s="569"/>
      <c r="P2" s="612" t="s">
        <v>1946</v>
      </c>
      <c r="Q2" s="612"/>
      <c r="R2" s="612"/>
      <c r="S2" s="612"/>
      <c r="T2" s="612"/>
      <c r="U2" s="612"/>
      <c r="V2" s="612"/>
      <c r="W2" s="612"/>
      <c r="X2" s="611" t="s">
        <v>1947</v>
      </c>
      <c r="Y2" s="611"/>
      <c r="Z2" s="611"/>
      <c r="AA2" s="611"/>
      <c r="AB2" s="611"/>
      <c r="AC2" s="611"/>
      <c r="AD2" s="611"/>
      <c r="AE2" s="611"/>
      <c r="AF2" s="613" t="s">
        <v>1948</v>
      </c>
      <c r="AG2" s="613"/>
      <c r="AH2" s="613"/>
      <c r="AI2" s="613"/>
      <c r="AJ2" s="581" t="s">
        <v>1949</v>
      </c>
      <c r="AK2" s="581"/>
      <c r="AL2" s="581"/>
      <c r="AM2" s="581"/>
      <c r="AN2" s="581"/>
      <c r="AO2" s="581"/>
      <c r="AP2" s="581"/>
      <c r="AQ2" s="581"/>
      <c r="AR2" s="581"/>
      <c r="AS2" s="581"/>
      <c r="AT2" s="581"/>
      <c r="AU2" s="581"/>
      <c r="AV2" s="581"/>
      <c r="AW2" s="581"/>
      <c r="AX2" s="581"/>
      <c r="AY2" s="581"/>
      <c r="AZ2" s="581"/>
      <c r="BA2" s="581"/>
      <c r="BB2" s="581"/>
      <c r="BC2" s="581"/>
      <c r="BD2" s="581"/>
      <c r="BE2" s="581"/>
      <c r="BF2" s="581"/>
      <c r="BG2" s="581"/>
      <c r="BH2" s="578" t="s">
        <v>1968</v>
      </c>
      <c r="BI2" s="578"/>
      <c r="BJ2" s="578"/>
      <c r="BK2" s="578"/>
      <c r="BL2" s="578"/>
      <c r="BM2" s="578"/>
      <c r="BN2" s="578"/>
      <c r="BO2" s="578"/>
      <c r="BP2" s="610" t="s">
        <v>1970</v>
      </c>
      <c r="BQ2" s="610"/>
      <c r="BR2" s="610"/>
      <c r="BS2" s="610"/>
      <c r="BT2" s="610"/>
      <c r="BU2" s="610"/>
      <c r="BV2" s="610"/>
      <c r="BW2" s="610"/>
      <c r="BX2" s="586" t="s">
        <v>1950</v>
      </c>
      <c r="BY2" s="586"/>
      <c r="BZ2" s="586"/>
      <c r="CA2" s="586"/>
      <c r="CB2" s="586"/>
      <c r="CC2" s="586"/>
      <c r="CD2" s="586"/>
      <c r="CE2" s="586"/>
      <c r="CF2" s="609" t="s">
        <v>1951</v>
      </c>
      <c r="CG2" s="609"/>
      <c r="CH2" s="609"/>
      <c r="CI2" s="609"/>
      <c r="CJ2" s="609"/>
      <c r="CK2" s="609"/>
      <c r="CL2" s="608" t="s">
        <v>1952</v>
      </c>
      <c r="CM2" s="608"/>
      <c r="CN2" s="608"/>
      <c r="CO2" s="608"/>
      <c r="CP2" s="516"/>
      <c r="CQ2" s="40"/>
      <c r="CR2" s="40"/>
    </row>
    <row r="3" spans="1:96" s="37" customFormat="1" ht="41.25" customHeight="1" thickBot="1" x14ac:dyDescent="0.25">
      <c r="B3" s="604" t="s">
        <v>2003</v>
      </c>
      <c r="C3" s="604"/>
      <c r="D3" s="604"/>
      <c r="E3" s="605"/>
      <c r="F3" s="598" t="s">
        <v>1953</v>
      </c>
      <c r="G3" s="598"/>
      <c r="H3" s="599"/>
      <c r="I3" s="599"/>
      <c r="J3" s="598" t="s">
        <v>1954</v>
      </c>
      <c r="K3" s="598"/>
      <c r="L3" s="599"/>
      <c r="M3" s="599"/>
      <c r="N3" s="598" t="s">
        <v>2182</v>
      </c>
      <c r="O3" s="598"/>
      <c r="P3" s="592" t="s">
        <v>1957</v>
      </c>
      <c r="Q3" s="593"/>
      <c r="R3" s="592" t="s">
        <v>1956</v>
      </c>
      <c r="S3" s="593"/>
      <c r="T3" s="592" t="s">
        <v>1955</v>
      </c>
      <c r="U3" s="593"/>
      <c r="V3" s="592" t="s">
        <v>2065</v>
      </c>
      <c r="W3" s="593"/>
      <c r="X3" s="596" t="s">
        <v>1958</v>
      </c>
      <c r="Y3" s="597"/>
      <c r="Z3" s="597"/>
      <c r="AA3" s="597"/>
      <c r="AB3" s="597"/>
      <c r="AC3" s="597"/>
      <c r="AD3" s="597"/>
      <c r="AE3" s="597"/>
      <c r="AF3" s="579" t="s">
        <v>1959</v>
      </c>
      <c r="AG3" s="580"/>
      <c r="AH3" s="579" t="s">
        <v>2212</v>
      </c>
      <c r="AI3" s="580"/>
      <c r="AJ3" s="584" t="s">
        <v>2067</v>
      </c>
      <c r="AK3" s="585"/>
      <c r="AL3" s="585"/>
      <c r="AM3" s="585"/>
      <c r="AN3" s="584" t="s">
        <v>2066</v>
      </c>
      <c r="AO3" s="585"/>
      <c r="AP3" s="585"/>
      <c r="AQ3" s="585"/>
      <c r="AR3" s="584" t="s">
        <v>2068</v>
      </c>
      <c r="AS3" s="585"/>
      <c r="AT3" s="585"/>
      <c r="AU3" s="585"/>
      <c r="AV3" s="584" t="s">
        <v>2069</v>
      </c>
      <c r="AW3" s="584"/>
      <c r="AX3" s="584"/>
      <c r="AY3" s="584"/>
      <c r="AZ3" s="584" t="s">
        <v>2070</v>
      </c>
      <c r="BA3" s="585"/>
      <c r="BB3" s="584" t="s">
        <v>1960</v>
      </c>
      <c r="BC3" s="585"/>
      <c r="BD3" s="584" t="s">
        <v>2075</v>
      </c>
      <c r="BE3" s="584"/>
      <c r="BF3" s="584"/>
      <c r="BG3" s="584"/>
      <c r="BH3" s="574" t="s">
        <v>1969</v>
      </c>
      <c r="BI3" s="575"/>
      <c r="BJ3" s="574" t="s">
        <v>1972</v>
      </c>
      <c r="BK3" s="575"/>
      <c r="BL3" s="574" t="s">
        <v>1967</v>
      </c>
      <c r="BM3" s="575"/>
      <c r="BN3" s="574" t="s">
        <v>1961</v>
      </c>
      <c r="BO3" s="575"/>
      <c r="BP3" s="588" t="s">
        <v>2076</v>
      </c>
      <c r="BQ3" s="588"/>
      <c r="BR3" s="588" t="s">
        <v>2077</v>
      </c>
      <c r="BS3" s="588"/>
      <c r="BT3" s="588" t="s">
        <v>2078</v>
      </c>
      <c r="BU3" s="588"/>
      <c r="BV3" s="588" t="s">
        <v>2079</v>
      </c>
      <c r="BW3" s="588"/>
      <c r="BX3" s="587" t="s">
        <v>1962</v>
      </c>
      <c r="BY3" s="587"/>
      <c r="BZ3" s="587"/>
      <c r="CA3" s="587"/>
      <c r="CB3" s="587"/>
      <c r="CC3" s="587"/>
      <c r="CD3" s="587"/>
      <c r="CE3" s="587"/>
      <c r="CF3" s="616" t="s">
        <v>1963</v>
      </c>
      <c r="CG3" s="617"/>
      <c r="CH3" s="616" t="s">
        <v>1964</v>
      </c>
      <c r="CI3" s="617"/>
      <c r="CJ3" s="616" t="s">
        <v>1965</v>
      </c>
      <c r="CK3" s="617"/>
      <c r="CL3" s="601" t="s">
        <v>1966</v>
      </c>
      <c r="CM3" s="601"/>
      <c r="CN3" s="601" t="s">
        <v>1971</v>
      </c>
      <c r="CO3" s="601"/>
      <c r="CP3" s="516"/>
      <c r="CQ3" s="36"/>
      <c r="CR3" s="36"/>
    </row>
    <row r="4" spans="1:96" s="37" customFormat="1" ht="54.75" customHeight="1" thickBot="1" x14ac:dyDescent="0.25">
      <c r="B4" s="606" t="s">
        <v>2004</v>
      </c>
      <c r="C4" s="606"/>
      <c r="D4" s="606"/>
      <c r="E4" s="607"/>
      <c r="F4" s="600" t="s">
        <v>2005</v>
      </c>
      <c r="G4" s="600"/>
      <c r="H4" s="600" t="s">
        <v>2006</v>
      </c>
      <c r="I4" s="600"/>
      <c r="J4" s="600" t="s">
        <v>2007</v>
      </c>
      <c r="K4" s="600"/>
      <c r="L4" s="600" t="s">
        <v>2008</v>
      </c>
      <c r="M4" s="600"/>
      <c r="N4" s="600" t="s">
        <v>2009</v>
      </c>
      <c r="O4" s="600"/>
      <c r="P4" s="594" t="s">
        <v>2010</v>
      </c>
      <c r="Q4" s="595"/>
      <c r="R4" s="594" t="s">
        <v>2011</v>
      </c>
      <c r="S4" s="595"/>
      <c r="T4" s="594" t="s">
        <v>2012</v>
      </c>
      <c r="U4" s="595"/>
      <c r="V4" s="594" t="s">
        <v>2013</v>
      </c>
      <c r="W4" s="595"/>
      <c r="X4" s="570" t="s">
        <v>2014</v>
      </c>
      <c r="Y4" s="571"/>
      <c r="Z4" s="570" t="s">
        <v>2015</v>
      </c>
      <c r="AA4" s="571"/>
      <c r="AB4" s="570" t="s">
        <v>2016</v>
      </c>
      <c r="AC4" s="571"/>
      <c r="AD4" s="570" t="s">
        <v>2017</v>
      </c>
      <c r="AE4" s="571"/>
      <c r="AF4" s="572" t="s">
        <v>2018</v>
      </c>
      <c r="AG4" s="573"/>
      <c r="AH4" s="572" t="s">
        <v>2183</v>
      </c>
      <c r="AI4" s="573"/>
      <c r="AJ4" s="582" t="s">
        <v>2019</v>
      </c>
      <c r="AK4" s="583"/>
      <c r="AL4" s="582" t="s">
        <v>2020</v>
      </c>
      <c r="AM4" s="583"/>
      <c r="AN4" s="582" t="s">
        <v>2021</v>
      </c>
      <c r="AO4" s="583"/>
      <c r="AP4" s="582" t="s">
        <v>2022</v>
      </c>
      <c r="AQ4" s="583"/>
      <c r="AR4" s="582" t="s">
        <v>2023</v>
      </c>
      <c r="AS4" s="583"/>
      <c r="AT4" s="582" t="s">
        <v>2024</v>
      </c>
      <c r="AU4" s="583"/>
      <c r="AV4" s="582" t="s">
        <v>2072</v>
      </c>
      <c r="AW4" s="583"/>
      <c r="AX4" s="582" t="s">
        <v>2039</v>
      </c>
      <c r="AY4" s="583"/>
      <c r="AZ4" s="582" t="s">
        <v>2071</v>
      </c>
      <c r="BA4" s="583"/>
      <c r="BB4" s="582" t="s">
        <v>2025</v>
      </c>
      <c r="BC4" s="583"/>
      <c r="BD4" s="582" t="s">
        <v>2073</v>
      </c>
      <c r="BE4" s="583"/>
      <c r="BF4" s="582" t="s">
        <v>2074</v>
      </c>
      <c r="BG4" s="583"/>
      <c r="BH4" s="576" t="s">
        <v>2026</v>
      </c>
      <c r="BI4" s="577"/>
      <c r="BJ4" s="576" t="s">
        <v>2027</v>
      </c>
      <c r="BK4" s="577"/>
      <c r="BL4" s="576" t="s">
        <v>2028</v>
      </c>
      <c r="BM4" s="577"/>
      <c r="BN4" s="576" t="s">
        <v>2029</v>
      </c>
      <c r="BO4" s="577"/>
      <c r="BP4" s="589" t="s">
        <v>2040</v>
      </c>
      <c r="BQ4" s="589"/>
      <c r="BR4" s="589" t="s">
        <v>2041</v>
      </c>
      <c r="BS4" s="589"/>
      <c r="BT4" s="589" t="s">
        <v>2042</v>
      </c>
      <c r="BU4" s="589"/>
      <c r="BV4" s="589" t="s">
        <v>2043</v>
      </c>
      <c r="BW4" s="589"/>
      <c r="BX4" s="590" t="s">
        <v>2030</v>
      </c>
      <c r="BY4" s="591"/>
      <c r="BZ4" s="590" t="s">
        <v>2031</v>
      </c>
      <c r="CA4" s="591"/>
      <c r="CB4" s="590" t="s">
        <v>2032</v>
      </c>
      <c r="CC4" s="591"/>
      <c r="CD4" s="590" t="s">
        <v>2033</v>
      </c>
      <c r="CE4" s="591"/>
      <c r="CF4" s="602" t="s">
        <v>2034</v>
      </c>
      <c r="CG4" s="603"/>
      <c r="CH4" s="602" t="s">
        <v>2035</v>
      </c>
      <c r="CI4" s="603"/>
      <c r="CJ4" s="602" t="s">
        <v>2036</v>
      </c>
      <c r="CK4" s="603"/>
      <c r="CL4" s="614" t="s">
        <v>2037</v>
      </c>
      <c r="CM4" s="615"/>
      <c r="CN4" s="614" t="s">
        <v>2044</v>
      </c>
      <c r="CO4" s="615"/>
      <c r="CP4" s="516"/>
      <c r="CQ4" s="36"/>
      <c r="CR4" s="36"/>
    </row>
    <row r="5" spans="1:96" s="46" customFormat="1" ht="30" customHeight="1" thickBot="1" x14ac:dyDescent="0.3">
      <c r="B5" s="506" t="s">
        <v>3867</v>
      </c>
      <c r="C5" s="519" t="s">
        <v>1423</v>
      </c>
      <c r="D5" s="519" t="s">
        <v>1424</v>
      </c>
      <c r="E5" s="519" t="s">
        <v>3866</v>
      </c>
      <c r="F5" s="507" t="s">
        <v>2038</v>
      </c>
      <c r="G5" s="507" t="s">
        <v>475</v>
      </c>
      <c r="H5" s="507" t="s">
        <v>2038</v>
      </c>
      <c r="I5" s="507" t="s">
        <v>475</v>
      </c>
      <c r="J5" s="507" t="s">
        <v>2038</v>
      </c>
      <c r="K5" s="507" t="s">
        <v>475</v>
      </c>
      <c r="L5" s="507" t="s">
        <v>2038</v>
      </c>
      <c r="M5" s="507" t="s">
        <v>475</v>
      </c>
      <c r="N5" s="507" t="s">
        <v>2038</v>
      </c>
      <c r="O5" s="507" t="s">
        <v>475</v>
      </c>
      <c r="P5" s="507" t="s">
        <v>2038</v>
      </c>
      <c r="Q5" s="507" t="s">
        <v>475</v>
      </c>
      <c r="R5" s="507" t="s">
        <v>2038</v>
      </c>
      <c r="S5" s="507" t="s">
        <v>475</v>
      </c>
      <c r="T5" s="507" t="s">
        <v>2038</v>
      </c>
      <c r="U5" s="507" t="s">
        <v>475</v>
      </c>
      <c r="V5" s="507" t="s">
        <v>2038</v>
      </c>
      <c r="W5" s="507" t="s">
        <v>475</v>
      </c>
      <c r="X5" s="507" t="s">
        <v>2038</v>
      </c>
      <c r="Y5" s="507" t="s">
        <v>475</v>
      </c>
      <c r="Z5" s="507" t="s">
        <v>2038</v>
      </c>
      <c r="AA5" s="507" t="s">
        <v>475</v>
      </c>
      <c r="AB5" s="507" t="s">
        <v>2038</v>
      </c>
      <c r="AC5" s="507" t="s">
        <v>475</v>
      </c>
      <c r="AD5" s="507" t="s">
        <v>2038</v>
      </c>
      <c r="AE5" s="507" t="s">
        <v>475</v>
      </c>
      <c r="AF5" s="507" t="s">
        <v>2038</v>
      </c>
      <c r="AG5" s="507" t="s">
        <v>475</v>
      </c>
      <c r="AH5" s="507" t="s">
        <v>2038</v>
      </c>
      <c r="AI5" s="507" t="s">
        <v>475</v>
      </c>
      <c r="AJ5" s="507" t="s">
        <v>2038</v>
      </c>
      <c r="AK5" s="507" t="s">
        <v>475</v>
      </c>
      <c r="AL5" s="507" t="s">
        <v>2038</v>
      </c>
      <c r="AM5" s="507" t="s">
        <v>475</v>
      </c>
      <c r="AN5" s="507" t="s">
        <v>2038</v>
      </c>
      <c r="AO5" s="507" t="s">
        <v>475</v>
      </c>
      <c r="AP5" s="507" t="s">
        <v>2038</v>
      </c>
      <c r="AQ5" s="507" t="s">
        <v>475</v>
      </c>
      <c r="AR5" s="507" t="s">
        <v>2038</v>
      </c>
      <c r="AS5" s="507" t="s">
        <v>475</v>
      </c>
      <c r="AT5" s="507" t="s">
        <v>2038</v>
      </c>
      <c r="AU5" s="507" t="s">
        <v>475</v>
      </c>
      <c r="AV5" s="507" t="s">
        <v>2038</v>
      </c>
      <c r="AW5" s="507" t="s">
        <v>475</v>
      </c>
      <c r="AX5" s="507" t="s">
        <v>2038</v>
      </c>
      <c r="AY5" s="507" t="s">
        <v>475</v>
      </c>
      <c r="AZ5" s="507" t="s">
        <v>2038</v>
      </c>
      <c r="BA5" s="507" t="s">
        <v>475</v>
      </c>
      <c r="BB5" s="507" t="s">
        <v>2038</v>
      </c>
      <c r="BC5" s="507" t="s">
        <v>475</v>
      </c>
      <c r="BD5" s="507" t="s">
        <v>2038</v>
      </c>
      <c r="BE5" s="507" t="s">
        <v>475</v>
      </c>
      <c r="BF5" s="508" t="s">
        <v>2038</v>
      </c>
      <c r="BG5" s="508" t="s">
        <v>475</v>
      </c>
      <c r="BH5" s="507" t="s">
        <v>2038</v>
      </c>
      <c r="BI5" s="507" t="s">
        <v>475</v>
      </c>
      <c r="BJ5" s="507" t="s">
        <v>2038</v>
      </c>
      <c r="BK5" s="507" t="s">
        <v>475</v>
      </c>
      <c r="BL5" s="507" t="s">
        <v>2038</v>
      </c>
      <c r="BM5" s="507" t="s">
        <v>475</v>
      </c>
      <c r="BN5" s="507" t="s">
        <v>2038</v>
      </c>
      <c r="BO5" s="507" t="s">
        <v>475</v>
      </c>
      <c r="BP5" s="507" t="s">
        <v>2038</v>
      </c>
      <c r="BQ5" s="507" t="s">
        <v>475</v>
      </c>
      <c r="BR5" s="507" t="s">
        <v>2038</v>
      </c>
      <c r="BS5" s="507" t="s">
        <v>475</v>
      </c>
      <c r="BT5" s="507" t="s">
        <v>2038</v>
      </c>
      <c r="BU5" s="507" t="s">
        <v>475</v>
      </c>
      <c r="BV5" s="507" t="s">
        <v>2038</v>
      </c>
      <c r="BW5" s="507" t="s">
        <v>475</v>
      </c>
      <c r="BX5" s="507" t="s">
        <v>2038</v>
      </c>
      <c r="BY5" s="507" t="s">
        <v>475</v>
      </c>
      <c r="BZ5" s="507" t="s">
        <v>2038</v>
      </c>
      <c r="CA5" s="507" t="s">
        <v>475</v>
      </c>
      <c r="CB5" s="507" t="s">
        <v>2038</v>
      </c>
      <c r="CC5" s="507" t="s">
        <v>475</v>
      </c>
      <c r="CD5" s="507" t="s">
        <v>2038</v>
      </c>
      <c r="CE5" s="507" t="s">
        <v>475</v>
      </c>
      <c r="CF5" s="507" t="s">
        <v>2038</v>
      </c>
      <c r="CG5" s="507" t="s">
        <v>475</v>
      </c>
      <c r="CH5" s="507" t="s">
        <v>2038</v>
      </c>
      <c r="CI5" s="507" t="s">
        <v>475</v>
      </c>
      <c r="CJ5" s="507" t="s">
        <v>2038</v>
      </c>
      <c r="CK5" s="507" t="s">
        <v>475</v>
      </c>
      <c r="CL5" s="507" t="s">
        <v>2038</v>
      </c>
      <c r="CM5" s="507" t="s">
        <v>475</v>
      </c>
      <c r="CN5" s="507" t="s">
        <v>2038</v>
      </c>
      <c r="CO5" s="507" t="s">
        <v>475</v>
      </c>
      <c r="CP5" s="514" t="s">
        <v>1365</v>
      </c>
      <c r="CQ5" s="45"/>
      <c r="CR5" s="45"/>
    </row>
    <row r="6" spans="1:96" s="18" customFormat="1" ht="135.75" thickBot="1" x14ac:dyDescent="0.25">
      <c r="A6" s="123">
        <v>1</v>
      </c>
      <c r="B6" s="509" t="s">
        <v>13</v>
      </c>
      <c r="C6" s="509" t="s">
        <v>1598</v>
      </c>
      <c r="D6" s="510">
        <v>472</v>
      </c>
      <c r="E6" s="510" t="s">
        <v>2382</v>
      </c>
      <c r="F6" s="497" t="s">
        <v>966</v>
      </c>
      <c r="G6" s="498" t="s">
        <v>3713</v>
      </c>
      <c r="H6" s="497" t="s">
        <v>965</v>
      </c>
      <c r="I6" s="498" t="s">
        <v>3713</v>
      </c>
      <c r="J6" s="497" t="s">
        <v>964</v>
      </c>
      <c r="K6" s="498" t="s">
        <v>3713</v>
      </c>
      <c r="L6" s="497" t="s">
        <v>964</v>
      </c>
      <c r="M6" s="498" t="s">
        <v>3713</v>
      </c>
      <c r="N6" s="497" t="s">
        <v>967</v>
      </c>
      <c r="O6" s="498" t="s">
        <v>3713</v>
      </c>
      <c r="P6" s="497" t="s">
        <v>965</v>
      </c>
      <c r="Q6" s="498" t="s">
        <v>3714</v>
      </c>
      <c r="R6" s="497" t="s">
        <v>964</v>
      </c>
      <c r="S6" s="498" t="s">
        <v>3715</v>
      </c>
      <c r="T6" s="497" t="s">
        <v>986</v>
      </c>
      <c r="U6" s="499" t="s">
        <v>37</v>
      </c>
      <c r="V6" s="497" t="s">
        <v>986</v>
      </c>
      <c r="W6" s="499" t="s">
        <v>37</v>
      </c>
      <c r="X6" s="497" t="s">
        <v>965</v>
      </c>
      <c r="Y6" s="498" t="s">
        <v>3716</v>
      </c>
      <c r="Z6" s="497" t="s">
        <v>965</v>
      </c>
      <c r="AA6" s="498" t="s">
        <v>3717</v>
      </c>
      <c r="AB6" s="497" t="s">
        <v>963</v>
      </c>
      <c r="AC6" s="498" t="s">
        <v>3718</v>
      </c>
      <c r="AD6" s="497" t="s">
        <v>986</v>
      </c>
      <c r="AE6" s="498" t="s">
        <v>37</v>
      </c>
      <c r="AF6" s="497" t="s">
        <v>986</v>
      </c>
      <c r="AG6" s="499" t="s">
        <v>37</v>
      </c>
      <c r="AH6" s="497" t="s">
        <v>966</v>
      </c>
      <c r="AI6" s="498" t="s">
        <v>3719</v>
      </c>
      <c r="AJ6" s="497" t="s">
        <v>965</v>
      </c>
      <c r="AK6" s="498" t="s">
        <v>3720</v>
      </c>
      <c r="AL6" s="497" t="s">
        <v>986</v>
      </c>
      <c r="AM6" s="499" t="s">
        <v>37</v>
      </c>
      <c r="AN6" s="497" t="s">
        <v>965</v>
      </c>
      <c r="AO6" s="498" t="s">
        <v>3721</v>
      </c>
      <c r="AP6" s="497" t="s">
        <v>965</v>
      </c>
      <c r="AQ6" s="498" t="s">
        <v>3722</v>
      </c>
      <c r="AR6" s="497" t="s">
        <v>986</v>
      </c>
      <c r="AS6" s="499" t="s">
        <v>37</v>
      </c>
      <c r="AT6" s="497" t="s">
        <v>986</v>
      </c>
      <c r="AU6" s="499" t="s">
        <v>37</v>
      </c>
      <c r="AV6" s="497" t="s">
        <v>965</v>
      </c>
      <c r="AW6" s="498" t="s">
        <v>3723</v>
      </c>
      <c r="AX6" s="497" t="s">
        <v>965</v>
      </c>
      <c r="AY6" s="498" t="s">
        <v>3724</v>
      </c>
      <c r="AZ6" s="497" t="s">
        <v>966</v>
      </c>
      <c r="BA6" s="498" t="s">
        <v>3725</v>
      </c>
      <c r="BB6" s="497" t="s">
        <v>966</v>
      </c>
      <c r="BC6" s="498" t="s">
        <v>3726</v>
      </c>
      <c r="BD6" s="497" t="s">
        <v>965</v>
      </c>
      <c r="BE6" s="498" t="s">
        <v>3727</v>
      </c>
      <c r="BF6" s="497" t="s">
        <v>965</v>
      </c>
      <c r="BG6" s="498" t="s">
        <v>3728</v>
      </c>
      <c r="BH6" s="497" t="s">
        <v>963</v>
      </c>
      <c r="BI6" s="498" t="s">
        <v>3729</v>
      </c>
      <c r="BJ6" s="497" t="s">
        <v>965</v>
      </c>
      <c r="BK6" s="498" t="s">
        <v>3730</v>
      </c>
      <c r="BL6" s="497" t="s">
        <v>965</v>
      </c>
      <c r="BM6" s="498" t="s">
        <v>4009</v>
      </c>
      <c r="BN6" s="497" t="s">
        <v>986</v>
      </c>
      <c r="BO6" s="499" t="s">
        <v>37</v>
      </c>
      <c r="BP6" s="497" t="s">
        <v>966</v>
      </c>
      <c r="BQ6" s="498" t="s">
        <v>3731</v>
      </c>
      <c r="BR6" s="497" t="s">
        <v>964</v>
      </c>
      <c r="BS6" s="498" t="s">
        <v>3732</v>
      </c>
      <c r="BT6" s="497" t="s">
        <v>967</v>
      </c>
      <c r="BU6" s="498" t="s">
        <v>3733</v>
      </c>
      <c r="BV6" s="497" t="s">
        <v>966</v>
      </c>
      <c r="BW6" s="498" t="s">
        <v>3734</v>
      </c>
      <c r="BX6" s="497" t="s">
        <v>966</v>
      </c>
      <c r="BY6" s="498" t="s">
        <v>3735</v>
      </c>
      <c r="BZ6" s="497" t="s">
        <v>966</v>
      </c>
      <c r="CA6" s="498" t="s">
        <v>3736</v>
      </c>
      <c r="CB6" s="497" t="s">
        <v>965</v>
      </c>
      <c r="CC6" s="498" t="s">
        <v>3737</v>
      </c>
      <c r="CD6" s="497" t="s">
        <v>965</v>
      </c>
      <c r="CE6" s="498" t="s">
        <v>3738</v>
      </c>
      <c r="CF6" s="497" t="s">
        <v>966</v>
      </c>
      <c r="CG6" s="498" t="s">
        <v>3739</v>
      </c>
      <c r="CH6" s="497" t="s">
        <v>965</v>
      </c>
      <c r="CI6" s="498" t="s">
        <v>3740</v>
      </c>
      <c r="CJ6" s="497" t="s">
        <v>986</v>
      </c>
      <c r="CK6" s="498" t="s">
        <v>37</v>
      </c>
      <c r="CL6" s="497" t="s">
        <v>986</v>
      </c>
      <c r="CM6" s="498" t="s">
        <v>37</v>
      </c>
      <c r="CN6" s="497" t="s">
        <v>986</v>
      </c>
      <c r="CO6" s="498" t="s">
        <v>37</v>
      </c>
      <c r="CP6" s="504" t="s">
        <v>3741</v>
      </c>
    </row>
    <row r="7" spans="1:96" s="5" customFormat="1" ht="102" thickBot="1" x14ac:dyDescent="0.25">
      <c r="A7" s="124">
        <f>+A6+1</f>
        <v>2</v>
      </c>
      <c r="B7" s="509" t="s">
        <v>1269</v>
      </c>
      <c r="C7" s="509" t="s">
        <v>1597</v>
      </c>
      <c r="D7" s="510">
        <v>560</v>
      </c>
      <c r="E7" s="510" t="s">
        <v>2383</v>
      </c>
      <c r="F7" s="497" t="s">
        <v>965</v>
      </c>
      <c r="G7" s="498" t="s">
        <v>3672</v>
      </c>
      <c r="H7" s="497" t="s">
        <v>986</v>
      </c>
      <c r="I7" s="498" t="s">
        <v>1263</v>
      </c>
      <c r="J7" s="497" t="s">
        <v>965</v>
      </c>
      <c r="K7" s="498" t="s">
        <v>3673</v>
      </c>
      <c r="L7" s="497" t="s">
        <v>965</v>
      </c>
      <c r="M7" s="498" t="s">
        <v>3673</v>
      </c>
      <c r="N7" s="497" t="s">
        <v>986</v>
      </c>
      <c r="O7" s="498" t="s">
        <v>37</v>
      </c>
      <c r="P7" s="497" t="s">
        <v>986</v>
      </c>
      <c r="Q7" s="498" t="s">
        <v>37</v>
      </c>
      <c r="R7" s="497" t="s">
        <v>963</v>
      </c>
      <c r="S7" s="498" t="s">
        <v>1514</v>
      </c>
      <c r="T7" s="497" t="s">
        <v>986</v>
      </c>
      <c r="U7" s="499" t="s">
        <v>37</v>
      </c>
      <c r="V7" s="497" t="s">
        <v>986</v>
      </c>
      <c r="W7" s="498" t="s">
        <v>37</v>
      </c>
      <c r="X7" s="497" t="s">
        <v>986</v>
      </c>
      <c r="Y7" s="498" t="s">
        <v>37</v>
      </c>
      <c r="Z7" s="497" t="s">
        <v>965</v>
      </c>
      <c r="AA7" s="498" t="s">
        <v>276</v>
      </c>
      <c r="AB7" s="497" t="s">
        <v>986</v>
      </c>
      <c r="AC7" s="498" t="s">
        <v>37</v>
      </c>
      <c r="AD7" s="497" t="s">
        <v>986</v>
      </c>
      <c r="AE7" s="498" t="s">
        <v>3674</v>
      </c>
      <c r="AF7" s="497" t="s">
        <v>963</v>
      </c>
      <c r="AG7" s="499" t="s">
        <v>523</v>
      </c>
      <c r="AH7" s="497" t="s">
        <v>986</v>
      </c>
      <c r="AI7" s="498" t="s">
        <v>37</v>
      </c>
      <c r="AJ7" s="497" t="s">
        <v>986</v>
      </c>
      <c r="AK7" s="498" t="s">
        <v>37</v>
      </c>
      <c r="AL7" s="497" t="s">
        <v>986</v>
      </c>
      <c r="AM7" s="499" t="s">
        <v>37</v>
      </c>
      <c r="AN7" s="497" t="s">
        <v>986</v>
      </c>
      <c r="AO7" s="498" t="s">
        <v>37</v>
      </c>
      <c r="AP7" s="497" t="s">
        <v>986</v>
      </c>
      <c r="AQ7" s="498" t="s">
        <v>37</v>
      </c>
      <c r="AR7" s="497" t="s">
        <v>986</v>
      </c>
      <c r="AS7" s="499" t="s">
        <v>37</v>
      </c>
      <c r="AT7" s="497" t="s">
        <v>986</v>
      </c>
      <c r="AU7" s="499" t="s">
        <v>37</v>
      </c>
      <c r="AV7" s="497" t="s">
        <v>986</v>
      </c>
      <c r="AW7" s="498" t="s">
        <v>37</v>
      </c>
      <c r="AX7" s="497" t="s">
        <v>986</v>
      </c>
      <c r="AY7" s="498" t="s">
        <v>37</v>
      </c>
      <c r="AZ7" s="497" t="s">
        <v>965</v>
      </c>
      <c r="BA7" s="498" t="s">
        <v>1103</v>
      </c>
      <c r="BB7" s="497" t="s">
        <v>986</v>
      </c>
      <c r="BC7" s="498" t="s">
        <v>37</v>
      </c>
      <c r="BD7" s="497" t="s">
        <v>986</v>
      </c>
      <c r="BE7" s="498" t="s">
        <v>37</v>
      </c>
      <c r="BF7" s="497" t="s">
        <v>986</v>
      </c>
      <c r="BG7" s="498" t="s">
        <v>37</v>
      </c>
      <c r="BH7" s="497" t="s">
        <v>963</v>
      </c>
      <c r="BI7" s="498" t="s">
        <v>3675</v>
      </c>
      <c r="BJ7" s="497" t="s">
        <v>986</v>
      </c>
      <c r="BK7" s="498" t="s">
        <v>37</v>
      </c>
      <c r="BL7" s="497" t="s">
        <v>986</v>
      </c>
      <c r="BM7" s="498" t="s">
        <v>37</v>
      </c>
      <c r="BN7" s="497" t="s">
        <v>986</v>
      </c>
      <c r="BO7" s="499" t="s">
        <v>37</v>
      </c>
      <c r="BP7" s="497" t="s">
        <v>963</v>
      </c>
      <c r="BQ7" s="498" t="s">
        <v>556</v>
      </c>
      <c r="BR7" s="497" t="s">
        <v>986</v>
      </c>
      <c r="BS7" s="498" t="s">
        <v>37</v>
      </c>
      <c r="BT7" s="497" t="s">
        <v>986</v>
      </c>
      <c r="BU7" s="498" t="s">
        <v>37</v>
      </c>
      <c r="BV7" s="497" t="s">
        <v>964</v>
      </c>
      <c r="BW7" s="498" t="s">
        <v>1112</v>
      </c>
      <c r="BX7" s="497" t="s">
        <v>986</v>
      </c>
      <c r="BY7" s="498" t="s">
        <v>37</v>
      </c>
      <c r="BZ7" s="497" t="s">
        <v>986</v>
      </c>
      <c r="CA7" s="498" t="s">
        <v>37</v>
      </c>
      <c r="CB7" s="497" t="s">
        <v>986</v>
      </c>
      <c r="CC7" s="498" t="s">
        <v>37</v>
      </c>
      <c r="CD7" s="497" t="s">
        <v>958</v>
      </c>
      <c r="CE7" s="498" t="s">
        <v>3676</v>
      </c>
      <c r="CF7" s="497" t="s">
        <v>986</v>
      </c>
      <c r="CG7" s="498" t="s">
        <v>37</v>
      </c>
      <c r="CH7" s="497" t="s">
        <v>986</v>
      </c>
      <c r="CI7" s="499" t="s">
        <v>37</v>
      </c>
      <c r="CJ7" s="497" t="s">
        <v>986</v>
      </c>
      <c r="CK7" s="498" t="s">
        <v>37</v>
      </c>
      <c r="CL7" s="497" t="s">
        <v>965</v>
      </c>
      <c r="CM7" s="498" t="s">
        <v>3677</v>
      </c>
      <c r="CN7" s="497" t="s">
        <v>965</v>
      </c>
      <c r="CO7" s="498" t="s">
        <v>3677</v>
      </c>
      <c r="CP7" s="517" t="s">
        <v>1126</v>
      </c>
      <c r="CQ7" s="34"/>
      <c r="CR7" s="34"/>
    </row>
    <row r="8" spans="1:96" s="5" customFormat="1" ht="90.75" thickBot="1" x14ac:dyDescent="0.25">
      <c r="A8" s="124">
        <f t="shared" ref="A8:A71" si="0">+A7+1</f>
        <v>3</v>
      </c>
      <c r="B8" s="509" t="s">
        <v>783</v>
      </c>
      <c r="C8" s="509" t="s">
        <v>1599</v>
      </c>
      <c r="D8" s="510">
        <v>309</v>
      </c>
      <c r="E8" s="510" t="s">
        <v>2384</v>
      </c>
      <c r="F8" s="497" t="s">
        <v>986</v>
      </c>
      <c r="G8" s="498" t="s">
        <v>37</v>
      </c>
      <c r="H8" s="497" t="s">
        <v>986</v>
      </c>
      <c r="I8" s="498" t="s">
        <v>37</v>
      </c>
      <c r="J8" s="497" t="s">
        <v>986</v>
      </c>
      <c r="K8" s="498" t="s">
        <v>37</v>
      </c>
      <c r="L8" s="497" t="s">
        <v>986</v>
      </c>
      <c r="M8" s="498" t="s">
        <v>37</v>
      </c>
      <c r="N8" s="497" t="s">
        <v>986</v>
      </c>
      <c r="O8" s="498" t="s">
        <v>37</v>
      </c>
      <c r="P8" s="497" t="s">
        <v>986</v>
      </c>
      <c r="Q8" s="498" t="s">
        <v>37</v>
      </c>
      <c r="R8" s="497" t="s">
        <v>986</v>
      </c>
      <c r="S8" s="498" t="s">
        <v>37</v>
      </c>
      <c r="T8" s="497" t="s">
        <v>986</v>
      </c>
      <c r="U8" s="499" t="s">
        <v>37</v>
      </c>
      <c r="V8" s="497" t="s">
        <v>986</v>
      </c>
      <c r="W8" s="498" t="s">
        <v>37</v>
      </c>
      <c r="X8" s="497" t="s">
        <v>986</v>
      </c>
      <c r="Y8" s="498" t="s">
        <v>37</v>
      </c>
      <c r="Z8" s="497" t="s">
        <v>986</v>
      </c>
      <c r="AA8" s="498" t="s">
        <v>37</v>
      </c>
      <c r="AB8" s="497" t="s">
        <v>986</v>
      </c>
      <c r="AC8" s="498" t="s">
        <v>37</v>
      </c>
      <c r="AD8" s="497" t="s">
        <v>986</v>
      </c>
      <c r="AE8" s="498" t="s">
        <v>37</v>
      </c>
      <c r="AF8" s="497" t="s">
        <v>986</v>
      </c>
      <c r="AG8" s="499" t="s">
        <v>37</v>
      </c>
      <c r="AH8" s="497" t="s">
        <v>986</v>
      </c>
      <c r="AI8" s="498" t="s">
        <v>37</v>
      </c>
      <c r="AJ8" s="497" t="s">
        <v>967</v>
      </c>
      <c r="AK8" s="498" t="s">
        <v>784</v>
      </c>
      <c r="AL8" s="497" t="s">
        <v>967</v>
      </c>
      <c r="AM8" s="499" t="s">
        <v>784</v>
      </c>
      <c r="AN8" s="497" t="s">
        <v>967</v>
      </c>
      <c r="AO8" s="498" t="s">
        <v>468</v>
      </c>
      <c r="AP8" s="497" t="s">
        <v>967</v>
      </c>
      <c r="AQ8" s="498" t="s">
        <v>468</v>
      </c>
      <c r="AR8" s="497" t="s">
        <v>986</v>
      </c>
      <c r="AS8" s="499" t="s">
        <v>37</v>
      </c>
      <c r="AT8" s="497" t="s">
        <v>986</v>
      </c>
      <c r="AU8" s="499" t="s">
        <v>37</v>
      </c>
      <c r="AV8" s="497" t="s">
        <v>986</v>
      </c>
      <c r="AW8" s="498" t="s">
        <v>37</v>
      </c>
      <c r="AX8" s="497" t="s">
        <v>986</v>
      </c>
      <c r="AY8" s="498" t="s">
        <v>37</v>
      </c>
      <c r="AZ8" s="497" t="s">
        <v>986</v>
      </c>
      <c r="BA8" s="498" t="s">
        <v>37</v>
      </c>
      <c r="BB8" s="497" t="s">
        <v>986</v>
      </c>
      <c r="BC8" s="498" t="s">
        <v>37</v>
      </c>
      <c r="BD8" s="497" t="s">
        <v>986</v>
      </c>
      <c r="BE8" s="498" t="s">
        <v>37</v>
      </c>
      <c r="BF8" s="497" t="s">
        <v>986</v>
      </c>
      <c r="BG8" s="498" t="s">
        <v>37</v>
      </c>
      <c r="BH8" s="497" t="s">
        <v>965</v>
      </c>
      <c r="BI8" s="498" t="s">
        <v>2840</v>
      </c>
      <c r="BJ8" s="497" t="s">
        <v>965</v>
      </c>
      <c r="BK8" s="498" t="s">
        <v>2841</v>
      </c>
      <c r="BL8" s="497" t="s">
        <v>986</v>
      </c>
      <c r="BM8" s="498" t="s">
        <v>37</v>
      </c>
      <c r="BN8" s="497" t="s">
        <v>986</v>
      </c>
      <c r="BO8" s="499" t="s">
        <v>37</v>
      </c>
      <c r="BP8" s="497" t="s">
        <v>986</v>
      </c>
      <c r="BQ8" s="498" t="s">
        <v>37</v>
      </c>
      <c r="BR8" s="497" t="s">
        <v>986</v>
      </c>
      <c r="BS8" s="498" t="s">
        <v>37</v>
      </c>
      <c r="BT8" s="497" t="s">
        <v>986</v>
      </c>
      <c r="BU8" s="498" t="s">
        <v>37</v>
      </c>
      <c r="BV8" s="497" t="s">
        <v>986</v>
      </c>
      <c r="BW8" s="498" t="s">
        <v>37</v>
      </c>
      <c r="BX8" s="497" t="s">
        <v>986</v>
      </c>
      <c r="BY8" s="498" t="s">
        <v>37</v>
      </c>
      <c r="BZ8" s="497" t="s">
        <v>986</v>
      </c>
      <c r="CA8" s="498" t="s">
        <v>37</v>
      </c>
      <c r="CB8" s="497" t="s">
        <v>986</v>
      </c>
      <c r="CC8" s="498" t="s">
        <v>37</v>
      </c>
      <c r="CD8" s="497" t="s">
        <v>986</v>
      </c>
      <c r="CE8" s="498" t="s">
        <v>37</v>
      </c>
      <c r="CF8" s="497" t="s">
        <v>986</v>
      </c>
      <c r="CG8" s="498" t="s">
        <v>37</v>
      </c>
      <c r="CH8" s="497" t="s">
        <v>986</v>
      </c>
      <c r="CI8" s="499" t="s">
        <v>37</v>
      </c>
      <c r="CJ8" s="497" t="s">
        <v>986</v>
      </c>
      <c r="CK8" s="498" t="s">
        <v>37</v>
      </c>
      <c r="CL8" s="497" t="s">
        <v>986</v>
      </c>
      <c r="CM8" s="498" t="s">
        <v>37</v>
      </c>
      <c r="CN8" s="497" t="s">
        <v>986</v>
      </c>
      <c r="CO8" s="498" t="s">
        <v>37</v>
      </c>
      <c r="CP8" s="566" t="s">
        <v>3991</v>
      </c>
      <c r="CQ8" s="34"/>
      <c r="CR8" s="34"/>
    </row>
    <row r="9" spans="1:96" s="5" customFormat="1" ht="102" thickBot="1" x14ac:dyDescent="0.25">
      <c r="A9" s="124">
        <f t="shared" si="0"/>
        <v>4</v>
      </c>
      <c r="B9" s="509" t="s">
        <v>1771</v>
      </c>
      <c r="C9" s="509" t="s">
        <v>2056</v>
      </c>
      <c r="D9" s="510">
        <v>371</v>
      </c>
      <c r="E9" s="510" t="s">
        <v>2384</v>
      </c>
      <c r="F9" s="497" t="s">
        <v>986</v>
      </c>
      <c r="G9" s="498" t="s">
        <v>37</v>
      </c>
      <c r="H9" s="497" t="s">
        <v>986</v>
      </c>
      <c r="I9" s="498" t="s">
        <v>37</v>
      </c>
      <c r="J9" s="497" t="s">
        <v>986</v>
      </c>
      <c r="K9" s="498" t="s">
        <v>37</v>
      </c>
      <c r="L9" s="497" t="s">
        <v>986</v>
      </c>
      <c r="M9" s="498" t="s">
        <v>37</v>
      </c>
      <c r="N9" s="497" t="s">
        <v>986</v>
      </c>
      <c r="O9" s="498" t="s">
        <v>37</v>
      </c>
      <c r="P9" s="497" t="s">
        <v>986</v>
      </c>
      <c r="Q9" s="498" t="s">
        <v>37</v>
      </c>
      <c r="R9" s="497" t="s">
        <v>986</v>
      </c>
      <c r="S9" s="498" t="s">
        <v>37</v>
      </c>
      <c r="T9" s="497" t="s">
        <v>986</v>
      </c>
      <c r="U9" s="499" t="s">
        <v>37</v>
      </c>
      <c r="V9" s="497" t="s">
        <v>986</v>
      </c>
      <c r="W9" s="498" t="s">
        <v>37</v>
      </c>
      <c r="X9" s="497" t="s">
        <v>986</v>
      </c>
      <c r="Y9" s="498" t="s">
        <v>37</v>
      </c>
      <c r="Z9" s="497" t="s">
        <v>986</v>
      </c>
      <c r="AA9" s="498" t="s">
        <v>37</v>
      </c>
      <c r="AB9" s="497" t="s">
        <v>986</v>
      </c>
      <c r="AC9" s="498" t="s">
        <v>37</v>
      </c>
      <c r="AD9" s="497" t="s">
        <v>986</v>
      </c>
      <c r="AE9" s="498" t="s">
        <v>37</v>
      </c>
      <c r="AF9" s="497" t="s">
        <v>986</v>
      </c>
      <c r="AG9" s="499" t="s">
        <v>37</v>
      </c>
      <c r="AH9" s="497" t="s">
        <v>986</v>
      </c>
      <c r="AI9" s="498" t="s">
        <v>37</v>
      </c>
      <c r="AJ9" s="497" t="s">
        <v>986</v>
      </c>
      <c r="AK9" s="498" t="s">
        <v>37</v>
      </c>
      <c r="AL9" s="497" t="s">
        <v>986</v>
      </c>
      <c r="AM9" s="499" t="s">
        <v>37</v>
      </c>
      <c r="AN9" s="497" t="s">
        <v>986</v>
      </c>
      <c r="AO9" s="498" t="s">
        <v>37</v>
      </c>
      <c r="AP9" s="497" t="s">
        <v>986</v>
      </c>
      <c r="AQ9" s="498" t="s">
        <v>37</v>
      </c>
      <c r="AR9" s="497" t="s">
        <v>986</v>
      </c>
      <c r="AS9" s="499" t="s">
        <v>37</v>
      </c>
      <c r="AT9" s="497" t="s">
        <v>986</v>
      </c>
      <c r="AU9" s="499" t="s">
        <v>37</v>
      </c>
      <c r="AV9" s="497" t="s">
        <v>986</v>
      </c>
      <c r="AW9" s="498" t="s">
        <v>37</v>
      </c>
      <c r="AX9" s="497" t="s">
        <v>986</v>
      </c>
      <c r="AY9" s="498" t="s">
        <v>37</v>
      </c>
      <c r="AZ9" s="497" t="s">
        <v>986</v>
      </c>
      <c r="BA9" s="498" t="s">
        <v>37</v>
      </c>
      <c r="BB9" s="497" t="s">
        <v>986</v>
      </c>
      <c r="BC9" s="498" t="s">
        <v>37</v>
      </c>
      <c r="BD9" s="497" t="s">
        <v>986</v>
      </c>
      <c r="BE9" s="498" t="s">
        <v>37</v>
      </c>
      <c r="BF9" s="497" t="s">
        <v>986</v>
      </c>
      <c r="BG9" s="498" t="s">
        <v>37</v>
      </c>
      <c r="BH9" s="497" t="s">
        <v>964</v>
      </c>
      <c r="BI9" s="498" t="s">
        <v>1772</v>
      </c>
      <c r="BJ9" s="497" t="s">
        <v>963</v>
      </c>
      <c r="BK9" s="498" t="s">
        <v>1773</v>
      </c>
      <c r="BL9" s="497" t="s">
        <v>963</v>
      </c>
      <c r="BM9" s="498" t="s">
        <v>2842</v>
      </c>
      <c r="BN9" s="497" t="s">
        <v>964</v>
      </c>
      <c r="BO9" s="499" t="s">
        <v>1774</v>
      </c>
      <c r="BP9" s="497" t="s">
        <v>986</v>
      </c>
      <c r="BQ9" s="498" t="s">
        <v>37</v>
      </c>
      <c r="BR9" s="497" t="s">
        <v>986</v>
      </c>
      <c r="BS9" s="498" t="s">
        <v>37</v>
      </c>
      <c r="BT9" s="497" t="s">
        <v>986</v>
      </c>
      <c r="BU9" s="498" t="s">
        <v>37</v>
      </c>
      <c r="BV9" s="497" t="s">
        <v>986</v>
      </c>
      <c r="BW9" s="498" t="s">
        <v>37</v>
      </c>
      <c r="BX9" s="497" t="s">
        <v>986</v>
      </c>
      <c r="BY9" s="498" t="s">
        <v>37</v>
      </c>
      <c r="BZ9" s="497" t="s">
        <v>986</v>
      </c>
      <c r="CA9" s="498" t="s">
        <v>37</v>
      </c>
      <c r="CB9" s="497" t="s">
        <v>986</v>
      </c>
      <c r="CC9" s="498" t="s">
        <v>37</v>
      </c>
      <c r="CD9" s="497" t="s">
        <v>986</v>
      </c>
      <c r="CE9" s="498" t="s">
        <v>37</v>
      </c>
      <c r="CF9" s="497" t="s">
        <v>986</v>
      </c>
      <c r="CG9" s="498" t="s">
        <v>37</v>
      </c>
      <c r="CH9" s="497" t="s">
        <v>986</v>
      </c>
      <c r="CI9" s="499" t="s">
        <v>37</v>
      </c>
      <c r="CJ9" s="497" t="s">
        <v>986</v>
      </c>
      <c r="CK9" s="498" t="s">
        <v>37</v>
      </c>
      <c r="CL9" s="497" t="s">
        <v>958</v>
      </c>
      <c r="CM9" s="498" t="s">
        <v>1838</v>
      </c>
      <c r="CN9" s="497" t="s">
        <v>986</v>
      </c>
      <c r="CO9" s="498" t="s">
        <v>37</v>
      </c>
      <c r="CP9" s="518" t="s">
        <v>3883</v>
      </c>
      <c r="CQ9" s="34"/>
      <c r="CR9" s="34"/>
    </row>
    <row r="10" spans="1:96" s="5" customFormat="1" ht="113.25" thickBot="1" x14ac:dyDescent="0.25">
      <c r="A10" s="124">
        <f t="shared" si="0"/>
        <v>5</v>
      </c>
      <c r="B10" s="509" t="s">
        <v>1270</v>
      </c>
      <c r="C10" s="509" t="s">
        <v>1598</v>
      </c>
      <c r="D10" s="510">
        <v>311</v>
      </c>
      <c r="E10" s="510" t="s">
        <v>2382</v>
      </c>
      <c r="F10" s="497" t="s">
        <v>967</v>
      </c>
      <c r="G10" s="498" t="s">
        <v>100</v>
      </c>
      <c r="H10" s="497" t="s">
        <v>967</v>
      </c>
      <c r="I10" s="498" t="s">
        <v>401</v>
      </c>
      <c r="J10" s="497" t="s">
        <v>967</v>
      </c>
      <c r="K10" s="498" t="s">
        <v>343</v>
      </c>
      <c r="L10" s="497" t="s">
        <v>966</v>
      </c>
      <c r="M10" s="498" t="s">
        <v>3742</v>
      </c>
      <c r="N10" s="497" t="s">
        <v>986</v>
      </c>
      <c r="O10" s="498" t="s">
        <v>37</v>
      </c>
      <c r="P10" s="497" t="s">
        <v>967</v>
      </c>
      <c r="Q10" s="498" t="s">
        <v>1007</v>
      </c>
      <c r="R10" s="497" t="s">
        <v>963</v>
      </c>
      <c r="S10" s="498" t="s">
        <v>1018</v>
      </c>
      <c r="T10" s="497" t="s">
        <v>986</v>
      </c>
      <c r="U10" s="499" t="s">
        <v>37</v>
      </c>
      <c r="V10" s="497" t="s">
        <v>965</v>
      </c>
      <c r="W10" s="498" t="s">
        <v>841</v>
      </c>
      <c r="X10" s="497" t="s">
        <v>965</v>
      </c>
      <c r="Y10" s="498" t="s">
        <v>1634</v>
      </c>
      <c r="Z10" s="497" t="s">
        <v>965</v>
      </c>
      <c r="AA10" s="498" t="s">
        <v>2781</v>
      </c>
      <c r="AB10" s="497" t="s">
        <v>963</v>
      </c>
      <c r="AC10" s="498" t="s">
        <v>1634</v>
      </c>
      <c r="AD10" s="497" t="s">
        <v>966</v>
      </c>
      <c r="AE10" s="498" t="s">
        <v>2782</v>
      </c>
      <c r="AF10" s="497" t="s">
        <v>966</v>
      </c>
      <c r="AG10" s="499" t="s">
        <v>1161</v>
      </c>
      <c r="AH10" s="497" t="s">
        <v>986</v>
      </c>
      <c r="AI10" s="498" t="s">
        <v>2783</v>
      </c>
      <c r="AJ10" s="497" t="s">
        <v>966</v>
      </c>
      <c r="AK10" s="498" t="s">
        <v>697</v>
      </c>
      <c r="AL10" s="497" t="s">
        <v>965</v>
      </c>
      <c r="AM10" s="499" t="s">
        <v>345</v>
      </c>
      <c r="AN10" s="497" t="s">
        <v>966</v>
      </c>
      <c r="AO10" s="498" t="s">
        <v>1019</v>
      </c>
      <c r="AP10" s="497" t="s">
        <v>965</v>
      </c>
      <c r="AQ10" s="498" t="s">
        <v>1019</v>
      </c>
      <c r="AR10" s="497" t="s">
        <v>965</v>
      </c>
      <c r="AS10" s="499" t="s">
        <v>2784</v>
      </c>
      <c r="AT10" s="497" t="s">
        <v>965</v>
      </c>
      <c r="AU10" s="499" t="s">
        <v>269</v>
      </c>
      <c r="AV10" s="497" t="s">
        <v>966</v>
      </c>
      <c r="AW10" s="498" t="s">
        <v>1375</v>
      </c>
      <c r="AX10" s="497" t="s">
        <v>965</v>
      </c>
      <c r="AY10" s="498" t="s">
        <v>1120</v>
      </c>
      <c r="AZ10" s="497" t="s">
        <v>966</v>
      </c>
      <c r="BA10" s="498" t="s">
        <v>804</v>
      </c>
      <c r="BB10" s="497" t="s">
        <v>986</v>
      </c>
      <c r="BC10" s="498" t="s">
        <v>291</v>
      </c>
      <c r="BD10" s="497" t="s">
        <v>965</v>
      </c>
      <c r="BE10" s="498" t="s">
        <v>2080</v>
      </c>
      <c r="BF10" s="497" t="s">
        <v>965</v>
      </c>
      <c r="BG10" s="498" t="s">
        <v>2125</v>
      </c>
      <c r="BH10" s="497" t="s">
        <v>963</v>
      </c>
      <c r="BI10" s="498" t="s">
        <v>236</v>
      </c>
      <c r="BJ10" s="497" t="s">
        <v>986</v>
      </c>
      <c r="BK10" s="498" t="s">
        <v>37</v>
      </c>
      <c r="BL10" s="497" t="s">
        <v>963</v>
      </c>
      <c r="BM10" s="498" t="s">
        <v>1635</v>
      </c>
      <c r="BN10" s="497" t="s">
        <v>986</v>
      </c>
      <c r="BO10" s="499" t="s">
        <v>37</v>
      </c>
      <c r="BP10" s="497" t="s">
        <v>967</v>
      </c>
      <c r="BQ10" s="498" t="s">
        <v>557</v>
      </c>
      <c r="BR10" s="497" t="s">
        <v>966</v>
      </c>
      <c r="BS10" s="498" t="s">
        <v>3743</v>
      </c>
      <c r="BT10" s="497" t="s">
        <v>966</v>
      </c>
      <c r="BU10" s="498" t="s">
        <v>1707</v>
      </c>
      <c r="BV10" s="497" t="s">
        <v>986</v>
      </c>
      <c r="BW10" s="498" t="s">
        <v>37</v>
      </c>
      <c r="BX10" s="497" t="s">
        <v>963</v>
      </c>
      <c r="BY10" s="498" t="s">
        <v>3744</v>
      </c>
      <c r="BZ10" s="497" t="s">
        <v>963</v>
      </c>
      <c r="CA10" s="498" t="s">
        <v>3745</v>
      </c>
      <c r="CB10" s="497" t="s">
        <v>986</v>
      </c>
      <c r="CC10" s="498" t="s">
        <v>37</v>
      </c>
      <c r="CD10" s="497" t="s">
        <v>966</v>
      </c>
      <c r="CE10" s="498" t="s">
        <v>3746</v>
      </c>
      <c r="CF10" s="497" t="s">
        <v>965</v>
      </c>
      <c r="CG10" s="498" t="s">
        <v>390</v>
      </c>
      <c r="CH10" s="497" t="s">
        <v>963</v>
      </c>
      <c r="CI10" s="499" t="s">
        <v>3747</v>
      </c>
      <c r="CJ10" s="497" t="s">
        <v>986</v>
      </c>
      <c r="CK10" s="498" t="s">
        <v>37</v>
      </c>
      <c r="CL10" s="497" t="s">
        <v>965</v>
      </c>
      <c r="CM10" s="498" t="s">
        <v>3748</v>
      </c>
      <c r="CN10" s="497" t="s">
        <v>965</v>
      </c>
      <c r="CO10" s="498" t="s">
        <v>3749</v>
      </c>
      <c r="CP10" s="504" t="s">
        <v>3750</v>
      </c>
      <c r="CQ10" s="34"/>
      <c r="CR10" s="34"/>
    </row>
    <row r="11" spans="1:96" s="5" customFormat="1" ht="47.25" customHeight="1" thickBot="1" x14ac:dyDescent="0.25">
      <c r="A11" s="124">
        <f t="shared" si="0"/>
        <v>6</v>
      </c>
      <c r="B11" s="509" t="s">
        <v>3879</v>
      </c>
      <c r="C11" s="509" t="s">
        <v>1605</v>
      </c>
      <c r="D11" s="510">
        <v>333</v>
      </c>
      <c r="E11" s="510" t="s">
        <v>2382</v>
      </c>
      <c r="F11" s="497" t="s">
        <v>965</v>
      </c>
      <c r="G11" s="498" t="s">
        <v>3906</v>
      </c>
      <c r="H11" s="497" t="s">
        <v>965</v>
      </c>
      <c r="I11" s="498" t="s">
        <v>3907</v>
      </c>
      <c r="J11" s="497" t="s">
        <v>986</v>
      </c>
      <c r="K11" s="498" t="s">
        <v>37</v>
      </c>
      <c r="L11" s="497" t="s">
        <v>986</v>
      </c>
      <c r="M11" s="498" t="s">
        <v>37</v>
      </c>
      <c r="N11" s="497" t="s">
        <v>986</v>
      </c>
      <c r="O11" s="498" t="s">
        <v>37</v>
      </c>
      <c r="P11" s="497" t="s">
        <v>965</v>
      </c>
      <c r="Q11" s="498" t="s">
        <v>3908</v>
      </c>
      <c r="R11" s="497" t="s">
        <v>986</v>
      </c>
      <c r="S11" s="498" t="s">
        <v>37</v>
      </c>
      <c r="T11" s="497" t="s">
        <v>986</v>
      </c>
      <c r="U11" s="499" t="s">
        <v>37</v>
      </c>
      <c r="V11" s="497" t="s">
        <v>965</v>
      </c>
      <c r="W11" s="498" t="s">
        <v>3909</v>
      </c>
      <c r="X11" s="497" t="s">
        <v>986</v>
      </c>
      <c r="Y11" s="498" t="s">
        <v>37</v>
      </c>
      <c r="Z11" s="497" t="s">
        <v>965</v>
      </c>
      <c r="AA11" s="498" t="s">
        <v>3910</v>
      </c>
      <c r="AB11" s="497" t="s">
        <v>986</v>
      </c>
      <c r="AC11" s="498" t="s">
        <v>37</v>
      </c>
      <c r="AD11" s="497" t="s">
        <v>986</v>
      </c>
      <c r="AE11" s="498" t="s">
        <v>37</v>
      </c>
      <c r="AF11" s="497" t="s">
        <v>965</v>
      </c>
      <c r="AG11" s="499" t="s">
        <v>3910</v>
      </c>
      <c r="AH11" s="497" t="s">
        <v>986</v>
      </c>
      <c r="AI11" s="498" t="s">
        <v>37</v>
      </c>
      <c r="AJ11" s="497" t="s">
        <v>986</v>
      </c>
      <c r="AK11" s="498" t="s">
        <v>37</v>
      </c>
      <c r="AL11" s="497" t="s">
        <v>986</v>
      </c>
      <c r="AM11" s="499" t="s">
        <v>37</v>
      </c>
      <c r="AN11" s="497" t="s">
        <v>986</v>
      </c>
      <c r="AO11" s="498" t="s">
        <v>37</v>
      </c>
      <c r="AP11" s="497" t="s">
        <v>986</v>
      </c>
      <c r="AQ11" s="498" t="s">
        <v>37</v>
      </c>
      <c r="AR11" s="497" t="s">
        <v>986</v>
      </c>
      <c r="AS11" s="499" t="s">
        <v>37</v>
      </c>
      <c r="AT11" s="497" t="s">
        <v>986</v>
      </c>
      <c r="AU11" s="499" t="s">
        <v>37</v>
      </c>
      <c r="AV11" s="497" t="s">
        <v>986</v>
      </c>
      <c r="AW11" s="498" t="s">
        <v>37</v>
      </c>
      <c r="AX11" s="497" t="s">
        <v>986</v>
      </c>
      <c r="AY11" s="498" t="s">
        <v>37</v>
      </c>
      <c r="AZ11" s="497" t="s">
        <v>986</v>
      </c>
      <c r="BA11" s="498" t="s">
        <v>37</v>
      </c>
      <c r="BB11" s="497" t="s">
        <v>986</v>
      </c>
      <c r="BC11" s="498" t="s">
        <v>37</v>
      </c>
      <c r="BD11" s="497" t="s">
        <v>986</v>
      </c>
      <c r="BE11" s="498" t="s">
        <v>37</v>
      </c>
      <c r="BF11" s="497" t="s">
        <v>986</v>
      </c>
      <c r="BG11" s="498" t="s">
        <v>37</v>
      </c>
      <c r="BH11" s="497" t="s">
        <v>986</v>
      </c>
      <c r="BI11" s="498" t="s">
        <v>37</v>
      </c>
      <c r="BJ11" s="497" t="s">
        <v>986</v>
      </c>
      <c r="BK11" s="498" t="s">
        <v>37</v>
      </c>
      <c r="BL11" s="497" t="s">
        <v>986</v>
      </c>
      <c r="BM11" s="498" t="s">
        <v>37</v>
      </c>
      <c r="BN11" s="497" t="s">
        <v>986</v>
      </c>
      <c r="BO11" s="499" t="s">
        <v>37</v>
      </c>
      <c r="BP11" s="497" t="s">
        <v>965</v>
      </c>
      <c r="BQ11" s="498" t="s">
        <v>3911</v>
      </c>
      <c r="BR11" s="497" t="s">
        <v>986</v>
      </c>
      <c r="BS11" s="498" t="s">
        <v>37</v>
      </c>
      <c r="BT11" s="497" t="s">
        <v>986</v>
      </c>
      <c r="BU11" s="498" t="s">
        <v>37</v>
      </c>
      <c r="BV11" s="497" t="s">
        <v>986</v>
      </c>
      <c r="BW11" s="498" t="s">
        <v>37</v>
      </c>
      <c r="BX11" s="497" t="s">
        <v>986</v>
      </c>
      <c r="BY11" s="498" t="s">
        <v>37</v>
      </c>
      <c r="BZ11" s="497" t="s">
        <v>986</v>
      </c>
      <c r="CA11" s="498" t="s">
        <v>37</v>
      </c>
      <c r="CB11" s="497" t="s">
        <v>986</v>
      </c>
      <c r="CC11" s="498" t="s">
        <v>37</v>
      </c>
      <c r="CD11" s="497" t="s">
        <v>986</v>
      </c>
      <c r="CE11" s="498" t="s">
        <v>37</v>
      </c>
      <c r="CF11" s="497" t="s">
        <v>986</v>
      </c>
      <c r="CG11" s="498" t="s">
        <v>37</v>
      </c>
      <c r="CH11" s="497" t="s">
        <v>986</v>
      </c>
      <c r="CI11" s="499" t="s">
        <v>37</v>
      </c>
      <c r="CJ11" s="497" t="s">
        <v>986</v>
      </c>
      <c r="CK11" s="498" t="s">
        <v>37</v>
      </c>
      <c r="CL11" s="497" t="s">
        <v>986</v>
      </c>
      <c r="CM11" s="498" t="s">
        <v>37</v>
      </c>
      <c r="CN11" s="497" t="s">
        <v>986</v>
      </c>
      <c r="CO11" s="498" t="s">
        <v>37</v>
      </c>
      <c r="CP11" s="518" t="s">
        <v>3912</v>
      </c>
      <c r="CQ11" s="34"/>
      <c r="CR11" s="34"/>
    </row>
    <row r="12" spans="1:96" s="18" customFormat="1" ht="72" customHeight="1" thickBot="1" x14ac:dyDescent="0.25">
      <c r="A12" s="124">
        <f t="shared" si="0"/>
        <v>7</v>
      </c>
      <c r="B12" s="509" t="s">
        <v>1271</v>
      </c>
      <c r="C12" s="509" t="s">
        <v>1599</v>
      </c>
      <c r="D12" s="510">
        <v>591</v>
      </c>
      <c r="E12" s="510" t="s">
        <v>2385</v>
      </c>
      <c r="F12" s="497" t="s">
        <v>986</v>
      </c>
      <c r="G12" s="498" t="s">
        <v>37</v>
      </c>
      <c r="H12" s="497" t="s">
        <v>986</v>
      </c>
      <c r="I12" s="498" t="s">
        <v>37</v>
      </c>
      <c r="J12" s="497" t="s">
        <v>986</v>
      </c>
      <c r="K12" s="498" t="s">
        <v>37</v>
      </c>
      <c r="L12" s="497" t="s">
        <v>986</v>
      </c>
      <c r="M12" s="498" t="s">
        <v>37</v>
      </c>
      <c r="N12" s="497" t="s">
        <v>986</v>
      </c>
      <c r="O12" s="498" t="s">
        <v>37</v>
      </c>
      <c r="P12" s="497" t="s">
        <v>965</v>
      </c>
      <c r="Q12" s="498" t="s">
        <v>978</v>
      </c>
      <c r="R12" s="497" t="s">
        <v>986</v>
      </c>
      <c r="S12" s="498" t="s">
        <v>37</v>
      </c>
      <c r="T12" s="497" t="s">
        <v>986</v>
      </c>
      <c r="U12" s="499" t="s">
        <v>37</v>
      </c>
      <c r="V12" s="497" t="s">
        <v>986</v>
      </c>
      <c r="W12" s="498" t="s">
        <v>560</v>
      </c>
      <c r="X12" s="497" t="s">
        <v>986</v>
      </c>
      <c r="Y12" s="498" t="s">
        <v>37</v>
      </c>
      <c r="Z12" s="497" t="s">
        <v>986</v>
      </c>
      <c r="AA12" s="498" t="s">
        <v>37</v>
      </c>
      <c r="AB12" s="497" t="s">
        <v>986</v>
      </c>
      <c r="AC12" s="498" t="s">
        <v>2184</v>
      </c>
      <c r="AD12" s="497" t="s">
        <v>986</v>
      </c>
      <c r="AE12" s="498" t="s">
        <v>37</v>
      </c>
      <c r="AF12" s="497" t="s">
        <v>965</v>
      </c>
      <c r="AG12" s="499" t="s">
        <v>2185</v>
      </c>
      <c r="AH12" s="497" t="s">
        <v>986</v>
      </c>
      <c r="AI12" s="498" t="s">
        <v>37</v>
      </c>
      <c r="AJ12" s="497" t="s">
        <v>986</v>
      </c>
      <c r="AK12" s="498" t="s">
        <v>37</v>
      </c>
      <c r="AL12" s="497" t="s">
        <v>986</v>
      </c>
      <c r="AM12" s="499" t="s">
        <v>37</v>
      </c>
      <c r="AN12" s="497" t="s">
        <v>963</v>
      </c>
      <c r="AO12" s="498" t="s">
        <v>207</v>
      </c>
      <c r="AP12" s="497" t="s">
        <v>963</v>
      </c>
      <c r="AQ12" s="498" t="s">
        <v>207</v>
      </c>
      <c r="AR12" s="497" t="s">
        <v>963</v>
      </c>
      <c r="AS12" s="499" t="s">
        <v>514</v>
      </c>
      <c r="AT12" s="497" t="s">
        <v>963</v>
      </c>
      <c r="AU12" s="499" t="s">
        <v>514</v>
      </c>
      <c r="AV12" s="497" t="s">
        <v>963</v>
      </c>
      <c r="AW12" s="498" t="s">
        <v>514</v>
      </c>
      <c r="AX12" s="497" t="s">
        <v>963</v>
      </c>
      <c r="AY12" s="498" t="s">
        <v>514</v>
      </c>
      <c r="AZ12" s="497" t="s">
        <v>986</v>
      </c>
      <c r="BA12" s="498" t="s">
        <v>37</v>
      </c>
      <c r="BB12" s="497" t="s">
        <v>986</v>
      </c>
      <c r="BC12" s="498" t="s">
        <v>37</v>
      </c>
      <c r="BD12" s="497" t="s">
        <v>963</v>
      </c>
      <c r="BE12" s="498" t="s">
        <v>514</v>
      </c>
      <c r="BF12" s="497" t="s">
        <v>963</v>
      </c>
      <c r="BG12" s="498" t="s">
        <v>514</v>
      </c>
      <c r="BH12" s="497" t="s">
        <v>966</v>
      </c>
      <c r="BI12" s="498" t="s">
        <v>2843</v>
      </c>
      <c r="BJ12" s="497" t="s">
        <v>965</v>
      </c>
      <c r="BK12" s="498" t="s">
        <v>2844</v>
      </c>
      <c r="BL12" s="497" t="s">
        <v>965</v>
      </c>
      <c r="BM12" s="498" t="s">
        <v>2845</v>
      </c>
      <c r="BN12" s="497" t="s">
        <v>964</v>
      </c>
      <c r="BO12" s="499" t="s">
        <v>2186</v>
      </c>
      <c r="BP12" s="497" t="s">
        <v>965</v>
      </c>
      <c r="BQ12" s="498" t="s">
        <v>200</v>
      </c>
      <c r="BR12" s="497" t="s">
        <v>986</v>
      </c>
      <c r="BS12" s="498" t="s">
        <v>37</v>
      </c>
      <c r="BT12" s="497" t="s">
        <v>986</v>
      </c>
      <c r="BU12" s="498" t="s">
        <v>37</v>
      </c>
      <c r="BV12" s="497" t="s">
        <v>986</v>
      </c>
      <c r="BW12" s="498" t="s">
        <v>37</v>
      </c>
      <c r="BX12" s="497" t="s">
        <v>986</v>
      </c>
      <c r="BY12" s="498" t="s">
        <v>37</v>
      </c>
      <c r="BZ12" s="497" t="s">
        <v>986</v>
      </c>
      <c r="CA12" s="498" t="s">
        <v>37</v>
      </c>
      <c r="CB12" s="497" t="s">
        <v>986</v>
      </c>
      <c r="CC12" s="498" t="s">
        <v>37</v>
      </c>
      <c r="CD12" s="497" t="s">
        <v>986</v>
      </c>
      <c r="CE12" s="498" t="s">
        <v>37</v>
      </c>
      <c r="CF12" s="497" t="s">
        <v>986</v>
      </c>
      <c r="CG12" s="498" t="s">
        <v>201</v>
      </c>
      <c r="CH12" s="497" t="s">
        <v>986</v>
      </c>
      <c r="CI12" s="499" t="s">
        <v>37</v>
      </c>
      <c r="CJ12" s="497" t="s">
        <v>965</v>
      </c>
      <c r="CK12" s="498" t="s">
        <v>208</v>
      </c>
      <c r="CL12" s="497" t="s">
        <v>986</v>
      </c>
      <c r="CM12" s="498" t="s">
        <v>37</v>
      </c>
      <c r="CN12" s="497" t="s">
        <v>986</v>
      </c>
      <c r="CO12" s="498" t="s">
        <v>37</v>
      </c>
      <c r="CP12" s="517" t="s">
        <v>1128</v>
      </c>
    </row>
    <row r="13" spans="1:96" s="5" customFormat="1" ht="113.25" thickBot="1" x14ac:dyDescent="0.25">
      <c r="A13" s="124">
        <f t="shared" si="0"/>
        <v>8</v>
      </c>
      <c r="B13" s="509" t="s">
        <v>528</v>
      </c>
      <c r="C13" s="509" t="s">
        <v>1599</v>
      </c>
      <c r="D13" s="510">
        <v>366</v>
      </c>
      <c r="E13" s="510" t="s">
        <v>2384</v>
      </c>
      <c r="F13" s="497" t="s">
        <v>986</v>
      </c>
      <c r="G13" s="498" t="s">
        <v>37</v>
      </c>
      <c r="H13" s="497" t="s">
        <v>986</v>
      </c>
      <c r="I13" s="498" t="s">
        <v>37</v>
      </c>
      <c r="J13" s="497" t="s">
        <v>986</v>
      </c>
      <c r="K13" s="498" t="s">
        <v>37</v>
      </c>
      <c r="L13" s="497" t="s">
        <v>986</v>
      </c>
      <c r="M13" s="498" t="s">
        <v>37</v>
      </c>
      <c r="N13" s="497" t="s">
        <v>986</v>
      </c>
      <c r="O13" s="498" t="s">
        <v>37</v>
      </c>
      <c r="P13" s="497" t="s">
        <v>986</v>
      </c>
      <c r="Q13" s="498" t="s">
        <v>37</v>
      </c>
      <c r="R13" s="497" t="s">
        <v>986</v>
      </c>
      <c r="S13" s="498" t="s">
        <v>37</v>
      </c>
      <c r="T13" s="497" t="s">
        <v>986</v>
      </c>
      <c r="U13" s="499" t="s">
        <v>37</v>
      </c>
      <c r="V13" s="497" t="s">
        <v>986</v>
      </c>
      <c r="W13" s="498" t="s">
        <v>37</v>
      </c>
      <c r="X13" s="497" t="s">
        <v>986</v>
      </c>
      <c r="Y13" s="498" t="s">
        <v>37</v>
      </c>
      <c r="Z13" s="497" t="s">
        <v>986</v>
      </c>
      <c r="AA13" s="498" t="s">
        <v>37</v>
      </c>
      <c r="AB13" s="497" t="s">
        <v>986</v>
      </c>
      <c r="AC13" s="498" t="s">
        <v>1766</v>
      </c>
      <c r="AD13" s="497" t="s">
        <v>986</v>
      </c>
      <c r="AE13" s="498" t="s">
        <v>37</v>
      </c>
      <c r="AF13" s="497" t="s">
        <v>986</v>
      </c>
      <c r="AG13" s="499" t="s">
        <v>37</v>
      </c>
      <c r="AH13" s="497" t="s">
        <v>986</v>
      </c>
      <c r="AI13" s="498" t="s">
        <v>37</v>
      </c>
      <c r="AJ13" s="497" t="s">
        <v>986</v>
      </c>
      <c r="AK13" s="498" t="s">
        <v>37</v>
      </c>
      <c r="AL13" s="497" t="s">
        <v>986</v>
      </c>
      <c r="AM13" s="499" t="s">
        <v>37</v>
      </c>
      <c r="AN13" s="497" t="s">
        <v>963</v>
      </c>
      <c r="AO13" s="498" t="s">
        <v>840</v>
      </c>
      <c r="AP13" s="497" t="s">
        <v>986</v>
      </c>
      <c r="AQ13" s="498" t="s">
        <v>37</v>
      </c>
      <c r="AR13" s="497" t="s">
        <v>986</v>
      </c>
      <c r="AS13" s="499" t="s">
        <v>37</v>
      </c>
      <c r="AT13" s="497" t="s">
        <v>986</v>
      </c>
      <c r="AU13" s="499" t="s">
        <v>1166</v>
      </c>
      <c r="AV13" s="497" t="s">
        <v>963</v>
      </c>
      <c r="AW13" s="498" t="s">
        <v>1376</v>
      </c>
      <c r="AX13" s="497" t="s">
        <v>986</v>
      </c>
      <c r="AY13" s="498" t="s">
        <v>917</v>
      </c>
      <c r="AZ13" s="497" t="s">
        <v>986</v>
      </c>
      <c r="BA13" s="498" t="s">
        <v>37</v>
      </c>
      <c r="BB13" s="497" t="s">
        <v>986</v>
      </c>
      <c r="BC13" s="498" t="s">
        <v>37</v>
      </c>
      <c r="BD13" s="497" t="s">
        <v>986</v>
      </c>
      <c r="BE13" s="498" t="s">
        <v>41</v>
      </c>
      <c r="BF13" s="497" t="s">
        <v>986</v>
      </c>
      <c r="BG13" s="498" t="s">
        <v>1121</v>
      </c>
      <c r="BH13" s="497" t="s">
        <v>986</v>
      </c>
      <c r="BI13" s="498" t="s">
        <v>2846</v>
      </c>
      <c r="BJ13" s="497" t="s">
        <v>965</v>
      </c>
      <c r="BK13" s="498" t="s">
        <v>2847</v>
      </c>
      <c r="BL13" s="497" t="s">
        <v>964</v>
      </c>
      <c r="BM13" s="498" t="s">
        <v>2848</v>
      </c>
      <c r="BN13" s="497" t="s">
        <v>967</v>
      </c>
      <c r="BO13" s="499" t="s">
        <v>2849</v>
      </c>
      <c r="BP13" s="497" t="s">
        <v>986</v>
      </c>
      <c r="BQ13" s="498" t="s">
        <v>37</v>
      </c>
      <c r="BR13" s="497" t="s">
        <v>986</v>
      </c>
      <c r="BS13" s="498" t="s">
        <v>37</v>
      </c>
      <c r="BT13" s="497" t="s">
        <v>986</v>
      </c>
      <c r="BU13" s="498" t="s">
        <v>37</v>
      </c>
      <c r="BV13" s="497" t="s">
        <v>986</v>
      </c>
      <c r="BW13" s="498" t="s">
        <v>37</v>
      </c>
      <c r="BX13" s="497" t="s">
        <v>986</v>
      </c>
      <c r="BY13" s="498" t="s">
        <v>37</v>
      </c>
      <c r="BZ13" s="497" t="s">
        <v>986</v>
      </c>
      <c r="CA13" s="498" t="s">
        <v>37</v>
      </c>
      <c r="CB13" s="497" t="s">
        <v>986</v>
      </c>
      <c r="CC13" s="498" t="s">
        <v>37</v>
      </c>
      <c r="CD13" s="497" t="s">
        <v>986</v>
      </c>
      <c r="CE13" s="498" t="s">
        <v>37</v>
      </c>
      <c r="CF13" s="497" t="s">
        <v>986</v>
      </c>
      <c r="CG13" s="498" t="s">
        <v>37</v>
      </c>
      <c r="CH13" s="497" t="s">
        <v>986</v>
      </c>
      <c r="CI13" s="499" t="s">
        <v>37</v>
      </c>
      <c r="CJ13" s="497" t="s">
        <v>986</v>
      </c>
      <c r="CK13" s="498" t="s">
        <v>37</v>
      </c>
      <c r="CL13" s="497" t="s">
        <v>986</v>
      </c>
      <c r="CM13" s="498" t="s">
        <v>37</v>
      </c>
      <c r="CN13" s="497" t="s">
        <v>986</v>
      </c>
      <c r="CO13" s="498" t="s">
        <v>37</v>
      </c>
      <c r="CP13" s="566" t="s">
        <v>3992</v>
      </c>
      <c r="CQ13" s="34"/>
      <c r="CR13" s="34"/>
    </row>
    <row r="14" spans="1:96" s="17" customFormat="1" ht="79.5" thickBot="1" x14ac:dyDescent="0.25">
      <c r="A14" s="124">
        <f t="shared" si="0"/>
        <v>9</v>
      </c>
      <c r="B14" s="509" t="s">
        <v>1272</v>
      </c>
      <c r="C14" s="509" t="s">
        <v>1599</v>
      </c>
      <c r="D14" s="510">
        <v>316</v>
      </c>
      <c r="E14" s="510" t="s">
        <v>2386</v>
      </c>
      <c r="F14" s="497" t="s">
        <v>986</v>
      </c>
      <c r="G14" s="498" t="s">
        <v>37</v>
      </c>
      <c r="H14" s="497" t="s">
        <v>986</v>
      </c>
      <c r="I14" s="498" t="s">
        <v>37</v>
      </c>
      <c r="J14" s="497" t="s">
        <v>986</v>
      </c>
      <c r="K14" s="498" t="s">
        <v>37</v>
      </c>
      <c r="L14" s="497" t="s">
        <v>986</v>
      </c>
      <c r="M14" s="498" t="s">
        <v>37</v>
      </c>
      <c r="N14" s="497" t="s">
        <v>986</v>
      </c>
      <c r="O14" s="498" t="s">
        <v>37</v>
      </c>
      <c r="P14" s="497" t="s">
        <v>986</v>
      </c>
      <c r="Q14" s="498" t="s">
        <v>37</v>
      </c>
      <c r="R14" s="497" t="s">
        <v>986</v>
      </c>
      <c r="S14" s="498" t="s">
        <v>37</v>
      </c>
      <c r="T14" s="497" t="s">
        <v>986</v>
      </c>
      <c r="U14" s="499" t="s">
        <v>37</v>
      </c>
      <c r="V14" s="497" t="s">
        <v>986</v>
      </c>
      <c r="W14" s="498" t="s">
        <v>37</v>
      </c>
      <c r="X14" s="497" t="s">
        <v>986</v>
      </c>
      <c r="Y14" s="498" t="s">
        <v>37</v>
      </c>
      <c r="Z14" s="497" t="s">
        <v>986</v>
      </c>
      <c r="AA14" s="498" t="s">
        <v>37</v>
      </c>
      <c r="AB14" s="497" t="s">
        <v>986</v>
      </c>
      <c r="AC14" s="498" t="s">
        <v>37</v>
      </c>
      <c r="AD14" s="497" t="s">
        <v>986</v>
      </c>
      <c r="AE14" s="498" t="s">
        <v>37</v>
      </c>
      <c r="AF14" s="497" t="s">
        <v>986</v>
      </c>
      <c r="AG14" s="499" t="s">
        <v>37</v>
      </c>
      <c r="AH14" s="497" t="s">
        <v>986</v>
      </c>
      <c r="AI14" s="498" t="s">
        <v>37</v>
      </c>
      <c r="AJ14" s="497" t="s">
        <v>986</v>
      </c>
      <c r="AK14" s="498" t="s">
        <v>37</v>
      </c>
      <c r="AL14" s="497" t="s">
        <v>986</v>
      </c>
      <c r="AM14" s="499" t="s">
        <v>37</v>
      </c>
      <c r="AN14" s="497" t="s">
        <v>963</v>
      </c>
      <c r="AO14" s="498" t="s">
        <v>462</v>
      </c>
      <c r="AP14" s="497" t="s">
        <v>963</v>
      </c>
      <c r="AQ14" s="498" t="s">
        <v>3898</v>
      </c>
      <c r="AR14" s="497" t="s">
        <v>986</v>
      </c>
      <c r="AS14" s="499" t="s">
        <v>37</v>
      </c>
      <c r="AT14" s="497" t="s">
        <v>986</v>
      </c>
      <c r="AU14" s="499" t="s">
        <v>37</v>
      </c>
      <c r="AV14" s="497" t="s">
        <v>963</v>
      </c>
      <c r="AW14" s="498" t="s">
        <v>764</v>
      </c>
      <c r="AX14" s="497" t="s">
        <v>963</v>
      </c>
      <c r="AY14" s="498" t="s">
        <v>3899</v>
      </c>
      <c r="AZ14" s="497" t="s">
        <v>986</v>
      </c>
      <c r="BA14" s="498" t="s">
        <v>37</v>
      </c>
      <c r="BB14" s="497" t="s">
        <v>986</v>
      </c>
      <c r="BC14" s="498" t="s">
        <v>37</v>
      </c>
      <c r="BD14" s="497" t="s">
        <v>986</v>
      </c>
      <c r="BE14" s="498" t="s">
        <v>37</v>
      </c>
      <c r="BF14" s="497" t="s">
        <v>986</v>
      </c>
      <c r="BG14" s="498" t="s">
        <v>37</v>
      </c>
      <c r="BH14" s="497" t="s">
        <v>986</v>
      </c>
      <c r="BI14" s="498" t="s">
        <v>2850</v>
      </c>
      <c r="BJ14" s="497" t="s">
        <v>958</v>
      </c>
      <c r="BK14" s="498" t="s">
        <v>2851</v>
      </c>
      <c r="BL14" s="497" t="s">
        <v>965</v>
      </c>
      <c r="BM14" s="498" t="s">
        <v>2852</v>
      </c>
      <c r="BN14" s="497" t="s">
        <v>966</v>
      </c>
      <c r="BO14" s="499" t="s">
        <v>2853</v>
      </c>
      <c r="BP14" s="497" t="s">
        <v>986</v>
      </c>
      <c r="BQ14" s="498" t="s">
        <v>37</v>
      </c>
      <c r="BR14" s="497" t="s">
        <v>986</v>
      </c>
      <c r="BS14" s="498" t="s">
        <v>37</v>
      </c>
      <c r="BT14" s="497" t="s">
        <v>986</v>
      </c>
      <c r="BU14" s="498" t="s">
        <v>37</v>
      </c>
      <c r="BV14" s="497" t="s">
        <v>986</v>
      </c>
      <c r="BW14" s="498" t="s">
        <v>37</v>
      </c>
      <c r="BX14" s="497" t="s">
        <v>986</v>
      </c>
      <c r="BY14" s="498" t="s">
        <v>37</v>
      </c>
      <c r="BZ14" s="497" t="s">
        <v>986</v>
      </c>
      <c r="CA14" s="498" t="s">
        <v>37</v>
      </c>
      <c r="CB14" s="497" t="s">
        <v>986</v>
      </c>
      <c r="CC14" s="498" t="s">
        <v>37</v>
      </c>
      <c r="CD14" s="497" t="s">
        <v>986</v>
      </c>
      <c r="CE14" s="498" t="s">
        <v>37</v>
      </c>
      <c r="CF14" s="497" t="s">
        <v>986</v>
      </c>
      <c r="CG14" s="498" t="s">
        <v>37</v>
      </c>
      <c r="CH14" s="497" t="s">
        <v>986</v>
      </c>
      <c r="CI14" s="499" t="s">
        <v>37</v>
      </c>
      <c r="CJ14" s="497" t="s">
        <v>986</v>
      </c>
      <c r="CK14" s="498" t="s">
        <v>37</v>
      </c>
      <c r="CL14" s="497" t="s">
        <v>986</v>
      </c>
      <c r="CM14" s="498" t="s">
        <v>37</v>
      </c>
      <c r="CN14" s="497" t="s">
        <v>986</v>
      </c>
      <c r="CO14" s="498" t="s">
        <v>37</v>
      </c>
      <c r="CP14" s="517" t="s">
        <v>1687</v>
      </c>
      <c r="CQ14" s="18"/>
      <c r="CR14" s="18"/>
    </row>
    <row r="15" spans="1:96" s="5" customFormat="1" ht="79.5" thickBot="1" x14ac:dyDescent="0.25">
      <c r="A15" s="124">
        <f t="shared" si="0"/>
        <v>10</v>
      </c>
      <c r="B15" s="509" t="s">
        <v>606</v>
      </c>
      <c r="C15" s="509" t="s">
        <v>1601</v>
      </c>
      <c r="D15" s="510">
        <v>450</v>
      </c>
      <c r="E15" s="510" t="s">
        <v>2382</v>
      </c>
      <c r="F15" s="497" t="s">
        <v>963</v>
      </c>
      <c r="G15" s="498" t="s">
        <v>511</v>
      </c>
      <c r="H15" s="497" t="s">
        <v>963</v>
      </c>
      <c r="I15" s="498" t="s">
        <v>512</v>
      </c>
      <c r="J15" s="497" t="s">
        <v>963</v>
      </c>
      <c r="K15" s="498" t="s">
        <v>436</v>
      </c>
      <c r="L15" s="497" t="s">
        <v>986</v>
      </c>
      <c r="M15" s="498" t="s">
        <v>37</v>
      </c>
      <c r="N15" s="497" t="s">
        <v>986</v>
      </c>
      <c r="O15" s="498" t="s">
        <v>37</v>
      </c>
      <c r="P15" s="497" t="s">
        <v>986</v>
      </c>
      <c r="Q15" s="498" t="s">
        <v>37</v>
      </c>
      <c r="R15" s="497" t="s">
        <v>963</v>
      </c>
      <c r="S15" s="559" t="s">
        <v>3939</v>
      </c>
      <c r="T15" s="497" t="s">
        <v>986</v>
      </c>
      <c r="U15" s="499" t="s">
        <v>37</v>
      </c>
      <c r="V15" s="497" t="s">
        <v>986</v>
      </c>
      <c r="W15" s="498" t="s">
        <v>37</v>
      </c>
      <c r="X15" s="497" t="s">
        <v>986</v>
      </c>
      <c r="Y15" s="498" t="s">
        <v>37</v>
      </c>
      <c r="Z15" s="497" t="s">
        <v>986</v>
      </c>
      <c r="AA15" s="498" t="s">
        <v>37</v>
      </c>
      <c r="AB15" s="497" t="s">
        <v>986</v>
      </c>
      <c r="AC15" s="498" t="s">
        <v>37</v>
      </c>
      <c r="AD15" s="497" t="s">
        <v>986</v>
      </c>
      <c r="AE15" s="498" t="s">
        <v>37</v>
      </c>
      <c r="AF15" s="497" t="s">
        <v>965</v>
      </c>
      <c r="AG15" s="499" t="s">
        <v>2761</v>
      </c>
      <c r="AH15" s="497" t="s">
        <v>965</v>
      </c>
      <c r="AI15" s="559" t="s">
        <v>3940</v>
      </c>
      <c r="AJ15" s="497" t="s">
        <v>963</v>
      </c>
      <c r="AK15" s="498" t="s">
        <v>434</v>
      </c>
      <c r="AL15" s="497" t="s">
        <v>958</v>
      </c>
      <c r="AM15" s="499" t="s">
        <v>1078</v>
      </c>
      <c r="AN15" s="497" t="s">
        <v>963</v>
      </c>
      <c r="AO15" s="498" t="s">
        <v>115</v>
      </c>
      <c r="AP15" s="497" t="s">
        <v>958</v>
      </c>
      <c r="AQ15" s="498" t="s">
        <v>1078</v>
      </c>
      <c r="AR15" s="497" t="s">
        <v>986</v>
      </c>
      <c r="AS15" s="499" t="s">
        <v>37</v>
      </c>
      <c r="AT15" s="497" t="s">
        <v>986</v>
      </c>
      <c r="AU15" s="499" t="s">
        <v>37</v>
      </c>
      <c r="AV15" s="497" t="s">
        <v>986</v>
      </c>
      <c r="AW15" s="498" t="s">
        <v>37</v>
      </c>
      <c r="AX15" s="497" t="s">
        <v>986</v>
      </c>
      <c r="AY15" s="498" t="s">
        <v>37</v>
      </c>
      <c r="AZ15" s="497" t="s">
        <v>964</v>
      </c>
      <c r="BA15" s="498" t="s">
        <v>1408</v>
      </c>
      <c r="BB15" s="497" t="s">
        <v>986</v>
      </c>
      <c r="BC15" s="498" t="s">
        <v>37</v>
      </c>
      <c r="BD15" s="497" t="s">
        <v>965</v>
      </c>
      <c r="BE15" s="498" t="s">
        <v>2081</v>
      </c>
      <c r="BF15" s="497" t="s">
        <v>986</v>
      </c>
      <c r="BG15" s="498" t="s">
        <v>37</v>
      </c>
      <c r="BH15" s="497" t="s">
        <v>963</v>
      </c>
      <c r="BI15" s="498" t="s">
        <v>2854</v>
      </c>
      <c r="BJ15" s="497" t="s">
        <v>986</v>
      </c>
      <c r="BK15" s="498" t="s">
        <v>37</v>
      </c>
      <c r="BL15" s="497" t="s">
        <v>986</v>
      </c>
      <c r="BM15" s="498" t="s">
        <v>37</v>
      </c>
      <c r="BN15" s="497" t="s">
        <v>986</v>
      </c>
      <c r="BO15" s="499" t="s">
        <v>37</v>
      </c>
      <c r="BP15" s="497" t="s">
        <v>986</v>
      </c>
      <c r="BQ15" s="498" t="s">
        <v>37</v>
      </c>
      <c r="BR15" s="497" t="s">
        <v>986</v>
      </c>
      <c r="BS15" s="498" t="s">
        <v>37</v>
      </c>
      <c r="BT15" s="497" t="s">
        <v>986</v>
      </c>
      <c r="BU15" s="498" t="s">
        <v>37</v>
      </c>
      <c r="BV15" s="497" t="s">
        <v>986</v>
      </c>
      <c r="BW15" s="498" t="s">
        <v>37</v>
      </c>
      <c r="BX15" s="497" t="s">
        <v>986</v>
      </c>
      <c r="BY15" s="498" t="s">
        <v>37</v>
      </c>
      <c r="BZ15" s="497" t="s">
        <v>986</v>
      </c>
      <c r="CA15" s="498" t="s">
        <v>37</v>
      </c>
      <c r="CB15" s="497" t="s">
        <v>986</v>
      </c>
      <c r="CC15" s="498" t="s">
        <v>37</v>
      </c>
      <c r="CD15" s="497" t="s">
        <v>986</v>
      </c>
      <c r="CE15" s="498" t="s">
        <v>37</v>
      </c>
      <c r="CF15" s="497" t="s">
        <v>986</v>
      </c>
      <c r="CG15" s="498" t="s">
        <v>37</v>
      </c>
      <c r="CH15" s="497" t="s">
        <v>986</v>
      </c>
      <c r="CI15" s="499" t="s">
        <v>37</v>
      </c>
      <c r="CJ15" s="497" t="s">
        <v>986</v>
      </c>
      <c r="CK15" s="498" t="s">
        <v>37</v>
      </c>
      <c r="CL15" s="497" t="s">
        <v>986</v>
      </c>
      <c r="CM15" s="498" t="s">
        <v>37</v>
      </c>
      <c r="CN15" s="497" t="s">
        <v>963</v>
      </c>
      <c r="CO15" s="498" t="s">
        <v>1992</v>
      </c>
      <c r="CP15" s="517"/>
      <c r="CQ15" s="34"/>
      <c r="CR15" s="34"/>
    </row>
    <row r="16" spans="1:96" s="5" customFormat="1" ht="113.25" thickBot="1" x14ac:dyDescent="0.25">
      <c r="A16" s="124">
        <f t="shared" si="0"/>
        <v>11</v>
      </c>
      <c r="B16" s="509" t="s">
        <v>607</v>
      </c>
      <c r="C16" s="509" t="s">
        <v>1602</v>
      </c>
      <c r="D16" s="510">
        <v>397</v>
      </c>
      <c r="E16" s="510" t="s">
        <v>2382</v>
      </c>
      <c r="F16" s="497" t="s">
        <v>986</v>
      </c>
      <c r="G16" s="498" t="s">
        <v>37</v>
      </c>
      <c r="H16" s="497" t="s">
        <v>986</v>
      </c>
      <c r="I16" s="498" t="s">
        <v>37</v>
      </c>
      <c r="J16" s="497" t="s">
        <v>986</v>
      </c>
      <c r="K16" s="498" t="s">
        <v>37</v>
      </c>
      <c r="L16" s="497" t="s">
        <v>986</v>
      </c>
      <c r="M16" s="498" t="s">
        <v>37</v>
      </c>
      <c r="N16" s="497" t="s">
        <v>986</v>
      </c>
      <c r="O16" s="498" t="s">
        <v>37</v>
      </c>
      <c r="P16" s="497" t="s">
        <v>986</v>
      </c>
      <c r="Q16" s="498" t="s">
        <v>37</v>
      </c>
      <c r="R16" s="497" t="s">
        <v>986</v>
      </c>
      <c r="S16" s="498" t="s">
        <v>37</v>
      </c>
      <c r="T16" s="497" t="s">
        <v>986</v>
      </c>
      <c r="U16" s="499" t="s">
        <v>37</v>
      </c>
      <c r="V16" s="497" t="s">
        <v>986</v>
      </c>
      <c r="W16" s="498" t="s">
        <v>37</v>
      </c>
      <c r="X16" s="497" t="s">
        <v>986</v>
      </c>
      <c r="Y16" s="498" t="s">
        <v>37</v>
      </c>
      <c r="Z16" s="497" t="s">
        <v>986</v>
      </c>
      <c r="AA16" s="498" t="s">
        <v>37</v>
      </c>
      <c r="AB16" s="497" t="s">
        <v>986</v>
      </c>
      <c r="AC16" s="498" t="s">
        <v>37</v>
      </c>
      <c r="AD16" s="497" t="s">
        <v>986</v>
      </c>
      <c r="AE16" s="498" t="s">
        <v>37</v>
      </c>
      <c r="AF16" s="497" t="s">
        <v>986</v>
      </c>
      <c r="AG16" s="499" t="s">
        <v>37</v>
      </c>
      <c r="AH16" s="497" t="s">
        <v>986</v>
      </c>
      <c r="AI16" s="498" t="s">
        <v>37</v>
      </c>
      <c r="AJ16" s="497" t="s">
        <v>986</v>
      </c>
      <c r="AK16" s="498" t="s">
        <v>37</v>
      </c>
      <c r="AL16" s="497" t="s">
        <v>986</v>
      </c>
      <c r="AM16" s="499" t="s">
        <v>37</v>
      </c>
      <c r="AN16" s="497" t="s">
        <v>961</v>
      </c>
      <c r="AO16" s="498" t="s">
        <v>116</v>
      </c>
      <c r="AP16" s="497" t="s">
        <v>961</v>
      </c>
      <c r="AQ16" s="498" t="s">
        <v>862</v>
      </c>
      <c r="AR16" s="497" t="s">
        <v>986</v>
      </c>
      <c r="AS16" s="499" t="s">
        <v>37</v>
      </c>
      <c r="AT16" s="497" t="s">
        <v>986</v>
      </c>
      <c r="AU16" s="499" t="s">
        <v>37</v>
      </c>
      <c r="AV16" s="497" t="s">
        <v>961</v>
      </c>
      <c r="AW16" s="498" t="s">
        <v>1292</v>
      </c>
      <c r="AX16" s="497" t="s">
        <v>986</v>
      </c>
      <c r="AY16" s="498" t="s">
        <v>37</v>
      </c>
      <c r="AZ16" s="497" t="s">
        <v>986</v>
      </c>
      <c r="BA16" s="498" t="s">
        <v>37</v>
      </c>
      <c r="BB16" s="497" t="s">
        <v>961</v>
      </c>
      <c r="BC16" s="498" t="s">
        <v>975</v>
      </c>
      <c r="BD16" s="497" t="s">
        <v>986</v>
      </c>
      <c r="BE16" s="498" t="s">
        <v>37</v>
      </c>
      <c r="BF16" s="497" t="s">
        <v>986</v>
      </c>
      <c r="BG16" s="498" t="s">
        <v>37</v>
      </c>
      <c r="BH16" s="497" t="s">
        <v>986</v>
      </c>
      <c r="BI16" s="498" t="s">
        <v>37</v>
      </c>
      <c r="BJ16" s="497" t="s">
        <v>986</v>
      </c>
      <c r="BK16" s="498" t="s">
        <v>37</v>
      </c>
      <c r="BL16" s="497" t="s">
        <v>986</v>
      </c>
      <c r="BM16" s="498" t="s">
        <v>37</v>
      </c>
      <c r="BN16" s="497" t="s">
        <v>986</v>
      </c>
      <c r="BO16" s="499" t="s">
        <v>37</v>
      </c>
      <c r="BP16" s="497" t="s">
        <v>986</v>
      </c>
      <c r="BQ16" s="498" t="s">
        <v>37</v>
      </c>
      <c r="BR16" s="497" t="s">
        <v>986</v>
      </c>
      <c r="BS16" s="498" t="s">
        <v>37</v>
      </c>
      <c r="BT16" s="497" t="s">
        <v>986</v>
      </c>
      <c r="BU16" s="498" t="s">
        <v>37</v>
      </c>
      <c r="BV16" s="497" t="s">
        <v>986</v>
      </c>
      <c r="BW16" s="498" t="s">
        <v>37</v>
      </c>
      <c r="BX16" s="497" t="s">
        <v>986</v>
      </c>
      <c r="BY16" s="498" t="s">
        <v>37</v>
      </c>
      <c r="BZ16" s="497" t="s">
        <v>986</v>
      </c>
      <c r="CA16" s="498" t="s">
        <v>37</v>
      </c>
      <c r="CB16" s="497" t="s">
        <v>965</v>
      </c>
      <c r="CC16" s="498" t="s">
        <v>942</v>
      </c>
      <c r="CD16" s="497" t="s">
        <v>986</v>
      </c>
      <c r="CE16" s="498" t="s">
        <v>37</v>
      </c>
      <c r="CF16" s="497" t="s">
        <v>986</v>
      </c>
      <c r="CG16" s="498" t="s">
        <v>37</v>
      </c>
      <c r="CH16" s="497" t="s">
        <v>963</v>
      </c>
      <c r="CI16" s="567" t="s">
        <v>3985</v>
      </c>
      <c r="CJ16" s="497" t="s">
        <v>986</v>
      </c>
      <c r="CK16" s="498" t="s">
        <v>37</v>
      </c>
      <c r="CL16" s="497" t="s">
        <v>986</v>
      </c>
      <c r="CM16" s="498" t="s">
        <v>37</v>
      </c>
      <c r="CN16" s="497" t="s">
        <v>986</v>
      </c>
      <c r="CO16" s="498" t="s">
        <v>37</v>
      </c>
      <c r="CP16" s="566" t="s">
        <v>3986</v>
      </c>
      <c r="CQ16" s="34"/>
      <c r="CR16" s="34"/>
    </row>
    <row r="17" spans="1:96" s="5" customFormat="1" ht="79.5" thickBot="1" x14ac:dyDescent="0.25">
      <c r="A17" s="124">
        <f t="shared" si="0"/>
        <v>12</v>
      </c>
      <c r="B17" s="509" t="s">
        <v>1790</v>
      </c>
      <c r="C17" s="509" t="s">
        <v>1466</v>
      </c>
      <c r="D17" s="510">
        <v>396</v>
      </c>
      <c r="E17" s="510" t="s">
        <v>2387</v>
      </c>
      <c r="F17" s="497" t="s">
        <v>986</v>
      </c>
      <c r="G17" s="498" t="s">
        <v>37</v>
      </c>
      <c r="H17" s="497" t="s">
        <v>986</v>
      </c>
      <c r="I17" s="498" t="s">
        <v>37</v>
      </c>
      <c r="J17" s="497" t="s">
        <v>986</v>
      </c>
      <c r="K17" s="498" t="s">
        <v>37</v>
      </c>
      <c r="L17" s="497" t="s">
        <v>986</v>
      </c>
      <c r="M17" s="498" t="s">
        <v>37</v>
      </c>
      <c r="N17" s="497" t="s">
        <v>986</v>
      </c>
      <c r="O17" s="498" t="s">
        <v>37</v>
      </c>
      <c r="P17" s="497" t="s">
        <v>986</v>
      </c>
      <c r="Q17" s="498" t="s">
        <v>37</v>
      </c>
      <c r="R17" s="497" t="s">
        <v>986</v>
      </c>
      <c r="S17" s="498" t="s">
        <v>37</v>
      </c>
      <c r="T17" s="497" t="s">
        <v>986</v>
      </c>
      <c r="U17" s="499" t="s">
        <v>37</v>
      </c>
      <c r="V17" s="497" t="s">
        <v>986</v>
      </c>
      <c r="W17" s="498" t="s">
        <v>37</v>
      </c>
      <c r="X17" s="497" t="s">
        <v>986</v>
      </c>
      <c r="Y17" s="498" t="s">
        <v>37</v>
      </c>
      <c r="Z17" s="497" t="s">
        <v>986</v>
      </c>
      <c r="AA17" s="498" t="s">
        <v>37</v>
      </c>
      <c r="AB17" s="497" t="s">
        <v>986</v>
      </c>
      <c r="AC17" s="498" t="s">
        <v>37</v>
      </c>
      <c r="AD17" s="497" t="s">
        <v>986</v>
      </c>
      <c r="AE17" s="498" t="s">
        <v>37</v>
      </c>
      <c r="AF17" s="497" t="s">
        <v>986</v>
      </c>
      <c r="AG17" s="499" t="s">
        <v>37</v>
      </c>
      <c r="AH17" s="497" t="s">
        <v>986</v>
      </c>
      <c r="AI17" s="498" t="s">
        <v>37</v>
      </c>
      <c r="AJ17" s="497" t="s">
        <v>986</v>
      </c>
      <c r="AK17" s="498" t="s">
        <v>37</v>
      </c>
      <c r="AL17" s="497" t="s">
        <v>986</v>
      </c>
      <c r="AM17" s="499" t="s">
        <v>37</v>
      </c>
      <c r="AN17" s="497" t="s">
        <v>986</v>
      </c>
      <c r="AO17" s="498" t="s">
        <v>37</v>
      </c>
      <c r="AP17" s="497" t="s">
        <v>986</v>
      </c>
      <c r="AQ17" s="498" t="s">
        <v>37</v>
      </c>
      <c r="AR17" s="497" t="s">
        <v>986</v>
      </c>
      <c r="AS17" s="499" t="s">
        <v>37</v>
      </c>
      <c r="AT17" s="497" t="s">
        <v>986</v>
      </c>
      <c r="AU17" s="499" t="s">
        <v>37</v>
      </c>
      <c r="AV17" s="497" t="s">
        <v>986</v>
      </c>
      <c r="AW17" s="498" t="s">
        <v>37</v>
      </c>
      <c r="AX17" s="497" t="s">
        <v>986</v>
      </c>
      <c r="AY17" s="498" t="s">
        <v>37</v>
      </c>
      <c r="AZ17" s="497" t="s">
        <v>986</v>
      </c>
      <c r="BA17" s="498" t="s">
        <v>37</v>
      </c>
      <c r="BB17" s="497" t="s">
        <v>963</v>
      </c>
      <c r="BC17" s="498" t="s">
        <v>1814</v>
      </c>
      <c r="BD17" s="497" t="s">
        <v>986</v>
      </c>
      <c r="BE17" s="498" t="s">
        <v>37</v>
      </c>
      <c r="BF17" s="497" t="s">
        <v>986</v>
      </c>
      <c r="BG17" s="498" t="s">
        <v>37</v>
      </c>
      <c r="BH17" s="497" t="s">
        <v>986</v>
      </c>
      <c r="BI17" s="498" t="s">
        <v>37</v>
      </c>
      <c r="BJ17" s="497" t="s">
        <v>986</v>
      </c>
      <c r="BK17" s="498" t="s">
        <v>37</v>
      </c>
      <c r="BL17" s="497" t="s">
        <v>986</v>
      </c>
      <c r="BM17" s="498" t="s">
        <v>37</v>
      </c>
      <c r="BN17" s="497" t="s">
        <v>986</v>
      </c>
      <c r="BO17" s="499" t="s">
        <v>37</v>
      </c>
      <c r="BP17" s="497" t="s">
        <v>986</v>
      </c>
      <c r="BQ17" s="498" t="s">
        <v>37</v>
      </c>
      <c r="BR17" s="497" t="s">
        <v>986</v>
      </c>
      <c r="BS17" s="498" t="s">
        <v>37</v>
      </c>
      <c r="BT17" s="497" t="s">
        <v>986</v>
      </c>
      <c r="BU17" s="498" t="s">
        <v>37</v>
      </c>
      <c r="BV17" s="497" t="s">
        <v>986</v>
      </c>
      <c r="BW17" s="498" t="s">
        <v>37</v>
      </c>
      <c r="BX17" s="497" t="s">
        <v>986</v>
      </c>
      <c r="BY17" s="498" t="s">
        <v>37</v>
      </c>
      <c r="BZ17" s="497" t="s">
        <v>963</v>
      </c>
      <c r="CA17" s="498" t="s">
        <v>1815</v>
      </c>
      <c r="CB17" s="497" t="s">
        <v>965</v>
      </c>
      <c r="CC17" s="498" t="s">
        <v>1816</v>
      </c>
      <c r="CD17" s="497" t="s">
        <v>967</v>
      </c>
      <c r="CE17" s="559" t="s">
        <v>3943</v>
      </c>
      <c r="CF17" s="497" t="s">
        <v>986</v>
      </c>
      <c r="CG17" s="498" t="s">
        <v>37</v>
      </c>
      <c r="CH17" s="497" t="s">
        <v>986</v>
      </c>
      <c r="CI17" s="499" t="s">
        <v>37</v>
      </c>
      <c r="CJ17" s="497" t="s">
        <v>986</v>
      </c>
      <c r="CK17" s="498" t="s">
        <v>37</v>
      </c>
      <c r="CL17" s="497" t="s">
        <v>986</v>
      </c>
      <c r="CM17" s="498" t="s">
        <v>37</v>
      </c>
      <c r="CN17" s="497" t="s">
        <v>986</v>
      </c>
      <c r="CO17" s="498" t="s">
        <v>37</v>
      </c>
      <c r="CP17" s="517" t="s">
        <v>1817</v>
      </c>
      <c r="CQ17" s="34"/>
      <c r="CR17" s="34"/>
    </row>
    <row r="18" spans="1:96" s="5" customFormat="1" ht="79.5" thickBot="1" x14ac:dyDescent="0.25">
      <c r="A18" s="124">
        <f t="shared" si="0"/>
        <v>13</v>
      </c>
      <c r="B18" s="509" t="s">
        <v>608</v>
      </c>
      <c r="C18" s="509" t="s">
        <v>1601</v>
      </c>
      <c r="D18" s="510">
        <v>310</v>
      </c>
      <c r="E18" s="510" t="s">
        <v>2386</v>
      </c>
      <c r="F18" s="497" t="s">
        <v>963</v>
      </c>
      <c r="G18" s="498" t="s">
        <v>1758</v>
      </c>
      <c r="H18" s="497" t="s">
        <v>986</v>
      </c>
      <c r="I18" s="498" t="s">
        <v>1662</v>
      </c>
      <c r="J18" s="497" t="s">
        <v>986</v>
      </c>
      <c r="K18" s="498" t="s">
        <v>1663</v>
      </c>
      <c r="L18" s="497" t="s">
        <v>986</v>
      </c>
      <c r="M18" s="498" t="s">
        <v>918</v>
      </c>
      <c r="N18" s="497" t="s">
        <v>986</v>
      </c>
      <c r="O18" s="498" t="s">
        <v>37</v>
      </c>
      <c r="P18" s="497" t="s">
        <v>958</v>
      </c>
      <c r="Q18" s="498" t="s">
        <v>680</v>
      </c>
      <c r="R18" s="497" t="s">
        <v>958</v>
      </c>
      <c r="S18" s="498" t="s">
        <v>977</v>
      </c>
      <c r="T18" s="497" t="s">
        <v>986</v>
      </c>
      <c r="U18" s="499" t="s">
        <v>37</v>
      </c>
      <c r="V18" s="497" t="s">
        <v>965</v>
      </c>
      <c r="W18" s="498" t="s">
        <v>919</v>
      </c>
      <c r="X18" s="497" t="s">
        <v>986</v>
      </c>
      <c r="Y18" s="498" t="s">
        <v>37</v>
      </c>
      <c r="Z18" s="497" t="s">
        <v>967</v>
      </c>
      <c r="AA18" s="498" t="s">
        <v>681</v>
      </c>
      <c r="AB18" s="497" t="s">
        <v>986</v>
      </c>
      <c r="AC18" s="498" t="s">
        <v>37</v>
      </c>
      <c r="AD18" s="497" t="s">
        <v>986</v>
      </c>
      <c r="AE18" s="498" t="s">
        <v>37</v>
      </c>
      <c r="AF18" s="497" t="s">
        <v>986</v>
      </c>
      <c r="AG18" s="499" t="s">
        <v>1076</v>
      </c>
      <c r="AH18" s="497" t="s">
        <v>958</v>
      </c>
      <c r="AI18" s="498" t="s">
        <v>1077</v>
      </c>
      <c r="AJ18" s="497" t="s">
        <v>961</v>
      </c>
      <c r="AK18" s="498" t="s">
        <v>422</v>
      </c>
      <c r="AL18" s="497" t="s">
        <v>965</v>
      </c>
      <c r="AM18" s="499" t="s">
        <v>447</v>
      </c>
      <c r="AN18" s="497" t="s">
        <v>961</v>
      </c>
      <c r="AO18" s="498" t="s">
        <v>292</v>
      </c>
      <c r="AP18" s="497" t="s">
        <v>965</v>
      </c>
      <c r="AQ18" s="498" t="s">
        <v>863</v>
      </c>
      <c r="AR18" s="497" t="s">
        <v>961</v>
      </c>
      <c r="AS18" s="499" t="s">
        <v>659</v>
      </c>
      <c r="AT18" s="497" t="s">
        <v>965</v>
      </c>
      <c r="AU18" s="499" t="s">
        <v>1325</v>
      </c>
      <c r="AV18" s="497" t="s">
        <v>961</v>
      </c>
      <c r="AW18" s="498" t="s">
        <v>302</v>
      </c>
      <c r="AX18" s="497" t="s">
        <v>965</v>
      </c>
      <c r="AY18" s="498" t="s">
        <v>921</v>
      </c>
      <c r="AZ18" s="497" t="s">
        <v>958</v>
      </c>
      <c r="BA18" s="498" t="s">
        <v>827</v>
      </c>
      <c r="BB18" s="497" t="s">
        <v>986</v>
      </c>
      <c r="BC18" s="498" t="s">
        <v>37</v>
      </c>
      <c r="BD18" s="497" t="s">
        <v>961</v>
      </c>
      <c r="BE18" s="498" t="s">
        <v>302</v>
      </c>
      <c r="BF18" s="497" t="s">
        <v>965</v>
      </c>
      <c r="BG18" s="498" t="s">
        <v>2126</v>
      </c>
      <c r="BH18" s="497" t="s">
        <v>958</v>
      </c>
      <c r="BI18" s="498" t="s">
        <v>2855</v>
      </c>
      <c r="BJ18" s="497" t="s">
        <v>958</v>
      </c>
      <c r="BK18" s="498" t="s">
        <v>2856</v>
      </c>
      <c r="BL18" s="497" t="s">
        <v>958</v>
      </c>
      <c r="BM18" s="498" t="s">
        <v>2857</v>
      </c>
      <c r="BN18" s="497" t="s">
        <v>986</v>
      </c>
      <c r="BO18" s="499" t="s">
        <v>37</v>
      </c>
      <c r="BP18" s="497" t="s">
        <v>963</v>
      </c>
      <c r="BQ18" s="498" t="s">
        <v>558</v>
      </c>
      <c r="BR18" s="497" t="s">
        <v>986</v>
      </c>
      <c r="BS18" s="498" t="s">
        <v>37</v>
      </c>
      <c r="BT18" s="497" t="s">
        <v>958</v>
      </c>
      <c r="BU18" s="498" t="s">
        <v>76</v>
      </c>
      <c r="BV18" s="497" t="s">
        <v>986</v>
      </c>
      <c r="BW18" s="498" t="s">
        <v>37</v>
      </c>
      <c r="BX18" s="497" t="s">
        <v>986</v>
      </c>
      <c r="BY18" s="498" t="s">
        <v>37</v>
      </c>
      <c r="BZ18" s="497" t="s">
        <v>986</v>
      </c>
      <c r="CA18" s="498" t="s">
        <v>37</v>
      </c>
      <c r="CB18" s="497" t="s">
        <v>986</v>
      </c>
      <c r="CC18" s="498" t="s">
        <v>37</v>
      </c>
      <c r="CD18" s="497" t="s">
        <v>986</v>
      </c>
      <c r="CE18" s="498" t="s">
        <v>37</v>
      </c>
      <c r="CF18" s="497" t="s">
        <v>986</v>
      </c>
      <c r="CG18" s="498" t="s">
        <v>37</v>
      </c>
      <c r="CH18" s="497" t="s">
        <v>986</v>
      </c>
      <c r="CI18" s="499" t="s">
        <v>37</v>
      </c>
      <c r="CJ18" s="497" t="s">
        <v>986</v>
      </c>
      <c r="CK18" s="498" t="s">
        <v>37</v>
      </c>
      <c r="CL18" s="497" t="s">
        <v>986</v>
      </c>
      <c r="CM18" s="498" t="s">
        <v>37</v>
      </c>
      <c r="CN18" s="497" t="s">
        <v>986</v>
      </c>
      <c r="CO18" s="498" t="s">
        <v>37</v>
      </c>
      <c r="CP18" s="517" t="s">
        <v>1689</v>
      </c>
      <c r="CQ18" s="34"/>
      <c r="CR18" s="34"/>
    </row>
    <row r="19" spans="1:96" s="5" customFormat="1" ht="90.75" thickBot="1" x14ac:dyDescent="0.25">
      <c r="A19" s="124">
        <f t="shared" si="0"/>
        <v>14</v>
      </c>
      <c r="B19" s="509" t="s">
        <v>1984</v>
      </c>
      <c r="C19" s="509" t="s">
        <v>1805</v>
      </c>
      <c r="D19" s="510">
        <v>400</v>
      </c>
      <c r="E19" s="510" t="s">
        <v>2382</v>
      </c>
      <c r="F19" s="497" t="s">
        <v>986</v>
      </c>
      <c r="G19" s="498" t="s">
        <v>37</v>
      </c>
      <c r="H19" s="497" t="s">
        <v>986</v>
      </c>
      <c r="I19" s="498" t="s">
        <v>37</v>
      </c>
      <c r="J19" s="497" t="s">
        <v>986</v>
      </c>
      <c r="K19" s="498" t="s">
        <v>37</v>
      </c>
      <c r="L19" s="497" t="s">
        <v>986</v>
      </c>
      <c r="M19" s="498" t="s">
        <v>37</v>
      </c>
      <c r="N19" s="497" t="s">
        <v>986</v>
      </c>
      <c r="O19" s="498" t="s">
        <v>37</v>
      </c>
      <c r="P19" s="497" t="s">
        <v>986</v>
      </c>
      <c r="Q19" s="498" t="s">
        <v>37</v>
      </c>
      <c r="R19" s="497" t="s">
        <v>986</v>
      </c>
      <c r="S19" s="498" t="s">
        <v>37</v>
      </c>
      <c r="T19" s="497" t="s">
        <v>986</v>
      </c>
      <c r="U19" s="499" t="s">
        <v>37</v>
      </c>
      <c r="V19" s="497" t="s">
        <v>986</v>
      </c>
      <c r="W19" s="498" t="s">
        <v>37</v>
      </c>
      <c r="X19" s="497" t="s">
        <v>986</v>
      </c>
      <c r="Y19" s="498" t="s">
        <v>37</v>
      </c>
      <c r="Z19" s="497" t="s">
        <v>986</v>
      </c>
      <c r="AA19" s="498" t="s">
        <v>37</v>
      </c>
      <c r="AB19" s="497" t="s">
        <v>986</v>
      </c>
      <c r="AC19" s="498" t="s">
        <v>37</v>
      </c>
      <c r="AD19" s="497" t="s">
        <v>986</v>
      </c>
      <c r="AE19" s="498" t="s">
        <v>37</v>
      </c>
      <c r="AF19" s="497" t="s">
        <v>986</v>
      </c>
      <c r="AG19" s="499" t="s">
        <v>37</v>
      </c>
      <c r="AH19" s="497" t="s">
        <v>986</v>
      </c>
      <c r="AI19" s="498" t="s">
        <v>37</v>
      </c>
      <c r="AJ19" s="497" t="s">
        <v>986</v>
      </c>
      <c r="AK19" s="498" t="s">
        <v>37</v>
      </c>
      <c r="AL19" s="497" t="s">
        <v>986</v>
      </c>
      <c r="AM19" s="499" t="s">
        <v>37</v>
      </c>
      <c r="AN19" s="497" t="s">
        <v>963</v>
      </c>
      <c r="AO19" s="498" t="s">
        <v>1818</v>
      </c>
      <c r="AP19" s="497" t="s">
        <v>986</v>
      </c>
      <c r="AQ19" s="498" t="s">
        <v>37</v>
      </c>
      <c r="AR19" s="497" t="s">
        <v>986</v>
      </c>
      <c r="AS19" s="499" t="s">
        <v>37</v>
      </c>
      <c r="AT19" s="497" t="s">
        <v>986</v>
      </c>
      <c r="AU19" s="499" t="s">
        <v>37</v>
      </c>
      <c r="AV19" s="497" t="s">
        <v>963</v>
      </c>
      <c r="AW19" s="498" t="s">
        <v>1819</v>
      </c>
      <c r="AX19" s="497" t="s">
        <v>986</v>
      </c>
      <c r="AY19" s="498" t="s">
        <v>37</v>
      </c>
      <c r="AZ19" s="497" t="s">
        <v>986</v>
      </c>
      <c r="BA19" s="498" t="s">
        <v>37</v>
      </c>
      <c r="BB19" s="497" t="s">
        <v>986</v>
      </c>
      <c r="BC19" s="498" t="s">
        <v>37</v>
      </c>
      <c r="BD19" s="497" t="s">
        <v>986</v>
      </c>
      <c r="BE19" s="498" t="s">
        <v>37</v>
      </c>
      <c r="BF19" s="497" t="s">
        <v>986</v>
      </c>
      <c r="BG19" s="498" t="s">
        <v>37</v>
      </c>
      <c r="BH19" s="497" t="s">
        <v>986</v>
      </c>
      <c r="BI19" s="498" t="s">
        <v>37</v>
      </c>
      <c r="BJ19" s="497" t="s">
        <v>986</v>
      </c>
      <c r="BK19" s="498" t="s">
        <v>37</v>
      </c>
      <c r="BL19" s="497" t="s">
        <v>986</v>
      </c>
      <c r="BM19" s="498" t="s">
        <v>37</v>
      </c>
      <c r="BN19" s="497" t="s">
        <v>986</v>
      </c>
      <c r="BO19" s="499" t="s">
        <v>37</v>
      </c>
      <c r="BP19" s="497" t="s">
        <v>986</v>
      </c>
      <c r="BQ19" s="498" t="s">
        <v>37</v>
      </c>
      <c r="BR19" s="497" t="s">
        <v>986</v>
      </c>
      <c r="BS19" s="498" t="s">
        <v>37</v>
      </c>
      <c r="BT19" s="497" t="s">
        <v>986</v>
      </c>
      <c r="BU19" s="498" t="s">
        <v>37</v>
      </c>
      <c r="BV19" s="497" t="s">
        <v>986</v>
      </c>
      <c r="BW19" s="498" t="s">
        <v>37</v>
      </c>
      <c r="BX19" s="497" t="s">
        <v>986</v>
      </c>
      <c r="BY19" s="498" t="s">
        <v>37</v>
      </c>
      <c r="BZ19" s="497" t="s">
        <v>986</v>
      </c>
      <c r="CA19" s="498" t="s">
        <v>37</v>
      </c>
      <c r="CB19" s="497" t="s">
        <v>963</v>
      </c>
      <c r="CC19" s="498" t="s">
        <v>1820</v>
      </c>
      <c r="CD19" s="497" t="s">
        <v>986</v>
      </c>
      <c r="CE19" s="498" t="s">
        <v>37</v>
      </c>
      <c r="CF19" s="497" t="s">
        <v>986</v>
      </c>
      <c r="CG19" s="498" t="s">
        <v>37</v>
      </c>
      <c r="CH19" s="497" t="s">
        <v>986</v>
      </c>
      <c r="CI19" s="499" t="s">
        <v>37</v>
      </c>
      <c r="CJ19" s="497" t="s">
        <v>986</v>
      </c>
      <c r="CK19" s="498" t="s">
        <v>37</v>
      </c>
      <c r="CL19" s="497" t="s">
        <v>986</v>
      </c>
      <c r="CM19" s="498" t="s">
        <v>37</v>
      </c>
      <c r="CN19" s="497" t="s">
        <v>986</v>
      </c>
      <c r="CO19" s="498" t="s">
        <v>37</v>
      </c>
      <c r="CP19" s="517" t="s">
        <v>1821</v>
      </c>
      <c r="CQ19" s="34"/>
      <c r="CR19" s="34"/>
    </row>
    <row r="20" spans="1:96" s="5" customFormat="1" ht="123" customHeight="1" thickBot="1" x14ac:dyDescent="0.25">
      <c r="A20" s="124">
        <f t="shared" si="0"/>
        <v>15</v>
      </c>
      <c r="B20" s="509" t="s">
        <v>609</v>
      </c>
      <c r="C20" s="509" t="s">
        <v>1603</v>
      </c>
      <c r="D20" s="510">
        <v>314</v>
      </c>
      <c r="E20" s="510" t="s">
        <v>2386</v>
      </c>
      <c r="F20" s="497" t="s">
        <v>965</v>
      </c>
      <c r="G20" s="498" t="s">
        <v>400</v>
      </c>
      <c r="H20" s="497" t="s">
        <v>965</v>
      </c>
      <c r="I20" s="498" t="s">
        <v>400</v>
      </c>
      <c r="J20" s="497" t="s">
        <v>965</v>
      </c>
      <c r="K20" s="498" t="s">
        <v>400</v>
      </c>
      <c r="L20" s="497" t="s">
        <v>965</v>
      </c>
      <c r="M20" s="498" t="s">
        <v>400</v>
      </c>
      <c r="N20" s="497" t="s">
        <v>986</v>
      </c>
      <c r="O20" s="498" t="s">
        <v>2805</v>
      </c>
      <c r="P20" s="497" t="s">
        <v>986</v>
      </c>
      <c r="Q20" s="498" t="s">
        <v>2805</v>
      </c>
      <c r="R20" s="497" t="s">
        <v>986</v>
      </c>
      <c r="S20" s="498" t="s">
        <v>2805</v>
      </c>
      <c r="T20" s="497" t="s">
        <v>986</v>
      </c>
      <c r="U20" s="499" t="s">
        <v>37</v>
      </c>
      <c r="V20" s="497" t="s">
        <v>986</v>
      </c>
      <c r="W20" s="498" t="s">
        <v>2805</v>
      </c>
      <c r="X20" s="497" t="s">
        <v>986</v>
      </c>
      <c r="Y20" s="498" t="s">
        <v>2805</v>
      </c>
      <c r="Z20" s="497" t="s">
        <v>965</v>
      </c>
      <c r="AA20" s="498" t="s">
        <v>162</v>
      </c>
      <c r="AB20" s="497" t="s">
        <v>986</v>
      </c>
      <c r="AC20" s="498" t="s">
        <v>2805</v>
      </c>
      <c r="AD20" s="497" t="s">
        <v>986</v>
      </c>
      <c r="AE20" s="498" t="s">
        <v>37</v>
      </c>
      <c r="AF20" s="497" t="s">
        <v>986</v>
      </c>
      <c r="AG20" s="499" t="s">
        <v>37</v>
      </c>
      <c r="AH20" s="497" t="s">
        <v>963</v>
      </c>
      <c r="AI20" s="498" t="s">
        <v>16</v>
      </c>
      <c r="AJ20" s="497" t="s">
        <v>958</v>
      </c>
      <c r="AK20" s="498" t="s">
        <v>698</v>
      </c>
      <c r="AL20" s="497" t="s">
        <v>986</v>
      </c>
      <c r="AM20" s="499" t="s">
        <v>2805</v>
      </c>
      <c r="AN20" s="497" t="s">
        <v>986</v>
      </c>
      <c r="AO20" s="498" t="s">
        <v>2805</v>
      </c>
      <c r="AP20" s="497" t="s">
        <v>986</v>
      </c>
      <c r="AQ20" s="498" t="s">
        <v>37</v>
      </c>
      <c r="AR20" s="497" t="s">
        <v>986</v>
      </c>
      <c r="AS20" s="499" t="s">
        <v>2805</v>
      </c>
      <c r="AT20" s="497" t="s">
        <v>986</v>
      </c>
      <c r="AU20" s="499" t="s">
        <v>2805</v>
      </c>
      <c r="AV20" s="497" t="s">
        <v>986</v>
      </c>
      <c r="AW20" s="498" t="s">
        <v>37</v>
      </c>
      <c r="AX20" s="497" t="s">
        <v>986</v>
      </c>
      <c r="AY20" s="498" t="s">
        <v>2805</v>
      </c>
      <c r="AZ20" s="497" t="s">
        <v>963</v>
      </c>
      <c r="BA20" s="498" t="s">
        <v>1622</v>
      </c>
      <c r="BB20" s="497" t="s">
        <v>986</v>
      </c>
      <c r="BC20" s="498" t="s">
        <v>2805</v>
      </c>
      <c r="BD20" s="497" t="s">
        <v>986</v>
      </c>
      <c r="BE20" s="498" t="s">
        <v>2805</v>
      </c>
      <c r="BF20" s="497" t="s">
        <v>986</v>
      </c>
      <c r="BG20" s="498" t="s">
        <v>2805</v>
      </c>
      <c r="BH20" s="497" t="s">
        <v>986</v>
      </c>
      <c r="BI20" s="498" t="s">
        <v>2858</v>
      </c>
      <c r="BJ20" s="497" t="s">
        <v>986</v>
      </c>
      <c r="BK20" s="498" t="s">
        <v>2859</v>
      </c>
      <c r="BL20" s="497" t="s">
        <v>965</v>
      </c>
      <c r="BM20" s="498" t="s">
        <v>2860</v>
      </c>
      <c r="BN20" s="497" t="s">
        <v>986</v>
      </c>
      <c r="BO20" s="499" t="s">
        <v>37</v>
      </c>
      <c r="BP20" s="497" t="s">
        <v>963</v>
      </c>
      <c r="BQ20" s="498" t="s">
        <v>559</v>
      </c>
      <c r="BR20" s="497" t="s">
        <v>964</v>
      </c>
      <c r="BS20" s="498" t="s">
        <v>2806</v>
      </c>
      <c r="BT20" s="497" t="s">
        <v>964</v>
      </c>
      <c r="BU20" s="498" t="s">
        <v>1720</v>
      </c>
      <c r="BV20" s="497" t="s">
        <v>964</v>
      </c>
      <c r="BW20" s="498" t="s">
        <v>716</v>
      </c>
      <c r="BX20" s="497" t="s">
        <v>963</v>
      </c>
      <c r="BY20" s="498" t="s">
        <v>1607</v>
      </c>
      <c r="BZ20" s="497" t="s">
        <v>963</v>
      </c>
      <c r="CA20" s="498" t="s">
        <v>2807</v>
      </c>
      <c r="CB20" s="497" t="s">
        <v>986</v>
      </c>
      <c r="CC20" s="498" t="s">
        <v>37</v>
      </c>
      <c r="CD20" s="497" t="s">
        <v>965</v>
      </c>
      <c r="CE20" s="498" t="s">
        <v>2808</v>
      </c>
      <c r="CF20" s="497" t="s">
        <v>964</v>
      </c>
      <c r="CG20" s="498" t="s">
        <v>1302</v>
      </c>
      <c r="CH20" s="497" t="s">
        <v>986</v>
      </c>
      <c r="CI20" s="499" t="s">
        <v>2805</v>
      </c>
      <c r="CJ20" s="497" t="s">
        <v>986</v>
      </c>
      <c r="CK20" s="498" t="s">
        <v>37</v>
      </c>
      <c r="CL20" s="497" t="s">
        <v>986</v>
      </c>
      <c r="CM20" s="498" t="s">
        <v>37</v>
      </c>
      <c r="CN20" s="497" t="s">
        <v>986</v>
      </c>
      <c r="CO20" s="498" t="s">
        <v>37</v>
      </c>
      <c r="CP20" s="517" t="s">
        <v>2809</v>
      </c>
      <c r="CQ20" s="34"/>
      <c r="CR20" s="34"/>
    </row>
    <row r="21" spans="1:96" s="5" customFormat="1" ht="45" customHeight="1" thickBot="1" x14ac:dyDescent="0.25">
      <c r="A21" s="124">
        <f t="shared" si="0"/>
        <v>16</v>
      </c>
      <c r="B21" s="509" t="s">
        <v>2798</v>
      </c>
      <c r="C21" s="509" t="s">
        <v>1597</v>
      </c>
      <c r="D21" s="510" t="s">
        <v>2799</v>
      </c>
      <c r="E21" s="510" t="s">
        <v>2384</v>
      </c>
      <c r="F21" s="497" t="s">
        <v>986</v>
      </c>
      <c r="G21" s="498" t="s">
        <v>37</v>
      </c>
      <c r="H21" s="497" t="s">
        <v>986</v>
      </c>
      <c r="I21" s="498" t="s">
        <v>37</v>
      </c>
      <c r="J21" s="497" t="s">
        <v>986</v>
      </c>
      <c r="K21" s="498" t="s">
        <v>37</v>
      </c>
      <c r="L21" s="497" t="s">
        <v>986</v>
      </c>
      <c r="M21" s="498" t="s">
        <v>37</v>
      </c>
      <c r="N21" s="497" t="s">
        <v>986</v>
      </c>
      <c r="O21" s="498" t="s">
        <v>37</v>
      </c>
      <c r="P21" s="497" t="s">
        <v>986</v>
      </c>
      <c r="Q21" s="498" t="s">
        <v>37</v>
      </c>
      <c r="R21" s="497" t="s">
        <v>986</v>
      </c>
      <c r="S21" s="498" t="s">
        <v>37</v>
      </c>
      <c r="T21" s="497" t="s">
        <v>986</v>
      </c>
      <c r="U21" s="499" t="s">
        <v>37</v>
      </c>
      <c r="V21" s="497" t="s">
        <v>986</v>
      </c>
      <c r="W21" s="498" t="s">
        <v>37</v>
      </c>
      <c r="X21" s="497" t="s">
        <v>986</v>
      </c>
      <c r="Y21" s="498" t="s">
        <v>37</v>
      </c>
      <c r="Z21" s="497" t="s">
        <v>986</v>
      </c>
      <c r="AA21" s="498" t="s">
        <v>37</v>
      </c>
      <c r="AB21" s="497" t="s">
        <v>986</v>
      </c>
      <c r="AC21" s="498" t="s">
        <v>37</v>
      </c>
      <c r="AD21" s="497" t="s">
        <v>986</v>
      </c>
      <c r="AE21" s="498" t="s">
        <v>37</v>
      </c>
      <c r="AF21" s="497" t="s">
        <v>986</v>
      </c>
      <c r="AG21" s="499" t="s">
        <v>37</v>
      </c>
      <c r="AH21" s="497" t="s">
        <v>986</v>
      </c>
      <c r="AI21" s="498" t="s">
        <v>37</v>
      </c>
      <c r="AJ21" s="497" t="s">
        <v>986</v>
      </c>
      <c r="AK21" s="498" t="s">
        <v>37</v>
      </c>
      <c r="AL21" s="497" t="s">
        <v>986</v>
      </c>
      <c r="AM21" s="499" t="s">
        <v>37</v>
      </c>
      <c r="AN21" s="497" t="s">
        <v>986</v>
      </c>
      <c r="AO21" s="498" t="s">
        <v>37</v>
      </c>
      <c r="AP21" s="497" t="s">
        <v>986</v>
      </c>
      <c r="AQ21" s="498" t="s">
        <v>37</v>
      </c>
      <c r="AR21" s="497" t="s">
        <v>986</v>
      </c>
      <c r="AS21" s="499" t="s">
        <v>37</v>
      </c>
      <c r="AT21" s="497" t="s">
        <v>986</v>
      </c>
      <c r="AU21" s="499" t="s">
        <v>37</v>
      </c>
      <c r="AV21" s="497" t="s">
        <v>986</v>
      </c>
      <c r="AW21" s="498" t="s">
        <v>37</v>
      </c>
      <c r="AX21" s="497" t="s">
        <v>986</v>
      </c>
      <c r="AY21" s="498" t="s">
        <v>37</v>
      </c>
      <c r="AZ21" s="497" t="s">
        <v>986</v>
      </c>
      <c r="BA21" s="498" t="s">
        <v>37</v>
      </c>
      <c r="BB21" s="497" t="s">
        <v>986</v>
      </c>
      <c r="BC21" s="498" t="s">
        <v>37</v>
      </c>
      <c r="BD21" s="497" t="s">
        <v>986</v>
      </c>
      <c r="BE21" s="498" t="s">
        <v>37</v>
      </c>
      <c r="BF21" s="497" t="s">
        <v>986</v>
      </c>
      <c r="BG21" s="498" t="s">
        <v>37</v>
      </c>
      <c r="BH21" s="497" t="s">
        <v>963</v>
      </c>
      <c r="BI21" s="498" t="s">
        <v>2800</v>
      </c>
      <c r="BJ21" s="497" t="s">
        <v>963</v>
      </c>
      <c r="BK21" s="498" t="s">
        <v>2801</v>
      </c>
      <c r="BL21" s="497" t="s">
        <v>963</v>
      </c>
      <c r="BM21" s="498" t="s">
        <v>1990</v>
      </c>
      <c r="BN21" s="497" t="s">
        <v>986</v>
      </c>
      <c r="BO21" s="499" t="s">
        <v>37</v>
      </c>
      <c r="BP21" s="497" t="s">
        <v>986</v>
      </c>
      <c r="BQ21" s="498" t="s">
        <v>37</v>
      </c>
      <c r="BR21" s="497" t="s">
        <v>986</v>
      </c>
      <c r="BS21" s="498" t="s">
        <v>37</v>
      </c>
      <c r="BT21" s="497" t="s">
        <v>986</v>
      </c>
      <c r="BU21" s="498" t="s">
        <v>37</v>
      </c>
      <c r="BV21" s="497" t="s">
        <v>986</v>
      </c>
      <c r="BW21" s="498" t="s">
        <v>37</v>
      </c>
      <c r="BX21" s="497" t="s">
        <v>986</v>
      </c>
      <c r="BY21" s="498" t="s">
        <v>37</v>
      </c>
      <c r="BZ21" s="497" t="s">
        <v>986</v>
      </c>
      <c r="CA21" s="498" t="s">
        <v>37</v>
      </c>
      <c r="CB21" s="497" t="s">
        <v>986</v>
      </c>
      <c r="CC21" s="498" t="s">
        <v>37</v>
      </c>
      <c r="CD21" s="497" t="s">
        <v>986</v>
      </c>
      <c r="CE21" s="498" t="s">
        <v>37</v>
      </c>
      <c r="CF21" s="497" t="s">
        <v>986</v>
      </c>
      <c r="CG21" s="498" t="s">
        <v>37</v>
      </c>
      <c r="CH21" s="497" t="s">
        <v>986</v>
      </c>
      <c r="CI21" s="499" t="s">
        <v>37</v>
      </c>
      <c r="CJ21" s="497" t="s">
        <v>986</v>
      </c>
      <c r="CK21" s="498" t="s">
        <v>37</v>
      </c>
      <c r="CL21" s="497" t="s">
        <v>964</v>
      </c>
      <c r="CM21" s="498" t="s">
        <v>1822</v>
      </c>
      <c r="CN21" s="497" t="s">
        <v>986</v>
      </c>
      <c r="CO21" s="498" t="s">
        <v>1991</v>
      </c>
      <c r="CP21" s="517" t="s">
        <v>2802</v>
      </c>
      <c r="CQ21" s="34"/>
      <c r="CR21" s="34"/>
    </row>
    <row r="22" spans="1:96" s="5" customFormat="1" ht="102" thickBot="1" x14ac:dyDescent="0.25">
      <c r="A22" s="124">
        <f t="shared" si="0"/>
        <v>17</v>
      </c>
      <c r="B22" s="509" t="s">
        <v>1797</v>
      </c>
      <c r="C22" s="509" t="s">
        <v>1604</v>
      </c>
      <c r="D22" s="510">
        <v>584</v>
      </c>
      <c r="E22" s="510" t="s">
        <v>2383</v>
      </c>
      <c r="F22" s="497" t="s">
        <v>986</v>
      </c>
      <c r="G22" s="498" t="s">
        <v>37</v>
      </c>
      <c r="H22" s="497" t="s">
        <v>986</v>
      </c>
      <c r="I22" s="498" t="s">
        <v>37</v>
      </c>
      <c r="J22" s="497" t="s">
        <v>986</v>
      </c>
      <c r="K22" s="498" t="s">
        <v>37</v>
      </c>
      <c r="L22" s="497" t="s">
        <v>963</v>
      </c>
      <c r="M22" s="498" t="s">
        <v>677</v>
      </c>
      <c r="N22" s="497" t="s">
        <v>963</v>
      </c>
      <c r="O22" s="498" t="s">
        <v>1295</v>
      </c>
      <c r="P22" s="497" t="s">
        <v>986</v>
      </c>
      <c r="Q22" s="498" t="s">
        <v>37</v>
      </c>
      <c r="R22" s="497" t="s">
        <v>986</v>
      </c>
      <c r="S22" s="498" t="s">
        <v>37</v>
      </c>
      <c r="T22" s="497" t="s">
        <v>986</v>
      </c>
      <c r="U22" s="499" t="s">
        <v>37</v>
      </c>
      <c r="V22" s="497" t="s">
        <v>986</v>
      </c>
      <c r="W22" s="498" t="s">
        <v>37</v>
      </c>
      <c r="X22" s="497" t="s">
        <v>963</v>
      </c>
      <c r="Y22" s="498" t="s">
        <v>163</v>
      </c>
      <c r="Z22" s="497" t="s">
        <v>963</v>
      </c>
      <c r="AA22" s="568" t="s">
        <v>3984</v>
      </c>
      <c r="AB22" s="497" t="s">
        <v>986</v>
      </c>
      <c r="AC22" s="498" t="s">
        <v>37</v>
      </c>
      <c r="AD22" s="497" t="s">
        <v>986</v>
      </c>
      <c r="AE22" s="498" t="s">
        <v>37</v>
      </c>
      <c r="AF22" s="497" t="s">
        <v>986</v>
      </c>
      <c r="AG22" s="499" t="s">
        <v>37</v>
      </c>
      <c r="AH22" s="497" t="s">
        <v>986</v>
      </c>
      <c r="AI22" s="498" t="s">
        <v>37</v>
      </c>
      <c r="AJ22" s="497" t="s">
        <v>986</v>
      </c>
      <c r="AK22" s="498" t="s">
        <v>37</v>
      </c>
      <c r="AL22" s="497" t="s">
        <v>986</v>
      </c>
      <c r="AM22" s="499" t="s">
        <v>37</v>
      </c>
      <c r="AN22" s="497" t="s">
        <v>986</v>
      </c>
      <c r="AO22" s="498" t="s">
        <v>37</v>
      </c>
      <c r="AP22" s="497" t="s">
        <v>986</v>
      </c>
      <c r="AQ22" s="498" t="s">
        <v>37</v>
      </c>
      <c r="AR22" s="497" t="s">
        <v>986</v>
      </c>
      <c r="AS22" s="499" t="s">
        <v>37</v>
      </c>
      <c r="AT22" s="497" t="s">
        <v>986</v>
      </c>
      <c r="AU22" s="499" t="s">
        <v>37</v>
      </c>
      <c r="AV22" s="497" t="s">
        <v>986</v>
      </c>
      <c r="AW22" s="498" t="s">
        <v>37</v>
      </c>
      <c r="AX22" s="497" t="s">
        <v>986</v>
      </c>
      <c r="AY22" s="498" t="s">
        <v>37</v>
      </c>
      <c r="AZ22" s="497" t="s">
        <v>965</v>
      </c>
      <c r="BA22" s="498" t="s">
        <v>828</v>
      </c>
      <c r="BB22" s="497" t="s">
        <v>965</v>
      </c>
      <c r="BC22" s="498" t="s">
        <v>1529</v>
      </c>
      <c r="BD22" s="497" t="s">
        <v>986</v>
      </c>
      <c r="BE22" s="498" t="s">
        <v>37</v>
      </c>
      <c r="BF22" s="497" t="s">
        <v>986</v>
      </c>
      <c r="BG22" s="498" t="s">
        <v>37</v>
      </c>
      <c r="BH22" s="497" t="s">
        <v>986</v>
      </c>
      <c r="BI22" s="498" t="s">
        <v>37</v>
      </c>
      <c r="BJ22" s="497" t="s">
        <v>986</v>
      </c>
      <c r="BK22" s="498" t="s">
        <v>37</v>
      </c>
      <c r="BL22" s="497" t="s">
        <v>986</v>
      </c>
      <c r="BM22" s="498" t="s">
        <v>37</v>
      </c>
      <c r="BN22" s="497" t="s">
        <v>986</v>
      </c>
      <c r="BO22" s="499" t="s">
        <v>37</v>
      </c>
      <c r="BP22" s="497" t="s">
        <v>963</v>
      </c>
      <c r="BQ22" s="498" t="s">
        <v>557</v>
      </c>
      <c r="BR22" s="497" t="s">
        <v>964</v>
      </c>
      <c r="BS22" s="498" t="s">
        <v>2155</v>
      </c>
      <c r="BT22" s="497" t="s">
        <v>964</v>
      </c>
      <c r="BU22" s="498" t="s">
        <v>1399</v>
      </c>
      <c r="BV22" s="497" t="s">
        <v>986</v>
      </c>
      <c r="BW22" s="498" t="s">
        <v>37</v>
      </c>
      <c r="BX22" s="497" t="s">
        <v>965</v>
      </c>
      <c r="BY22" s="498" t="s">
        <v>1736</v>
      </c>
      <c r="BZ22" s="497" t="s">
        <v>965</v>
      </c>
      <c r="CA22" s="498" t="s">
        <v>1737</v>
      </c>
      <c r="CB22" s="497" t="s">
        <v>965</v>
      </c>
      <c r="CC22" s="498" t="s">
        <v>943</v>
      </c>
      <c r="CD22" s="497" t="s">
        <v>963</v>
      </c>
      <c r="CE22" s="498" t="s">
        <v>816</v>
      </c>
      <c r="CF22" s="497" t="s">
        <v>986</v>
      </c>
      <c r="CG22" s="498" t="s">
        <v>37</v>
      </c>
      <c r="CH22" s="497" t="s">
        <v>986</v>
      </c>
      <c r="CI22" s="499" t="s">
        <v>37</v>
      </c>
      <c r="CJ22" s="497" t="s">
        <v>986</v>
      </c>
      <c r="CK22" s="498" t="s">
        <v>37</v>
      </c>
      <c r="CL22" s="497" t="s">
        <v>986</v>
      </c>
      <c r="CM22" s="498" t="s">
        <v>37</v>
      </c>
      <c r="CN22" s="497" t="s">
        <v>986</v>
      </c>
      <c r="CO22" s="498" t="s">
        <v>37</v>
      </c>
      <c r="CP22" s="566" t="s">
        <v>3980</v>
      </c>
      <c r="CQ22" s="34"/>
      <c r="CR22" s="34"/>
    </row>
    <row r="23" spans="1:96" s="5" customFormat="1" ht="90.75" thickBot="1" x14ac:dyDescent="0.25">
      <c r="A23" s="124">
        <f t="shared" si="0"/>
        <v>18</v>
      </c>
      <c r="B23" s="509" t="s">
        <v>610</v>
      </c>
      <c r="C23" s="509" t="s">
        <v>1474</v>
      </c>
      <c r="D23" s="510">
        <v>326</v>
      </c>
      <c r="E23" s="510" t="s">
        <v>2383</v>
      </c>
      <c r="F23" s="497" t="s">
        <v>986</v>
      </c>
      <c r="G23" s="498" t="s">
        <v>37</v>
      </c>
      <c r="H23" s="497" t="s">
        <v>986</v>
      </c>
      <c r="I23" s="498" t="s">
        <v>37</v>
      </c>
      <c r="J23" s="497" t="s">
        <v>986</v>
      </c>
      <c r="K23" s="498" t="s">
        <v>37</v>
      </c>
      <c r="L23" s="497" t="s">
        <v>986</v>
      </c>
      <c r="M23" s="498" t="s">
        <v>37</v>
      </c>
      <c r="N23" s="497" t="s">
        <v>963</v>
      </c>
      <c r="O23" s="498" t="s">
        <v>1784</v>
      </c>
      <c r="P23" s="497" t="s">
        <v>986</v>
      </c>
      <c r="Q23" s="498" t="s">
        <v>37</v>
      </c>
      <c r="R23" s="497" t="s">
        <v>986</v>
      </c>
      <c r="S23" s="498" t="s">
        <v>37</v>
      </c>
      <c r="T23" s="497" t="s">
        <v>986</v>
      </c>
      <c r="U23" s="499" t="s">
        <v>37</v>
      </c>
      <c r="V23" s="497" t="s">
        <v>986</v>
      </c>
      <c r="W23" s="498" t="s">
        <v>37</v>
      </c>
      <c r="X23" s="497" t="s">
        <v>986</v>
      </c>
      <c r="Y23" s="498" t="s">
        <v>37</v>
      </c>
      <c r="Z23" s="497" t="s">
        <v>963</v>
      </c>
      <c r="AA23" s="498" t="s">
        <v>164</v>
      </c>
      <c r="AB23" s="497" t="s">
        <v>986</v>
      </c>
      <c r="AC23" s="498" t="s">
        <v>37</v>
      </c>
      <c r="AD23" s="497" t="s">
        <v>986</v>
      </c>
      <c r="AE23" s="498" t="s">
        <v>37</v>
      </c>
      <c r="AF23" s="497" t="s">
        <v>986</v>
      </c>
      <c r="AG23" s="499" t="s">
        <v>37</v>
      </c>
      <c r="AH23" s="497" t="s">
        <v>986</v>
      </c>
      <c r="AI23" s="498" t="s">
        <v>37</v>
      </c>
      <c r="AJ23" s="497" t="s">
        <v>986</v>
      </c>
      <c r="AK23" s="498" t="s">
        <v>37</v>
      </c>
      <c r="AL23" s="497" t="s">
        <v>986</v>
      </c>
      <c r="AM23" s="499" t="s">
        <v>37</v>
      </c>
      <c r="AN23" s="497" t="s">
        <v>986</v>
      </c>
      <c r="AO23" s="498" t="s">
        <v>37</v>
      </c>
      <c r="AP23" s="497" t="s">
        <v>986</v>
      </c>
      <c r="AQ23" s="498" t="s">
        <v>37</v>
      </c>
      <c r="AR23" s="497" t="s">
        <v>986</v>
      </c>
      <c r="AS23" s="499" t="s">
        <v>37</v>
      </c>
      <c r="AT23" s="497" t="s">
        <v>986</v>
      </c>
      <c r="AU23" s="499" t="s">
        <v>37</v>
      </c>
      <c r="AV23" s="497" t="s">
        <v>986</v>
      </c>
      <c r="AW23" s="498" t="s">
        <v>37</v>
      </c>
      <c r="AX23" s="497" t="s">
        <v>986</v>
      </c>
      <c r="AY23" s="498" t="s">
        <v>37</v>
      </c>
      <c r="AZ23" s="497" t="s">
        <v>961</v>
      </c>
      <c r="BA23" s="498" t="s">
        <v>1785</v>
      </c>
      <c r="BB23" s="497" t="s">
        <v>958</v>
      </c>
      <c r="BC23" s="498" t="s">
        <v>543</v>
      </c>
      <c r="BD23" s="497" t="s">
        <v>986</v>
      </c>
      <c r="BE23" s="498" t="s">
        <v>37</v>
      </c>
      <c r="BF23" s="497" t="s">
        <v>986</v>
      </c>
      <c r="BG23" s="498" t="s">
        <v>37</v>
      </c>
      <c r="BH23" s="497" t="s">
        <v>986</v>
      </c>
      <c r="BI23" s="498" t="s">
        <v>37</v>
      </c>
      <c r="BJ23" s="497" t="s">
        <v>986</v>
      </c>
      <c r="BK23" s="498" t="s">
        <v>37</v>
      </c>
      <c r="BL23" s="497" t="s">
        <v>986</v>
      </c>
      <c r="BM23" s="498" t="s">
        <v>37</v>
      </c>
      <c r="BN23" s="497" t="s">
        <v>986</v>
      </c>
      <c r="BO23" s="499" t="s">
        <v>37</v>
      </c>
      <c r="BP23" s="497" t="s">
        <v>986</v>
      </c>
      <c r="BQ23" s="498" t="s">
        <v>37</v>
      </c>
      <c r="BR23" s="497" t="s">
        <v>986</v>
      </c>
      <c r="BS23" s="498" t="s">
        <v>37</v>
      </c>
      <c r="BT23" s="497" t="s">
        <v>965</v>
      </c>
      <c r="BU23" s="498" t="s">
        <v>1786</v>
      </c>
      <c r="BV23" s="497" t="s">
        <v>986</v>
      </c>
      <c r="BW23" s="498" t="s">
        <v>37</v>
      </c>
      <c r="BX23" s="497" t="s">
        <v>961</v>
      </c>
      <c r="BY23" s="498" t="s">
        <v>1787</v>
      </c>
      <c r="BZ23" s="497" t="s">
        <v>961</v>
      </c>
      <c r="CA23" s="498" t="s">
        <v>1788</v>
      </c>
      <c r="CB23" s="497" t="s">
        <v>958</v>
      </c>
      <c r="CC23" s="498" t="s">
        <v>1789</v>
      </c>
      <c r="CD23" s="497" t="s">
        <v>961</v>
      </c>
      <c r="CE23" s="498" t="s">
        <v>932</v>
      </c>
      <c r="CF23" s="497" t="s">
        <v>986</v>
      </c>
      <c r="CG23" s="498" t="s">
        <v>37</v>
      </c>
      <c r="CH23" s="497" t="s">
        <v>986</v>
      </c>
      <c r="CI23" s="499" t="s">
        <v>37</v>
      </c>
      <c r="CJ23" s="497" t="s">
        <v>986</v>
      </c>
      <c r="CK23" s="498" t="s">
        <v>37</v>
      </c>
      <c r="CL23" s="497" t="s">
        <v>986</v>
      </c>
      <c r="CM23" s="498" t="s">
        <v>37</v>
      </c>
      <c r="CN23" s="497" t="s">
        <v>986</v>
      </c>
      <c r="CO23" s="498" t="s">
        <v>37</v>
      </c>
      <c r="CP23" s="517" t="s">
        <v>1685</v>
      </c>
      <c r="CQ23" s="34"/>
      <c r="CR23" s="34"/>
    </row>
    <row r="24" spans="1:96" s="5" customFormat="1" ht="79.5" thickBot="1" x14ac:dyDescent="0.25">
      <c r="A24" s="124">
        <f t="shared" si="0"/>
        <v>19</v>
      </c>
      <c r="B24" s="509" t="s">
        <v>1775</v>
      </c>
      <c r="C24" s="509" t="s">
        <v>3998</v>
      </c>
      <c r="D24" s="510">
        <v>372</v>
      </c>
      <c r="E24" s="510" t="s">
        <v>2384</v>
      </c>
      <c r="F24" s="497" t="s">
        <v>986</v>
      </c>
      <c r="G24" s="498" t="s">
        <v>37</v>
      </c>
      <c r="H24" s="497" t="s">
        <v>986</v>
      </c>
      <c r="I24" s="498" t="s">
        <v>37</v>
      </c>
      <c r="J24" s="497" t="s">
        <v>986</v>
      </c>
      <c r="K24" s="498" t="s">
        <v>37</v>
      </c>
      <c r="L24" s="497" t="s">
        <v>986</v>
      </c>
      <c r="M24" s="498" t="s">
        <v>37</v>
      </c>
      <c r="N24" s="497" t="s">
        <v>986</v>
      </c>
      <c r="O24" s="498" t="s">
        <v>37</v>
      </c>
      <c r="P24" s="497" t="s">
        <v>986</v>
      </c>
      <c r="Q24" s="498" t="s">
        <v>37</v>
      </c>
      <c r="R24" s="497" t="s">
        <v>986</v>
      </c>
      <c r="S24" s="498" t="s">
        <v>37</v>
      </c>
      <c r="T24" s="497" t="s">
        <v>986</v>
      </c>
      <c r="U24" s="499" t="s">
        <v>37</v>
      </c>
      <c r="V24" s="497" t="s">
        <v>986</v>
      </c>
      <c r="W24" s="498" t="s">
        <v>37</v>
      </c>
      <c r="X24" s="497" t="s">
        <v>986</v>
      </c>
      <c r="Y24" s="498" t="s">
        <v>37</v>
      </c>
      <c r="Z24" s="497" t="s">
        <v>986</v>
      </c>
      <c r="AA24" s="498" t="s">
        <v>37</v>
      </c>
      <c r="AB24" s="497" t="s">
        <v>986</v>
      </c>
      <c r="AC24" s="498" t="s">
        <v>37</v>
      </c>
      <c r="AD24" s="497" t="s">
        <v>986</v>
      </c>
      <c r="AE24" s="498" t="s">
        <v>37</v>
      </c>
      <c r="AF24" s="497" t="s">
        <v>986</v>
      </c>
      <c r="AG24" s="499" t="s">
        <v>37</v>
      </c>
      <c r="AH24" s="497" t="s">
        <v>986</v>
      </c>
      <c r="AI24" s="498" t="s">
        <v>37</v>
      </c>
      <c r="AJ24" s="497" t="s">
        <v>986</v>
      </c>
      <c r="AK24" s="498" t="s">
        <v>37</v>
      </c>
      <c r="AL24" s="497" t="s">
        <v>986</v>
      </c>
      <c r="AM24" s="499" t="s">
        <v>37</v>
      </c>
      <c r="AN24" s="497" t="s">
        <v>986</v>
      </c>
      <c r="AO24" s="498" t="s">
        <v>37</v>
      </c>
      <c r="AP24" s="497" t="s">
        <v>986</v>
      </c>
      <c r="AQ24" s="498" t="s">
        <v>37</v>
      </c>
      <c r="AR24" s="497" t="s">
        <v>986</v>
      </c>
      <c r="AS24" s="499" t="s">
        <v>37</v>
      </c>
      <c r="AT24" s="497" t="s">
        <v>986</v>
      </c>
      <c r="AU24" s="499" t="s">
        <v>37</v>
      </c>
      <c r="AV24" s="497" t="s">
        <v>986</v>
      </c>
      <c r="AW24" s="498" t="s">
        <v>37</v>
      </c>
      <c r="AX24" s="497" t="s">
        <v>986</v>
      </c>
      <c r="AY24" s="498" t="s">
        <v>37</v>
      </c>
      <c r="AZ24" s="497" t="s">
        <v>986</v>
      </c>
      <c r="BA24" s="498" t="s">
        <v>37</v>
      </c>
      <c r="BB24" s="497" t="s">
        <v>986</v>
      </c>
      <c r="BC24" s="498" t="s">
        <v>37</v>
      </c>
      <c r="BD24" s="497" t="s">
        <v>986</v>
      </c>
      <c r="BE24" s="498" t="s">
        <v>37</v>
      </c>
      <c r="BF24" s="497" t="s">
        <v>986</v>
      </c>
      <c r="BG24" s="498" t="s">
        <v>37</v>
      </c>
      <c r="BH24" s="497" t="s">
        <v>964</v>
      </c>
      <c r="BI24" s="498" t="s">
        <v>1776</v>
      </c>
      <c r="BJ24" s="497" t="s">
        <v>964</v>
      </c>
      <c r="BK24" s="498" t="s">
        <v>1777</v>
      </c>
      <c r="BL24" s="497" t="s">
        <v>963</v>
      </c>
      <c r="BM24" s="498" t="s">
        <v>1778</v>
      </c>
      <c r="BN24" s="497" t="s">
        <v>986</v>
      </c>
      <c r="BO24" s="499" t="s">
        <v>37</v>
      </c>
      <c r="BP24" s="497" t="s">
        <v>986</v>
      </c>
      <c r="BQ24" s="498" t="s">
        <v>37</v>
      </c>
      <c r="BR24" s="497" t="s">
        <v>986</v>
      </c>
      <c r="BS24" s="498" t="s">
        <v>37</v>
      </c>
      <c r="BT24" s="497" t="s">
        <v>986</v>
      </c>
      <c r="BU24" s="498" t="s">
        <v>37</v>
      </c>
      <c r="BV24" s="497" t="s">
        <v>986</v>
      </c>
      <c r="BW24" s="498" t="s">
        <v>37</v>
      </c>
      <c r="BX24" s="497" t="s">
        <v>986</v>
      </c>
      <c r="BY24" s="498" t="s">
        <v>37</v>
      </c>
      <c r="BZ24" s="497" t="s">
        <v>986</v>
      </c>
      <c r="CA24" s="498" t="s">
        <v>37</v>
      </c>
      <c r="CB24" s="497" t="s">
        <v>986</v>
      </c>
      <c r="CC24" s="498" t="s">
        <v>37</v>
      </c>
      <c r="CD24" s="497" t="s">
        <v>986</v>
      </c>
      <c r="CE24" s="498" t="s">
        <v>37</v>
      </c>
      <c r="CF24" s="497" t="s">
        <v>986</v>
      </c>
      <c r="CG24" s="498" t="s">
        <v>37</v>
      </c>
      <c r="CH24" s="497" t="s">
        <v>986</v>
      </c>
      <c r="CI24" s="499" t="s">
        <v>37</v>
      </c>
      <c r="CJ24" s="497" t="s">
        <v>986</v>
      </c>
      <c r="CK24" s="498" t="s">
        <v>37</v>
      </c>
      <c r="CL24" s="497" t="s">
        <v>963</v>
      </c>
      <c r="CM24" s="498" t="s">
        <v>1837</v>
      </c>
      <c r="CN24" s="497" t="s">
        <v>986</v>
      </c>
      <c r="CO24" s="498" t="s">
        <v>37</v>
      </c>
      <c r="CP24" s="518" t="s">
        <v>3884</v>
      </c>
      <c r="CQ24" s="34"/>
      <c r="CR24" s="34"/>
    </row>
    <row r="25" spans="1:96" s="6" customFormat="1" ht="102" thickBot="1" x14ac:dyDescent="0.25">
      <c r="A25" s="124">
        <f t="shared" si="0"/>
        <v>20</v>
      </c>
      <c r="B25" s="509" t="s">
        <v>611</v>
      </c>
      <c r="C25" s="509" t="s">
        <v>1461</v>
      </c>
      <c r="D25" s="510">
        <v>317</v>
      </c>
      <c r="E25" s="510" t="s">
        <v>2388</v>
      </c>
      <c r="F25" s="497" t="s">
        <v>986</v>
      </c>
      <c r="G25" s="498" t="s">
        <v>37</v>
      </c>
      <c r="H25" s="497" t="s">
        <v>986</v>
      </c>
      <c r="I25" s="498" t="s">
        <v>37</v>
      </c>
      <c r="J25" s="497" t="s">
        <v>986</v>
      </c>
      <c r="K25" s="498" t="s">
        <v>37</v>
      </c>
      <c r="L25" s="497" t="s">
        <v>986</v>
      </c>
      <c r="M25" s="498" t="s">
        <v>37</v>
      </c>
      <c r="N25" s="497" t="s">
        <v>986</v>
      </c>
      <c r="O25" s="498" t="s">
        <v>37</v>
      </c>
      <c r="P25" s="497" t="s">
        <v>986</v>
      </c>
      <c r="Q25" s="498" t="s">
        <v>37</v>
      </c>
      <c r="R25" s="497" t="s">
        <v>986</v>
      </c>
      <c r="S25" s="498" t="s">
        <v>37</v>
      </c>
      <c r="T25" s="497" t="s">
        <v>986</v>
      </c>
      <c r="U25" s="499" t="s">
        <v>37</v>
      </c>
      <c r="V25" s="497" t="s">
        <v>986</v>
      </c>
      <c r="W25" s="498" t="s">
        <v>37</v>
      </c>
      <c r="X25" s="497" t="s">
        <v>986</v>
      </c>
      <c r="Y25" s="498" t="s">
        <v>37</v>
      </c>
      <c r="Z25" s="497" t="s">
        <v>986</v>
      </c>
      <c r="AA25" s="498" t="s">
        <v>37</v>
      </c>
      <c r="AB25" s="497" t="s">
        <v>986</v>
      </c>
      <c r="AC25" s="498" t="s">
        <v>37</v>
      </c>
      <c r="AD25" s="497" t="s">
        <v>986</v>
      </c>
      <c r="AE25" s="498" t="s">
        <v>37</v>
      </c>
      <c r="AF25" s="497" t="s">
        <v>986</v>
      </c>
      <c r="AG25" s="499" t="s">
        <v>37</v>
      </c>
      <c r="AH25" s="497" t="s">
        <v>986</v>
      </c>
      <c r="AI25" s="498" t="s">
        <v>37</v>
      </c>
      <c r="AJ25" s="497" t="s">
        <v>986</v>
      </c>
      <c r="AK25" s="498" t="s">
        <v>37</v>
      </c>
      <c r="AL25" s="497" t="s">
        <v>986</v>
      </c>
      <c r="AM25" s="499" t="s">
        <v>37</v>
      </c>
      <c r="AN25" s="497" t="s">
        <v>963</v>
      </c>
      <c r="AO25" s="498" t="s">
        <v>895</v>
      </c>
      <c r="AP25" s="497" t="s">
        <v>963</v>
      </c>
      <c r="AQ25" s="559" t="s">
        <v>3937</v>
      </c>
      <c r="AR25" s="497" t="s">
        <v>986</v>
      </c>
      <c r="AS25" s="499" t="s">
        <v>37</v>
      </c>
      <c r="AT25" s="497" t="s">
        <v>986</v>
      </c>
      <c r="AU25" s="499" t="s">
        <v>37</v>
      </c>
      <c r="AV25" s="497" t="s">
        <v>963</v>
      </c>
      <c r="AW25" s="559" t="s">
        <v>3938</v>
      </c>
      <c r="AX25" s="497" t="s">
        <v>963</v>
      </c>
      <c r="AY25" s="498" t="s">
        <v>692</v>
      </c>
      <c r="AZ25" s="497" t="s">
        <v>986</v>
      </c>
      <c r="BA25" s="498" t="s">
        <v>37</v>
      </c>
      <c r="BB25" s="497" t="s">
        <v>986</v>
      </c>
      <c r="BC25" s="498" t="s">
        <v>37</v>
      </c>
      <c r="BD25" s="497" t="s">
        <v>986</v>
      </c>
      <c r="BE25" s="498" t="s">
        <v>37</v>
      </c>
      <c r="BF25" s="497" t="s">
        <v>986</v>
      </c>
      <c r="BG25" s="498" t="s">
        <v>37</v>
      </c>
      <c r="BH25" s="497" t="s">
        <v>965</v>
      </c>
      <c r="BI25" s="498" t="s">
        <v>2861</v>
      </c>
      <c r="BJ25" s="497" t="s">
        <v>965</v>
      </c>
      <c r="BK25" s="498" t="s">
        <v>2862</v>
      </c>
      <c r="BL25" s="497" t="s">
        <v>965</v>
      </c>
      <c r="BM25" s="498" t="s">
        <v>2863</v>
      </c>
      <c r="BN25" s="497" t="s">
        <v>966</v>
      </c>
      <c r="BO25" s="499" t="s">
        <v>2864</v>
      </c>
      <c r="BP25" s="497" t="s">
        <v>986</v>
      </c>
      <c r="BQ25" s="498" t="s">
        <v>37</v>
      </c>
      <c r="BR25" s="497" t="s">
        <v>986</v>
      </c>
      <c r="BS25" s="498" t="s">
        <v>37</v>
      </c>
      <c r="BT25" s="497" t="s">
        <v>965</v>
      </c>
      <c r="BU25" s="498" t="s">
        <v>1355</v>
      </c>
      <c r="BV25" s="497" t="s">
        <v>986</v>
      </c>
      <c r="BW25" s="498" t="s">
        <v>37</v>
      </c>
      <c r="BX25" s="497" t="s">
        <v>986</v>
      </c>
      <c r="BY25" s="498" t="s">
        <v>37</v>
      </c>
      <c r="BZ25" s="497" t="s">
        <v>986</v>
      </c>
      <c r="CA25" s="498" t="s">
        <v>37</v>
      </c>
      <c r="CB25" s="497" t="s">
        <v>986</v>
      </c>
      <c r="CC25" s="498" t="s">
        <v>37</v>
      </c>
      <c r="CD25" s="497" t="s">
        <v>986</v>
      </c>
      <c r="CE25" s="498" t="s">
        <v>37</v>
      </c>
      <c r="CF25" s="497" t="s">
        <v>986</v>
      </c>
      <c r="CG25" s="498" t="s">
        <v>37</v>
      </c>
      <c r="CH25" s="497" t="s">
        <v>986</v>
      </c>
      <c r="CI25" s="499" t="s">
        <v>37</v>
      </c>
      <c r="CJ25" s="497" t="s">
        <v>986</v>
      </c>
      <c r="CK25" s="498" t="s">
        <v>37</v>
      </c>
      <c r="CL25" s="497" t="s">
        <v>965</v>
      </c>
      <c r="CM25" s="498" t="s">
        <v>1835</v>
      </c>
      <c r="CN25" s="497" t="s">
        <v>963</v>
      </c>
      <c r="CO25" s="498" t="s">
        <v>1836</v>
      </c>
      <c r="CP25" s="517" t="s">
        <v>1686</v>
      </c>
      <c r="CQ25" s="15"/>
      <c r="CR25" s="15"/>
    </row>
    <row r="26" spans="1:96" s="6" customFormat="1" ht="30" customHeight="1" thickBot="1" x14ac:dyDescent="0.25">
      <c r="A26" s="124">
        <f t="shared" si="0"/>
        <v>21</v>
      </c>
      <c r="B26" s="509" t="s">
        <v>612</v>
      </c>
      <c r="C26" s="509" t="s">
        <v>1605</v>
      </c>
      <c r="D26" s="510">
        <v>327</v>
      </c>
      <c r="E26" s="510" t="s">
        <v>2386</v>
      </c>
      <c r="F26" s="497" t="s">
        <v>964</v>
      </c>
      <c r="G26" s="498" t="s">
        <v>1616</v>
      </c>
      <c r="H26" s="497" t="s">
        <v>964</v>
      </c>
      <c r="I26" s="498" t="s">
        <v>1123</v>
      </c>
      <c r="J26" s="497" t="s">
        <v>965</v>
      </c>
      <c r="K26" s="498" t="s">
        <v>1124</v>
      </c>
      <c r="L26" s="497" t="s">
        <v>965</v>
      </c>
      <c r="M26" s="498" t="s">
        <v>564</v>
      </c>
      <c r="N26" s="497" t="s">
        <v>965</v>
      </c>
      <c r="O26" s="498" t="s">
        <v>565</v>
      </c>
      <c r="P26" s="497" t="s">
        <v>967</v>
      </c>
      <c r="Q26" s="498" t="s">
        <v>133</v>
      </c>
      <c r="R26" s="497" t="s">
        <v>966</v>
      </c>
      <c r="S26" s="498" t="s">
        <v>875</v>
      </c>
      <c r="T26" s="497" t="s">
        <v>986</v>
      </c>
      <c r="U26" s="499" t="s">
        <v>37</v>
      </c>
      <c r="V26" s="497" t="s">
        <v>963</v>
      </c>
      <c r="W26" s="498" t="s">
        <v>135</v>
      </c>
      <c r="X26" s="497" t="s">
        <v>965</v>
      </c>
      <c r="Y26" s="498" t="s">
        <v>121</v>
      </c>
      <c r="Z26" s="497" t="s">
        <v>963</v>
      </c>
      <c r="AA26" s="498" t="s">
        <v>72</v>
      </c>
      <c r="AB26" s="497" t="s">
        <v>965</v>
      </c>
      <c r="AC26" s="498" t="s">
        <v>121</v>
      </c>
      <c r="AD26" s="497" t="s">
        <v>965</v>
      </c>
      <c r="AE26" s="498" t="s">
        <v>876</v>
      </c>
      <c r="AF26" s="497" t="s">
        <v>986</v>
      </c>
      <c r="AG26" s="499" t="s">
        <v>37</v>
      </c>
      <c r="AH26" s="497" t="s">
        <v>986</v>
      </c>
      <c r="AI26" s="498" t="s">
        <v>37</v>
      </c>
      <c r="AJ26" s="497" t="s">
        <v>963</v>
      </c>
      <c r="AK26" s="498" t="s">
        <v>423</v>
      </c>
      <c r="AL26" s="497" t="s">
        <v>963</v>
      </c>
      <c r="AM26" s="499" t="s">
        <v>448</v>
      </c>
      <c r="AN26" s="497" t="s">
        <v>964</v>
      </c>
      <c r="AO26" s="498" t="s">
        <v>1288</v>
      </c>
      <c r="AP26" s="497" t="s">
        <v>964</v>
      </c>
      <c r="AQ26" s="498" t="s">
        <v>693</v>
      </c>
      <c r="AR26" s="497" t="s">
        <v>967</v>
      </c>
      <c r="AS26" s="499" t="s">
        <v>525</v>
      </c>
      <c r="AT26" s="497" t="s">
        <v>963</v>
      </c>
      <c r="AU26" s="499" t="s">
        <v>1389</v>
      </c>
      <c r="AV26" s="497" t="s">
        <v>965</v>
      </c>
      <c r="AW26" s="498" t="s">
        <v>812</v>
      </c>
      <c r="AX26" s="497" t="s">
        <v>963</v>
      </c>
      <c r="AY26" s="498" t="s">
        <v>1287</v>
      </c>
      <c r="AZ26" s="497" t="s">
        <v>964</v>
      </c>
      <c r="BA26" s="498" t="s">
        <v>1585</v>
      </c>
      <c r="BB26" s="497" t="s">
        <v>986</v>
      </c>
      <c r="BC26" s="498" t="s">
        <v>37</v>
      </c>
      <c r="BD26" s="497" t="s">
        <v>986</v>
      </c>
      <c r="BE26" s="498" t="s">
        <v>2773</v>
      </c>
      <c r="BF26" s="497" t="s">
        <v>986</v>
      </c>
      <c r="BG26" s="498" t="s">
        <v>37</v>
      </c>
      <c r="BH26" s="497" t="s">
        <v>963</v>
      </c>
      <c r="BI26" s="498" t="s">
        <v>481</v>
      </c>
      <c r="BJ26" s="497" t="s">
        <v>965</v>
      </c>
      <c r="BK26" s="498" t="s">
        <v>2865</v>
      </c>
      <c r="BL26" s="497" t="s">
        <v>964</v>
      </c>
      <c r="BM26" s="498" t="s">
        <v>2866</v>
      </c>
      <c r="BN26" s="497" t="s">
        <v>986</v>
      </c>
      <c r="BO26" s="499" t="s">
        <v>37</v>
      </c>
      <c r="BP26" s="497" t="s">
        <v>964</v>
      </c>
      <c r="BQ26" s="498" t="s">
        <v>557</v>
      </c>
      <c r="BR26" s="497" t="s">
        <v>964</v>
      </c>
      <c r="BS26" s="498" t="s">
        <v>2154</v>
      </c>
      <c r="BT26" s="497" t="s">
        <v>964</v>
      </c>
      <c r="BU26" s="498" t="s">
        <v>1449</v>
      </c>
      <c r="BV26" s="497" t="s">
        <v>986</v>
      </c>
      <c r="BW26" s="498" t="s">
        <v>37</v>
      </c>
      <c r="BX26" s="497" t="s">
        <v>964</v>
      </c>
      <c r="BY26" s="498" t="s">
        <v>933</v>
      </c>
      <c r="BZ26" s="497" t="s">
        <v>964</v>
      </c>
      <c r="CA26" s="498" t="s">
        <v>934</v>
      </c>
      <c r="CB26" s="497" t="s">
        <v>986</v>
      </c>
      <c r="CC26" s="498" t="s">
        <v>37</v>
      </c>
      <c r="CD26" s="497" t="s">
        <v>963</v>
      </c>
      <c r="CE26" s="498" t="s">
        <v>1267</v>
      </c>
      <c r="CF26" s="497" t="s">
        <v>986</v>
      </c>
      <c r="CG26" s="498" t="s">
        <v>37</v>
      </c>
      <c r="CH26" s="497" t="s">
        <v>986</v>
      </c>
      <c r="CI26" s="499" t="s">
        <v>37</v>
      </c>
      <c r="CJ26" s="497" t="s">
        <v>986</v>
      </c>
      <c r="CK26" s="498" t="s">
        <v>37</v>
      </c>
      <c r="CL26" s="497" t="s">
        <v>986</v>
      </c>
      <c r="CM26" s="498" t="s">
        <v>37</v>
      </c>
      <c r="CN26" s="497" t="s">
        <v>986</v>
      </c>
      <c r="CO26" s="498" t="s">
        <v>37</v>
      </c>
      <c r="CP26" s="518" t="s">
        <v>1130</v>
      </c>
      <c r="CQ26" s="15"/>
      <c r="CR26" s="15"/>
    </row>
    <row r="27" spans="1:96" s="5" customFormat="1" ht="113.25" thickBot="1" x14ac:dyDescent="0.25">
      <c r="A27" s="124">
        <f t="shared" si="0"/>
        <v>22</v>
      </c>
      <c r="B27" s="509" t="s">
        <v>578</v>
      </c>
      <c r="C27" s="509" t="s">
        <v>1605</v>
      </c>
      <c r="D27" s="510">
        <v>328</v>
      </c>
      <c r="E27" s="510" t="s">
        <v>2386</v>
      </c>
      <c r="F27" s="497" t="s">
        <v>964</v>
      </c>
      <c r="G27" s="498" t="s">
        <v>437</v>
      </c>
      <c r="H27" s="497" t="s">
        <v>964</v>
      </c>
      <c r="I27" s="498" t="s">
        <v>178</v>
      </c>
      <c r="J27" s="497" t="s">
        <v>986</v>
      </c>
      <c r="K27" s="498" t="s">
        <v>37</v>
      </c>
      <c r="L27" s="497" t="s">
        <v>986</v>
      </c>
      <c r="M27" s="498" t="s">
        <v>37</v>
      </c>
      <c r="N27" s="497" t="s">
        <v>986</v>
      </c>
      <c r="O27" s="498" t="s">
        <v>37</v>
      </c>
      <c r="P27" s="497" t="s">
        <v>964</v>
      </c>
      <c r="Q27" s="498" t="s">
        <v>136</v>
      </c>
      <c r="R27" s="497" t="s">
        <v>965</v>
      </c>
      <c r="S27" s="498" t="s">
        <v>2774</v>
      </c>
      <c r="T27" s="497" t="s">
        <v>986</v>
      </c>
      <c r="U27" s="499" t="s">
        <v>37</v>
      </c>
      <c r="V27" s="497" t="s">
        <v>963</v>
      </c>
      <c r="W27" s="498" t="s">
        <v>137</v>
      </c>
      <c r="X27" s="497" t="s">
        <v>965</v>
      </c>
      <c r="Y27" s="498" t="s">
        <v>983</v>
      </c>
      <c r="Z27" s="497" t="s">
        <v>963</v>
      </c>
      <c r="AA27" s="498" t="s">
        <v>474</v>
      </c>
      <c r="AB27" s="497" t="s">
        <v>965</v>
      </c>
      <c r="AC27" s="498" t="s">
        <v>474</v>
      </c>
      <c r="AD27" s="497" t="s">
        <v>986</v>
      </c>
      <c r="AE27" s="498" t="s">
        <v>37</v>
      </c>
      <c r="AF27" s="497" t="s">
        <v>963</v>
      </c>
      <c r="AG27" s="499" t="s">
        <v>26</v>
      </c>
      <c r="AH27" s="497" t="s">
        <v>963</v>
      </c>
      <c r="AI27" s="498" t="s">
        <v>26</v>
      </c>
      <c r="AJ27" s="497" t="s">
        <v>963</v>
      </c>
      <c r="AK27" s="498" t="s">
        <v>449</v>
      </c>
      <c r="AL27" s="497" t="s">
        <v>963</v>
      </c>
      <c r="AM27" s="499" t="s">
        <v>449</v>
      </c>
      <c r="AN27" s="497" t="s">
        <v>963</v>
      </c>
      <c r="AO27" s="498" t="s">
        <v>368</v>
      </c>
      <c r="AP27" s="497" t="s">
        <v>963</v>
      </c>
      <c r="AQ27" s="498" t="s">
        <v>368</v>
      </c>
      <c r="AR27" s="497" t="s">
        <v>965</v>
      </c>
      <c r="AS27" s="499" t="s">
        <v>529</v>
      </c>
      <c r="AT27" s="497" t="s">
        <v>963</v>
      </c>
      <c r="AU27" s="499" t="s">
        <v>369</v>
      </c>
      <c r="AV27" s="497" t="s">
        <v>965</v>
      </c>
      <c r="AW27" s="498" t="s">
        <v>760</v>
      </c>
      <c r="AX27" s="497" t="s">
        <v>986</v>
      </c>
      <c r="AY27" s="498" t="s">
        <v>37</v>
      </c>
      <c r="AZ27" s="497" t="s">
        <v>963</v>
      </c>
      <c r="BA27" s="498" t="s">
        <v>759</v>
      </c>
      <c r="BB27" s="497" t="s">
        <v>986</v>
      </c>
      <c r="BC27" s="498" t="s">
        <v>37</v>
      </c>
      <c r="BD27" s="497" t="s">
        <v>986</v>
      </c>
      <c r="BE27" s="498" t="s">
        <v>2773</v>
      </c>
      <c r="BF27" s="497" t="s">
        <v>986</v>
      </c>
      <c r="BG27" s="498" t="s">
        <v>37</v>
      </c>
      <c r="BH27" s="497" t="s">
        <v>965</v>
      </c>
      <c r="BI27" s="498" t="s">
        <v>482</v>
      </c>
      <c r="BJ27" s="497" t="s">
        <v>986</v>
      </c>
      <c r="BK27" s="498" t="s">
        <v>37</v>
      </c>
      <c r="BL27" s="497" t="s">
        <v>965</v>
      </c>
      <c r="BM27" s="498" t="s">
        <v>1635</v>
      </c>
      <c r="BN27" s="497" t="s">
        <v>986</v>
      </c>
      <c r="BO27" s="499" t="s">
        <v>37</v>
      </c>
      <c r="BP27" s="497" t="s">
        <v>964</v>
      </c>
      <c r="BQ27" s="498" t="s">
        <v>557</v>
      </c>
      <c r="BR27" s="497" t="s">
        <v>964</v>
      </c>
      <c r="BS27" s="498" t="s">
        <v>2156</v>
      </c>
      <c r="BT27" s="497" t="s">
        <v>963</v>
      </c>
      <c r="BU27" s="498" t="s">
        <v>1580</v>
      </c>
      <c r="BV27" s="497" t="s">
        <v>986</v>
      </c>
      <c r="BW27" s="498" t="s">
        <v>37</v>
      </c>
      <c r="BX27" s="497" t="s">
        <v>963</v>
      </c>
      <c r="BY27" s="498" t="s">
        <v>1156</v>
      </c>
      <c r="BZ27" s="497" t="s">
        <v>963</v>
      </c>
      <c r="CA27" s="498" t="s">
        <v>1117</v>
      </c>
      <c r="CB27" s="497" t="s">
        <v>986</v>
      </c>
      <c r="CC27" s="498" t="s">
        <v>37</v>
      </c>
      <c r="CD27" s="497" t="s">
        <v>963</v>
      </c>
      <c r="CE27" s="498" t="s">
        <v>1267</v>
      </c>
      <c r="CF27" s="497" t="s">
        <v>963</v>
      </c>
      <c r="CG27" s="498" t="s">
        <v>1632</v>
      </c>
      <c r="CH27" s="497" t="s">
        <v>986</v>
      </c>
      <c r="CI27" s="499" t="s">
        <v>37</v>
      </c>
      <c r="CJ27" s="497" t="s">
        <v>986</v>
      </c>
      <c r="CK27" s="498" t="s">
        <v>37</v>
      </c>
      <c r="CL27" s="497" t="s">
        <v>986</v>
      </c>
      <c r="CM27" s="498" t="s">
        <v>37</v>
      </c>
      <c r="CN27" s="497" t="s">
        <v>965</v>
      </c>
      <c r="CO27" s="498" t="s">
        <v>2002</v>
      </c>
      <c r="CP27" s="518" t="s">
        <v>1129</v>
      </c>
      <c r="CQ27" s="34"/>
      <c r="CR27" s="34"/>
    </row>
    <row r="28" spans="1:96" s="5" customFormat="1" ht="79.5" thickBot="1" x14ac:dyDescent="0.25">
      <c r="A28" s="124">
        <f t="shared" si="0"/>
        <v>23</v>
      </c>
      <c r="B28" s="509" t="s">
        <v>579</v>
      </c>
      <c r="C28" s="509" t="s">
        <v>1599</v>
      </c>
      <c r="D28" s="510">
        <v>656</v>
      </c>
      <c r="E28" s="510" t="s">
        <v>2386</v>
      </c>
      <c r="F28" s="497" t="s">
        <v>986</v>
      </c>
      <c r="G28" s="498" t="s">
        <v>37</v>
      </c>
      <c r="H28" s="497" t="s">
        <v>986</v>
      </c>
      <c r="I28" s="498" t="s">
        <v>37</v>
      </c>
      <c r="J28" s="497" t="s">
        <v>986</v>
      </c>
      <c r="K28" s="498" t="s">
        <v>37</v>
      </c>
      <c r="L28" s="497" t="s">
        <v>986</v>
      </c>
      <c r="M28" s="498" t="s">
        <v>37</v>
      </c>
      <c r="N28" s="497" t="s">
        <v>986</v>
      </c>
      <c r="O28" s="498" t="s">
        <v>37</v>
      </c>
      <c r="P28" s="497" t="s">
        <v>986</v>
      </c>
      <c r="Q28" s="498" t="s">
        <v>37</v>
      </c>
      <c r="R28" s="497" t="s">
        <v>986</v>
      </c>
      <c r="S28" s="498" t="s">
        <v>37</v>
      </c>
      <c r="T28" s="497" t="s">
        <v>986</v>
      </c>
      <c r="U28" s="499" t="s">
        <v>37</v>
      </c>
      <c r="V28" s="497" t="s">
        <v>986</v>
      </c>
      <c r="W28" s="498" t="s">
        <v>37</v>
      </c>
      <c r="X28" s="497" t="s">
        <v>986</v>
      </c>
      <c r="Y28" s="498" t="s">
        <v>37</v>
      </c>
      <c r="Z28" s="497" t="s">
        <v>963</v>
      </c>
      <c r="AA28" s="498" t="s">
        <v>984</v>
      </c>
      <c r="AB28" s="497" t="s">
        <v>986</v>
      </c>
      <c r="AC28" s="498" t="s">
        <v>37</v>
      </c>
      <c r="AD28" s="497" t="s">
        <v>986</v>
      </c>
      <c r="AE28" s="498" t="s">
        <v>37</v>
      </c>
      <c r="AF28" s="497" t="s">
        <v>986</v>
      </c>
      <c r="AG28" s="499" t="s">
        <v>37</v>
      </c>
      <c r="AH28" s="497" t="s">
        <v>986</v>
      </c>
      <c r="AI28" s="498" t="s">
        <v>37</v>
      </c>
      <c r="AJ28" s="497" t="s">
        <v>963</v>
      </c>
      <c r="AK28" s="498" t="s">
        <v>1390</v>
      </c>
      <c r="AL28" s="497" t="s">
        <v>965</v>
      </c>
      <c r="AM28" s="499" t="s">
        <v>1390</v>
      </c>
      <c r="AN28" s="497" t="s">
        <v>964</v>
      </c>
      <c r="AO28" s="498" t="s">
        <v>508</v>
      </c>
      <c r="AP28" s="497" t="s">
        <v>965</v>
      </c>
      <c r="AQ28" s="498" t="s">
        <v>508</v>
      </c>
      <c r="AR28" s="497" t="s">
        <v>965</v>
      </c>
      <c r="AS28" s="499" t="s">
        <v>846</v>
      </c>
      <c r="AT28" s="497" t="s">
        <v>965</v>
      </c>
      <c r="AU28" s="499" t="s">
        <v>694</v>
      </c>
      <c r="AV28" s="497" t="s">
        <v>964</v>
      </c>
      <c r="AW28" s="498" t="s">
        <v>1340</v>
      </c>
      <c r="AX28" s="497" t="s">
        <v>966</v>
      </c>
      <c r="AY28" s="498" t="s">
        <v>695</v>
      </c>
      <c r="AZ28" s="497" t="s">
        <v>967</v>
      </c>
      <c r="BA28" s="498" t="s">
        <v>829</v>
      </c>
      <c r="BB28" s="497" t="s">
        <v>986</v>
      </c>
      <c r="BC28" s="498" t="s">
        <v>67</v>
      </c>
      <c r="BD28" s="497" t="s">
        <v>964</v>
      </c>
      <c r="BE28" s="498" t="s">
        <v>2082</v>
      </c>
      <c r="BF28" s="497" t="s">
        <v>965</v>
      </c>
      <c r="BG28" s="498" t="s">
        <v>2127</v>
      </c>
      <c r="BH28" s="497" t="s">
        <v>986</v>
      </c>
      <c r="BI28" s="498" t="s">
        <v>37</v>
      </c>
      <c r="BJ28" s="497" t="s">
        <v>986</v>
      </c>
      <c r="BK28" s="498" t="s">
        <v>37</v>
      </c>
      <c r="BL28" s="497" t="s">
        <v>965</v>
      </c>
      <c r="BM28" s="498" t="s">
        <v>2867</v>
      </c>
      <c r="BN28" s="497" t="s">
        <v>958</v>
      </c>
      <c r="BO28" s="499" t="s">
        <v>2868</v>
      </c>
      <c r="BP28" s="497" t="s">
        <v>986</v>
      </c>
      <c r="BQ28" s="498" t="s">
        <v>37</v>
      </c>
      <c r="BR28" s="497" t="s">
        <v>964</v>
      </c>
      <c r="BS28" s="498" t="s">
        <v>2154</v>
      </c>
      <c r="BT28" s="497" t="s">
        <v>961</v>
      </c>
      <c r="BU28" s="498" t="s">
        <v>64</v>
      </c>
      <c r="BV28" s="497" t="s">
        <v>986</v>
      </c>
      <c r="BW28" s="498" t="s">
        <v>37</v>
      </c>
      <c r="BX28" s="497" t="s">
        <v>966</v>
      </c>
      <c r="BY28" s="498" t="s">
        <v>933</v>
      </c>
      <c r="BZ28" s="497" t="s">
        <v>966</v>
      </c>
      <c r="CA28" s="498" t="s">
        <v>934</v>
      </c>
      <c r="CB28" s="497" t="s">
        <v>986</v>
      </c>
      <c r="CC28" s="498" t="s">
        <v>944</v>
      </c>
      <c r="CD28" s="497" t="s">
        <v>963</v>
      </c>
      <c r="CE28" s="498" t="s">
        <v>817</v>
      </c>
      <c r="CF28" s="497" t="s">
        <v>986</v>
      </c>
      <c r="CG28" s="498" t="s">
        <v>37</v>
      </c>
      <c r="CH28" s="497" t="s">
        <v>986</v>
      </c>
      <c r="CI28" s="499" t="s">
        <v>37</v>
      </c>
      <c r="CJ28" s="497" t="s">
        <v>986</v>
      </c>
      <c r="CK28" s="498" t="s">
        <v>37</v>
      </c>
      <c r="CL28" s="497" t="s">
        <v>986</v>
      </c>
      <c r="CM28" s="498" t="s">
        <v>37</v>
      </c>
      <c r="CN28" s="497" t="s">
        <v>986</v>
      </c>
      <c r="CO28" s="498" t="s">
        <v>37</v>
      </c>
      <c r="CP28" s="517" t="s">
        <v>1127</v>
      </c>
      <c r="CQ28" s="34"/>
      <c r="CR28" s="34"/>
    </row>
    <row r="29" spans="1:96" s="5" customFormat="1" ht="90.75" thickBot="1" x14ac:dyDescent="0.25">
      <c r="A29" s="124">
        <f t="shared" si="0"/>
        <v>24</v>
      </c>
      <c r="B29" s="509" t="s">
        <v>580</v>
      </c>
      <c r="C29" s="509" t="s">
        <v>1605</v>
      </c>
      <c r="D29" s="510">
        <v>332</v>
      </c>
      <c r="E29" s="510" t="s">
        <v>2386</v>
      </c>
      <c r="F29" s="497" t="s">
        <v>966</v>
      </c>
      <c r="G29" s="498" t="s">
        <v>179</v>
      </c>
      <c r="H29" s="497" t="s">
        <v>986</v>
      </c>
      <c r="I29" s="498" t="s">
        <v>37</v>
      </c>
      <c r="J29" s="497" t="s">
        <v>986</v>
      </c>
      <c r="K29" s="498" t="s">
        <v>37</v>
      </c>
      <c r="L29" s="497" t="s">
        <v>986</v>
      </c>
      <c r="M29" s="498" t="s">
        <v>37</v>
      </c>
      <c r="N29" s="497" t="s">
        <v>986</v>
      </c>
      <c r="O29" s="498" t="s">
        <v>37</v>
      </c>
      <c r="P29" s="497" t="s">
        <v>963</v>
      </c>
      <c r="Q29" s="568" t="s">
        <v>3990</v>
      </c>
      <c r="R29" s="497" t="s">
        <v>986</v>
      </c>
      <c r="S29" s="498" t="s">
        <v>37</v>
      </c>
      <c r="T29" s="497" t="s">
        <v>986</v>
      </c>
      <c r="U29" s="499" t="s">
        <v>37</v>
      </c>
      <c r="V29" s="497" t="s">
        <v>986</v>
      </c>
      <c r="W29" s="498" t="s">
        <v>37</v>
      </c>
      <c r="X29" s="497" t="s">
        <v>961</v>
      </c>
      <c r="Y29" s="498" t="s">
        <v>181</v>
      </c>
      <c r="Z29" s="497" t="s">
        <v>965</v>
      </c>
      <c r="AA29" s="498" t="s">
        <v>9</v>
      </c>
      <c r="AB29" s="497" t="s">
        <v>958</v>
      </c>
      <c r="AC29" s="498" t="s">
        <v>10</v>
      </c>
      <c r="AD29" s="497" t="s">
        <v>986</v>
      </c>
      <c r="AE29" s="498" t="s">
        <v>37</v>
      </c>
      <c r="AF29" s="497" t="s">
        <v>986</v>
      </c>
      <c r="AG29" s="499" t="s">
        <v>37</v>
      </c>
      <c r="AH29" s="497" t="s">
        <v>986</v>
      </c>
      <c r="AI29" s="498" t="s">
        <v>37</v>
      </c>
      <c r="AJ29" s="497" t="s">
        <v>963</v>
      </c>
      <c r="AK29" s="498" t="s">
        <v>2187</v>
      </c>
      <c r="AL29" s="497" t="s">
        <v>986</v>
      </c>
      <c r="AM29" s="499" t="s">
        <v>746</v>
      </c>
      <c r="AN29" s="497" t="s">
        <v>963</v>
      </c>
      <c r="AO29" s="498" t="s">
        <v>463</v>
      </c>
      <c r="AP29" s="497" t="s">
        <v>958</v>
      </c>
      <c r="AQ29" s="498" t="s">
        <v>825</v>
      </c>
      <c r="AR29" s="497" t="s">
        <v>965</v>
      </c>
      <c r="AS29" s="499" t="s">
        <v>660</v>
      </c>
      <c r="AT29" s="497" t="s">
        <v>958</v>
      </c>
      <c r="AU29" s="499" t="s">
        <v>745</v>
      </c>
      <c r="AV29" s="497" t="s">
        <v>965</v>
      </c>
      <c r="AW29" s="498" t="s">
        <v>1294</v>
      </c>
      <c r="AX29" s="497" t="s">
        <v>958</v>
      </c>
      <c r="AY29" s="498" t="s">
        <v>696</v>
      </c>
      <c r="AZ29" s="497" t="s">
        <v>963</v>
      </c>
      <c r="BA29" s="498" t="s">
        <v>709</v>
      </c>
      <c r="BB29" s="497" t="s">
        <v>986</v>
      </c>
      <c r="BC29" s="498" t="s">
        <v>37</v>
      </c>
      <c r="BD29" s="497" t="s">
        <v>986</v>
      </c>
      <c r="BE29" s="498" t="s">
        <v>37</v>
      </c>
      <c r="BF29" s="497" t="s">
        <v>986</v>
      </c>
      <c r="BG29" s="498" t="s">
        <v>37</v>
      </c>
      <c r="BH29" s="497" t="s">
        <v>965</v>
      </c>
      <c r="BI29" s="498" t="s">
        <v>1534</v>
      </c>
      <c r="BJ29" s="497" t="s">
        <v>986</v>
      </c>
      <c r="BK29" s="498" t="s">
        <v>37</v>
      </c>
      <c r="BL29" s="497" t="s">
        <v>965</v>
      </c>
      <c r="BM29" s="498" t="s">
        <v>1635</v>
      </c>
      <c r="BN29" s="497" t="s">
        <v>986</v>
      </c>
      <c r="BO29" s="499" t="s">
        <v>37</v>
      </c>
      <c r="BP29" s="497" t="s">
        <v>963</v>
      </c>
      <c r="BQ29" s="498" t="s">
        <v>557</v>
      </c>
      <c r="BR29" s="497" t="s">
        <v>967</v>
      </c>
      <c r="BS29" s="498" t="s">
        <v>2154</v>
      </c>
      <c r="BT29" s="497" t="s">
        <v>964</v>
      </c>
      <c r="BU29" s="498" t="s">
        <v>1707</v>
      </c>
      <c r="BV29" s="497" t="s">
        <v>986</v>
      </c>
      <c r="BW29" s="498" t="s">
        <v>37</v>
      </c>
      <c r="BX29" s="497" t="s">
        <v>963</v>
      </c>
      <c r="BY29" s="498" t="s">
        <v>933</v>
      </c>
      <c r="BZ29" s="497" t="s">
        <v>963</v>
      </c>
      <c r="CA29" s="498" t="s">
        <v>934</v>
      </c>
      <c r="CB29" s="497" t="s">
        <v>986</v>
      </c>
      <c r="CC29" s="498" t="s">
        <v>37</v>
      </c>
      <c r="CD29" s="497" t="s">
        <v>963</v>
      </c>
      <c r="CE29" s="498" t="s">
        <v>1267</v>
      </c>
      <c r="CF29" s="497" t="s">
        <v>965</v>
      </c>
      <c r="CG29" s="498" t="s">
        <v>1303</v>
      </c>
      <c r="CH29" s="497" t="s">
        <v>986</v>
      </c>
      <c r="CI29" s="499" t="s">
        <v>37</v>
      </c>
      <c r="CJ29" s="497" t="s">
        <v>986</v>
      </c>
      <c r="CK29" s="498" t="s">
        <v>37</v>
      </c>
      <c r="CL29" s="497" t="s">
        <v>965</v>
      </c>
      <c r="CM29" s="498" t="s">
        <v>1791</v>
      </c>
      <c r="CN29" s="497" t="s">
        <v>965</v>
      </c>
      <c r="CO29" s="498" t="s">
        <v>1791</v>
      </c>
      <c r="CP29" s="517" t="s">
        <v>1743</v>
      </c>
      <c r="CQ29" s="34"/>
      <c r="CR29" s="34"/>
    </row>
    <row r="30" spans="1:96" s="5" customFormat="1" ht="90.75" thickBot="1" x14ac:dyDescent="0.25">
      <c r="A30" s="124">
        <f t="shared" si="0"/>
        <v>25</v>
      </c>
      <c r="B30" s="509" t="s">
        <v>581</v>
      </c>
      <c r="C30" s="509" t="s">
        <v>1605</v>
      </c>
      <c r="D30" s="510">
        <v>330</v>
      </c>
      <c r="E30" s="510" t="s">
        <v>2386</v>
      </c>
      <c r="F30" s="497" t="s">
        <v>963</v>
      </c>
      <c r="G30" s="498" t="s">
        <v>1324</v>
      </c>
      <c r="H30" s="497" t="s">
        <v>986</v>
      </c>
      <c r="I30" s="498" t="s">
        <v>37</v>
      </c>
      <c r="J30" s="497" t="s">
        <v>986</v>
      </c>
      <c r="K30" s="498" t="s">
        <v>37</v>
      </c>
      <c r="L30" s="497" t="s">
        <v>986</v>
      </c>
      <c r="M30" s="498" t="s">
        <v>37</v>
      </c>
      <c r="N30" s="497" t="s">
        <v>986</v>
      </c>
      <c r="O30" s="498" t="s">
        <v>37</v>
      </c>
      <c r="P30" s="497" t="s">
        <v>965</v>
      </c>
      <c r="Q30" s="498" t="s">
        <v>341</v>
      </c>
      <c r="R30" s="497" t="s">
        <v>986</v>
      </c>
      <c r="S30" s="498" t="s">
        <v>37</v>
      </c>
      <c r="T30" s="497" t="s">
        <v>986</v>
      </c>
      <c r="U30" s="499" t="s">
        <v>37</v>
      </c>
      <c r="V30" s="497" t="s">
        <v>986</v>
      </c>
      <c r="W30" s="498" t="s">
        <v>37</v>
      </c>
      <c r="X30" s="497" t="s">
        <v>961</v>
      </c>
      <c r="Y30" s="498" t="s">
        <v>2</v>
      </c>
      <c r="Z30" s="497" t="s">
        <v>965</v>
      </c>
      <c r="AA30" s="498" t="s">
        <v>1088</v>
      </c>
      <c r="AB30" s="497" t="s">
        <v>958</v>
      </c>
      <c r="AC30" s="498" t="s">
        <v>1346</v>
      </c>
      <c r="AD30" s="497" t="s">
        <v>986</v>
      </c>
      <c r="AE30" s="498" t="s">
        <v>37</v>
      </c>
      <c r="AF30" s="497" t="s">
        <v>986</v>
      </c>
      <c r="AG30" s="499" t="s">
        <v>37</v>
      </c>
      <c r="AH30" s="497" t="s">
        <v>965</v>
      </c>
      <c r="AI30" s="498" t="s">
        <v>1363</v>
      </c>
      <c r="AJ30" s="497" t="s">
        <v>965</v>
      </c>
      <c r="AK30" s="498" t="s">
        <v>34</v>
      </c>
      <c r="AL30" s="497" t="s">
        <v>958</v>
      </c>
      <c r="AM30" s="499" t="s">
        <v>1078</v>
      </c>
      <c r="AN30" s="497" t="s">
        <v>963</v>
      </c>
      <c r="AO30" s="498" t="s">
        <v>772</v>
      </c>
      <c r="AP30" s="497" t="s">
        <v>958</v>
      </c>
      <c r="AQ30" s="498" t="s">
        <v>826</v>
      </c>
      <c r="AR30" s="497" t="s">
        <v>965</v>
      </c>
      <c r="AS30" s="499" t="s">
        <v>660</v>
      </c>
      <c r="AT30" s="497" t="s">
        <v>958</v>
      </c>
      <c r="AU30" s="499" t="s">
        <v>1082</v>
      </c>
      <c r="AV30" s="497" t="s">
        <v>965</v>
      </c>
      <c r="AW30" s="498" t="s">
        <v>1391</v>
      </c>
      <c r="AX30" s="497" t="s">
        <v>986</v>
      </c>
      <c r="AY30" s="498" t="s">
        <v>37</v>
      </c>
      <c r="AZ30" s="497" t="s">
        <v>963</v>
      </c>
      <c r="BA30" s="498" t="s">
        <v>897</v>
      </c>
      <c r="BB30" s="497" t="s">
        <v>986</v>
      </c>
      <c r="BC30" s="498" t="s">
        <v>37</v>
      </c>
      <c r="BD30" s="497" t="s">
        <v>986</v>
      </c>
      <c r="BE30" s="498" t="s">
        <v>37</v>
      </c>
      <c r="BF30" s="497" t="s">
        <v>986</v>
      </c>
      <c r="BG30" s="498" t="s">
        <v>37</v>
      </c>
      <c r="BH30" s="497" t="s">
        <v>986</v>
      </c>
      <c r="BI30" s="498" t="s">
        <v>37</v>
      </c>
      <c r="BJ30" s="497" t="s">
        <v>986</v>
      </c>
      <c r="BK30" s="498" t="s">
        <v>37</v>
      </c>
      <c r="BL30" s="497" t="s">
        <v>986</v>
      </c>
      <c r="BM30" s="498" t="s">
        <v>37</v>
      </c>
      <c r="BN30" s="497" t="s">
        <v>986</v>
      </c>
      <c r="BO30" s="499" t="s">
        <v>37</v>
      </c>
      <c r="BP30" s="497" t="s">
        <v>965</v>
      </c>
      <c r="BQ30" s="498" t="s">
        <v>299</v>
      </c>
      <c r="BR30" s="497" t="s">
        <v>986</v>
      </c>
      <c r="BS30" s="498" t="s">
        <v>37</v>
      </c>
      <c r="BT30" s="497" t="s">
        <v>986</v>
      </c>
      <c r="BU30" s="498" t="s">
        <v>37</v>
      </c>
      <c r="BV30" s="497" t="s">
        <v>986</v>
      </c>
      <c r="BW30" s="498" t="s">
        <v>37</v>
      </c>
      <c r="BX30" s="497" t="s">
        <v>986</v>
      </c>
      <c r="BY30" s="498" t="s">
        <v>37</v>
      </c>
      <c r="BZ30" s="497" t="s">
        <v>986</v>
      </c>
      <c r="CA30" s="498" t="s">
        <v>37</v>
      </c>
      <c r="CB30" s="497" t="s">
        <v>986</v>
      </c>
      <c r="CC30" s="498" t="s">
        <v>37</v>
      </c>
      <c r="CD30" s="497" t="s">
        <v>986</v>
      </c>
      <c r="CE30" s="498" t="s">
        <v>37</v>
      </c>
      <c r="CF30" s="497" t="s">
        <v>986</v>
      </c>
      <c r="CG30" s="498" t="s">
        <v>37</v>
      </c>
      <c r="CH30" s="497" t="s">
        <v>986</v>
      </c>
      <c r="CI30" s="499" t="s">
        <v>37</v>
      </c>
      <c r="CJ30" s="497" t="s">
        <v>986</v>
      </c>
      <c r="CK30" s="498" t="s">
        <v>37</v>
      </c>
      <c r="CL30" s="497" t="s">
        <v>965</v>
      </c>
      <c r="CM30" s="498" t="s">
        <v>1791</v>
      </c>
      <c r="CN30" s="497" t="s">
        <v>965</v>
      </c>
      <c r="CO30" s="498" t="s">
        <v>1791</v>
      </c>
      <c r="CP30" s="517" t="s">
        <v>1315</v>
      </c>
      <c r="CQ30" s="34"/>
      <c r="CR30" s="34"/>
    </row>
    <row r="31" spans="1:96" s="5" customFormat="1" ht="102" thickBot="1" x14ac:dyDescent="0.25">
      <c r="A31" s="124">
        <f t="shared" si="0"/>
        <v>26</v>
      </c>
      <c r="B31" s="509" t="s">
        <v>2188</v>
      </c>
      <c r="C31" s="509" t="s">
        <v>1605</v>
      </c>
      <c r="D31" s="510">
        <v>331</v>
      </c>
      <c r="E31" s="510" t="s">
        <v>2386</v>
      </c>
      <c r="F31" s="497" t="s">
        <v>964</v>
      </c>
      <c r="G31" s="498" t="s">
        <v>1324</v>
      </c>
      <c r="H31" s="497" t="s">
        <v>986</v>
      </c>
      <c r="I31" s="498" t="s">
        <v>37</v>
      </c>
      <c r="J31" s="497" t="s">
        <v>965</v>
      </c>
      <c r="K31" s="498" t="s">
        <v>1311</v>
      </c>
      <c r="L31" s="497" t="s">
        <v>986</v>
      </c>
      <c r="M31" s="498" t="s">
        <v>37</v>
      </c>
      <c r="N31" s="497" t="s">
        <v>986</v>
      </c>
      <c r="O31" s="498" t="s">
        <v>37</v>
      </c>
      <c r="P31" s="497" t="s">
        <v>963</v>
      </c>
      <c r="Q31" s="498" t="s">
        <v>341</v>
      </c>
      <c r="R31" s="497" t="s">
        <v>986</v>
      </c>
      <c r="S31" s="498" t="s">
        <v>37</v>
      </c>
      <c r="T31" s="497" t="s">
        <v>986</v>
      </c>
      <c r="U31" s="499" t="s">
        <v>37</v>
      </c>
      <c r="V31" s="497" t="s">
        <v>986</v>
      </c>
      <c r="W31" s="498" t="s">
        <v>37</v>
      </c>
      <c r="X31" s="497" t="s">
        <v>961</v>
      </c>
      <c r="Y31" s="498" t="s">
        <v>2</v>
      </c>
      <c r="Z31" s="497" t="s">
        <v>965</v>
      </c>
      <c r="AA31" s="498" t="s">
        <v>1088</v>
      </c>
      <c r="AB31" s="497" t="s">
        <v>958</v>
      </c>
      <c r="AC31" s="498" t="s">
        <v>1346</v>
      </c>
      <c r="AD31" s="497" t="s">
        <v>986</v>
      </c>
      <c r="AE31" s="498" t="s">
        <v>37</v>
      </c>
      <c r="AF31" s="497" t="s">
        <v>965</v>
      </c>
      <c r="AG31" s="499" t="s">
        <v>1364</v>
      </c>
      <c r="AH31" s="497" t="s">
        <v>963</v>
      </c>
      <c r="AI31" s="498" t="s">
        <v>1363</v>
      </c>
      <c r="AJ31" s="497" t="s">
        <v>965</v>
      </c>
      <c r="AK31" s="498" t="s">
        <v>34</v>
      </c>
      <c r="AL31" s="497" t="s">
        <v>958</v>
      </c>
      <c r="AM31" s="499" t="s">
        <v>1078</v>
      </c>
      <c r="AN31" s="497" t="s">
        <v>963</v>
      </c>
      <c r="AO31" s="498" t="s">
        <v>773</v>
      </c>
      <c r="AP31" s="497" t="s">
        <v>958</v>
      </c>
      <c r="AQ31" s="498" t="s">
        <v>826</v>
      </c>
      <c r="AR31" s="497" t="s">
        <v>965</v>
      </c>
      <c r="AS31" s="499" t="s">
        <v>660</v>
      </c>
      <c r="AT31" s="497" t="s">
        <v>958</v>
      </c>
      <c r="AU31" s="499" t="s">
        <v>1082</v>
      </c>
      <c r="AV31" s="497" t="s">
        <v>986</v>
      </c>
      <c r="AW31" s="498" t="s">
        <v>37</v>
      </c>
      <c r="AX31" s="497" t="s">
        <v>986</v>
      </c>
      <c r="AY31" s="498" t="s">
        <v>37</v>
      </c>
      <c r="AZ31" s="497" t="s">
        <v>963</v>
      </c>
      <c r="BA31" s="498" t="s">
        <v>810</v>
      </c>
      <c r="BB31" s="497" t="s">
        <v>986</v>
      </c>
      <c r="BC31" s="498" t="s">
        <v>37</v>
      </c>
      <c r="BD31" s="497" t="s">
        <v>986</v>
      </c>
      <c r="BE31" s="498" t="s">
        <v>37</v>
      </c>
      <c r="BF31" s="497" t="s">
        <v>986</v>
      </c>
      <c r="BG31" s="498" t="s">
        <v>37</v>
      </c>
      <c r="BH31" s="497" t="s">
        <v>986</v>
      </c>
      <c r="BI31" s="498" t="s">
        <v>37</v>
      </c>
      <c r="BJ31" s="497" t="s">
        <v>986</v>
      </c>
      <c r="BK31" s="498" t="s">
        <v>37</v>
      </c>
      <c r="BL31" s="497" t="s">
        <v>965</v>
      </c>
      <c r="BM31" s="498" t="s">
        <v>1635</v>
      </c>
      <c r="BN31" s="497" t="s">
        <v>986</v>
      </c>
      <c r="BO31" s="499" t="s">
        <v>37</v>
      </c>
      <c r="BP31" s="497" t="s">
        <v>965</v>
      </c>
      <c r="BQ31" s="498" t="s">
        <v>299</v>
      </c>
      <c r="BR31" s="497" t="s">
        <v>986</v>
      </c>
      <c r="BS31" s="498" t="s">
        <v>37</v>
      </c>
      <c r="BT31" s="497" t="s">
        <v>964</v>
      </c>
      <c r="BU31" s="498" t="s">
        <v>1707</v>
      </c>
      <c r="BV31" s="497" t="s">
        <v>986</v>
      </c>
      <c r="BW31" s="498" t="s">
        <v>37</v>
      </c>
      <c r="BX31" s="497" t="s">
        <v>986</v>
      </c>
      <c r="BY31" s="498" t="s">
        <v>37</v>
      </c>
      <c r="BZ31" s="497" t="s">
        <v>986</v>
      </c>
      <c r="CA31" s="498" t="s">
        <v>37</v>
      </c>
      <c r="CB31" s="497" t="s">
        <v>986</v>
      </c>
      <c r="CC31" s="498" t="s">
        <v>37</v>
      </c>
      <c r="CD31" s="497" t="s">
        <v>986</v>
      </c>
      <c r="CE31" s="498" t="s">
        <v>37</v>
      </c>
      <c r="CF31" s="497" t="s">
        <v>986</v>
      </c>
      <c r="CG31" s="498" t="s">
        <v>37</v>
      </c>
      <c r="CH31" s="497" t="s">
        <v>986</v>
      </c>
      <c r="CI31" s="499" t="s">
        <v>37</v>
      </c>
      <c r="CJ31" s="497" t="s">
        <v>986</v>
      </c>
      <c r="CK31" s="498" t="s">
        <v>37</v>
      </c>
      <c r="CL31" s="497" t="s">
        <v>965</v>
      </c>
      <c r="CM31" s="498" t="s">
        <v>1791</v>
      </c>
      <c r="CN31" s="497" t="s">
        <v>965</v>
      </c>
      <c r="CO31" s="498" t="s">
        <v>1791</v>
      </c>
      <c r="CP31" s="517" t="s">
        <v>1414</v>
      </c>
      <c r="CQ31" s="34"/>
      <c r="CR31" s="34"/>
    </row>
    <row r="32" spans="1:96" s="5" customFormat="1" ht="34.5" thickBot="1" x14ac:dyDescent="0.25">
      <c r="A32" s="124">
        <f t="shared" si="0"/>
        <v>27</v>
      </c>
      <c r="B32" s="509" t="s">
        <v>3878</v>
      </c>
      <c r="C32" s="509" t="s">
        <v>1605</v>
      </c>
      <c r="D32" s="510">
        <v>334</v>
      </c>
      <c r="E32" s="510" t="s">
        <v>2386</v>
      </c>
      <c r="F32" s="497" t="s">
        <v>986</v>
      </c>
      <c r="G32" s="498" t="s">
        <v>37</v>
      </c>
      <c r="H32" s="497" t="s">
        <v>986</v>
      </c>
      <c r="I32" s="498" t="s">
        <v>37</v>
      </c>
      <c r="J32" s="497" t="s">
        <v>986</v>
      </c>
      <c r="K32" s="498" t="s">
        <v>37</v>
      </c>
      <c r="L32" s="497" t="s">
        <v>986</v>
      </c>
      <c r="M32" s="498" t="s">
        <v>37</v>
      </c>
      <c r="N32" s="497" t="s">
        <v>986</v>
      </c>
      <c r="O32" s="498" t="s">
        <v>37</v>
      </c>
      <c r="P32" s="497" t="s">
        <v>986</v>
      </c>
      <c r="Q32" s="498" t="s">
        <v>37</v>
      </c>
      <c r="R32" s="497" t="s">
        <v>964</v>
      </c>
      <c r="S32" s="498" t="s">
        <v>3913</v>
      </c>
      <c r="T32" s="497" t="s">
        <v>986</v>
      </c>
      <c r="U32" s="499" t="s">
        <v>37</v>
      </c>
      <c r="V32" s="497" t="s">
        <v>986</v>
      </c>
      <c r="W32" s="498" t="s">
        <v>37</v>
      </c>
      <c r="X32" s="497" t="s">
        <v>986</v>
      </c>
      <c r="Y32" s="498" t="s">
        <v>37</v>
      </c>
      <c r="Z32" s="497" t="s">
        <v>986</v>
      </c>
      <c r="AA32" s="498" t="s">
        <v>37</v>
      </c>
      <c r="AB32" s="497" t="s">
        <v>986</v>
      </c>
      <c r="AC32" s="498" t="s">
        <v>37</v>
      </c>
      <c r="AD32" s="497" t="s">
        <v>986</v>
      </c>
      <c r="AE32" s="498" t="s">
        <v>37</v>
      </c>
      <c r="AF32" s="497" t="s">
        <v>965</v>
      </c>
      <c r="AG32" s="567" t="s">
        <v>3914</v>
      </c>
      <c r="AH32" s="497" t="s">
        <v>965</v>
      </c>
      <c r="AI32" s="498" t="s">
        <v>3914</v>
      </c>
      <c r="AJ32" s="497" t="s">
        <v>986</v>
      </c>
      <c r="AK32" s="498" t="s">
        <v>37</v>
      </c>
      <c r="AL32" s="497" t="s">
        <v>986</v>
      </c>
      <c r="AM32" s="499" t="s">
        <v>37</v>
      </c>
      <c r="AN32" s="497" t="s">
        <v>986</v>
      </c>
      <c r="AO32" s="498" t="s">
        <v>37</v>
      </c>
      <c r="AP32" s="497" t="s">
        <v>986</v>
      </c>
      <c r="AQ32" s="498" t="s">
        <v>37</v>
      </c>
      <c r="AR32" s="497" t="s">
        <v>986</v>
      </c>
      <c r="AS32" s="499" t="s">
        <v>37</v>
      </c>
      <c r="AT32" s="497" t="s">
        <v>986</v>
      </c>
      <c r="AU32" s="499" t="s">
        <v>37</v>
      </c>
      <c r="AV32" s="497" t="s">
        <v>986</v>
      </c>
      <c r="AW32" s="498" t="s">
        <v>37</v>
      </c>
      <c r="AX32" s="497" t="s">
        <v>986</v>
      </c>
      <c r="AY32" s="498" t="s">
        <v>37</v>
      </c>
      <c r="AZ32" s="497" t="s">
        <v>986</v>
      </c>
      <c r="BA32" s="498" t="s">
        <v>37</v>
      </c>
      <c r="BB32" s="497" t="s">
        <v>986</v>
      </c>
      <c r="BC32" s="498" t="s">
        <v>37</v>
      </c>
      <c r="BD32" s="497" t="s">
        <v>986</v>
      </c>
      <c r="BE32" s="498" t="s">
        <v>37</v>
      </c>
      <c r="BF32" s="497" t="s">
        <v>986</v>
      </c>
      <c r="BG32" s="498" t="s">
        <v>37</v>
      </c>
      <c r="BH32" s="497" t="s">
        <v>986</v>
      </c>
      <c r="BI32" s="498" t="s">
        <v>37</v>
      </c>
      <c r="BJ32" s="497" t="s">
        <v>986</v>
      </c>
      <c r="BK32" s="498" t="s">
        <v>37</v>
      </c>
      <c r="BL32" s="497" t="s">
        <v>986</v>
      </c>
      <c r="BM32" s="498" t="s">
        <v>37</v>
      </c>
      <c r="BN32" s="497" t="s">
        <v>986</v>
      </c>
      <c r="BO32" s="499" t="s">
        <v>37</v>
      </c>
      <c r="BP32" s="497" t="s">
        <v>965</v>
      </c>
      <c r="BQ32" s="498" t="s">
        <v>3915</v>
      </c>
      <c r="BR32" s="497" t="s">
        <v>963</v>
      </c>
      <c r="BS32" s="498" t="s">
        <v>3916</v>
      </c>
      <c r="BT32" s="497" t="s">
        <v>986</v>
      </c>
      <c r="BU32" s="498" t="s">
        <v>37</v>
      </c>
      <c r="BV32" s="497" t="s">
        <v>986</v>
      </c>
      <c r="BW32" s="498" t="s">
        <v>37</v>
      </c>
      <c r="BX32" s="497" t="s">
        <v>986</v>
      </c>
      <c r="BY32" s="498" t="s">
        <v>37</v>
      </c>
      <c r="BZ32" s="497" t="s">
        <v>986</v>
      </c>
      <c r="CA32" s="498" t="s">
        <v>37</v>
      </c>
      <c r="CB32" s="497" t="s">
        <v>986</v>
      </c>
      <c r="CC32" s="498" t="s">
        <v>37</v>
      </c>
      <c r="CD32" s="497" t="s">
        <v>986</v>
      </c>
      <c r="CE32" s="498" t="s">
        <v>37</v>
      </c>
      <c r="CF32" s="497" t="s">
        <v>986</v>
      </c>
      <c r="CG32" s="498" t="s">
        <v>37</v>
      </c>
      <c r="CH32" s="497" t="s">
        <v>986</v>
      </c>
      <c r="CI32" s="499" t="s">
        <v>37</v>
      </c>
      <c r="CJ32" s="497" t="s">
        <v>986</v>
      </c>
      <c r="CK32" s="498" t="s">
        <v>37</v>
      </c>
      <c r="CL32" s="497" t="s">
        <v>986</v>
      </c>
      <c r="CM32" s="498" t="s">
        <v>37</v>
      </c>
      <c r="CN32" s="497" t="s">
        <v>986</v>
      </c>
      <c r="CO32" s="498" t="s">
        <v>37</v>
      </c>
      <c r="CP32" s="518" t="s">
        <v>3917</v>
      </c>
      <c r="CQ32" s="34"/>
      <c r="CR32" s="34"/>
    </row>
    <row r="33" spans="1:96" s="5" customFormat="1" ht="102" thickBot="1" x14ac:dyDescent="0.25">
      <c r="A33" s="124">
        <f t="shared" si="0"/>
        <v>28</v>
      </c>
      <c r="B33" s="509" t="s">
        <v>582</v>
      </c>
      <c r="C33" s="509" t="s">
        <v>1605</v>
      </c>
      <c r="D33" s="510">
        <v>340</v>
      </c>
      <c r="E33" s="510" t="s">
        <v>2386</v>
      </c>
      <c r="F33" s="497" t="s">
        <v>964</v>
      </c>
      <c r="G33" s="498" t="s">
        <v>1106</v>
      </c>
      <c r="H33" s="497" t="s">
        <v>964</v>
      </c>
      <c r="I33" s="498" t="s">
        <v>1107</v>
      </c>
      <c r="J33" s="497" t="s">
        <v>966</v>
      </c>
      <c r="K33" s="498" t="s">
        <v>833</v>
      </c>
      <c r="L33" s="497" t="s">
        <v>986</v>
      </c>
      <c r="M33" s="498" t="s">
        <v>37</v>
      </c>
      <c r="N33" s="497" t="s">
        <v>986</v>
      </c>
      <c r="O33" s="498" t="s">
        <v>37</v>
      </c>
      <c r="P33" s="497" t="s">
        <v>963</v>
      </c>
      <c r="Q33" s="498" t="s">
        <v>1633</v>
      </c>
      <c r="R33" s="497" t="s">
        <v>963</v>
      </c>
      <c r="S33" s="498" t="s">
        <v>446</v>
      </c>
      <c r="T33" s="497" t="s">
        <v>986</v>
      </c>
      <c r="U33" s="499" t="s">
        <v>134</v>
      </c>
      <c r="V33" s="497" t="s">
        <v>965</v>
      </c>
      <c r="W33" s="498" t="s">
        <v>678</v>
      </c>
      <c r="X33" s="497" t="s">
        <v>965</v>
      </c>
      <c r="Y33" s="498" t="s">
        <v>1347</v>
      </c>
      <c r="Z33" s="497" t="s">
        <v>963</v>
      </c>
      <c r="AA33" s="498" t="s">
        <v>1331</v>
      </c>
      <c r="AB33" s="497" t="s">
        <v>965</v>
      </c>
      <c r="AC33" s="498" t="s">
        <v>1347</v>
      </c>
      <c r="AD33" s="497" t="s">
        <v>986</v>
      </c>
      <c r="AE33" s="498" t="s">
        <v>37</v>
      </c>
      <c r="AF33" s="497" t="s">
        <v>965</v>
      </c>
      <c r="AG33" s="499" t="s">
        <v>2775</v>
      </c>
      <c r="AH33" s="497" t="s">
        <v>963</v>
      </c>
      <c r="AI33" s="498" t="s">
        <v>1695</v>
      </c>
      <c r="AJ33" s="497" t="s">
        <v>963</v>
      </c>
      <c r="AK33" s="498" t="s">
        <v>34</v>
      </c>
      <c r="AL33" s="497" t="s">
        <v>963</v>
      </c>
      <c r="AM33" s="499" t="s">
        <v>438</v>
      </c>
      <c r="AN33" s="497" t="s">
        <v>963</v>
      </c>
      <c r="AO33" s="498" t="s">
        <v>774</v>
      </c>
      <c r="AP33" s="497" t="s">
        <v>963</v>
      </c>
      <c r="AQ33" s="498" t="s">
        <v>824</v>
      </c>
      <c r="AR33" s="497" t="s">
        <v>986</v>
      </c>
      <c r="AS33" s="499" t="s">
        <v>37</v>
      </c>
      <c r="AT33" s="497" t="s">
        <v>965</v>
      </c>
      <c r="AU33" s="499" t="s">
        <v>1710</v>
      </c>
      <c r="AV33" s="497" t="s">
        <v>965</v>
      </c>
      <c r="AW33" s="498" t="s">
        <v>812</v>
      </c>
      <c r="AX33" s="497" t="s">
        <v>963</v>
      </c>
      <c r="AY33" s="498" t="s">
        <v>736</v>
      </c>
      <c r="AZ33" s="497" t="s">
        <v>963</v>
      </c>
      <c r="BA33" s="498" t="s">
        <v>830</v>
      </c>
      <c r="BB33" s="497" t="s">
        <v>986</v>
      </c>
      <c r="BC33" s="498" t="s">
        <v>37</v>
      </c>
      <c r="BD33" s="497" t="s">
        <v>986</v>
      </c>
      <c r="BE33" s="498" t="s">
        <v>37</v>
      </c>
      <c r="BF33" s="497" t="s">
        <v>986</v>
      </c>
      <c r="BG33" s="498" t="s">
        <v>37</v>
      </c>
      <c r="BH33" s="497" t="s">
        <v>966</v>
      </c>
      <c r="BI33" s="498" t="s">
        <v>483</v>
      </c>
      <c r="BJ33" s="497" t="s">
        <v>986</v>
      </c>
      <c r="BK33" s="498" t="s">
        <v>37</v>
      </c>
      <c r="BL33" s="497" t="s">
        <v>964</v>
      </c>
      <c r="BM33" s="498" t="s">
        <v>1635</v>
      </c>
      <c r="BN33" s="497" t="s">
        <v>986</v>
      </c>
      <c r="BO33" s="499" t="s">
        <v>37</v>
      </c>
      <c r="BP33" s="497" t="s">
        <v>963</v>
      </c>
      <c r="BQ33" s="498" t="s">
        <v>250</v>
      </c>
      <c r="BR33" s="497" t="s">
        <v>967</v>
      </c>
      <c r="BS33" s="498" t="s">
        <v>2154</v>
      </c>
      <c r="BT33" s="497" t="s">
        <v>964</v>
      </c>
      <c r="BU33" s="498" t="s">
        <v>1707</v>
      </c>
      <c r="BV33" s="497" t="s">
        <v>986</v>
      </c>
      <c r="BW33" s="498" t="s">
        <v>37</v>
      </c>
      <c r="BX33" s="497" t="s">
        <v>963</v>
      </c>
      <c r="BY33" s="498" t="s">
        <v>933</v>
      </c>
      <c r="BZ33" s="497" t="s">
        <v>963</v>
      </c>
      <c r="CA33" s="498" t="s">
        <v>934</v>
      </c>
      <c r="CB33" s="497" t="s">
        <v>986</v>
      </c>
      <c r="CC33" s="498" t="s">
        <v>37</v>
      </c>
      <c r="CD33" s="497" t="s">
        <v>963</v>
      </c>
      <c r="CE33" s="498" t="s">
        <v>1267</v>
      </c>
      <c r="CF33" s="497" t="s">
        <v>963</v>
      </c>
      <c r="CG33" s="498" t="s">
        <v>498</v>
      </c>
      <c r="CH33" s="497" t="s">
        <v>986</v>
      </c>
      <c r="CI33" s="499" t="s">
        <v>37</v>
      </c>
      <c r="CJ33" s="497" t="s">
        <v>986</v>
      </c>
      <c r="CK33" s="498" t="s">
        <v>37</v>
      </c>
      <c r="CL33" s="497" t="s">
        <v>986</v>
      </c>
      <c r="CM33" s="498" t="s">
        <v>37</v>
      </c>
      <c r="CN33" s="497" t="s">
        <v>963</v>
      </c>
      <c r="CO33" s="498" t="s">
        <v>1792</v>
      </c>
      <c r="CP33" s="518" t="s">
        <v>1742</v>
      </c>
      <c r="CQ33" s="34"/>
      <c r="CR33" s="34"/>
    </row>
    <row r="34" spans="1:96" s="5" customFormat="1" ht="79.5" thickBot="1" x14ac:dyDescent="0.25">
      <c r="A34" s="124">
        <f t="shared" si="0"/>
        <v>29</v>
      </c>
      <c r="B34" s="509" t="s">
        <v>583</v>
      </c>
      <c r="C34" s="509" t="s">
        <v>1463</v>
      </c>
      <c r="D34" s="510">
        <v>342</v>
      </c>
      <c r="E34" s="510" t="s">
        <v>2386</v>
      </c>
      <c r="F34" s="497" t="s">
        <v>967</v>
      </c>
      <c r="G34" s="498" t="s">
        <v>1617</v>
      </c>
      <c r="H34" s="497" t="s">
        <v>967</v>
      </c>
      <c r="I34" s="498" t="s">
        <v>1123</v>
      </c>
      <c r="J34" s="497" t="s">
        <v>967</v>
      </c>
      <c r="K34" s="498" t="s">
        <v>1124</v>
      </c>
      <c r="L34" s="497" t="s">
        <v>964</v>
      </c>
      <c r="M34" s="498" t="s">
        <v>1516</v>
      </c>
      <c r="N34" s="497" t="s">
        <v>964</v>
      </c>
      <c r="O34" s="498" t="s">
        <v>1516</v>
      </c>
      <c r="P34" s="497" t="s">
        <v>967</v>
      </c>
      <c r="Q34" s="498" t="s">
        <v>767</v>
      </c>
      <c r="R34" s="497" t="s">
        <v>963</v>
      </c>
      <c r="S34" s="498" t="s">
        <v>768</v>
      </c>
      <c r="T34" s="497" t="s">
        <v>986</v>
      </c>
      <c r="U34" s="499" t="s">
        <v>134</v>
      </c>
      <c r="V34" s="497" t="s">
        <v>965</v>
      </c>
      <c r="W34" s="498" t="s">
        <v>1374</v>
      </c>
      <c r="X34" s="497" t="s">
        <v>986</v>
      </c>
      <c r="Y34" s="498" t="s">
        <v>2180</v>
      </c>
      <c r="Z34" s="497" t="s">
        <v>986</v>
      </c>
      <c r="AA34" s="498" t="s">
        <v>2180</v>
      </c>
      <c r="AB34" s="497" t="s">
        <v>986</v>
      </c>
      <c r="AC34" s="498" t="s">
        <v>2180</v>
      </c>
      <c r="AD34" s="497" t="s">
        <v>986</v>
      </c>
      <c r="AE34" s="498" t="s">
        <v>37</v>
      </c>
      <c r="AF34" s="497" t="s">
        <v>986</v>
      </c>
      <c r="AG34" s="499" t="s">
        <v>37</v>
      </c>
      <c r="AH34" s="497" t="s">
        <v>986</v>
      </c>
      <c r="AI34" s="498" t="s">
        <v>37</v>
      </c>
      <c r="AJ34" s="497" t="s">
        <v>986</v>
      </c>
      <c r="AK34" s="498" t="s">
        <v>37</v>
      </c>
      <c r="AL34" s="497" t="s">
        <v>986</v>
      </c>
      <c r="AM34" s="499" t="s">
        <v>37</v>
      </c>
      <c r="AN34" s="497" t="s">
        <v>963</v>
      </c>
      <c r="AO34" s="498" t="s">
        <v>775</v>
      </c>
      <c r="AP34" s="497" t="s">
        <v>965</v>
      </c>
      <c r="AQ34" s="498" t="s">
        <v>693</v>
      </c>
      <c r="AR34" s="497" t="s">
        <v>986</v>
      </c>
      <c r="AS34" s="499" t="s">
        <v>37</v>
      </c>
      <c r="AT34" s="497" t="s">
        <v>986</v>
      </c>
      <c r="AU34" s="499" t="s">
        <v>37</v>
      </c>
      <c r="AV34" s="497" t="s">
        <v>986</v>
      </c>
      <c r="AW34" s="498" t="s">
        <v>37</v>
      </c>
      <c r="AX34" s="497" t="s">
        <v>986</v>
      </c>
      <c r="AY34" s="498" t="s">
        <v>37</v>
      </c>
      <c r="AZ34" s="497" t="s">
        <v>964</v>
      </c>
      <c r="BA34" s="498" t="s">
        <v>1068</v>
      </c>
      <c r="BB34" s="497" t="s">
        <v>986</v>
      </c>
      <c r="BC34" s="498" t="s">
        <v>37</v>
      </c>
      <c r="BD34" s="497" t="s">
        <v>986</v>
      </c>
      <c r="BE34" s="498" t="s">
        <v>37</v>
      </c>
      <c r="BF34" s="497" t="s">
        <v>986</v>
      </c>
      <c r="BG34" s="498" t="s">
        <v>37</v>
      </c>
      <c r="BH34" s="497" t="s">
        <v>963</v>
      </c>
      <c r="BI34" s="498" t="s">
        <v>484</v>
      </c>
      <c r="BJ34" s="497" t="s">
        <v>986</v>
      </c>
      <c r="BK34" s="498" t="s">
        <v>37</v>
      </c>
      <c r="BL34" s="497" t="s">
        <v>965</v>
      </c>
      <c r="BM34" s="498" t="s">
        <v>1635</v>
      </c>
      <c r="BN34" s="497" t="s">
        <v>986</v>
      </c>
      <c r="BO34" s="499" t="s">
        <v>37</v>
      </c>
      <c r="BP34" s="497" t="s">
        <v>967</v>
      </c>
      <c r="BQ34" s="498" t="s">
        <v>1051</v>
      </c>
      <c r="BR34" s="497" t="s">
        <v>967</v>
      </c>
      <c r="BS34" s="498" t="s">
        <v>2154</v>
      </c>
      <c r="BT34" s="497" t="s">
        <v>964</v>
      </c>
      <c r="BU34" s="498" t="s">
        <v>1449</v>
      </c>
      <c r="BV34" s="497" t="s">
        <v>986</v>
      </c>
      <c r="BW34" s="498" t="s">
        <v>37</v>
      </c>
      <c r="BX34" s="497" t="s">
        <v>963</v>
      </c>
      <c r="BY34" s="498" t="s">
        <v>933</v>
      </c>
      <c r="BZ34" s="497" t="s">
        <v>963</v>
      </c>
      <c r="CA34" s="498" t="s">
        <v>934</v>
      </c>
      <c r="CB34" s="497" t="s">
        <v>986</v>
      </c>
      <c r="CC34" s="498" t="s">
        <v>37</v>
      </c>
      <c r="CD34" s="497" t="s">
        <v>963</v>
      </c>
      <c r="CE34" s="498" t="s">
        <v>1267</v>
      </c>
      <c r="CF34" s="497" t="s">
        <v>986</v>
      </c>
      <c r="CG34" s="498" t="s">
        <v>37</v>
      </c>
      <c r="CH34" s="497" t="s">
        <v>986</v>
      </c>
      <c r="CI34" s="499" t="s">
        <v>37</v>
      </c>
      <c r="CJ34" s="497" t="s">
        <v>986</v>
      </c>
      <c r="CK34" s="498" t="s">
        <v>37</v>
      </c>
      <c r="CL34" s="497" t="s">
        <v>986</v>
      </c>
      <c r="CM34" s="498" t="s">
        <v>37</v>
      </c>
      <c r="CN34" s="497" t="s">
        <v>986</v>
      </c>
      <c r="CO34" s="498" t="s">
        <v>37</v>
      </c>
      <c r="CP34" s="518" t="s">
        <v>1741</v>
      </c>
      <c r="CQ34" s="34"/>
      <c r="CR34" s="34"/>
    </row>
    <row r="35" spans="1:96" s="5" customFormat="1" ht="79.5" thickBot="1" x14ac:dyDescent="0.25">
      <c r="A35" s="124">
        <f t="shared" si="0"/>
        <v>30</v>
      </c>
      <c r="B35" s="509" t="s">
        <v>584</v>
      </c>
      <c r="C35" s="509" t="s">
        <v>1605</v>
      </c>
      <c r="D35" s="510" t="s">
        <v>888</v>
      </c>
      <c r="E35" s="510" t="s">
        <v>2386</v>
      </c>
      <c r="F35" s="497" t="s">
        <v>986</v>
      </c>
      <c r="G35" s="498" t="s">
        <v>37</v>
      </c>
      <c r="H35" s="497" t="s">
        <v>964</v>
      </c>
      <c r="I35" s="498" t="s">
        <v>834</v>
      </c>
      <c r="J35" s="497" t="s">
        <v>986</v>
      </c>
      <c r="K35" s="498" t="s">
        <v>37</v>
      </c>
      <c r="L35" s="497" t="s">
        <v>986</v>
      </c>
      <c r="M35" s="498" t="s">
        <v>37</v>
      </c>
      <c r="N35" s="497" t="s">
        <v>986</v>
      </c>
      <c r="O35" s="498" t="s">
        <v>37</v>
      </c>
      <c r="P35" s="497" t="s">
        <v>965</v>
      </c>
      <c r="Q35" s="498" t="s">
        <v>210</v>
      </c>
      <c r="R35" s="497" t="s">
        <v>986</v>
      </c>
      <c r="S35" s="498" t="s">
        <v>37</v>
      </c>
      <c r="T35" s="497" t="s">
        <v>986</v>
      </c>
      <c r="U35" s="499" t="s">
        <v>37</v>
      </c>
      <c r="V35" s="497" t="s">
        <v>986</v>
      </c>
      <c r="W35" s="498" t="s">
        <v>37</v>
      </c>
      <c r="X35" s="497" t="s">
        <v>986</v>
      </c>
      <c r="Y35" s="498" t="s">
        <v>37</v>
      </c>
      <c r="Z35" s="497" t="s">
        <v>986</v>
      </c>
      <c r="AA35" s="498" t="s">
        <v>37</v>
      </c>
      <c r="AB35" s="497" t="s">
        <v>986</v>
      </c>
      <c r="AC35" s="498" t="s">
        <v>37</v>
      </c>
      <c r="AD35" s="497" t="s">
        <v>986</v>
      </c>
      <c r="AE35" s="498" t="s">
        <v>37</v>
      </c>
      <c r="AF35" s="497" t="s">
        <v>986</v>
      </c>
      <c r="AG35" s="499" t="s">
        <v>37</v>
      </c>
      <c r="AH35" s="497" t="s">
        <v>986</v>
      </c>
      <c r="AI35" s="498" t="s">
        <v>37</v>
      </c>
      <c r="AJ35" s="497" t="s">
        <v>965</v>
      </c>
      <c r="AK35" s="498" t="s">
        <v>424</v>
      </c>
      <c r="AL35" s="497" t="s">
        <v>986</v>
      </c>
      <c r="AM35" s="499" t="s">
        <v>37</v>
      </c>
      <c r="AN35" s="497" t="s">
        <v>965</v>
      </c>
      <c r="AO35" s="498" t="s">
        <v>735</v>
      </c>
      <c r="AP35" s="497" t="s">
        <v>986</v>
      </c>
      <c r="AQ35" s="498" t="s">
        <v>37</v>
      </c>
      <c r="AR35" s="497" t="s">
        <v>965</v>
      </c>
      <c r="AS35" s="499" t="s">
        <v>530</v>
      </c>
      <c r="AT35" s="497" t="s">
        <v>986</v>
      </c>
      <c r="AU35" s="499" t="s">
        <v>37</v>
      </c>
      <c r="AV35" s="497" t="s">
        <v>986</v>
      </c>
      <c r="AW35" s="498" t="s">
        <v>37</v>
      </c>
      <c r="AX35" s="497" t="s">
        <v>986</v>
      </c>
      <c r="AY35" s="498" t="s">
        <v>37</v>
      </c>
      <c r="AZ35" s="497" t="s">
        <v>965</v>
      </c>
      <c r="BA35" s="498" t="s">
        <v>1348</v>
      </c>
      <c r="BB35" s="497" t="s">
        <v>986</v>
      </c>
      <c r="BC35" s="498" t="s">
        <v>37</v>
      </c>
      <c r="BD35" s="497" t="s">
        <v>986</v>
      </c>
      <c r="BE35" s="498" t="s">
        <v>37</v>
      </c>
      <c r="BF35" s="497" t="s">
        <v>986</v>
      </c>
      <c r="BG35" s="498" t="s">
        <v>37</v>
      </c>
      <c r="BH35" s="497" t="s">
        <v>963</v>
      </c>
      <c r="BI35" s="498" t="s">
        <v>485</v>
      </c>
      <c r="BJ35" s="497" t="s">
        <v>986</v>
      </c>
      <c r="BK35" s="498" t="s">
        <v>37</v>
      </c>
      <c r="BL35" s="497" t="s">
        <v>986</v>
      </c>
      <c r="BM35" s="498" t="s">
        <v>37</v>
      </c>
      <c r="BN35" s="497" t="s">
        <v>986</v>
      </c>
      <c r="BO35" s="499" t="s">
        <v>37</v>
      </c>
      <c r="BP35" s="497" t="s">
        <v>963</v>
      </c>
      <c r="BQ35" s="498" t="s">
        <v>1052</v>
      </c>
      <c r="BR35" s="497" t="s">
        <v>986</v>
      </c>
      <c r="BS35" s="498" t="s">
        <v>37</v>
      </c>
      <c r="BT35" s="497" t="s">
        <v>986</v>
      </c>
      <c r="BU35" s="498" t="s">
        <v>37</v>
      </c>
      <c r="BV35" s="497" t="s">
        <v>986</v>
      </c>
      <c r="BW35" s="498" t="s">
        <v>37</v>
      </c>
      <c r="BX35" s="497" t="s">
        <v>986</v>
      </c>
      <c r="BY35" s="498" t="s">
        <v>37</v>
      </c>
      <c r="BZ35" s="497" t="s">
        <v>986</v>
      </c>
      <c r="CA35" s="498" t="s">
        <v>37</v>
      </c>
      <c r="CB35" s="497" t="s">
        <v>986</v>
      </c>
      <c r="CC35" s="498" t="s">
        <v>37</v>
      </c>
      <c r="CD35" s="497" t="s">
        <v>986</v>
      </c>
      <c r="CE35" s="498" t="s">
        <v>37</v>
      </c>
      <c r="CF35" s="497" t="s">
        <v>986</v>
      </c>
      <c r="CG35" s="498" t="s">
        <v>37</v>
      </c>
      <c r="CH35" s="497" t="s">
        <v>986</v>
      </c>
      <c r="CI35" s="499" t="s">
        <v>37</v>
      </c>
      <c r="CJ35" s="497" t="s">
        <v>986</v>
      </c>
      <c r="CK35" s="498" t="s">
        <v>37</v>
      </c>
      <c r="CL35" s="497" t="s">
        <v>986</v>
      </c>
      <c r="CM35" s="498" t="s">
        <v>37</v>
      </c>
      <c r="CN35" s="497" t="s">
        <v>986</v>
      </c>
      <c r="CO35" s="498" t="s">
        <v>37</v>
      </c>
      <c r="CP35" s="518" t="s">
        <v>1666</v>
      </c>
      <c r="CQ35" s="34"/>
      <c r="CR35" s="34"/>
    </row>
    <row r="36" spans="1:96" s="5" customFormat="1" ht="79.5" thickBot="1" x14ac:dyDescent="0.25">
      <c r="A36" s="124">
        <f t="shared" si="0"/>
        <v>31</v>
      </c>
      <c r="B36" s="509" t="s">
        <v>585</v>
      </c>
      <c r="C36" s="509" t="s">
        <v>1605</v>
      </c>
      <c r="D36" s="510" t="s">
        <v>1478</v>
      </c>
      <c r="E36" s="510" t="s">
        <v>2386</v>
      </c>
      <c r="F36" s="497" t="s">
        <v>986</v>
      </c>
      <c r="G36" s="498" t="s">
        <v>37</v>
      </c>
      <c r="H36" s="497" t="s">
        <v>964</v>
      </c>
      <c r="I36" s="498" t="s">
        <v>376</v>
      </c>
      <c r="J36" s="497" t="s">
        <v>986</v>
      </c>
      <c r="K36" s="498" t="s">
        <v>37</v>
      </c>
      <c r="L36" s="497" t="s">
        <v>986</v>
      </c>
      <c r="M36" s="498" t="s">
        <v>37</v>
      </c>
      <c r="N36" s="497" t="s">
        <v>986</v>
      </c>
      <c r="O36" s="498" t="s">
        <v>37</v>
      </c>
      <c r="P36" s="497" t="s">
        <v>963</v>
      </c>
      <c r="Q36" s="498" t="s">
        <v>211</v>
      </c>
      <c r="R36" s="497" t="s">
        <v>986</v>
      </c>
      <c r="S36" s="498" t="s">
        <v>37</v>
      </c>
      <c r="T36" s="497" t="s">
        <v>986</v>
      </c>
      <c r="U36" s="499" t="s">
        <v>37</v>
      </c>
      <c r="V36" s="497" t="s">
        <v>986</v>
      </c>
      <c r="W36" s="498" t="s">
        <v>37</v>
      </c>
      <c r="X36" s="497" t="s">
        <v>986</v>
      </c>
      <c r="Y36" s="498" t="s">
        <v>37</v>
      </c>
      <c r="Z36" s="497" t="s">
        <v>986</v>
      </c>
      <c r="AA36" s="498" t="s">
        <v>37</v>
      </c>
      <c r="AB36" s="497" t="s">
        <v>986</v>
      </c>
      <c r="AC36" s="498" t="s">
        <v>37</v>
      </c>
      <c r="AD36" s="497" t="s">
        <v>986</v>
      </c>
      <c r="AE36" s="498" t="s">
        <v>37</v>
      </c>
      <c r="AF36" s="497" t="s">
        <v>986</v>
      </c>
      <c r="AG36" s="499" t="s">
        <v>37</v>
      </c>
      <c r="AH36" s="497" t="s">
        <v>986</v>
      </c>
      <c r="AI36" s="498" t="s">
        <v>37</v>
      </c>
      <c r="AJ36" s="497" t="s">
        <v>963</v>
      </c>
      <c r="AK36" s="498" t="s">
        <v>424</v>
      </c>
      <c r="AL36" s="497" t="s">
        <v>986</v>
      </c>
      <c r="AM36" s="499" t="s">
        <v>37</v>
      </c>
      <c r="AN36" s="497" t="s">
        <v>963</v>
      </c>
      <c r="AO36" s="498" t="s">
        <v>735</v>
      </c>
      <c r="AP36" s="497" t="s">
        <v>986</v>
      </c>
      <c r="AQ36" s="498" t="s">
        <v>37</v>
      </c>
      <c r="AR36" s="497" t="s">
        <v>965</v>
      </c>
      <c r="AS36" s="499" t="s">
        <v>530</v>
      </c>
      <c r="AT36" s="497" t="s">
        <v>986</v>
      </c>
      <c r="AU36" s="499" t="s">
        <v>37</v>
      </c>
      <c r="AV36" s="497" t="s">
        <v>986</v>
      </c>
      <c r="AW36" s="498" t="s">
        <v>37</v>
      </c>
      <c r="AX36" s="497" t="s">
        <v>986</v>
      </c>
      <c r="AY36" s="498" t="s">
        <v>37</v>
      </c>
      <c r="AZ36" s="497" t="s">
        <v>965</v>
      </c>
      <c r="BA36" s="498" t="s">
        <v>515</v>
      </c>
      <c r="BB36" s="497" t="s">
        <v>986</v>
      </c>
      <c r="BC36" s="498" t="s">
        <v>37</v>
      </c>
      <c r="BD36" s="497" t="s">
        <v>986</v>
      </c>
      <c r="BE36" s="498" t="s">
        <v>37</v>
      </c>
      <c r="BF36" s="497" t="s">
        <v>986</v>
      </c>
      <c r="BG36" s="498" t="s">
        <v>37</v>
      </c>
      <c r="BH36" s="497" t="s">
        <v>963</v>
      </c>
      <c r="BI36" s="498" t="s">
        <v>2869</v>
      </c>
      <c r="BJ36" s="497" t="s">
        <v>986</v>
      </c>
      <c r="BK36" s="498" t="s">
        <v>37</v>
      </c>
      <c r="BL36" s="497" t="s">
        <v>965</v>
      </c>
      <c r="BM36" s="498" t="s">
        <v>1635</v>
      </c>
      <c r="BN36" s="497" t="s">
        <v>986</v>
      </c>
      <c r="BO36" s="499" t="s">
        <v>37</v>
      </c>
      <c r="BP36" s="497" t="s">
        <v>966</v>
      </c>
      <c r="BQ36" s="498" t="s">
        <v>1052</v>
      </c>
      <c r="BR36" s="497" t="s">
        <v>967</v>
      </c>
      <c r="BS36" s="498" t="s">
        <v>2154</v>
      </c>
      <c r="BT36" s="497" t="s">
        <v>986</v>
      </c>
      <c r="BU36" s="498" t="s">
        <v>37</v>
      </c>
      <c r="BV36" s="497" t="s">
        <v>986</v>
      </c>
      <c r="BW36" s="498" t="s">
        <v>37</v>
      </c>
      <c r="BX36" s="497" t="s">
        <v>986</v>
      </c>
      <c r="BY36" s="568" t="s">
        <v>37</v>
      </c>
      <c r="BZ36" s="497" t="s">
        <v>963</v>
      </c>
      <c r="CA36" s="498" t="s">
        <v>934</v>
      </c>
      <c r="CB36" s="497" t="s">
        <v>986</v>
      </c>
      <c r="CC36" s="498" t="s">
        <v>37</v>
      </c>
      <c r="CD36" s="497" t="s">
        <v>963</v>
      </c>
      <c r="CE36" s="498" t="s">
        <v>1267</v>
      </c>
      <c r="CF36" s="497" t="s">
        <v>965</v>
      </c>
      <c r="CG36" s="498" t="s">
        <v>1303</v>
      </c>
      <c r="CH36" s="497" t="s">
        <v>986</v>
      </c>
      <c r="CI36" s="499" t="s">
        <v>37</v>
      </c>
      <c r="CJ36" s="497" t="s">
        <v>986</v>
      </c>
      <c r="CK36" s="498" t="s">
        <v>37</v>
      </c>
      <c r="CL36" s="497" t="s">
        <v>986</v>
      </c>
      <c r="CM36" s="498" t="s">
        <v>37</v>
      </c>
      <c r="CN36" s="497" t="s">
        <v>986</v>
      </c>
      <c r="CO36" s="498" t="s">
        <v>37</v>
      </c>
      <c r="CP36" s="518" t="s">
        <v>1129</v>
      </c>
      <c r="CQ36" s="34"/>
      <c r="CR36" s="34"/>
    </row>
    <row r="37" spans="1:96" s="5" customFormat="1" ht="90.75" thickBot="1" x14ac:dyDescent="0.25">
      <c r="A37" s="124">
        <f t="shared" si="0"/>
        <v>32</v>
      </c>
      <c r="B37" s="509" t="s">
        <v>586</v>
      </c>
      <c r="C37" s="509" t="s">
        <v>1606</v>
      </c>
      <c r="D37" s="510">
        <v>402</v>
      </c>
      <c r="E37" s="510" t="s">
        <v>2388</v>
      </c>
      <c r="F37" s="497" t="s">
        <v>986</v>
      </c>
      <c r="G37" s="498" t="s">
        <v>37</v>
      </c>
      <c r="H37" s="497" t="s">
        <v>986</v>
      </c>
      <c r="I37" s="498" t="s">
        <v>37</v>
      </c>
      <c r="J37" s="497" t="s">
        <v>986</v>
      </c>
      <c r="K37" s="498" t="s">
        <v>37</v>
      </c>
      <c r="L37" s="497" t="s">
        <v>963</v>
      </c>
      <c r="M37" s="498" t="s">
        <v>1296</v>
      </c>
      <c r="N37" s="497" t="s">
        <v>965</v>
      </c>
      <c r="O37" s="498" t="s">
        <v>979</v>
      </c>
      <c r="P37" s="497" t="s">
        <v>986</v>
      </c>
      <c r="Q37" s="498" t="s">
        <v>37</v>
      </c>
      <c r="R37" s="497" t="s">
        <v>986</v>
      </c>
      <c r="S37" s="498" t="s">
        <v>37</v>
      </c>
      <c r="T37" s="497" t="s">
        <v>986</v>
      </c>
      <c r="U37" s="499" t="s">
        <v>37</v>
      </c>
      <c r="V37" s="497" t="s">
        <v>958</v>
      </c>
      <c r="W37" s="498" t="s">
        <v>1975</v>
      </c>
      <c r="X37" s="497" t="s">
        <v>961</v>
      </c>
      <c r="Y37" s="498" t="s">
        <v>1332</v>
      </c>
      <c r="Z37" s="497" t="s">
        <v>963</v>
      </c>
      <c r="AA37" s="498" t="s">
        <v>1333</v>
      </c>
      <c r="AB37" s="497" t="s">
        <v>958</v>
      </c>
      <c r="AC37" s="498" t="s">
        <v>1334</v>
      </c>
      <c r="AD37" s="497" t="s">
        <v>986</v>
      </c>
      <c r="AE37" s="498" t="s">
        <v>37</v>
      </c>
      <c r="AF37" s="497" t="s">
        <v>963</v>
      </c>
      <c r="AG37" s="499" t="s">
        <v>1006</v>
      </c>
      <c r="AH37" s="497" t="s">
        <v>986</v>
      </c>
      <c r="AI37" s="498" t="s">
        <v>37</v>
      </c>
      <c r="AJ37" s="497" t="s">
        <v>986</v>
      </c>
      <c r="AK37" s="498" t="s">
        <v>37</v>
      </c>
      <c r="AL37" s="497" t="s">
        <v>986</v>
      </c>
      <c r="AM37" s="499" t="s">
        <v>37</v>
      </c>
      <c r="AN37" s="497" t="s">
        <v>986</v>
      </c>
      <c r="AO37" s="498" t="s">
        <v>37</v>
      </c>
      <c r="AP37" s="497" t="s">
        <v>958</v>
      </c>
      <c r="AQ37" s="498" t="s">
        <v>1712</v>
      </c>
      <c r="AR37" s="497" t="s">
        <v>986</v>
      </c>
      <c r="AS37" s="499" t="s">
        <v>37</v>
      </c>
      <c r="AT37" s="497" t="s">
        <v>986</v>
      </c>
      <c r="AU37" s="499" t="s">
        <v>37</v>
      </c>
      <c r="AV37" s="497" t="s">
        <v>961</v>
      </c>
      <c r="AW37" s="498" t="s">
        <v>1730</v>
      </c>
      <c r="AX37" s="497" t="s">
        <v>986</v>
      </c>
      <c r="AY37" s="498" t="s">
        <v>37</v>
      </c>
      <c r="AZ37" s="497" t="s">
        <v>963</v>
      </c>
      <c r="BA37" s="498" t="s">
        <v>516</v>
      </c>
      <c r="BB37" s="497" t="s">
        <v>986</v>
      </c>
      <c r="BC37" s="498" t="s">
        <v>1197</v>
      </c>
      <c r="BD37" s="497" t="s">
        <v>986</v>
      </c>
      <c r="BE37" s="498" t="s">
        <v>37</v>
      </c>
      <c r="BF37" s="497" t="s">
        <v>986</v>
      </c>
      <c r="BG37" s="498" t="s">
        <v>37</v>
      </c>
      <c r="BH37" s="497" t="s">
        <v>986</v>
      </c>
      <c r="BI37" s="498" t="s">
        <v>37</v>
      </c>
      <c r="BJ37" s="497" t="s">
        <v>986</v>
      </c>
      <c r="BK37" s="498" t="s">
        <v>37</v>
      </c>
      <c r="BL37" s="497" t="s">
        <v>986</v>
      </c>
      <c r="BM37" s="498" t="s">
        <v>37</v>
      </c>
      <c r="BN37" s="497" t="s">
        <v>986</v>
      </c>
      <c r="BO37" s="499" t="s">
        <v>37</v>
      </c>
      <c r="BP37" s="497" t="s">
        <v>986</v>
      </c>
      <c r="BQ37" s="498" t="s">
        <v>37</v>
      </c>
      <c r="BR37" s="497" t="s">
        <v>986</v>
      </c>
      <c r="BS37" s="498" t="s">
        <v>37</v>
      </c>
      <c r="BT37" s="497" t="s">
        <v>986</v>
      </c>
      <c r="BU37" s="498" t="s">
        <v>37</v>
      </c>
      <c r="BV37" s="497" t="s">
        <v>986</v>
      </c>
      <c r="BW37" s="498" t="s">
        <v>37</v>
      </c>
      <c r="BX37" s="497" t="s">
        <v>963</v>
      </c>
      <c r="BY37" s="498" t="s">
        <v>1024</v>
      </c>
      <c r="BZ37" s="497" t="s">
        <v>963</v>
      </c>
      <c r="CA37" s="498" t="s">
        <v>1025</v>
      </c>
      <c r="CB37" s="497" t="s">
        <v>965</v>
      </c>
      <c r="CC37" s="498" t="s">
        <v>1026</v>
      </c>
      <c r="CD37" s="497" t="s">
        <v>963</v>
      </c>
      <c r="CE37" s="498" t="s">
        <v>1027</v>
      </c>
      <c r="CF37" s="497" t="s">
        <v>986</v>
      </c>
      <c r="CG37" s="498" t="s">
        <v>37</v>
      </c>
      <c r="CH37" s="497" t="s">
        <v>986</v>
      </c>
      <c r="CI37" s="499" t="s">
        <v>37</v>
      </c>
      <c r="CJ37" s="497" t="s">
        <v>964</v>
      </c>
      <c r="CK37" s="498" t="s">
        <v>168</v>
      </c>
      <c r="CL37" s="497" t="s">
        <v>986</v>
      </c>
      <c r="CM37" s="498" t="s">
        <v>37</v>
      </c>
      <c r="CN37" s="497" t="s">
        <v>986</v>
      </c>
      <c r="CO37" s="498" t="s">
        <v>37</v>
      </c>
      <c r="CP37" s="517"/>
      <c r="CQ37" s="34"/>
      <c r="CR37" s="34"/>
    </row>
    <row r="38" spans="1:96" s="20" customFormat="1" ht="82.15" customHeight="1" thickBot="1" x14ac:dyDescent="0.25">
      <c r="A38" s="124">
        <f t="shared" si="0"/>
        <v>33</v>
      </c>
      <c r="B38" s="509" t="s">
        <v>587</v>
      </c>
      <c r="C38" s="509" t="s">
        <v>1606</v>
      </c>
      <c r="D38" s="510">
        <v>348</v>
      </c>
      <c r="E38" s="510" t="s">
        <v>2388</v>
      </c>
      <c r="F38" s="497" t="s">
        <v>986</v>
      </c>
      <c r="G38" s="498" t="s">
        <v>37</v>
      </c>
      <c r="H38" s="497" t="s">
        <v>986</v>
      </c>
      <c r="I38" s="498" t="s">
        <v>37</v>
      </c>
      <c r="J38" s="497" t="s">
        <v>986</v>
      </c>
      <c r="K38" s="498" t="s">
        <v>37</v>
      </c>
      <c r="L38" s="497" t="s">
        <v>986</v>
      </c>
      <c r="M38" s="498" t="s">
        <v>37</v>
      </c>
      <c r="N38" s="497" t="s">
        <v>958</v>
      </c>
      <c r="O38" s="498" t="s">
        <v>1252</v>
      </c>
      <c r="P38" s="497" t="s">
        <v>986</v>
      </c>
      <c r="Q38" s="498" t="s">
        <v>37</v>
      </c>
      <c r="R38" s="497" t="s">
        <v>986</v>
      </c>
      <c r="S38" s="498" t="s">
        <v>37</v>
      </c>
      <c r="T38" s="497" t="s">
        <v>986</v>
      </c>
      <c r="U38" s="499" t="s">
        <v>37</v>
      </c>
      <c r="V38" s="497" t="s">
        <v>986</v>
      </c>
      <c r="W38" s="498" t="s">
        <v>37</v>
      </c>
      <c r="X38" s="497" t="s">
        <v>986</v>
      </c>
      <c r="Y38" s="498" t="s">
        <v>37</v>
      </c>
      <c r="Z38" s="497" t="s">
        <v>963</v>
      </c>
      <c r="AA38" s="498" t="s">
        <v>1253</v>
      </c>
      <c r="AB38" s="497" t="s">
        <v>986</v>
      </c>
      <c r="AC38" s="498" t="s">
        <v>37</v>
      </c>
      <c r="AD38" s="497" t="s">
        <v>986</v>
      </c>
      <c r="AE38" s="498" t="s">
        <v>37</v>
      </c>
      <c r="AF38" s="497" t="s">
        <v>963</v>
      </c>
      <c r="AG38" s="499" t="s">
        <v>1627</v>
      </c>
      <c r="AH38" s="497" t="s">
        <v>963</v>
      </c>
      <c r="AI38" s="498" t="s">
        <v>377</v>
      </c>
      <c r="AJ38" s="497" t="s">
        <v>986</v>
      </c>
      <c r="AK38" s="498" t="s">
        <v>37</v>
      </c>
      <c r="AL38" s="497" t="s">
        <v>986</v>
      </c>
      <c r="AM38" s="499" t="s">
        <v>37</v>
      </c>
      <c r="AN38" s="497" t="s">
        <v>986</v>
      </c>
      <c r="AO38" s="498" t="s">
        <v>37</v>
      </c>
      <c r="AP38" s="497" t="s">
        <v>986</v>
      </c>
      <c r="AQ38" s="498" t="s">
        <v>37</v>
      </c>
      <c r="AR38" s="497" t="s">
        <v>986</v>
      </c>
      <c r="AS38" s="499" t="s">
        <v>37</v>
      </c>
      <c r="AT38" s="497" t="s">
        <v>986</v>
      </c>
      <c r="AU38" s="499" t="s">
        <v>37</v>
      </c>
      <c r="AV38" s="497" t="s">
        <v>986</v>
      </c>
      <c r="AW38" s="498" t="s">
        <v>37</v>
      </c>
      <c r="AX38" s="497" t="s">
        <v>986</v>
      </c>
      <c r="AY38" s="498" t="s">
        <v>37</v>
      </c>
      <c r="AZ38" s="497" t="s">
        <v>986</v>
      </c>
      <c r="BA38" s="498" t="s">
        <v>37</v>
      </c>
      <c r="BB38" s="497" t="s">
        <v>961</v>
      </c>
      <c r="BC38" s="498" t="s">
        <v>1196</v>
      </c>
      <c r="BD38" s="497" t="s">
        <v>986</v>
      </c>
      <c r="BE38" s="498" t="s">
        <v>37</v>
      </c>
      <c r="BF38" s="497" t="s">
        <v>986</v>
      </c>
      <c r="BG38" s="498" t="s">
        <v>37</v>
      </c>
      <c r="BH38" s="497" t="s">
        <v>986</v>
      </c>
      <c r="BI38" s="498" t="s">
        <v>37</v>
      </c>
      <c r="BJ38" s="497" t="s">
        <v>986</v>
      </c>
      <c r="BK38" s="498" t="s">
        <v>37</v>
      </c>
      <c r="BL38" s="497" t="s">
        <v>986</v>
      </c>
      <c r="BM38" s="498" t="s">
        <v>37</v>
      </c>
      <c r="BN38" s="497" t="s">
        <v>986</v>
      </c>
      <c r="BO38" s="499" t="s">
        <v>37</v>
      </c>
      <c r="BP38" s="497" t="s">
        <v>986</v>
      </c>
      <c r="BQ38" s="498" t="s">
        <v>37</v>
      </c>
      <c r="BR38" s="497" t="s">
        <v>986</v>
      </c>
      <c r="BS38" s="498" t="s">
        <v>37</v>
      </c>
      <c r="BT38" s="497" t="s">
        <v>986</v>
      </c>
      <c r="BU38" s="498" t="s">
        <v>37</v>
      </c>
      <c r="BV38" s="497" t="s">
        <v>986</v>
      </c>
      <c r="BW38" s="498" t="s">
        <v>37</v>
      </c>
      <c r="BX38" s="497" t="s">
        <v>961</v>
      </c>
      <c r="BY38" s="498" t="s">
        <v>378</v>
      </c>
      <c r="BZ38" s="497" t="s">
        <v>961</v>
      </c>
      <c r="CA38" s="498" t="s">
        <v>814</v>
      </c>
      <c r="CB38" s="497" t="s">
        <v>961</v>
      </c>
      <c r="CC38" s="498" t="s">
        <v>815</v>
      </c>
      <c r="CD38" s="497" t="s">
        <v>961</v>
      </c>
      <c r="CE38" s="498" t="s">
        <v>245</v>
      </c>
      <c r="CF38" s="497" t="s">
        <v>986</v>
      </c>
      <c r="CG38" s="498" t="s">
        <v>37</v>
      </c>
      <c r="CH38" s="497" t="s">
        <v>986</v>
      </c>
      <c r="CI38" s="499" t="s">
        <v>37</v>
      </c>
      <c r="CJ38" s="497" t="s">
        <v>964</v>
      </c>
      <c r="CK38" s="498" t="s">
        <v>168</v>
      </c>
      <c r="CL38" s="497" t="s">
        <v>986</v>
      </c>
      <c r="CM38" s="498" t="s">
        <v>37</v>
      </c>
      <c r="CN38" s="497" t="s">
        <v>986</v>
      </c>
      <c r="CO38" s="498" t="s">
        <v>37</v>
      </c>
      <c r="CP38" s="517"/>
      <c r="CQ38" s="35"/>
      <c r="CR38" s="35"/>
    </row>
    <row r="39" spans="1:96" s="5" customFormat="1" ht="112.9" customHeight="1" thickBot="1" x14ac:dyDescent="0.25">
      <c r="A39" s="124">
        <f t="shared" si="0"/>
        <v>34</v>
      </c>
      <c r="B39" s="509" t="s">
        <v>588</v>
      </c>
      <c r="C39" s="509" t="s">
        <v>1605</v>
      </c>
      <c r="D39" s="510">
        <v>324</v>
      </c>
      <c r="E39" s="510" t="s">
        <v>2386</v>
      </c>
      <c r="F39" s="497" t="s">
        <v>986</v>
      </c>
      <c r="G39" s="498" t="s">
        <v>37</v>
      </c>
      <c r="H39" s="497" t="s">
        <v>986</v>
      </c>
      <c r="I39" s="498" t="s">
        <v>37</v>
      </c>
      <c r="J39" s="497" t="s">
        <v>986</v>
      </c>
      <c r="K39" s="498" t="s">
        <v>37</v>
      </c>
      <c r="L39" s="497" t="s">
        <v>986</v>
      </c>
      <c r="M39" s="498" t="s">
        <v>37</v>
      </c>
      <c r="N39" s="497" t="s">
        <v>986</v>
      </c>
      <c r="O39" s="498" t="s">
        <v>37</v>
      </c>
      <c r="P39" s="497" t="s">
        <v>962</v>
      </c>
      <c r="Q39" s="498" t="s">
        <v>1182</v>
      </c>
      <c r="R39" s="497" t="s">
        <v>967</v>
      </c>
      <c r="S39" s="498" t="s">
        <v>342</v>
      </c>
      <c r="T39" s="497" t="s">
        <v>958</v>
      </c>
      <c r="U39" s="499" t="s">
        <v>1183</v>
      </c>
      <c r="V39" s="497" t="s">
        <v>963</v>
      </c>
      <c r="W39" s="498" t="s">
        <v>1615</v>
      </c>
      <c r="X39" s="497" t="s">
        <v>961</v>
      </c>
      <c r="Y39" s="498" t="s">
        <v>1614</v>
      </c>
      <c r="Z39" s="497" t="s">
        <v>986</v>
      </c>
      <c r="AA39" s="498" t="s">
        <v>37</v>
      </c>
      <c r="AB39" s="497" t="s">
        <v>963</v>
      </c>
      <c r="AC39" s="498" t="s">
        <v>1191</v>
      </c>
      <c r="AD39" s="497" t="s">
        <v>986</v>
      </c>
      <c r="AE39" s="498" t="s">
        <v>37</v>
      </c>
      <c r="AF39" s="497" t="s">
        <v>963</v>
      </c>
      <c r="AG39" s="499" t="s">
        <v>1118</v>
      </c>
      <c r="AH39" s="497" t="s">
        <v>963</v>
      </c>
      <c r="AI39" s="498" t="s">
        <v>25</v>
      </c>
      <c r="AJ39" s="497" t="s">
        <v>986</v>
      </c>
      <c r="AK39" s="498" t="s">
        <v>37</v>
      </c>
      <c r="AL39" s="497" t="s">
        <v>986</v>
      </c>
      <c r="AM39" s="499" t="s">
        <v>37</v>
      </c>
      <c r="AN39" s="497" t="s">
        <v>965</v>
      </c>
      <c r="AO39" s="498" t="s">
        <v>1298</v>
      </c>
      <c r="AP39" s="497" t="s">
        <v>961</v>
      </c>
      <c r="AQ39" s="498" t="s">
        <v>1192</v>
      </c>
      <c r="AR39" s="497" t="s">
        <v>965</v>
      </c>
      <c r="AS39" s="499" t="s">
        <v>1299</v>
      </c>
      <c r="AT39" s="497" t="s">
        <v>986</v>
      </c>
      <c r="AU39" s="499" t="s">
        <v>37</v>
      </c>
      <c r="AV39" s="497" t="s">
        <v>986</v>
      </c>
      <c r="AW39" s="498" t="s">
        <v>37</v>
      </c>
      <c r="AX39" s="497" t="s">
        <v>986</v>
      </c>
      <c r="AY39" s="498" t="s">
        <v>37</v>
      </c>
      <c r="AZ39" s="497" t="s">
        <v>986</v>
      </c>
      <c r="BA39" s="498" t="s">
        <v>37</v>
      </c>
      <c r="BB39" s="497" t="s">
        <v>986</v>
      </c>
      <c r="BC39" s="498" t="s">
        <v>37</v>
      </c>
      <c r="BD39" s="497" t="s">
        <v>986</v>
      </c>
      <c r="BE39" s="498" t="s">
        <v>37</v>
      </c>
      <c r="BF39" s="497" t="s">
        <v>986</v>
      </c>
      <c r="BG39" s="498" t="s">
        <v>37</v>
      </c>
      <c r="BH39" s="497" t="s">
        <v>961</v>
      </c>
      <c r="BI39" s="498" t="s">
        <v>2855</v>
      </c>
      <c r="BJ39" s="497" t="s">
        <v>958</v>
      </c>
      <c r="BK39" s="498" t="s">
        <v>2856</v>
      </c>
      <c r="BL39" s="497" t="s">
        <v>958</v>
      </c>
      <c r="BM39" s="498" t="s">
        <v>2857</v>
      </c>
      <c r="BN39" s="497" t="s">
        <v>986</v>
      </c>
      <c r="BO39" s="499" t="s">
        <v>37</v>
      </c>
      <c r="BP39" s="497" t="s">
        <v>963</v>
      </c>
      <c r="BQ39" s="498" t="s">
        <v>466</v>
      </c>
      <c r="BR39" s="497" t="s">
        <v>986</v>
      </c>
      <c r="BS39" s="498" t="s">
        <v>37</v>
      </c>
      <c r="BT39" s="497" t="s">
        <v>986</v>
      </c>
      <c r="BU39" s="498" t="s">
        <v>37</v>
      </c>
      <c r="BV39" s="497" t="s">
        <v>986</v>
      </c>
      <c r="BW39" s="498" t="s">
        <v>37</v>
      </c>
      <c r="BX39" s="497" t="s">
        <v>986</v>
      </c>
      <c r="BY39" s="498" t="s">
        <v>37</v>
      </c>
      <c r="BZ39" s="497" t="s">
        <v>986</v>
      </c>
      <c r="CA39" s="498" t="s">
        <v>37</v>
      </c>
      <c r="CB39" s="497" t="s">
        <v>986</v>
      </c>
      <c r="CC39" s="498" t="s">
        <v>37</v>
      </c>
      <c r="CD39" s="497" t="s">
        <v>986</v>
      </c>
      <c r="CE39" s="498" t="s">
        <v>37</v>
      </c>
      <c r="CF39" s="497" t="s">
        <v>963</v>
      </c>
      <c r="CG39" s="498" t="s">
        <v>500</v>
      </c>
      <c r="CH39" s="497" t="s">
        <v>986</v>
      </c>
      <c r="CI39" s="499" t="s">
        <v>37</v>
      </c>
      <c r="CJ39" s="497" t="s">
        <v>986</v>
      </c>
      <c r="CK39" s="498" t="s">
        <v>37</v>
      </c>
      <c r="CL39" s="497" t="s">
        <v>986</v>
      </c>
      <c r="CM39" s="498" t="s">
        <v>37</v>
      </c>
      <c r="CN39" s="497" t="s">
        <v>986</v>
      </c>
      <c r="CO39" s="498" t="s">
        <v>37</v>
      </c>
      <c r="CP39" s="518" t="s">
        <v>2776</v>
      </c>
      <c r="CQ39" s="34"/>
      <c r="CR39" s="34"/>
    </row>
    <row r="40" spans="1:96" s="5" customFormat="1" ht="49.5" customHeight="1" thickBot="1" x14ac:dyDescent="0.25">
      <c r="A40" s="124">
        <f t="shared" si="0"/>
        <v>35</v>
      </c>
      <c r="B40" s="509" t="s">
        <v>3877</v>
      </c>
      <c r="C40" s="509" t="s">
        <v>1601</v>
      </c>
      <c r="D40" s="510">
        <v>605</v>
      </c>
      <c r="E40" s="510" t="s">
        <v>2388</v>
      </c>
      <c r="F40" s="497" t="s">
        <v>986</v>
      </c>
      <c r="G40" s="498" t="s">
        <v>37</v>
      </c>
      <c r="H40" s="497" t="s">
        <v>986</v>
      </c>
      <c r="I40" s="498" t="s">
        <v>37</v>
      </c>
      <c r="J40" s="497" t="s">
        <v>986</v>
      </c>
      <c r="K40" s="498" t="s">
        <v>37</v>
      </c>
      <c r="L40" s="497" t="s">
        <v>986</v>
      </c>
      <c r="M40" s="498" t="s">
        <v>37</v>
      </c>
      <c r="N40" s="497" t="s">
        <v>986</v>
      </c>
      <c r="O40" s="498" t="s">
        <v>37</v>
      </c>
      <c r="P40" s="497" t="s">
        <v>986</v>
      </c>
      <c r="Q40" s="498" t="s">
        <v>37</v>
      </c>
      <c r="R40" s="497" t="s">
        <v>986</v>
      </c>
      <c r="S40" s="498" t="s">
        <v>37</v>
      </c>
      <c r="T40" s="497" t="s">
        <v>986</v>
      </c>
      <c r="U40" s="499" t="s">
        <v>37</v>
      </c>
      <c r="V40" s="497" t="s">
        <v>986</v>
      </c>
      <c r="W40" s="498" t="s">
        <v>37</v>
      </c>
      <c r="X40" s="497" t="s">
        <v>986</v>
      </c>
      <c r="Y40" s="498" t="s">
        <v>37</v>
      </c>
      <c r="Z40" s="497" t="s">
        <v>986</v>
      </c>
      <c r="AA40" s="498" t="s">
        <v>37</v>
      </c>
      <c r="AB40" s="497" t="s">
        <v>986</v>
      </c>
      <c r="AC40" s="498" t="s">
        <v>37</v>
      </c>
      <c r="AD40" s="497" t="s">
        <v>986</v>
      </c>
      <c r="AE40" s="498" t="s">
        <v>37</v>
      </c>
      <c r="AF40" s="497" t="s">
        <v>986</v>
      </c>
      <c r="AG40" s="499" t="s">
        <v>37</v>
      </c>
      <c r="AH40" s="497" t="s">
        <v>986</v>
      </c>
      <c r="AI40" s="498" t="s">
        <v>37</v>
      </c>
      <c r="AJ40" s="497" t="s">
        <v>986</v>
      </c>
      <c r="AK40" s="498" t="s">
        <v>37</v>
      </c>
      <c r="AL40" s="497" t="s">
        <v>986</v>
      </c>
      <c r="AM40" s="499" t="s">
        <v>37</v>
      </c>
      <c r="AN40" s="497" t="s">
        <v>966</v>
      </c>
      <c r="AO40" s="498" t="s">
        <v>3900</v>
      </c>
      <c r="AP40" s="497" t="s">
        <v>965</v>
      </c>
      <c r="AQ40" s="498" t="s">
        <v>3901</v>
      </c>
      <c r="AR40" s="497" t="s">
        <v>986</v>
      </c>
      <c r="AS40" s="499" t="s">
        <v>37</v>
      </c>
      <c r="AT40" s="497" t="s">
        <v>986</v>
      </c>
      <c r="AU40" s="499" t="s">
        <v>37</v>
      </c>
      <c r="AV40" s="497" t="s">
        <v>986</v>
      </c>
      <c r="AW40" s="498" t="s">
        <v>37</v>
      </c>
      <c r="AX40" s="497" t="s">
        <v>986</v>
      </c>
      <c r="AY40" s="498" t="s">
        <v>37</v>
      </c>
      <c r="AZ40" s="497" t="s">
        <v>986</v>
      </c>
      <c r="BA40" s="498" t="s">
        <v>37</v>
      </c>
      <c r="BB40" s="497" t="s">
        <v>986</v>
      </c>
      <c r="BC40" s="498" t="s">
        <v>37</v>
      </c>
      <c r="BD40" s="497" t="s">
        <v>986</v>
      </c>
      <c r="BE40" s="498" t="s">
        <v>37</v>
      </c>
      <c r="BF40" s="497" t="s">
        <v>986</v>
      </c>
      <c r="BG40" s="498" t="s">
        <v>37</v>
      </c>
      <c r="BH40" s="497" t="s">
        <v>986</v>
      </c>
      <c r="BI40" s="498" t="s">
        <v>37</v>
      </c>
      <c r="BJ40" s="497" t="s">
        <v>986</v>
      </c>
      <c r="BK40" s="498" t="s">
        <v>37</v>
      </c>
      <c r="BL40" s="497" t="s">
        <v>958</v>
      </c>
      <c r="BM40" s="498" t="s">
        <v>4008</v>
      </c>
      <c r="BN40" s="497" t="s">
        <v>986</v>
      </c>
      <c r="BO40" s="499" t="s">
        <v>37</v>
      </c>
      <c r="BP40" s="497" t="s">
        <v>986</v>
      </c>
      <c r="BQ40" s="498" t="s">
        <v>37</v>
      </c>
      <c r="BR40" s="497" t="s">
        <v>986</v>
      </c>
      <c r="BS40" s="498" t="s">
        <v>37</v>
      </c>
      <c r="BT40" s="497" t="s">
        <v>986</v>
      </c>
      <c r="BU40" s="498" t="s">
        <v>37</v>
      </c>
      <c r="BV40" s="497" t="s">
        <v>986</v>
      </c>
      <c r="BW40" s="498" t="s">
        <v>37</v>
      </c>
      <c r="BX40" s="497" t="s">
        <v>986</v>
      </c>
      <c r="BY40" s="498" t="s">
        <v>37</v>
      </c>
      <c r="BZ40" s="497" t="s">
        <v>986</v>
      </c>
      <c r="CA40" s="498" t="s">
        <v>37</v>
      </c>
      <c r="CB40" s="497" t="s">
        <v>986</v>
      </c>
      <c r="CC40" s="498" t="s">
        <v>37</v>
      </c>
      <c r="CD40" s="497" t="s">
        <v>986</v>
      </c>
      <c r="CE40" s="498" t="s">
        <v>37</v>
      </c>
      <c r="CF40" s="497" t="s">
        <v>986</v>
      </c>
      <c r="CG40" s="498" t="s">
        <v>37</v>
      </c>
      <c r="CH40" s="497" t="s">
        <v>986</v>
      </c>
      <c r="CI40" s="499" t="s">
        <v>37</v>
      </c>
      <c r="CJ40" s="497" t="s">
        <v>986</v>
      </c>
      <c r="CK40" s="498" t="s">
        <v>37</v>
      </c>
      <c r="CL40" s="497" t="s">
        <v>986</v>
      </c>
      <c r="CM40" s="498" t="s">
        <v>37</v>
      </c>
      <c r="CN40" s="497" t="s">
        <v>986</v>
      </c>
      <c r="CO40" s="498" t="s">
        <v>37</v>
      </c>
      <c r="CP40" s="517"/>
      <c r="CQ40" s="34"/>
      <c r="CR40" s="34"/>
    </row>
    <row r="41" spans="1:96" s="5" customFormat="1" ht="147" thickBot="1" x14ac:dyDescent="0.25">
      <c r="A41" s="124">
        <f t="shared" si="0"/>
        <v>36</v>
      </c>
      <c r="B41" s="509" t="s">
        <v>589</v>
      </c>
      <c r="C41" s="509" t="s">
        <v>1464</v>
      </c>
      <c r="D41" s="510">
        <v>356</v>
      </c>
      <c r="E41" s="510" t="s">
        <v>2383</v>
      </c>
      <c r="F41" s="497" t="s">
        <v>986</v>
      </c>
      <c r="G41" s="498" t="s">
        <v>37</v>
      </c>
      <c r="H41" s="497" t="s">
        <v>986</v>
      </c>
      <c r="I41" s="498" t="s">
        <v>37</v>
      </c>
      <c r="J41" s="497" t="s">
        <v>986</v>
      </c>
      <c r="K41" s="498" t="s">
        <v>37</v>
      </c>
      <c r="L41" s="497" t="s">
        <v>965</v>
      </c>
      <c r="M41" s="498" t="s">
        <v>980</v>
      </c>
      <c r="N41" s="497" t="s">
        <v>961</v>
      </c>
      <c r="O41" s="498" t="s">
        <v>981</v>
      </c>
      <c r="P41" s="497" t="s">
        <v>986</v>
      </c>
      <c r="Q41" s="498" t="s">
        <v>37</v>
      </c>
      <c r="R41" s="497" t="s">
        <v>986</v>
      </c>
      <c r="S41" s="498" t="s">
        <v>37</v>
      </c>
      <c r="T41" s="497" t="s">
        <v>986</v>
      </c>
      <c r="U41" s="499" t="s">
        <v>37</v>
      </c>
      <c r="V41" s="497" t="s">
        <v>986</v>
      </c>
      <c r="W41" s="498" t="s">
        <v>37</v>
      </c>
      <c r="X41" s="497" t="s">
        <v>958</v>
      </c>
      <c r="Y41" s="498" t="s">
        <v>467</v>
      </c>
      <c r="Z41" s="497" t="s">
        <v>963</v>
      </c>
      <c r="AA41" s="498" t="s">
        <v>1335</v>
      </c>
      <c r="AB41" s="497" t="s">
        <v>958</v>
      </c>
      <c r="AC41" s="498" t="s">
        <v>467</v>
      </c>
      <c r="AD41" s="497" t="s">
        <v>986</v>
      </c>
      <c r="AE41" s="498" t="s">
        <v>37</v>
      </c>
      <c r="AF41" s="497" t="s">
        <v>986</v>
      </c>
      <c r="AG41" s="499" t="s">
        <v>37</v>
      </c>
      <c r="AH41" s="497" t="s">
        <v>986</v>
      </c>
      <c r="AI41" s="498" t="s">
        <v>37</v>
      </c>
      <c r="AJ41" s="497" t="s">
        <v>963</v>
      </c>
      <c r="AK41" s="498" t="s">
        <v>439</v>
      </c>
      <c r="AL41" s="497" t="s">
        <v>963</v>
      </c>
      <c r="AM41" s="499" t="s">
        <v>439</v>
      </c>
      <c r="AN41" s="497" t="s">
        <v>986</v>
      </c>
      <c r="AO41" s="498" t="s">
        <v>37</v>
      </c>
      <c r="AP41" s="497" t="s">
        <v>986</v>
      </c>
      <c r="AQ41" s="498" t="s">
        <v>37</v>
      </c>
      <c r="AR41" s="497" t="s">
        <v>986</v>
      </c>
      <c r="AS41" s="499" t="s">
        <v>37</v>
      </c>
      <c r="AT41" s="497" t="s">
        <v>986</v>
      </c>
      <c r="AU41" s="499" t="s">
        <v>37</v>
      </c>
      <c r="AV41" s="497" t="s">
        <v>986</v>
      </c>
      <c r="AW41" s="498" t="s">
        <v>37</v>
      </c>
      <c r="AX41" s="497" t="s">
        <v>986</v>
      </c>
      <c r="AY41" s="498" t="s">
        <v>37</v>
      </c>
      <c r="AZ41" s="497" t="s">
        <v>986</v>
      </c>
      <c r="BA41" s="498" t="s">
        <v>191</v>
      </c>
      <c r="BB41" s="497" t="s">
        <v>986</v>
      </c>
      <c r="BC41" s="498" t="s">
        <v>1198</v>
      </c>
      <c r="BD41" s="497" t="s">
        <v>986</v>
      </c>
      <c r="BE41" s="498" t="s">
        <v>37</v>
      </c>
      <c r="BF41" s="497" t="s">
        <v>986</v>
      </c>
      <c r="BG41" s="498" t="s">
        <v>37</v>
      </c>
      <c r="BH41" s="497" t="s">
        <v>986</v>
      </c>
      <c r="BI41" s="498" t="s">
        <v>37</v>
      </c>
      <c r="BJ41" s="497" t="s">
        <v>986</v>
      </c>
      <c r="BK41" s="498" t="s">
        <v>37</v>
      </c>
      <c r="BL41" s="497" t="s">
        <v>986</v>
      </c>
      <c r="BM41" s="498" t="s">
        <v>37</v>
      </c>
      <c r="BN41" s="497" t="s">
        <v>986</v>
      </c>
      <c r="BO41" s="499" t="s">
        <v>37</v>
      </c>
      <c r="BP41" s="497" t="s">
        <v>986</v>
      </c>
      <c r="BQ41" s="498" t="s">
        <v>37</v>
      </c>
      <c r="BR41" s="497" t="s">
        <v>986</v>
      </c>
      <c r="BS41" s="498" t="s">
        <v>37</v>
      </c>
      <c r="BT41" s="497" t="s">
        <v>986</v>
      </c>
      <c r="BU41" s="498" t="s">
        <v>37</v>
      </c>
      <c r="BV41" s="497" t="s">
        <v>986</v>
      </c>
      <c r="BW41" s="498" t="s">
        <v>37</v>
      </c>
      <c r="BX41" s="497" t="s">
        <v>961</v>
      </c>
      <c r="BY41" s="498" t="s">
        <v>1738</v>
      </c>
      <c r="BZ41" s="497" t="s">
        <v>961</v>
      </c>
      <c r="CA41" s="498" t="s">
        <v>1738</v>
      </c>
      <c r="CB41" s="497" t="s">
        <v>965</v>
      </c>
      <c r="CC41" s="498" t="s">
        <v>192</v>
      </c>
      <c r="CD41" s="497" t="s">
        <v>965</v>
      </c>
      <c r="CE41" s="498" t="s">
        <v>192</v>
      </c>
      <c r="CF41" s="497" t="s">
        <v>986</v>
      </c>
      <c r="CG41" s="498" t="s">
        <v>37</v>
      </c>
      <c r="CH41" s="497" t="s">
        <v>986</v>
      </c>
      <c r="CI41" s="499" t="s">
        <v>37</v>
      </c>
      <c r="CJ41" s="497" t="s">
        <v>986</v>
      </c>
      <c r="CK41" s="498" t="s">
        <v>37</v>
      </c>
      <c r="CL41" s="497" t="s">
        <v>986</v>
      </c>
      <c r="CM41" s="498" t="s">
        <v>37</v>
      </c>
      <c r="CN41" s="497" t="s">
        <v>986</v>
      </c>
      <c r="CO41" s="498" t="s">
        <v>37</v>
      </c>
      <c r="CP41" s="517"/>
      <c r="CQ41" s="34"/>
      <c r="CR41" s="34"/>
    </row>
    <row r="42" spans="1:96" s="5" customFormat="1" ht="113.25" thickBot="1" x14ac:dyDescent="0.25">
      <c r="A42" s="124">
        <f t="shared" si="0"/>
        <v>37</v>
      </c>
      <c r="B42" s="509" t="s">
        <v>590</v>
      </c>
      <c r="C42" s="509" t="s">
        <v>1597</v>
      </c>
      <c r="D42" s="510">
        <v>362</v>
      </c>
      <c r="E42" s="510" t="s">
        <v>2383</v>
      </c>
      <c r="F42" s="497" t="s">
        <v>965</v>
      </c>
      <c r="G42" s="498" t="s">
        <v>835</v>
      </c>
      <c r="H42" s="497" t="s">
        <v>986</v>
      </c>
      <c r="I42" s="498" t="s">
        <v>37</v>
      </c>
      <c r="J42" s="497" t="s">
        <v>963</v>
      </c>
      <c r="K42" s="498" t="s">
        <v>237</v>
      </c>
      <c r="L42" s="497" t="s">
        <v>963</v>
      </c>
      <c r="M42" s="498" t="s">
        <v>982</v>
      </c>
      <c r="N42" s="497" t="s">
        <v>965</v>
      </c>
      <c r="O42" s="498" t="s">
        <v>180</v>
      </c>
      <c r="P42" s="497" t="s">
        <v>986</v>
      </c>
      <c r="Q42" s="498" t="s">
        <v>37</v>
      </c>
      <c r="R42" s="497" t="s">
        <v>986</v>
      </c>
      <c r="S42" s="498" t="s">
        <v>37</v>
      </c>
      <c r="T42" s="497" t="s">
        <v>986</v>
      </c>
      <c r="U42" s="499" t="s">
        <v>37</v>
      </c>
      <c r="V42" s="497" t="s">
        <v>986</v>
      </c>
      <c r="W42" s="498" t="s">
        <v>37</v>
      </c>
      <c r="X42" s="497" t="s">
        <v>958</v>
      </c>
      <c r="Y42" s="498" t="s">
        <v>193</v>
      </c>
      <c r="Z42" s="497" t="s">
        <v>963</v>
      </c>
      <c r="AA42" s="498" t="s">
        <v>1336</v>
      </c>
      <c r="AB42" s="497" t="s">
        <v>963</v>
      </c>
      <c r="AC42" s="498" t="s">
        <v>1337</v>
      </c>
      <c r="AD42" s="497" t="s">
        <v>986</v>
      </c>
      <c r="AE42" s="498" t="s">
        <v>37</v>
      </c>
      <c r="AF42" s="497" t="s">
        <v>963</v>
      </c>
      <c r="AG42" s="499" t="s">
        <v>1515</v>
      </c>
      <c r="AH42" s="497" t="s">
        <v>963</v>
      </c>
      <c r="AI42" s="498" t="s">
        <v>1628</v>
      </c>
      <c r="AJ42" s="497" t="s">
        <v>965</v>
      </c>
      <c r="AK42" s="498" t="s">
        <v>440</v>
      </c>
      <c r="AL42" s="497" t="s">
        <v>965</v>
      </c>
      <c r="AM42" s="499" t="s">
        <v>440</v>
      </c>
      <c r="AN42" s="497" t="s">
        <v>986</v>
      </c>
      <c r="AO42" s="498" t="s">
        <v>339</v>
      </c>
      <c r="AP42" s="497" t="s">
        <v>958</v>
      </c>
      <c r="AQ42" s="498" t="s">
        <v>924</v>
      </c>
      <c r="AR42" s="497" t="s">
        <v>986</v>
      </c>
      <c r="AS42" s="499" t="s">
        <v>37</v>
      </c>
      <c r="AT42" s="497" t="s">
        <v>986</v>
      </c>
      <c r="AU42" s="499" t="s">
        <v>37</v>
      </c>
      <c r="AV42" s="497" t="s">
        <v>965</v>
      </c>
      <c r="AW42" s="498" t="s">
        <v>1731</v>
      </c>
      <c r="AX42" s="497" t="s">
        <v>986</v>
      </c>
      <c r="AY42" s="498" t="s">
        <v>37</v>
      </c>
      <c r="AZ42" s="497" t="s">
        <v>963</v>
      </c>
      <c r="BA42" s="498" t="s">
        <v>970</v>
      </c>
      <c r="BB42" s="497" t="s">
        <v>986</v>
      </c>
      <c r="BC42" s="498" t="s">
        <v>1530</v>
      </c>
      <c r="BD42" s="497" t="s">
        <v>965</v>
      </c>
      <c r="BE42" s="498" t="s">
        <v>2084</v>
      </c>
      <c r="BF42" s="497" t="s">
        <v>986</v>
      </c>
      <c r="BG42" s="498" t="s">
        <v>37</v>
      </c>
      <c r="BH42" s="497" t="s">
        <v>986</v>
      </c>
      <c r="BI42" s="498" t="s">
        <v>37</v>
      </c>
      <c r="BJ42" s="497" t="s">
        <v>986</v>
      </c>
      <c r="BK42" s="498" t="s">
        <v>37</v>
      </c>
      <c r="BL42" s="497" t="s">
        <v>986</v>
      </c>
      <c r="BM42" s="498" t="s">
        <v>37</v>
      </c>
      <c r="BN42" s="497" t="s">
        <v>986</v>
      </c>
      <c r="BO42" s="499" t="s">
        <v>37</v>
      </c>
      <c r="BP42" s="497" t="s">
        <v>963</v>
      </c>
      <c r="BQ42" s="498" t="s">
        <v>1053</v>
      </c>
      <c r="BR42" s="497" t="s">
        <v>986</v>
      </c>
      <c r="BS42" s="498" t="s">
        <v>37</v>
      </c>
      <c r="BT42" s="497" t="s">
        <v>986</v>
      </c>
      <c r="BU42" s="498" t="s">
        <v>37</v>
      </c>
      <c r="BV42" s="497" t="s">
        <v>986</v>
      </c>
      <c r="BW42" s="498" t="s">
        <v>37</v>
      </c>
      <c r="BX42" s="497" t="s">
        <v>986</v>
      </c>
      <c r="BY42" s="498" t="s">
        <v>37</v>
      </c>
      <c r="BZ42" s="497" t="s">
        <v>986</v>
      </c>
      <c r="CA42" s="498" t="s">
        <v>37</v>
      </c>
      <c r="CB42" s="497" t="s">
        <v>986</v>
      </c>
      <c r="CC42" s="498" t="s">
        <v>37</v>
      </c>
      <c r="CD42" s="497" t="s">
        <v>986</v>
      </c>
      <c r="CE42" s="498" t="s">
        <v>37</v>
      </c>
      <c r="CF42" s="497" t="s">
        <v>986</v>
      </c>
      <c r="CG42" s="498" t="s">
        <v>37</v>
      </c>
      <c r="CH42" s="497" t="s">
        <v>986</v>
      </c>
      <c r="CI42" s="499" t="s">
        <v>37</v>
      </c>
      <c r="CJ42" s="497" t="s">
        <v>986</v>
      </c>
      <c r="CK42" s="498" t="s">
        <v>37</v>
      </c>
      <c r="CL42" s="497" t="s">
        <v>986</v>
      </c>
      <c r="CM42" s="498" t="s">
        <v>37</v>
      </c>
      <c r="CN42" s="497" t="s">
        <v>986</v>
      </c>
      <c r="CO42" s="498" t="s">
        <v>37</v>
      </c>
      <c r="CP42" s="517"/>
      <c r="CQ42" s="34"/>
      <c r="CR42" s="34"/>
    </row>
    <row r="43" spans="1:96" s="5" customFormat="1" ht="102" thickBot="1" x14ac:dyDescent="0.25">
      <c r="A43" s="124">
        <f t="shared" si="0"/>
        <v>38</v>
      </c>
      <c r="B43" s="509" t="s">
        <v>591</v>
      </c>
      <c r="C43" s="509" t="s">
        <v>1601</v>
      </c>
      <c r="D43" s="510">
        <v>554</v>
      </c>
      <c r="E43" s="510" t="s">
        <v>2386</v>
      </c>
      <c r="F43" s="497" t="s">
        <v>986</v>
      </c>
      <c r="G43" s="498" t="s">
        <v>37</v>
      </c>
      <c r="H43" s="497" t="s">
        <v>963</v>
      </c>
      <c r="I43" s="498" t="s">
        <v>949</v>
      </c>
      <c r="J43" s="497" t="s">
        <v>986</v>
      </c>
      <c r="K43" s="498" t="s">
        <v>37</v>
      </c>
      <c r="L43" s="497" t="s">
        <v>986</v>
      </c>
      <c r="M43" s="498" t="s">
        <v>37</v>
      </c>
      <c r="N43" s="497" t="s">
        <v>986</v>
      </c>
      <c r="O43" s="498" t="s">
        <v>37</v>
      </c>
      <c r="P43" s="497" t="s">
        <v>963</v>
      </c>
      <c r="Q43" s="498" t="s">
        <v>727</v>
      </c>
      <c r="R43" s="497" t="s">
        <v>958</v>
      </c>
      <c r="S43" s="498" t="s">
        <v>194</v>
      </c>
      <c r="T43" s="497" t="s">
        <v>963</v>
      </c>
      <c r="U43" s="499" t="s">
        <v>1164</v>
      </c>
      <c r="V43" s="497" t="s">
        <v>986</v>
      </c>
      <c r="W43" s="498" t="s">
        <v>1165</v>
      </c>
      <c r="X43" s="497" t="s">
        <v>965</v>
      </c>
      <c r="Y43" s="498" t="s">
        <v>1338</v>
      </c>
      <c r="Z43" s="497" t="s">
        <v>961</v>
      </c>
      <c r="AA43" s="498" t="s">
        <v>1339</v>
      </c>
      <c r="AB43" s="497" t="s">
        <v>963</v>
      </c>
      <c r="AC43" s="498" t="s">
        <v>1500</v>
      </c>
      <c r="AD43" s="497" t="s">
        <v>986</v>
      </c>
      <c r="AE43" s="498" t="s">
        <v>37</v>
      </c>
      <c r="AF43" s="497" t="s">
        <v>986</v>
      </c>
      <c r="AG43" s="499" t="s">
        <v>37</v>
      </c>
      <c r="AH43" s="497" t="s">
        <v>986</v>
      </c>
      <c r="AI43" s="498" t="s">
        <v>37</v>
      </c>
      <c r="AJ43" s="497" t="s">
        <v>963</v>
      </c>
      <c r="AK43" s="498" t="s">
        <v>1122</v>
      </c>
      <c r="AL43" s="497" t="s">
        <v>963</v>
      </c>
      <c r="AM43" s="499" t="s">
        <v>1021</v>
      </c>
      <c r="AN43" s="497" t="s">
        <v>965</v>
      </c>
      <c r="AO43" s="498" t="s">
        <v>1343</v>
      </c>
      <c r="AP43" s="497" t="s">
        <v>958</v>
      </c>
      <c r="AQ43" s="498" t="s">
        <v>313</v>
      </c>
      <c r="AR43" s="497" t="s">
        <v>986</v>
      </c>
      <c r="AS43" s="499" t="s">
        <v>531</v>
      </c>
      <c r="AT43" s="497" t="s">
        <v>986</v>
      </c>
      <c r="AU43" s="499" t="s">
        <v>37</v>
      </c>
      <c r="AV43" s="497" t="s">
        <v>965</v>
      </c>
      <c r="AW43" s="498" t="s">
        <v>2764</v>
      </c>
      <c r="AX43" s="497" t="s">
        <v>965</v>
      </c>
      <c r="AY43" s="498" t="s">
        <v>737</v>
      </c>
      <c r="AZ43" s="497" t="s">
        <v>986</v>
      </c>
      <c r="BA43" s="498" t="s">
        <v>37</v>
      </c>
      <c r="BB43" s="497" t="s">
        <v>986</v>
      </c>
      <c r="BC43" s="498" t="s">
        <v>37</v>
      </c>
      <c r="BD43" s="497" t="s">
        <v>963</v>
      </c>
      <c r="BE43" s="498" t="s">
        <v>2085</v>
      </c>
      <c r="BF43" s="497" t="s">
        <v>986</v>
      </c>
      <c r="BG43" s="498" t="s">
        <v>2129</v>
      </c>
      <c r="BH43" s="497" t="s">
        <v>963</v>
      </c>
      <c r="BI43" s="498" t="s">
        <v>2870</v>
      </c>
      <c r="BJ43" s="497" t="s">
        <v>986</v>
      </c>
      <c r="BK43" s="498" t="s">
        <v>37</v>
      </c>
      <c r="BL43" s="497" t="s">
        <v>965</v>
      </c>
      <c r="BM43" s="498" t="s">
        <v>2871</v>
      </c>
      <c r="BN43" s="497" t="s">
        <v>986</v>
      </c>
      <c r="BO43" s="499" t="s">
        <v>37</v>
      </c>
      <c r="BP43" s="497" t="s">
        <v>963</v>
      </c>
      <c r="BQ43" s="498" t="s">
        <v>195</v>
      </c>
      <c r="BR43" s="497" t="s">
        <v>986</v>
      </c>
      <c r="BS43" s="498" t="s">
        <v>37</v>
      </c>
      <c r="BT43" s="497" t="s">
        <v>986</v>
      </c>
      <c r="BU43" s="498" t="s">
        <v>37</v>
      </c>
      <c r="BV43" s="497" t="s">
        <v>986</v>
      </c>
      <c r="BW43" s="498" t="s">
        <v>37</v>
      </c>
      <c r="BX43" s="497" t="s">
        <v>986</v>
      </c>
      <c r="BY43" s="498" t="s">
        <v>37</v>
      </c>
      <c r="BZ43" s="497" t="s">
        <v>986</v>
      </c>
      <c r="CA43" s="498" t="s">
        <v>37</v>
      </c>
      <c r="CB43" s="497" t="s">
        <v>963</v>
      </c>
      <c r="CC43" s="498" t="s">
        <v>945</v>
      </c>
      <c r="CD43" s="497" t="s">
        <v>963</v>
      </c>
      <c r="CE43" s="498" t="s">
        <v>1247</v>
      </c>
      <c r="CF43" s="497" t="s">
        <v>964</v>
      </c>
      <c r="CG43" s="498" t="s">
        <v>1652</v>
      </c>
      <c r="CH43" s="497" t="s">
        <v>986</v>
      </c>
      <c r="CI43" s="499" t="s">
        <v>37</v>
      </c>
      <c r="CJ43" s="497" t="s">
        <v>986</v>
      </c>
      <c r="CK43" s="498" t="s">
        <v>37</v>
      </c>
      <c r="CL43" s="497" t="s">
        <v>986</v>
      </c>
      <c r="CM43" s="498" t="s">
        <v>37</v>
      </c>
      <c r="CN43" s="497" t="s">
        <v>986</v>
      </c>
      <c r="CO43" s="498" t="s">
        <v>37</v>
      </c>
      <c r="CP43" s="517"/>
      <c r="CQ43" s="34"/>
      <c r="CR43" s="34"/>
    </row>
    <row r="44" spans="1:96" s="5" customFormat="1" ht="57" thickBot="1" x14ac:dyDescent="0.25">
      <c r="A44" s="124">
        <f t="shared" si="0"/>
        <v>39</v>
      </c>
      <c r="B44" s="509" t="s">
        <v>592</v>
      </c>
      <c r="C44" s="509" t="s">
        <v>1464</v>
      </c>
      <c r="D44" s="510">
        <v>432</v>
      </c>
      <c r="E44" s="510" t="s">
        <v>2388</v>
      </c>
      <c r="F44" s="497" t="s">
        <v>986</v>
      </c>
      <c r="G44" s="498" t="s">
        <v>37</v>
      </c>
      <c r="H44" s="497" t="s">
        <v>986</v>
      </c>
      <c r="I44" s="498" t="s">
        <v>37</v>
      </c>
      <c r="J44" s="497" t="s">
        <v>986</v>
      </c>
      <c r="K44" s="498" t="s">
        <v>37</v>
      </c>
      <c r="L44" s="497" t="s">
        <v>986</v>
      </c>
      <c r="M44" s="498" t="s">
        <v>37</v>
      </c>
      <c r="N44" s="497" t="s">
        <v>986</v>
      </c>
      <c r="O44" s="498" t="s">
        <v>37</v>
      </c>
      <c r="P44" s="497" t="s">
        <v>986</v>
      </c>
      <c r="Q44" s="498" t="s">
        <v>37</v>
      </c>
      <c r="R44" s="497" t="s">
        <v>986</v>
      </c>
      <c r="S44" s="498" t="s">
        <v>1356</v>
      </c>
      <c r="T44" s="497" t="s">
        <v>986</v>
      </c>
      <c r="U44" s="499" t="s">
        <v>37</v>
      </c>
      <c r="V44" s="497" t="s">
        <v>986</v>
      </c>
      <c r="W44" s="498" t="s">
        <v>37</v>
      </c>
      <c r="X44" s="497" t="s">
        <v>986</v>
      </c>
      <c r="Y44" s="498" t="s">
        <v>37</v>
      </c>
      <c r="Z44" s="497" t="s">
        <v>986</v>
      </c>
      <c r="AA44" s="498" t="s">
        <v>37</v>
      </c>
      <c r="AB44" s="497" t="s">
        <v>986</v>
      </c>
      <c r="AC44" s="498" t="s">
        <v>37</v>
      </c>
      <c r="AD44" s="497" t="s">
        <v>986</v>
      </c>
      <c r="AE44" s="498" t="s">
        <v>37</v>
      </c>
      <c r="AF44" s="497" t="s">
        <v>958</v>
      </c>
      <c r="AG44" s="499" t="s">
        <v>1158</v>
      </c>
      <c r="AH44" s="497" t="s">
        <v>958</v>
      </c>
      <c r="AI44" s="498" t="s">
        <v>1158</v>
      </c>
      <c r="AJ44" s="497" t="s">
        <v>986</v>
      </c>
      <c r="AK44" s="498" t="s">
        <v>37</v>
      </c>
      <c r="AL44" s="497" t="s">
        <v>986</v>
      </c>
      <c r="AM44" s="499" t="s">
        <v>37</v>
      </c>
      <c r="AN44" s="497" t="s">
        <v>986</v>
      </c>
      <c r="AO44" s="498" t="s">
        <v>37</v>
      </c>
      <c r="AP44" s="497" t="s">
        <v>986</v>
      </c>
      <c r="AQ44" s="498" t="s">
        <v>37</v>
      </c>
      <c r="AR44" s="497" t="s">
        <v>986</v>
      </c>
      <c r="AS44" s="499" t="s">
        <v>37</v>
      </c>
      <c r="AT44" s="497" t="s">
        <v>986</v>
      </c>
      <c r="AU44" s="499" t="s">
        <v>37</v>
      </c>
      <c r="AV44" s="497" t="s">
        <v>986</v>
      </c>
      <c r="AW44" s="498" t="s">
        <v>37</v>
      </c>
      <c r="AX44" s="497" t="s">
        <v>986</v>
      </c>
      <c r="AY44" s="498" t="s">
        <v>37</v>
      </c>
      <c r="AZ44" s="497" t="s">
        <v>986</v>
      </c>
      <c r="BA44" s="498" t="s">
        <v>37</v>
      </c>
      <c r="BB44" s="497" t="s">
        <v>986</v>
      </c>
      <c r="BC44" s="498" t="s">
        <v>37</v>
      </c>
      <c r="BD44" s="497" t="s">
        <v>986</v>
      </c>
      <c r="BE44" s="498" t="s">
        <v>37</v>
      </c>
      <c r="BF44" s="497" t="s">
        <v>986</v>
      </c>
      <c r="BG44" s="498" t="s">
        <v>37</v>
      </c>
      <c r="BH44" s="497" t="s">
        <v>986</v>
      </c>
      <c r="BI44" s="498" t="s">
        <v>37</v>
      </c>
      <c r="BJ44" s="497" t="s">
        <v>986</v>
      </c>
      <c r="BK44" s="498" t="s">
        <v>37</v>
      </c>
      <c r="BL44" s="497" t="s">
        <v>986</v>
      </c>
      <c r="BM44" s="498" t="s">
        <v>37</v>
      </c>
      <c r="BN44" s="497" t="s">
        <v>986</v>
      </c>
      <c r="BO44" s="499" t="s">
        <v>37</v>
      </c>
      <c r="BP44" s="497" t="s">
        <v>986</v>
      </c>
      <c r="BQ44" s="498" t="s">
        <v>37</v>
      </c>
      <c r="BR44" s="497" t="s">
        <v>986</v>
      </c>
      <c r="BS44" s="498" t="s">
        <v>37</v>
      </c>
      <c r="BT44" s="497" t="s">
        <v>986</v>
      </c>
      <c r="BU44" s="498" t="s">
        <v>37</v>
      </c>
      <c r="BV44" s="497" t="s">
        <v>963</v>
      </c>
      <c r="BW44" s="498" t="s">
        <v>2932</v>
      </c>
      <c r="BX44" s="497" t="s">
        <v>986</v>
      </c>
      <c r="BY44" s="498" t="s">
        <v>37</v>
      </c>
      <c r="BZ44" s="497" t="s">
        <v>986</v>
      </c>
      <c r="CA44" s="498" t="s">
        <v>37</v>
      </c>
      <c r="CB44" s="497" t="s">
        <v>986</v>
      </c>
      <c r="CC44" s="498" t="s">
        <v>37</v>
      </c>
      <c r="CD44" s="497" t="s">
        <v>986</v>
      </c>
      <c r="CE44" s="498" t="s">
        <v>37</v>
      </c>
      <c r="CF44" s="497" t="s">
        <v>986</v>
      </c>
      <c r="CG44" s="498" t="s">
        <v>37</v>
      </c>
      <c r="CH44" s="497" t="s">
        <v>986</v>
      </c>
      <c r="CI44" s="499" t="s">
        <v>37</v>
      </c>
      <c r="CJ44" s="497" t="s">
        <v>986</v>
      </c>
      <c r="CK44" s="498" t="s">
        <v>37</v>
      </c>
      <c r="CL44" s="497" t="s">
        <v>986</v>
      </c>
      <c r="CM44" s="498" t="s">
        <v>37</v>
      </c>
      <c r="CN44" s="497" t="s">
        <v>986</v>
      </c>
      <c r="CO44" s="498" t="s">
        <v>37</v>
      </c>
      <c r="CP44" s="517"/>
      <c r="CQ44" s="34"/>
      <c r="CR44" s="34"/>
    </row>
    <row r="45" spans="1:96" s="5" customFormat="1" ht="92.45" customHeight="1" thickBot="1" x14ac:dyDescent="0.25">
      <c r="A45" s="124">
        <f t="shared" si="0"/>
        <v>40</v>
      </c>
      <c r="B45" s="509" t="s">
        <v>1783</v>
      </c>
      <c r="C45" s="509" t="s">
        <v>2058</v>
      </c>
      <c r="D45" s="510">
        <v>375</v>
      </c>
      <c r="E45" s="510" t="s">
        <v>2382</v>
      </c>
      <c r="F45" s="497" t="s">
        <v>986</v>
      </c>
      <c r="G45" s="498" t="s">
        <v>37</v>
      </c>
      <c r="H45" s="497" t="s">
        <v>963</v>
      </c>
      <c r="I45" s="500" t="s">
        <v>3694</v>
      </c>
      <c r="J45" s="497" t="s">
        <v>986</v>
      </c>
      <c r="K45" s="498" t="s">
        <v>37</v>
      </c>
      <c r="L45" s="497" t="s">
        <v>986</v>
      </c>
      <c r="M45" s="498" t="s">
        <v>37</v>
      </c>
      <c r="N45" s="497" t="s">
        <v>986</v>
      </c>
      <c r="O45" s="498" t="s">
        <v>37</v>
      </c>
      <c r="P45" s="497" t="s">
        <v>986</v>
      </c>
      <c r="Q45" s="498" t="s">
        <v>37</v>
      </c>
      <c r="R45" s="497" t="s">
        <v>986</v>
      </c>
      <c r="S45" s="498" t="s">
        <v>37</v>
      </c>
      <c r="T45" s="497" t="s">
        <v>986</v>
      </c>
      <c r="U45" s="499" t="s">
        <v>37</v>
      </c>
      <c r="V45" s="497" t="s">
        <v>986</v>
      </c>
      <c r="W45" s="498" t="s">
        <v>37</v>
      </c>
      <c r="X45" s="497" t="s">
        <v>986</v>
      </c>
      <c r="Y45" s="498" t="s">
        <v>37</v>
      </c>
      <c r="Z45" s="497" t="s">
        <v>986</v>
      </c>
      <c r="AA45" s="498" t="s">
        <v>37</v>
      </c>
      <c r="AB45" s="497" t="s">
        <v>986</v>
      </c>
      <c r="AC45" s="498" t="s">
        <v>37</v>
      </c>
      <c r="AD45" s="497" t="s">
        <v>986</v>
      </c>
      <c r="AE45" s="498" t="s">
        <v>37</v>
      </c>
      <c r="AF45" s="497" t="s">
        <v>986</v>
      </c>
      <c r="AG45" s="499" t="s">
        <v>37</v>
      </c>
      <c r="AH45" s="497" t="s">
        <v>986</v>
      </c>
      <c r="AI45" s="498" t="s">
        <v>37</v>
      </c>
      <c r="AJ45" s="497" t="s">
        <v>986</v>
      </c>
      <c r="AK45" s="498" t="s">
        <v>37</v>
      </c>
      <c r="AL45" s="497" t="s">
        <v>986</v>
      </c>
      <c r="AM45" s="499" t="s">
        <v>37</v>
      </c>
      <c r="AN45" s="497" t="s">
        <v>965</v>
      </c>
      <c r="AO45" s="500" t="s">
        <v>3861</v>
      </c>
      <c r="AP45" s="497" t="s">
        <v>986</v>
      </c>
      <c r="AQ45" s="498" t="s">
        <v>37</v>
      </c>
      <c r="AR45" s="497" t="s">
        <v>965</v>
      </c>
      <c r="AS45" s="500" t="s">
        <v>3862</v>
      </c>
      <c r="AT45" s="497" t="s">
        <v>986</v>
      </c>
      <c r="AU45" s="499" t="s">
        <v>37</v>
      </c>
      <c r="AV45" s="497" t="s">
        <v>965</v>
      </c>
      <c r="AW45" s="500" t="s">
        <v>3863</v>
      </c>
      <c r="AX45" s="497" t="s">
        <v>986</v>
      </c>
      <c r="AY45" s="498" t="s">
        <v>37</v>
      </c>
      <c r="AZ45" s="497" t="s">
        <v>986</v>
      </c>
      <c r="BA45" s="498" t="s">
        <v>37</v>
      </c>
      <c r="BB45" s="497" t="s">
        <v>986</v>
      </c>
      <c r="BC45" s="498" t="s">
        <v>37</v>
      </c>
      <c r="BD45" s="497" t="s">
        <v>986</v>
      </c>
      <c r="BE45" s="498" t="s">
        <v>37</v>
      </c>
      <c r="BF45" s="497" t="s">
        <v>986</v>
      </c>
      <c r="BG45" s="498" t="s">
        <v>37</v>
      </c>
      <c r="BH45" s="497" t="s">
        <v>964</v>
      </c>
      <c r="BI45" s="498" t="s">
        <v>3859</v>
      </c>
      <c r="BJ45" s="497" t="s">
        <v>986</v>
      </c>
      <c r="BK45" s="498" t="s">
        <v>37</v>
      </c>
      <c r="BL45" s="497" t="s">
        <v>986</v>
      </c>
      <c r="BM45" s="498" t="s">
        <v>37</v>
      </c>
      <c r="BN45" s="497" t="s">
        <v>965</v>
      </c>
      <c r="BO45" s="499" t="s">
        <v>3860</v>
      </c>
      <c r="BP45" s="497" t="s">
        <v>986</v>
      </c>
      <c r="BQ45" s="498" t="s">
        <v>37</v>
      </c>
      <c r="BR45" s="497" t="s">
        <v>986</v>
      </c>
      <c r="BS45" s="498" t="s">
        <v>37</v>
      </c>
      <c r="BT45" s="497" t="s">
        <v>986</v>
      </c>
      <c r="BU45" s="498" t="s">
        <v>37</v>
      </c>
      <c r="BV45" s="497" t="s">
        <v>986</v>
      </c>
      <c r="BW45" s="498" t="s">
        <v>37</v>
      </c>
      <c r="BX45" s="497" t="s">
        <v>986</v>
      </c>
      <c r="BY45" s="498" t="s">
        <v>37</v>
      </c>
      <c r="BZ45" s="497" t="s">
        <v>986</v>
      </c>
      <c r="CA45" s="498" t="s">
        <v>37</v>
      </c>
      <c r="CB45" s="497" t="s">
        <v>986</v>
      </c>
      <c r="CC45" s="498" t="s">
        <v>37</v>
      </c>
      <c r="CD45" s="497" t="s">
        <v>986</v>
      </c>
      <c r="CE45" s="498" t="s">
        <v>37</v>
      </c>
      <c r="CF45" s="497" t="s">
        <v>986</v>
      </c>
      <c r="CG45" s="498" t="s">
        <v>37</v>
      </c>
      <c r="CH45" s="497" t="s">
        <v>986</v>
      </c>
      <c r="CI45" s="499" t="s">
        <v>37</v>
      </c>
      <c r="CJ45" s="497" t="s">
        <v>986</v>
      </c>
      <c r="CK45" s="498" t="s">
        <v>37</v>
      </c>
      <c r="CL45" s="497" t="s">
        <v>986</v>
      </c>
      <c r="CM45" s="498" t="s">
        <v>37</v>
      </c>
      <c r="CN45" s="497" t="s">
        <v>986</v>
      </c>
      <c r="CO45" s="498" t="s">
        <v>37</v>
      </c>
      <c r="CP45" s="518" t="s">
        <v>3885</v>
      </c>
      <c r="CQ45" s="34"/>
      <c r="CR45" s="34"/>
    </row>
    <row r="46" spans="1:96" s="5" customFormat="1" ht="135.75" thickBot="1" x14ac:dyDescent="0.25">
      <c r="A46" s="124">
        <f t="shared" si="0"/>
        <v>41</v>
      </c>
      <c r="B46" s="509" t="s">
        <v>1779</v>
      </c>
      <c r="C46" s="509" t="s">
        <v>2058</v>
      </c>
      <c r="D46" s="510">
        <v>373</v>
      </c>
      <c r="E46" s="510" t="s">
        <v>2389</v>
      </c>
      <c r="F46" s="497" t="s">
        <v>965</v>
      </c>
      <c r="G46" s="498" t="s">
        <v>1780</v>
      </c>
      <c r="H46" s="497" t="s">
        <v>963</v>
      </c>
      <c r="I46" s="500" t="s">
        <v>3865</v>
      </c>
      <c r="J46" s="497" t="s">
        <v>986</v>
      </c>
      <c r="K46" s="498" t="s">
        <v>37</v>
      </c>
      <c r="L46" s="497" t="s">
        <v>986</v>
      </c>
      <c r="M46" s="498" t="s">
        <v>37</v>
      </c>
      <c r="N46" s="497" t="s">
        <v>986</v>
      </c>
      <c r="O46" s="498" t="s">
        <v>37</v>
      </c>
      <c r="P46" s="497" t="s">
        <v>986</v>
      </c>
      <c r="Q46" s="498" t="s">
        <v>37</v>
      </c>
      <c r="R46" s="497" t="s">
        <v>986</v>
      </c>
      <c r="S46" s="498" t="s">
        <v>37</v>
      </c>
      <c r="T46" s="497" t="s">
        <v>986</v>
      </c>
      <c r="U46" s="499" t="s">
        <v>37</v>
      </c>
      <c r="V46" s="497" t="s">
        <v>958</v>
      </c>
      <c r="W46" s="498" t="s">
        <v>4000</v>
      </c>
      <c r="X46" s="497" t="s">
        <v>986</v>
      </c>
      <c r="Y46" s="498" t="s">
        <v>37</v>
      </c>
      <c r="Z46" s="497" t="s">
        <v>986</v>
      </c>
      <c r="AA46" s="498" t="s">
        <v>37</v>
      </c>
      <c r="AB46" s="497" t="s">
        <v>986</v>
      </c>
      <c r="AC46" s="498" t="s">
        <v>37</v>
      </c>
      <c r="AD46" s="497" t="s">
        <v>986</v>
      </c>
      <c r="AE46" s="498" t="s">
        <v>37</v>
      </c>
      <c r="AF46" s="497" t="s">
        <v>986</v>
      </c>
      <c r="AG46" s="499" t="s">
        <v>37</v>
      </c>
      <c r="AH46" s="497" t="s">
        <v>986</v>
      </c>
      <c r="AI46" s="498" t="s">
        <v>37</v>
      </c>
      <c r="AJ46" s="497" t="s">
        <v>986</v>
      </c>
      <c r="AK46" s="498" t="s">
        <v>37</v>
      </c>
      <c r="AL46" s="497" t="s">
        <v>986</v>
      </c>
      <c r="AM46" s="499" t="s">
        <v>37</v>
      </c>
      <c r="AN46" s="497" t="s">
        <v>958</v>
      </c>
      <c r="AO46" s="498" t="s">
        <v>4001</v>
      </c>
      <c r="AP46" s="497" t="s">
        <v>986</v>
      </c>
      <c r="AQ46" s="498" t="s">
        <v>37</v>
      </c>
      <c r="AR46" s="497" t="s">
        <v>958</v>
      </c>
      <c r="AS46" s="499" t="s">
        <v>4002</v>
      </c>
      <c r="AT46" s="497" t="s">
        <v>986</v>
      </c>
      <c r="AU46" s="499" t="s">
        <v>37</v>
      </c>
      <c r="AV46" s="497" t="s">
        <v>986</v>
      </c>
      <c r="AW46" s="498" t="s">
        <v>37</v>
      </c>
      <c r="AX46" s="497" t="s">
        <v>986</v>
      </c>
      <c r="AY46" s="498" t="s">
        <v>37</v>
      </c>
      <c r="AZ46" s="497" t="s">
        <v>965</v>
      </c>
      <c r="BA46" s="498" t="s">
        <v>1781</v>
      </c>
      <c r="BB46" s="497" t="s">
        <v>986</v>
      </c>
      <c r="BC46" s="498" t="s">
        <v>37</v>
      </c>
      <c r="BD46" s="497" t="s">
        <v>958</v>
      </c>
      <c r="BE46" s="500" t="s">
        <v>3864</v>
      </c>
      <c r="BF46" s="497" t="s">
        <v>986</v>
      </c>
      <c r="BG46" s="498" t="s">
        <v>37</v>
      </c>
      <c r="BH46" s="497" t="s">
        <v>964</v>
      </c>
      <c r="BI46" s="498" t="s">
        <v>2872</v>
      </c>
      <c r="BJ46" s="497" t="s">
        <v>986</v>
      </c>
      <c r="BK46" s="498" t="s">
        <v>37</v>
      </c>
      <c r="BL46" s="497" t="s">
        <v>986</v>
      </c>
      <c r="BM46" s="498" t="s">
        <v>37</v>
      </c>
      <c r="BN46" s="497" t="s">
        <v>986</v>
      </c>
      <c r="BO46" s="499" t="s">
        <v>37</v>
      </c>
      <c r="BP46" s="497" t="s">
        <v>986</v>
      </c>
      <c r="BQ46" s="498" t="s">
        <v>37</v>
      </c>
      <c r="BR46" s="497" t="s">
        <v>986</v>
      </c>
      <c r="BS46" s="498" t="s">
        <v>37</v>
      </c>
      <c r="BT46" s="497" t="s">
        <v>986</v>
      </c>
      <c r="BU46" s="498" t="s">
        <v>37</v>
      </c>
      <c r="BV46" s="497" t="s">
        <v>986</v>
      </c>
      <c r="BW46" s="498" t="s">
        <v>37</v>
      </c>
      <c r="BX46" s="497" t="s">
        <v>986</v>
      </c>
      <c r="BY46" s="498" t="s">
        <v>37</v>
      </c>
      <c r="BZ46" s="497" t="s">
        <v>986</v>
      </c>
      <c r="CA46" s="498" t="s">
        <v>37</v>
      </c>
      <c r="CB46" s="497" t="s">
        <v>986</v>
      </c>
      <c r="CC46" s="498" t="s">
        <v>37</v>
      </c>
      <c r="CD46" s="497" t="s">
        <v>986</v>
      </c>
      <c r="CE46" s="498" t="s">
        <v>37</v>
      </c>
      <c r="CF46" s="497" t="s">
        <v>986</v>
      </c>
      <c r="CG46" s="498" t="s">
        <v>37</v>
      </c>
      <c r="CH46" s="497" t="s">
        <v>986</v>
      </c>
      <c r="CI46" s="499" t="s">
        <v>37</v>
      </c>
      <c r="CJ46" s="497" t="s">
        <v>986</v>
      </c>
      <c r="CK46" s="498" t="s">
        <v>37</v>
      </c>
      <c r="CL46" s="497" t="s">
        <v>986</v>
      </c>
      <c r="CM46" s="498" t="s">
        <v>37</v>
      </c>
      <c r="CN46" s="497" t="s">
        <v>986</v>
      </c>
      <c r="CO46" s="498" t="s">
        <v>37</v>
      </c>
      <c r="CP46" s="518" t="s">
        <v>3886</v>
      </c>
      <c r="CQ46" s="34"/>
      <c r="CR46" s="34"/>
    </row>
    <row r="47" spans="1:96" s="5" customFormat="1" ht="90.75" thickBot="1" x14ac:dyDescent="0.25">
      <c r="A47" s="124">
        <f t="shared" si="0"/>
        <v>42</v>
      </c>
      <c r="B47" s="509" t="s">
        <v>593</v>
      </c>
      <c r="C47" s="509" t="s">
        <v>1465</v>
      </c>
      <c r="D47" s="510">
        <v>647</v>
      </c>
      <c r="E47" s="510" t="s">
        <v>2386</v>
      </c>
      <c r="F47" s="497" t="s">
        <v>986</v>
      </c>
      <c r="G47" s="498" t="s">
        <v>196</v>
      </c>
      <c r="H47" s="497" t="s">
        <v>986</v>
      </c>
      <c r="I47" s="498" t="s">
        <v>197</v>
      </c>
      <c r="J47" s="497" t="s">
        <v>986</v>
      </c>
      <c r="K47" s="498" t="s">
        <v>196</v>
      </c>
      <c r="L47" s="497" t="s">
        <v>986</v>
      </c>
      <c r="M47" s="498" t="s">
        <v>37</v>
      </c>
      <c r="N47" s="497" t="s">
        <v>986</v>
      </c>
      <c r="O47" s="498" t="s">
        <v>37</v>
      </c>
      <c r="P47" s="497" t="s">
        <v>986</v>
      </c>
      <c r="Q47" s="498" t="s">
        <v>37</v>
      </c>
      <c r="R47" s="497" t="s">
        <v>986</v>
      </c>
      <c r="S47" s="498" t="s">
        <v>1323</v>
      </c>
      <c r="T47" s="497" t="s">
        <v>986</v>
      </c>
      <c r="U47" s="499" t="s">
        <v>37</v>
      </c>
      <c r="V47" s="497" t="s">
        <v>986</v>
      </c>
      <c r="W47" s="498" t="s">
        <v>37</v>
      </c>
      <c r="X47" s="497" t="s">
        <v>986</v>
      </c>
      <c r="Y47" s="498" t="s">
        <v>37</v>
      </c>
      <c r="Z47" s="497" t="s">
        <v>986</v>
      </c>
      <c r="AA47" s="498" t="s">
        <v>37</v>
      </c>
      <c r="AB47" s="497" t="s">
        <v>986</v>
      </c>
      <c r="AC47" s="498" t="s">
        <v>37</v>
      </c>
      <c r="AD47" s="497" t="s">
        <v>986</v>
      </c>
      <c r="AE47" s="498" t="s">
        <v>37</v>
      </c>
      <c r="AF47" s="497" t="s">
        <v>986</v>
      </c>
      <c r="AG47" s="499" t="s">
        <v>37</v>
      </c>
      <c r="AH47" s="497" t="s">
        <v>986</v>
      </c>
      <c r="AI47" s="498" t="s">
        <v>37</v>
      </c>
      <c r="AJ47" s="497" t="s">
        <v>986</v>
      </c>
      <c r="AK47" s="498" t="s">
        <v>37</v>
      </c>
      <c r="AL47" s="497" t="s">
        <v>986</v>
      </c>
      <c r="AM47" s="499" t="s">
        <v>37</v>
      </c>
      <c r="AN47" s="497" t="s">
        <v>986</v>
      </c>
      <c r="AO47" s="498" t="s">
        <v>37</v>
      </c>
      <c r="AP47" s="497" t="s">
        <v>986</v>
      </c>
      <c r="AQ47" s="498" t="s">
        <v>37</v>
      </c>
      <c r="AR47" s="497" t="s">
        <v>986</v>
      </c>
      <c r="AS47" s="499" t="s">
        <v>37</v>
      </c>
      <c r="AT47" s="497" t="s">
        <v>986</v>
      </c>
      <c r="AU47" s="499" t="s">
        <v>37</v>
      </c>
      <c r="AV47" s="497" t="s">
        <v>986</v>
      </c>
      <c r="AW47" s="498" t="s">
        <v>37</v>
      </c>
      <c r="AX47" s="497" t="s">
        <v>986</v>
      </c>
      <c r="AY47" s="498" t="s">
        <v>37</v>
      </c>
      <c r="AZ47" s="497" t="s">
        <v>986</v>
      </c>
      <c r="BA47" s="498" t="s">
        <v>518</v>
      </c>
      <c r="BB47" s="497" t="s">
        <v>961</v>
      </c>
      <c r="BC47" s="498" t="s">
        <v>1199</v>
      </c>
      <c r="BD47" s="497" t="s">
        <v>986</v>
      </c>
      <c r="BE47" s="498" t="s">
        <v>37</v>
      </c>
      <c r="BF47" s="497" t="s">
        <v>986</v>
      </c>
      <c r="BG47" s="498" t="s">
        <v>37</v>
      </c>
      <c r="BH47" s="497" t="s">
        <v>986</v>
      </c>
      <c r="BI47" s="498" t="s">
        <v>37</v>
      </c>
      <c r="BJ47" s="497" t="s">
        <v>986</v>
      </c>
      <c r="BK47" s="498" t="s">
        <v>37</v>
      </c>
      <c r="BL47" s="497" t="s">
        <v>986</v>
      </c>
      <c r="BM47" s="498" t="s">
        <v>1490</v>
      </c>
      <c r="BN47" s="497" t="s">
        <v>986</v>
      </c>
      <c r="BO47" s="499" t="s">
        <v>37</v>
      </c>
      <c r="BP47" s="497" t="s">
        <v>964</v>
      </c>
      <c r="BQ47" s="498" t="s">
        <v>557</v>
      </c>
      <c r="BR47" s="497" t="s">
        <v>964</v>
      </c>
      <c r="BS47" s="498" t="s">
        <v>2154</v>
      </c>
      <c r="BT47" s="497" t="s">
        <v>964</v>
      </c>
      <c r="BU47" s="498" t="s">
        <v>1707</v>
      </c>
      <c r="BV47" s="497" t="s">
        <v>986</v>
      </c>
      <c r="BW47" s="498" t="s">
        <v>37</v>
      </c>
      <c r="BX47" s="497" t="s">
        <v>964</v>
      </c>
      <c r="BY47" s="498" t="s">
        <v>198</v>
      </c>
      <c r="BZ47" s="497" t="s">
        <v>964</v>
      </c>
      <c r="CA47" s="498" t="s">
        <v>199</v>
      </c>
      <c r="CB47" s="497" t="s">
        <v>986</v>
      </c>
      <c r="CC47" s="498" t="s">
        <v>37</v>
      </c>
      <c r="CD47" s="497" t="s">
        <v>964</v>
      </c>
      <c r="CE47" s="498" t="s">
        <v>818</v>
      </c>
      <c r="CF47" s="497" t="s">
        <v>965</v>
      </c>
      <c r="CG47" s="498" t="s">
        <v>499</v>
      </c>
      <c r="CH47" s="497" t="s">
        <v>986</v>
      </c>
      <c r="CI47" s="499" t="s">
        <v>37</v>
      </c>
      <c r="CJ47" s="497" t="s">
        <v>986</v>
      </c>
      <c r="CK47" s="498" t="s">
        <v>37</v>
      </c>
      <c r="CL47" s="497" t="s">
        <v>986</v>
      </c>
      <c r="CM47" s="498" t="s">
        <v>37</v>
      </c>
      <c r="CN47" s="497" t="s">
        <v>986</v>
      </c>
      <c r="CO47" s="498" t="s">
        <v>37</v>
      </c>
      <c r="CP47" s="517"/>
      <c r="CQ47" s="34"/>
      <c r="CR47" s="34"/>
    </row>
    <row r="48" spans="1:96" s="5" customFormat="1" ht="81.75" customHeight="1" thickBot="1" x14ac:dyDescent="0.25">
      <c r="A48" s="124">
        <f t="shared" si="0"/>
        <v>43</v>
      </c>
      <c r="B48" s="509" t="s">
        <v>3876</v>
      </c>
      <c r="C48" s="509" t="s">
        <v>1599</v>
      </c>
      <c r="D48" s="510">
        <v>368</v>
      </c>
      <c r="E48" s="510" t="s">
        <v>2384</v>
      </c>
      <c r="F48" s="497" t="s">
        <v>986</v>
      </c>
      <c r="G48" s="498" t="s">
        <v>3924</v>
      </c>
      <c r="H48" s="497" t="s">
        <v>986</v>
      </c>
      <c r="I48" s="498" t="s">
        <v>3924</v>
      </c>
      <c r="J48" s="497" t="s">
        <v>986</v>
      </c>
      <c r="K48" s="498" t="s">
        <v>37</v>
      </c>
      <c r="L48" s="497" t="s">
        <v>986</v>
      </c>
      <c r="M48" s="498" t="s">
        <v>37</v>
      </c>
      <c r="N48" s="497" t="s">
        <v>986</v>
      </c>
      <c r="O48" s="498" t="s">
        <v>37</v>
      </c>
      <c r="P48" s="497" t="s">
        <v>986</v>
      </c>
      <c r="Q48" s="498" t="s">
        <v>37</v>
      </c>
      <c r="R48" s="497" t="s">
        <v>986</v>
      </c>
      <c r="S48" s="498" t="s">
        <v>37</v>
      </c>
      <c r="T48" s="497" t="s">
        <v>986</v>
      </c>
      <c r="U48" s="499" t="s">
        <v>37</v>
      </c>
      <c r="V48" s="497" t="s">
        <v>986</v>
      </c>
      <c r="W48" s="498" t="s">
        <v>37</v>
      </c>
      <c r="X48" s="497" t="s">
        <v>986</v>
      </c>
      <c r="Y48" s="498" t="s">
        <v>37</v>
      </c>
      <c r="Z48" s="497" t="s">
        <v>986</v>
      </c>
      <c r="AA48" s="498" t="s">
        <v>37</v>
      </c>
      <c r="AB48" s="497" t="s">
        <v>986</v>
      </c>
      <c r="AC48" s="498" t="s">
        <v>37</v>
      </c>
      <c r="AD48" s="497" t="s">
        <v>986</v>
      </c>
      <c r="AE48" s="498" t="s">
        <v>37</v>
      </c>
      <c r="AF48" s="497" t="s">
        <v>986</v>
      </c>
      <c r="AG48" s="499" t="s">
        <v>37</v>
      </c>
      <c r="AH48" s="497" t="s">
        <v>986</v>
      </c>
      <c r="AI48" s="498" t="s">
        <v>37</v>
      </c>
      <c r="AJ48" s="497" t="s">
        <v>986</v>
      </c>
      <c r="AK48" s="498" t="s">
        <v>37</v>
      </c>
      <c r="AL48" s="497" t="s">
        <v>986</v>
      </c>
      <c r="AM48" s="499" t="s">
        <v>37</v>
      </c>
      <c r="AN48" s="497" t="s">
        <v>963</v>
      </c>
      <c r="AO48" s="498" t="s">
        <v>462</v>
      </c>
      <c r="AP48" s="497" t="s">
        <v>963</v>
      </c>
      <c r="AQ48" s="498" t="s">
        <v>3925</v>
      </c>
      <c r="AR48" s="497" t="s">
        <v>986</v>
      </c>
      <c r="AS48" s="499" t="s">
        <v>37</v>
      </c>
      <c r="AT48" s="497" t="s">
        <v>986</v>
      </c>
      <c r="AU48" s="499" t="s">
        <v>37</v>
      </c>
      <c r="AV48" s="497" t="s">
        <v>963</v>
      </c>
      <c r="AW48" s="498" t="s">
        <v>764</v>
      </c>
      <c r="AX48" s="497" t="s">
        <v>963</v>
      </c>
      <c r="AY48" s="498" t="s">
        <v>3926</v>
      </c>
      <c r="AZ48" s="497" t="s">
        <v>986</v>
      </c>
      <c r="BA48" s="498" t="s">
        <v>37</v>
      </c>
      <c r="BB48" s="497" t="s">
        <v>986</v>
      </c>
      <c r="BC48" s="498" t="s">
        <v>37</v>
      </c>
      <c r="BD48" s="497" t="s">
        <v>986</v>
      </c>
      <c r="BE48" s="498" t="s">
        <v>37</v>
      </c>
      <c r="BF48" s="497" t="s">
        <v>986</v>
      </c>
      <c r="BG48" s="498" t="s">
        <v>37</v>
      </c>
      <c r="BH48" s="497" t="s">
        <v>986</v>
      </c>
      <c r="BI48" s="498" t="s">
        <v>2850</v>
      </c>
      <c r="BJ48" s="497" t="s">
        <v>958</v>
      </c>
      <c r="BK48" s="498" t="s">
        <v>2851</v>
      </c>
      <c r="BL48" s="497" t="s">
        <v>965</v>
      </c>
      <c r="BM48" s="498" t="s">
        <v>2852</v>
      </c>
      <c r="BN48" s="497" t="s">
        <v>966</v>
      </c>
      <c r="BO48" s="499" t="s">
        <v>2853</v>
      </c>
      <c r="BP48" s="497" t="s">
        <v>986</v>
      </c>
      <c r="BQ48" s="498" t="s">
        <v>37</v>
      </c>
      <c r="BR48" s="497" t="s">
        <v>986</v>
      </c>
      <c r="BS48" s="498" t="s">
        <v>37</v>
      </c>
      <c r="BT48" s="497" t="s">
        <v>986</v>
      </c>
      <c r="BU48" s="498" t="s">
        <v>37</v>
      </c>
      <c r="BV48" s="497" t="s">
        <v>986</v>
      </c>
      <c r="BW48" s="498" t="s">
        <v>37</v>
      </c>
      <c r="BX48" s="497" t="s">
        <v>986</v>
      </c>
      <c r="BY48" s="498" t="s">
        <v>37</v>
      </c>
      <c r="BZ48" s="497" t="s">
        <v>986</v>
      </c>
      <c r="CA48" s="498" t="s">
        <v>37</v>
      </c>
      <c r="CB48" s="497" t="s">
        <v>986</v>
      </c>
      <c r="CC48" s="498" t="s">
        <v>37</v>
      </c>
      <c r="CD48" s="497" t="s">
        <v>986</v>
      </c>
      <c r="CE48" s="498" t="s">
        <v>37</v>
      </c>
      <c r="CF48" s="497" t="s">
        <v>986</v>
      </c>
      <c r="CG48" s="498" t="s">
        <v>37</v>
      </c>
      <c r="CH48" s="497" t="s">
        <v>986</v>
      </c>
      <c r="CI48" s="499" t="s">
        <v>37</v>
      </c>
      <c r="CJ48" s="497" t="s">
        <v>986</v>
      </c>
      <c r="CK48" s="498" t="s">
        <v>37</v>
      </c>
      <c r="CL48" s="497" t="s">
        <v>986</v>
      </c>
      <c r="CM48" s="498" t="s">
        <v>37</v>
      </c>
      <c r="CN48" s="497" t="s">
        <v>986</v>
      </c>
      <c r="CO48" s="498" t="s">
        <v>37</v>
      </c>
      <c r="CP48" s="518" t="s">
        <v>3927</v>
      </c>
      <c r="CQ48" s="34"/>
      <c r="CR48" s="34"/>
    </row>
    <row r="49" spans="1:96" s="5" customFormat="1" ht="57" thickBot="1" x14ac:dyDescent="0.25">
      <c r="A49" s="124">
        <f t="shared" si="0"/>
        <v>44</v>
      </c>
      <c r="B49" s="509" t="s">
        <v>1988</v>
      </c>
      <c r="C49" s="509" t="s">
        <v>1597</v>
      </c>
      <c r="D49" s="510">
        <v>374</v>
      </c>
      <c r="E49" s="510" t="s">
        <v>2384</v>
      </c>
      <c r="F49" s="497" t="s">
        <v>986</v>
      </c>
      <c r="G49" s="498" t="s">
        <v>37</v>
      </c>
      <c r="H49" s="497" t="s">
        <v>986</v>
      </c>
      <c r="I49" s="498" t="s">
        <v>37</v>
      </c>
      <c r="J49" s="497" t="s">
        <v>986</v>
      </c>
      <c r="K49" s="498" t="s">
        <v>37</v>
      </c>
      <c r="L49" s="497" t="s">
        <v>986</v>
      </c>
      <c r="M49" s="498" t="s">
        <v>37</v>
      </c>
      <c r="N49" s="497" t="s">
        <v>986</v>
      </c>
      <c r="O49" s="498" t="s">
        <v>37</v>
      </c>
      <c r="P49" s="497" t="s">
        <v>986</v>
      </c>
      <c r="Q49" s="498" t="s">
        <v>37</v>
      </c>
      <c r="R49" s="497" t="s">
        <v>986</v>
      </c>
      <c r="S49" s="498" t="s">
        <v>37</v>
      </c>
      <c r="T49" s="497" t="s">
        <v>986</v>
      </c>
      <c r="U49" s="499" t="s">
        <v>37</v>
      </c>
      <c r="V49" s="497" t="s">
        <v>986</v>
      </c>
      <c r="W49" s="498" t="s">
        <v>37</v>
      </c>
      <c r="X49" s="497" t="s">
        <v>986</v>
      </c>
      <c r="Y49" s="498" t="s">
        <v>37</v>
      </c>
      <c r="Z49" s="497" t="s">
        <v>986</v>
      </c>
      <c r="AA49" s="498" t="s">
        <v>37</v>
      </c>
      <c r="AB49" s="497" t="s">
        <v>986</v>
      </c>
      <c r="AC49" s="498" t="s">
        <v>37</v>
      </c>
      <c r="AD49" s="497" t="s">
        <v>986</v>
      </c>
      <c r="AE49" s="498" t="s">
        <v>37</v>
      </c>
      <c r="AF49" s="497" t="s">
        <v>986</v>
      </c>
      <c r="AG49" s="499" t="s">
        <v>37</v>
      </c>
      <c r="AH49" s="497" t="s">
        <v>986</v>
      </c>
      <c r="AI49" s="498" t="s">
        <v>37</v>
      </c>
      <c r="AJ49" s="497" t="s">
        <v>986</v>
      </c>
      <c r="AK49" s="498" t="s">
        <v>37</v>
      </c>
      <c r="AL49" s="497" t="s">
        <v>986</v>
      </c>
      <c r="AM49" s="499" t="s">
        <v>37</v>
      </c>
      <c r="AN49" s="497" t="s">
        <v>986</v>
      </c>
      <c r="AO49" s="498" t="s">
        <v>37</v>
      </c>
      <c r="AP49" s="497" t="s">
        <v>986</v>
      </c>
      <c r="AQ49" s="498" t="s">
        <v>37</v>
      </c>
      <c r="AR49" s="497" t="s">
        <v>986</v>
      </c>
      <c r="AS49" s="499" t="s">
        <v>37</v>
      </c>
      <c r="AT49" s="497" t="s">
        <v>986</v>
      </c>
      <c r="AU49" s="499" t="s">
        <v>37</v>
      </c>
      <c r="AV49" s="497" t="s">
        <v>986</v>
      </c>
      <c r="AW49" s="498" t="s">
        <v>37</v>
      </c>
      <c r="AX49" s="497" t="s">
        <v>986</v>
      </c>
      <c r="AY49" s="498" t="s">
        <v>37</v>
      </c>
      <c r="AZ49" s="497" t="s">
        <v>986</v>
      </c>
      <c r="BA49" s="498" t="s">
        <v>37</v>
      </c>
      <c r="BB49" s="497" t="s">
        <v>961</v>
      </c>
      <c r="BC49" s="498" t="s">
        <v>1989</v>
      </c>
      <c r="BD49" s="497" t="s">
        <v>986</v>
      </c>
      <c r="BE49" s="498" t="s">
        <v>37</v>
      </c>
      <c r="BF49" s="497" t="s">
        <v>986</v>
      </c>
      <c r="BG49" s="498" t="s">
        <v>37</v>
      </c>
      <c r="BH49" s="497" t="s">
        <v>963</v>
      </c>
      <c r="BI49" s="498" t="s">
        <v>1839</v>
      </c>
      <c r="BJ49" s="497" t="s">
        <v>963</v>
      </c>
      <c r="BK49" s="498" t="s">
        <v>1840</v>
      </c>
      <c r="BL49" s="497" t="s">
        <v>963</v>
      </c>
      <c r="BM49" s="498" t="s">
        <v>1990</v>
      </c>
      <c r="BN49" s="497" t="s">
        <v>986</v>
      </c>
      <c r="BO49" s="499" t="s">
        <v>37</v>
      </c>
      <c r="BP49" s="497" t="s">
        <v>986</v>
      </c>
      <c r="BQ49" s="498" t="s">
        <v>37</v>
      </c>
      <c r="BR49" s="497" t="s">
        <v>986</v>
      </c>
      <c r="BS49" s="498" t="s">
        <v>37</v>
      </c>
      <c r="BT49" s="497" t="s">
        <v>986</v>
      </c>
      <c r="BU49" s="498" t="s">
        <v>37</v>
      </c>
      <c r="BV49" s="497" t="s">
        <v>986</v>
      </c>
      <c r="BW49" s="498" t="s">
        <v>37</v>
      </c>
      <c r="BX49" s="497" t="s">
        <v>986</v>
      </c>
      <c r="BY49" s="498" t="s">
        <v>37</v>
      </c>
      <c r="BZ49" s="497" t="s">
        <v>986</v>
      </c>
      <c r="CA49" s="498" t="s">
        <v>37</v>
      </c>
      <c r="CB49" s="497" t="s">
        <v>986</v>
      </c>
      <c r="CC49" s="498" t="s">
        <v>37</v>
      </c>
      <c r="CD49" s="497" t="s">
        <v>986</v>
      </c>
      <c r="CE49" s="498" t="s">
        <v>37</v>
      </c>
      <c r="CF49" s="497" t="s">
        <v>986</v>
      </c>
      <c r="CG49" s="498" t="s">
        <v>37</v>
      </c>
      <c r="CH49" s="497" t="s">
        <v>986</v>
      </c>
      <c r="CI49" s="499" t="s">
        <v>37</v>
      </c>
      <c r="CJ49" s="497" t="s">
        <v>986</v>
      </c>
      <c r="CK49" s="498" t="s">
        <v>37</v>
      </c>
      <c r="CL49" s="497" t="s">
        <v>964</v>
      </c>
      <c r="CM49" s="498" t="s">
        <v>1822</v>
      </c>
      <c r="CN49" s="497" t="s">
        <v>986</v>
      </c>
      <c r="CO49" s="498" t="s">
        <v>1991</v>
      </c>
      <c r="CP49" s="517"/>
      <c r="CQ49" s="34"/>
      <c r="CR49" s="34"/>
    </row>
    <row r="50" spans="1:96" s="5" customFormat="1" ht="113.25" thickBot="1" x14ac:dyDescent="0.25">
      <c r="A50" s="124">
        <f t="shared" si="0"/>
        <v>45</v>
      </c>
      <c r="B50" s="509" t="s">
        <v>594</v>
      </c>
      <c r="C50" s="509" t="s">
        <v>2059</v>
      </c>
      <c r="D50" s="510">
        <v>592</v>
      </c>
      <c r="E50" s="510" t="s">
        <v>2385</v>
      </c>
      <c r="F50" s="497" t="s">
        <v>986</v>
      </c>
      <c r="G50" s="498" t="s">
        <v>37</v>
      </c>
      <c r="H50" s="497" t="s">
        <v>986</v>
      </c>
      <c r="I50" s="498" t="s">
        <v>37</v>
      </c>
      <c r="J50" s="497" t="s">
        <v>986</v>
      </c>
      <c r="K50" s="498" t="s">
        <v>37</v>
      </c>
      <c r="L50" s="497" t="s">
        <v>986</v>
      </c>
      <c r="M50" s="498" t="s">
        <v>37</v>
      </c>
      <c r="N50" s="497" t="s">
        <v>986</v>
      </c>
      <c r="O50" s="498" t="s">
        <v>37</v>
      </c>
      <c r="P50" s="497" t="s">
        <v>986</v>
      </c>
      <c r="Q50" s="498" t="s">
        <v>37</v>
      </c>
      <c r="R50" s="497" t="s">
        <v>986</v>
      </c>
      <c r="S50" s="498" t="s">
        <v>37</v>
      </c>
      <c r="T50" s="497" t="s">
        <v>986</v>
      </c>
      <c r="U50" s="499" t="s">
        <v>37</v>
      </c>
      <c r="V50" s="497" t="s">
        <v>986</v>
      </c>
      <c r="W50" s="498" t="s">
        <v>37</v>
      </c>
      <c r="X50" s="497" t="s">
        <v>986</v>
      </c>
      <c r="Y50" s="498" t="s">
        <v>37</v>
      </c>
      <c r="Z50" s="497" t="s">
        <v>986</v>
      </c>
      <c r="AA50" s="498" t="s">
        <v>37</v>
      </c>
      <c r="AB50" s="497" t="s">
        <v>986</v>
      </c>
      <c r="AC50" s="498" t="s">
        <v>37</v>
      </c>
      <c r="AD50" s="497" t="s">
        <v>986</v>
      </c>
      <c r="AE50" s="498" t="s">
        <v>37</v>
      </c>
      <c r="AF50" s="497" t="s">
        <v>986</v>
      </c>
      <c r="AG50" s="499" t="s">
        <v>37</v>
      </c>
      <c r="AH50" s="497" t="s">
        <v>986</v>
      </c>
      <c r="AI50" s="498" t="s">
        <v>37</v>
      </c>
      <c r="AJ50" s="497" t="s">
        <v>986</v>
      </c>
      <c r="AK50" s="498" t="s">
        <v>37</v>
      </c>
      <c r="AL50" s="497" t="s">
        <v>986</v>
      </c>
      <c r="AM50" s="499" t="s">
        <v>37</v>
      </c>
      <c r="AN50" s="497" t="s">
        <v>963</v>
      </c>
      <c r="AO50" s="498" t="s">
        <v>1344</v>
      </c>
      <c r="AP50" s="497" t="s">
        <v>963</v>
      </c>
      <c r="AQ50" s="498" t="s">
        <v>320</v>
      </c>
      <c r="AR50" s="497" t="s">
        <v>965</v>
      </c>
      <c r="AS50" s="499" t="s">
        <v>1985</v>
      </c>
      <c r="AT50" s="497" t="s">
        <v>986</v>
      </c>
      <c r="AU50" s="499" t="s">
        <v>37</v>
      </c>
      <c r="AV50" s="497" t="s">
        <v>965</v>
      </c>
      <c r="AW50" s="498" t="s">
        <v>1987</v>
      </c>
      <c r="AX50" s="497" t="s">
        <v>965</v>
      </c>
      <c r="AY50" s="498" t="s">
        <v>1986</v>
      </c>
      <c r="AZ50" s="497" t="s">
        <v>986</v>
      </c>
      <c r="BA50" s="498" t="s">
        <v>37</v>
      </c>
      <c r="BB50" s="497" t="s">
        <v>986</v>
      </c>
      <c r="BC50" s="498" t="s">
        <v>37</v>
      </c>
      <c r="BD50" s="497" t="s">
        <v>986</v>
      </c>
      <c r="BE50" s="498" t="s">
        <v>37</v>
      </c>
      <c r="BF50" s="497" t="s">
        <v>986</v>
      </c>
      <c r="BG50" s="498" t="s">
        <v>37</v>
      </c>
      <c r="BH50" s="497" t="s">
        <v>964</v>
      </c>
      <c r="BI50" s="498" t="s">
        <v>2873</v>
      </c>
      <c r="BJ50" s="497" t="s">
        <v>965</v>
      </c>
      <c r="BK50" s="498" t="s">
        <v>2874</v>
      </c>
      <c r="BL50" s="497" t="s">
        <v>964</v>
      </c>
      <c r="BM50" s="498" t="s">
        <v>2875</v>
      </c>
      <c r="BN50" s="497" t="s">
        <v>964</v>
      </c>
      <c r="BO50" s="499" t="s">
        <v>2876</v>
      </c>
      <c r="BP50" s="497" t="s">
        <v>986</v>
      </c>
      <c r="BQ50" s="498" t="s">
        <v>37</v>
      </c>
      <c r="BR50" s="497" t="s">
        <v>986</v>
      </c>
      <c r="BS50" s="498" t="s">
        <v>37</v>
      </c>
      <c r="BT50" s="497" t="s">
        <v>986</v>
      </c>
      <c r="BU50" s="498" t="s">
        <v>37</v>
      </c>
      <c r="BV50" s="497" t="s">
        <v>986</v>
      </c>
      <c r="BW50" s="498" t="s">
        <v>37</v>
      </c>
      <c r="BX50" s="497" t="s">
        <v>986</v>
      </c>
      <c r="BY50" s="498" t="s">
        <v>37</v>
      </c>
      <c r="BZ50" s="497" t="s">
        <v>986</v>
      </c>
      <c r="CA50" s="498" t="s">
        <v>37</v>
      </c>
      <c r="CB50" s="497" t="s">
        <v>986</v>
      </c>
      <c r="CC50" s="498" t="s">
        <v>37</v>
      </c>
      <c r="CD50" s="497" t="s">
        <v>986</v>
      </c>
      <c r="CE50" s="498" t="s">
        <v>37</v>
      </c>
      <c r="CF50" s="497" t="s">
        <v>967</v>
      </c>
      <c r="CG50" s="498" t="s">
        <v>1187</v>
      </c>
      <c r="CH50" s="497" t="s">
        <v>986</v>
      </c>
      <c r="CI50" s="499" t="s">
        <v>37</v>
      </c>
      <c r="CJ50" s="497" t="s">
        <v>986</v>
      </c>
      <c r="CK50" s="498" t="s">
        <v>37</v>
      </c>
      <c r="CL50" s="497" t="s">
        <v>986</v>
      </c>
      <c r="CM50" s="498" t="s">
        <v>37</v>
      </c>
      <c r="CN50" s="497" t="s">
        <v>965</v>
      </c>
      <c r="CO50" s="498" t="s">
        <v>1826</v>
      </c>
      <c r="CP50" s="517"/>
      <c r="CQ50" s="34"/>
      <c r="CR50" s="34"/>
    </row>
    <row r="51" spans="1:96" s="5" customFormat="1" ht="147" thickBot="1" x14ac:dyDescent="0.25">
      <c r="A51" s="124">
        <f t="shared" si="0"/>
        <v>46</v>
      </c>
      <c r="B51" s="509" t="s">
        <v>595</v>
      </c>
      <c r="C51" s="509" t="s">
        <v>1603</v>
      </c>
      <c r="D51" s="510">
        <v>382</v>
      </c>
      <c r="E51" s="510" t="s">
        <v>2383</v>
      </c>
      <c r="F51" s="497" t="s">
        <v>965</v>
      </c>
      <c r="G51" s="498" t="s">
        <v>1532</v>
      </c>
      <c r="H51" s="497" t="s">
        <v>986</v>
      </c>
      <c r="I51" s="498" t="s">
        <v>1531</v>
      </c>
      <c r="J51" s="497" t="s">
        <v>986</v>
      </c>
      <c r="K51" s="498" t="s">
        <v>1532</v>
      </c>
      <c r="L51" s="497" t="s">
        <v>986</v>
      </c>
      <c r="M51" s="498" t="s">
        <v>1532</v>
      </c>
      <c r="N51" s="497" t="s">
        <v>986</v>
      </c>
      <c r="O51" s="498" t="s">
        <v>1533</v>
      </c>
      <c r="P51" s="497" t="s">
        <v>986</v>
      </c>
      <c r="Q51" s="498" t="s">
        <v>2805</v>
      </c>
      <c r="R51" s="497" t="s">
        <v>965</v>
      </c>
      <c r="S51" s="498" t="s">
        <v>2805</v>
      </c>
      <c r="T51" s="497" t="s">
        <v>986</v>
      </c>
      <c r="U51" s="499" t="s">
        <v>2805</v>
      </c>
      <c r="V51" s="497" t="s">
        <v>986</v>
      </c>
      <c r="W51" s="498" t="s">
        <v>2805</v>
      </c>
      <c r="X51" s="497" t="s">
        <v>986</v>
      </c>
      <c r="Y51" s="498" t="s">
        <v>37</v>
      </c>
      <c r="Z51" s="497" t="s">
        <v>986</v>
      </c>
      <c r="AA51" s="498" t="s">
        <v>2805</v>
      </c>
      <c r="AB51" s="497" t="s">
        <v>986</v>
      </c>
      <c r="AC51" s="498" t="s">
        <v>37</v>
      </c>
      <c r="AD51" s="497" t="s">
        <v>986</v>
      </c>
      <c r="AE51" s="498" t="s">
        <v>2805</v>
      </c>
      <c r="AF51" s="497" t="s">
        <v>986</v>
      </c>
      <c r="AG51" s="499" t="s">
        <v>37</v>
      </c>
      <c r="AH51" s="497" t="s">
        <v>986</v>
      </c>
      <c r="AI51" s="498" t="s">
        <v>2805</v>
      </c>
      <c r="AJ51" s="497" t="s">
        <v>986</v>
      </c>
      <c r="AK51" s="498" t="s">
        <v>37</v>
      </c>
      <c r="AL51" s="497" t="s">
        <v>986</v>
      </c>
      <c r="AM51" s="499" t="s">
        <v>37</v>
      </c>
      <c r="AN51" s="497" t="s">
        <v>986</v>
      </c>
      <c r="AO51" s="498" t="s">
        <v>2805</v>
      </c>
      <c r="AP51" s="497" t="s">
        <v>986</v>
      </c>
      <c r="AQ51" s="498" t="s">
        <v>2805</v>
      </c>
      <c r="AR51" s="497" t="s">
        <v>986</v>
      </c>
      <c r="AS51" s="499" t="s">
        <v>37</v>
      </c>
      <c r="AT51" s="497" t="s">
        <v>986</v>
      </c>
      <c r="AU51" s="499" t="s">
        <v>2805</v>
      </c>
      <c r="AV51" s="497" t="s">
        <v>963</v>
      </c>
      <c r="AW51" s="498" t="s">
        <v>1341</v>
      </c>
      <c r="AX51" s="497" t="s">
        <v>986</v>
      </c>
      <c r="AY51" s="498" t="s">
        <v>37</v>
      </c>
      <c r="AZ51" s="497" t="s">
        <v>986</v>
      </c>
      <c r="BA51" s="498" t="s">
        <v>2805</v>
      </c>
      <c r="BB51" s="497" t="s">
        <v>986</v>
      </c>
      <c r="BC51" s="498" t="s">
        <v>37</v>
      </c>
      <c r="BD51" s="497" t="s">
        <v>986</v>
      </c>
      <c r="BE51" s="498" t="s">
        <v>2805</v>
      </c>
      <c r="BF51" s="497" t="s">
        <v>986</v>
      </c>
      <c r="BG51" s="498" t="s">
        <v>37</v>
      </c>
      <c r="BH51" s="497" t="s">
        <v>986</v>
      </c>
      <c r="BI51" s="498" t="s">
        <v>37</v>
      </c>
      <c r="BJ51" s="497" t="s">
        <v>986</v>
      </c>
      <c r="BK51" s="498" t="s">
        <v>37</v>
      </c>
      <c r="BL51" s="497" t="s">
        <v>965</v>
      </c>
      <c r="BM51" s="498" t="s">
        <v>2877</v>
      </c>
      <c r="BN51" s="497" t="s">
        <v>986</v>
      </c>
      <c r="BO51" s="499" t="s">
        <v>37</v>
      </c>
      <c r="BP51" s="497" t="s">
        <v>963</v>
      </c>
      <c r="BQ51" s="498" t="s">
        <v>1180</v>
      </c>
      <c r="BR51" s="497" t="s">
        <v>986</v>
      </c>
      <c r="BS51" s="498" t="s">
        <v>2157</v>
      </c>
      <c r="BT51" s="497" t="s">
        <v>986</v>
      </c>
      <c r="BU51" s="498" t="s">
        <v>2805</v>
      </c>
      <c r="BV51" s="497" t="s">
        <v>986</v>
      </c>
      <c r="BW51" s="498" t="s">
        <v>37</v>
      </c>
      <c r="BX51" s="497" t="s">
        <v>986</v>
      </c>
      <c r="BY51" s="498" t="s">
        <v>37</v>
      </c>
      <c r="BZ51" s="497" t="s">
        <v>986</v>
      </c>
      <c r="CA51" s="498" t="s">
        <v>37</v>
      </c>
      <c r="CB51" s="497" t="s">
        <v>986</v>
      </c>
      <c r="CC51" s="498" t="s">
        <v>37</v>
      </c>
      <c r="CD51" s="497" t="s">
        <v>986</v>
      </c>
      <c r="CE51" s="498" t="s">
        <v>2810</v>
      </c>
      <c r="CF51" s="497" t="s">
        <v>966</v>
      </c>
      <c r="CG51" s="498" t="s">
        <v>1098</v>
      </c>
      <c r="CH51" s="497" t="s">
        <v>986</v>
      </c>
      <c r="CI51" s="499" t="s">
        <v>2805</v>
      </c>
      <c r="CJ51" s="497" t="s">
        <v>986</v>
      </c>
      <c r="CK51" s="498" t="s">
        <v>37</v>
      </c>
      <c r="CL51" s="497" t="s">
        <v>986</v>
      </c>
      <c r="CM51" s="498" t="s">
        <v>37</v>
      </c>
      <c r="CN51" s="497" t="s">
        <v>986</v>
      </c>
      <c r="CO51" s="498" t="s">
        <v>37</v>
      </c>
      <c r="CP51" s="517" t="s">
        <v>2811</v>
      </c>
      <c r="CQ51" s="34"/>
      <c r="CR51" s="34"/>
    </row>
    <row r="52" spans="1:96" s="17" customFormat="1" ht="102" thickBot="1" x14ac:dyDescent="0.25">
      <c r="A52" s="124">
        <f t="shared" si="0"/>
        <v>47</v>
      </c>
      <c r="B52" s="509" t="s">
        <v>618</v>
      </c>
      <c r="C52" s="509" t="s">
        <v>1605</v>
      </c>
      <c r="D52" s="510">
        <v>386</v>
      </c>
      <c r="E52" s="510" t="s">
        <v>2383</v>
      </c>
      <c r="F52" s="497" t="s">
        <v>964</v>
      </c>
      <c r="G52" s="498" t="s">
        <v>927</v>
      </c>
      <c r="H52" s="497" t="s">
        <v>964</v>
      </c>
      <c r="I52" s="498" t="s">
        <v>928</v>
      </c>
      <c r="J52" s="497" t="s">
        <v>965</v>
      </c>
      <c r="K52" s="498" t="s">
        <v>929</v>
      </c>
      <c r="L52" s="497" t="s">
        <v>986</v>
      </c>
      <c r="M52" s="498" t="s">
        <v>37</v>
      </c>
      <c r="N52" s="497" t="s">
        <v>965</v>
      </c>
      <c r="O52" s="498" t="s">
        <v>22</v>
      </c>
      <c r="P52" s="497" t="s">
        <v>964</v>
      </c>
      <c r="Q52" s="498" t="s">
        <v>930</v>
      </c>
      <c r="R52" s="497" t="s">
        <v>963</v>
      </c>
      <c r="S52" s="498" t="s">
        <v>931</v>
      </c>
      <c r="T52" s="497" t="s">
        <v>986</v>
      </c>
      <c r="U52" s="499" t="s">
        <v>86</v>
      </c>
      <c r="V52" s="497" t="s">
        <v>986</v>
      </c>
      <c r="W52" s="498" t="s">
        <v>37</v>
      </c>
      <c r="X52" s="497" t="s">
        <v>986</v>
      </c>
      <c r="Y52" s="498" t="s">
        <v>37</v>
      </c>
      <c r="Z52" s="497" t="s">
        <v>965</v>
      </c>
      <c r="AA52" s="498" t="s">
        <v>1524</v>
      </c>
      <c r="AB52" s="497" t="s">
        <v>986</v>
      </c>
      <c r="AC52" s="498" t="s">
        <v>37</v>
      </c>
      <c r="AD52" s="497" t="s">
        <v>986</v>
      </c>
      <c r="AE52" s="498" t="s">
        <v>37</v>
      </c>
      <c r="AF52" s="497" t="s">
        <v>986</v>
      </c>
      <c r="AG52" s="499" t="s">
        <v>37</v>
      </c>
      <c r="AH52" s="497" t="s">
        <v>986</v>
      </c>
      <c r="AI52" s="498" t="s">
        <v>37</v>
      </c>
      <c r="AJ52" s="497" t="s">
        <v>963</v>
      </c>
      <c r="AK52" s="498" t="s">
        <v>889</v>
      </c>
      <c r="AL52" s="497" t="s">
        <v>963</v>
      </c>
      <c r="AM52" s="499" t="s">
        <v>700</v>
      </c>
      <c r="AN52" s="497" t="s">
        <v>965</v>
      </c>
      <c r="AO52" s="498" t="s">
        <v>1715</v>
      </c>
      <c r="AP52" s="497" t="s">
        <v>965</v>
      </c>
      <c r="AQ52" s="498" t="s">
        <v>1715</v>
      </c>
      <c r="AR52" s="497" t="s">
        <v>986</v>
      </c>
      <c r="AS52" s="499" t="s">
        <v>37</v>
      </c>
      <c r="AT52" s="497" t="s">
        <v>965</v>
      </c>
      <c r="AU52" s="499" t="s">
        <v>271</v>
      </c>
      <c r="AV52" s="497" t="s">
        <v>965</v>
      </c>
      <c r="AW52" s="498" t="s">
        <v>1100</v>
      </c>
      <c r="AX52" s="497" t="s">
        <v>986</v>
      </c>
      <c r="AY52" s="498" t="s">
        <v>37</v>
      </c>
      <c r="AZ52" s="497" t="s">
        <v>963</v>
      </c>
      <c r="BA52" s="498" t="s">
        <v>1512</v>
      </c>
      <c r="BB52" s="497" t="s">
        <v>986</v>
      </c>
      <c r="BC52" s="498" t="s">
        <v>37</v>
      </c>
      <c r="BD52" s="497" t="s">
        <v>986</v>
      </c>
      <c r="BE52" s="498" t="s">
        <v>37</v>
      </c>
      <c r="BF52" s="497" t="s">
        <v>986</v>
      </c>
      <c r="BG52" s="498" t="s">
        <v>37</v>
      </c>
      <c r="BH52" s="497" t="s">
        <v>965</v>
      </c>
      <c r="BI52" s="498" t="s">
        <v>2878</v>
      </c>
      <c r="BJ52" s="497" t="s">
        <v>986</v>
      </c>
      <c r="BK52" s="498" t="s">
        <v>37</v>
      </c>
      <c r="BL52" s="497" t="s">
        <v>965</v>
      </c>
      <c r="BM52" s="498" t="s">
        <v>1635</v>
      </c>
      <c r="BN52" s="497" t="s">
        <v>986</v>
      </c>
      <c r="BO52" s="499" t="s">
        <v>37</v>
      </c>
      <c r="BP52" s="497" t="s">
        <v>967</v>
      </c>
      <c r="BQ52" s="498" t="s">
        <v>557</v>
      </c>
      <c r="BR52" s="497" t="s">
        <v>967</v>
      </c>
      <c r="BS52" s="498" t="s">
        <v>2154</v>
      </c>
      <c r="BT52" s="497" t="s">
        <v>986</v>
      </c>
      <c r="BU52" s="498" t="s">
        <v>37</v>
      </c>
      <c r="BV52" s="497" t="s">
        <v>986</v>
      </c>
      <c r="BW52" s="498" t="s">
        <v>37</v>
      </c>
      <c r="BX52" s="497" t="s">
        <v>963</v>
      </c>
      <c r="BY52" s="498" t="s">
        <v>933</v>
      </c>
      <c r="BZ52" s="497" t="s">
        <v>963</v>
      </c>
      <c r="CA52" s="498" t="s">
        <v>1101</v>
      </c>
      <c r="CB52" s="497" t="s">
        <v>986</v>
      </c>
      <c r="CC52" s="498" t="s">
        <v>37</v>
      </c>
      <c r="CD52" s="497" t="s">
        <v>963</v>
      </c>
      <c r="CE52" s="498" t="s">
        <v>1102</v>
      </c>
      <c r="CF52" s="497" t="s">
        <v>986</v>
      </c>
      <c r="CG52" s="498" t="s">
        <v>37</v>
      </c>
      <c r="CH52" s="497" t="s">
        <v>986</v>
      </c>
      <c r="CI52" s="499" t="s">
        <v>37</v>
      </c>
      <c r="CJ52" s="497" t="s">
        <v>986</v>
      </c>
      <c r="CK52" s="498" t="s">
        <v>37</v>
      </c>
      <c r="CL52" s="497" t="s">
        <v>986</v>
      </c>
      <c r="CM52" s="498" t="s">
        <v>37</v>
      </c>
      <c r="CN52" s="497" t="s">
        <v>986</v>
      </c>
      <c r="CO52" s="498" t="s">
        <v>37</v>
      </c>
      <c r="CP52" s="517"/>
      <c r="CQ52" s="18"/>
      <c r="CR52" s="18"/>
    </row>
    <row r="53" spans="1:96" s="17" customFormat="1" ht="57.75" customHeight="1" thickBot="1" x14ac:dyDescent="0.25">
      <c r="A53" s="124">
        <f t="shared" si="0"/>
        <v>48</v>
      </c>
      <c r="B53" s="509" t="s">
        <v>3875</v>
      </c>
      <c r="C53" s="509" t="s">
        <v>3999</v>
      </c>
      <c r="D53" s="510">
        <v>376</v>
      </c>
      <c r="E53" s="510" t="s">
        <v>2386</v>
      </c>
      <c r="F53" s="497" t="s">
        <v>965</v>
      </c>
      <c r="G53" s="498" t="s">
        <v>3887</v>
      </c>
      <c r="H53" s="497" t="s">
        <v>966</v>
      </c>
      <c r="I53" s="498" t="s">
        <v>3888</v>
      </c>
      <c r="J53" s="497" t="s">
        <v>986</v>
      </c>
      <c r="K53" s="498" t="s">
        <v>37</v>
      </c>
      <c r="L53" s="497" t="s">
        <v>986</v>
      </c>
      <c r="M53" s="498" t="s">
        <v>37</v>
      </c>
      <c r="N53" s="497" t="s">
        <v>986</v>
      </c>
      <c r="O53" s="498" t="s">
        <v>37</v>
      </c>
      <c r="P53" s="497" t="s">
        <v>986</v>
      </c>
      <c r="Q53" s="498" t="s">
        <v>37</v>
      </c>
      <c r="R53" s="497" t="s">
        <v>986</v>
      </c>
      <c r="S53" s="498" t="s">
        <v>37</v>
      </c>
      <c r="T53" s="497" t="s">
        <v>986</v>
      </c>
      <c r="U53" s="499" t="s">
        <v>37</v>
      </c>
      <c r="V53" s="497" t="s">
        <v>986</v>
      </c>
      <c r="W53" s="498" t="s">
        <v>37</v>
      </c>
      <c r="X53" s="497" t="s">
        <v>986</v>
      </c>
      <c r="Y53" s="498" t="s">
        <v>37</v>
      </c>
      <c r="Z53" s="497" t="s">
        <v>986</v>
      </c>
      <c r="AA53" s="498" t="s">
        <v>37</v>
      </c>
      <c r="AB53" s="497" t="s">
        <v>986</v>
      </c>
      <c r="AC53" s="498" t="s">
        <v>37</v>
      </c>
      <c r="AD53" s="497" t="s">
        <v>986</v>
      </c>
      <c r="AE53" s="498" t="s">
        <v>37</v>
      </c>
      <c r="AF53" s="497" t="s">
        <v>986</v>
      </c>
      <c r="AG53" s="499" t="s">
        <v>37</v>
      </c>
      <c r="AH53" s="497" t="s">
        <v>986</v>
      </c>
      <c r="AI53" s="498" t="s">
        <v>37</v>
      </c>
      <c r="AJ53" s="497" t="s">
        <v>986</v>
      </c>
      <c r="AK53" s="498" t="s">
        <v>37</v>
      </c>
      <c r="AL53" s="497" t="s">
        <v>986</v>
      </c>
      <c r="AM53" s="499" t="s">
        <v>37</v>
      </c>
      <c r="AN53" s="497" t="s">
        <v>986</v>
      </c>
      <c r="AO53" s="498" t="s">
        <v>37</v>
      </c>
      <c r="AP53" s="497" t="s">
        <v>986</v>
      </c>
      <c r="AQ53" s="498" t="s">
        <v>37</v>
      </c>
      <c r="AR53" s="497" t="s">
        <v>986</v>
      </c>
      <c r="AS53" s="499" t="s">
        <v>37</v>
      </c>
      <c r="AT53" s="497" t="s">
        <v>986</v>
      </c>
      <c r="AU53" s="499" t="s">
        <v>37</v>
      </c>
      <c r="AV53" s="497" t="s">
        <v>986</v>
      </c>
      <c r="AW53" s="498" t="s">
        <v>37</v>
      </c>
      <c r="AX53" s="497" t="s">
        <v>986</v>
      </c>
      <c r="AY53" s="498" t="s">
        <v>37</v>
      </c>
      <c r="AZ53" s="497" t="s">
        <v>986</v>
      </c>
      <c r="BA53" s="498" t="s">
        <v>37</v>
      </c>
      <c r="BB53" s="497" t="s">
        <v>986</v>
      </c>
      <c r="BC53" s="498" t="s">
        <v>37</v>
      </c>
      <c r="BD53" s="497" t="s">
        <v>986</v>
      </c>
      <c r="BE53" s="498" t="s">
        <v>37</v>
      </c>
      <c r="BF53" s="497" t="s">
        <v>986</v>
      </c>
      <c r="BG53" s="498" t="s">
        <v>37</v>
      </c>
      <c r="BH53" s="497" t="s">
        <v>967</v>
      </c>
      <c r="BI53" s="498" t="s">
        <v>3889</v>
      </c>
      <c r="BJ53" s="497" t="s">
        <v>986</v>
      </c>
      <c r="BK53" s="498" t="s">
        <v>37</v>
      </c>
      <c r="BL53" s="497" t="s">
        <v>965</v>
      </c>
      <c r="BM53" s="498" t="s">
        <v>4007</v>
      </c>
      <c r="BN53" s="497" t="s">
        <v>986</v>
      </c>
      <c r="BO53" s="499" t="s">
        <v>37</v>
      </c>
      <c r="BP53" s="497" t="s">
        <v>986</v>
      </c>
      <c r="BQ53" s="498" t="s">
        <v>37</v>
      </c>
      <c r="BR53" s="497" t="s">
        <v>986</v>
      </c>
      <c r="BS53" s="498" t="s">
        <v>37</v>
      </c>
      <c r="BT53" s="497" t="s">
        <v>986</v>
      </c>
      <c r="BU53" s="498" t="s">
        <v>37</v>
      </c>
      <c r="BV53" s="497" t="s">
        <v>986</v>
      </c>
      <c r="BW53" s="498" t="s">
        <v>37</v>
      </c>
      <c r="BX53" s="497" t="s">
        <v>986</v>
      </c>
      <c r="BY53" s="498" t="s">
        <v>37</v>
      </c>
      <c r="BZ53" s="497" t="s">
        <v>986</v>
      </c>
      <c r="CA53" s="498" t="s">
        <v>37</v>
      </c>
      <c r="CB53" s="497" t="s">
        <v>986</v>
      </c>
      <c r="CC53" s="498" t="s">
        <v>37</v>
      </c>
      <c r="CD53" s="497" t="s">
        <v>986</v>
      </c>
      <c r="CE53" s="498" t="s">
        <v>37</v>
      </c>
      <c r="CF53" s="497" t="s">
        <v>986</v>
      </c>
      <c r="CG53" s="498" t="s">
        <v>37</v>
      </c>
      <c r="CH53" s="497" t="s">
        <v>986</v>
      </c>
      <c r="CI53" s="499" t="s">
        <v>37</v>
      </c>
      <c r="CJ53" s="497" t="s">
        <v>986</v>
      </c>
      <c r="CK53" s="498" t="s">
        <v>37</v>
      </c>
      <c r="CL53" s="497" t="s">
        <v>986</v>
      </c>
      <c r="CM53" s="498" t="s">
        <v>37</v>
      </c>
      <c r="CN53" s="497" t="s">
        <v>986</v>
      </c>
      <c r="CO53" s="498" t="s">
        <v>37</v>
      </c>
      <c r="CP53" s="518" t="s">
        <v>3890</v>
      </c>
      <c r="CQ53" s="18"/>
      <c r="CR53" s="18"/>
    </row>
    <row r="54" spans="1:96" s="5" customFormat="1" ht="102" thickBot="1" x14ac:dyDescent="0.25">
      <c r="A54" s="124">
        <f t="shared" si="0"/>
        <v>49</v>
      </c>
      <c r="B54" s="509" t="s">
        <v>619</v>
      </c>
      <c r="C54" s="509" t="s">
        <v>1605</v>
      </c>
      <c r="D54" s="510">
        <v>393</v>
      </c>
      <c r="E54" s="510" t="s">
        <v>2386</v>
      </c>
      <c r="F54" s="497" t="s">
        <v>986</v>
      </c>
      <c r="G54" s="498" t="s">
        <v>37</v>
      </c>
      <c r="H54" s="497" t="s">
        <v>986</v>
      </c>
      <c r="I54" s="498" t="s">
        <v>37</v>
      </c>
      <c r="J54" s="497" t="s">
        <v>986</v>
      </c>
      <c r="K54" s="498" t="s">
        <v>37</v>
      </c>
      <c r="L54" s="497" t="s">
        <v>986</v>
      </c>
      <c r="M54" s="498" t="s">
        <v>37</v>
      </c>
      <c r="N54" s="497" t="s">
        <v>986</v>
      </c>
      <c r="O54" s="498" t="s">
        <v>37</v>
      </c>
      <c r="P54" s="497" t="s">
        <v>967</v>
      </c>
      <c r="Q54" s="498" t="s">
        <v>1525</v>
      </c>
      <c r="R54" s="497" t="s">
        <v>986</v>
      </c>
      <c r="S54" s="498" t="s">
        <v>37</v>
      </c>
      <c r="T54" s="497" t="s">
        <v>986</v>
      </c>
      <c r="U54" s="499" t="s">
        <v>37</v>
      </c>
      <c r="V54" s="497" t="s">
        <v>986</v>
      </c>
      <c r="W54" s="498" t="s">
        <v>37</v>
      </c>
      <c r="X54" s="497" t="s">
        <v>986</v>
      </c>
      <c r="Y54" s="498" t="s">
        <v>37</v>
      </c>
      <c r="Z54" s="497" t="s">
        <v>986</v>
      </c>
      <c r="AA54" s="498" t="s">
        <v>37</v>
      </c>
      <c r="AB54" s="497" t="s">
        <v>986</v>
      </c>
      <c r="AC54" s="498" t="s">
        <v>37</v>
      </c>
      <c r="AD54" s="497" t="s">
        <v>986</v>
      </c>
      <c r="AE54" s="498" t="s">
        <v>37</v>
      </c>
      <c r="AF54" s="497" t="s">
        <v>986</v>
      </c>
      <c r="AG54" s="499" t="s">
        <v>37</v>
      </c>
      <c r="AH54" s="497" t="s">
        <v>986</v>
      </c>
      <c r="AI54" s="498" t="s">
        <v>37</v>
      </c>
      <c r="AJ54" s="497" t="s">
        <v>963</v>
      </c>
      <c r="AK54" s="498" t="s">
        <v>890</v>
      </c>
      <c r="AL54" s="497" t="s">
        <v>965</v>
      </c>
      <c r="AM54" s="499" t="s">
        <v>1732</v>
      </c>
      <c r="AN54" s="497" t="s">
        <v>967</v>
      </c>
      <c r="AO54" s="498" t="s">
        <v>1345</v>
      </c>
      <c r="AP54" s="497" t="s">
        <v>963</v>
      </c>
      <c r="AQ54" s="498" t="s">
        <v>1715</v>
      </c>
      <c r="AR54" s="497" t="s">
        <v>965</v>
      </c>
      <c r="AS54" s="499" t="s">
        <v>660</v>
      </c>
      <c r="AT54" s="497" t="s">
        <v>965</v>
      </c>
      <c r="AU54" s="499" t="s">
        <v>271</v>
      </c>
      <c r="AV54" s="497" t="s">
        <v>966</v>
      </c>
      <c r="AW54" s="498" t="s">
        <v>2189</v>
      </c>
      <c r="AX54" s="497" t="s">
        <v>965</v>
      </c>
      <c r="AY54" s="498" t="s">
        <v>419</v>
      </c>
      <c r="AZ54" s="497" t="s">
        <v>967</v>
      </c>
      <c r="BA54" s="498" t="s">
        <v>1513</v>
      </c>
      <c r="BB54" s="497" t="s">
        <v>986</v>
      </c>
      <c r="BC54" s="498" t="s">
        <v>37</v>
      </c>
      <c r="BD54" s="497" t="s">
        <v>964</v>
      </c>
      <c r="BE54" s="498" t="s">
        <v>2086</v>
      </c>
      <c r="BF54" s="497" t="s">
        <v>965</v>
      </c>
      <c r="BG54" s="498" t="s">
        <v>2130</v>
      </c>
      <c r="BH54" s="497" t="s">
        <v>965</v>
      </c>
      <c r="BI54" s="498" t="s">
        <v>2879</v>
      </c>
      <c r="BJ54" s="497" t="s">
        <v>986</v>
      </c>
      <c r="BK54" s="498" t="s">
        <v>37</v>
      </c>
      <c r="BL54" s="497" t="s">
        <v>965</v>
      </c>
      <c r="BM54" s="498" t="s">
        <v>1635</v>
      </c>
      <c r="BN54" s="497" t="s">
        <v>986</v>
      </c>
      <c r="BO54" s="499" t="s">
        <v>37</v>
      </c>
      <c r="BP54" s="497" t="s">
        <v>967</v>
      </c>
      <c r="BQ54" s="498" t="s">
        <v>557</v>
      </c>
      <c r="BR54" s="497" t="s">
        <v>967</v>
      </c>
      <c r="BS54" s="498" t="s">
        <v>2154</v>
      </c>
      <c r="BT54" s="497" t="s">
        <v>986</v>
      </c>
      <c r="BU54" s="498" t="s">
        <v>37</v>
      </c>
      <c r="BV54" s="497" t="s">
        <v>986</v>
      </c>
      <c r="BW54" s="498" t="s">
        <v>37</v>
      </c>
      <c r="BX54" s="497" t="s">
        <v>963</v>
      </c>
      <c r="BY54" s="498" t="s">
        <v>66</v>
      </c>
      <c r="BZ54" s="497" t="s">
        <v>963</v>
      </c>
      <c r="CA54" s="498" t="s">
        <v>66</v>
      </c>
      <c r="CB54" s="497" t="s">
        <v>986</v>
      </c>
      <c r="CC54" s="498" t="s">
        <v>37</v>
      </c>
      <c r="CD54" s="497" t="s">
        <v>963</v>
      </c>
      <c r="CE54" s="498" t="s">
        <v>66</v>
      </c>
      <c r="CF54" s="497" t="s">
        <v>986</v>
      </c>
      <c r="CG54" s="498" t="s">
        <v>37</v>
      </c>
      <c r="CH54" s="497" t="s">
        <v>986</v>
      </c>
      <c r="CI54" s="499" t="s">
        <v>37</v>
      </c>
      <c r="CJ54" s="497" t="s">
        <v>986</v>
      </c>
      <c r="CK54" s="498" t="s">
        <v>37</v>
      </c>
      <c r="CL54" s="497" t="s">
        <v>986</v>
      </c>
      <c r="CM54" s="498" t="s">
        <v>37</v>
      </c>
      <c r="CN54" s="497" t="s">
        <v>986</v>
      </c>
      <c r="CO54" s="498" t="s">
        <v>37</v>
      </c>
      <c r="CP54" s="517"/>
      <c r="CQ54" s="34"/>
      <c r="CR54" s="34"/>
    </row>
    <row r="55" spans="1:96" s="5" customFormat="1" ht="102" thickBot="1" x14ac:dyDescent="0.25">
      <c r="A55" s="124">
        <f t="shared" si="0"/>
        <v>50</v>
      </c>
      <c r="B55" s="509" t="s">
        <v>620</v>
      </c>
      <c r="C55" s="509" t="s">
        <v>1598</v>
      </c>
      <c r="D55" s="510">
        <v>394</v>
      </c>
      <c r="E55" s="510" t="s">
        <v>2383</v>
      </c>
      <c r="F55" s="497" t="s">
        <v>958</v>
      </c>
      <c r="G55" s="498" t="s">
        <v>704</v>
      </c>
      <c r="H55" s="497" t="s">
        <v>958</v>
      </c>
      <c r="I55" s="498" t="s">
        <v>68</v>
      </c>
      <c r="J55" s="497" t="s">
        <v>958</v>
      </c>
      <c r="K55" s="498" t="s">
        <v>704</v>
      </c>
      <c r="L55" s="497" t="s">
        <v>958</v>
      </c>
      <c r="M55" s="498" t="s">
        <v>704</v>
      </c>
      <c r="N55" s="497" t="s">
        <v>986</v>
      </c>
      <c r="O55" s="498" t="s">
        <v>69</v>
      </c>
      <c r="P55" s="497" t="s">
        <v>961</v>
      </c>
      <c r="Q55" s="498" t="s">
        <v>951</v>
      </c>
      <c r="R55" s="497" t="s">
        <v>961</v>
      </c>
      <c r="S55" s="498" t="s">
        <v>406</v>
      </c>
      <c r="T55" s="497" t="s">
        <v>986</v>
      </c>
      <c r="U55" s="499" t="s">
        <v>37</v>
      </c>
      <c r="V55" s="497" t="s">
        <v>986</v>
      </c>
      <c r="W55" s="498" t="s">
        <v>37</v>
      </c>
      <c r="X55" s="497" t="s">
        <v>986</v>
      </c>
      <c r="Y55" s="498" t="s">
        <v>37</v>
      </c>
      <c r="Z55" s="497" t="s">
        <v>986</v>
      </c>
      <c r="AA55" s="498" t="s">
        <v>37</v>
      </c>
      <c r="AB55" s="497" t="s">
        <v>986</v>
      </c>
      <c r="AC55" s="498" t="s">
        <v>37</v>
      </c>
      <c r="AD55" s="497" t="s">
        <v>986</v>
      </c>
      <c r="AE55" s="498" t="s">
        <v>37</v>
      </c>
      <c r="AF55" s="497" t="s">
        <v>986</v>
      </c>
      <c r="AG55" s="499" t="s">
        <v>37</v>
      </c>
      <c r="AH55" s="497" t="s">
        <v>986</v>
      </c>
      <c r="AI55" s="498" t="s">
        <v>37</v>
      </c>
      <c r="AJ55" s="497" t="s">
        <v>986</v>
      </c>
      <c r="AK55" s="498" t="s">
        <v>37</v>
      </c>
      <c r="AL55" s="497" t="s">
        <v>986</v>
      </c>
      <c r="AM55" s="499" t="s">
        <v>37</v>
      </c>
      <c r="AN55" s="497" t="s">
        <v>986</v>
      </c>
      <c r="AO55" s="498" t="s">
        <v>37</v>
      </c>
      <c r="AP55" s="497" t="s">
        <v>986</v>
      </c>
      <c r="AQ55" s="498" t="s">
        <v>37</v>
      </c>
      <c r="AR55" s="497" t="s">
        <v>986</v>
      </c>
      <c r="AS55" s="499" t="s">
        <v>37</v>
      </c>
      <c r="AT55" s="497" t="s">
        <v>986</v>
      </c>
      <c r="AU55" s="499" t="s">
        <v>37</v>
      </c>
      <c r="AV55" s="497" t="s">
        <v>986</v>
      </c>
      <c r="AW55" s="498" t="s">
        <v>37</v>
      </c>
      <c r="AX55" s="497" t="s">
        <v>986</v>
      </c>
      <c r="AY55" s="498" t="s">
        <v>37</v>
      </c>
      <c r="AZ55" s="497" t="s">
        <v>958</v>
      </c>
      <c r="BA55" s="498" t="s">
        <v>3751</v>
      </c>
      <c r="BB55" s="497" t="s">
        <v>986</v>
      </c>
      <c r="BC55" s="498" t="s">
        <v>37</v>
      </c>
      <c r="BD55" s="497" t="s">
        <v>986</v>
      </c>
      <c r="BE55" s="498" t="s">
        <v>37</v>
      </c>
      <c r="BF55" s="497" t="s">
        <v>986</v>
      </c>
      <c r="BG55" s="498" t="s">
        <v>37</v>
      </c>
      <c r="BH55" s="497" t="s">
        <v>965</v>
      </c>
      <c r="BI55" s="498" t="s">
        <v>2880</v>
      </c>
      <c r="BJ55" s="497" t="s">
        <v>965</v>
      </c>
      <c r="BK55" s="498" t="s">
        <v>277</v>
      </c>
      <c r="BL55" s="497" t="s">
        <v>965</v>
      </c>
      <c r="BM55" s="498" t="s">
        <v>1491</v>
      </c>
      <c r="BN55" s="497" t="s">
        <v>986</v>
      </c>
      <c r="BO55" s="499" t="s">
        <v>37</v>
      </c>
      <c r="BP55" s="497" t="s">
        <v>966</v>
      </c>
      <c r="BQ55" s="498" t="s">
        <v>3752</v>
      </c>
      <c r="BR55" s="497" t="s">
        <v>986</v>
      </c>
      <c r="BS55" s="498" t="s">
        <v>37</v>
      </c>
      <c r="BT55" s="497" t="s">
        <v>958</v>
      </c>
      <c r="BU55" s="498" t="s">
        <v>74</v>
      </c>
      <c r="BV55" s="497" t="s">
        <v>967</v>
      </c>
      <c r="BW55" s="498" t="s">
        <v>3753</v>
      </c>
      <c r="BX55" s="497" t="s">
        <v>986</v>
      </c>
      <c r="BY55" s="498" t="s">
        <v>37</v>
      </c>
      <c r="BZ55" s="497" t="s">
        <v>986</v>
      </c>
      <c r="CA55" s="498" t="s">
        <v>37</v>
      </c>
      <c r="CB55" s="497" t="s">
        <v>986</v>
      </c>
      <c r="CC55" s="498" t="s">
        <v>37</v>
      </c>
      <c r="CD55" s="497" t="s">
        <v>958</v>
      </c>
      <c r="CE55" s="498" t="s">
        <v>367</v>
      </c>
      <c r="CF55" s="497" t="s">
        <v>986</v>
      </c>
      <c r="CG55" s="498" t="s">
        <v>37</v>
      </c>
      <c r="CH55" s="497" t="s">
        <v>986</v>
      </c>
      <c r="CI55" s="499" t="s">
        <v>37</v>
      </c>
      <c r="CJ55" s="497" t="s">
        <v>986</v>
      </c>
      <c r="CK55" s="498" t="s">
        <v>37</v>
      </c>
      <c r="CL55" s="497" t="s">
        <v>963</v>
      </c>
      <c r="CM55" s="498" t="s">
        <v>3754</v>
      </c>
      <c r="CN55" s="497" t="s">
        <v>986</v>
      </c>
      <c r="CO55" s="498" t="s">
        <v>37</v>
      </c>
      <c r="CP55" s="504" t="s">
        <v>3755</v>
      </c>
      <c r="CQ55" s="34"/>
      <c r="CR55" s="34"/>
    </row>
    <row r="56" spans="1:96" s="5" customFormat="1" ht="113.25" thickBot="1" x14ac:dyDescent="0.25">
      <c r="A56" s="124">
        <f t="shared" si="0"/>
        <v>51</v>
      </c>
      <c r="B56" s="509" t="s">
        <v>621</v>
      </c>
      <c r="C56" s="509" t="s">
        <v>1467</v>
      </c>
      <c r="D56" s="510">
        <v>398</v>
      </c>
      <c r="E56" s="510" t="s">
        <v>2383</v>
      </c>
      <c r="F56" s="497" t="s">
        <v>986</v>
      </c>
      <c r="G56" s="498" t="s">
        <v>37</v>
      </c>
      <c r="H56" s="497" t="s">
        <v>986</v>
      </c>
      <c r="I56" s="498" t="s">
        <v>37</v>
      </c>
      <c r="J56" s="497" t="s">
        <v>986</v>
      </c>
      <c r="K56" s="498" t="s">
        <v>37</v>
      </c>
      <c r="L56" s="497" t="s">
        <v>986</v>
      </c>
      <c r="M56" s="498" t="s">
        <v>37</v>
      </c>
      <c r="N56" s="497" t="s">
        <v>986</v>
      </c>
      <c r="O56" s="498" t="s">
        <v>37</v>
      </c>
      <c r="P56" s="497" t="s">
        <v>986</v>
      </c>
      <c r="Q56" s="498" t="s">
        <v>37</v>
      </c>
      <c r="R56" s="497" t="s">
        <v>986</v>
      </c>
      <c r="S56" s="498" t="s">
        <v>37</v>
      </c>
      <c r="T56" s="497" t="s">
        <v>986</v>
      </c>
      <c r="U56" s="499" t="s">
        <v>37</v>
      </c>
      <c r="V56" s="497" t="s">
        <v>986</v>
      </c>
      <c r="W56" s="498" t="s">
        <v>37</v>
      </c>
      <c r="X56" s="497" t="s">
        <v>986</v>
      </c>
      <c r="Y56" s="498" t="s">
        <v>37</v>
      </c>
      <c r="Z56" s="497" t="s">
        <v>986</v>
      </c>
      <c r="AA56" s="498" t="s">
        <v>37</v>
      </c>
      <c r="AB56" s="497" t="s">
        <v>986</v>
      </c>
      <c r="AC56" s="498" t="s">
        <v>37</v>
      </c>
      <c r="AD56" s="497" t="s">
        <v>986</v>
      </c>
      <c r="AE56" s="498" t="s">
        <v>37</v>
      </c>
      <c r="AF56" s="497" t="s">
        <v>986</v>
      </c>
      <c r="AG56" s="499" t="s">
        <v>37</v>
      </c>
      <c r="AH56" s="497" t="s">
        <v>986</v>
      </c>
      <c r="AI56" s="498" t="s">
        <v>37</v>
      </c>
      <c r="AJ56" s="497" t="s">
        <v>986</v>
      </c>
      <c r="AK56" s="498" t="s">
        <v>37</v>
      </c>
      <c r="AL56" s="497" t="s">
        <v>986</v>
      </c>
      <c r="AM56" s="499" t="s">
        <v>37</v>
      </c>
      <c r="AN56" s="497" t="s">
        <v>958</v>
      </c>
      <c r="AO56" s="498" t="s">
        <v>1415</v>
      </c>
      <c r="AP56" s="497" t="s">
        <v>958</v>
      </c>
      <c r="AQ56" s="498" t="s">
        <v>1415</v>
      </c>
      <c r="AR56" s="497" t="s">
        <v>958</v>
      </c>
      <c r="AS56" s="499" t="s">
        <v>1415</v>
      </c>
      <c r="AT56" s="497" t="s">
        <v>986</v>
      </c>
      <c r="AU56" s="499" t="s">
        <v>37</v>
      </c>
      <c r="AV56" s="497" t="s">
        <v>958</v>
      </c>
      <c r="AW56" s="498" t="s">
        <v>455</v>
      </c>
      <c r="AX56" s="497" t="s">
        <v>958</v>
      </c>
      <c r="AY56" s="498" t="s">
        <v>1415</v>
      </c>
      <c r="AZ56" s="497" t="s">
        <v>986</v>
      </c>
      <c r="BA56" s="498" t="s">
        <v>37</v>
      </c>
      <c r="BB56" s="497" t="s">
        <v>958</v>
      </c>
      <c r="BC56" s="498" t="s">
        <v>707</v>
      </c>
      <c r="BD56" s="497" t="s">
        <v>986</v>
      </c>
      <c r="BE56" s="498" t="s">
        <v>37</v>
      </c>
      <c r="BF56" s="497" t="s">
        <v>986</v>
      </c>
      <c r="BG56" s="498" t="s">
        <v>37</v>
      </c>
      <c r="BH56" s="497" t="s">
        <v>986</v>
      </c>
      <c r="BI56" s="498" t="s">
        <v>37</v>
      </c>
      <c r="BJ56" s="497" t="s">
        <v>986</v>
      </c>
      <c r="BK56" s="498" t="s">
        <v>37</v>
      </c>
      <c r="BL56" s="497" t="s">
        <v>986</v>
      </c>
      <c r="BM56" s="498" t="s">
        <v>37</v>
      </c>
      <c r="BN56" s="497" t="s">
        <v>986</v>
      </c>
      <c r="BO56" s="499" t="s">
        <v>37</v>
      </c>
      <c r="BP56" s="497" t="s">
        <v>986</v>
      </c>
      <c r="BQ56" s="498" t="s">
        <v>37</v>
      </c>
      <c r="BR56" s="497" t="s">
        <v>986</v>
      </c>
      <c r="BS56" s="498" t="s">
        <v>37</v>
      </c>
      <c r="BT56" s="497" t="s">
        <v>986</v>
      </c>
      <c r="BU56" s="498" t="s">
        <v>37</v>
      </c>
      <c r="BV56" s="497" t="s">
        <v>986</v>
      </c>
      <c r="BW56" s="498" t="s">
        <v>37</v>
      </c>
      <c r="BX56" s="497" t="s">
        <v>986</v>
      </c>
      <c r="BY56" s="498" t="s">
        <v>37</v>
      </c>
      <c r="BZ56" s="497" t="s">
        <v>986</v>
      </c>
      <c r="CA56" s="498" t="s">
        <v>37</v>
      </c>
      <c r="CB56" s="497" t="s">
        <v>986</v>
      </c>
      <c r="CC56" s="498" t="s">
        <v>37</v>
      </c>
      <c r="CD56" s="497" t="s">
        <v>986</v>
      </c>
      <c r="CE56" s="498" t="s">
        <v>37</v>
      </c>
      <c r="CF56" s="497" t="s">
        <v>967</v>
      </c>
      <c r="CG56" s="498" t="s">
        <v>3944</v>
      </c>
      <c r="CH56" s="497" t="s">
        <v>967</v>
      </c>
      <c r="CI56" s="499" t="s">
        <v>3945</v>
      </c>
      <c r="CJ56" s="497" t="s">
        <v>986</v>
      </c>
      <c r="CK56" s="498" t="s">
        <v>37</v>
      </c>
      <c r="CL56" s="497" t="s">
        <v>986</v>
      </c>
      <c r="CM56" s="498" t="s">
        <v>37</v>
      </c>
      <c r="CN56" s="497" t="s">
        <v>986</v>
      </c>
      <c r="CO56" s="498" t="s">
        <v>37</v>
      </c>
      <c r="CP56" s="566" t="s">
        <v>3987</v>
      </c>
      <c r="CQ56" s="34"/>
      <c r="CR56" s="34"/>
    </row>
    <row r="57" spans="1:96" s="5" customFormat="1" ht="68.25" thickBot="1" x14ac:dyDescent="0.25">
      <c r="A57" s="124">
        <f t="shared" si="0"/>
        <v>52</v>
      </c>
      <c r="B57" s="509" t="s">
        <v>622</v>
      </c>
      <c r="C57" s="509" t="s">
        <v>1466</v>
      </c>
      <c r="D57" s="510">
        <v>399</v>
      </c>
      <c r="E57" s="510" t="s">
        <v>2388</v>
      </c>
      <c r="F57" s="497" t="s">
        <v>986</v>
      </c>
      <c r="G57" s="498" t="s">
        <v>37</v>
      </c>
      <c r="H57" s="497" t="s">
        <v>986</v>
      </c>
      <c r="I57" s="498" t="s">
        <v>37</v>
      </c>
      <c r="J57" s="497" t="s">
        <v>986</v>
      </c>
      <c r="K57" s="498" t="s">
        <v>37</v>
      </c>
      <c r="L57" s="497" t="s">
        <v>986</v>
      </c>
      <c r="M57" s="498" t="s">
        <v>37</v>
      </c>
      <c r="N57" s="497" t="s">
        <v>986</v>
      </c>
      <c r="O57" s="498" t="s">
        <v>37</v>
      </c>
      <c r="P57" s="497" t="s">
        <v>986</v>
      </c>
      <c r="Q57" s="498" t="s">
        <v>37</v>
      </c>
      <c r="R57" s="497" t="s">
        <v>986</v>
      </c>
      <c r="S57" s="498" t="s">
        <v>37</v>
      </c>
      <c r="T57" s="497" t="s">
        <v>986</v>
      </c>
      <c r="U57" s="499" t="s">
        <v>37</v>
      </c>
      <c r="V57" s="497" t="s">
        <v>986</v>
      </c>
      <c r="W57" s="498" t="s">
        <v>37</v>
      </c>
      <c r="X57" s="497" t="s">
        <v>986</v>
      </c>
      <c r="Y57" s="498" t="s">
        <v>37</v>
      </c>
      <c r="Z57" s="497" t="s">
        <v>986</v>
      </c>
      <c r="AA57" s="498" t="s">
        <v>37</v>
      </c>
      <c r="AB57" s="497" t="s">
        <v>986</v>
      </c>
      <c r="AC57" s="498" t="s">
        <v>37</v>
      </c>
      <c r="AD57" s="497" t="s">
        <v>986</v>
      </c>
      <c r="AE57" s="498" t="s">
        <v>37</v>
      </c>
      <c r="AF57" s="497" t="s">
        <v>986</v>
      </c>
      <c r="AG57" s="499" t="s">
        <v>37</v>
      </c>
      <c r="AH57" s="497" t="s">
        <v>986</v>
      </c>
      <c r="AI57" s="498" t="s">
        <v>37</v>
      </c>
      <c r="AJ57" s="497" t="s">
        <v>986</v>
      </c>
      <c r="AK57" s="498" t="s">
        <v>37</v>
      </c>
      <c r="AL57" s="497" t="s">
        <v>986</v>
      </c>
      <c r="AM57" s="499" t="s">
        <v>37</v>
      </c>
      <c r="AN57" s="497" t="s">
        <v>986</v>
      </c>
      <c r="AO57" s="498" t="s">
        <v>37</v>
      </c>
      <c r="AP57" s="497" t="s">
        <v>961</v>
      </c>
      <c r="AQ57" s="498" t="s">
        <v>1081</v>
      </c>
      <c r="AR57" s="497" t="s">
        <v>986</v>
      </c>
      <c r="AS57" s="499" t="s">
        <v>37</v>
      </c>
      <c r="AT57" s="497" t="s">
        <v>986</v>
      </c>
      <c r="AU57" s="499" t="s">
        <v>37</v>
      </c>
      <c r="AV57" s="497" t="s">
        <v>986</v>
      </c>
      <c r="AW57" s="498" t="s">
        <v>293</v>
      </c>
      <c r="AX57" s="497" t="s">
        <v>986</v>
      </c>
      <c r="AY57" s="498" t="s">
        <v>37</v>
      </c>
      <c r="AZ57" s="497" t="s">
        <v>986</v>
      </c>
      <c r="BA57" s="498" t="s">
        <v>37</v>
      </c>
      <c r="BB57" s="497" t="s">
        <v>986</v>
      </c>
      <c r="BC57" s="498" t="s">
        <v>1197</v>
      </c>
      <c r="BD57" s="497" t="s">
        <v>986</v>
      </c>
      <c r="BE57" s="498" t="s">
        <v>37</v>
      </c>
      <c r="BF57" s="497" t="s">
        <v>986</v>
      </c>
      <c r="BG57" s="498" t="s">
        <v>37</v>
      </c>
      <c r="BH57" s="497" t="s">
        <v>986</v>
      </c>
      <c r="BI57" s="498" t="s">
        <v>37</v>
      </c>
      <c r="BJ57" s="497" t="s">
        <v>986</v>
      </c>
      <c r="BK57" s="498" t="s">
        <v>37</v>
      </c>
      <c r="BL57" s="497" t="s">
        <v>986</v>
      </c>
      <c r="BM57" s="498" t="s">
        <v>37</v>
      </c>
      <c r="BN57" s="497" t="s">
        <v>986</v>
      </c>
      <c r="BO57" s="499" t="s">
        <v>37</v>
      </c>
      <c r="BP57" s="497" t="s">
        <v>964</v>
      </c>
      <c r="BQ57" s="498" t="s">
        <v>546</v>
      </c>
      <c r="BR57" s="497" t="s">
        <v>964</v>
      </c>
      <c r="BS57" s="498" t="s">
        <v>2158</v>
      </c>
      <c r="BT57" s="497" t="s">
        <v>964</v>
      </c>
      <c r="BU57" s="498" t="s">
        <v>790</v>
      </c>
      <c r="BV57" s="497" t="s">
        <v>986</v>
      </c>
      <c r="BW57" s="498" t="s">
        <v>37</v>
      </c>
      <c r="BX57" s="497" t="s">
        <v>964</v>
      </c>
      <c r="BY57" s="498" t="s">
        <v>444</v>
      </c>
      <c r="BZ57" s="497" t="s">
        <v>964</v>
      </c>
      <c r="CA57" s="498" t="s">
        <v>1171</v>
      </c>
      <c r="CB57" s="497" t="s">
        <v>963</v>
      </c>
      <c r="CC57" s="498" t="s">
        <v>1362</v>
      </c>
      <c r="CD57" s="497" t="s">
        <v>964</v>
      </c>
      <c r="CE57" s="498" t="s">
        <v>819</v>
      </c>
      <c r="CF57" s="497" t="s">
        <v>986</v>
      </c>
      <c r="CG57" s="498" t="s">
        <v>37</v>
      </c>
      <c r="CH57" s="497" t="s">
        <v>986</v>
      </c>
      <c r="CI57" s="499" t="s">
        <v>37</v>
      </c>
      <c r="CJ57" s="497" t="s">
        <v>986</v>
      </c>
      <c r="CK57" s="498" t="s">
        <v>37</v>
      </c>
      <c r="CL57" s="497" t="s">
        <v>986</v>
      </c>
      <c r="CM57" s="498" t="s">
        <v>37</v>
      </c>
      <c r="CN57" s="497" t="s">
        <v>986</v>
      </c>
      <c r="CO57" s="498" t="s">
        <v>37</v>
      </c>
      <c r="CP57" s="566" t="s">
        <v>3988</v>
      </c>
      <c r="CQ57" s="34"/>
      <c r="CR57" s="34"/>
    </row>
    <row r="58" spans="1:96" s="15" customFormat="1" ht="158.25" thickBot="1" x14ac:dyDescent="0.25">
      <c r="A58" s="124">
        <f t="shared" si="0"/>
        <v>53</v>
      </c>
      <c r="B58" s="509" t="s">
        <v>679</v>
      </c>
      <c r="C58" s="509" t="s">
        <v>1603</v>
      </c>
      <c r="D58" s="510">
        <v>512</v>
      </c>
      <c r="E58" s="510" t="s">
        <v>2382</v>
      </c>
      <c r="F58" s="497" t="s">
        <v>965</v>
      </c>
      <c r="G58" s="498" t="s">
        <v>1455</v>
      </c>
      <c r="H58" s="497" t="s">
        <v>965</v>
      </c>
      <c r="I58" s="498" t="s">
        <v>1455</v>
      </c>
      <c r="J58" s="497" t="s">
        <v>986</v>
      </c>
      <c r="K58" s="498" t="s">
        <v>1564</v>
      </c>
      <c r="L58" s="497" t="s">
        <v>986</v>
      </c>
      <c r="M58" s="498" t="s">
        <v>1677</v>
      </c>
      <c r="N58" s="497" t="s">
        <v>986</v>
      </c>
      <c r="O58" s="498" t="s">
        <v>37</v>
      </c>
      <c r="P58" s="497" t="s">
        <v>965</v>
      </c>
      <c r="Q58" s="498" t="s">
        <v>1379</v>
      </c>
      <c r="R58" s="497" t="s">
        <v>963</v>
      </c>
      <c r="S58" s="498" t="s">
        <v>1379</v>
      </c>
      <c r="T58" s="497" t="s">
        <v>986</v>
      </c>
      <c r="U58" s="499" t="s">
        <v>37</v>
      </c>
      <c r="V58" s="497" t="s">
        <v>986</v>
      </c>
      <c r="W58" s="498" t="s">
        <v>2805</v>
      </c>
      <c r="X58" s="497" t="s">
        <v>986</v>
      </c>
      <c r="Y58" s="498" t="s">
        <v>2805</v>
      </c>
      <c r="Z58" s="497" t="s">
        <v>965</v>
      </c>
      <c r="AA58" s="498" t="s">
        <v>70</v>
      </c>
      <c r="AB58" s="497" t="s">
        <v>986</v>
      </c>
      <c r="AC58" s="498" t="s">
        <v>2805</v>
      </c>
      <c r="AD58" s="497" t="s">
        <v>986</v>
      </c>
      <c r="AE58" s="498" t="s">
        <v>37</v>
      </c>
      <c r="AF58" s="497" t="s">
        <v>986</v>
      </c>
      <c r="AG58" s="499" t="s">
        <v>37</v>
      </c>
      <c r="AH58" s="497" t="s">
        <v>986</v>
      </c>
      <c r="AI58" s="498" t="s">
        <v>37</v>
      </c>
      <c r="AJ58" s="497" t="s">
        <v>965</v>
      </c>
      <c r="AK58" s="498" t="s">
        <v>2812</v>
      </c>
      <c r="AL58" s="497" t="s">
        <v>986</v>
      </c>
      <c r="AM58" s="499" t="s">
        <v>2805</v>
      </c>
      <c r="AN58" s="497" t="s">
        <v>965</v>
      </c>
      <c r="AO58" s="498" t="s">
        <v>693</v>
      </c>
      <c r="AP58" s="497" t="s">
        <v>986</v>
      </c>
      <c r="AQ58" s="498" t="s">
        <v>2805</v>
      </c>
      <c r="AR58" s="497" t="s">
        <v>986</v>
      </c>
      <c r="AS58" s="499" t="s">
        <v>2805</v>
      </c>
      <c r="AT58" s="497" t="s">
        <v>986</v>
      </c>
      <c r="AU58" s="499" t="s">
        <v>2805</v>
      </c>
      <c r="AV58" s="497" t="s">
        <v>965</v>
      </c>
      <c r="AW58" s="498" t="s">
        <v>1646</v>
      </c>
      <c r="AX58" s="497" t="s">
        <v>986</v>
      </c>
      <c r="AY58" s="498" t="s">
        <v>2805</v>
      </c>
      <c r="AZ58" s="497" t="s">
        <v>965</v>
      </c>
      <c r="BA58" s="498" t="s">
        <v>1510</v>
      </c>
      <c r="BB58" s="497" t="s">
        <v>986</v>
      </c>
      <c r="BC58" s="498" t="s">
        <v>37</v>
      </c>
      <c r="BD58" s="497" t="s">
        <v>965</v>
      </c>
      <c r="BE58" s="498" t="s">
        <v>2087</v>
      </c>
      <c r="BF58" s="497" t="s">
        <v>986</v>
      </c>
      <c r="BG58" s="498" t="s">
        <v>2805</v>
      </c>
      <c r="BH58" s="497" t="s">
        <v>965</v>
      </c>
      <c r="BI58" s="498" t="s">
        <v>190</v>
      </c>
      <c r="BJ58" s="497" t="s">
        <v>986</v>
      </c>
      <c r="BK58" s="498" t="s">
        <v>37</v>
      </c>
      <c r="BL58" s="497" t="s">
        <v>964</v>
      </c>
      <c r="BM58" s="498" t="s">
        <v>2881</v>
      </c>
      <c r="BN58" s="497" t="s">
        <v>986</v>
      </c>
      <c r="BO58" s="499" t="s">
        <v>37</v>
      </c>
      <c r="BP58" s="497" t="s">
        <v>965</v>
      </c>
      <c r="BQ58" s="498" t="s">
        <v>2813</v>
      </c>
      <c r="BR58" s="497" t="s">
        <v>965</v>
      </c>
      <c r="BS58" s="498" t="s">
        <v>2814</v>
      </c>
      <c r="BT58" s="497" t="s">
        <v>986</v>
      </c>
      <c r="BU58" s="498" t="s">
        <v>2815</v>
      </c>
      <c r="BV58" s="497" t="s">
        <v>986</v>
      </c>
      <c r="BW58" s="498" t="s">
        <v>37</v>
      </c>
      <c r="BX58" s="497" t="s">
        <v>965</v>
      </c>
      <c r="BY58" s="498" t="s">
        <v>874</v>
      </c>
      <c r="BZ58" s="497" t="s">
        <v>965</v>
      </c>
      <c r="CA58" s="498" t="s">
        <v>738</v>
      </c>
      <c r="CB58" s="497" t="s">
        <v>986</v>
      </c>
      <c r="CC58" s="498" t="s">
        <v>37</v>
      </c>
      <c r="CD58" s="497" t="s">
        <v>986</v>
      </c>
      <c r="CE58" s="498" t="s">
        <v>2805</v>
      </c>
      <c r="CF58" s="497" t="s">
        <v>967</v>
      </c>
      <c r="CG58" s="498" t="s">
        <v>1056</v>
      </c>
      <c r="CH58" s="497" t="s">
        <v>986</v>
      </c>
      <c r="CI58" s="499" t="s">
        <v>37</v>
      </c>
      <c r="CJ58" s="497" t="s">
        <v>986</v>
      </c>
      <c r="CK58" s="498" t="s">
        <v>37</v>
      </c>
      <c r="CL58" s="497" t="s">
        <v>986</v>
      </c>
      <c r="CM58" s="498" t="s">
        <v>37</v>
      </c>
      <c r="CN58" s="497" t="s">
        <v>986</v>
      </c>
      <c r="CO58" s="498" t="s">
        <v>2805</v>
      </c>
      <c r="CP58" s="517" t="s">
        <v>2816</v>
      </c>
    </row>
    <row r="59" spans="1:96" s="5" customFormat="1" ht="79.5" thickBot="1" x14ac:dyDescent="0.25">
      <c r="A59" s="124">
        <f t="shared" si="0"/>
        <v>54</v>
      </c>
      <c r="B59" s="509" t="s">
        <v>623</v>
      </c>
      <c r="C59" s="509" t="s">
        <v>1468</v>
      </c>
      <c r="D59" s="510">
        <v>511</v>
      </c>
      <c r="E59" s="510" t="s">
        <v>2386</v>
      </c>
      <c r="F59" s="497" t="s">
        <v>965</v>
      </c>
      <c r="G59" s="498" t="s">
        <v>950</v>
      </c>
      <c r="H59" s="497" t="s">
        <v>965</v>
      </c>
      <c r="I59" s="498" t="s">
        <v>91</v>
      </c>
      <c r="J59" s="497" t="s">
        <v>986</v>
      </c>
      <c r="K59" s="498" t="s">
        <v>2817</v>
      </c>
      <c r="L59" s="497" t="s">
        <v>986</v>
      </c>
      <c r="M59" s="498" t="s">
        <v>37</v>
      </c>
      <c r="N59" s="497" t="s">
        <v>986</v>
      </c>
      <c r="O59" s="498" t="s">
        <v>37</v>
      </c>
      <c r="P59" s="497" t="s">
        <v>965</v>
      </c>
      <c r="Q59" s="498" t="s">
        <v>1613</v>
      </c>
      <c r="R59" s="497" t="s">
        <v>966</v>
      </c>
      <c r="S59" s="498" t="s">
        <v>1172</v>
      </c>
      <c r="T59" s="497" t="s">
        <v>986</v>
      </c>
      <c r="U59" s="499" t="s">
        <v>37</v>
      </c>
      <c r="V59" s="497" t="s">
        <v>986</v>
      </c>
      <c r="W59" s="498" t="s">
        <v>2805</v>
      </c>
      <c r="X59" s="497" t="s">
        <v>986</v>
      </c>
      <c r="Y59" s="498" t="s">
        <v>2805</v>
      </c>
      <c r="Z59" s="497" t="s">
        <v>986</v>
      </c>
      <c r="AA59" s="498" t="s">
        <v>2805</v>
      </c>
      <c r="AB59" s="497" t="s">
        <v>986</v>
      </c>
      <c r="AC59" s="498" t="s">
        <v>2805</v>
      </c>
      <c r="AD59" s="497" t="s">
        <v>986</v>
      </c>
      <c r="AE59" s="498" t="s">
        <v>37</v>
      </c>
      <c r="AF59" s="497" t="s">
        <v>965</v>
      </c>
      <c r="AG59" s="499" t="s">
        <v>758</v>
      </c>
      <c r="AH59" s="497" t="s">
        <v>965</v>
      </c>
      <c r="AI59" s="498" t="s">
        <v>758</v>
      </c>
      <c r="AJ59" s="497" t="s">
        <v>963</v>
      </c>
      <c r="AK59" s="498" t="s">
        <v>1560</v>
      </c>
      <c r="AL59" s="497" t="s">
        <v>986</v>
      </c>
      <c r="AM59" s="499" t="s">
        <v>2805</v>
      </c>
      <c r="AN59" s="497" t="s">
        <v>965</v>
      </c>
      <c r="AO59" s="498" t="s">
        <v>73</v>
      </c>
      <c r="AP59" s="497" t="s">
        <v>986</v>
      </c>
      <c r="AQ59" s="498" t="s">
        <v>2805</v>
      </c>
      <c r="AR59" s="497" t="s">
        <v>986</v>
      </c>
      <c r="AS59" s="499" t="s">
        <v>2805</v>
      </c>
      <c r="AT59" s="497" t="s">
        <v>986</v>
      </c>
      <c r="AU59" s="499" t="s">
        <v>2805</v>
      </c>
      <c r="AV59" s="497" t="s">
        <v>965</v>
      </c>
      <c r="AW59" s="498" t="s">
        <v>903</v>
      </c>
      <c r="AX59" s="497" t="s">
        <v>986</v>
      </c>
      <c r="AY59" s="498" t="s">
        <v>2805</v>
      </c>
      <c r="AZ59" s="497" t="s">
        <v>986</v>
      </c>
      <c r="BA59" s="498" t="s">
        <v>2805</v>
      </c>
      <c r="BB59" s="497" t="s">
        <v>986</v>
      </c>
      <c r="BC59" s="498" t="s">
        <v>37</v>
      </c>
      <c r="BD59" s="497" t="s">
        <v>965</v>
      </c>
      <c r="BE59" s="498" t="s">
        <v>2088</v>
      </c>
      <c r="BF59" s="497" t="s">
        <v>986</v>
      </c>
      <c r="BG59" s="498" t="s">
        <v>2805</v>
      </c>
      <c r="BH59" s="497" t="s">
        <v>986</v>
      </c>
      <c r="BI59" s="498" t="s">
        <v>37</v>
      </c>
      <c r="BJ59" s="497" t="s">
        <v>986</v>
      </c>
      <c r="BK59" s="498" t="s">
        <v>37</v>
      </c>
      <c r="BL59" s="497" t="s">
        <v>986</v>
      </c>
      <c r="BM59" s="498" t="s">
        <v>37</v>
      </c>
      <c r="BN59" s="497" t="s">
        <v>986</v>
      </c>
      <c r="BO59" s="499" t="s">
        <v>37</v>
      </c>
      <c r="BP59" s="497" t="s">
        <v>965</v>
      </c>
      <c r="BQ59" s="498" t="s">
        <v>1133</v>
      </c>
      <c r="BR59" s="497" t="s">
        <v>965</v>
      </c>
      <c r="BS59" s="498" t="s">
        <v>2818</v>
      </c>
      <c r="BT59" s="497" t="s">
        <v>986</v>
      </c>
      <c r="BU59" s="498" t="s">
        <v>2805</v>
      </c>
      <c r="BV59" s="497" t="s">
        <v>986</v>
      </c>
      <c r="BW59" s="498" t="s">
        <v>2805</v>
      </c>
      <c r="BX59" s="497" t="s">
        <v>965</v>
      </c>
      <c r="BY59" s="498" t="s">
        <v>2819</v>
      </c>
      <c r="BZ59" s="497" t="s">
        <v>965</v>
      </c>
      <c r="CA59" s="498" t="s">
        <v>2820</v>
      </c>
      <c r="CB59" s="497" t="s">
        <v>986</v>
      </c>
      <c r="CC59" s="498" t="s">
        <v>37</v>
      </c>
      <c r="CD59" s="497" t="s">
        <v>986</v>
      </c>
      <c r="CE59" s="498" t="s">
        <v>2805</v>
      </c>
      <c r="CF59" s="497" t="s">
        <v>963</v>
      </c>
      <c r="CG59" s="498" t="s">
        <v>781</v>
      </c>
      <c r="CH59" s="497" t="s">
        <v>986</v>
      </c>
      <c r="CI59" s="499" t="s">
        <v>37</v>
      </c>
      <c r="CJ59" s="497" t="s">
        <v>986</v>
      </c>
      <c r="CK59" s="498" t="s">
        <v>37</v>
      </c>
      <c r="CL59" s="497" t="s">
        <v>986</v>
      </c>
      <c r="CM59" s="498" t="s">
        <v>37</v>
      </c>
      <c r="CN59" s="497" t="s">
        <v>986</v>
      </c>
      <c r="CO59" s="498" t="s">
        <v>2805</v>
      </c>
      <c r="CP59" s="517" t="s">
        <v>2821</v>
      </c>
      <c r="CQ59" s="34"/>
      <c r="CR59" s="34"/>
    </row>
    <row r="60" spans="1:96" s="5" customFormat="1" ht="225.75" thickBot="1" x14ac:dyDescent="0.25">
      <c r="A60" s="124">
        <f t="shared" si="0"/>
        <v>55</v>
      </c>
      <c r="B60" s="509" t="s">
        <v>624</v>
      </c>
      <c r="C60" s="509" t="s">
        <v>1598</v>
      </c>
      <c r="D60" s="510">
        <v>666</v>
      </c>
      <c r="E60" s="510" t="s">
        <v>2382</v>
      </c>
      <c r="F60" s="497" t="s">
        <v>965</v>
      </c>
      <c r="G60" s="498" t="s">
        <v>796</v>
      </c>
      <c r="H60" s="497" t="s">
        <v>986</v>
      </c>
      <c r="I60" s="498" t="s">
        <v>386</v>
      </c>
      <c r="J60" s="497" t="s">
        <v>965</v>
      </c>
      <c r="K60" s="498" t="s">
        <v>796</v>
      </c>
      <c r="L60" s="497" t="s">
        <v>965</v>
      </c>
      <c r="M60" s="498" t="s">
        <v>796</v>
      </c>
      <c r="N60" s="497" t="s">
        <v>986</v>
      </c>
      <c r="O60" s="498" t="s">
        <v>37</v>
      </c>
      <c r="P60" s="497" t="s">
        <v>965</v>
      </c>
      <c r="Q60" s="498" t="s">
        <v>3756</v>
      </c>
      <c r="R60" s="497" t="s">
        <v>958</v>
      </c>
      <c r="S60" s="498" t="s">
        <v>3757</v>
      </c>
      <c r="T60" s="497" t="s">
        <v>986</v>
      </c>
      <c r="U60" s="499" t="s">
        <v>37</v>
      </c>
      <c r="V60" s="497" t="s">
        <v>986</v>
      </c>
      <c r="W60" s="498" t="s">
        <v>112</v>
      </c>
      <c r="X60" s="497" t="s">
        <v>986</v>
      </c>
      <c r="Y60" s="498" t="s">
        <v>3758</v>
      </c>
      <c r="Z60" s="497" t="s">
        <v>986</v>
      </c>
      <c r="AA60" s="498" t="s">
        <v>3758</v>
      </c>
      <c r="AB60" s="497" t="s">
        <v>986</v>
      </c>
      <c r="AC60" s="498" t="s">
        <v>3758</v>
      </c>
      <c r="AD60" s="497" t="s">
        <v>986</v>
      </c>
      <c r="AE60" s="498" t="s">
        <v>37</v>
      </c>
      <c r="AF60" s="497" t="s">
        <v>986</v>
      </c>
      <c r="AG60" s="499" t="s">
        <v>37</v>
      </c>
      <c r="AH60" s="497" t="s">
        <v>966</v>
      </c>
      <c r="AI60" s="498" t="s">
        <v>3759</v>
      </c>
      <c r="AJ60" s="497" t="s">
        <v>986</v>
      </c>
      <c r="AK60" s="498" t="s">
        <v>3760</v>
      </c>
      <c r="AL60" s="497" t="s">
        <v>986</v>
      </c>
      <c r="AM60" s="498" t="s">
        <v>3761</v>
      </c>
      <c r="AN60" s="497" t="s">
        <v>965</v>
      </c>
      <c r="AO60" s="498" t="s">
        <v>3761</v>
      </c>
      <c r="AP60" s="497" t="s">
        <v>963</v>
      </c>
      <c r="AQ60" s="498" t="s">
        <v>3762</v>
      </c>
      <c r="AR60" s="497" t="s">
        <v>965</v>
      </c>
      <c r="AS60" s="499" t="s">
        <v>1216</v>
      </c>
      <c r="AT60" s="497" t="s">
        <v>986</v>
      </c>
      <c r="AU60" s="499" t="s">
        <v>1428</v>
      </c>
      <c r="AV60" s="497" t="s">
        <v>965</v>
      </c>
      <c r="AW60" s="498" t="s">
        <v>1342</v>
      </c>
      <c r="AX60" s="497" t="s">
        <v>965</v>
      </c>
      <c r="AY60" s="498" t="s">
        <v>907</v>
      </c>
      <c r="AZ60" s="497" t="s">
        <v>986</v>
      </c>
      <c r="BA60" s="498" t="s">
        <v>3763</v>
      </c>
      <c r="BB60" s="497" t="s">
        <v>965</v>
      </c>
      <c r="BC60" s="498" t="s">
        <v>3764</v>
      </c>
      <c r="BD60" s="497" t="s">
        <v>965</v>
      </c>
      <c r="BE60" s="498" t="s">
        <v>2089</v>
      </c>
      <c r="BF60" s="497" t="s">
        <v>965</v>
      </c>
      <c r="BG60" s="498" t="s">
        <v>3765</v>
      </c>
      <c r="BH60" s="497" t="s">
        <v>965</v>
      </c>
      <c r="BI60" s="498" t="s">
        <v>3766</v>
      </c>
      <c r="BJ60" s="497" t="s">
        <v>965</v>
      </c>
      <c r="BK60" s="498" t="s">
        <v>4006</v>
      </c>
      <c r="BL60" s="497" t="s">
        <v>963</v>
      </c>
      <c r="BM60" s="501" t="s">
        <v>3767</v>
      </c>
      <c r="BN60" s="497" t="s">
        <v>986</v>
      </c>
      <c r="BO60" s="499" t="s">
        <v>37</v>
      </c>
      <c r="BP60" s="497" t="s">
        <v>967</v>
      </c>
      <c r="BQ60" s="498" t="s">
        <v>663</v>
      </c>
      <c r="BR60" s="497" t="s">
        <v>967</v>
      </c>
      <c r="BS60" s="498" t="s">
        <v>3768</v>
      </c>
      <c r="BT60" s="497" t="s">
        <v>966</v>
      </c>
      <c r="BU60" s="498" t="s">
        <v>3769</v>
      </c>
      <c r="BV60" s="497" t="s">
        <v>967</v>
      </c>
      <c r="BW60" s="498" t="s">
        <v>327</v>
      </c>
      <c r="BX60" s="497" t="s">
        <v>966</v>
      </c>
      <c r="BY60" s="498" t="s">
        <v>3770</v>
      </c>
      <c r="BZ60" s="497" t="s">
        <v>965</v>
      </c>
      <c r="CA60" s="498" t="s">
        <v>3771</v>
      </c>
      <c r="CB60" s="497" t="s">
        <v>986</v>
      </c>
      <c r="CC60" s="498" t="s">
        <v>37</v>
      </c>
      <c r="CD60" s="497" t="s">
        <v>966</v>
      </c>
      <c r="CE60" s="498" t="s">
        <v>3772</v>
      </c>
      <c r="CF60" s="497" t="s">
        <v>963</v>
      </c>
      <c r="CG60" s="498" t="s">
        <v>3773</v>
      </c>
      <c r="CH60" s="497" t="s">
        <v>986</v>
      </c>
      <c r="CI60" s="499" t="s">
        <v>3774</v>
      </c>
      <c r="CJ60" s="497" t="s">
        <v>986</v>
      </c>
      <c r="CK60" s="498" t="s">
        <v>37</v>
      </c>
      <c r="CL60" s="497" t="s">
        <v>965</v>
      </c>
      <c r="CM60" s="498" t="s">
        <v>3775</v>
      </c>
      <c r="CN60" s="497" t="s">
        <v>965</v>
      </c>
      <c r="CO60" s="498" t="s">
        <v>3776</v>
      </c>
      <c r="CP60" s="517" t="s">
        <v>3777</v>
      </c>
      <c r="CQ60" s="34"/>
      <c r="CR60" s="34"/>
    </row>
    <row r="61" spans="1:96" s="5" customFormat="1" ht="113.25" thickBot="1" x14ac:dyDescent="0.25">
      <c r="A61" s="124">
        <f t="shared" si="0"/>
        <v>56</v>
      </c>
      <c r="B61" s="509" t="s">
        <v>625</v>
      </c>
      <c r="C61" s="509" t="s">
        <v>1469</v>
      </c>
      <c r="D61" s="510">
        <v>655</v>
      </c>
      <c r="E61" s="510" t="s">
        <v>2390</v>
      </c>
      <c r="F61" s="497" t="s">
        <v>958</v>
      </c>
      <c r="G61" s="498" t="s">
        <v>1249</v>
      </c>
      <c r="H61" s="497" t="s">
        <v>986</v>
      </c>
      <c r="I61" s="498" t="s">
        <v>92</v>
      </c>
      <c r="J61" s="497" t="s">
        <v>958</v>
      </c>
      <c r="K61" s="498" t="s">
        <v>739</v>
      </c>
      <c r="L61" s="497" t="s">
        <v>958</v>
      </c>
      <c r="M61" s="498" t="s">
        <v>1439</v>
      </c>
      <c r="N61" s="497" t="s">
        <v>986</v>
      </c>
      <c r="O61" s="498" t="s">
        <v>43</v>
      </c>
      <c r="P61" s="497" t="s">
        <v>958</v>
      </c>
      <c r="Q61" s="498" t="s">
        <v>111</v>
      </c>
      <c r="R61" s="497" t="s">
        <v>965</v>
      </c>
      <c r="S61" s="498" t="s">
        <v>2785</v>
      </c>
      <c r="T61" s="497" t="s">
        <v>986</v>
      </c>
      <c r="U61" s="499" t="s">
        <v>37</v>
      </c>
      <c r="V61" s="497" t="s">
        <v>986</v>
      </c>
      <c r="W61" s="498" t="s">
        <v>1305</v>
      </c>
      <c r="X61" s="497" t="s">
        <v>986</v>
      </c>
      <c r="Y61" s="498" t="s">
        <v>37</v>
      </c>
      <c r="Z61" s="497" t="s">
        <v>986</v>
      </c>
      <c r="AA61" s="498" t="s">
        <v>1440</v>
      </c>
      <c r="AB61" s="497" t="s">
        <v>986</v>
      </c>
      <c r="AC61" s="498" t="s">
        <v>1440</v>
      </c>
      <c r="AD61" s="497" t="s">
        <v>986</v>
      </c>
      <c r="AE61" s="498" t="s">
        <v>37</v>
      </c>
      <c r="AF61" s="497" t="s">
        <v>986</v>
      </c>
      <c r="AG61" s="499" t="s">
        <v>37</v>
      </c>
      <c r="AH61" s="497" t="s">
        <v>986</v>
      </c>
      <c r="AI61" s="498" t="s">
        <v>37</v>
      </c>
      <c r="AJ61" s="497" t="s">
        <v>986</v>
      </c>
      <c r="AK61" s="498" t="s">
        <v>37</v>
      </c>
      <c r="AL61" s="497" t="s">
        <v>986</v>
      </c>
      <c r="AM61" s="499" t="s">
        <v>37</v>
      </c>
      <c r="AN61" s="497" t="s">
        <v>965</v>
      </c>
      <c r="AO61" s="498" t="s">
        <v>387</v>
      </c>
      <c r="AP61" s="497" t="s">
        <v>986</v>
      </c>
      <c r="AQ61" s="498" t="s">
        <v>37</v>
      </c>
      <c r="AR61" s="497" t="s">
        <v>986</v>
      </c>
      <c r="AS61" s="499" t="s">
        <v>37</v>
      </c>
      <c r="AT61" s="497" t="s">
        <v>986</v>
      </c>
      <c r="AU61" s="499" t="s">
        <v>37</v>
      </c>
      <c r="AV61" s="497" t="s">
        <v>986</v>
      </c>
      <c r="AW61" s="498" t="s">
        <v>37</v>
      </c>
      <c r="AX61" s="497" t="s">
        <v>986</v>
      </c>
      <c r="AY61" s="498" t="s">
        <v>37</v>
      </c>
      <c r="AZ61" s="497" t="s">
        <v>986</v>
      </c>
      <c r="BA61" s="498" t="s">
        <v>972</v>
      </c>
      <c r="BB61" s="497" t="s">
        <v>986</v>
      </c>
      <c r="BC61" s="498" t="s">
        <v>37</v>
      </c>
      <c r="BD61" s="497" t="s">
        <v>986</v>
      </c>
      <c r="BE61" s="498" t="s">
        <v>37</v>
      </c>
      <c r="BF61" s="497" t="s">
        <v>986</v>
      </c>
      <c r="BG61" s="498" t="s">
        <v>37</v>
      </c>
      <c r="BH61" s="497" t="s">
        <v>986</v>
      </c>
      <c r="BI61" s="498" t="s">
        <v>37</v>
      </c>
      <c r="BJ61" s="497" t="s">
        <v>986</v>
      </c>
      <c r="BK61" s="498" t="s">
        <v>37</v>
      </c>
      <c r="BL61" s="497" t="s">
        <v>986</v>
      </c>
      <c r="BM61" s="498" t="s">
        <v>37</v>
      </c>
      <c r="BN61" s="497" t="s">
        <v>986</v>
      </c>
      <c r="BO61" s="499" t="s">
        <v>37</v>
      </c>
      <c r="BP61" s="497" t="s">
        <v>965</v>
      </c>
      <c r="BQ61" s="498" t="s">
        <v>441</v>
      </c>
      <c r="BR61" s="497" t="s">
        <v>986</v>
      </c>
      <c r="BS61" s="498" t="s">
        <v>2155</v>
      </c>
      <c r="BT61" s="497" t="s">
        <v>965</v>
      </c>
      <c r="BU61" s="498" t="s">
        <v>2786</v>
      </c>
      <c r="BV61" s="497" t="s">
        <v>966</v>
      </c>
      <c r="BW61" s="498" t="s">
        <v>3778</v>
      </c>
      <c r="BX61" s="497" t="s">
        <v>965</v>
      </c>
      <c r="BY61" s="498" t="s">
        <v>1641</v>
      </c>
      <c r="BZ61" s="497" t="s">
        <v>965</v>
      </c>
      <c r="CA61" s="498" t="s">
        <v>1642</v>
      </c>
      <c r="CB61" s="497" t="s">
        <v>986</v>
      </c>
      <c r="CC61" s="498" t="s">
        <v>37</v>
      </c>
      <c r="CD61" s="497" t="s">
        <v>958</v>
      </c>
      <c r="CE61" s="498" t="s">
        <v>388</v>
      </c>
      <c r="CF61" s="497" t="s">
        <v>965</v>
      </c>
      <c r="CG61" s="498" t="s">
        <v>1099</v>
      </c>
      <c r="CH61" s="497" t="s">
        <v>986</v>
      </c>
      <c r="CI61" s="499" t="s">
        <v>37</v>
      </c>
      <c r="CJ61" s="497" t="s">
        <v>986</v>
      </c>
      <c r="CK61" s="498" t="s">
        <v>37</v>
      </c>
      <c r="CL61" s="497" t="s">
        <v>986</v>
      </c>
      <c r="CM61" s="498" t="s">
        <v>37</v>
      </c>
      <c r="CN61" s="497" t="s">
        <v>965</v>
      </c>
      <c r="CO61" s="498" t="s">
        <v>2787</v>
      </c>
      <c r="CP61" s="504" t="s">
        <v>3779</v>
      </c>
      <c r="CQ61" s="34"/>
      <c r="CR61" s="34"/>
    </row>
    <row r="62" spans="1:96" s="5" customFormat="1" ht="102" thickBot="1" x14ac:dyDescent="0.25">
      <c r="A62" s="124">
        <f t="shared" si="0"/>
        <v>57</v>
      </c>
      <c r="B62" s="509" t="s">
        <v>626</v>
      </c>
      <c r="C62" s="509" t="s">
        <v>1598</v>
      </c>
      <c r="D62" s="510">
        <v>383</v>
      </c>
      <c r="E62" s="510" t="s">
        <v>2382</v>
      </c>
      <c r="F62" s="497" t="s">
        <v>958</v>
      </c>
      <c r="G62" s="498" t="s">
        <v>877</v>
      </c>
      <c r="H62" s="497" t="s">
        <v>958</v>
      </c>
      <c r="I62" s="498" t="s">
        <v>68</v>
      </c>
      <c r="J62" s="497" t="s">
        <v>958</v>
      </c>
      <c r="K62" s="498" t="s">
        <v>877</v>
      </c>
      <c r="L62" s="497" t="s">
        <v>958</v>
      </c>
      <c r="M62" s="498" t="s">
        <v>877</v>
      </c>
      <c r="N62" s="497" t="s">
        <v>986</v>
      </c>
      <c r="O62" s="498" t="s">
        <v>37</v>
      </c>
      <c r="P62" s="497" t="s">
        <v>959</v>
      </c>
      <c r="Q62" s="498" t="s">
        <v>878</v>
      </c>
      <c r="R62" s="497" t="s">
        <v>958</v>
      </c>
      <c r="S62" s="498" t="s">
        <v>3780</v>
      </c>
      <c r="T62" s="497" t="s">
        <v>986</v>
      </c>
      <c r="U62" s="499" t="s">
        <v>37</v>
      </c>
      <c r="V62" s="497" t="s">
        <v>986</v>
      </c>
      <c r="W62" s="498" t="s">
        <v>37</v>
      </c>
      <c r="X62" s="497" t="s">
        <v>986</v>
      </c>
      <c r="Y62" s="498" t="s">
        <v>37</v>
      </c>
      <c r="Z62" s="497" t="s">
        <v>986</v>
      </c>
      <c r="AA62" s="498" t="s">
        <v>37</v>
      </c>
      <c r="AB62" s="497" t="s">
        <v>958</v>
      </c>
      <c r="AC62" s="498" t="s">
        <v>2788</v>
      </c>
      <c r="AD62" s="497" t="s">
        <v>986</v>
      </c>
      <c r="AE62" s="498" t="s">
        <v>37</v>
      </c>
      <c r="AF62" s="497" t="s">
        <v>986</v>
      </c>
      <c r="AG62" s="499" t="s">
        <v>37</v>
      </c>
      <c r="AH62" s="497" t="s">
        <v>986</v>
      </c>
      <c r="AI62" s="498" t="s">
        <v>37</v>
      </c>
      <c r="AJ62" s="497" t="s">
        <v>958</v>
      </c>
      <c r="AK62" s="498" t="s">
        <v>3781</v>
      </c>
      <c r="AL62" s="497" t="s">
        <v>958</v>
      </c>
      <c r="AM62" s="499" t="s">
        <v>3782</v>
      </c>
      <c r="AN62" s="497" t="s">
        <v>986</v>
      </c>
      <c r="AO62" s="498" t="s">
        <v>37</v>
      </c>
      <c r="AP62" s="497" t="s">
        <v>986</v>
      </c>
      <c r="AQ62" s="498" t="s">
        <v>37</v>
      </c>
      <c r="AR62" s="497" t="s">
        <v>986</v>
      </c>
      <c r="AS62" s="499" t="s">
        <v>37</v>
      </c>
      <c r="AT62" s="497" t="s">
        <v>986</v>
      </c>
      <c r="AU62" s="499" t="s">
        <v>37</v>
      </c>
      <c r="AV62" s="497" t="s">
        <v>986</v>
      </c>
      <c r="AW62" s="498" t="s">
        <v>37</v>
      </c>
      <c r="AX62" s="497" t="s">
        <v>986</v>
      </c>
      <c r="AY62" s="498" t="s">
        <v>37</v>
      </c>
      <c r="AZ62" s="497" t="s">
        <v>958</v>
      </c>
      <c r="BA62" s="498" t="s">
        <v>3783</v>
      </c>
      <c r="BB62" s="497" t="s">
        <v>986</v>
      </c>
      <c r="BC62" s="498" t="s">
        <v>37</v>
      </c>
      <c r="BD62" s="497" t="s">
        <v>986</v>
      </c>
      <c r="BE62" s="498" t="s">
        <v>37</v>
      </c>
      <c r="BF62" s="497" t="s">
        <v>986</v>
      </c>
      <c r="BG62" s="498" t="s">
        <v>37</v>
      </c>
      <c r="BH62" s="497" t="s">
        <v>965</v>
      </c>
      <c r="BI62" s="498" t="s">
        <v>2880</v>
      </c>
      <c r="BJ62" s="497" t="s">
        <v>965</v>
      </c>
      <c r="BK62" s="498" t="s">
        <v>277</v>
      </c>
      <c r="BL62" s="497" t="s">
        <v>965</v>
      </c>
      <c r="BM62" s="498" t="s">
        <v>1491</v>
      </c>
      <c r="BN62" s="497" t="s">
        <v>986</v>
      </c>
      <c r="BO62" s="499" t="s">
        <v>37</v>
      </c>
      <c r="BP62" s="497" t="s">
        <v>965</v>
      </c>
      <c r="BQ62" s="498" t="s">
        <v>3752</v>
      </c>
      <c r="BR62" s="497" t="s">
        <v>986</v>
      </c>
      <c r="BS62" s="498" t="s">
        <v>37</v>
      </c>
      <c r="BT62" s="497" t="s">
        <v>958</v>
      </c>
      <c r="BU62" s="498" t="s">
        <v>532</v>
      </c>
      <c r="BV62" s="497" t="s">
        <v>967</v>
      </c>
      <c r="BW62" s="498" t="s">
        <v>3753</v>
      </c>
      <c r="BX62" s="497" t="s">
        <v>965</v>
      </c>
      <c r="BY62" s="498" t="s">
        <v>3784</v>
      </c>
      <c r="BZ62" s="497" t="s">
        <v>958</v>
      </c>
      <c r="CA62" s="498" t="s">
        <v>3785</v>
      </c>
      <c r="CB62" s="497" t="s">
        <v>986</v>
      </c>
      <c r="CC62" s="498" t="s">
        <v>37</v>
      </c>
      <c r="CD62" s="497" t="s">
        <v>986</v>
      </c>
      <c r="CE62" s="498" t="s">
        <v>471</v>
      </c>
      <c r="CF62" s="497" t="s">
        <v>965</v>
      </c>
      <c r="CG62" s="498" t="s">
        <v>473</v>
      </c>
      <c r="CH62" s="497" t="s">
        <v>958</v>
      </c>
      <c r="CI62" s="499" t="s">
        <v>3786</v>
      </c>
      <c r="CJ62" s="497" t="s">
        <v>986</v>
      </c>
      <c r="CK62" s="498" t="s">
        <v>37</v>
      </c>
      <c r="CL62" s="497" t="s">
        <v>965</v>
      </c>
      <c r="CM62" s="498" t="s">
        <v>3754</v>
      </c>
      <c r="CN62" s="497" t="s">
        <v>986</v>
      </c>
      <c r="CO62" s="498" t="s">
        <v>37</v>
      </c>
      <c r="CP62" s="554" t="s">
        <v>3903</v>
      </c>
      <c r="CQ62" s="34"/>
      <c r="CR62" s="34"/>
    </row>
    <row r="63" spans="1:96" s="5" customFormat="1" ht="90.75" thickBot="1" x14ac:dyDescent="0.25">
      <c r="A63" s="124">
        <f t="shared" si="0"/>
        <v>58</v>
      </c>
      <c r="B63" s="509" t="s">
        <v>627</v>
      </c>
      <c r="C63" s="509" t="s">
        <v>1606</v>
      </c>
      <c r="D63" s="510">
        <v>410</v>
      </c>
      <c r="E63" s="510" t="s">
        <v>2388</v>
      </c>
      <c r="F63" s="497" t="s">
        <v>986</v>
      </c>
      <c r="G63" s="498" t="s">
        <v>37</v>
      </c>
      <c r="H63" s="497" t="s">
        <v>986</v>
      </c>
      <c r="I63" s="498" t="s">
        <v>37</v>
      </c>
      <c r="J63" s="497" t="s">
        <v>986</v>
      </c>
      <c r="K63" s="498" t="s">
        <v>37</v>
      </c>
      <c r="L63" s="497" t="s">
        <v>963</v>
      </c>
      <c r="M63" s="498" t="s">
        <v>677</v>
      </c>
      <c r="N63" s="497" t="s">
        <v>963</v>
      </c>
      <c r="O63" s="498" t="s">
        <v>762</v>
      </c>
      <c r="P63" s="497" t="s">
        <v>986</v>
      </c>
      <c r="Q63" s="498" t="s">
        <v>37</v>
      </c>
      <c r="R63" s="497" t="s">
        <v>986</v>
      </c>
      <c r="S63" s="498" t="s">
        <v>37</v>
      </c>
      <c r="T63" s="497" t="s">
        <v>986</v>
      </c>
      <c r="U63" s="499" t="s">
        <v>37</v>
      </c>
      <c r="V63" s="497" t="s">
        <v>986</v>
      </c>
      <c r="W63" s="498" t="s">
        <v>37</v>
      </c>
      <c r="X63" s="497" t="s">
        <v>986</v>
      </c>
      <c r="Y63" s="498" t="s">
        <v>37</v>
      </c>
      <c r="Z63" s="497" t="s">
        <v>986</v>
      </c>
      <c r="AA63" s="498" t="s">
        <v>37</v>
      </c>
      <c r="AB63" s="497" t="s">
        <v>986</v>
      </c>
      <c r="AC63" s="498" t="s">
        <v>37</v>
      </c>
      <c r="AD63" s="497" t="s">
        <v>986</v>
      </c>
      <c r="AE63" s="498" t="s">
        <v>37</v>
      </c>
      <c r="AF63" s="497" t="s">
        <v>986</v>
      </c>
      <c r="AG63" s="499" t="s">
        <v>37</v>
      </c>
      <c r="AH63" s="497" t="s">
        <v>986</v>
      </c>
      <c r="AI63" s="498" t="s">
        <v>37</v>
      </c>
      <c r="AJ63" s="497" t="s">
        <v>986</v>
      </c>
      <c r="AK63" s="498" t="s">
        <v>37</v>
      </c>
      <c r="AL63" s="497" t="s">
        <v>986</v>
      </c>
      <c r="AM63" s="499" t="s">
        <v>37</v>
      </c>
      <c r="AN63" s="497" t="s">
        <v>986</v>
      </c>
      <c r="AO63" s="498" t="s">
        <v>37</v>
      </c>
      <c r="AP63" s="497" t="s">
        <v>986</v>
      </c>
      <c r="AQ63" s="498" t="s">
        <v>37</v>
      </c>
      <c r="AR63" s="497" t="s">
        <v>986</v>
      </c>
      <c r="AS63" s="499" t="s">
        <v>37</v>
      </c>
      <c r="AT63" s="497" t="s">
        <v>986</v>
      </c>
      <c r="AU63" s="499" t="s">
        <v>37</v>
      </c>
      <c r="AV63" s="497" t="s">
        <v>986</v>
      </c>
      <c r="AW63" s="498" t="s">
        <v>37</v>
      </c>
      <c r="AX63" s="497" t="s">
        <v>986</v>
      </c>
      <c r="AY63" s="498" t="s">
        <v>37</v>
      </c>
      <c r="AZ63" s="497" t="s">
        <v>963</v>
      </c>
      <c r="BA63" s="498" t="s">
        <v>1698</v>
      </c>
      <c r="BB63" s="497" t="s">
        <v>986</v>
      </c>
      <c r="BC63" s="498" t="s">
        <v>1233</v>
      </c>
      <c r="BD63" s="497" t="s">
        <v>986</v>
      </c>
      <c r="BE63" s="498" t="s">
        <v>37</v>
      </c>
      <c r="BF63" s="497" t="s">
        <v>986</v>
      </c>
      <c r="BG63" s="498" t="s">
        <v>37</v>
      </c>
      <c r="BH63" s="497" t="s">
        <v>986</v>
      </c>
      <c r="BI63" s="498" t="s">
        <v>37</v>
      </c>
      <c r="BJ63" s="497" t="s">
        <v>986</v>
      </c>
      <c r="BK63" s="498" t="s">
        <v>37</v>
      </c>
      <c r="BL63" s="497" t="s">
        <v>986</v>
      </c>
      <c r="BM63" s="498" t="s">
        <v>37</v>
      </c>
      <c r="BN63" s="497" t="s">
        <v>986</v>
      </c>
      <c r="BO63" s="499" t="s">
        <v>37</v>
      </c>
      <c r="BP63" s="497" t="s">
        <v>986</v>
      </c>
      <c r="BQ63" s="498" t="s">
        <v>37</v>
      </c>
      <c r="BR63" s="497" t="s">
        <v>986</v>
      </c>
      <c r="BS63" s="498" t="s">
        <v>37</v>
      </c>
      <c r="BT63" s="497" t="s">
        <v>986</v>
      </c>
      <c r="BU63" s="498" t="s">
        <v>37</v>
      </c>
      <c r="BV63" s="497" t="s">
        <v>986</v>
      </c>
      <c r="BW63" s="498" t="s">
        <v>37</v>
      </c>
      <c r="BX63" s="497" t="s">
        <v>963</v>
      </c>
      <c r="BY63" s="498" t="s">
        <v>182</v>
      </c>
      <c r="BZ63" s="497" t="s">
        <v>963</v>
      </c>
      <c r="CA63" s="498" t="s">
        <v>1611</v>
      </c>
      <c r="CB63" s="497" t="s">
        <v>965</v>
      </c>
      <c r="CC63" s="498" t="s">
        <v>946</v>
      </c>
      <c r="CD63" s="497" t="s">
        <v>986</v>
      </c>
      <c r="CE63" s="498" t="s">
        <v>37</v>
      </c>
      <c r="CF63" s="497" t="s">
        <v>986</v>
      </c>
      <c r="CG63" s="498" t="s">
        <v>37</v>
      </c>
      <c r="CH63" s="497" t="s">
        <v>986</v>
      </c>
      <c r="CI63" s="499" t="s">
        <v>37</v>
      </c>
      <c r="CJ63" s="497" t="s">
        <v>986</v>
      </c>
      <c r="CK63" s="498" t="s">
        <v>37</v>
      </c>
      <c r="CL63" s="497" t="s">
        <v>986</v>
      </c>
      <c r="CM63" s="498" t="s">
        <v>37</v>
      </c>
      <c r="CN63" s="497" t="s">
        <v>986</v>
      </c>
      <c r="CO63" s="498" t="s">
        <v>37</v>
      </c>
      <c r="CP63" s="517"/>
      <c r="CQ63" s="34"/>
      <c r="CR63" s="34"/>
    </row>
    <row r="64" spans="1:96" s="5" customFormat="1" ht="61.9" customHeight="1" thickBot="1" x14ac:dyDescent="0.25">
      <c r="A64" s="124">
        <f t="shared" si="0"/>
        <v>59</v>
      </c>
      <c r="B64" s="509" t="s">
        <v>628</v>
      </c>
      <c r="C64" s="509" t="s">
        <v>2060</v>
      </c>
      <c r="D64" s="510">
        <v>412</v>
      </c>
      <c r="E64" s="510" t="s">
        <v>2386</v>
      </c>
      <c r="F64" s="497" t="s">
        <v>986</v>
      </c>
      <c r="G64" s="498" t="s">
        <v>37</v>
      </c>
      <c r="H64" s="497" t="s">
        <v>986</v>
      </c>
      <c r="I64" s="498" t="s">
        <v>93</v>
      </c>
      <c r="J64" s="497" t="s">
        <v>967</v>
      </c>
      <c r="K64" s="498" t="s">
        <v>94</v>
      </c>
      <c r="L64" s="497" t="s">
        <v>964</v>
      </c>
      <c r="M64" s="498" t="s">
        <v>23</v>
      </c>
      <c r="N64" s="497" t="s">
        <v>965</v>
      </c>
      <c r="O64" s="498" t="s">
        <v>24</v>
      </c>
      <c r="P64" s="497" t="s">
        <v>966</v>
      </c>
      <c r="Q64" s="498" t="s">
        <v>1451</v>
      </c>
      <c r="R64" s="497" t="s">
        <v>986</v>
      </c>
      <c r="S64" s="498" t="s">
        <v>37</v>
      </c>
      <c r="T64" s="497" t="s">
        <v>986</v>
      </c>
      <c r="U64" s="499" t="s">
        <v>37</v>
      </c>
      <c r="V64" s="497" t="s">
        <v>958</v>
      </c>
      <c r="W64" s="498" t="s">
        <v>1452</v>
      </c>
      <c r="X64" s="497" t="s">
        <v>986</v>
      </c>
      <c r="Y64" s="498" t="s">
        <v>1501</v>
      </c>
      <c r="Z64" s="497" t="s">
        <v>966</v>
      </c>
      <c r="AA64" s="498" t="s">
        <v>1502</v>
      </c>
      <c r="AB64" s="497" t="s">
        <v>963</v>
      </c>
      <c r="AC64" s="498" t="s">
        <v>1503</v>
      </c>
      <c r="AD64" s="497" t="s">
        <v>986</v>
      </c>
      <c r="AE64" s="498" t="s">
        <v>37</v>
      </c>
      <c r="AF64" s="497" t="s">
        <v>986</v>
      </c>
      <c r="AG64" s="499" t="s">
        <v>37</v>
      </c>
      <c r="AH64" s="497" t="s">
        <v>986</v>
      </c>
      <c r="AI64" s="498" t="s">
        <v>37</v>
      </c>
      <c r="AJ64" s="497" t="s">
        <v>963</v>
      </c>
      <c r="AK64" s="498" t="s">
        <v>891</v>
      </c>
      <c r="AL64" s="497" t="s">
        <v>986</v>
      </c>
      <c r="AM64" s="499" t="s">
        <v>746</v>
      </c>
      <c r="AN64" s="497" t="s">
        <v>963</v>
      </c>
      <c r="AO64" s="498" t="s">
        <v>146</v>
      </c>
      <c r="AP64" s="497" t="s">
        <v>986</v>
      </c>
      <c r="AQ64" s="498" t="s">
        <v>321</v>
      </c>
      <c r="AR64" s="497" t="s">
        <v>986</v>
      </c>
      <c r="AS64" s="499" t="s">
        <v>661</v>
      </c>
      <c r="AT64" s="497" t="s">
        <v>986</v>
      </c>
      <c r="AU64" s="499" t="s">
        <v>37</v>
      </c>
      <c r="AV64" s="497" t="s">
        <v>965</v>
      </c>
      <c r="AW64" s="498" t="s">
        <v>904</v>
      </c>
      <c r="AX64" s="497" t="s">
        <v>986</v>
      </c>
      <c r="AY64" s="498" t="s">
        <v>37</v>
      </c>
      <c r="AZ64" s="497" t="s">
        <v>963</v>
      </c>
      <c r="BA64" s="498" t="s">
        <v>1279</v>
      </c>
      <c r="BB64" s="497" t="s">
        <v>986</v>
      </c>
      <c r="BC64" s="498" t="s">
        <v>1201</v>
      </c>
      <c r="BD64" s="497" t="s">
        <v>965</v>
      </c>
      <c r="BE64" s="498" t="s">
        <v>2090</v>
      </c>
      <c r="BF64" s="497" t="s">
        <v>986</v>
      </c>
      <c r="BG64" s="498" t="s">
        <v>37</v>
      </c>
      <c r="BH64" s="497" t="s">
        <v>986</v>
      </c>
      <c r="BI64" s="498" t="s">
        <v>37</v>
      </c>
      <c r="BJ64" s="497" t="s">
        <v>986</v>
      </c>
      <c r="BK64" s="498" t="s">
        <v>37</v>
      </c>
      <c r="BL64" s="497" t="s">
        <v>965</v>
      </c>
      <c r="BM64" s="498" t="s">
        <v>1635</v>
      </c>
      <c r="BN64" s="497" t="s">
        <v>986</v>
      </c>
      <c r="BO64" s="499" t="s">
        <v>37</v>
      </c>
      <c r="BP64" s="497" t="s">
        <v>967</v>
      </c>
      <c r="BQ64" s="498" t="s">
        <v>1301</v>
      </c>
      <c r="BR64" s="497" t="s">
        <v>964</v>
      </c>
      <c r="BS64" s="498" t="s">
        <v>2160</v>
      </c>
      <c r="BT64" s="497" t="s">
        <v>964</v>
      </c>
      <c r="BU64" s="498" t="s">
        <v>1707</v>
      </c>
      <c r="BV64" s="497" t="s">
        <v>986</v>
      </c>
      <c r="BW64" s="498" t="s">
        <v>37</v>
      </c>
      <c r="BX64" s="497" t="s">
        <v>965</v>
      </c>
      <c r="BY64" s="498" t="s">
        <v>1612</v>
      </c>
      <c r="BZ64" s="497" t="s">
        <v>965</v>
      </c>
      <c r="CA64" s="498" t="s">
        <v>1448</v>
      </c>
      <c r="CB64" s="497" t="s">
        <v>965</v>
      </c>
      <c r="CC64" s="498" t="s">
        <v>1745</v>
      </c>
      <c r="CD64" s="497" t="s">
        <v>965</v>
      </c>
      <c r="CE64" s="498" t="s">
        <v>1200</v>
      </c>
      <c r="CF64" s="497" t="s">
        <v>965</v>
      </c>
      <c r="CG64" s="498" t="s">
        <v>1303</v>
      </c>
      <c r="CH64" s="497" t="s">
        <v>986</v>
      </c>
      <c r="CI64" s="499" t="s">
        <v>37</v>
      </c>
      <c r="CJ64" s="497" t="s">
        <v>986</v>
      </c>
      <c r="CK64" s="498" t="s">
        <v>37</v>
      </c>
      <c r="CL64" s="497" t="s">
        <v>965</v>
      </c>
      <c r="CM64" s="498" t="s">
        <v>1801</v>
      </c>
      <c r="CN64" s="497" t="s">
        <v>965</v>
      </c>
      <c r="CO64" s="498" t="s">
        <v>1801</v>
      </c>
      <c r="CP64" s="517"/>
      <c r="CQ64" s="34"/>
      <c r="CR64" s="34"/>
    </row>
    <row r="65" spans="1:96" s="5" customFormat="1" ht="102" thickBot="1" x14ac:dyDescent="0.25">
      <c r="A65" s="124">
        <f t="shared" si="0"/>
        <v>60</v>
      </c>
      <c r="B65" s="509" t="s">
        <v>629</v>
      </c>
      <c r="C65" s="509" t="s">
        <v>1603</v>
      </c>
      <c r="D65" s="510">
        <v>548</v>
      </c>
      <c r="E65" s="510" t="s">
        <v>2386</v>
      </c>
      <c r="F65" s="497" t="s">
        <v>965</v>
      </c>
      <c r="G65" s="498" t="s">
        <v>1412</v>
      </c>
      <c r="H65" s="497" t="s">
        <v>965</v>
      </c>
      <c r="I65" s="498" t="s">
        <v>2822</v>
      </c>
      <c r="J65" s="497" t="s">
        <v>986</v>
      </c>
      <c r="K65" s="498" t="s">
        <v>2805</v>
      </c>
      <c r="L65" s="497" t="s">
        <v>986</v>
      </c>
      <c r="M65" s="498" t="s">
        <v>2805</v>
      </c>
      <c r="N65" s="497" t="s">
        <v>986</v>
      </c>
      <c r="O65" s="498" t="s">
        <v>2805</v>
      </c>
      <c r="P65" s="497" t="s">
        <v>965</v>
      </c>
      <c r="Q65" s="498" t="s">
        <v>1453</v>
      </c>
      <c r="R65" s="497" t="s">
        <v>986</v>
      </c>
      <c r="S65" s="498" t="s">
        <v>2805</v>
      </c>
      <c r="T65" s="497" t="s">
        <v>986</v>
      </c>
      <c r="U65" s="499" t="s">
        <v>37</v>
      </c>
      <c r="V65" s="497" t="s">
        <v>986</v>
      </c>
      <c r="W65" s="498" t="s">
        <v>2805</v>
      </c>
      <c r="X65" s="497" t="s">
        <v>986</v>
      </c>
      <c r="Y65" s="498" t="s">
        <v>2805</v>
      </c>
      <c r="Z65" s="497" t="s">
        <v>963</v>
      </c>
      <c r="AA65" s="498" t="s">
        <v>1504</v>
      </c>
      <c r="AB65" s="497" t="s">
        <v>986</v>
      </c>
      <c r="AC65" s="498" t="s">
        <v>2805</v>
      </c>
      <c r="AD65" s="497" t="s">
        <v>986</v>
      </c>
      <c r="AE65" s="498" t="s">
        <v>37</v>
      </c>
      <c r="AF65" s="497" t="s">
        <v>986</v>
      </c>
      <c r="AG65" s="499" t="s">
        <v>2805</v>
      </c>
      <c r="AH65" s="497" t="s">
        <v>963</v>
      </c>
      <c r="AI65" s="498" t="s">
        <v>1368</v>
      </c>
      <c r="AJ65" s="497" t="s">
        <v>986</v>
      </c>
      <c r="AK65" s="498" t="s">
        <v>2805</v>
      </c>
      <c r="AL65" s="497" t="s">
        <v>986</v>
      </c>
      <c r="AM65" s="499" t="s">
        <v>2815</v>
      </c>
      <c r="AN65" s="497" t="s">
        <v>965</v>
      </c>
      <c r="AO65" s="498" t="s">
        <v>128</v>
      </c>
      <c r="AP65" s="497" t="s">
        <v>986</v>
      </c>
      <c r="AQ65" s="498" t="s">
        <v>2815</v>
      </c>
      <c r="AR65" s="497" t="s">
        <v>986</v>
      </c>
      <c r="AS65" s="499" t="s">
        <v>2815</v>
      </c>
      <c r="AT65" s="497" t="s">
        <v>986</v>
      </c>
      <c r="AU65" s="499" t="s">
        <v>2817</v>
      </c>
      <c r="AV65" s="497" t="s">
        <v>965</v>
      </c>
      <c r="AW65" s="498" t="s">
        <v>2823</v>
      </c>
      <c r="AX65" s="497" t="s">
        <v>986</v>
      </c>
      <c r="AY65" s="498" t="s">
        <v>2817</v>
      </c>
      <c r="AZ65" s="497" t="s">
        <v>967</v>
      </c>
      <c r="BA65" s="498" t="s">
        <v>2824</v>
      </c>
      <c r="BB65" s="497" t="s">
        <v>986</v>
      </c>
      <c r="BC65" s="498" t="s">
        <v>37</v>
      </c>
      <c r="BD65" s="497" t="s">
        <v>986</v>
      </c>
      <c r="BE65" s="498" t="s">
        <v>2805</v>
      </c>
      <c r="BF65" s="497" t="s">
        <v>986</v>
      </c>
      <c r="BG65" s="498" t="s">
        <v>2805</v>
      </c>
      <c r="BH65" s="497" t="s">
        <v>965</v>
      </c>
      <c r="BI65" s="498" t="s">
        <v>4004</v>
      </c>
      <c r="BJ65" s="497" t="s">
        <v>986</v>
      </c>
      <c r="BK65" s="498" t="s">
        <v>37</v>
      </c>
      <c r="BL65" s="497" t="s">
        <v>963</v>
      </c>
      <c r="BM65" s="498" t="s">
        <v>4005</v>
      </c>
      <c r="BN65" s="497" t="s">
        <v>986</v>
      </c>
      <c r="BO65" s="499" t="s">
        <v>37</v>
      </c>
      <c r="BP65" s="497" t="s">
        <v>964</v>
      </c>
      <c r="BQ65" s="498" t="s">
        <v>1134</v>
      </c>
      <c r="BR65" s="497" t="s">
        <v>963</v>
      </c>
      <c r="BS65" s="498" t="s">
        <v>2161</v>
      </c>
      <c r="BT65" s="497" t="s">
        <v>958</v>
      </c>
      <c r="BU65" s="498" t="s">
        <v>75</v>
      </c>
      <c r="BV65" s="497" t="s">
        <v>986</v>
      </c>
      <c r="BW65" s="498" t="s">
        <v>37</v>
      </c>
      <c r="BX65" s="497" t="s">
        <v>986</v>
      </c>
      <c r="BY65" s="498" t="s">
        <v>2805</v>
      </c>
      <c r="BZ65" s="497" t="s">
        <v>986</v>
      </c>
      <c r="CA65" s="498" t="s">
        <v>2805</v>
      </c>
      <c r="CB65" s="497" t="s">
        <v>986</v>
      </c>
      <c r="CC65" s="498" t="s">
        <v>2805</v>
      </c>
      <c r="CD65" s="497" t="s">
        <v>986</v>
      </c>
      <c r="CE65" s="498" t="s">
        <v>37</v>
      </c>
      <c r="CF65" s="497" t="s">
        <v>965</v>
      </c>
      <c r="CG65" s="498" t="s">
        <v>1349</v>
      </c>
      <c r="CH65" s="497" t="s">
        <v>986</v>
      </c>
      <c r="CI65" s="499" t="s">
        <v>37</v>
      </c>
      <c r="CJ65" s="497" t="s">
        <v>986</v>
      </c>
      <c r="CK65" s="498" t="s">
        <v>37</v>
      </c>
      <c r="CL65" s="497" t="s">
        <v>986</v>
      </c>
      <c r="CM65" s="498" t="s">
        <v>37</v>
      </c>
      <c r="CN65" s="497" t="s">
        <v>986</v>
      </c>
      <c r="CO65" s="498" t="s">
        <v>37</v>
      </c>
      <c r="CP65" s="517"/>
      <c r="CQ65" s="34"/>
      <c r="CR65" s="34"/>
    </row>
    <row r="66" spans="1:96" s="5" customFormat="1" ht="135.75" thickBot="1" x14ac:dyDescent="0.25">
      <c r="A66" s="124">
        <f t="shared" si="0"/>
        <v>61</v>
      </c>
      <c r="B66" s="509" t="s">
        <v>3709</v>
      </c>
      <c r="C66" s="509" t="s">
        <v>1604</v>
      </c>
      <c r="D66" s="510">
        <v>355</v>
      </c>
      <c r="E66" s="510" t="s">
        <v>2388</v>
      </c>
      <c r="F66" s="497" t="s">
        <v>986</v>
      </c>
      <c r="G66" s="498" t="s">
        <v>37</v>
      </c>
      <c r="H66" s="497" t="s">
        <v>986</v>
      </c>
      <c r="I66" s="498" t="s">
        <v>37</v>
      </c>
      <c r="J66" s="497" t="s">
        <v>986</v>
      </c>
      <c r="K66" s="498" t="s">
        <v>37</v>
      </c>
      <c r="L66" s="497" t="s">
        <v>986</v>
      </c>
      <c r="M66" s="498" t="s">
        <v>37</v>
      </c>
      <c r="N66" s="497" t="s">
        <v>986</v>
      </c>
      <c r="O66" s="498" t="s">
        <v>37</v>
      </c>
      <c r="P66" s="497" t="s">
        <v>986</v>
      </c>
      <c r="Q66" s="498" t="s">
        <v>37</v>
      </c>
      <c r="R66" s="497" t="s">
        <v>986</v>
      </c>
      <c r="S66" s="498" t="s">
        <v>37</v>
      </c>
      <c r="T66" s="497" t="s">
        <v>986</v>
      </c>
      <c r="U66" s="499" t="s">
        <v>37</v>
      </c>
      <c r="V66" s="497" t="s">
        <v>986</v>
      </c>
      <c r="W66" s="498" t="s">
        <v>37</v>
      </c>
      <c r="X66" s="497" t="s">
        <v>986</v>
      </c>
      <c r="Y66" s="498" t="s">
        <v>37</v>
      </c>
      <c r="Z66" s="497" t="s">
        <v>986</v>
      </c>
      <c r="AA66" s="498" t="s">
        <v>37</v>
      </c>
      <c r="AB66" s="497" t="s">
        <v>986</v>
      </c>
      <c r="AC66" s="498" t="s">
        <v>37</v>
      </c>
      <c r="AD66" s="497" t="s">
        <v>986</v>
      </c>
      <c r="AE66" s="498" t="s">
        <v>37</v>
      </c>
      <c r="AF66" s="497" t="s">
        <v>986</v>
      </c>
      <c r="AG66" s="499" t="s">
        <v>37</v>
      </c>
      <c r="AH66" s="497" t="s">
        <v>986</v>
      </c>
      <c r="AI66" s="498" t="s">
        <v>37</v>
      </c>
      <c r="AJ66" s="497" t="s">
        <v>986</v>
      </c>
      <c r="AK66" s="498" t="s">
        <v>37</v>
      </c>
      <c r="AL66" s="497" t="s">
        <v>986</v>
      </c>
      <c r="AM66" s="499" t="s">
        <v>2933</v>
      </c>
      <c r="AN66" s="497" t="s">
        <v>986</v>
      </c>
      <c r="AO66" s="498" t="s">
        <v>37</v>
      </c>
      <c r="AP66" s="497" t="s">
        <v>986</v>
      </c>
      <c r="AQ66" s="559" t="s">
        <v>3950</v>
      </c>
      <c r="AR66" s="497" t="s">
        <v>986</v>
      </c>
      <c r="AS66" s="499" t="s">
        <v>37</v>
      </c>
      <c r="AT66" s="497" t="s">
        <v>986</v>
      </c>
      <c r="AU66" s="499" t="s">
        <v>2934</v>
      </c>
      <c r="AV66" s="497" t="s">
        <v>986</v>
      </c>
      <c r="AW66" s="498" t="s">
        <v>37</v>
      </c>
      <c r="AX66" s="497" t="s">
        <v>986</v>
      </c>
      <c r="AY66" s="498" t="s">
        <v>2935</v>
      </c>
      <c r="AZ66" s="497" t="s">
        <v>986</v>
      </c>
      <c r="BA66" s="498" t="s">
        <v>37</v>
      </c>
      <c r="BB66" s="497" t="s">
        <v>986</v>
      </c>
      <c r="BC66" s="498" t="s">
        <v>37</v>
      </c>
      <c r="BD66" s="497" t="s">
        <v>986</v>
      </c>
      <c r="BE66" s="498" t="s">
        <v>37</v>
      </c>
      <c r="BF66" s="497" t="s">
        <v>986</v>
      </c>
      <c r="BG66" s="498" t="s">
        <v>37</v>
      </c>
      <c r="BH66" s="497" t="s">
        <v>986</v>
      </c>
      <c r="BI66" s="498" t="s">
        <v>37</v>
      </c>
      <c r="BJ66" s="497" t="s">
        <v>986</v>
      </c>
      <c r="BK66" s="498" t="s">
        <v>37</v>
      </c>
      <c r="BL66" s="497" t="s">
        <v>986</v>
      </c>
      <c r="BM66" s="498" t="s">
        <v>37</v>
      </c>
      <c r="BN66" s="497" t="s">
        <v>986</v>
      </c>
      <c r="BO66" s="499" t="s">
        <v>37</v>
      </c>
      <c r="BP66" s="497" t="s">
        <v>986</v>
      </c>
      <c r="BQ66" s="498" t="s">
        <v>37</v>
      </c>
      <c r="BR66" s="497" t="s">
        <v>986</v>
      </c>
      <c r="BS66" s="498" t="s">
        <v>37</v>
      </c>
      <c r="BT66" s="497" t="s">
        <v>986</v>
      </c>
      <c r="BU66" s="498" t="s">
        <v>37</v>
      </c>
      <c r="BV66" s="497" t="s">
        <v>986</v>
      </c>
      <c r="BW66" s="498" t="s">
        <v>37</v>
      </c>
      <c r="BX66" s="497" t="s">
        <v>986</v>
      </c>
      <c r="BY66" s="498" t="s">
        <v>37</v>
      </c>
      <c r="BZ66" s="497" t="s">
        <v>986</v>
      </c>
      <c r="CA66" s="498" t="s">
        <v>37</v>
      </c>
      <c r="CB66" s="497" t="s">
        <v>986</v>
      </c>
      <c r="CC66" s="498" t="s">
        <v>37</v>
      </c>
      <c r="CD66" s="497" t="s">
        <v>986</v>
      </c>
      <c r="CE66" s="498" t="s">
        <v>37</v>
      </c>
      <c r="CF66" s="497" t="s">
        <v>986</v>
      </c>
      <c r="CG66" s="498" t="s">
        <v>37</v>
      </c>
      <c r="CH66" s="497" t="s">
        <v>986</v>
      </c>
      <c r="CI66" s="499" t="s">
        <v>37</v>
      </c>
      <c r="CJ66" s="497" t="s">
        <v>986</v>
      </c>
      <c r="CK66" s="498" t="s">
        <v>37</v>
      </c>
      <c r="CL66" s="497" t="s">
        <v>986</v>
      </c>
      <c r="CM66" s="498" t="s">
        <v>37</v>
      </c>
      <c r="CN66" s="497" t="s">
        <v>986</v>
      </c>
      <c r="CO66" s="498" t="s">
        <v>37</v>
      </c>
      <c r="CP66" s="517"/>
      <c r="CQ66" s="34"/>
      <c r="CR66" s="34"/>
    </row>
    <row r="67" spans="1:96" s="17" customFormat="1" ht="102" thickBot="1" x14ac:dyDescent="0.25">
      <c r="A67" s="124">
        <f t="shared" si="0"/>
        <v>62</v>
      </c>
      <c r="B67" s="509" t="s">
        <v>630</v>
      </c>
      <c r="C67" s="509" t="s">
        <v>1597</v>
      </c>
      <c r="D67" s="510">
        <v>561</v>
      </c>
      <c r="E67" s="510" t="s">
        <v>2386</v>
      </c>
      <c r="F67" s="497" t="s">
        <v>963</v>
      </c>
      <c r="G67" s="498" t="s">
        <v>1640</v>
      </c>
      <c r="H67" s="497" t="s">
        <v>963</v>
      </c>
      <c r="I67" s="498" t="s">
        <v>1064</v>
      </c>
      <c r="J67" s="497" t="s">
        <v>963</v>
      </c>
      <c r="K67" s="498" t="s">
        <v>1064</v>
      </c>
      <c r="L67" s="497" t="s">
        <v>963</v>
      </c>
      <c r="M67" s="498" t="s">
        <v>1064</v>
      </c>
      <c r="N67" s="497" t="s">
        <v>986</v>
      </c>
      <c r="O67" s="498" t="s">
        <v>78</v>
      </c>
      <c r="P67" s="497" t="s">
        <v>986</v>
      </c>
      <c r="Q67" s="498" t="s">
        <v>44</v>
      </c>
      <c r="R67" s="497" t="s">
        <v>965</v>
      </c>
      <c r="S67" s="498" t="s">
        <v>3678</v>
      </c>
      <c r="T67" s="497" t="s">
        <v>986</v>
      </c>
      <c r="U67" s="499" t="s">
        <v>37</v>
      </c>
      <c r="V67" s="497" t="s">
        <v>986</v>
      </c>
      <c r="W67" s="498" t="s">
        <v>37</v>
      </c>
      <c r="X67" s="497" t="s">
        <v>986</v>
      </c>
      <c r="Y67" s="498" t="s">
        <v>37</v>
      </c>
      <c r="Z67" s="497" t="s">
        <v>958</v>
      </c>
      <c r="AA67" s="498" t="s">
        <v>1505</v>
      </c>
      <c r="AB67" s="497" t="s">
        <v>986</v>
      </c>
      <c r="AC67" s="498" t="s">
        <v>37</v>
      </c>
      <c r="AD67" s="497" t="s">
        <v>986</v>
      </c>
      <c r="AE67" s="498" t="s">
        <v>37</v>
      </c>
      <c r="AF67" s="497" t="s">
        <v>986</v>
      </c>
      <c r="AG67" s="499" t="s">
        <v>37</v>
      </c>
      <c r="AH67" s="497" t="s">
        <v>986</v>
      </c>
      <c r="AI67" s="498" t="s">
        <v>37</v>
      </c>
      <c r="AJ67" s="497" t="s">
        <v>986</v>
      </c>
      <c r="AK67" s="498" t="s">
        <v>37</v>
      </c>
      <c r="AL67" s="497" t="s">
        <v>986</v>
      </c>
      <c r="AM67" s="499" t="s">
        <v>37</v>
      </c>
      <c r="AN67" s="497" t="s">
        <v>965</v>
      </c>
      <c r="AO67" s="498" t="s">
        <v>3679</v>
      </c>
      <c r="AP67" s="497" t="s">
        <v>986</v>
      </c>
      <c r="AQ67" s="498" t="s">
        <v>37</v>
      </c>
      <c r="AR67" s="497" t="s">
        <v>986</v>
      </c>
      <c r="AS67" s="499" t="s">
        <v>37</v>
      </c>
      <c r="AT67" s="497" t="s">
        <v>986</v>
      </c>
      <c r="AU67" s="499" t="s">
        <v>37</v>
      </c>
      <c r="AV67" s="497" t="s">
        <v>963</v>
      </c>
      <c r="AW67" s="498" t="s">
        <v>1731</v>
      </c>
      <c r="AX67" s="497" t="s">
        <v>986</v>
      </c>
      <c r="AY67" s="498" t="s">
        <v>37</v>
      </c>
      <c r="AZ67" s="497" t="s">
        <v>963</v>
      </c>
      <c r="BA67" s="498" t="s">
        <v>1280</v>
      </c>
      <c r="BB67" s="497" t="s">
        <v>986</v>
      </c>
      <c r="BC67" s="498" t="s">
        <v>37</v>
      </c>
      <c r="BD67" s="497" t="s">
        <v>986</v>
      </c>
      <c r="BE67" s="498" t="s">
        <v>37</v>
      </c>
      <c r="BF67" s="497" t="s">
        <v>986</v>
      </c>
      <c r="BG67" s="498" t="s">
        <v>37</v>
      </c>
      <c r="BH67" s="497" t="s">
        <v>963</v>
      </c>
      <c r="BI67" s="498" t="s">
        <v>1366</v>
      </c>
      <c r="BJ67" s="497" t="s">
        <v>986</v>
      </c>
      <c r="BK67" s="498" t="s">
        <v>37</v>
      </c>
      <c r="BL67" s="497" t="s">
        <v>986</v>
      </c>
      <c r="BM67" s="498" t="s">
        <v>843</v>
      </c>
      <c r="BN67" s="497" t="s">
        <v>986</v>
      </c>
      <c r="BO67" s="499" t="s">
        <v>37</v>
      </c>
      <c r="BP67" s="497" t="s">
        <v>986</v>
      </c>
      <c r="BQ67" s="500" t="s">
        <v>3680</v>
      </c>
      <c r="BR67" s="497" t="s">
        <v>986</v>
      </c>
      <c r="BS67" s="498" t="s">
        <v>37</v>
      </c>
      <c r="BT67" s="497" t="s">
        <v>986</v>
      </c>
      <c r="BU67" s="500" t="s">
        <v>2817</v>
      </c>
      <c r="BV67" s="497" t="s">
        <v>986</v>
      </c>
      <c r="BW67" s="498" t="s">
        <v>37</v>
      </c>
      <c r="BX67" s="497" t="s">
        <v>986</v>
      </c>
      <c r="BY67" s="498" t="s">
        <v>37</v>
      </c>
      <c r="BZ67" s="497" t="s">
        <v>986</v>
      </c>
      <c r="CA67" s="498" t="s">
        <v>37</v>
      </c>
      <c r="CB67" s="497" t="s">
        <v>986</v>
      </c>
      <c r="CC67" s="498" t="s">
        <v>37</v>
      </c>
      <c r="CD67" s="497" t="s">
        <v>986</v>
      </c>
      <c r="CE67" s="498" t="s">
        <v>37</v>
      </c>
      <c r="CF67" s="497" t="s">
        <v>986</v>
      </c>
      <c r="CG67" s="498" t="s">
        <v>37</v>
      </c>
      <c r="CH67" s="497" t="s">
        <v>986</v>
      </c>
      <c r="CI67" s="499" t="s">
        <v>37</v>
      </c>
      <c r="CJ67" s="497" t="s">
        <v>986</v>
      </c>
      <c r="CK67" s="498" t="s">
        <v>37</v>
      </c>
      <c r="CL67" s="497" t="s">
        <v>986</v>
      </c>
      <c r="CM67" s="498" t="s">
        <v>37</v>
      </c>
      <c r="CN67" s="497" t="s">
        <v>986</v>
      </c>
      <c r="CO67" s="498" t="s">
        <v>37</v>
      </c>
      <c r="CP67" s="517"/>
      <c r="CQ67" s="18"/>
      <c r="CR67" s="18"/>
    </row>
    <row r="68" spans="1:96" s="17" customFormat="1" ht="113.25" thickBot="1" x14ac:dyDescent="0.25">
      <c r="A68" s="124">
        <f t="shared" si="0"/>
        <v>63</v>
      </c>
      <c r="B68" s="509" t="s">
        <v>631</v>
      </c>
      <c r="C68" s="509" t="s">
        <v>1465</v>
      </c>
      <c r="D68" s="510">
        <v>422</v>
      </c>
      <c r="E68" s="510" t="s">
        <v>2383</v>
      </c>
      <c r="F68" s="497" t="s">
        <v>986</v>
      </c>
      <c r="G68" s="498" t="s">
        <v>37</v>
      </c>
      <c r="H68" s="497" t="s">
        <v>965</v>
      </c>
      <c r="I68" s="498" t="s">
        <v>95</v>
      </c>
      <c r="J68" s="497" t="s">
        <v>986</v>
      </c>
      <c r="K68" s="498" t="s">
        <v>37</v>
      </c>
      <c r="L68" s="497" t="s">
        <v>986</v>
      </c>
      <c r="M68" s="498" t="s">
        <v>37</v>
      </c>
      <c r="N68" s="497" t="s">
        <v>986</v>
      </c>
      <c r="O68" s="498" t="s">
        <v>37</v>
      </c>
      <c r="P68" s="497" t="s">
        <v>963</v>
      </c>
      <c r="Q68" s="498" t="s">
        <v>45</v>
      </c>
      <c r="R68" s="497" t="s">
        <v>965</v>
      </c>
      <c r="S68" s="498" t="s">
        <v>46</v>
      </c>
      <c r="T68" s="497" t="s">
        <v>986</v>
      </c>
      <c r="U68" s="499" t="s">
        <v>37</v>
      </c>
      <c r="V68" s="497" t="s">
        <v>986</v>
      </c>
      <c r="W68" s="498" t="s">
        <v>37</v>
      </c>
      <c r="X68" s="497" t="s">
        <v>986</v>
      </c>
      <c r="Y68" s="498" t="s">
        <v>37</v>
      </c>
      <c r="Z68" s="497" t="s">
        <v>986</v>
      </c>
      <c r="AA68" s="498" t="s">
        <v>37</v>
      </c>
      <c r="AB68" s="497" t="s">
        <v>986</v>
      </c>
      <c r="AC68" s="498" t="s">
        <v>37</v>
      </c>
      <c r="AD68" s="497" t="s">
        <v>963</v>
      </c>
      <c r="AE68" s="498" t="s">
        <v>239</v>
      </c>
      <c r="AF68" s="497" t="s">
        <v>986</v>
      </c>
      <c r="AG68" s="499" t="s">
        <v>37</v>
      </c>
      <c r="AH68" s="497" t="s">
        <v>986</v>
      </c>
      <c r="AI68" s="498" t="s">
        <v>37</v>
      </c>
      <c r="AJ68" s="497" t="s">
        <v>965</v>
      </c>
      <c r="AK68" s="498" t="s">
        <v>892</v>
      </c>
      <c r="AL68" s="497" t="s">
        <v>986</v>
      </c>
      <c r="AM68" s="499" t="s">
        <v>37</v>
      </c>
      <c r="AN68" s="497" t="s">
        <v>963</v>
      </c>
      <c r="AO68" s="498" t="s">
        <v>1358</v>
      </c>
      <c r="AP68" s="497" t="s">
        <v>986</v>
      </c>
      <c r="AQ68" s="498" t="s">
        <v>37</v>
      </c>
      <c r="AR68" s="497" t="s">
        <v>986</v>
      </c>
      <c r="AS68" s="499" t="s">
        <v>37</v>
      </c>
      <c r="AT68" s="497" t="s">
        <v>986</v>
      </c>
      <c r="AU68" s="499" t="s">
        <v>37</v>
      </c>
      <c r="AV68" s="497" t="s">
        <v>986</v>
      </c>
      <c r="AW68" s="498" t="s">
        <v>37</v>
      </c>
      <c r="AX68" s="497" t="s">
        <v>986</v>
      </c>
      <c r="AY68" s="498" t="s">
        <v>37</v>
      </c>
      <c r="AZ68" s="497" t="s">
        <v>986</v>
      </c>
      <c r="BA68" s="498" t="s">
        <v>37</v>
      </c>
      <c r="BB68" s="497" t="s">
        <v>965</v>
      </c>
      <c r="BC68" s="498" t="s">
        <v>1234</v>
      </c>
      <c r="BD68" s="497" t="s">
        <v>986</v>
      </c>
      <c r="BE68" s="498" t="s">
        <v>37</v>
      </c>
      <c r="BF68" s="497" t="s">
        <v>986</v>
      </c>
      <c r="BG68" s="498" t="s">
        <v>37</v>
      </c>
      <c r="BH68" s="497" t="s">
        <v>963</v>
      </c>
      <c r="BI68" s="498" t="s">
        <v>1647</v>
      </c>
      <c r="BJ68" s="497" t="s">
        <v>986</v>
      </c>
      <c r="BK68" s="498" t="s">
        <v>37</v>
      </c>
      <c r="BL68" s="497" t="s">
        <v>965</v>
      </c>
      <c r="BM68" s="498" t="s">
        <v>1635</v>
      </c>
      <c r="BN68" s="497" t="s">
        <v>963</v>
      </c>
      <c r="BO68" s="499" t="s">
        <v>2882</v>
      </c>
      <c r="BP68" s="497" t="s">
        <v>963</v>
      </c>
      <c r="BQ68" s="498" t="s">
        <v>1135</v>
      </c>
      <c r="BR68" s="497" t="s">
        <v>967</v>
      </c>
      <c r="BS68" s="498" t="s">
        <v>2154</v>
      </c>
      <c r="BT68" s="497" t="s">
        <v>964</v>
      </c>
      <c r="BU68" s="498" t="s">
        <v>1707</v>
      </c>
      <c r="BV68" s="497" t="s">
        <v>986</v>
      </c>
      <c r="BW68" s="498" t="s">
        <v>37</v>
      </c>
      <c r="BX68" s="497" t="s">
        <v>964</v>
      </c>
      <c r="BY68" s="498" t="s">
        <v>255</v>
      </c>
      <c r="BZ68" s="497" t="s">
        <v>964</v>
      </c>
      <c r="CA68" s="498" t="s">
        <v>256</v>
      </c>
      <c r="CB68" s="497" t="s">
        <v>986</v>
      </c>
      <c r="CC68" s="498" t="s">
        <v>37</v>
      </c>
      <c r="CD68" s="497" t="s">
        <v>964</v>
      </c>
      <c r="CE68" s="498" t="s">
        <v>820</v>
      </c>
      <c r="CF68" s="497" t="s">
        <v>986</v>
      </c>
      <c r="CG68" s="498" t="s">
        <v>37</v>
      </c>
      <c r="CH68" s="497" t="s">
        <v>965</v>
      </c>
      <c r="CI68" s="499" t="s">
        <v>224</v>
      </c>
      <c r="CJ68" s="497" t="s">
        <v>986</v>
      </c>
      <c r="CK68" s="498" t="s">
        <v>37</v>
      </c>
      <c r="CL68" s="497" t="s">
        <v>986</v>
      </c>
      <c r="CM68" s="498" t="s">
        <v>37</v>
      </c>
      <c r="CN68" s="497" t="s">
        <v>986</v>
      </c>
      <c r="CO68" s="498" t="s">
        <v>37</v>
      </c>
      <c r="CP68" s="517"/>
      <c r="CQ68" s="18"/>
      <c r="CR68" s="18"/>
    </row>
    <row r="69" spans="1:96" s="17" customFormat="1" ht="113.25" thickBot="1" x14ac:dyDescent="0.25">
      <c r="A69" s="124">
        <f t="shared" si="0"/>
        <v>64</v>
      </c>
      <c r="B69" s="509" t="s">
        <v>1017</v>
      </c>
      <c r="C69" s="509" t="s">
        <v>1603</v>
      </c>
      <c r="D69" s="510">
        <v>315</v>
      </c>
      <c r="E69" s="510" t="s">
        <v>2382</v>
      </c>
      <c r="F69" s="497" t="s">
        <v>964</v>
      </c>
      <c r="G69" s="498" t="s">
        <v>1806</v>
      </c>
      <c r="H69" s="497" t="s">
        <v>964</v>
      </c>
      <c r="I69" s="498" t="s">
        <v>1807</v>
      </c>
      <c r="J69" s="497" t="s">
        <v>963</v>
      </c>
      <c r="K69" s="498" t="s">
        <v>1808</v>
      </c>
      <c r="L69" s="497" t="s">
        <v>963</v>
      </c>
      <c r="M69" s="498" t="s">
        <v>1808</v>
      </c>
      <c r="N69" s="497" t="s">
        <v>964</v>
      </c>
      <c r="O69" s="498" t="s">
        <v>1808</v>
      </c>
      <c r="P69" s="497" t="s">
        <v>986</v>
      </c>
      <c r="Q69" s="498" t="s">
        <v>2805</v>
      </c>
      <c r="R69" s="497" t="s">
        <v>986</v>
      </c>
      <c r="S69" s="498" t="s">
        <v>2805</v>
      </c>
      <c r="T69" s="497" t="s">
        <v>986</v>
      </c>
      <c r="U69" s="499" t="s">
        <v>37</v>
      </c>
      <c r="V69" s="497" t="s">
        <v>986</v>
      </c>
      <c r="W69" s="498" t="s">
        <v>2815</v>
      </c>
      <c r="X69" s="497" t="s">
        <v>986</v>
      </c>
      <c r="Y69" s="498" t="s">
        <v>2815</v>
      </c>
      <c r="Z69" s="497" t="s">
        <v>986</v>
      </c>
      <c r="AA69" s="498" t="s">
        <v>2815</v>
      </c>
      <c r="AB69" s="497" t="s">
        <v>986</v>
      </c>
      <c r="AC69" s="498" t="s">
        <v>2815</v>
      </c>
      <c r="AD69" s="497" t="s">
        <v>986</v>
      </c>
      <c r="AE69" s="498" t="s">
        <v>37</v>
      </c>
      <c r="AF69" s="497" t="s">
        <v>963</v>
      </c>
      <c r="AG69" s="499" t="s">
        <v>2825</v>
      </c>
      <c r="AH69" s="497" t="s">
        <v>986</v>
      </c>
      <c r="AI69" s="498" t="s">
        <v>2805</v>
      </c>
      <c r="AJ69" s="497" t="s">
        <v>958</v>
      </c>
      <c r="AK69" s="498" t="s">
        <v>1809</v>
      </c>
      <c r="AL69" s="497" t="s">
        <v>986</v>
      </c>
      <c r="AM69" s="499" t="s">
        <v>2805</v>
      </c>
      <c r="AN69" s="497" t="s">
        <v>986</v>
      </c>
      <c r="AO69" s="498" t="s">
        <v>2826</v>
      </c>
      <c r="AP69" s="497" t="s">
        <v>986</v>
      </c>
      <c r="AQ69" s="498" t="s">
        <v>37</v>
      </c>
      <c r="AR69" s="497" t="s">
        <v>986</v>
      </c>
      <c r="AS69" s="499" t="s">
        <v>2805</v>
      </c>
      <c r="AT69" s="497" t="s">
        <v>986</v>
      </c>
      <c r="AU69" s="499" t="s">
        <v>2805</v>
      </c>
      <c r="AV69" s="497" t="s">
        <v>986</v>
      </c>
      <c r="AW69" s="498" t="s">
        <v>37</v>
      </c>
      <c r="AX69" s="497" t="s">
        <v>986</v>
      </c>
      <c r="AY69" s="499" t="s">
        <v>2805</v>
      </c>
      <c r="AZ69" s="497" t="s">
        <v>986</v>
      </c>
      <c r="BA69" s="498" t="s">
        <v>2826</v>
      </c>
      <c r="BB69" s="497" t="s">
        <v>986</v>
      </c>
      <c r="BC69" s="498" t="s">
        <v>2827</v>
      </c>
      <c r="BD69" s="497" t="s">
        <v>986</v>
      </c>
      <c r="BE69" s="498" t="s">
        <v>2805</v>
      </c>
      <c r="BF69" s="497" t="s">
        <v>986</v>
      </c>
      <c r="BG69" s="498" t="s">
        <v>2805</v>
      </c>
      <c r="BH69" s="497" t="s">
        <v>986</v>
      </c>
      <c r="BI69" s="498" t="s">
        <v>2883</v>
      </c>
      <c r="BJ69" s="497" t="s">
        <v>986</v>
      </c>
      <c r="BK69" s="498" t="s">
        <v>2884</v>
      </c>
      <c r="BL69" s="497" t="s">
        <v>965</v>
      </c>
      <c r="BM69" s="498" t="s">
        <v>2885</v>
      </c>
      <c r="BN69" s="497" t="s">
        <v>986</v>
      </c>
      <c r="BO69" s="499" t="s">
        <v>37</v>
      </c>
      <c r="BP69" s="497" t="s">
        <v>963</v>
      </c>
      <c r="BQ69" s="498" t="s">
        <v>559</v>
      </c>
      <c r="BR69" s="497" t="s">
        <v>964</v>
      </c>
      <c r="BS69" s="498" t="s">
        <v>2162</v>
      </c>
      <c r="BT69" s="497" t="s">
        <v>964</v>
      </c>
      <c r="BU69" s="498" t="s">
        <v>1720</v>
      </c>
      <c r="BV69" s="497" t="s">
        <v>965</v>
      </c>
      <c r="BW69" s="498" t="s">
        <v>1810</v>
      </c>
      <c r="BX69" s="497" t="s">
        <v>963</v>
      </c>
      <c r="BY69" s="498" t="s">
        <v>1811</v>
      </c>
      <c r="BZ69" s="497" t="s">
        <v>963</v>
      </c>
      <c r="CA69" s="498" t="s">
        <v>1812</v>
      </c>
      <c r="CB69" s="497" t="s">
        <v>986</v>
      </c>
      <c r="CC69" s="498" t="s">
        <v>37</v>
      </c>
      <c r="CD69" s="497" t="s">
        <v>965</v>
      </c>
      <c r="CE69" s="498" t="s">
        <v>2828</v>
      </c>
      <c r="CF69" s="497" t="s">
        <v>964</v>
      </c>
      <c r="CG69" s="498" t="s">
        <v>1813</v>
      </c>
      <c r="CH69" s="497" t="s">
        <v>986</v>
      </c>
      <c r="CI69" s="499" t="s">
        <v>37</v>
      </c>
      <c r="CJ69" s="497" t="s">
        <v>986</v>
      </c>
      <c r="CK69" s="498" t="s">
        <v>37</v>
      </c>
      <c r="CL69" s="497" t="s">
        <v>986</v>
      </c>
      <c r="CM69" s="498" t="s">
        <v>37</v>
      </c>
      <c r="CN69" s="497" t="s">
        <v>986</v>
      </c>
      <c r="CO69" s="498" t="s">
        <v>37</v>
      </c>
      <c r="CP69" s="518" t="s">
        <v>1688</v>
      </c>
      <c r="CQ69" s="18"/>
      <c r="CR69" s="18"/>
    </row>
    <row r="70" spans="1:96" s="17" customFormat="1" ht="113.25" thickBot="1" x14ac:dyDescent="0.25">
      <c r="A70" s="124">
        <f t="shared" si="0"/>
        <v>65</v>
      </c>
      <c r="B70" s="509" t="s">
        <v>632</v>
      </c>
      <c r="C70" s="509" t="s">
        <v>1605</v>
      </c>
      <c r="D70" s="510">
        <v>603</v>
      </c>
      <c r="E70" s="510" t="s">
        <v>2390</v>
      </c>
      <c r="F70" s="497" t="s">
        <v>986</v>
      </c>
      <c r="G70" s="498" t="s">
        <v>37</v>
      </c>
      <c r="H70" s="497" t="s">
        <v>964</v>
      </c>
      <c r="I70" s="498" t="s">
        <v>935</v>
      </c>
      <c r="J70" s="497" t="s">
        <v>986</v>
      </c>
      <c r="K70" s="498" t="s">
        <v>37</v>
      </c>
      <c r="L70" s="497" t="s">
        <v>986</v>
      </c>
      <c r="M70" s="498" t="s">
        <v>37</v>
      </c>
      <c r="N70" s="497" t="s">
        <v>986</v>
      </c>
      <c r="O70" s="498" t="s">
        <v>37</v>
      </c>
      <c r="P70" s="497" t="s">
        <v>963</v>
      </c>
      <c r="Q70" s="498" t="s">
        <v>62</v>
      </c>
      <c r="R70" s="497" t="s">
        <v>986</v>
      </c>
      <c r="S70" s="498" t="s">
        <v>37</v>
      </c>
      <c r="T70" s="497" t="s">
        <v>986</v>
      </c>
      <c r="U70" s="499" t="s">
        <v>37</v>
      </c>
      <c r="V70" s="497" t="s">
        <v>986</v>
      </c>
      <c r="W70" s="498" t="s">
        <v>37</v>
      </c>
      <c r="X70" s="497" t="s">
        <v>986</v>
      </c>
      <c r="Y70" s="498" t="s">
        <v>37</v>
      </c>
      <c r="Z70" s="497" t="s">
        <v>986</v>
      </c>
      <c r="AA70" s="498" t="s">
        <v>37</v>
      </c>
      <c r="AB70" s="497" t="s">
        <v>986</v>
      </c>
      <c r="AC70" s="498" t="s">
        <v>37</v>
      </c>
      <c r="AD70" s="497" t="s">
        <v>986</v>
      </c>
      <c r="AE70" s="498" t="s">
        <v>37</v>
      </c>
      <c r="AF70" s="497" t="s">
        <v>986</v>
      </c>
      <c r="AG70" s="499" t="s">
        <v>37</v>
      </c>
      <c r="AH70" s="497" t="s">
        <v>966</v>
      </c>
      <c r="AI70" s="498" t="s">
        <v>1369</v>
      </c>
      <c r="AJ70" s="497" t="s">
        <v>965</v>
      </c>
      <c r="AK70" s="498" t="s">
        <v>316</v>
      </c>
      <c r="AL70" s="497" t="s">
        <v>986</v>
      </c>
      <c r="AM70" s="499" t="s">
        <v>37</v>
      </c>
      <c r="AN70" s="497" t="s">
        <v>965</v>
      </c>
      <c r="AO70" s="498" t="s">
        <v>409</v>
      </c>
      <c r="AP70" s="497" t="s">
        <v>986</v>
      </c>
      <c r="AQ70" s="498" t="s">
        <v>37</v>
      </c>
      <c r="AR70" s="497" t="s">
        <v>986</v>
      </c>
      <c r="AS70" s="499" t="s">
        <v>37</v>
      </c>
      <c r="AT70" s="497" t="s">
        <v>986</v>
      </c>
      <c r="AU70" s="499" t="s">
        <v>37</v>
      </c>
      <c r="AV70" s="497" t="s">
        <v>986</v>
      </c>
      <c r="AW70" s="498" t="s">
        <v>37</v>
      </c>
      <c r="AX70" s="497" t="s">
        <v>986</v>
      </c>
      <c r="AY70" s="498" t="s">
        <v>37</v>
      </c>
      <c r="AZ70" s="497" t="s">
        <v>965</v>
      </c>
      <c r="BA70" s="498" t="s">
        <v>450</v>
      </c>
      <c r="BB70" s="497" t="s">
        <v>986</v>
      </c>
      <c r="BC70" s="498" t="s">
        <v>37</v>
      </c>
      <c r="BD70" s="497" t="s">
        <v>986</v>
      </c>
      <c r="BE70" s="498" t="s">
        <v>37</v>
      </c>
      <c r="BF70" s="497" t="s">
        <v>986</v>
      </c>
      <c r="BG70" s="498" t="s">
        <v>37</v>
      </c>
      <c r="BH70" s="497" t="s">
        <v>963</v>
      </c>
      <c r="BI70" s="498" t="s">
        <v>394</v>
      </c>
      <c r="BJ70" s="497" t="s">
        <v>986</v>
      </c>
      <c r="BK70" s="498" t="s">
        <v>37</v>
      </c>
      <c r="BL70" s="497" t="s">
        <v>963</v>
      </c>
      <c r="BM70" s="498" t="s">
        <v>4003</v>
      </c>
      <c r="BN70" s="497" t="s">
        <v>986</v>
      </c>
      <c r="BO70" s="499" t="s">
        <v>37</v>
      </c>
      <c r="BP70" s="497" t="s">
        <v>963</v>
      </c>
      <c r="BQ70" s="498" t="s">
        <v>1135</v>
      </c>
      <c r="BR70" s="497" t="s">
        <v>967</v>
      </c>
      <c r="BS70" s="498" t="s">
        <v>2154</v>
      </c>
      <c r="BT70" s="497" t="s">
        <v>964</v>
      </c>
      <c r="BU70" s="498" t="s">
        <v>1707</v>
      </c>
      <c r="BV70" s="497" t="s">
        <v>986</v>
      </c>
      <c r="BW70" s="498" t="s">
        <v>37</v>
      </c>
      <c r="BX70" s="497" t="s">
        <v>963</v>
      </c>
      <c r="BY70" s="498" t="s">
        <v>933</v>
      </c>
      <c r="BZ70" s="497" t="s">
        <v>963</v>
      </c>
      <c r="CA70" s="498" t="s">
        <v>934</v>
      </c>
      <c r="CB70" s="497" t="s">
        <v>986</v>
      </c>
      <c r="CC70" s="498" t="s">
        <v>37</v>
      </c>
      <c r="CD70" s="497" t="s">
        <v>963</v>
      </c>
      <c r="CE70" s="498" t="s">
        <v>821</v>
      </c>
      <c r="CF70" s="497" t="s">
        <v>986</v>
      </c>
      <c r="CG70" s="498" t="s">
        <v>37</v>
      </c>
      <c r="CH70" s="497" t="s">
        <v>986</v>
      </c>
      <c r="CI70" s="499" t="s">
        <v>37</v>
      </c>
      <c r="CJ70" s="497" t="s">
        <v>986</v>
      </c>
      <c r="CK70" s="498" t="s">
        <v>37</v>
      </c>
      <c r="CL70" s="497" t="s">
        <v>986</v>
      </c>
      <c r="CM70" s="498" t="s">
        <v>37</v>
      </c>
      <c r="CN70" s="497" t="s">
        <v>986</v>
      </c>
      <c r="CO70" s="498" t="s">
        <v>37</v>
      </c>
      <c r="CP70" s="517"/>
      <c r="CQ70" s="18"/>
      <c r="CR70" s="18"/>
    </row>
    <row r="71" spans="1:96" s="5" customFormat="1" ht="68.25" thickBot="1" x14ac:dyDescent="0.25">
      <c r="A71" s="124">
        <f t="shared" si="0"/>
        <v>66</v>
      </c>
      <c r="B71" s="509" t="s">
        <v>3882</v>
      </c>
      <c r="C71" s="509" t="s">
        <v>2059</v>
      </c>
      <c r="D71" s="510">
        <v>325</v>
      </c>
      <c r="E71" s="510" t="s">
        <v>2389</v>
      </c>
      <c r="F71" s="497" t="s">
        <v>986</v>
      </c>
      <c r="G71" s="498" t="s">
        <v>37</v>
      </c>
      <c r="H71" s="497" t="s">
        <v>986</v>
      </c>
      <c r="I71" s="498" t="s">
        <v>37</v>
      </c>
      <c r="J71" s="497" t="s">
        <v>958</v>
      </c>
      <c r="K71" s="498" t="s">
        <v>2778</v>
      </c>
      <c r="L71" s="497" t="s">
        <v>986</v>
      </c>
      <c r="M71" s="498" t="s">
        <v>37</v>
      </c>
      <c r="N71" s="497" t="s">
        <v>986</v>
      </c>
      <c r="O71" s="498" t="s">
        <v>37</v>
      </c>
      <c r="P71" s="497" t="s">
        <v>965</v>
      </c>
      <c r="Q71" s="498" t="s">
        <v>37</v>
      </c>
      <c r="R71" s="497" t="s">
        <v>986</v>
      </c>
      <c r="S71" s="498" t="s">
        <v>37</v>
      </c>
      <c r="T71" s="497" t="s">
        <v>986</v>
      </c>
      <c r="U71" s="499" t="s">
        <v>37</v>
      </c>
      <c r="V71" s="497" t="s">
        <v>986</v>
      </c>
      <c r="W71" s="498" t="s">
        <v>37</v>
      </c>
      <c r="X71" s="497" t="s">
        <v>986</v>
      </c>
      <c r="Y71" s="498" t="s">
        <v>37</v>
      </c>
      <c r="Z71" s="497" t="s">
        <v>959</v>
      </c>
      <c r="AA71" s="498" t="s">
        <v>3904</v>
      </c>
      <c r="AB71" s="497" t="s">
        <v>986</v>
      </c>
      <c r="AC71" s="498" t="s">
        <v>37</v>
      </c>
      <c r="AD71" s="497" t="s">
        <v>986</v>
      </c>
      <c r="AE71" s="498" t="s">
        <v>37</v>
      </c>
      <c r="AF71" s="497" t="s">
        <v>986</v>
      </c>
      <c r="AG71" s="499" t="s">
        <v>37</v>
      </c>
      <c r="AH71" s="497" t="s">
        <v>958</v>
      </c>
      <c r="AI71" s="498" t="s">
        <v>2779</v>
      </c>
      <c r="AJ71" s="497" t="s">
        <v>986</v>
      </c>
      <c r="AK71" s="498" t="s">
        <v>37</v>
      </c>
      <c r="AL71" s="497" t="s">
        <v>986</v>
      </c>
      <c r="AM71" s="499" t="s">
        <v>37</v>
      </c>
      <c r="AN71" s="497" t="s">
        <v>986</v>
      </c>
      <c r="AO71" s="498" t="s">
        <v>37</v>
      </c>
      <c r="AP71" s="497" t="s">
        <v>986</v>
      </c>
      <c r="AQ71" s="498" t="s">
        <v>37</v>
      </c>
      <c r="AR71" s="497" t="s">
        <v>986</v>
      </c>
      <c r="AS71" s="499" t="s">
        <v>37</v>
      </c>
      <c r="AT71" s="497" t="s">
        <v>986</v>
      </c>
      <c r="AU71" s="499" t="s">
        <v>37</v>
      </c>
      <c r="AV71" s="497" t="s">
        <v>986</v>
      </c>
      <c r="AW71" s="498" t="s">
        <v>37</v>
      </c>
      <c r="AX71" s="497" t="s">
        <v>986</v>
      </c>
      <c r="AY71" s="498" t="s">
        <v>37</v>
      </c>
      <c r="AZ71" s="497" t="s">
        <v>958</v>
      </c>
      <c r="BA71" s="498" t="s">
        <v>2780</v>
      </c>
      <c r="BB71" s="497" t="s">
        <v>986</v>
      </c>
      <c r="BC71" s="498" t="s">
        <v>37</v>
      </c>
      <c r="BD71" s="497" t="s">
        <v>986</v>
      </c>
      <c r="BE71" s="498" t="s">
        <v>37</v>
      </c>
      <c r="BF71" s="497" t="s">
        <v>986</v>
      </c>
      <c r="BG71" s="498" t="s">
        <v>37</v>
      </c>
      <c r="BH71" s="497" t="s">
        <v>986</v>
      </c>
      <c r="BI71" s="498" t="s">
        <v>37</v>
      </c>
      <c r="BJ71" s="497" t="s">
        <v>986</v>
      </c>
      <c r="BK71" s="498" t="s">
        <v>37</v>
      </c>
      <c r="BL71" s="497" t="s">
        <v>986</v>
      </c>
      <c r="BM71" s="498" t="s">
        <v>37</v>
      </c>
      <c r="BN71" s="497" t="s">
        <v>986</v>
      </c>
      <c r="BO71" s="499" t="s">
        <v>37</v>
      </c>
      <c r="BP71" s="497" t="s">
        <v>963</v>
      </c>
      <c r="BQ71" s="498" t="s">
        <v>3905</v>
      </c>
      <c r="BR71" s="497" t="s">
        <v>986</v>
      </c>
      <c r="BS71" s="498" t="s">
        <v>37</v>
      </c>
      <c r="BT71" s="497" t="s">
        <v>986</v>
      </c>
      <c r="BU71" s="498" t="s">
        <v>37</v>
      </c>
      <c r="BV71" s="497" t="s">
        <v>986</v>
      </c>
      <c r="BW71" s="498" t="s">
        <v>37</v>
      </c>
      <c r="BX71" s="497" t="s">
        <v>986</v>
      </c>
      <c r="BY71" s="498" t="s">
        <v>37</v>
      </c>
      <c r="BZ71" s="497" t="s">
        <v>986</v>
      </c>
      <c r="CA71" s="498" t="s">
        <v>37</v>
      </c>
      <c r="CB71" s="497" t="s">
        <v>986</v>
      </c>
      <c r="CC71" s="498" t="s">
        <v>37</v>
      </c>
      <c r="CD71" s="497" t="s">
        <v>986</v>
      </c>
      <c r="CE71" s="498" t="s">
        <v>37</v>
      </c>
      <c r="CF71" s="497" t="s">
        <v>986</v>
      </c>
      <c r="CG71" s="498" t="s">
        <v>37</v>
      </c>
      <c r="CH71" s="497" t="s">
        <v>986</v>
      </c>
      <c r="CI71" s="499" t="s">
        <v>37</v>
      </c>
      <c r="CJ71" s="497" t="s">
        <v>986</v>
      </c>
      <c r="CK71" s="498" t="s">
        <v>37</v>
      </c>
      <c r="CL71" s="497" t="s">
        <v>986</v>
      </c>
      <c r="CM71" s="498" t="s">
        <v>1804</v>
      </c>
      <c r="CN71" s="497" t="s">
        <v>986</v>
      </c>
      <c r="CO71" s="498" t="s">
        <v>1795</v>
      </c>
      <c r="CP71" s="517"/>
      <c r="CQ71" s="34"/>
      <c r="CR71" s="34"/>
    </row>
    <row r="72" spans="1:96" s="5" customFormat="1" ht="57" thickBot="1" x14ac:dyDescent="0.25">
      <c r="A72" s="124">
        <f t="shared" ref="A72:A135" si="1">+A71+1</f>
        <v>67</v>
      </c>
      <c r="B72" s="509" t="s">
        <v>633</v>
      </c>
      <c r="C72" s="509" t="s">
        <v>1597</v>
      </c>
      <c r="D72" s="510">
        <v>423</v>
      </c>
      <c r="E72" s="510" t="s">
        <v>2383</v>
      </c>
      <c r="F72" s="497" t="s">
        <v>963</v>
      </c>
      <c r="G72" s="498" t="s">
        <v>161</v>
      </c>
      <c r="H72" s="497" t="s">
        <v>986</v>
      </c>
      <c r="I72" s="498" t="s">
        <v>37</v>
      </c>
      <c r="J72" s="497" t="s">
        <v>963</v>
      </c>
      <c r="K72" s="498" t="s">
        <v>1425</v>
      </c>
      <c r="L72" s="497" t="s">
        <v>963</v>
      </c>
      <c r="M72" s="498" t="s">
        <v>519</v>
      </c>
      <c r="N72" s="497" t="s">
        <v>965</v>
      </c>
      <c r="O72" s="498" t="s">
        <v>520</v>
      </c>
      <c r="P72" s="497" t="s">
        <v>986</v>
      </c>
      <c r="Q72" s="498" t="s">
        <v>37</v>
      </c>
      <c r="R72" s="497" t="s">
        <v>986</v>
      </c>
      <c r="S72" s="498" t="s">
        <v>37</v>
      </c>
      <c r="T72" s="497" t="s">
        <v>986</v>
      </c>
      <c r="U72" s="499" t="s">
        <v>37</v>
      </c>
      <c r="V72" s="497" t="s">
        <v>986</v>
      </c>
      <c r="W72" s="498" t="s">
        <v>37</v>
      </c>
      <c r="X72" s="497" t="s">
        <v>986</v>
      </c>
      <c r="Y72" s="498" t="s">
        <v>83</v>
      </c>
      <c r="Z72" s="497" t="s">
        <v>964</v>
      </c>
      <c r="AA72" s="498" t="s">
        <v>1506</v>
      </c>
      <c r="AB72" s="497" t="s">
        <v>986</v>
      </c>
      <c r="AC72" s="498" t="s">
        <v>37</v>
      </c>
      <c r="AD72" s="497" t="s">
        <v>986</v>
      </c>
      <c r="AE72" s="498" t="s">
        <v>37</v>
      </c>
      <c r="AF72" s="497" t="s">
        <v>986</v>
      </c>
      <c r="AG72" s="499" t="s">
        <v>37</v>
      </c>
      <c r="AH72" s="497" t="s">
        <v>965</v>
      </c>
      <c r="AI72" s="498" t="s">
        <v>988</v>
      </c>
      <c r="AJ72" s="497" t="s">
        <v>965</v>
      </c>
      <c r="AK72" s="498" t="s">
        <v>440</v>
      </c>
      <c r="AL72" s="497" t="s">
        <v>986</v>
      </c>
      <c r="AM72" s="499" t="s">
        <v>37</v>
      </c>
      <c r="AN72" s="497" t="s">
        <v>958</v>
      </c>
      <c r="AO72" s="498" t="s">
        <v>410</v>
      </c>
      <c r="AP72" s="497" t="s">
        <v>958</v>
      </c>
      <c r="AQ72" s="498" t="s">
        <v>924</v>
      </c>
      <c r="AR72" s="497" t="s">
        <v>986</v>
      </c>
      <c r="AS72" s="499" t="s">
        <v>101</v>
      </c>
      <c r="AT72" s="497" t="s">
        <v>986</v>
      </c>
      <c r="AU72" s="499" t="s">
        <v>37</v>
      </c>
      <c r="AV72" s="497" t="s">
        <v>961</v>
      </c>
      <c r="AW72" s="498" t="s">
        <v>905</v>
      </c>
      <c r="AX72" s="497" t="s">
        <v>986</v>
      </c>
      <c r="AY72" s="498" t="s">
        <v>37</v>
      </c>
      <c r="AZ72" s="497" t="s">
        <v>963</v>
      </c>
      <c r="BA72" s="498" t="s">
        <v>517</v>
      </c>
      <c r="BB72" s="497" t="s">
        <v>986</v>
      </c>
      <c r="BC72" s="498" t="s">
        <v>1235</v>
      </c>
      <c r="BD72" s="497" t="s">
        <v>958</v>
      </c>
      <c r="BE72" s="498" t="s">
        <v>2091</v>
      </c>
      <c r="BF72" s="497" t="s">
        <v>986</v>
      </c>
      <c r="BG72" s="498" t="s">
        <v>37</v>
      </c>
      <c r="BH72" s="497" t="s">
        <v>986</v>
      </c>
      <c r="BI72" s="498" t="s">
        <v>37</v>
      </c>
      <c r="BJ72" s="497" t="s">
        <v>986</v>
      </c>
      <c r="BK72" s="498" t="s">
        <v>37</v>
      </c>
      <c r="BL72" s="497" t="s">
        <v>986</v>
      </c>
      <c r="BM72" s="498" t="s">
        <v>37</v>
      </c>
      <c r="BN72" s="497" t="s">
        <v>986</v>
      </c>
      <c r="BO72" s="499" t="s">
        <v>37</v>
      </c>
      <c r="BP72" s="497" t="s">
        <v>965</v>
      </c>
      <c r="BQ72" s="498" t="s">
        <v>1136</v>
      </c>
      <c r="BR72" s="497" t="s">
        <v>986</v>
      </c>
      <c r="BS72" s="498" t="s">
        <v>37</v>
      </c>
      <c r="BT72" s="497" t="s">
        <v>986</v>
      </c>
      <c r="BU72" s="498" t="s">
        <v>37</v>
      </c>
      <c r="BV72" s="497" t="s">
        <v>986</v>
      </c>
      <c r="BW72" s="498" t="s">
        <v>37</v>
      </c>
      <c r="BX72" s="497" t="s">
        <v>986</v>
      </c>
      <c r="BY72" s="498" t="s">
        <v>37</v>
      </c>
      <c r="BZ72" s="497" t="s">
        <v>986</v>
      </c>
      <c r="CA72" s="498" t="s">
        <v>37</v>
      </c>
      <c r="CB72" s="497" t="s">
        <v>965</v>
      </c>
      <c r="CC72" s="498" t="s">
        <v>947</v>
      </c>
      <c r="CD72" s="497" t="s">
        <v>986</v>
      </c>
      <c r="CE72" s="498" t="s">
        <v>37</v>
      </c>
      <c r="CF72" s="497" t="s">
        <v>986</v>
      </c>
      <c r="CG72" s="498" t="s">
        <v>37</v>
      </c>
      <c r="CH72" s="497" t="s">
        <v>986</v>
      </c>
      <c r="CI72" s="499" t="s">
        <v>37</v>
      </c>
      <c r="CJ72" s="497" t="s">
        <v>986</v>
      </c>
      <c r="CK72" s="498" t="s">
        <v>37</v>
      </c>
      <c r="CL72" s="497" t="s">
        <v>986</v>
      </c>
      <c r="CM72" s="498" t="s">
        <v>37</v>
      </c>
      <c r="CN72" s="497" t="s">
        <v>986</v>
      </c>
      <c r="CO72" s="498" t="s">
        <v>37</v>
      </c>
      <c r="CP72" s="517"/>
      <c r="CQ72" s="34"/>
      <c r="CR72" s="34"/>
    </row>
    <row r="73" spans="1:96" s="5" customFormat="1" ht="51.6" customHeight="1" thickBot="1" x14ac:dyDescent="0.25">
      <c r="A73" s="124">
        <f t="shared" si="1"/>
        <v>68</v>
      </c>
      <c r="B73" s="509" t="s">
        <v>374</v>
      </c>
      <c r="C73" s="509" t="s">
        <v>1473</v>
      </c>
      <c r="D73" s="510">
        <v>595</v>
      </c>
      <c r="E73" s="510" t="s">
        <v>2382</v>
      </c>
      <c r="F73" s="558" t="s">
        <v>963</v>
      </c>
      <c r="G73" s="559" t="s">
        <v>3958</v>
      </c>
      <c r="H73" s="558" t="s">
        <v>963</v>
      </c>
      <c r="I73" s="559" t="s">
        <v>3959</v>
      </c>
      <c r="J73" s="558" t="s">
        <v>963</v>
      </c>
      <c r="K73" s="559" t="s">
        <v>3960</v>
      </c>
      <c r="L73" s="558" t="s">
        <v>963</v>
      </c>
      <c r="M73" s="559" t="s">
        <v>3958</v>
      </c>
      <c r="N73" s="558" t="s">
        <v>986</v>
      </c>
      <c r="O73" s="559" t="s">
        <v>37</v>
      </c>
      <c r="P73" s="558" t="s">
        <v>963</v>
      </c>
      <c r="Q73" s="559" t="s">
        <v>3961</v>
      </c>
      <c r="R73" s="558" t="s">
        <v>963</v>
      </c>
      <c r="S73" s="559" t="s">
        <v>3962</v>
      </c>
      <c r="T73" s="558" t="s">
        <v>986</v>
      </c>
      <c r="U73" s="560" t="s">
        <v>37</v>
      </c>
      <c r="V73" s="558" t="s">
        <v>986</v>
      </c>
      <c r="W73" s="559" t="s">
        <v>37</v>
      </c>
      <c r="X73" s="558" t="s">
        <v>986</v>
      </c>
      <c r="Y73" s="559" t="s">
        <v>37</v>
      </c>
      <c r="Z73" s="558" t="s">
        <v>986</v>
      </c>
      <c r="AA73" s="559" t="s">
        <v>37</v>
      </c>
      <c r="AB73" s="558" t="s">
        <v>986</v>
      </c>
      <c r="AC73" s="559" t="s">
        <v>37</v>
      </c>
      <c r="AD73" s="558" t="s">
        <v>986</v>
      </c>
      <c r="AE73" s="559" t="s">
        <v>37</v>
      </c>
      <c r="AF73" s="558" t="s">
        <v>986</v>
      </c>
      <c r="AG73" s="560" t="s">
        <v>37</v>
      </c>
      <c r="AH73" s="558" t="s">
        <v>986</v>
      </c>
      <c r="AI73" s="559" t="s">
        <v>37</v>
      </c>
      <c r="AJ73" s="558" t="s">
        <v>967</v>
      </c>
      <c r="AK73" s="559" t="s">
        <v>3963</v>
      </c>
      <c r="AL73" s="558" t="s">
        <v>967</v>
      </c>
      <c r="AM73" s="560" t="s">
        <v>3964</v>
      </c>
      <c r="AN73" s="558" t="s">
        <v>986</v>
      </c>
      <c r="AO73" s="559" t="s">
        <v>37</v>
      </c>
      <c r="AP73" s="558" t="s">
        <v>986</v>
      </c>
      <c r="AQ73" s="559" t="s">
        <v>37</v>
      </c>
      <c r="AR73" s="558" t="s">
        <v>986</v>
      </c>
      <c r="AS73" s="560" t="s">
        <v>37</v>
      </c>
      <c r="AT73" s="558" t="s">
        <v>986</v>
      </c>
      <c r="AU73" s="560" t="s">
        <v>37</v>
      </c>
      <c r="AV73" s="558" t="s">
        <v>986</v>
      </c>
      <c r="AW73" s="559" t="s">
        <v>37</v>
      </c>
      <c r="AX73" s="558" t="s">
        <v>986</v>
      </c>
      <c r="AY73" s="559" t="s">
        <v>37</v>
      </c>
      <c r="AZ73" s="558" t="s">
        <v>963</v>
      </c>
      <c r="BA73" s="559" t="s">
        <v>3958</v>
      </c>
      <c r="BB73" s="558" t="s">
        <v>986</v>
      </c>
      <c r="BC73" s="559" t="s">
        <v>37</v>
      </c>
      <c r="BD73" s="558" t="s">
        <v>986</v>
      </c>
      <c r="BE73" s="559" t="s">
        <v>37</v>
      </c>
      <c r="BF73" s="558" t="s">
        <v>986</v>
      </c>
      <c r="BG73" s="559" t="s">
        <v>37</v>
      </c>
      <c r="BH73" s="558" t="s">
        <v>963</v>
      </c>
      <c r="BI73" s="559" t="s">
        <v>3965</v>
      </c>
      <c r="BJ73" s="558" t="s">
        <v>963</v>
      </c>
      <c r="BK73" s="559" t="s">
        <v>3966</v>
      </c>
      <c r="BL73" s="558" t="s">
        <v>986</v>
      </c>
      <c r="BM73" s="559" t="s">
        <v>37</v>
      </c>
      <c r="BN73" s="558" t="s">
        <v>965</v>
      </c>
      <c r="BO73" s="560" t="s">
        <v>3967</v>
      </c>
      <c r="BP73" s="558" t="s">
        <v>986</v>
      </c>
      <c r="BQ73" s="559" t="s">
        <v>37</v>
      </c>
      <c r="BR73" s="558" t="s">
        <v>986</v>
      </c>
      <c r="BS73" s="559" t="s">
        <v>37</v>
      </c>
      <c r="BT73" s="558" t="s">
        <v>986</v>
      </c>
      <c r="BU73" s="559" t="s">
        <v>37</v>
      </c>
      <c r="BV73" s="558" t="s">
        <v>986</v>
      </c>
      <c r="BW73" s="559" t="s">
        <v>37</v>
      </c>
      <c r="BX73" s="558" t="s">
        <v>963</v>
      </c>
      <c r="BY73" s="559" t="s">
        <v>3968</v>
      </c>
      <c r="BZ73" s="558" t="s">
        <v>986</v>
      </c>
      <c r="CA73" s="559" t="s">
        <v>37</v>
      </c>
      <c r="CB73" s="558" t="s">
        <v>963</v>
      </c>
      <c r="CC73" s="559" t="s">
        <v>3969</v>
      </c>
      <c r="CD73" s="558" t="s">
        <v>986</v>
      </c>
      <c r="CE73" s="559" t="s">
        <v>37</v>
      </c>
      <c r="CF73" s="558" t="s">
        <v>986</v>
      </c>
      <c r="CG73" s="559" t="s">
        <v>37</v>
      </c>
      <c r="CH73" s="558" t="s">
        <v>986</v>
      </c>
      <c r="CI73" s="560" t="s">
        <v>37</v>
      </c>
      <c r="CJ73" s="558" t="s">
        <v>963</v>
      </c>
      <c r="CK73" s="559" t="s">
        <v>3970</v>
      </c>
      <c r="CL73" s="558" t="s">
        <v>986</v>
      </c>
      <c r="CM73" s="559" t="s">
        <v>37</v>
      </c>
      <c r="CN73" s="558" t="s">
        <v>963</v>
      </c>
      <c r="CO73" s="559" t="s">
        <v>3971</v>
      </c>
      <c r="CP73" s="561" t="s">
        <v>3972</v>
      </c>
      <c r="CQ73" s="34"/>
      <c r="CR73" s="34"/>
    </row>
    <row r="74" spans="1:96" s="17" customFormat="1" ht="68.25" thickBot="1" x14ac:dyDescent="0.25">
      <c r="A74" s="124">
        <f t="shared" si="1"/>
        <v>69</v>
      </c>
      <c r="B74" s="509" t="s">
        <v>634</v>
      </c>
      <c r="C74" s="509" t="s">
        <v>1601</v>
      </c>
      <c r="D74" s="510">
        <v>320</v>
      </c>
      <c r="E74" s="510" t="s">
        <v>2383</v>
      </c>
      <c r="F74" s="497" t="s">
        <v>986</v>
      </c>
      <c r="G74" s="498" t="s">
        <v>1752</v>
      </c>
      <c r="H74" s="497" t="s">
        <v>986</v>
      </c>
      <c r="I74" s="498" t="s">
        <v>37</v>
      </c>
      <c r="J74" s="497" t="s">
        <v>986</v>
      </c>
      <c r="K74" s="498" t="s">
        <v>1116</v>
      </c>
      <c r="L74" s="497" t="s">
        <v>986</v>
      </c>
      <c r="M74" s="498" t="s">
        <v>340</v>
      </c>
      <c r="N74" s="497" t="s">
        <v>986</v>
      </c>
      <c r="O74" s="498" t="s">
        <v>37</v>
      </c>
      <c r="P74" s="497" t="s">
        <v>986</v>
      </c>
      <c r="Q74" s="498" t="s">
        <v>37</v>
      </c>
      <c r="R74" s="497" t="s">
        <v>986</v>
      </c>
      <c r="S74" s="498" t="s">
        <v>37</v>
      </c>
      <c r="T74" s="497" t="s">
        <v>986</v>
      </c>
      <c r="U74" s="499" t="s">
        <v>37</v>
      </c>
      <c r="V74" s="497" t="s">
        <v>986</v>
      </c>
      <c r="W74" s="498" t="s">
        <v>37</v>
      </c>
      <c r="X74" s="497" t="s">
        <v>986</v>
      </c>
      <c r="Y74" s="498" t="s">
        <v>1507</v>
      </c>
      <c r="Z74" s="497" t="s">
        <v>963</v>
      </c>
      <c r="AA74" s="498" t="s">
        <v>923</v>
      </c>
      <c r="AB74" s="497" t="s">
        <v>961</v>
      </c>
      <c r="AC74" s="498" t="s">
        <v>922</v>
      </c>
      <c r="AD74" s="497" t="s">
        <v>986</v>
      </c>
      <c r="AE74" s="498" t="s">
        <v>37</v>
      </c>
      <c r="AF74" s="497" t="s">
        <v>967</v>
      </c>
      <c r="AG74" s="499" t="s">
        <v>77</v>
      </c>
      <c r="AH74" s="497" t="s">
        <v>986</v>
      </c>
      <c r="AI74" s="498" t="s">
        <v>37</v>
      </c>
      <c r="AJ74" s="497" t="s">
        <v>986</v>
      </c>
      <c r="AK74" s="498" t="s">
        <v>37</v>
      </c>
      <c r="AL74" s="497" t="s">
        <v>986</v>
      </c>
      <c r="AM74" s="499" t="s">
        <v>37</v>
      </c>
      <c r="AN74" s="497" t="s">
        <v>961</v>
      </c>
      <c r="AO74" s="498" t="s">
        <v>1359</v>
      </c>
      <c r="AP74" s="497" t="s">
        <v>986</v>
      </c>
      <c r="AQ74" s="498" t="s">
        <v>37</v>
      </c>
      <c r="AR74" s="497" t="s">
        <v>986</v>
      </c>
      <c r="AS74" s="499" t="s">
        <v>37</v>
      </c>
      <c r="AT74" s="497" t="s">
        <v>986</v>
      </c>
      <c r="AU74" s="499" t="s">
        <v>37</v>
      </c>
      <c r="AV74" s="497" t="s">
        <v>961</v>
      </c>
      <c r="AW74" s="498" t="s">
        <v>906</v>
      </c>
      <c r="AX74" s="497" t="s">
        <v>986</v>
      </c>
      <c r="AY74" s="498" t="s">
        <v>37</v>
      </c>
      <c r="AZ74" s="497" t="s">
        <v>986</v>
      </c>
      <c r="BA74" s="498" t="s">
        <v>37</v>
      </c>
      <c r="BB74" s="497" t="s">
        <v>986</v>
      </c>
      <c r="BC74" s="498" t="s">
        <v>37</v>
      </c>
      <c r="BD74" s="497" t="s">
        <v>986</v>
      </c>
      <c r="BE74" s="498" t="s">
        <v>2769</v>
      </c>
      <c r="BF74" s="497" t="s">
        <v>986</v>
      </c>
      <c r="BG74" s="498" t="s">
        <v>37</v>
      </c>
      <c r="BH74" s="497" t="s">
        <v>986</v>
      </c>
      <c r="BI74" s="498" t="s">
        <v>37</v>
      </c>
      <c r="BJ74" s="497" t="s">
        <v>986</v>
      </c>
      <c r="BK74" s="498" t="s">
        <v>37</v>
      </c>
      <c r="BL74" s="497" t="s">
        <v>986</v>
      </c>
      <c r="BM74" s="498" t="s">
        <v>37</v>
      </c>
      <c r="BN74" s="497" t="s">
        <v>986</v>
      </c>
      <c r="BO74" s="499" t="s">
        <v>37</v>
      </c>
      <c r="BP74" s="497" t="s">
        <v>963</v>
      </c>
      <c r="BQ74" s="498" t="s">
        <v>1137</v>
      </c>
      <c r="BR74" s="497" t="s">
        <v>986</v>
      </c>
      <c r="BS74" s="498" t="s">
        <v>37</v>
      </c>
      <c r="BT74" s="497" t="s">
        <v>986</v>
      </c>
      <c r="BU74" s="498" t="s">
        <v>37</v>
      </c>
      <c r="BV74" s="497" t="s">
        <v>986</v>
      </c>
      <c r="BW74" s="498" t="s">
        <v>37</v>
      </c>
      <c r="BX74" s="497" t="s">
        <v>986</v>
      </c>
      <c r="BY74" s="498" t="s">
        <v>257</v>
      </c>
      <c r="BZ74" s="497" t="s">
        <v>986</v>
      </c>
      <c r="CA74" s="498" t="s">
        <v>258</v>
      </c>
      <c r="CB74" s="497" t="s">
        <v>965</v>
      </c>
      <c r="CC74" s="498" t="s">
        <v>948</v>
      </c>
      <c r="CD74" s="497" t="s">
        <v>986</v>
      </c>
      <c r="CE74" s="498" t="s">
        <v>37</v>
      </c>
      <c r="CF74" s="497" t="s">
        <v>986</v>
      </c>
      <c r="CG74" s="498" t="s">
        <v>37</v>
      </c>
      <c r="CH74" s="497" t="s">
        <v>986</v>
      </c>
      <c r="CI74" s="499" t="s">
        <v>37</v>
      </c>
      <c r="CJ74" s="497" t="s">
        <v>986</v>
      </c>
      <c r="CK74" s="498" t="s">
        <v>37</v>
      </c>
      <c r="CL74" s="497" t="s">
        <v>986</v>
      </c>
      <c r="CM74" s="498" t="s">
        <v>37</v>
      </c>
      <c r="CN74" s="497" t="s">
        <v>986</v>
      </c>
      <c r="CO74" s="498" t="s">
        <v>37</v>
      </c>
      <c r="CP74" s="517"/>
      <c r="CQ74" s="18"/>
      <c r="CR74" s="18"/>
    </row>
    <row r="75" spans="1:96" s="5" customFormat="1" ht="79.5" thickBot="1" x14ac:dyDescent="0.25">
      <c r="A75" s="124">
        <f t="shared" si="1"/>
        <v>70</v>
      </c>
      <c r="B75" s="509" t="s">
        <v>1691</v>
      </c>
      <c r="C75" s="509" t="s">
        <v>1601</v>
      </c>
      <c r="D75" s="510">
        <v>428</v>
      </c>
      <c r="E75" s="510" t="s">
        <v>2390</v>
      </c>
      <c r="F75" s="497" t="s">
        <v>986</v>
      </c>
      <c r="G75" s="498" t="s">
        <v>37</v>
      </c>
      <c r="H75" s="497" t="s">
        <v>986</v>
      </c>
      <c r="I75" s="498" t="s">
        <v>37</v>
      </c>
      <c r="J75" s="497" t="s">
        <v>986</v>
      </c>
      <c r="K75" s="498" t="s">
        <v>37</v>
      </c>
      <c r="L75" s="497" t="s">
        <v>986</v>
      </c>
      <c r="M75" s="498" t="s">
        <v>37</v>
      </c>
      <c r="N75" s="497" t="s">
        <v>986</v>
      </c>
      <c r="O75" s="498" t="s">
        <v>37</v>
      </c>
      <c r="P75" s="497" t="s">
        <v>986</v>
      </c>
      <c r="Q75" s="498" t="s">
        <v>37</v>
      </c>
      <c r="R75" s="497" t="s">
        <v>986</v>
      </c>
      <c r="S75" s="498" t="s">
        <v>37</v>
      </c>
      <c r="T75" s="497" t="s">
        <v>986</v>
      </c>
      <c r="U75" s="499" t="s">
        <v>37</v>
      </c>
      <c r="V75" s="497" t="s">
        <v>986</v>
      </c>
      <c r="W75" s="498" t="s">
        <v>37</v>
      </c>
      <c r="X75" s="497" t="s">
        <v>965</v>
      </c>
      <c r="Y75" s="498" t="s">
        <v>740</v>
      </c>
      <c r="Z75" s="497" t="s">
        <v>986</v>
      </c>
      <c r="AA75" s="498" t="s">
        <v>37</v>
      </c>
      <c r="AB75" s="497" t="s">
        <v>958</v>
      </c>
      <c r="AC75" s="498" t="s">
        <v>740</v>
      </c>
      <c r="AD75" s="497" t="s">
        <v>986</v>
      </c>
      <c r="AE75" s="498" t="s">
        <v>37</v>
      </c>
      <c r="AF75" s="497" t="s">
        <v>967</v>
      </c>
      <c r="AG75" s="499" t="s">
        <v>670</v>
      </c>
      <c r="AH75" s="497" t="s">
        <v>986</v>
      </c>
      <c r="AI75" s="498" t="s">
        <v>37</v>
      </c>
      <c r="AJ75" s="497" t="s">
        <v>986</v>
      </c>
      <c r="AK75" s="498" t="s">
        <v>37</v>
      </c>
      <c r="AL75" s="497" t="s">
        <v>986</v>
      </c>
      <c r="AM75" s="499" t="s">
        <v>37</v>
      </c>
      <c r="AN75" s="497" t="s">
        <v>965</v>
      </c>
      <c r="AO75" s="498" t="s">
        <v>1194</v>
      </c>
      <c r="AP75" s="497" t="s">
        <v>965</v>
      </c>
      <c r="AQ75" s="498" t="s">
        <v>2762</v>
      </c>
      <c r="AR75" s="497" t="s">
        <v>965</v>
      </c>
      <c r="AS75" s="499" t="s">
        <v>304</v>
      </c>
      <c r="AT75" s="497" t="s">
        <v>963</v>
      </c>
      <c r="AU75" s="499" t="s">
        <v>273</v>
      </c>
      <c r="AV75" s="497" t="s">
        <v>958</v>
      </c>
      <c r="AW75" s="498" t="s">
        <v>2765</v>
      </c>
      <c r="AX75" s="497" t="s">
        <v>965</v>
      </c>
      <c r="AY75" s="498" t="s">
        <v>33</v>
      </c>
      <c r="AZ75" s="497" t="s">
        <v>965</v>
      </c>
      <c r="BA75" s="498" t="s">
        <v>753</v>
      </c>
      <c r="BB75" s="497" t="s">
        <v>986</v>
      </c>
      <c r="BC75" s="498" t="s">
        <v>1237</v>
      </c>
      <c r="BD75" s="497" t="s">
        <v>958</v>
      </c>
      <c r="BE75" s="498" t="s">
        <v>2093</v>
      </c>
      <c r="BF75" s="497" t="s">
        <v>965</v>
      </c>
      <c r="BG75" s="498" t="s">
        <v>550</v>
      </c>
      <c r="BH75" s="497" t="s">
        <v>986</v>
      </c>
      <c r="BI75" s="498" t="s">
        <v>37</v>
      </c>
      <c r="BJ75" s="497" t="s">
        <v>986</v>
      </c>
      <c r="BK75" s="498" t="s">
        <v>37</v>
      </c>
      <c r="BL75" s="497" t="s">
        <v>986</v>
      </c>
      <c r="BM75" s="498" t="s">
        <v>37</v>
      </c>
      <c r="BN75" s="497" t="s">
        <v>986</v>
      </c>
      <c r="BO75" s="499" t="s">
        <v>37</v>
      </c>
      <c r="BP75" s="497" t="s">
        <v>963</v>
      </c>
      <c r="BQ75" s="498" t="s">
        <v>1139</v>
      </c>
      <c r="BR75" s="497" t="s">
        <v>986</v>
      </c>
      <c r="BS75" s="498" t="s">
        <v>37</v>
      </c>
      <c r="BT75" s="497" t="s">
        <v>986</v>
      </c>
      <c r="BU75" s="498" t="s">
        <v>37</v>
      </c>
      <c r="BV75" s="497" t="s">
        <v>986</v>
      </c>
      <c r="BW75" s="498" t="s">
        <v>37</v>
      </c>
      <c r="BX75" s="497" t="s">
        <v>986</v>
      </c>
      <c r="BY75" s="498" t="s">
        <v>37</v>
      </c>
      <c r="BZ75" s="497" t="s">
        <v>986</v>
      </c>
      <c r="CA75" s="498" t="s">
        <v>37</v>
      </c>
      <c r="CB75" s="497" t="s">
        <v>965</v>
      </c>
      <c r="CC75" s="498" t="s">
        <v>1485</v>
      </c>
      <c r="CD75" s="497" t="s">
        <v>986</v>
      </c>
      <c r="CE75" s="498" t="s">
        <v>37</v>
      </c>
      <c r="CF75" s="497" t="s">
        <v>986</v>
      </c>
      <c r="CG75" s="498" t="s">
        <v>37</v>
      </c>
      <c r="CH75" s="497" t="s">
        <v>986</v>
      </c>
      <c r="CI75" s="499" t="s">
        <v>37</v>
      </c>
      <c r="CJ75" s="497" t="s">
        <v>986</v>
      </c>
      <c r="CK75" s="498" t="s">
        <v>37</v>
      </c>
      <c r="CL75" s="497" t="s">
        <v>986</v>
      </c>
      <c r="CM75" s="498" t="s">
        <v>37</v>
      </c>
      <c r="CN75" s="497" t="s">
        <v>963</v>
      </c>
      <c r="CO75" s="498" t="s">
        <v>1992</v>
      </c>
      <c r="CP75" s="517"/>
      <c r="CQ75" s="34"/>
      <c r="CR75" s="34"/>
    </row>
    <row r="76" spans="1:96" s="17" customFormat="1" ht="57" thickBot="1" x14ac:dyDescent="0.25">
      <c r="A76" s="124">
        <f t="shared" si="1"/>
        <v>71</v>
      </c>
      <c r="B76" s="509" t="s">
        <v>635</v>
      </c>
      <c r="C76" s="509" t="s">
        <v>1601</v>
      </c>
      <c r="D76" s="510">
        <v>388</v>
      </c>
      <c r="E76" s="510" t="s">
        <v>2383</v>
      </c>
      <c r="F76" s="497" t="s">
        <v>986</v>
      </c>
      <c r="G76" s="498" t="s">
        <v>119</v>
      </c>
      <c r="H76" s="497" t="s">
        <v>986</v>
      </c>
      <c r="I76" s="498" t="s">
        <v>37</v>
      </c>
      <c r="J76" s="497" t="s">
        <v>986</v>
      </c>
      <c r="K76" s="498" t="s">
        <v>120</v>
      </c>
      <c r="L76" s="497" t="s">
        <v>986</v>
      </c>
      <c r="M76" s="498" t="s">
        <v>37</v>
      </c>
      <c r="N76" s="497" t="s">
        <v>986</v>
      </c>
      <c r="O76" s="498" t="s">
        <v>37</v>
      </c>
      <c r="P76" s="497" t="s">
        <v>986</v>
      </c>
      <c r="Q76" s="498" t="s">
        <v>37</v>
      </c>
      <c r="R76" s="497" t="s">
        <v>986</v>
      </c>
      <c r="S76" s="498" t="s">
        <v>37</v>
      </c>
      <c r="T76" s="497" t="s">
        <v>986</v>
      </c>
      <c r="U76" s="499" t="s">
        <v>37</v>
      </c>
      <c r="V76" s="497" t="s">
        <v>986</v>
      </c>
      <c r="W76" s="498" t="s">
        <v>37</v>
      </c>
      <c r="X76" s="497" t="s">
        <v>986</v>
      </c>
      <c r="Y76" s="498" t="s">
        <v>1210</v>
      </c>
      <c r="Z76" s="497" t="s">
        <v>965</v>
      </c>
      <c r="AA76" s="498" t="s">
        <v>1211</v>
      </c>
      <c r="AB76" s="497" t="s">
        <v>958</v>
      </c>
      <c r="AC76" s="498" t="s">
        <v>922</v>
      </c>
      <c r="AD76" s="497" t="s">
        <v>986</v>
      </c>
      <c r="AE76" s="498" t="s">
        <v>37</v>
      </c>
      <c r="AF76" s="497" t="s">
        <v>967</v>
      </c>
      <c r="AG76" s="499" t="s">
        <v>1367</v>
      </c>
      <c r="AH76" s="497" t="s">
        <v>986</v>
      </c>
      <c r="AI76" s="498" t="s">
        <v>37</v>
      </c>
      <c r="AJ76" s="497" t="s">
        <v>986</v>
      </c>
      <c r="AK76" s="498" t="s">
        <v>37</v>
      </c>
      <c r="AL76" s="497" t="s">
        <v>986</v>
      </c>
      <c r="AM76" s="499" t="s">
        <v>37</v>
      </c>
      <c r="AN76" s="497" t="s">
        <v>986</v>
      </c>
      <c r="AO76" s="498" t="s">
        <v>37</v>
      </c>
      <c r="AP76" s="497" t="s">
        <v>986</v>
      </c>
      <c r="AQ76" s="498" t="s">
        <v>37</v>
      </c>
      <c r="AR76" s="497" t="s">
        <v>986</v>
      </c>
      <c r="AS76" s="499" t="s">
        <v>37</v>
      </c>
      <c r="AT76" s="497" t="s">
        <v>986</v>
      </c>
      <c r="AU76" s="499" t="s">
        <v>37</v>
      </c>
      <c r="AV76" s="497" t="s">
        <v>958</v>
      </c>
      <c r="AW76" s="498" t="s">
        <v>2766</v>
      </c>
      <c r="AX76" s="497" t="s">
        <v>986</v>
      </c>
      <c r="AY76" s="498" t="s">
        <v>37</v>
      </c>
      <c r="AZ76" s="497" t="s">
        <v>986</v>
      </c>
      <c r="BA76" s="498" t="s">
        <v>37</v>
      </c>
      <c r="BB76" s="497" t="s">
        <v>986</v>
      </c>
      <c r="BC76" s="498" t="s">
        <v>37</v>
      </c>
      <c r="BD76" s="497" t="s">
        <v>965</v>
      </c>
      <c r="BE76" s="498" t="s">
        <v>2092</v>
      </c>
      <c r="BF76" s="497" t="s">
        <v>986</v>
      </c>
      <c r="BG76" s="498" t="s">
        <v>37</v>
      </c>
      <c r="BH76" s="497" t="s">
        <v>986</v>
      </c>
      <c r="BI76" s="498" t="s">
        <v>37</v>
      </c>
      <c r="BJ76" s="497" t="s">
        <v>986</v>
      </c>
      <c r="BK76" s="498" t="s">
        <v>37</v>
      </c>
      <c r="BL76" s="497" t="s">
        <v>986</v>
      </c>
      <c r="BM76" s="498" t="s">
        <v>37</v>
      </c>
      <c r="BN76" s="497" t="s">
        <v>986</v>
      </c>
      <c r="BO76" s="499" t="s">
        <v>37</v>
      </c>
      <c r="BP76" s="497" t="s">
        <v>963</v>
      </c>
      <c r="BQ76" s="498" t="s">
        <v>1137</v>
      </c>
      <c r="BR76" s="497" t="s">
        <v>986</v>
      </c>
      <c r="BS76" s="498" t="s">
        <v>37</v>
      </c>
      <c r="BT76" s="497" t="s">
        <v>986</v>
      </c>
      <c r="BU76" s="498" t="s">
        <v>37</v>
      </c>
      <c r="BV76" s="497" t="s">
        <v>986</v>
      </c>
      <c r="BW76" s="498" t="s">
        <v>37</v>
      </c>
      <c r="BX76" s="497" t="s">
        <v>986</v>
      </c>
      <c r="BY76" s="498" t="s">
        <v>37</v>
      </c>
      <c r="BZ76" s="497" t="s">
        <v>986</v>
      </c>
      <c r="CA76" s="498" t="s">
        <v>37</v>
      </c>
      <c r="CB76" s="497" t="s">
        <v>965</v>
      </c>
      <c r="CC76" s="498" t="s">
        <v>947</v>
      </c>
      <c r="CD76" s="497" t="s">
        <v>986</v>
      </c>
      <c r="CE76" s="498" t="s">
        <v>37</v>
      </c>
      <c r="CF76" s="497" t="s">
        <v>986</v>
      </c>
      <c r="CG76" s="498" t="s">
        <v>37</v>
      </c>
      <c r="CH76" s="497" t="s">
        <v>986</v>
      </c>
      <c r="CI76" s="499" t="s">
        <v>37</v>
      </c>
      <c r="CJ76" s="497" t="s">
        <v>986</v>
      </c>
      <c r="CK76" s="498" t="s">
        <v>37</v>
      </c>
      <c r="CL76" s="497" t="s">
        <v>986</v>
      </c>
      <c r="CM76" s="498" t="s">
        <v>37</v>
      </c>
      <c r="CN76" s="497" t="s">
        <v>986</v>
      </c>
      <c r="CO76" s="498" t="s">
        <v>37</v>
      </c>
      <c r="CP76" s="517"/>
      <c r="CQ76" s="18"/>
      <c r="CR76" s="18"/>
    </row>
    <row r="77" spans="1:96" s="17" customFormat="1" ht="124.5" thickBot="1" x14ac:dyDescent="0.25">
      <c r="A77" s="124">
        <f t="shared" si="1"/>
        <v>72</v>
      </c>
      <c r="B77" s="509" t="s">
        <v>636</v>
      </c>
      <c r="C77" s="509" t="s">
        <v>1601</v>
      </c>
      <c r="D77" s="510">
        <v>464</v>
      </c>
      <c r="E77" s="510" t="s">
        <v>2386</v>
      </c>
      <c r="F77" s="497" t="s">
        <v>965</v>
      </c>
      <c r="G77" s="498" t="s">
        <v>212</v>
      </c>
      <c r="H77" s="497" t="s">
        <v>986</v>
      </c>
      <c r="I77" s="498" t="s">
        <v>37</v>
      </c>
      <c r="J77" s="497" t="s">
        <v>965</v>
      </c>
      <c r="K77" s="498" t="s">
        <v>212</v>
      </c>
      <c r="L77" s="497" t="s">
        <v>986</v>
      </c>
      <c r="M77" s="498" t="s">
        <v>37</v>
      </c>
      <c r="N77" s="497" t="s">
        <v>986</v>
      </c>
      <c r="O77" s="498" t="s">
        <v>37</v>
      </c>
      <c r="P77" s="497" t="s">
        <v>961</v>
      </c>
      <c r="Q77" s="498" t="s">
        <v>63</v>
      </c>
      <c r="R77" s="497" t="s">
        <v>961</v>
      </c>
      <c r="S77" s="498" t="s">
        <v>252</v>
      </c>
      <c r="T77" s="497" t="s">
        <v>986</v>
      </c>
      <c r="U77" s="499" t="s">
        <v>37</v>
      </c>
      <c r="V77" s="497" t="s">
        <v>958</v>
      </c>
      <c r="W77" s="498" t="s">
        <v>159</v>
      </c>
      <c r="X77" s="497" t="s">
        <v>986</v>
      </c>
      <c r="Y77" s="498" t="s">
        <v>37</v>
      </c>
      <c r="Z77" s="497" t="s">
        <v>965</v>
      </c>
      <c r="AA77" s="498" t="s">
        <v>1517</v>
      </c>
      <c r="AB77" s="497" t="s">
        <v>963</v>
      </c>
      <c r="AC77" s="498" t="s">
        <v>1518</v>
      </c>
      <c r="AD77" s="497" t="s">
        <v>986</v>
      </c>
      <c r="AE77" s="498" t="s">
        <v>37</v>
      </c>
      <c r="AF77" s="497" t="s">
        <v>964</v>
      </c>
      <c r="AG77" s="499" t="s">
        <v>1312</v>
      </c>
      <c r="AH77" s="497" t="s">
        <v>986</v>
      </c>
      <c r="AI77" s="498" t="s">
        <v>37</v>
      </c>
      <c r="AJ77" s="497" t="s">
        <v>963</v>
      </c>
      <c r="AK77" s="498" t="s">
        <v>311</v>
      </c>
      <c r="AL77" s="497" t="s">
        <v>963</v>
      </c>
      <c r="AM77" s="499" t="s">
        <v>1023</v>
      </c>
      <c r="AN77" s="497" t="s">
        <v>963</v>
      </c>
      <c r="AO77" s="498" t="s">
        <v>664</v>
      </c>
      <c r="AP77" s="497" t="s">
        <v>963</v>
      </c>
      <c r="AQ77" s="498" t="s">
        <v>122</v>
      </c>
      <c r="AR77" s="497" t="s">
        <v>986</v>
      </c>
      <c r="AS77" s="499" t="s">
        <v>102</v>
      </c>
      <c r="AT77" s="497" t="s">
        <v>963</v>
      </c>
      <c r="AU77" s="499" t="s">
        <v>1013</v>
      </c>
      <c r="AV77" s="497" t="s">
        <v>963</v>
      </c>
      <c r="AW77" s="498" t="s">
        <v>2190</v>
      </c>
      <c r="AX77" s="497" t="s">
        <v>963</v>
      </c>
      <c r="AY77" s="498" t="s">
        <v>686</v>
      </c>
      <c r="AZ77" s="497" t="s">
        <v>965</v>
      </c>
      <c r="BA77" s="498" t="s">
        <v>665</v>
      </c>
      <c r="BB77" s="497" t="s">
        <v>986</v>
      </c>
      <c r="BC77" s="498" t="s">
        <v>37</v>
      </c>
      <c r="BD77" s="497" t="s">
        <v>965</v>
      </c>
      <c r="BE77" s="498" t="s">
        <v>2094</v>
      </c>
      <c r="BF77" s="497" t="s">
        <v>965</v>
      </c>
      <c r="BG77" s="498" t="s">
        <v>686</v>
      </c>
      <c r="BH77" s="497" t="s">
        <v>986</v>
      </c>
      <c r="BI77" s="498" t="s">
        <v>2886</v>
      </c>
      <c r="BJ77" s="497" t="s">
        <v>986</v>
      </c>
      <c r="BK77" s="498" t="s">
        <v>37</v>
      </c>
      <c r="BL77" s="497" t="s">
        <v>986</v>
      </c>
      <c r="BM77" s="498" t="s">
        <v>2887</v>
      </c>
      <c r="BN77" s="497" t="s">
        <v>986</v>
      </c>
      <c r="BO77" s="499" t="s">
        <v>37</v>
      </c>
      <c r="BP77" s="497" t="s">
        <v>963</v>
      </c>
      <c r="BQ77" s="498" t="s">
        <v>1138</v>
      </c>
      <c r="BR77" s="497" t="s">
        <v>986</v>
      </c>
      <c r="BS77" s="498" t="s">
        <v>37</v>
      </c>
      <c r="BT77" s="497" t="s">
        <v>965</v>
      </c>
      <c r="BU77" s="498" t="s">
        <v>2771</v>
      </c>
      <c r="BV77" s="497" t="s">
        <v>986</v>
      </c>
      <c r="BW77" s="498" t="s">
        <v>37</v>
      </c>
      <c r="BX77" s="497" t="s">
        <v>986</v>
      </c>
      <c r="BY77" s="498" t="s">
        <v>37</v>
      </c>
      <c r="BZ77" s="497" t="s">
        <v>986</v>
      </c>
      <c r="CA77" s="498" t="s">
        <v>37</v>
      </c>
      <c r="CB77" s="497" t="s">
        <v>986</v>
      </c>
      <c r="CC77" s="498" t="s">
        <v>37</v>
      </c>
      <c r="CD77" s="497" t="s">
        <v>986</v>
      </c>
      <c r="CE77" s="498" t="s">
        <v>37</v>
      </c>
      <c r="CF77" s="497" t="s">
        <v>986</v>
      </c>
      <c r="CG77" s="498" t="s">
        <v>37</v>
      </c>
      <c r="CH77" s="497" t="s">
        <v>986</v>
      </c>
      <c r="CI77" s="499" t="s">
        <v>37</v>
      </c>
      <c r="CJ77" s="497" t="s">
        <v>986</v>
      </c>
      <c r="CK77" s="498" t="s">
        <v>37</v>
      </c>
      <c r="CL77" s="497" t="s">
        <v>986</v>
      </c>
      <c r="CM77" s="498" t="s">
        <v>37</v>
      </c>
      <c r="CN77" s="497" t="s">
        <v>963</v>
      </c>
      <c r="CO77" s="498" t="s">
        <v>1998</v>
      </c>
      <c r="CP77" s="517"/>
      <c r="CQ77" s="18"/>
      <c r="CR77" s="18"/>
    </row>
    <row r="78" spans="1:96" s="5" customFormat="1" ht="102" thickBot="1" x14ac:dyDescent="0.25">
      <c r="A78" s="124">
        <f t="shared" si="1"/>
        <v>73</v>
      </c>
      <c r="B78" s="509" t="s">
        <v>1175</v>
      </c>
      <c r="C78" s="509" t="s">
        <v>1601</v>
      </c>
      <c r="D78" s="510">
        <v>430</v>
      </c>
      <c r="E78" s="510" t="s">
        <v>2390</v>
      </c>
      <c r="F78" s="497" t="s">
        <v>986</v>
      </c>
      <c r="G78" s="498" t="s">
        <v>37</v>
      </c>
      <c r="H78" s="497" t="s">
        <v>986</v>
      </c>
      <c r="I78" s="498" t="s">
        <v>37</v>
      </c>
      <c r="J78" s="497" t="s">
        <v>986</v>
      </c>
      <c r="K78" s="498" t="s">
        <v>37</v>
      </c>
      <c r="L78" s="497" t="s">
        <v>963</v>
      </c>
      <c r="M78" s="498" t="s">
        <v>147</v>
      </c>
      <c r="N78" s="497" t="s">
        <v>986</v>
      </c>
      <c r="O78" s="498" t="s">
        <v>37</v>
      </c>
      <c r="P78" s="497" t="s">
        <v>986</v>
      </c>
      <c r="Q78" s="498" t="s">
        <v>37</v>
      </c>
      <c r="R78" s="497" t="s">
        <v>986</v>
      </c>
      <c r="S78" s="498" t="s">
        <v>37</v>
      </c>
      <c r="T78" s="497" t="s">
        <v>986</v>
      </c>
      <c r="U78" s="499" t="s">
        <v>37</v>
      </c>
      <c r="V78" s="497" t="s">
        <v>986</v>
      </c>
      <c r="W78" s="498" t="s">
        <v>37</v>
      </c>
      <c r="X78" s="497" t="s">
        <v>965</v>
      </c>
      <c r="Y78" s="498" t="s">
        <v>1245</v>
      </c>
      <c r="Z78" s="497" t="s">
        <v>986</v>
      </c>
      <c r="AA78" s="498" t="s">
        <v>167</v>
      </c>
      <c r="AB78" s="497" t="s">
        <v>965</v>
      </c>
      <c r="AC78" s="498" t="s">
        <v>1759</v>
      </c>
      <c r="AD78" s="497" t="s">
        <v>986</v>
      </c>
      <c r="AE78" s="498" t="s">
        <v>37</v>
      </c>
      <c r="AF78" s="497" t="s">
        <v>963</v>
      </c>
      <c r="AG78" s="499" t="s">
        <v>671</v>
      </c>
      <c r="AH78" s="497" t="s">
        <v>986</v>
      </c>
      <c r="AI78" s="498" t="s">
        <v>37</v>
      </c>
      <c r="AJ78" s="497" t="s">
        <v>986</v>
      </c>
      <c r="AK78" s="498" t="s">
        <v>37</v>
      </c>
      <c r="AL78" s="497" t="s">
        <v>986</v>
      </c>
      <c r="AM78" s="499" t="s">
        <v>37</v>
      </c>
      <c r="AN78" s="497" t="s">
        <v>965</v>
      </c>
      <c r="AO78" s="498" t="s">
        <v>1195</v>
      </c>
      <c r="AP78" s="497" t="s">
        <v>986</v>
      </c>
      <c r="AQ78" s="498" t="s">
        <v>37</v>
      </c>
      <c r="AR78" s="497" t="s">
        <v>965</v>
      </c>
      <c r="AS78" s="499" t="s">
        <v>2763</v>
      </c>
      <c r="AT78" s="497" t="s">
        <v>963</v>
      </c>
      <c r="AU78" s="499" t="s">
        <v>273</v>
      </c>
      <c r="AV78" s="497" t="s">
        <v>965</v>
      </c>
      <c r="AW78" s="498" t="s">
        <v>2767</v>
      </c>
      <c r="AX78" s="497" t="s">
        <v>965</v>
      </c>
      <c r="AY78" s="498" t="s">
        <v>33</v>
      </c>
      <c r="AZ78" s="497" t="s">
        <v>965</v>
      </c>
      <c r="BA78" s="498" t="s">
        <v>2767</v>
      </c>
      <c r="BB78" s="497" t="s">
        <v>986</v>
      </c>
      <c r="BC78" s="498" t="s">
        <v>1237</v>
      </c>
      <c r="BD78" s="497" t="s">
        <v>986</v>
      </c>
      <c r="BE78" s="498" t="s">
        <v>2770</v>
      </c>
      <c r="BF78" s="497" t="s">
        <v>965</v>
      </c>
      <c r="BG78" s="498" t="s">
        <v>550</v>
      </c>
      <c r="BH78" s="497" t="s">
        <v>986</v>
      </c>
      <c r="BI78" s="498" t="s">
        <v>37</v>
      </c>
      <c r="BJ78" s="497" t="s">
        <v>986</v>
      </c>
      <c r="BK78" s="498" t="s">
        <v>37</v>
      </c>
      <c r="BL78" s="497" t="s">
        <v>986</v>
      </c>
      <c r="BM78" s="498" t="s">
        <v>37</v>
      </c>
      <c r="BN78" s="497" t="s">
        <v>986</v>
      </c>
      <c r="BO78" s="499" t="s">
        <v>37</v>
      </c>
      <c r="BP78" s="497" t="s">
        <v>963</v>
      </c>
      <c r="BQ78" s="498" t="s">
        <v>1139</v>
      </c>
      <c r="BR78" s="497" t="s">
        <v>986</v>
      </c>
      <c r="BS78" s="498" t="s">
        <v>37</v>
      </c>
      <c r="BT78" s="497" t="s">
        <v>986</v>
      </c>
      <c r="BU78" s="498" t="s">
        <v>37</v>
      </c>
      <c r="BV78" s="497" t="s">
        <v>986</v>
      </c>
      <c r="BW78" s="498" t="s">
        <v>37</v>
      </c>
      <c r="BX78" s="497" t="s">
        <v>986</v>
      </c>
      <c r="BY78" s="498" t="s">
        <v>37</v>
      </c>
      <c r="BZ78" s="497" t="s">
        <v>986</v>
      </c>
      <c r="CA78" s="498" t="s">
        <v>37</v>
      </c>
      <c r="CB78" s="497" t="s">
        <v>986</v>
      </c>
      <c r="CC78" s="498" t="s">
        <v>37</v>
      </c>
      <c r="CD78" s="497" t="s">
        <v>986</v>
      </c>
      <c r="CE78" s="498" t="s">
        <v>37</v>
      </c>
      <c r="CF78" s="497" t="s">
        <v>986</v>
      </c>
      <c r="CG78" s="498" t="s">
        <v>37</v>
      </c>
      <c r="CH78" s="497" t="s">
        <v>986</v>
      </c>
      <c r="CI78" s="499" t="s">
        <v>37</v>
      </c>
      <c r="CJ78" s="497" t="s">
        <v>986</v>
      </c>
      <c r="CK78" s="498" t="s">
        <v>37</v>
      </c>
      <c r="CL78" s="497" t="s">
        <v>986</v>
      </c>
      <c r="CM78" s="498" t="s">
        <v>37</v>
      </c>
      <c r="CN78" s="497" t="s">
        <v>963</v>
      </c>
      <c r="CO78" s="498" t="s">
        <v>1993</v>
      </c>
      <c r="CP78" s="517"/>
      <c r="CQ78" s="34"/>
      <c r="CR78" s="34"/>
    </row>
    <row r="79" spans="1:96" s="5" customFormat="1" ht="79.5" thickBot="1" x14ac:dyDescent="0.25">
      <c r="A79" s="124">
        <f t="shared" si="1"/>
        <v>74</v>
      </c>
      <c r="B79" s="509" t="s">
        <v>1176</v>
      </c>
      <c r="C79" s="509" t="s">
        <v>1601</v>
      </c>
      <c r="D79" s="510">
        <v>436</v>
      </c>
      <c r="E79" s="510" t="s">
        <v>2386</v>
      </c>
      <c r="F79" s="497" t="s">
        <v>986</v>
      </c>
      <c r="G79" s="498" t="s">
        <v>37</v>
      </c>
      <c r="H79" s="497" t="s">
        <v>986</v>
      </c>
      <c r="I79" s="498" t="s">
        <v>37</v>
      </c>
      <c r="J79" s="497" t="s">
        <v>986</v>
      </c>
      <c r="K79" s="498" t="s">
        <v>37</v>
      </c>
      <c r="L79" s="497" t="s">
        <v>963</v>
      </c>
      <c r="M79" s="498" t="s">
        <v>1094</v>
      </c>
      <c r="N79" s="497" t="s">
        <v>965</v>
      </c>
      <c r="O79" s="498" t="s">
        <v>1095</v>
      </c>
      <c r="P79" s="497" t="s">
        <v>986</v>
      </c>
      <c r="Q79" s="498" t="s">
        <v>37</v>
      </c>
      <c r="R79" s="497" t="s">
        <v>986</v>
      </c>
      <c r="S79" s="498" t="s">
        <v>37</v>
      </c>
      <c r="T79" s="497" t="s">
        <v>986</v>
      </c>
      <c r="U79" s="499" t="s">
        <v>37</v>
      </c>
      <c r="V79" s="497" t="s">
        <v>986</v>
      </c>
      <c r="W79" s="498" t="s">
        <v>37</v>
      </c>
      <c r="X79" s="497" t="s">
        <v>958</v>
      </c>
      <c r="Y79" s="498" t="s">
        <v>1212</v>
      </c>
      <c r="Z79" s="497" t="s">
        <v>963</v>
      </c>
      <c r="AA79" s="498" t="s">
        <v>1765</v>
      </c>
      <c r="AB79" s="497" t="s">
        <v>958</v>
      </c>
      <c r="AC79" s="498" t="s">
        <v>1608</v>
      </c>
      <c r="AD79" s="497" t="s">
        <v>986</v>
      </c>
      <c r="AE79" s="498" t="s">
        <v>37</v>
      </c>
      <c r="AF79" s="497" t="s">
        <v>963</v>
      </c>
      <c r="AG79" s="499" t="s">
        <v>1623</v>
      </c>
      <c r="AH79" s="497" t="s">
        <v>986</v>
      </c>
      <c r="AI79" s="498" t="s">
        <v>37</v>
      </c>
      <c r="AJ79" s="497" t="s">
        <v>986</v>
      </c>
      <c r="AK79" s="498" t="s">
        <v>37</v>
      </c>
      <c r="AL79" s="497" t="s">
        <v>986</v>
      </c>
      <c r="AM79" s="499" t="s">
        <v>37</v>
      </c>
      <c r="AN79" s="497" t="s">
        <v>986</v>
      </c>
      <c r="AO79" s="498" t="s">
        <v>37</v>
      </c>
      <c r="AP79" s="497" t="s">
        <v>958</v>
      </c>
      <c r="AQ79" s="498" t="s">
        <v>1712</v>
      </c>
      <c r="AR79" s="497" t="s">
        <v>986</v>
      </c>
      <c r="AS79" s="499" t="s">
        <v>37</v>
      </c>
      <c r="AT79" s="497" t="s">
        <v>986</v>
      </c>
      <c r="AU79" s="499" t="s">
        <v>37</v>
      </c>
      <c r="AV79" s="497" t="s">
        <v>986</v>
      </c>
      <c r="AW79" s="498" t="s">
        <v>312</v>
      </c>
      <c r="AX79" s="497" t="s">
        <v>986</v>
      </c>
      <c r="AY79" s="498" t="s">
        <v>37</v>
      </c>
      <c r="AZ79" s="497" t="s">
        <v>963</v>
      </c>
      <c r="BA79" s="498" t="s">
        <v>451</v>
      </c>
      <c r="BB79" s="497" t="s">
        <v>986</v>
      </c>
      <c r="BC79" s="498" t="s">
        <v>37</v>
      </c>
      <c r="BD79" s="497" t="s">
        <v>986</v>
      </c>
      <c r="BE79" s="498" t="s">
        <v>37</v>
      </c>
      <c r="BF79" s="497" t="s">
        <v>986</v>
      </c>
      <c r="BG79" s="498" t="s">
        <v>37</v>
      </c>
      <c r="BH79" s="497" t="s">
        <v>986</v>
      </c>
      <c r="BI79" s="498" t="s">
        <v>37</v>
      </c>
      <c r="BJ79" s="497" t="s">
        <v>986</v>
      </c>
      <c r="BK79" s="498" t="s">
        <v>37</v>
      </c>
      <c r="BL79" s="497" t="s">
        <v>986</v>
      </c>
      <c r="BM79" s="498" t="s">
        <v>37</v>
      </c>
      <c r="BN79" s="497" t="s">
        <v>986</v>
      </c>
      <c r="BO79" s="499" t="s">
        <v>37</v>
      </c>
      <c r="BP79" s="497" t="s">
        <v>963</v>
      </c>
      <c r="BQ79" s="498" t="s">
        <v>1139</v>
      </c>
      <c r="BR79" s="497" t="s">
        <v>986</v>
      </c>
      <c r="BS79" s="498" t="s">
        <v>37</v>
      </c>
      <c r="BT79" s="497" t="s">
        <v>986</v>
      </c>
      <c r="BU79" s="498" t="s">
        <v>37</v>
      </c>
      <c r="BV79" s="497" t="s">
        <v>986</v>
      </c>
      <c r="BW79" s="498" t="s">
        <v>37</v>
      </c>
      <c r="BX79" s="497" t="s">
        <v>963</v>
      </c>
      <c r="BY79" s="498" t="s">
        <v>259</v>
      </c>
      <c r="BZ79" s="497" t="s">
        <v>958</v>
      </c>
      <c r="CA79" s="498" t="s">
        <v>1483</v>
      </c>
      <c r="CB79" s="497" t="s">
        <v>963</v>
      </c>
      <c r="CC79" s="498" t="s">
        <v>260</v>
      </c>
      <c r="CD79" s="497" t="s">
        <v>958</v>
      </c>
      <c r="CE79" s="498" t="s">
        <v>246</v>
      </c>
      <c r="CF79" s="497" t="s">
        <v>986</v>
      </c>
      <c r="CG79" s="498" t="s">
        <v>37</v>
      </c>
      <c r="CH79" s="497" t="s">
        <v>986</v>
      </c>
      <c r="CI79" s="499" t="s">
        <v>37</v>
      </c>
      <c r="CJ79" s="497" t="s">
        <v>964</v>
      </c>
      <c r="CK79" s="498" t="s">
        <v>1441</v>
      </c>
      <c r="CL79" s="497" t="s">
        <v>986</v>
      </c>
      <c r="CM79" s="498" t="s">
        <v>37</v>
      </c>
      <c r="CN79" s="497" t="s">
        <v>963</v>
      </c>
      <c r="CO79" s="498" t="s">
        <v>1994</v>
      </c>
      <c r="CP79" s="517"/>
      <c r="CQ79" s="34"/>
      <c r="CR79" s="34"/>
    </row>
    <row r="80" spans="1:96" s="5" customFormat="1" ht="90.75" thickBot="1" x14ac:dyDescent="0.25">
      <c r="A80" s="124">
        <f t="shared" si="1"/>
        <v>75</v>
      </c>
      <c r="B80" s="509" t="s">
        <v>637</v>
      </c>
      <c r="C80" s="509" t="s">
        <v>1601</v>
      </c>
      <c r="D80" s="510">
        <v>441</v>
      </c>
      <c r="E80" s="510" t="s">
        <v>2386</v>
      </c>
      <c r="F80" s="497" t="s">
        <v>986</v>
      </c>
      <c r="G80" s="498" t="s">
        <v>37</v>
      </c>
      <c r="H80" s="497" t="s">
        <v>986</v>
      </c>
      <c r="I80" s="498" t="s">
        <v>37</v>
      </c>
      <c r="J80" s="497" t="s">
        <v>986</v>
      </c>
      <c r="K80" s="498" t="s">
        <v>37</v>
      </c>
      <c r="L80" s="497" t="s">
        <v>986</v>
      </c>
      <c r="M80" s="498" t="s">
        <v>37</v>
      </c>
      <c r="N80" s="497" t="s">
        <v>986</v>
      </c>
      <c r="O80" s="498" t="s">
        <v>37</v>
      </c>
      <c r="P80" s="497" t="s">
        <v>986</v>
      </c>
      <c r="Q80" s="498" t="s">
        <v>37</v>
      </c>
      <c r="R80" s="497" t="s">
        <v>986</v>
      </c>
      <c r="S80" s="498" t="s">
        <v>1146</v>
      </c>
      <c r="T80" s="497" t="s">
        <v>986</v>
      </c>
      <c r="U80" s="499" t="s">
        <v>37</v>
      </c>
      <c r="V80" s="497" t="s">
        <v>965</v>
      </c>
      <c r="W80" s="498" t="s">
        <v>1227</v>
      </c>
      <c r="X80" s="497" t="s">
        <v>963</v>
      </c>
      <c r="Y80" s="498" t="s">
        <v>658</v>
      </c>
      <c r="Z80" s="497" t="s">
        <v>963</v>
      </c>
      <c r="AA80" s="498" t="s">
        <v>797</v>
      </c>
      <c r="AB80" s="497" t="s">
        <v>963</v>
      </c>
      <c r="AC80" s="498" t="s">
        <v>668</v>
      </c>
      <c r="AD80" s="497" t="s">
        <v>986</v>
      </c>
      <c r="AE80" s="498" t="s">
        <v>37</v>
      </c>
      <c r="AF80" s="497" t="s">
        <v>963</v>
      </c>
      <c r="AG80" s="499" t="s">
        <v>669</v>
      </c>
      <c r="AH80" s="497" t="s">
        <v>986</v>
      </c>
      <c r="AI80" s="498" t="s">
        <v>37</v>
      </c>
      <c r="AJ80" s="497" t="s">
        <v>963</v>
      </c>
      <c r="AK80" s="498" t="s">
        <v>1185</v>
      </c>
      <c r="AL80" s="497" t="s">
        <v>963</v>
      </c>
      <c r="AM80" s="499" t="s">
        <v>1434</v>
      </c>
      <c r="AN80" s="497" t="s">
        <v>963</v>
      </c>
      <c r="AO80" s="498" t="s">
        <v>1497</v>
      </c>
      <c r="AP80" s="497" t="s">
        <v>963</v>
      </c>
      <c r="AQ80" s="498" t="s">
        <v>123</v>
      </c>
      <c r="AR80" s="497" t="s">
        <v>986</v>
      </c>
      <c r="AS80" s="499" t="s">
        <v>2191</v>
      </c>
      <c r="AT80" s="497" t="s">
        <v>963</v>
      </c>
      <c r="AU80" s="499" t="s">
        <v>1230</v>
      </c>
      <c r="AV80" s="497" t="s">
        <v>963</v>
      </c>
      <c r="AW80" s="498" t="s">
        <v>494</v>
      </c>
      <c r="AX80" s="497" t="s">
        <v>965</v>
      </c>
      <c r="AY80" s="498" t="s">
        <v>688</v>
      </c>
      <c r="AZ80" s="497" t="s">
        <v>965</v>
      </c>
      <c r="BA80" s="498" t="s">
        <v>2768</v>
      </c>
      <c r="BB80" s="497" t="s">
        <v>986</v>
      </c>
      <c r="BC80" s="498" t="s">
        <v>1237</v>
      </c>
      <c r="BD80" s="497" t="s">
        <v>965</v>
      </c>
      <c r="BE80" s="498" t="s">
        <v>2095</v>
      </c>
      <c r="BF80" s="497" t="s">
        <v>965</v>
      </c>
      <c r="BG80" s="498" t="s">
        <v>688</v>
      </c>
      <c r="BH80" s="497" t="s">
        <v>965</v>
      </c>
      <c r="BI80" s="498" t="s">
        <v>396</v>
      </c>
      <c r="BJ80" s="497" t="s">
        <v>986</v>
      </c>
      <c r="BK80" s="498" t="s">
        <v>37</v>
      </c>
      <c r="BL80" s="497" t="s">
        <v>965</v>
      </c>
      <c r="BM80" s="498" t="s">
        <v>2888</v>
      </c>
      <c r="BN80" s="497" t="s">
        <v>986</v>
      </c>
      <c r="BO80" s="499" t="s">
        <v>37</v>
      </c>
      <c r="BP80" s="497" t="s">
        <v>963</v>
      </c>
      <c r="BQ80" s="498" t="s">
        <v>1140</v>
      </c>
      <c r="BR80" s="497" t="s">
        <v>986</v>
      </c>
      <c r="BS80" s="498" t="s">
        <v>37</v>
      </c>
      <c r="BT80" s="497" t="s">
        <v>965</v>
      </c>
      <c r="BU80" s="498" t="s">
        <v>657</v>
      </c>
      <c r="BV80" s="497" t="s">
        <v>986</v>
      </c>
      <c r="BW80" s="498" t="s">
        <v>37</v>
      </c>
      <c r="BX80" s="497" t="s">
        <v>986</v>
      </c>
      <c r="BY80" s="498" t="s">
        <v>37</v>
      </c>
      <c r="BZ80" s="497" t="s">
        <v>986</v>
      </c>
      <c r="CA80" s="498" t="s">
        <v>37</v>
      </c>
      <c r="CB80" s="497" t="s">
        <v>965</v>
      </c>
      <c r="CC80" s="498" t="s">
        <v>1484</v>
      </c>
      <c r="CD80" s="497" t="s">
        <v>986</v>
      </c>
      <c r="CE80" s="498" t="s">
        <v>37</v>
      </c>
      <c r="CF80" s="497" t="s">
        <v>964</v>
      </c>
      <c r="CG80" s="498" t="s">
        <v>1350</v>
      </c>
      <c r="CH80" s="497" t="s">
        <v>986</v>
      </c>
      <c r="CI80" s="499" t="s">
        <v>37</v>
      </c>
      <c r="CJ80" s="497" t="s">
        <v>986</v>
      </c>
      <c r="CK80" s="498" t="s">
        <v>37</v>
      </c>
      <c r="CL80" s="497" t="s">
        <v>963</v>
      </c>
      <c r="CM80" s="498" t="s">
        <v>1827</v>
      </c>
      <c r="CN80" s="497" t="s">
        <v>963</v>
      </c>
      <c r="CO80" s="498" t="s">
        <v>1995</v>
      </c>
      <c r="CP80" s="517"/>
      <c r="CQ80" s="34"/>
      <c r="CR80" s="34"/>
    </row>
    <row r="81" spans="1:96" s="5" customFormat="1" ht="102" thickBot="1" x14ac:dyDescent="0.25">
      <c r="A81" s="124">
        <f t="shared" si="1"/>
        <v>76</v>
      </c>
      <c r="B81" s="509" t="s">
        <v>639</v>
      </c>
      <c r="C81" s="509" t="s">
        <v>1601</v>
      </c>
      <c r="D81" s="510">
        <v>443</v>
      </c>
      <c r="E81" s="510" t="s">
        <v>2386</v>
      </c>
      <c r="F81" s="497" t="s">
        <v>986</v>
      </c>
      <c r="G81" s="498" t="s">
        <v>37</v>
      </c>
      <c r="H81" s="497" t="s">
        <v>965</v>
      </c>
      <c r="I81" s="498" t="s">
        <v>148</v>
      </c>
      <c r="J81" s="497" t="s">
        <v>986</v>
      </c>
      <c r="K81" s="498" t="s">
        <v>37</v>
      </c>
      <c r="L81" s="497" t="s">
        <v>958</v>
      </c>
      <c r="M81" s="498" t="s">
        <v>1114</v>
      </c>
      <c r="N81" s="497" t="s">
        <v>958</v>
      </c>
      <c r="O81" s="498" t="s">
        <v>545</v>
      </c>
      <c r="P81" s="497" t="s">
        <v>986</v>
      </c>
      <c r="Q81" s="498" t="s">
        <v>37</v>
      </c>
      <c r="R81" s="497" t="s">
        <v>958</v>
      </c>
      <c r="S81" s="498" t="s">
        <v>1549</v>
      </c>
      <c r="T81" s="497" t="s">
        <v>986</v>
      </c>
      <c r="U81" s="499" t="s">
        <v>37</v>
      </c>
      <c r="V81" s="497" t="s">
        <v>986</v>
      </c>
      <c r="W81" s="498" t="s">
        <v>165</v>
      </c>
      <c r="X81" s="497" t="s">
        <v>965</v>
      </c>
      <c r="Y81" s="498" t="s">
        <v>152</v>
      </c>
      <c r="Z81" s="497" t="s">
        <v>965</v>
      </c>
      <c r="AA81" s="498" t="s">
        <v>797</v>
      </c>
      <c r="AB81" s="497" t="s">
        <v>965</v>
      </c>
      <c r="AC81" s="498" t="s">
        <v>668</v>
      </c>
      <c r="AD81" s="497" t="s">
        <v>986</v>
      </c>
      <c r="AE81" s="498" t="s">
        <v>37</v>
      </c>
      <c r="AF81" s="497" t="s">
        <v>963</v>
      </c>
      <c r="AG81" s="499" t="s">
        <v>669</v>
      </c>
      <c r="AH81" s="497" t="s">
        <v>986</v>
      </c>
      <c r="AI81" s="498" t="s">
        <v>37</v>
      </c>
      <c r="AJ81" s="497" t="s">
        <v>965</v>
      </c>
      <c r="AK81" s="498" t="s">
        <v>1185</v>
      </c>
      <c r="AL81" s="497" t="s">
        <v>965</v>
      </c>
      <c r="AM81" s="499" t="s">
        <v>1434</v>
      </c>
      <c r="AN81" s="497" t="s">
        <v>965</v>
      </c>
      <c r="AO81" s="498" t="s">
        <v>1360</v>
      </c>
      <c r="AP81" s="497" t="s">
        <v>965</v>
      </c>
      <c r="AQ81" s="498" t="s">
        <v>123</v>
      </c>
      <c r="AR81" s="497" t="s">
        <v>965</v>
      </c>
      <c r="AS81" s="499" t="s">
        <v>103</v>
      </c>
      <c r="AT81" s="497" t="s">
        <v>965</v>
      </c>
      <c r="AU81" s="499" t="s">
        <v>687</v>
      </c>
      <c r="AV81" s="497" t="s">
        <v>965</v>
      </c>
      <c r="AW81" s="498" t="s">
        <v>494</v>
      </c>
      <c r="AX81" s="497" t="s">
        <v>965</v>
      </c>
      <c r="AY81" s="498" t="s">
        <v>687</v>
      </c>
      <c r="AZ81" s="497" t="s">
        <v>986</v>
      </c>
      <c r="BA81" s="498" t="s">
        <v>37</v>
      </c>
      <c r="BB81" s="497" t="s">
        <v>986</v>
      </c>
      <c r="BC81" s="498" t="s">
        <v>1237</v>
      </c>
      <c r="BD81" s="497" t="s">
        <v>965</v>
      </c>
      <c r="BE81" s="498" t="s">
        <v>2095</v>
      </c>
      <c r="BF81" s="497" t="s">
        <v>965</v>
      </c>
      <c r="BG81" s="498" t="s">
        <v>687</v>
      </c>
      <c r="BH81" s="497" t="s">
        <v>965</v>
      </c>
      <c r="BI81" s="498" t="s">
        <v>395</v>
      </c>
      <c r="BJ81" s="497" t="s">
        <v>986</v>
      </c>
      <c r="BK81" s="498" t="s">
        <v>37</v>
      </c>
      <c r="BL81" s="497" t="s">
        <v>965</v>
      </c>
      <c r="BM81" s="498" t="s">
        <v>2888</v>
      </c>
      <c r="BN81" s="497" t="s">
        <v>986</v>
      </c>
      <c r="BO81" s="499" t="s">
        <v>37</v>
      </c>
      <c r="BP81" s="497" t="s">
        <v>963</v>
      </c>
      <c r="BQ81" s="498" t="s">
        <v>1140</v>
      </c>
      <c r="BR81" s="497" t="s">
        <v>986</v>
      </c>
      <c r="BS81" s="498" t="s">
        <v>37</v>
      </c>
      <c r="BT81" s="497" t="s">
        <v>965</v>
      </c>
      <c r="BU81" s="498" t="s">
        <v>657</v>
      </c>
      <c r="BV81" s="497" t="s">
        <v>986</v>
      </c>
      <c r="BW81" s="498" t="s">
        <v>37</v>
      </c>
      <c r="BX81" s="497" t="s">
        <v>986</v>
      </c>
      <c r="BY81" s="498" t="s">
        <v>37</v>
      </c>
      <c r="BZ81" s="497" t="s">
        <v>986</v>
      </c>
      <c r="CA81" s="498" t="s">
        <v>37</v>
      </c>
      <c r="CB81" s="497" t="s">
        <v>965</v>
      </c>
      <c r="CC81" s="498" t="s">
        <v>1484</v>
      </c>
      <c r="CD81" s="497" t="s">
        <v>986</v>
      </c>
      <c r="CE81" s="498" t="s">
        <v>37</v>
      </c>
      <c r="CF81" s="497" t="s">
        <v>964</v>
      </c>
      <c r="CG81" s="498" t="s">
        <v>1350</v>
      </c>
      <c r="CH81" s="497" t="s">
        <v>986</v>
      </c>
      <c r="CI81" s="499" t="s">
        <v>37</v>
      </c>
      <c r="CJ81" s="497" t="s">
        <v>986</v>
      </c>
      <c r="CK81" s="498" t="s">
        <v>37</v>
      </c>
      <c r="CL81" s="497" t="s">
        <v>986</v>
      </c>
      <c r="CM81" s="498" t="s">
        <v>37</v>
      </c>
      <c r="CN81" s="497" t="s">
        <v>963</v>
      </c>
      <c r="CO81" s="498" t="s">
        <v>1995</v>
      </c>
      <c r="CP81" s="517"/>
      <c r="CQ81" s="34"/>
      <c r="CR81" s="34"/>
    </row>
    <row r="82" spans="1:96" s="5" customFormat="1" ht="68.25" thickBot="1" x14ac:dyDescent="0.25">
      <c r="A82" s="124">
        <f t="shared" si="1"/>
        <v>77</v>
      </c>
      <c r="B82" s="509" t="s">
        <v>640</v>
      </c>
      <c r="C82" s="509" t="s">
        <v>1601</v>
      </c>
      <c r="D82" s="510">
        <v>447</v>
      </c>
      <c r="E82" s="510" t="s">
        <v>2388</v>
      </c>
      <c r="F82" s="497" t="s">
        <v>986</v>
      </c>
      <c r="G82" s="498" t="s">
        <v>37</v>
      </c>
      <c r="H82" s="497" t="s">
        <v>986</v>
      </c>
      <c r="I82" s="498" t="s">
        <v>37</v>
      </c>
      <c r="J82" s="497" t="s">
        <v>965</v>
      </c>
      <c r="K82" s="498" t="s">
        <v>238</v>
      </c>
      <c r="L82" s="497" t="s">
        <v>965</v>
      </c>
      <c r="M82" s="498" t="s">
        <v>117</v>
      </c>
      <c r="N82" s="497" t="s">
        <v>965</v>
      </c>
      <c r="O82" s="498" t="s">
        <v>118</v>
      </c>
      <c r="P82" s="497" t="s">
        <v>986</v>
      </c>
      <c r="Q82" s="498" t="s">
        <v>37</v>
      </c>
      <c r="R82" s="497" t="s">
        <v>958</v>
      </c>
      <c r="S82" s="498" t="s">
        <v>1549</v>
      </c>
      <c r="T82" s="497" t="s">
        <v>986</v>
      </c>
      <c r="U82" s="499" t="s">
        <v>37</v>
      </c>
      <c r="V82" s="497" t="s">
        <v>958</v>
      </c>
      <c r="W82" s="498" t="s">
        <v>1228</v>
      </c>
      <c r="X82" s="497" t="s">
        <v>958</v>
      </c>
      <c r="Y82" s="498" t="s">
        <v>480</v>
      </c>
      <c r="Z82" s="497" t="s">
        <v>965</v>
      </c>
      <c r="AA82" s="498" t="s">
        <v>742</v>
      </c>
      <c r="AB82" s="497" t="s">
        <v>958</v>
      </c>
      <c r="AC82" s="498" t="s">
        <v>743</v>
      </c>
      <c r="AD82" s="497" t="s">
        <v>986</v>
      </c>
      <c r="AE82" s="498" t="s">
        <v>37</v>
      </c>
      <c r="AF82" s="497" t="s">
        <v>963</v>
      </c>
      <c r="AG82" s="499" t="s">
        <v>328</v>
      </c>
      <c r="AH82" s="497" t="s">
        <v>986</v>
      </c>
      <c r="AI82" s="498" t="s">
        <v>37</v>
      </c>
      <c r="AJ82" s="497" t="s">
        <v>963</v>
      </c>
      <c r="AK82" s="498" t="s">
        <v>317</v>
      </c>
      <c r="AL82" s="497" t="s">
        <v>963</v>
      </c>
      <c r="AM82" s="499" t="s">
        <v>1433</v>
      </c>
      <c r="AN82" s="497" t="s">
        <v>963</v>
      </c>
      <c r="AO82" s="498" t="s">
        <v>177</v>
      </c>
      <c r="AP82" s="497" t="s">
        <v>958</v>
      </c>
      <c r="AQ82" s="498" t="s">
        <v>1712</v>
      </c>
      <c r="AR82" s="497" t="s">
        <v>965</v>
      </c>
      <c r="AS82" s="499" t="s">
        <v>741</v>
      </c>
      <c r="AT82" s="497" t="s">
        <v>958</v>
      </c>
      <c r="AU82" s="499" t="s">
        <v>272</v>
      </c>
      <c r="AV82" s="497" t="s">
        <v>965</v>
      </c>
      <c r="AW82" s="498" t="s">
        <v>495</v>
      </c>
      <c r="AX82" s="497" t="s">
        <v>986</v>
      </c>
      <c r="AY82" s="498" t="s">
        <v>420</v>
      </c>
      <c r="AZ82" s="497" t="s">
        <v>965</v>
      </c>
      <c r="BA82" s="498" t="s">
        <v>451</v>
      </c>
      <c r="BB82" s="497" t="s">
        <v>986</v>
      </c>
      <c r="BC82" s="498" t="s">
        <v>324</v>
      </c>
      <c r="BD82" s="497" t="s">
        <v>964</v>
      </c>
      <c r="BE82" s="498" t="s">
        <v>2097</v>
      </c>
      <c r="BF82" s="497" t="s">
        <v>958</v>
      </c>
      <c r="BG82" s="498" t="s">
        <v>2132</v>
      </c>
      <c r="BH82" s="497" t="s">
        <v>986</v>
      </c>
      <c r="BI82" s="498" t="s">
        <v>37</v>
      </c>
      <c r="BJ82" s="497" t="s">
        <v>986</v>
      </c>
      <c r="BK82" s="498" t="s">
        <v>37</v>
      </c>
      <c r="BL82" s="497" t="s">
        <v>986</v>
      </c>
      <c r="BM82" s="498" t="s">
        <v>37</v>
      </c>
      <c r="BN82" s="497" t="s">
        <v>986</v>
      </c>
      <c r="BO82" s="499" t="s">
        <v>37</v>
      </c>
      <c r="BP82" s="497" t="s">
        <v>963</v>
      </c>
      <c r="BQ82" s="498" t="s">
        <v>1140</v>
      </c>
      <c r="BR82" s="497" t="s">
        <v>986</v>
      </c>
      <c r="BS82" s="498" t="s">
        <v>37</v>
      </c>
      <c r="BT82" s="497" t="s">
        <v>986</v>
      </c>
      <c r="BU82" s="498" t="s">
        <v>37</v>
      </c>
      <c r="BV82" s="497" t="s">
        <v>986</v>
      </c>
      <c r="BW82" s="498" t="s">
        <v>37</v>
      </c>
      <c r="BX82" s="497" t="s">
        <v>986</v>
      </c>
      <c r="BY82" s="498" t="s">
        <v>37</v>
      </c>
      <c r="BZ82" s="497" t="s">
        <v>986</v>
      </c>
      <c r="CA82" s="498" t="s">
        <v>37</v>
      </c>
      <c r="CB82" s="497" t="s">
        <v>965</v>
      </c>
      <c r="CC82" s="498" t="s">
        <v>1484</v>
      </c>
      <c r="CD82" s="497" t="s">
        <v>986</v>
      </c>
      <c r="CE82" s="498" t="s">
        <v>37</v>
      </c>
      <c r="CF82" s="497" t="s">
        <v>986</v>
      </c>
      <c r="CG82" s="498" t="s">
        <v>37</v>
      </c>
      <c r="CH82" s="497" t="s">
        <v>986</v>
      </c>
      <c r="CI82" s="499" t="s">
        <v>37</v>
      </c>
      <c r="CJ82" s="497" t="s">
        <v>986</v>
      </c>
      <c r="CK82" s="498" t="s">
        <v>37</v>
      </c>
      <c r="CL82" s="497" t="s">
        <v>986</v>
      </c>
      <c r="CM82" s="498" t="s">
        <v>37</v>
      </c>
      <c r="CN82" s="497" t="s">
        <v>963</v>
      </c>
      <c r="CO82" s="498" t="s">
        <v>1996</v>
      </c>
      <c r="CP82" s="517"/>
      <c r="CQ82" s="34"/>
      <c r="CR82" s="34"/>
    </row>
    <row r="83" spans="1:96" s="5" customFormat="1" ht="90.75" thickBot="1" x14ac:dyDescent="0.25">
      <c r="A83" s="124">
        <f t="shared" si="1"/>
        <v>78</v>
      </c>
      <c r="B83" s="509" t="s">
        <v>335</v>
      </c>
      <c r="C83" s="509" t="s">
        <v>1471</v>
      </c>
      <c r="D83" s="510">
        <v>449</v>
      </c>
      <c r="E83" s="510" t="s">
        <v>2386</v>
      </c>
      <c r="F83" s="497" t="s">
        <v>986</v>
      </c>
      <c r="G83" s="498" t="s">
        <v>37</v>
      </c>
      <c r="H83" s="497" t="s">
        <v>963</v>
      </c>
      <c r="I83" s="498" t="s">
        <v>8</v>
      </c>
      <c r="J83" s="497" t="s">
        <v>986</v>
      </c>
      <c r="K83" s="498" t="s">
        <v>37</v>
      </c>
      <c r="L83" s="497" t="s">
        <v>986</v>
      </c>
      <c r="M83" s="498" t="s">
        <v>37</v>
      </c>
      <c r="N83" s="497" t="s">
        <v>986</v>
      </c>
      <c r="O83" s="498" t="s">
        <v>37</v>
      </c>
      <c r="P83" s="497" t="s">
        <v>965</v>
      </c>
      <c r="Q83" s="498" t="s">
        <v>389</v>
      </c>
      <c r="R83" s="497" t="s">
        <v>986</v>
      </c>
      <c r="S83" s="498" t="s">
        <v>37</v>
      </c>
      <c r="T83" s="497" t="s">
        <v>986</v>
      </c>
      <c r="U83" s="499" t="s">
        <v>37</v>
      </c>
      <c r="V83" s="497" t="s">
        <v>963</v>
      </c>
      <c r="W83" s="498" t="s">
        <v>82</v>
      </c>
      <c r="X83" s="497" t="s">
        <v>986</v>
      </c>
      <c r="Y83" s="498" t="s">
        <v>37</v>
      </c>
      <c r="Z83" s="497" t="s">
        <v>986</v>
      </c>
      <c r="AA83" s="498" t="s">
        <v>37</v>
      </c>
      <c r="AB83" s="497" t="s">
        <v>965</v>
      </c>
      <c r="AC83" s="498" t="s">
        <v>1760</v>
      </c>
      <c r="AD83" s="497" t="s">
        <v>986</v>
      </c>
      <c r="AE83" s="498" t="s">
        <v>37</v>
      </c>
      <c r="AF83" s="497" t="s">
        <v>963</v>
      </c>
      <c r="AG83" s="499" t="s">
        <v>672</v>
      </c>
      <c r="AH83" s="497" t="s">
        <v>986</v>
      </c>
      <c r="AI83" s="498" t="s">
        <v>37</v>
      </c>
      <c r="AJ83" s="497" t="s">
        <v>963</v>
      </c>
      <c r="AK83" s="498" t="s">
        <v>219</v>
      </c>
      <c r="AL83" s="497" t="s">
        <v>963</v>
      </c>
      <c r="AM83" s="499" t="s">
        <v>1551</v>
      </c>
      <c r="AN83" s="497" t="s">
        <v>963</v>
      </c>
      <c r="AO83" s="498" t="s">
        <v>421</v>
      </c>
      <c r="AP83" s="497" t="s">
        <v>963</v>
      </c>
      <c r="AQ83" s="498" t="s">
        <v>689</v>
      </c>
      <c r="AR83" s="497" t="s">
        <v>963</v>
      </c>
      <c r="AS83" s="499" t="s">
        <v>297</v>
      </c>
      <c r="AT83" s="497" t="s">
        <v>963</v>
      </c>
      <c r="AU83" s="499" t="s">
        <v>699</v>
      </c>
      <c r="AV83" s="497" t="s">
        <v>963</v>
      </c>
      <c r="AW83" s="498" t="s">
        <v>496</v>
      </c>
      <c r="AX83" s="497" t="s">
        <v>963</v>
      </c>
      <c r="AY83" s="498" t="s">
        <v>703</v>
      </c>
      <c r="AZ83" s="497" t="s">
        <v>963</v>
      </c>
      <c r="BA83" s="498" t="s">
        <v>754</v>
      </c>
      <c r="BB83" s="497" t="s">
        <v>986</v>
      </c>
      <c r="BC83" s="498" t="s">
        <v>1237</v>
      </c>
      <c r="BD83" s="497" t="s">
        <v>963</v>
      </c>
      <c r="BE83" s="498" t="s">
        <v>2098</v>
      </c>
      <c r="BF83" s="497" t="s">
        <v>963</v>
      </c>
      <c r="BG83" s="498" t="s">
        <v>2133</v>
      </c>
      <c r="BH83" s="497" t="s">
        <v>963</v>
      </c>
      <c r="BI83" s="498" t="s">
        <v>397</v>
      </c>
      <c r="BJ83" s="497" t="s">
        <v>986</v>
      </c>
      <c r="BK83" s="498" t="s">
        <v>37</v>
      </c>
      <c r="BL83" s="497" t="s">
        <v>965</v>
      </c>
      <c r="BM83" s="498" t="s">
        <v>2888</v>
      </c>
      <c r="BN83" s="497" t="s">
        <v>986</v>
      </c>
      <c r="BO83" s="499" t="s">
        <v>37</v>
      </c>
      <c r="BP83" s="497" t="s">
        <v>963</v>
      </c>
      <c r="BQ83" s="498" t="s">
        <v>1141</v>
      </c>
      <c r="BR83" s="497" t="s">
        <v>986</v>
      </c>
      <c r="BS83" s="498" t="s">
        <v>37</v>
      </c>
      <c r="BT83" s="497" t="s">
        <v>965</v>
      </c>
      <c r="BU83" s="498" t="s">
        <v>657</v>
      </c>
      <c r="BV83" s="497" t="s">
        <v>986</v>
      </c>
      <c r="BW83" s="498" t="s">
        <v>37</v>
      </c>
      <c r="BX83" s="497" t="s">
        <v>986</v>
      </c>
      <c r="BY83" s="498" t="s">
        <v>37</v>
      </c>
      <c r="BZ83" s="497" t="s">
        <v>986</v>
      </c>
      <c r="CA83" s="498" t="s">
        <v>37</v>
      </c>
      <c r="CB83" s="497" t="s">
        <v>986</v>
      </c>
      <c r="CC83" s="498" t="s">
        <v>37</v>
      </c>
      <c r="CD83" s="497" t="s">
        <v>986</v>
      </c>
      <c r="CE83" s="498" t="s">
        <v>37</v>
      </c>
      <c r="CF83" s="497" t="s">
        <v>964</v>
      </c>
      <c r="CG83" s="498" t="s">
        <v>1350</v>
      </c>
      <c r="CH83" s="497" t="s">
        <v>986</v>
      </c>
      <c r="CI83" s="499" t="s">
        <v>37</v>
      </c>
      <c r="CJ83" s="497" t="s">
        <v>986</v>
      </c>
      <c r="CK83" s="498" t="s">
        <v>37</v>
      </c>
      <c r="CL83" s="497" t="s">
        <v>986</v>
      </c>
      <c r="CM83" s="498" t="s">
        <v>37</v>
      </c>
      <c r="CN83" s="497" t="s">
        <v>963</v>
      </c>
      <c r="CO83" s="498" t="s">
        <v>1997</v>
      </c>
      <c r="CP83" s="517"/>
      <c r="CQ83" s="34"/>
      <c r="CR83" s="34"/>
    </row>
    <row r="84" spans="1:96" s="5" customFormat="1" ht="79.5" thickBot="1" x14ac:dyDescent="0.25">
      <c r="A84" s="124">
        <f t="shared" si="1"/>
        <v>79</v>
      </c>
      <c r="B84" s="509" t="s">
        <v>1798</v>
      </c>
      <c r="C84" s="509" t="s">
        <v>1604</v>
      </c>
      <c r="D84" s="510">
        <v>527</v>
      </c>
      <c r="E84" s="510" t="s">
        <v>2384</v>
      </c>
      <c r="F84" s="497" t="s">
        <v>986</v>
      </c>
      <c r="G84" s="498" t="s">
        <v>37</v>
      </c>
      <c r="H84" s="497" t="s">
        <v>986</v>
      </c>
      <c r="I84" s="498" t="s">
        <v>37</v>
      </c>
      <c r="J84" s="497" t="s">
        <v>964</v>
      </c>
      <c r="K84" s="498" t="s">
        <v>615</v>
      </c>
      <c r="L84" s="497" t="s">
        <v>964</v>
      </c>
      <c r="M84" s="498" t="s">
        <v>615</v>
      </c>
      <c r="N84" s="497" t="s">
        <v>986</v>
      </c>
      <c r="O84" s="498" t="s">
        <v>37</v>
      </c>
      <c r="P84" s="497" t="s">
        <v>986</v>
      </c>
      <c r="Q84" s="498" t="s">
        <v>37</v>
      </c>
      <c r="R84" s="497" t="s">
        <v>986</v>
      </c>
      <c r="S84" s="498" t="s">
        <v>37</v>
      </c>
      <c r="T84" s="497" t="s">
        <v>986</v>
      </c>
      <c r="U84" s="499" t="s">
        <v>37</v>
      </c>
      <c r="V84" s="497" t="s">
        <v>963</v>
      </c>
      <c r="W84" s="498" t="s">
        <v>1300</v>
      </c>
      <c r="X84" s="497" t="s">
        <v>986</v>
      </c>
      <c r="Y84" s="498" t="s">
        <v>37</v>
      </c>
      <c r="Z84" s="497" t="s">
        <v>961</v>
      </c>
      <c r="AA84" s="498" t="s">
        <v>3951</v>
      </c>
      <c r="AB84" s="497" t="s">
        <v>986</v>
      </c>
      <c r="AC84" s="498" t="s">
        <v>37</v>
      </c>
      <c r="AD84" s="497" t="s">
        <v>986</v>
      </c>
      <c r="AE84" s="498" t="s">
        <v>37</v>
      </c>
      <c r="AF84" s="497" t="s">
        <v>986</v>
      </c>
      <c r="AG84" s="499" t="s">
        <v>37</v>
      </c>
      <c r="AH84" s="497" t="s">
        <v>986</v>
      </c>
      <c r="AI84" s="498" t="s">
        <v>37</v>
      </c>
      <c r="AJ84" s="497" t="s">
        <v>963</v>
      </c>
      <c r="AK84" s="498" t="s">
        <v>2192</v>
      </c>
      <c r="AL84" s="497" t="s">
        <v>963</v>
      </c>
      <c r="AM84" s="499" t="s">
        <v>750</v>
      </c>
      <c r="AN84" s="497" t="s">
        <v>963</v>
      </c>
      <c r="AO84" s="498" t="s">
        <v>751</v>
      </c>
      <c r="AP84" s="497" t="s">
        <v>963</v>
      </c>
      <c r="AQ84" s="498" t="s">
        <v>1008</v>
      </c>
      <c r="AR84" s="497" t="s">
        <v>986</v>
      </c>
      <c r="AS84" s="499" t="s">
        <v>37</v>
      </c>
      <c r="AT84" s="497" t="s">
        <v>963</v>
      </c>
      <c r="AU84" s="499" t="s">
        <v>749</v>
      </c>
      <c r="AV84" s="497" t="s">
        <v>963</v>
      </c>
      <c r="AW84" s="498" t="s">
        <v>1010</v>
      </c>
      <c r="AX84" s="497" t="s">
        <v>963</v>
      </c>
      <c r="AY84" s="498" t="s">
        <v>1009</v>
      </c>
      <c r="AZ84" s="497" t="s">
        <v>963</v>
      </c>
      <c r="BA84" s="498" t="s">
        <v>752</v>
      </c>
      <c r="BB84" s="497" t="s">
        <v>986</v>
      </c>
      <c r="BC84" s="498" t="s">
        <v>37</v>
      </c>
      <c r="BD84" s="497" t="s">
        <v>986</v>
      </c>
      <c r="BE84" s="498" t="s">
        <v>37</v>
      </c>
      <c r="BF84" s="497" t="s">
        <v>963</v>
      </c>
      <c r="BG84" s="498" t="s">
        <v>2134</v>
      </c>
      <c r="BH84" s="497" t="s">
        <v>986</v>
      </c>
      <c r="BI84" s="498" t="s">
        <v>37</v>
      </c>
      <c r="BJ84" s="497" t="s">
        <v>986</v>
      </c>
      <c r="BK84" s="498" t="s">
        <v>37</v>
      </c>
      <c r="BL84" s="497" t="s">
        <v>986</v>
      </c>
      <c r="BM84" s="498" t="s">
        <v>37</v>
      </c>
      <c r="BN84" s="497" t="s">
        <v>986</v>
      </c>
      <c r="BO84" s="499" t="s">
        <v>37</v>
      </c>
      <c r="BP84" s="497" t="s">
        <v>986</v>
      </c>
      <c r="BQ84" s="498" t="s">
        <v>37</v>
      </c>
      <c r="BR84" s="497" t="s">
        <v>986</v>
      </c>
      <c r="BS84" s="498" t="s">
        <v>37</v>
      </c>
      <c r="BT84" s="497" t="s">
        <v>986</v>
      </c>
      <c r="BU84" s="498" t="s">
        <v>37</v>
      </c>
      <c r="BV84" s="497" t="s">
        <v>986</v>
      </c>
      <c r="BW84" s="498" t="s">
        <v>37</v>
      </c>
      <c r="BX84" s="497" t="s">
        <v>986</v>
      </c>
      <c r="BY84" s="498" t="s">
        <v>37</v>
      </c>
      <c r="BZ84" s="497" t="s">
        <v>986</v>
      </c>
      <c r="CA84" s="498" t="s">
        <v>37</v>
      </c>
      <c r="CB84" s="497" t="s">
        <v>986</v>
      </c>
      <c r="CC84" s="498" t="s">
        <v>37</v>
      </c>
      <c r="CD84" s="497" t="s">
        <v>986</v>
      </c>
      <c r="CE84" s="498" t="s">
        <v>37</v>
      </c>
      <c r="CF84" s="497" t="s">
        <v>986</v>
      </c>
      <c r="CG84" s="498" t="s">
        <v>37</v>
      </c>
      <c r="CH84" s="497" t="s">
        <v>986</v>
      </c>
      <c r="CI84" s="499" t="s">
        <v>37</v>
      </c>
      <c r="CJ84" s="497" t="s">
        <v>986</v>
      </c>
      <c r="CK84" s="498" t="s">
        <v>37</v>
      </c>
      <c r="CL84" s="497" t="s">
        <v>986</v>
      </c>
      <c r="CM84" s="498" t="s">
        <v>37</v>
      </c>
      <c r="CN84" s="497" t="s">
        <v>986</v>
      </c>
      <c r="CO84" s="498" t="s">
        <v>37</v>
      </c>
      <c r="CP84" s="517"/>
      <c r="CQ84" s="34"/>
      <c r="CR84" s="34"/>
    </row>
    <row r="85" spans="1:96" s="18" customFormat="1" ht="147" thickBot="1" x14ac:dyDescent="0.25">
      <c r="A85" s="124">
        <f t="shared" si="1"/>
        <v>80</v>
      </c>
      <c r="B85" s="509" t="s">
        <v>336</v>
      </c>
      <c r="C85" s="509" t="s">
        <v>1597</v>
      </c>
      <c r="D85" s="510">
        <v>460</v>
      </c>
      <c r="E85" s="510" t="s">
        <v>2386</v>
      </c>
      <c r="F85" s="497" t="s">
        <v>986</v>
      </c>
      <c r="G85" s="498" t="s">
        <v>1454</v>
      </c>
      <c r="H85" s="497" t="s">
        <v>986</v>
      </c>
      <c r="I85" s="498" t="s">
        <v>1377</v>
      </c>
      <c r="J85" s="497" t="s">
        <v>986</v>
      </c>
      <c r="K85" s="498" t="s">
        <v>1378</v>
      </c>
      <c r="L85" s="497" t="s">
        <v>986</v>
      </c>
      <c r="M85" s="498" t="s">
        <v>1678</v>
      </c>
      <c r="N85" s="497" t="s">
        <v>986</v>
      </c>
      <c r="O85" s="498" t="s">
        <v>1678</v>
      </c>
      <c r="P85" s="497" t="s">
        <v>959</v>
      </c>
      <c r="Q85" s="498" t="s">
        <v>1229</v>
      </c>
      <c r="R85" s="497" t="s">
        <v>958</v>
      </c>
      <c r="S85" s="498" t="s">
        <v>1446</v>
      </c>
      <c r="T85" s="497" t="s">
        <v>986</v>
      </c>
      <c r="U85" s="499" t="s">
        <v>37</v>
      </c>
      <c r="V85" s="497" t="s">
        <v>986</v>
      </c>
      <c r="W85" s="498" t="s">
        <v>37</v>
      </c>
      <c r="X85" s="497" t="s">
        <v>986</v>
      </c>
      <c r="Y85" s="498" t="s">
        <v>37</v>
      </c>
      <c r="Z85" s="497" t="s">
        <v>958</v>
      </c>
      <c r="AA85" s="498" t="s">
        <v>1761</v>
      </c>
      <c r="AB85" s="497" t="s">
        <v>986</v>
      </c>
      <c r="AC85" s="498" t="s">
        <v>1762</v>
      </c>
      <c r="AD85" s="497" t="s">
        <v>986</v>
      </c>
      <c r="AE85" s="498" t="s">
        <v>37</v>
      </c>
      <c r="AF85" s="497" t="s">
        <v>986</v>
      </c>
      <c r="AG85" s="499" t="s">
        <v>37</v>
      </c>
      <c r="AH85" s="497" t="s">
        <v>986</v>
      </c>
      <c r="AI85" s="498" t="s">
        <v>37</v>
      </c>
      <c r="AJ85" s="497" t="s">
        <v>958</v>
      </c>
      <c r="AK85" s="498" t="s">
        <v>910</v>
      </c>
      <c r="AL85" s="497" t="s">
        <v>986</v>
      </c>
      <c r="AM85" s="499" t="s">
        <v>37</v>
      </c>
      <c r="AN85" s="497" t="s">
        <v>958</v>
      </c>
      <c r="AO85" s="498" t="s">
        <v>478</v>
      </c>
      <c r="AP85" s="497" t="s">
        <v>986</v>
      </c>
      <c r="AQ85" s="498" t="s">
        <v>37</v>
      </c>
      <c r="AR85" s="497" t="s">
        <v>986</v>
      </c>
      <c r="AS85" s="499" t="s">
        <v>538</v>
      </c>
      <c r="AT85" s="497" t="s">
        <v>986</v>
      </c>
      <c r="AU85" s="499" t="s">
        <v>37</v>
      </c>
      <c r="AV85" s="497" t="s">
        <v>958</v>
      </c>
      <c r="AW85" s="498" t="s">
        <v>497</v>
      </c>
      <c r="AX85" s="497" t="s">
        <v>986</v>
      </c>
      <c r="AY85" s="498" t="s">
        <v>37</v>
      </c>
      <c r="AZ85" s="497" t="s">
        <v>958</v>
      </c>
      <c r="BA85" s="498" t="s">
        <v>1254</v>
      </c>
      <c r="BB85" s="497" t="s">
        <v>961</v>
      </c>
      <c r="BC85" s="498" t="s">
        <v>453</v>
      </c>
      <c r="BD85" s="497" t="s">
        <v>958</v>
      </c>
      <c r="BE85" s="498" t="s">
        <v>2099</v>
      </c>
      <c r="BF85" s="497" t="s">
        <v>986</v>
      </c>
      <c r="BG85" s="498" t="s">
        <v>37</v>
      </c>
      <c r="BH85" s="497" t="s">
        <v>958</v>
      </c>
      <c r="BI85" s="498" t="s">
        <v>2889</v>
      </c>
      <c r="BJ85" s="497" t="s">
        <v>986</v>
      </c>
      <c r="BK85" s="498" t="s">
        <v>325</v>
      </c>
      <c r="BL85" s="497" t="s">
        <v>958</v>
      </c>
      <c r="BM85" s="498" t="s">
        <v>265</v>
      </c>
      <c r="BN85" s="497" t="s">
        <v>986</v>
      </c>
      <c r="BO85" s="499" t="s">
        <v>37</v>
      </c>
      <c r="BP85" s="497" t="s">
        <v>963</v>
      </c>
      <c r="BQ85" s="498" t="s">
        <v>1142</v>
      </c>
      <c r="BR85" s="497" t="s">
        <v>986</v>
      </c>
      <c r="BS85" s="498" t="s">
        <v>37</v>
      </c>
      <c r="BT85" s="497" t="s">
        <v>961</v>
      </c>
      <c r="BU85" s="498" t="s">
        <v>74</v>
      </c>
      <c r="BV85" s="497" t="s">
        <v>964</v>
      </c>
      <c r="BW85" s="498" t="s">
        <v>1637</v>
      </c>
      <c r="BX85" s="497" t="s">
        <v>961</v>
      </c>
      <c r="BY85" s="498" t="s">
        <v>183</v>
      </c>
      <c r="BZ85" s="497" t="s">
        <v>961</v>
      </c>
      <c r="CA85" s="498" t="s">
        <v>261</v>
      </c>
      <c r="CB85" s="497" t="s">
        <v>986</v>
      </c>
      <c r="CC85" s="498" t="s">
        <v>37</v>
      </c>
      <c r="CD85" s="497" t="s">
        <v>961</v>
      </c>
      <c r="CE85" s="498" t="s">
        <v>262</v>
      </c>
      <c r="CF85" s="497" t="s">
        <v>986</v>
      </c>
      <c r="CG85" s="498" t="s">
        <v>37</v>
      </c>
      <c r="CH85" s="497" t="s">
        <v>961</v>
      </c>
      <c r="CI85" s="499" t="s">
        <v>225</v>
      </c>
      <c r="CJ85" s="497" t="s">
        <v>986</v>
      </c>
      <c r="CK85" s="498" t="s">
        <v>37</v>
      </c>
      <c r="CL85" s="497" t="s">
        <v>986</v>
      </c>
      <c r="CM85" s="498" t="s">
        <v>37</v>
      </c>
      <c r="CN85" s="497" t="s">
        <v>986</v>
      </c>
      <c r="CO85" s="498" t="s">
        <v>37</v>
      </c>
      <c r="CP85" s="517"/>
    </row>
    <row r="86" spans="1:96" s="5" customFormat="1" ht="90.75" thickBot="1" x14ac:dyDescent="0.25">
      <c r="A86" s="124">
        <f t="shared" si="1"/>
        <v>81</v>
      </c>
      <c r="B86" s="509" t="s">
        <v>1823</v>
      </c>
      <c r="C86" s="509" t="s">
        <v>1470</v>
      </c>
      <c r="D86" s="510">
        <v>543</v>
      </c>
      <c r="E86" s="510" t="s">
        <v>2386</v>
      </c>
      <c r="F86" s="497" t="s">
        <v>964</v>
      </c>
      <c r="G86" s="498" t="s">
        <v>1224</v>
      </c>
      <c r="H86" s="497" t="s">
        <v>964</v>
      </c>
      <c r="I86" s="498" t="s">
        <v>1225</v>
      </c>
      <c r="J86" s="497" t="s">
        <v>964</v>
      </c>
      <c r="K86" s="498" t="s">
        <v>1224</v>
      </c>
      <c r="L86" s="497" t="s">
        <v>965</v>
      </c>
      <c r="M86" s="498" t="s">
        <v>845</v>
      </c>
      <c r="N86" s="497" t="s">
        <v>986</v>
      </c>
      <c r="O86" s="498" t="s">
        <v>37</v>
      </c>
      <c r="P86" s="497" t="s">
        <v>966</v>
      </c>
      <c r="Q86" s="498" t="s">
        <v>15</v>
      </c>
      <c r="R86" s="497" t="s">
        <v>965</v>
      </c>
      <c r="S86" s="498" t="s">
        <v>1215</v>
      </c>
      <c r="T86" s="497" t="s">
        <v>986</v>
      </c>
      <c r="U86" s="499" t="s">
        <v>37</v>
      </c>
      <c r="V86" s="497" t="s">
        <v>964</v>
      </c>
      <c r="W86" s="498" t="s">
        <v>836</v>
      </c>
      <c r="X86" s="497" t="s">
        <v>986</v>
      </c>
      <c r="Y86" s="498" t="s">
        <v>37</v>
      </c>
      <c r="Z86" s="497" t="s">
        <v>966</v>
      </c>
      <c r="AA86" s="498" t="s">
        <v>108</v>
      </c>
      <c r="AB86" s="497" t="s">
        <v>986</v>
      </c>
      <c r="AC86" s="498" t="s">
        <v>37</v>
      </c>
      <c r="AD86" s="497" t="s">
        <v>986</v>
      </c>
      <c r="AE86" s="498" t="s">
        <v>37</v>
      </c>
      <c r="AF86" s="497" t="s">
        <v>986</v>
      </c>
      <c r="AG86" s="499" t="s">
        <v>37</v>
      </c>
      <c r="AH86" s="497" t="s">
        <v>986</v>
      </c>
      <c r="AI86" s="498" t="s">
        <v>37</v>
      </c>
      <c r="AJ86" s="497" t="s">
        <v>986</v>
      </c>
      <c r="AK86" s="498" t="s">
        <v>37</v>
      </c>
      <c r="AL86" s="497" t="s">
        <v>986</v>
      </c>
      <c r="AM86" s="499" t="s">
        <v>37</v>
      </c>
      <c r="AN86" s="497" t="s">
        <v>986</v>
      </c>
      <c r="AO86" s="498" t="s">
        <v>37</v>
      </c>
      <c r="AP86" s="497" t="s">
        <v>986</v>
      </c>
      <c r="AQ86" s="498" t="s">
        <v>37</v>
      </c>
      <c r="AR86" s="497" t="s">
        <v>965</v>
      </c>
      <c r="AS86" s="499" t="s">
        <v>90</v>
      </c>
      <c r="AT86" s="497" t="s">
        <v>965</v>
      </c>
      <c r="AU86" s="499" t="s">
        <v>275</v>
      </c>
      <c r="AV86" s="497" t="s">
        <v>966</v>
      </c>
      <c r="AW86" s="498" t="s">
        <v>1174</v>
      </c>
      <c r="AX86" s="497" t="s">
        <v>986</v>
      </c>
      <c r="AY86" s="498" t="s">
        <v>37</v>
      </c>
      <c r="AZ86" s="497" t="s">
        <v>964</v>
      </c>
      <c r="BA86" s="498" t="s">
        <v>973</v>
      </c>
      <c r="BB86" s="497" t="s">
        <v>986</v>
      </c>
      <c r="BC86" s="498" t="s">
        <v>37</v>
      </c>
      <c r="BD86" s="497" t="s">
        <v>986</v>
      </c>
      <c r="BE86" s="498" t="s">
        <v>37</v>
      </c>
      <c r="BF86" s="497" t="s">
        <v>965</v>
      </c>
      <c r="BG86" s="498" t="s">
        <v>2135</v>
      </c>
      <c r="BH86" s="497" t="s">
        <v>965</v>
      </c>
      <c r="BI86" s="498" t="s">
        <v>2890</v>
      </c>
      <c r="BJ86" s="497" t="s">
        <v>986</v>
      </c>
      <c r="BK86" s="498" t="s">
        <v>37</v>
      </c>
      <c r="BL86" s="497" t="s">
        <v>965</v>
      </c>
      <c r="BM86" s="498" t="s">
        <v>1635</v>
      </c>
      <c r="BN86" s="497" t="s">
        <v>986</v>
      </c>
      <c r="BO86" s="499" t="s">
        <v>37</v>
      </c>
      <c r="BP86" s="497" t="s">
        <v>964</v>
      </c>
      <c r="BQ86" s="498" t="s">
        <v>1143</v>
      </c>
      <c r="BR86" s="497" t="s">
        <v>967</v>
      </c>
      <c r="BS86" s="498" t="s">
        <v>2163</v>
      </c>
      <c r="BT86" s="497" t="s">
        <v>964</v>
      </c>
      <c r="BU86" s="498" t="s">
        <v>1707</v>
      </c>
      <c r="BV86" s="497" t="s">
        <v>986</v>
      </c>
      <c r="BW86" s="498" t="s">
        <v>37</v>
      </c>
      <c r="BX86" s="497" t="s">
        <v>963</v>
      </c>
      <c r="BY86" s="498" t="s">
        <v>933</v>
      </c>
      <c r="BZ86" s="497" t="s">
        <v>963</v>
      </c>
      <c r="CA86" s="498" t="s">
        <v>933</v>
      </c>
      <c r="CB86" s="497" t="s">
        <v>986</v>
      </c>
      <c r="CC86" s="498" t="s">
        <v>37</v>
      </c>
      <c r="CD86" s="497" t="s">
        <v>965</v>
      </c>
      <c r="CE86" s="498" t="s">
        <v>333</v>
      </c>
      <c r="CF86" s="497" t="s">
        <v>964</v>
      </c>
      <c r="CG86" s="498" t="s">
        <v>1351</v>
      </c>
      <c r="CH86" s="497" t="s">
        <v>986</v>
      </c>
      <c r="CI86" s="499" t="s">
        <v>37</v>
      </c>
      <c r="CJ86" s="497" t="s">
        <v>986</v>
      </c>
      <c r="CK86" s="498" t="s">
        <v>37</v>
      </c>
      <c r="CL86" s="497" t="s">
        <v>986</v>
      </c>
      <c r="CM86" s="498" t="s">
        <v>37</v>
      </c>
      <c r="CN86" s="497" t="s">
        <v>986</v>
      </c>
      <c r="CO86" s="498" t="s">
        <v>37</v>
      </c>
      <c r="CP86" s="517"/>
      <c r="CQ86" s="34"/>
      <c r="CR86" s="34"/>
    </row>
    <row r="87" spans="1:96" s="5" customFormat="1" ht="90.75" thickBot="1" x14ac:dyDescent="0.25">
      <c r="A87" s="124">
        <f t="shared" si="1"/>
        <v>82</v>
      </c>
      <c r="B87" s="509" t="s">
        <v>1824</v>
      </c>
      <c r="C87" s="509" t="s">
        <v>1605</v>
      </c>
      <c r="D87" s="510">
        <v>544</v>
      </c>
      <c r="E87" s="510" t="s">
        <v>2386</v>
      </c>
      <c r="F87" s="497" t="s">
        <v>964</v>
      </c>
      <c r="G87" s="498" t="s">
        <v>1224</v>
      </c>
      <c r="H87" s="497" t="s">
        <v>964</v>
      </c>
      <c r="I87" s="498" t="s">
        <v>1225</v>
      </c>
      <c r="J87" s="497" t="s">
        <v>964</v>
      </c>
      <c r="K87" s="498" t="s">
        <v>1224</v>
      </c>
      <c r="L87" s="497" t="s">
        <v>965</v>
      </c>
      <c r="M87" s="498" t="s">
        <v>845</v>
      </c>
      <c r="N87" s="497" t="s">
        <v>986</v>
      </c>
      <c r="O87" s="498" t="s">
        <v>37</v>
      </c>
      <c r="P87" s="497" t="s">
        <v>966</v>
      </c>
      <c r="Q87" s="498" t="s">
        <v>15</v>
      </c>
      <c r="R87" s="497" t="s">
        <v>965</v>
      </c>
      <c r="S87" s="498" t="s">
        <v>1215</v>
      </c>
      <c r="T87" s="497" t="s">
        <v>986</v>
      </c>
      <c r="U87" s="499" t="s">
        <v>37</v>
      </c>
      <c r="V87" s="497" t="s">
        <v>964</v>
      </c>
      <c r="W87" s="498" t="s">
        <v>836</v>
      </c>
      <c r="X87" s="497" t="s">
        <v>986</v>
      </c>
      <c r="Y87" s="498" t="s">
        <v>37</v>
      </c>
      <c r="Z87" s="497" t="s">
        <v>966</v>
      </c>
      <c r="AA87" s="498" t="s">
        <v>108</v>
      </c>
      <c r="AB87" s="497" t="s">
        <v>986</v>
      </c>
      <c r="AC87" s="498" t="s">
        <v>37</v>
      </c>
      <c r="AD87" s="497" t="s">
        <v>986</v>
      </c>
      <c r="AE87" s="498" t="s">
        <v>37</v>
      </c>
      <c r="AF87" s="497" t="s">
        <v>986</v>
      </c>
      <c r="AG87" s="499" t="s">
        <v>37</v>
      </c>
      <c r="AH87" s="497" t="s">
        <v>986</v>
      </c>
      <c r="AI87" s="498" t="s">
        <v>37</v>
      </c>
      <c r="AJ87" s="497" t="s">
        <v>986</v>
      </c>
      <c r="AK87" s="498" t="s">
        <v>37</v>
      </c>
      <c r="AL87" s="497" t="s">
        <v>986</v>
      </c>
      <c r="AM87" s="499" t="s">
        <v>37</v>
      </c>
      <c r="AN87" s="497" t="s">
        <v>986</v>
      </c>
      <c r="AO87" s="498" t="s">
        <v>37</v>
      </c>
      <c r="AP87" s="497" t="s">
        <v>986</v>
      </c>
      <c r="AQ87" s="498" t="s">
        <v>37</v>
      </c>
      <c r="AR87" s="497" t="s">
        <v>965</v>
      </c>
      <c r="AS87" s="499" t="s">
        <v>90</v>
      </c>
      <c r="AT87" s="497" t="s">
        <v>965</v>
      </c>
      <c r="AU87" s="499" t="s">
        <v>275</v>
      </c>
      <c r="AV87" s="497" t="s">
        <v>966</v>
      </c>
      <c r="AW87" s="498" t="s">
        <v>1174</v>
      </c>
      <c r="AX87" s="497" t="s">
        <v>986</v>
      </c>
      <c r="AY87" s="498" t="s">
        <v>37</v>
      </c>
      <c r="AZ87" s="497" t="s">
        <v>964</v>
      </c>
      <c r="BA87" s="498" t="s">
        <v>973</v>
      </c>
      <c r="BB87" s="497" t="s">
        <v>986</v>
      </c>
      <c r="BC87" s="498" t="s">
        <v>37</v>
      </c>
      <c r="BD87" s="497" t="s">
        <v>986</v>
      </c>
      <c r="BE87" s="498" t="s">
        <v>37</v>
      </c>
      <c r="BF87" s="497" t="s">
        <v>965</v>
      </c>
      <c r="BG87" s="498" t="s">
        <v>2135</v>
      </c>
      <c r="BH87" s="497" t="s">
        <v>965</v>
      </c>
      <c r="BI87" s="498" t="s">
        <v>2890</v>
      </c>
      <c r="BJ87" s="497" t="s">
        <v>986</v>
      </c>
      <c r="BK87" s="498" t="s">
        <v>37</v>
      </c>
      <c r="BL87" s="497" t="s">
        <v>965</v>
      </c>
      <c r="BM87" s="498" t="s">
        <v>1635</v>
      </c>
      <c r="BN87" s="497" t="s">
        <v>986</v>
      </c>
      <c r="BO87" s="499" t="s">
        <v>37</v>
      </c>
      <c r="BP87" s="497" t="s">
        <v>964</v>
      </c>
      <c r="BQ87" s="498" t="s">
        <v>1143</v>
      </c>
      <c r="BR87" s="497" t="s">
        <v>967</v>
      </c>
      <c r="BS87" s="498" t="s">
        <v>2163</v>
      </c>
      <c r="BT87" s="497" t="s">
        <v>964</v>
      </c>
      <c r="BU87" s="498" t="s">
        <v>1707</v>
      </c>
      <c r="BV87" s="497" t="s">
        <v>986</v>
      </c>
      <c r="BW87" s="498" t="s">
        <v>37</v>
      </c>
      <c r="BX87" s="497" t="s">
        <v>963</v>
      </c>
      <c r="BY87" s="498" t="s">
        <v>1248</v>
      </c>
      <c r="BZ87" s="497" t="s">
        <v>963</v>
      </c>
      <c r="CA87" s="498" t="s">
        <v>1248</v>
      </c>
      <c r="CB87" s="497" t="s">
        <v>986</v>
      </c>
      <c r="CC87" s="498" t="s">
        <v>37</v>
      </c>
      <c r="CD87" s="497" t="s">
        <v>965</v>
      </c>
      <c r="CE87" s="498" t="s">
        <v>333</v>
      </c>
      <c r="CF87" s="497" t="s">
        <v>964</v>
      </c>
      <c r="CG87" s="498" t="s">
        <v>1351</v>
      </c>
      <c r="CH87" s="497" t="s">
        <v>986</v>
      </c>
      <c r="CI87" s="499" t="s">
        <v>37</v>
      </c>
      <c r="CJ87" s="497" t="s">
        <v>986</v>
      </c>
      <c r="CK87" s="498" t="s">
        <v>37</v>
      </c>
      <c r="CL87" s="497" t="s">
        <v>986</v>
      </c>
      <c r="CM87" s="498" t="s">
        <v>37</v>
      </c>
      <c r="CN87" s="497" t="s">
        <v>986</v>
      </c>
      <c r="CO87" s="498" t="s">
        <v>37</v>
      </c>
      <c r="CP87" s="517"/>
      <c r="CQ87" s="34"/>
      <c r="CR87" s="34"/>
    </row>
    <row r="88" spans="1:96" s="5" customFormat="1" ht="68.25" thickBot="1" x14ac:dyDescent="0.25">
      <c r="A88" s="124">
        <f t="shared" si="1"/>
        <v>83</v>
      </c>
      <c r="B88" s="509" t="s">
        <v>337</v>
      </c>
      <c r="C88" s="509" t="s">
        <v>1472</v>
      </c>
      <c r="D88" s="510">
        <v>453</v>
      </c>
      <c r="E88" s="510" t="s">
        <v>2388</v>
      </c>
      <c r="F88" s="497" t="s">
        <v>963</v>
      </c>
      <c r="G88" s="498" t="s">
        <v>17</v>
      </c>
      <c r="H88" s="497" t="s">
        <v>963</v>
      </c>
      <c r="I88" s="498" t="s">
        <v>1223</v>
      </c>
      <c r="J88" s="497" t="s">
        <v>963</v>
      </c>
      <c r="K88" s="498" t="s">
        <v>17</v>
      </c>
      <c r="L88" s="497" t="s">
        <v>986</v>
      </c>
      <c r="M88" s="498" t="s">
        <v>37</v>
      </c>
      <c r="N88" s="497" t="s">
        <v>986</v>
      </c>
      <c r="O88" s="498" t="s">
        <v>37</v>
      </c>
      <c r="P88" s="497" t="s">
        <v>963</v>
      </c>
      <c r="Q88" s="498" t="s">
        <v>1447</v>
      </c>
      <c r="R88" s="497" t="s">
        <v>986</v>
      </c>
      <c r="S88" s="498" t="s">
        <v>1213</v>
      </c>
      <c r="T88" s="497" t="s">
        <v>986</v>
      </c>
      <c r="U88" s="499" t="s">
        <v>37</v>
      </c>
      <c r="V88" s="497" t="s">
        <v>986</v>
      </c>
      <c r="W88" s="498" t="s">
        <v>1214</v>
      </c>
      <c r="X88" s="497" t="s">
        <v>963</v>
      </c>
      <c r="Y88" s="498" t="s">
        <v>326</v>
      </c>
      <c r="Z88" s="497" t="s">
        <v>986</v>
      </c>
      <c r="AA88" s="498" t="s">
        <v>37</v>
      </c>
      <c r="AB88" s="497" t="s">
        <v>963</v>
      </c>
      <c r="AC88" s="498" t="s">
        <v>326</v>
      </c>
      <c r="AD88" s="497" t="s">
        <v>986</v>
      </c>
      <c r="AE88" s="498" t="s">
        <v>37</v>
      </c>
      <c r="AF88" s="497" t="s">
        <v>986</v>
      </c>
      <c r="AG88" s="499" t="s">
        <v>37</v>
      </c>
      <c r="AH88" s="497" t="s">
        <v>986</v>
      </c>
      <c r="AI88" s="498" t="s">
        <v>37</v>
      </c>
      <c r="AJ88" s="497" t="s">
        <v>986</v>
      </c>
      <c r="AK88" s="498" t="s">
        <v>37</v>
      </c>
      <c r="AL88" s="497" t="s">
        <v>986</v>
      </c>
      <c r="AM88" s="499" t="s">
        <v>37</v>
      </c>
      <c r="AN88" s="497" t="s">
        <v>986</v>
      </c>
      <c r="AO88" s="498" t="s">
        <v>37</v>
      </c>
      <c r="AP88" s="497" t="s">
        <v>986</v>
      </c>
      <c r="AQ88" s="498" t="s">
        <v>37</v>
      </c>
      <c r="AR88" s="497" t="s">
        <v>986</v>
      </c>
      <c r="AS88" s="499" t="s">
        <v>37</v>
      </c>
      <c r="AT88" s="497" t="s">
        <v>986</v>
      </c>
      <c r="AU88" s="499" t="s">
        <v>37</v>
      </c>
      <c r="AV88" s="497" t="s">
        <v>965</v>
      </c>
      <c r="AW88" s="498" t="s">
        <v>1173</v>
      </c>
      <c r="AX88" s="497" t="s">
        <v>986</v>
      </c>
      <c r="AY88" s="498" t="s">
        <v>37</v>
      </c>
      <c r="AZ88" s="497" t="s">
        <v>964</v>
      </c>
      <c r="BA88" s="498" t="s">
        <v>1274</v>
      </c>
      <c r="BB88" s="497" t="s">
        <v>986</v>
      </c>
      <c r="BC88" s="498" t="s">
        <v>37</v>
      </c>
      <c r="BD88" s="497" t="s">
        <v>964</v>
      </c>
      <c r="BE88" s="498" t="s">
        <v>2100</v>
      </c>
      <c r="BF88" s="497" t="s">
        <v>986</v>
      </c>
      <c r="BG88" s="498" t="s">
        <v>37</v>
      </c>
      <c r="BH88" s="497" t="s">
        <v>986</v>
      </c>
      <c r="BI88" s="498" t="s">
        <v>37</v>
      </c>
      <c r="BJ88" s="497" t="s">
        <v>986</v>
      </c>
      <c r="BK88" s="498" t="s">
        <v>37</v>
      </c>
      <c r="BL88" s="497" t="s">
        <v>986</v>
      </c>
      <c r="BM88" s="498" t="s">
        <v>843</v>
      </c>
      <c r="BN88" s="497" t="s">
        <v>986</v>
      </c>
      <c r="BO88" s="499" t="s">
        <v>37</v>
      </c>
      <c r="BP88" s="497" t="s">
        <v>964</v>
      </c>
      <c r="BQ88" s="498" t="s">
        <v>1143</v>
      </c>
      <c r="BR88" s="497" t="s">
        <v>967</v>
      </c>
      <c r="BS88" s="498" t="s">
        <v>2163</v>
      </c>
      <c r="BT88" s="497" t="s">
        <v>964</v>
      </c>
      <c r="BU88" s="498" t="s">
        <v>1707</v>
      </c>
      <c r="BV88" s="497" t="s">
        <v>986</v>
      </c>
      <c r="BW88" s="498" t="s">
        <v>37</v>
      </c>
      <c r="BX88" s="497" t="s">
        <v>963</v>
      </c>
      <c r="BY88" s="498" t="s">
        <v>933</v>
      </c>
      <c r="BZ88" s="497" t="s">
        <v>963</v>
      </c>
      <c r="CA88" s="498" t="s">
        <v>933</v>
      </c>
      <c r="CB88" s="497" t="s">
        <v>986</v>
      </c>
      <c r="CC88" s="498" t="s">
        <v>37</v>
      </c>
      <c r="CD88" s="497" t="s">
        <v>986</v>
      </c>
      <c r="CE88" s="498" t="s">
        <v>37</v>
      </c>
      <c r="CF88" s="497" t="s">
        <v>986</v>
      </c>
      <c r="CG88" s="498" t="s">
        <v>37</v>
      </c>
      <c r="CH88" s="497" t="s">
        <v>986</v>
      </c>
      <c r="CI88" s="499" t="s">
        <v>37</v>
      </c>
      <c r="CJ88" s="497" t="s">
        <v>986</v>
      </c>
      <c r="CK88" s="498" t="s">
        <v>37</v>
      </c>
      <c r="CL88" s="497" t="s">
        <v>986</v>
      </c>
      <c r="CM88" s="498" t="s">
        <v>37</v>
      </c>
      <c r="CN88" s="497" t="s">
        <v>986</v>
      </c>
      <c r="CO88" s="498" t="s">
        <v>37</v>
      </c>
      <c r="CP88" s="517"/>
      <c r="CQ88" s="34"/>
      <c r="CR88" s="34"/>
    </row>
    <row r="89" spans="1:96" s="5" customFormat="1" ht="68.25" thickBot="1" x14ac:dyDescent="0.25">
      <c r="A89" s="124">
        <f t="shared" si="1"/>
        <v>84</v>
      </c>
      <c r="B89" s="509" t="s">
        <v>1011</v>
      </c>
      <c r="C89" s="509" t="s">
        <v>1599</v>
      </c>
      <c r="D89" s="510">
        <v>455</v>
      </c>
      <c r="E89" s="510" t="s">
        <v>2388</v>
      </c>
      <c r="F89" s="497" t="s">
        <v>963</v>
      </c>
      <c r="G89" s="498" t="s">
        <v>1383</v>
      </c>
      <c r="H89" s="497" t="s">
        <v>963</v>
      </c>
      <c r="I89" s="498" t="s">
        <v>1385</v>
      </c>
      <c r="J89" s="497" t="s">
        <v>963</v>
      </c>
      <c r="K89" s="498" t="s">
        <v>1383</v>
      </c>
      <c r="L89" s="497" t="s">
        <v>986</v>
      </c>
      <c r="M89" s="498" t="s">
        <v>37</v>
      </c>
      <c r="N89" s="497" t="s">
        <v>986</v>
      </c>
      <c r="O89" s="498" t="s">
        <v>37</v>
      </c>
      <c r="P89" s="497" t="s">
        <v>986</v>
      </c>
      <c r="Q89" s="498" t="s">
        <v>37</v>
      </c>
      <c r="R89" s="497" t="s">
        <v>986</v>
      </c>
      <c r="S89" s="498" t="s">
        <v>37</v>
      </c>
      <c r="T89" s="497" t="s">
        <v>986</v>
      </c>
      <c r="U89" s="499" t="s">
        <v>37</v>
      </c>
      <c r="V89" s="497" t="s">
        <v>963</v>
      </c>
      <c r="W89" s="498" t="s">
        <v>1494</v>
      </c>
      <c r="X89" s="497" t="s">
        <v>963</v>
      </c>
      <c r="Y89" s="498" t="s">
        <v>755</v>
      </c>
      <c r="Z89" s="497" t="s">
        <v>965</v>
      </c>
      <c r="AA89" s="498" t="s">
        <v>106</v>
      </c>
      <c r="AB89" s="497" t="s">
        <v>963</v>
      </c>
      <c r="AC89" s="498" t="s">
        <v>107</v>
      </c>
      <c r="AD89" s="497" t="s">
        <v>986</v>
      </c>
      <c r="AE89" s="498" t="s">
        <v>37</v>
      </c>
      <c r="AF89" s="497" t="s">
        <v>986</v>
      </c>
      <c r="AG89" s="499" t="s">
        <v>37</v>
      </c>
      <c r="AH89" s="497" t="s">
        <v>986</v>
      </c>
      <c r="AI89" s="498" t="s">
        <v>37</v>
      </c>
      <c r="AJ89" s="497" t="s">
        <v>986</v>
      </c>
      <c r="AK89" s="498" t="s">
        <v>37</v>
      </c>
      <c r="AL89" s="497" t="s">
        <v>986</v>
      </c>
      <c r="AM89" s="499" t="s">
        <v>37</v>
      </c>
      <c r="AN89" s="497" t="s">
        <v>986</v>
      </c>
      <c r="AO89" s="498" t="s">
        <v>37</v>
      </c>
      <c r="AP89" s="497" t="s">
        <v>986</v>
      </c>
      <c r="AQ89" s="498" t="s">
        <v>37</v>
      </c>
      <c r="AR89" s="497" t="s">
        <v>986</v>
      </c>
      <c r="AS89" s="499" t="s">
        <v>37</v>
      </c>
      <c r="AT89" s="497" t="s">
        <v>963</v>
      </c>
      <c r="AU89" s="499" t="s">
        <v>274</v>
      </c>
      <c r="AV89" s="497" t="s">
        <v>986</v>
      </c>
      <c r="AW89" s="498" t="s">
        <v>37</v>
      </c>
      <c r="AX89" s="497" t="s">
        <v>986</v>
      </c>
      <c r="AY89" s="498" t="s">
        <v>37</v>
      </c>
      <c r="AZ89" s="497" t="s">
        <v>986</v>
      </c>
      <c r="BA89" s="498" t="s">
        <v>37</v>
      </c>
      <c r="BB89" s="497" t="s">
        <v>986</v>
      </c>
      <c r="BC89" s="498" t="s">
        <v>37</v>
      </c>
      <c r="BD89" s="497" t="s">
        <v>964</v>
      </c>
      <c r="BE89" s="498" t="s">
        <v>2101</v>
      </c>
      <c r="BF89" s="497" t="s">
        <v>963</v>
      </c>
      <c r="BG89" s="498" t="s">
        <v>2136</v>
      </c>
      <c r="BH89" s="497" t="s">
        <v>986</v>
      </c>
      <c r="BI89" s="498" t="s">
        <v>37</v>
      </c>
      <c r="BJ89" s="497" t="s">
        <v>986</v>
      </c>
      <c r="BK89" s="498" t="s">
        <v>37</v>
      </c>
      <c r="BL89" s="497" t="s">
        <v>986</v>
      </c>
      <c r="BM89" s="498" t="s">
        <v>37</v>
      </c>
      <c r="BN89" s="497" t="s">
        <v>986</v>
      </c>
      <c r="BO89" s="499" t="s">
        <v>37</v>
      </c>
      <c r="BP89" s="497" t="s">
        <v>964</v>
      </c>
      <c r="BQ89" s="498" t="s">
        <v>1143</v>
      </c>
      <c r="BR89" s="497" t="s">
        <v>967</v>
      </c>
      <c r="BS89" s="498" t="s">
        <v>2163</v>
      </c>
      <c r="BT89" s="497" t="s">
        <v>964</v>
      </c>
      <c r="BU89" s="498" t="s">
        <v>1707</v>
      </c>
      <c r="BV89" s="497" t="s">
        <v>986</v>
      </c>
      <c r="BW89" s="498" t="s">
        <v>37</v>
      </c>
      <c r="BX89" s="497" t="s">
        <v>963</v>
      </c>
      <c r="BY89" s="498" t="s">
        <v>933</v>
      </c>
      <c r="BZ89" s="497" t="s">
        <v>963</v>
      </c>
      <c r="CA89" s="498" t="s">
        <v>933</v>
      </c>
      <c r="CB89" s="497" t="s">
        <v>986</v>
      </c>
      <c r="CC89" s="498" t="s">
        <v>37</v>
      </c>
      <c r="CD89" s="497" t="s">
        <v>986</v>
      </c>
      <c r="CE89" s="498" t="s">
        <v>37</v>
      </c>
      <c r="CF89" s="497" t="s">
        <v>986</v>
      </c>
      <c r="CG89" s="498" t="s">
        <v>37</v>
      </c>
      <c r="CH89" s="497" t="s">
        <v>986</v>
      </c>
      <c r="CI89" s="499" t="s">
        <v>37</v>
      </c>
      <c r="CJ89" s="497" t="s">
        <v>986</v>
      </c>
      <c r="CK89" s="498" t="s">
        <v>37</v>
      </c>
      <c r="CL89" s="497" t="s">
        <v>986</v>
      </c>
      <c r="CM89" s="498" t="s">
        <v>37</v>
      </c>
      <c r="CN89" s="497" t="s">
        <v>986</v>
      </c>
      <c r="CO89" s="498" t="s">
        <v>37</v>
      </c>
      <c r="CP89" s="517"/>
      <c r="CQ89" s="34"/>
      <c r="CR89" s="34"/>
    </row>
    <row r="90" spans="1:96" s="5" customFormat="1" ht="34.15" customHeight="1" thickBot="1" x14ac:dyDescent="0.25">
      <c r="A90" s="124">
        <f t="shared" si="1"/>
        <v>85</v>
      </c>
      <c r="B90" s="509" t="s">
        <v>1012</v>
      </c>
      <c r="C90" s="509" t="s">
        <v>1597</v>
      </c>
      <c r="D90" s="510">
        <v>466</v>
      </c>
      <c r="E90" s="510" t="s">
        <v>2386</v>
      </c>
      <c r="F90" s="497" t="s">
        <v>986</v>
      </c>
      <c r="G90" s="498" t="s">
        <v>1226</v>
      </c>
      <c r="H90" s="497" t="s">
        <v>986</v>
      </c>
      <c r="I90" s="498" t="s">
        <v>37</v>
      </c>
      <c r="J90" s="497" t="s">
        <v>965</v>
      </c>
      <c r="K90" s="498" t="s">
        <v>1221</v>
      </c>
      <c r="L90" s="497" t="s">
        <v>986</v>
      </c>
      <c r="M90" s="498" t="s">
        <v>37</v>
      </c>
      <c r="N90" s="497" t="s">
        <v>986</v>
      </c>
      <c r="O90" s="498" t="s">
        <v>37</v>
      </c>
      <c r="P90" s="497" t="s">
        <v>961</v>
      </c>
      <c r="Q90" s="498" t="s">
        <v>140</v>
      </c>
      <c r="R90" s="497" t="s">
        <v>961</v>
      </c>
      <c r="S90" s="498" t="s">
        <v>141</v>
      </c>
      <c r="T90" s="497" t="s">
        <v>986</v>
      </c>
      <c r="U90" s="499" t="s">
        <v>37</v>
      </c>
      <c r="V90" s="497" t="s">
        <v>958</v>
      </c>
      <c r="W90" s="498" t="s">
        <v>159</v>
      </c>
      <c r="X90" s="497" t="s">
        <v>963</v>
      </c>
      <c r="Y90" s="498" t="s">
        <v>398</v>
      </c>
      <c r="Z90" s="497" t="s">
        <v>963</v>
      </c>
      <c r="AA90" s="498" t="s">
        <v>1306</v>
      </c>
      <c r="AB90" s="497" t="s">
        <v>963</v>
      </c>
      <c r="AC90" s="498" t="s">
        <v>1307</v>
      </c>
      <c r="AD90" s="497" t="s">
        <v>986</v>
      </c>
      <c r="AE90" s="498" t="s">
        <v>37</v>
      </c>
      <c r="AF90" s="497" t="s">
        <v>963</v>
      </c>
      <c r="AG90" s="499" t="s">
        <v>322</v>
      </c>
      <c r="AH90" s="497" t="s">
        <v>963</v>
      </c>
      <c r="AI90" s="498" t="s">
        <v>323</v>
      </c>
      <c r="AJ90" s="497" t="s">
        <v>965</v>
      </c>
      <c r="AK90" s="498" t="s">
        <v>911</v>
      </c>
      <c r="AL90" s="497" t="s">
        <v>965</v>
      </c>
      <c r="AM90" s="499" t="s">
        <v>1552</v>
      </c>
      <c r="AN90" s="497" t="s">
        <v>965</v>
      </c>
      <c r="AO90" s="498" t="s">
        <v>957</v>
      </c>
      <c r="AP90" s="497" t="s">
        <v>963</v>
      </c>
      <c r="AQ90" s="498" t="s">
        <v>124</v>
      </c>
      <c r="AR90" s="497" t="s">
        <v>986</v>
      </c>
      <c r="AS90" s="499" t="s">
        <v>37</v>
      </c>
      <c r="AT90" s="497" t="s">
        <v>986</v>
      </c>
      <c r="AU90" s="499" t="s">
        <v>701</v>
      </c>
      <c r="AV90" s="497" t="s">
        <v>986</v>
      </c>
      <c r="AW90" s="498" t="s">
        <v>37</v>
      </c>
      <c r="AX90" s="497" t="s">
        <v>986</v>
      </c>
      <c r="AY90" s="498" t="s">
        <v>37</v>
      </c>
      <c r="AZ90" s="497" t="s">
        <v>965</v>
      </c>
      <c r="BA90" s="498" t="s">
        <v>665</v>
      </c>
      <c r="BB90" s="497" t="s">
        <v>986</v>
      </c>
      <c r="BC90" s="498" t="s">
        <v>37</v>
      </c>
      <c r="BD90" s="497" t="s">
        <v>965</v>
      </c>
      <c r="BE90" s="498" t="s">
        <v>2102</v>
      </c>
      <c r="BF90" s="497" t="s">
        <v>986</v>
      </c>
      <c r="BG90" s="498" t="s">
        <v>37</v>
      </c>
      <c r="BH90" s="497" t="s">
        <v>958</v>
      </c>
      <c r="BI90" s="498" t="s">
        <v>2891</v>
      </c>
      <c r="BJ90" s="497" t="s">
        <v>986</v>
      </c>
      <c r="BK90" s="498" t="s">
        <v>37</v>
      </c>
      <c r="BL90" s="497" t="s">
        <v>958</v>
      </c>
      <c r="BM90" s="498" t="s">
        <v>1716</v>
      </c>
      <c r="BN90" s="497" t="s">
        <v>986</v>
      </c>
      <c r="BO90" s="499" t="s">
        <v>37</v>
      </c>
      <c r="BP90" s="497" t="s">
        <v>963</v>
      </c>
      <c r="BQ90" s="498" t="s">
        <v>1138</v>
      </c>
      <c r="BR90" s="497" t="s">
        <v>986</v>
      </c>
      <c r="BS90" s="498" t="s">
        <v>37</v>
      </c>
      <c r="BT90" s="497" t="s">
        <v>963</v>
      </c>
      <c r="BU90" s="498" t="s">
        <v>657</v>
      </c>
      <c r="BV90" s="497" t="s">
        <v>986</v>
      </c>
      <c r="BW90" s="498" t="s">
        <v>37</v>
      </c>
      <c r="BX90" s="497" t="s">
        <v>986</v>
      </c>
      <c r="BY90" s="498" t="s">
        <v>454</v>
      </c>
      <c r="BZ90" s="497" t="s">
        <v>986</v>
      </c>
      <c r="CA90" s="498" t="s">
        <v>454</v>
      </c>
      <c r="CB90" s="497" t="s">
        <v>986</v>
      </c>
      <c r="CC90" s="498" t="s">
        <v>37</v>
      </c>
      <c r="CD90" s="497" t="s">
        <v>958</v>
      </c>
      <c r="CE90" s="498" t="s">
        <v>1756</v>
      </c>
      <c r="CF90" s="497" t="s">
        <v>986</v>
      </c>
      <c r="CG90" s="498" t="s">
        <v>37</v>
      </c>
      <c r="CH90" s="497" t="s">
        <v>986</v>
      </c>
      <c r="CI90" s="499" t="s">
        <v>37</v>
      </c>
      <c r="CJ90" s="497" t="s">
        <v>986</v>
      </c>
      <c r="CK90" s="498" t="s">
        <v>37</v>
      </c>
      <c r="CL90" s="497" t="s">
        <v>986</v>
      </c>
      <c r="CM90" s="498" t="s">
        <v>37</v>
      </c>
      <c r="CN90" s="497" t="s">
        <v>986</v>
      </c>
      <c r="CO90" s="498" t="s">
        <v>37</v>
      </c>
      <c r="CP90" s="517"/>
      <c r="CQ90" s="34"/>
      <c r="CR90" s="34"/>
    </row>
    <row r="91" spans="1:96" s="5" customFormat="1" ht="57" thickBot="1" x14ac:dyDescent="0.25">
      <c r="A91" s="124">
        <f t="shared" si="1"/>
        <v>86</v>
      </c>
      <c r="B91" s="509" t="s">
        <v>2803</v>
      </c>
      <c r="C91" s="509" t="s">
        <v>1597</v>
      </c>
      <c r="D91" s="510" t="s">
        <v>2804</v>
      </c>
      <c r="E91" s="510" t="s">
        <v>2388</v>
      </c>
      <c r="F91" s="497" t="s">
        <v>986</v>
      </c>
      <c r="G91" s="498" t="s">
        <v>37</v>
      </c>
      <c r="H91" s="497" t="s">
        <v>986</v>
      </c>
      <c r="I91" s="498" t="s">
        <v>37</v>
      </c>
      <c r="J91" s="497" t="s">
        <v>986</v>
      </c>
      <c r="K91" s="498" t="s">
        <v>37</v>
      </c>
      <c r="L91" s="497" t="s">
        <v>986</v>
      </c>
      <c r="M91" s="498" t="s">
        <v>37</v>
      </c>
      <c r="N91" s="497" t="s">
        <v>986</v>
      </c>
      <c r="O91" s="498" t="s">
        <v>37</v>
      </c>
      <c r="P91" s="497" t="s">
        <v>986</v>
      </c>
      <c r="Q91" s="498" t="s">
        <v>37</v>
      </c>
      <c r="R91" s="497" t="s">
        <v>986</v>
      </c>
      <c r="S91" s="498" t="s">
        <v>37</v>
      </c>
      <c r="T91" s="497" t="s">
        <v>986</v>
      </c>
      <c r="U91" s="499" t="s">
        <v>37</v>
      </c>
      <c r="V91" s="497" t="s">
        <v>986</v>
      </c>
      <c r="W91" s="498" t="s">
        <v>37</v>
      </c>
      <c r="X91" s="497" t="s">
        <v>986</v>
      </c>
      <c r="Y91" s="498" t="s">
        <v>37</v>
      </c>
      <c r="Z91" s="497" t="s">
        <v>986</v>
      </c>
      <c r="AA91" s="498" t="s">
        <v>37</v>
      </c>
      <c r="AB91" s="497" t="s">
        <v>986</v>
      </c>
      <c r="AC91" s="498" t="s">
        <v>37</v>
      </c>
      <c r="AD91" s="497" t="s">
        <v>986</v>
      </c>
      <c r="AE91" s="498" t="s">
        <v>37</v>
      </c>
      <c r="AF91" s="497" t="s">
        <v>986</v>
      </c>
      <c r="AG91" s="499" t="s">
        <v>37</v>
      </c>
      <c r="AH91" s="497" t="s">
        <v>986</v>
      </c>
      <c r="AI91" s="498" t="s">
        <v>37</v>
      </c>
      <c r="AJ91" s="497" t="s">
        <v>986</v>
      </c>
      <c r="AK91" s="498" t="s">
        <v>37</v>
      </c>
      <c r="AL91" s="497" t="s">
        <v>986</v>
      </c>
      <c r="AM91" s="499" t="s">
        <v>37</v>
      </c>
      <c r="AN91" s="497" t="s">
        <v>986</v>
      </c>
      <c r="AO91" s="498" t="s">
        <v>37</v>
      </c>
      <c r="AP91" s="497" t="s">
        <v>986</v>
      </c>
      <c r="AQ91" s="498" t="s">
        <v>37</v>
      </c>
      <c r="AR91" s="497" t="s">
        <v>986</v>
      </c>
      <c r="AS91" s="499" t="s">
        <v>37</v>
      </c>
      <c r="AT91" s="497" t="s">
        <v>986</v>
      </c>
      <c r="AU91" s="499" t="s">
        <v>37</v>
      </c>
      <c r="AV91" s="497" t="s">
        <v>986</v>
      </c>
      <c r="AW91" s="498" t="s">
        <v>37</v>
      </c>
      <c r="AX91" s="497" t="s">
        <v>986</v>
      </c>
      <c r="AY91" s="498" t="s">
        <v>37</v>
      </c>
      <c r="AZ91" s="497" t="s">
        <v>986</v>
      </c>
      <c r="BA91" s="498" t="s">
        <v>37</v>
      </c>
      <c r="BB91" s="497" t="s">
        <v>986</v>
      </c>
      <c r="BC91" s="498" t="s">
        <v>37</v>
      </c>
      <c r="BD91" s="497" t="s">
        <v>986</v>
      </c>
      <c r="BE91" s="498" t="s">
        <v>37</v>
      </c>
      <c r="BF91" s="497" t="s">
        <v>986</v>
      </c>
      <c r="BG91" s="498" t="s">
        <v>37</v>
      </c>
      <c r="BH91" s="497" t="s">
        <v>986</v>
      </c>
      <c r="BI91" s="498" t="s">
        <v>37</v>
      </c>
      <c r="BJ91" s="497" t="s">
        <v>986</v>
      </c>
      <c r="BK91" s="498" t="s">
        <v>37</v>
      </c>
      <c r="BL91" s="497" t="s">
        <v>986</v>
      </c>
      <c r="BM91" s="498" t="s">
        <v>37</v>
      </c>
      <c r="BN91" s="497" t="s">
        <v>986</v>
      </c>
      <c r="BO91" s="499" t="s">
        <v>37</v>
      </c>
      <c r="BP91" s="497" t="s">
        <v>986</v>
      </c>
      <c r="BQ91" s="498" t="s">
        <v>37</v>
      </c>
      <c r="BR91" s="497" t="s">
        <v>986</v>
      </c>
      <c r="BS91" s="498" t="s">
        <v>37</v>
      </c>
      <c r="BT91" s="497" t="s">
        <v>986</v>
      </c>
      <c r="BU91" s="498" t="s">
        <v>37</v>
      </c>
      <c r="BV91" s="497" t="s">
        <v>986</v>
      </c>
      <c r="BW91" s="498" t="s">
        <v>37</v>
      </c>
      <c r="BX91" s="497" t="s">
        <v>986</v>
      </c>
      <c r="BY91" s="498" t="s">
        <v>37</v>
      </c>
      <c r="BZ91" s="497" t="s">
        <v>986</v>
      </c>
      <c r="CA91" s="498" t="s">
        <v>37</v>
      </c>
      <c r="CB91" s="497" t="s">
        <v>986</v>
      </c>
      <c r="CC91" s="498" t="s">
        <v>37</v>
      </c>
      <c r="CD91" s="497" t="s">
        <v>986</v>
      </c>
      <c r="CE91" s="498" t="s">
        <v>37</v>
      </c>
      <c r="CF91" s="497" t="s">
        <v>986</v>
      </c>
      <c r="CG91" s="498" t="s">
        <v>37</v>
      </c>
      <c r="CH91" s="497" t="s">
        <v>986</v>
      </c>
      <c r="CI91" s="499" t="s">
        <v>37</v>
      </c>
      <c r="CJ91" s="497" t="s">
        <v>986</v>
      </c>
      <c r="CK91" s="498" t="s">
        <v>37</v>
      </c>
      <c r="CL91" s="497" t="s">
        <v>964</v>
      </c>
      <c r="CM91" s="498" t="s">
        <v>1822</v>
      </c>
      <c r="CN91" s="497" t="s">
        <v>986</v>
      </c>
      <c r="CO91" s="498" t="s">
        <v>1991</v>
      </c>
      <c r="CP91" s="517" t="s">
        <v>2802</v>
      </c>
      <c r="CQ91" s="34"/>
      <c r="CR91" s="34"/>
    </row>
    <row r="92" spans="1:96" s="5" customFormat="1" ht="41.45" customHeight="1" thickBot="1" x14ac:dyDescent="0.25">
      <c r="A92" s="124">
        <f t="shared" si="1"/>
        <v>87</v>
      </c>
      <c r="B92" s="509" t="s">
        <v>1028</v>
      </c>
      <c r="C92" s="509" t="s">
        <v>1597</v>
      </c>
      <c r="D92" s="510">
        <v>468</v>
      </c>
      <c r="E92" s="510" t="s">
        <v>2383</v>
      </c>
      <c r="F92" s="497" t="s">
        <v>986</v>
      </c>
      <c r="G92" s="498" t="s">
        <v>37</v>
      </c>
      <c r="H92" s="497" t="s">
        <v>986</v>
      </c>
      <c r="I92" s="498" t="s">
        <v>37</v>
      </c>
      <c r="J92" s="497" t="s">
        <v>967</v>
      </c>
      <c r="K92" s="498" t="s">
        <v>1222</v>
      </c>
      <c r="L92" s="497" t="s">
        <v>963</v>
      </c>
      <c r="M92" s="498" t="s">
        <v>786</v>
      </c>
      <c r="N92" s="497" t="s">
        <v>986</v>
      </c>
      <c r="O92" s="498" t="s">
        <v>37</v>
      </c>
      <c r="P92" s="497" t="s">
        <v>986</v>
      </c>
      <c r="Q92" s="498" t="s">
        <v>37</v>
      </c>
      <c r="R92" s="497" t="s">
        <v>986</v>
      </c>
      <c r="S92" s="498" t="s">
        <v>37</v>
      </c>
      <c r="T92" s="497" t="s">
        <v>986</v>
      </c>
      <c r="U92" s="499" t="s">
        <v>37</v>
      </c>
      <c r="V92" s="497" t="s">
        <v>986</v>
      </c>
      <c r="W92" s="498" t="s">
        <v>37</v>
      </c>
      <c r="X92" s="497" t="s">
        <v>963</v>
      </c>
      <c r="Y92" s="498" t="s">
        <v>883</v>
      </c>
      <c r="Z92" s="497" t="s">
        <v>963</v>
      </c>
      <c r="AA92" s="498" t="s">
        <v>1308</v>
      </c>
      <c r="AB92" s="497" t="s">
        <v>963</v>
      </c>
      <c r="AC92" s="498" t="s">
        <v>883</v>
      </c>
      <c r="AD92" s="497" t="s">
        <v>986</v>
      </c>
      <c r="AE92" s="498" t="s">
        <v>37</v>
      </c>
      <c r="AF92" s="497" t="s">
        <v>986</v>
      </c>
      <c r="AG92" s="499" t="s">
        <v>37</v>
      </c>
      <c r="AH92" s="497" t="s">
        <v>986</v>
      </c>
      <c r="AI92" s="498" t="s">
        <v>37</v>
      </c>
      <c r="AJ92" s="497" t="s">
        <v>986</v>
      </c>
      <c r="AK92" s="498" t="s">
        <v>37</v>
      </c>
      <c r="AL92" s="497" t="s">
        <v>986</v>
      </c>
      <c r="AM92" s="499" t="s">
        <v>37</v>
      </c>
      <c r="AN92" s="497" t="s">
        <v>986</v>
      </c>
      <c r="AO92" s="498" t="s">
        <v>37</v>
      </c>
      <c r="AP92" s="497" t="s">
        <v>963</v>
      </c>
      <c r="AQ92" s="498" t="s">
        <v>125</v>
      </c>
      <c r="AR92" s="497" t="s">
        <v>986</v>
      </c>
      <c r="AS92" s="499" t="s">
        <v>37</v>
      </c>
      <c r="AT92" s="497" t="s">
        <v>986</v>
      </c>
      <c r="AU92" s="499" t="s">
        <v>37</v>
      </c>
      <c r="AV92" s="497" t="s">
        <v>986</v>
      </c>
      <c r="AW92" s="498" t="s">
        <v>37</v>
      </c>
      <c r="AX92" s="497" t="s">
        <v>986</v>
      </c>
      <c r="AY92" s="498" t="s">
        <v>37</v>
      </c>
      <c r="AZ92" s="497" t="s">
        <v>963</v>
      </c>
      <c r="BA92" s="498" t="s">
        <v>1409</v>
      </c>
      <c r="BB92" s="497" t="s">
        <v>986</v>
      </c>
      <c r="BC92" s="498" t="s">
        <v>1724</v>
      </c>
      <c r="BD92" s="497" t="s">
        <v>986</v>
      </c>
      <c r="BE92" s="498" t="s">
        <v>37</v>
      </c>
      <c r="BF92" s="497" t="s">
        <v>986</v>
      </c>
      <c r="BG92" s="498" t="s">
        <v>37</v>
      </c>
      <c r="BH92" s="497" t="s">
        <v>986</v>
      </c>
      <c r="BI92" s="498" t="s">
        <v>37</v>
      </c>
      <c r="BJ92" s="497" t="s">
        <v>986</v>
      </c>
      <c r="BK92" s="498" t="s">
        <v>37</v>
      </c>
      <c r="BL92" s="497" t="s">
        <v>986</v>
      </c>
      <c r="BM92" s="498" t="s">
        <v>37</v>
      </c>
      <c r="BN92" s="497" t="s">
        <v>986</v>
      </c>
      <c r="BO92" s="499" t="s">
        <v>37</v>
      </c>
      <c r="BP92" s="497" t="s">
        <v>986</v>
      </c>
      <c r="BQ92" s="498" t="s">
        <v>37</v>
      </c>
      <c r="BR92" s="497" t="s">
        <v>986</v>
      </c>
      <c r="BS92" s="498" t="s">
        <v>37</v>
      </c>
      <c r="BT92" s="497" t="s">
        <v>986</v>
      </c>
      <c r="BU92" s="498" t="s">
        <v>37</v>
      </c>
      <c r="BV92" s="497" t="s">
        <v>986</v>
      </c>
      <c r="BW92" s="498" t="s">
        <v>37</v>
      </c>
      <c r="BX92" s="497" t="s">
        <v>961</v>
      </c>
      <c r="BY92" s="498" t="s">
        <v>263</v>
      </c>
      <c r="BZ92" s="497" t="s">
        <v>965</v>
      </c>
      <c r="CA92" s="498" t="s">
        <v>3693</v>
      </c>
      <c r="CB92" s="497" t="s">
        <v>986</v>
      </c>
      <c r="CC92" s="498" t="s">
        <v>37</v>
      </c>
      <c r="CD92" s="497" t="s">
        <v>986</v>
      </c>
      <c r="CE92" s="498" t="s">
        <v>37</v>
      </c>
      <c r="CF92" s="497" t="s">
        <v>986</v>
      </c>
      <c r="CG92" s="498" t="s">
        <v>37</v>
      </c>
      <c r="CH92" s="497" t="s">
        <v>986</v>
      </c>
      <c r="CI92" s="499" t="s">
        <v>37</v>
      </c>
      <c r="CJ92" s="497" t="s">
        <v>986</v>
      </c>
      <c r="CK92" s="498" t="s">
        <v>37</v>
      </c>
      <c r="CL92" s="497" t="s">
        <v>986</v>
      </c>
      <c r="CM92" s="498" t="s">
        <v>37</v>
      </c>
      <c r="CN92" s="497" t="s">
        <v>986</v>
      </c>
      <c r="CO92" s="498" t="s">
        <v>37</v>
      </c>
      <c r="CP92" s="518"/>
      <c r="CQ92" s="34"/>
      <c r="CR92" s="34"/>
    </row>
    <row r="93" spans="1:96" s="34" customFormat="1" ht="57" thickBot="1" x14ac:dyDescent="0.25">
      <c r="A93" s="124">
        <f t="shared" si="1"/>
        <v>88</v>
      </c>
      <c r="B93" s="509" t="s">
        <v>2229</v>
      </c>
      <c r="C93" s="509" t="s">
        <v>1601</v>
      </c>
      <c r="D93" s="510">
        <v>516</v>
      </c>
      <c r="E93" s="510" t="s">
        <v>2383</v>
      </c>
      <c r="F93" s="497" t="s">
        <v>986</v>
      </c>
      <c r="G93" s="498" t="s">
        <v>37</v>
      </c>
      <c r="H93" s="497" t="s">
        <v>986</v>
      </c>
      <c r="I93" s="498" t="s">
        <v>37</v>
      </c>
      <c r="J93" s="497" t="s">
        <v>986</v>
      </c>
      <c r="K93" s="498" t="s">
        <v>37</v>
      </c>
      <c r="L93" s="497" t="s">
        <v>986</v>
      </c>
      <c r="M93" s="498" t="s">
        <v>37</v>
      </c>
      <c r="N93" s="497" t="s">
        <v>986</v>
      </c>
      <c r="O93" s="498" t="s">
        <v>37</v>
      </c>
      <c r="P93" s="497" t="s">
        <v>986</v>
      </c>
      <c r="Q93" s="498" t="s">
        <v>37</v>
      </c>
      <c r="R93" s="497" t="s">
        <v>986</v>
      </c>
      <c r="S93" s="498" t="s">
        <v>37</v>
      </c>
      <c r="T93" s="497" t="s">
        <v>986</v>
      </c>
      <c r="U93" s="499" t="s">
        <v>37</v>
      </c>
      <c r="V93" s="497" t="s">
        <v>986</v>
      </c>
      <c r="W93" s="498" t="s">
        <v>37</v>
      </c>
      <c r="X93" s="497" t="s">
        <v>986</v>
      </c>
      <c r="Y93" s="498" t="s">
        <v>37</v>
      </c>
      <c r="Z93" s="497" t="s">
        <v>986</v>
      </c>
      <c r="AA93" s="498" t="s">
        <v>37</v>
      </c>
      <c r="AB93" s="497" t="s">
        <v>986</v>
      </c>
      <c r="AC93" s="498" t="s">
        <v>37</v>
      </c>
      <c r="AD93" s="497" t="s">
        <v>986</v>
      </c>
      <c r="AE93" s="498" t="s">
        <v>37</v>
      </c>
      <c r="AF93" s="497" t="s">
        <v>986</v>
      </c>
      <c r="AG93" s="499" t="s">
        <v>37</v>
      </c>
      <c r="AH93" s="497" t="s">
        <v>986</v>
      </c>
      <c r="AI93" s="498" t="s">
        <v>37</v>
      </c>
      <c r="AJ93" s="497" t="s">
        <v>986</v>
      </c>
      <c r="AK93" s="498" t="s">
        <v>37</v>
      </c>
      <c r="AL93" s="497" t="s">
        <v>986</v>
      </c>
      <c r="AM93" s="499" t="s">
        <v>37</v>
      </c>
      <c r="AN93" s="497" t="s">
        <v>986</v>
      </c>
      <c r="AO93" s="498" t="s">
        <v>37</v>
      </c>
      <c r="AP93" s="497" t="s">
        <v>986</v>
      </c>
      <c r="AQ93" s="498" t="s">
        <v>37</v>
      </c>
      <c r="AR93" s="497" t="s">
        <v>986</v>
      </c>
      <c r="AS93" s="499" t="s">
        <v>37</v>
      </c>
      <c r="AT93" s="497" t="s">
        <v>986</v>
      </c>
      <c r="AU93" s="499" t="s">
        <v>37</v>
      </c>
      <c r="AV93" s="497" t="s">
        <v>986</v>
      </c>
      <c r="AW93" s="498" t="s">
        <v>37</v>
      </c>
      <c r="AX93" s="497" t="s">
        <v>986</v>
      </c>
      <c r="AY93" s="498" t="s">
        <v>37</v>
      </c>
      <c r="AZ93" s="497" t="s">
        <v>986</v>
      </c>
      <c r="BA93" s="498" t="s">
        <v>37</v>
      </c>
      <c r="BB93" s="497" t="s">
        <v>986</v>
      </c>
      <c r="BC93" s="498" t="s">
        <v>37</v>
      </c>
      <c r="BD93" s="497" t="s">
        <v>986</v>
      </c>
      <c r="BE93" s="498" t="s">
        <v>37</v>
      </c>
      <c r="BF93" s="497" t="s">
        <v>986</v>
      </c>
      <c r="BG93" s="498" t="s">
        <v>37</v>
      </c>
      <c r="BH93" s="497" t="s">
        <v>986</v>
      </c>
      <c r="BI93" s="498" t="s">
        <v>37</v>
      </c>
      <c r="BJ93" s="497" t="s">
        <v>986</v>
      </c>
      <c r="BK93" s="498" t="s">
        <v>37</v>
      </c>
      <c r="BL93" s="497" t="s">
        <v>986</v>
      </c>
      <c r="BM93" s="498" t="s">
        <v>37</v>
      </c>
      <c r="BN93" s="497" t="s">
        <v>986</v>
      </c>
      <c r="BO93" s="499" t="s">
        <v>37</v>
      </c>
      <c r="BP93" s="497" t="s">
        <v>963</v>
      </c>
      <c r="BQ93" s="498" t="s">
        <v>232</v>
      </c>
      <c r="BR93" s="497" t="s">
        <v>986</v>
      </c>
      <c r="BS93" s="498" t="s">
        <v>37</v>
      </c>
      <c r="BT93" s="497" t="s">
        <v>986</v>
      </c>
      <c r="BU93" s="498" t="s">
        <v>37</v>
      </c>
      <c r="BV93" s="497" t="s">
        <v>986</v>
      </c>
      <c r="BW93" s="498" t="s">
        <v>37</v>
      </c>
      <c r="BX93" s="497" t="s">
        <v>986</v>
      </c>
      <c r="BY93" s="498" t="s">
        <v>37</v>
      </c>
      <c r="BZ93" s="497" t="s">
        <v>986</v>
      </c>
      <c r="CA93" s="498" t="s">
        <v>37</v>
      </c>
      <c r="CB93" s="497" t="s">
        <v>986</v>
      </c>
      <c r="CC93" s="498" t="s">
        <v>37</v>
      </c>
      <c r="CD93" s="497" t="s">
        <v>986</v>
      </c>
      <c r="CE93" s="498" t="s">
        <v>37</v>
      </c>
      <c r="CF93" s="497" t="s">
        <v>986</v>
      </c>
      <c r="CG93" s="498" t="s">
        <v>37</v>
      </c>
      <c r="CH93" s="497" t="s">
        <v>986</v>
      </c>
      <c r="CI93" s="499" t="s">
        <v>37</v>
      </c>
      <c r="CJ93" s="497" t="s">
        <v>967</v>
      </c>
      <c r="CK93" s="498" t="s">
        <v>170</v>
      </c>
      <c r="CL93" s="497" t="s">
        <v>986</v>
      </c>
      <c r="CM93" s="498" t="s">
        <v>37</v>
      </c>
      <c r="CN93" s="497" t="s">
        <v>963</v>
      </c>
      <c r="CO93" s="498" t="s">
        <v>1993</v>
      </c>
      <c r="CP93" s="517"/>
    </row>
    <row r="94" spans="1:96" s="5" customFormat="1" ht="79.5" thickBot="1" x14ac:dyDescent="0.25">
      <c r="A94" s="124">
        <f t="shared" si="1"/>
        <v>89</v>
      </c>
      <c r="B94" s="509" t="s">
        <v>3855</v>
      </c>
      <c r="C94" s="509" t="s">
        <v>2059</v>
      </c>
      <c r="D94" s="510" t="s">
        <v>3710</v>
      </c>
      <c r="E94" s="510" t="s">
        <v>3857</v>
      </c>
      <c r="F94" s="497" t="s">
        <v>986</v>
      </c>
      <c r="G94" s="498" t="s">
        <v>37</v>
      </c>
      <c r="H94" s="497" t="s">
        <v>986</v>
      </c>
      <c r="I94" s="498" t="s">
        <v>37</v>
      </c>
      <c r="J94" s="497" t="s">
        <v>986</v>
      </c>
      <c r="K94" s="498" t="s">
        <v>37</v>
      </c>
      <c r="L94" s="497" t="s">
        <v>986</v>
      </c>
      <c r="M94" s="498" t="s">
        <v>37</v>
      </c>
      <c r="N94" s="497" t="s">
        <v>966</v>
      </c>
      <c r="O94" s="498" t="s">
        <v>3849</v>
      </c>
      <c r="P94" s="497" t="s">
        <v>986</v>
      </c>
      <c r="Q94" s="498" t="s">
        <v>37</v>
      </c>
      <c r="R94" s="497" t="s">
        <v>986</v>
      </c>
      <c r="S94" s="498" t="s">
        <v>37</v>
      </c>
      <c r="T94" s="497" t="s">
        <v>986</v>
      </c>
      <c r="U94" s="499" t="s">
        <v>37</v>
      </c>
      <c r="V94" s="497" t="s">
        <v>986</v>
      </c>
      <c r="W94" s="498" t="s">
        <v>37</v>
      </c>
      <c r="X94" s="497" t="s">
        <v>986</v>
      </c>
      <c r="Y94" s="498" t="s">
        <v>37</v>
      </c>
      <c r="Z94" s="497" t="s">
        <v>986</v>
      </c>
      <c r="AA94" s="498" t="s">
        <v>37</v>
      </c>
      <c r="AB94" s="497" t="s">
        <v>986</v>
      </c>
      <c r="AC94" s="498" t="s">
        <v>37</v>
      </c>
      <c r="AD94" s="497" t="s">
        <v>986</v>
      </c>
      <c r="AE94" s="498" t="s">
        <v>37</v>
      </c>
      <c r="AF94" s="497" t="s">
        <v>986</v>
      </c>
      <c r="AG94" s="499" t="s">
        <v>37</v>
      </c>
      <c r="AH94" s="497" t="s">
        <v>986</v>
      </c>
      <c r="AI94" s="498" t="s">
        <v>37</v>
      </c>
      <c r="AJ94" s="497" t="s">
        <v>986</v>
      </c>
      <c r="AK94" s="498" t="s">
        <v>37</v>
      </c>
      <c r="AL94" s="497" t="s">
        <v>986</v>
      </c>
      <c r="AM94" s="499" t="s">
        <v>37</v>
      </c>
      <c r="AN94" s="497" t="s">
        <v>966</v>
      </c>
      <c r="AO94" s="498" t="s">
        <v>3850</v>
      </c>
      <c r="AP94" s="497" t="s">
        <v>986</v>
      </c>
      <c r="AQ94" s="498" t="s">
        <v>37</v>
      </c>
      <c r="AR94" s="497" t="s">
        <v>986</v>
      </c>
      <c r="AS94" s="499" t="s">
        <v>37</v>
      </c>
      <c r="AT94" s="497" t="s">
        <v>986</v>
      </c>
      <c r="AU94" s="499" t="s">
        <v>37</v>
      </c>
      <c r="AV94" s="497" t="s">
        <v>963</v>
      </c>
      <c r="AW94" s="498" t="s">
        <v>3851</v>
      </c>
      <c r="AX94" s="497" t="s">
        <v>986</v>
      </c>
      <c r="AY94" s="498" t="s">
        <v>37</v>
      </c>
      <c r="AZ94" s="497" t="s">
        <v>963</v>
      </c>
      <c r="BA94" s="498" t="s">
        <v>3852</v>
      </c>
      <c r="BB94" s="497" t="s">
        <v>986</v>
      </c>
      <c r="BC94" s="498" t="s">
        <v>37</v>
      </c>
      <c r="BD94" s="497" t="s">
        <v>986</v>
      </c>
      <c r="BE94" s="498" t="s">
        <v>37</v>
      </c>
      <c r="BF94" s="497" t="s">
        <v>986</v>
      </c>
      <c r="BG94" s="498" t="s">
        <v>37</v>
      </c>
      <c r="BH94" s="497" t="s">
        <v>986</v>
      </c>
      <c r="BI94" s="498" t="s">
        <v>37</v>
      </c>
      <c r="BJ94" s="497" t="s">
        <v>986</v>
      </c>
      <c r="BK94" s="498" t="s">
        <v>37</v>
      </c>
      <c r="BL94" s="497" t="s">
        <v>986</v>
      </c>
      <c r="BM94" s="498" t="s">
        <v>37</v>
      </c>
      <c r="BN94" s="497" t="s">
        <v>986</v>
      </c>
      <c r="BO94" s="498" t="s">
        <v>37</v>
      </c>
      <c r="BP94" s="497" t="s">
        <v>986</v>
      </c>
      <c r="BQ94" s="498" t="s">
        <v>37</v>
      </c>
      <c r="BR94" s="497" t="s">
        <v>986</v>
      </c>
      <c r="BS94" s="498" t="s">
        <v>37</v>
      </c>
      <c r="BT94" s="497" t="s">
        <v>986</v>
      </c>
      <c r="BU94" s="498" t="s">
        <v>37</v>
      </c>
      <c r="BV94" s="497" t="s">
        <v>986</v>
      </c>
      <c r="BW94" s="498" t="s">
        <v>37</v>
      </c>
      <c r="BX94" s="497" t="s">
        <v>986</v>
      </c>
      <c r="BY94" s="498" t="s">
        <v>37</v>
      </c>
      <c r="BZ94" s="497" t="s">
        <v>986</v>
      </c>
      <c r="CA94" s="498" t="s">
        <v>37</v>
      </c>
      <c r="CB94" s="497" t="s">
        <v>986</v>
      </c>
      <c r="CC94" s="498" t="s">
        <v>37</v>
      </c>
      <c r="CD94" s="497" t="s">
        <v>986</v>
      </c>
      <c r="CE94" s="498" t="s">
        <v>37</v>
      </c>
      <c r="CF94" s="497" t="s">
        <v>966</v>
      </c>
      <c r="CG94" s="498" t="s">
        <v>3853</v>
      </c>
      <c r="CH94" s="497" t="s">
        <v>967</v>
      </c>
      <c r="CI94" s="499" t="s">
        <v>3854</v>
      </c>
      <c r="CJ94" s="497" t="s">
        <v>986</v>
      </c>
      <c r="CK94" s="498" t="s">
        <v>37</v>
      </c>
      <c r="CL94" s="497" t="s">
        <v>986</v>
      </c>
      <c r="CM94" s="498" t="s">
        <v>37</v>
      </c>
      <c r="CN94" s="497" t="s">
        <v>986</v>
      </c>
      <c r="CO94" s="498" t="s">
        <v>37</v>
      </c>
      <c r="CP94" s="517"/>
      <c r="CQ94" s="34"/>
      <c r="CR94" s="34"/>
    </row>
    <row r="95" spans="1:96" s="18" customFormat="1" ht="79.5" thickBot="1" x14ac:dyDescent="0.25">
      <c r="A95" s="124">
        <f t="shared" si="1"/>
        <v>90</v>
      </c>
      <c r="B95" s="509" t="s">
        <v>1029</v>
      </c>
      <c r="C95" s="509" t="s">
        <v>1472</v>
      </c>
      <c r="D95" s="510">
        <v>457</v>
      </c>
      <c r="E95" s="510" t="s">
        <v>2388</v>
      </c>
      <c r="F95" s="497" t="s">
        <v>986</v>
      </c>
      <c r="G95" s="498" t="s">
        <v>37</v>
      </c>
      <c r="H95" s="497" t="s">
        <v>986</v>
      </c>
      <c r="I95" s="498" t="s">
        <v>37</v>
      </c>
      <c r="J95" s="497" t="s">
        <v>986</v>
      </c>
      <c r="K95" s="498" t="s">
        <v>37</v>
      </c>
      <c r="L95" s="497" t="s">
        <v>986</v>
      </c>
      <c r="M95" s="498" t="s">
        <v>37</v>
      </c>
      <c r="N95" s="497" t="s">
        <v>986</v>
      </c>
      <c r="O95" s="498" t="s">
        <v>37</v>
      </c>
      <c r="P95" s="497" t="s">
        <v>986</v>
      </c>
      <c r="Q95" s="498" t="s">
        <v>37</v>
      </c>
      <c r="R95" s="497" t="s">
        <v>986</v>
      </c>
      <c r="S95" s="498" t="s">
        <v>37</v>
      </c>
      <c r="T95" s="497" t="s">
        <v>963</v>
      </c>
      <c r="U95" s="499" t="s">
        <v>763</v>
      </c>
      <c r="V95" s="497" t="s">
        <v>986</v>
      </c>
      <c r="W95" s="498" t="s">
        <v>37</v>
      </c>
      <c r="X95" s="497" t="s">
        <v>986</v>
      </c>
      <c r="Y95" s="498" t="s">
        <v>37</v>
      </c>
      <c r="Z95" s="497" t="s">
        <v>986</v>
      </c>
      <c r="AA95" s="498" t="s">
        <v>37</v>
      </c>
      <c r="AB95" s="497" t="s">
        <v>963</v>
      </c>
      <c r="AC95" s="498" t="s">
        <v>1567</v>
      </c>
      <c r="AD95" s="497" t="s">
        <v>986</v>
      </c>
      <c r="AE95" s="498" t="s">
        <v>37</v>
      </c>
      <c r="AF95" s="497" t="s">
        <v>986</v>
      </c>
      <c r="AG95" s="499" t="s">
        <v>37</v>
      </c>
      <c r="AH95" s="497" t="s">
        <v>986</v>
      </c>
      <c r="AI95" s="498" t="s">
        <v>37</v>
      </c>
      <c r="AJ95" s="497" t="s">
        <v>986</v>
      </c>
      <c r="AK95" s="498" t="s">
        <v>37</v>
      </c>
      <c r="AL95" s="497" t="s">
        <v>986</v>
      </c>
      <c r="AM95" s="499" t="s">
        <v>37</v>
      </c>
      <c r="AN95" s="497" t="s">
        <v>986</v>
      </c>
      <c r="AO95" s="498" t="s">
        <v>37</v>
      </c>
      <c r="AP95" s="497" t="s">
        <v>986</v>
      </c>
      <c r="AQ95" s="498" t="s">
        <v>37</v>
      </c>
      <c r="AR95" s="497" t="s">
        <v>986</v>
      </c>
      <c r="AS95" s="499" t="s">
        <v>37</v>
      </c>
      <c r="AT95" s="497" t="s">
        <v>963</v>
      </c>
      <c r="AU95" s="499" t="s">
        <v>954</v>
      </c>
      <c r="AV95" s="497" t="s">
        <v>986</v>
      </c>
      <c r="AW95" s="498" t="s">
        <v>37</v>
      </c>
      <c r="AX95" s="497" t="s">
        <v>986</v>
      </c>
      <c r="AY95" s="498" t="s">
        <v>37</v>
      </c>
      <c r="AZ95" s="497" t="s">
        <v>986</v>
      </c>
      <c r="BA95" s="498" t="s">
        <v>37</v>
      </c>
      <c r="BB95" s="497" t="s">
        <v>986</v>
      </c>
      <c r="BC95" s="498" t="s">
        <v>37</v>
      </c>
      <c r="BD95" s="497" t="s">
        <v>963</v>
      </c>
      <c r="BE95" s="498" t="s">
        <v>2103</v>
      </c>
      <c r="BF95" s="497" t="s">
        <v>965</v>
      </c>
      <c r="BG95" s="498" t="s">
        <v>2137</v>
      </c>
      <c r="BH95" s="497" t="s">
        <v>986</v>
      </c>
      <c r="BI95" s="498" t="s">
        <v>37</v>
      </c>
      <c r="BJ95" s="497" t="s">
        <v>986</v>
      </c>
      <c r="BK95" s="498" t="s">
        <v>37</v>
      </c>
      <c r="BL95" s="497" t="s">
        <v>965</v>
      </c>
      <c r="BM95" s="498" t="s">
        <v>2892</v>
      </c>
      <c r="BN95" s="497" t="s">
        <v>965</v>
      </c>
      <c r="BO95" s="499" t="s">
        <v>2893</v>
      </c>
      <c r="BP95" s="497" t="s">
        <v>986</v>
      </c>
      <c r="BQ95" s="498" t="s">
        <v>37</v>
      </c>
      <c r="BR95" s="497" t="s">
        <v>986</v>
      </c>
      <c r="BS95" s="498" t="s">
        <v>37</v>
      </c>
      <c r="BT95" s="497" t="s">
        <v>986</v>
      </c>
      <c r="BU95" s="498" t="s">
        <v>37</v>
      </c>
      <c r="BV95" s="497" t="s">
        <v>986</v>
      </c>
      <c r="BW95" s="498" t="s">
        <v>37</v>
      </c>
      <c r="BX95" s="497" t="s">
        <v>986</v>
      </c>
      <c r="BY95" s="498" t="s">
        <v>37</v>
      </c>
      <c r="BZ95" s="497" t="s">
        <v>986</v>
      </c>
      <c r="CA95" s="498" t="s">
        <v>37</v>
      </c>
      <c r="CB95" s="497" t="s">
        <v>986</v>
      </c>
      <c r="CC95" s="498" t="s">
        <v>37</v>
      </c>
      <c r="CD95" s="497" t="s">
        <v>963</v>
      </c>
      <c r="CE95" s="498" t="s">
        <v>264</v>
      </c>
      <c r="CF95" s="497" t="s">
        <v>986</v>
      </c>
      <c r="CG95" s="498" t="s">
        <v>37</v>
      </c>
      <c r="CH95" s="497" t="s">
        <v>986</v>
      </c>
      <c r="CI95" s="499" t="s">
        <v>37</v>
      </c>
      <c r="CJ95" s="497" t="s">
        <v>986</v>
      </c>
      <c r="CK95" s="498" t="s">
        <v>37</v>
      </c>
      <c r="CL95" s="497" t="s">
        <v>986</v>
      </c>
      <c r="CM95" s="498" t="s">
        <v>37</v>
      </c>
      <c r="CN95" s="497" t="s">
        <v>986</v>
      </c>
      <c r="CO95" s="498" t="s">
        <v>37</v>
      </c>
      <c r="CP95" s="517"/>
    </row>
    <row r="96" spans="1:96" s="5" customFormat="1" ht="113.25" thickBot="1" x14ac:dyDescent="0.25">
      <c r="A96" s="124">
        <f t="shared" si="1"/>
        <v>91</v>
      </c>
      <c r="B96" s="509" t="s">
        <v>1030</v>
      </c>
      <c r="C96" s="509" t="s">
        <v>1601</v>
      </c>
      <c r="D96" s="510">
        <v>482</v>
      </c>
      <c r="E96" s="510" t="s">
        <v>2383</v>
      </c>
      <c r="F96" s="497" t="s">
        <v>965</v>
      </c>
      <c r="G96" s="498" t="s">
        <v>504</v>
      </c>
      <c r="H96" s="497" t="s">
        <v>986</v>
      </c>
      <c r="I96" s="498" t="s">
        <v>505</v>
      </c>
      <c r="J96" s="497" t="s">
        <v>965</v>
      </c>
      <c r="K96" s="498" t="s">
        <v>504</v>
      </c>
      <c r="L96" s="497" t="s">
        <v>986</v>
      </c>
      <c r="M96" s="498" t="s">
        <v>1159</v>
      </c>
      <c r="N96" s="497" t="s">
        <v>958</v>
      </c>
      <c r="O96" s="498" t="s">
        <v>1115</v>
      </c>
      <c r="P96" s="497" t="s">
        <v>961</v>
      </c>
      <c r="Q96" s="498" t="s">
        <v>562</v>
      </c>
      <c r="R96" s="497" t="s">
        <v>965</v>
      </c>
      <c r="S96" s="498" t="s">
        <v>563</v>
      </c>
      <c r="T96" s="497" t="s">
        <v>961</v>
      </c>
      <c r="U96" s="499" t="s">
        <v>213</v>
      </c>
      <c r="V96" s="497" t="s">
        <v>963</v>
      </c>
      <c r="W96" s="498" t="s">
        <v>214</v>
      </c>
      <c r="X96" s="497" t="s">
        <v>963</v>
      </c>
      <c r="Y96" s="498" t="s">
        <v>1482</v>
      </c>
      <c r="Z96" s="497" t="s">
        <v>963</v>
      </c>
      <c r="AA96" s="498" t="s">
        <v>1584</v>
      </c>
      <c r="AB96" s="497" t="s">
        <v>963</v>
      </c>
      <c r="AC96" s="498" t="s">
        <v>1568</v>
      </c>
      <c r="AD96" s="497" t="s">
        <v>986</v>
      </c>
      <c r="AE96" s="498" t="s">
        <v>37</v>
      </c>
      <c r="AF96" s="497" t="s">
        <v>986</v>
      </c>
      <c r="AG96" s="499" t="s">
        <v>38</v>
      </c>
      <c r="AH96" s="497" t="s">
        <v>986</v>
      </c>
      <c r="AI96" s="498" t="s">
        <v>38</v>
      </c>
      <c r="AJ96" s="497" t="s">
        <v>965</v>
      </c>
      <c r="AK96" s="498" t="s">
        <v>602</v>
      </c>
      <c r="AL96" s="497" t="s">
        <v>965</v>
      </c>
      <c r="AM96" s="499" t="s">
        <v>1219</v>
      </c>
      <c r="AN96" s="497" t="s">
        <v>962</v>
      </c>
      <c r="AO96" s="498" t="s">
        <v>334</v>
      </c>
      <c r="AP96" s="497" t="s">
        <v>963</v>
      </c>
      <c r="AQ96" s="498" t="s">
        <v>1670</v>
      </c>
      <c r="AR96" s="497" t="s">
        <v>961</v>
      </c>
      <c r="AS96" s="499" t="s">
        <v>1721</v>
      </c>
      <c r="AT96" s="497" t="s">
        <v>963</v>
      </c>
      <c r="AU96" s="499" t="s">
        <v>854</v>
      </c>
      <c r="AV96" s="497" t="s">
        <v>986</v>
      </c>
      <c r="AW96" s="498" t="s">
        <v>1723</v>
      </c>
      <c r="AX96" s="497" t="s">
        <v>963</v>
      </c>
      <c r="AY96" s="498" t="s">
        <v>1266</v>
      </c>
      <c r="AZ96" s="497" t="s">
        <v>965</v>
      </c>
      <c r="BA96" s="498" t="s">
        <v>1719</v>
      </c>
      <c r="BB96" s="497" t="s">
        <v>986</v>
      </c>
      <c r="BC96" s="498" t="s">
        <v>1722</v>
      </c>
      <c r="BD96" s="497" t="s">
        <v>986</v>
      </c>
      <c r="BE96" s="498" t="s">
        <v>2153</v>
      </c>
      <c r="BF96" s="497" t="s">
        <v>963</v>
      </c>
      <c r="BG96" s="498" t="s">
        <v>1266</v>
      </c>
      <c r="BH96" s="497" t="s">
        <v>986</v>
      </c>
      <c r="BI96" s="498" t="s">
        <v>37</v>
      </c>
      <c r="BJ96" s="497" t="s">
        <v>986</v>
      </c>
      <c r="BK96" s="498" t="s">
        <v>37</v>
      </c>
      <c r="BL96" s="497" t="s">
        <v>986</v>
      </c>
      <c r="BM96" s="498" t="s">
        <v>37</v>
      </c>
      <c r="BN96" s="497" t="s">
        <v>986</v>
      </c>
      <c r="BO96" s="499" t="s">
        <v>37</v>
      </c>
      <c r="BP96" s="497" t="s">
        <v>963</v>
      </c>
      <c r="BQ96" s="498" t="s">
        <v>870</v>
      </c>
      <c r="BR96" s="497" t="s">
        <v>986</v>
      </c>
      <c r="BS96" s="498" t="s">
        <v>37</v>
      </c>
      <c r="BT96" s="497" t="s">
        <v>986</v>
      </c>
      <c r="BU96" s="498" t="s">
        <v>37</v>
      </c>
      <c r="BV96" s="497" t="s">
        <v>986</v>
      </c>
      <c r="BW96" s="498" t="s">
        <v>37</v>
      </c>
      <c r="BX96" s="497" t="s">
        <v>986</v>
      </c>
      <c r="BY96" s="498" t="s">
        <v>37</v>
      </c>
      <c r="BZ96" s="497" t="s">
        <v>986</v>
      </c>
      <c r="CA96" s="498" t="s">
        <v>37</v>
      </c>
      <c r="CB96" s="497" t="s">
        <v>986</v>
      </c>
      <c r="CC96" s="498" t="s">
        <v>37</v>
      </c>
      <c r="CD96" s="497" t="s">
        <v>986</v>
      </c>
      <c r="CE96" s="498" t="s">
        <v>605</v>
      </c>
      <c r="CF96" s="497" t="s">
        <v>964</v>
      </c>
      <c r="CG96" s="498" t="s">
        <v>1352</v>
      </c>
      <c r="CH96" s="497" t="s">
        <v>986</v>
      </c>
      <c r="CI96" s="499" t="s">
        <v>37</v>
      </c>
      <c r="CJ96" s="497" t="s">
        <v>986</v>
      </c>
      <c r="CK96" s="498" t="s">
        <v>37</v>
      </c>
      <c r="CL96" s="497" t="s">
        <v>986</v>
      </c>
      <c r="CM96" s="498" t="s">
        <v>37</v>
      </c>
      <c r="CN96" s="497" t="s">
        <v>986</v>
      </c>
      <c r="CO96" s="498" t="s">
        <v>37</v>
      </c>
      <c r="CP96" s="517"/>
      <c r="CQ96" s="34"/>
      <c r="CR96" s="34"/>
    </row>
    <row r="97" spans="1:96" s="5" customFormat="1" ht="102" thickBot="1" x14ac:dyDescent="0.25">
      <c r="A97" s="124">
        <f t="shared" si="1"/>
        <v>92</v>
      </c>
      <c r="B97" s="509" t="s">
        <v>1031</v>
      </c>
      <c r="C97" s="509" t="s">
        <v>1604</v>
      </c>
      <c r="D97" s="510">
        <v>353</v>
      </c>
      <c r="E97" s="510" t="s">
        <v>2388</v>
      </c>
      <c r="F97" s="497" t="s">
        <v>986</v>
      </c>
      <c r="G97" s="498" t="s">
        <v>37</v>
      </c>
      <c r="H97" s="497" t="s">
        <v>986</v>
      </c>
      <c r="I97" s="498" t="s">
        <v>37</v>
      </c>
      <c r="J97" s="497" t="s">
        <v>986</v>
      </c>
      <c r="K97" s="498" t="s">
        <v>37</v>
      </c>
      <c r="L97" s="497" t="s">
        <v>986</v>
      </c>
      <c r="M97" s="498" t="s">
        <v>37</v>
      </c>
      <c r="N97" s="497" t="s">
        <v>986</v>
      </c>
      <c r="O97" s="498" t="s">
        <v>37</v>
      </c>
      <c r="P97" s="497" t="s">
        <v>986</v>
      </c>
      <c r="Q97" s="498" t="s">
        <v>37</v>
      </c>
      <c r="R97" s="497" t="s">
        <v>986</v>
      </c>
      <c r="S97" s="498" t="s">
        <v>37</v>
      </c>
      <c r="T97" s="497" t="s">
        <v>986</v>
      </c>
      <c r="U97" s="499" t="s">
        <v>37</v>
      </c>
      <c r="V97" s="497" t="s">
        <v>986</v>
      </c>
      <c r="W97" s="498" t="s">
        <v>37</v>
      </c>
      <c r="X97" s="497" t="s">
        <v>986</v>
      </c>
      <c r="Y97" s="498" t="s">
        <v>37</v>
      </c>
      <c r="Z97" s="497" t="s">
        <v>986</v>
      </c>
      <c r="AA97" s="498" t="s">
        <v>37</v>
      </c>
      <c r="AB97" s="497" t="s">
        <v>986</v>
      </c>
      <c r="AC97" s="567" t="s">
        <v>3983</v>
      </c>
      <c r="AD97" s="497" t="s">
        <v>986</v>
      </c>
      <c r="AE97" s="498" t="s">
        <v>37</v>
      </c>
      <c r="AF97" s="497" t="s">
        <v>986</v>
      </c>
      <c r="AG97" s="499" t="s">
        <v>37</v>
      </c>
      <c r="AH97" s="497" t="s">
        <v>986</v>
      </c>
      <c r="AI97" s="498" t="s">
        <v>37</v>
      </c>
      <c r="AJ97" s="497" t="s">
        <v>986</v>
      </c>
      <c r="AK97" s="498" t="s">
        <v>37</v>
      </c>
      <c r="AL97" s="497" t="s">
        <v>986</v>
      </c>
      <c r="AM97" s="560" t="s">
        <v>3952</v>
      </c>
      <c r="AN97" s="497" t="s">
        <v>986</v>
      </c>
      <c r="AO97" s="498" t="s">
        <v>37</v>
      </c>
      <c r="AP97" s="497" t="s">
        <v>986</v>
      </c>
      <c r="AQ97" s="560" t="s">
        <v>3952</v>
      </c>
      <c r="AR97" s="497" t="s">
        <v>986</v>
      </c>
      <c r="AS97" s="499" t="s">
        <v>37</v>
      </c>
      <c r="AT97" s="497" t="s">
        <v>986</v>
      </c>
      <c r="AU97" s="560" t="s">
        <v>3952</v>
      </c>
      <c r="AV97" s="497" t="s">
        <v>986</v>
      </c>
      <c r="AW97" s="498" t="s">
        <v>37</v>
      </c>
      <c r="AX97" s="497" t="s">
        <v>986</v>
      </c>
      <c r="AY97" s="560" t="s">
        <v>3952</v>
      </c>
      <c r="AZ97" s="497" t="s">
        <v>986</v>
      </c>
      <c r="BA97" s="498" t="s">
        <v>37</v>
      </c>
      <c r="BB97" s="497" t="s">
        <v>986</v>
      </c>
      <c r="BC97" s="498" t="s">
        <v>37</v>
      </c>
      <c r="BD97" s="497" t="s">
        <v>986</v>
      </c>
      <c r="BE97" s="498" t="s">
        <v>37</v>
      </c>
      <c r="BF97" s="497" t="s">
        <v>986</v>
      </c>
      <c r="BG97" s="567" t="s">
        <v>3952</v>
      </c>
      <c r="BH97" s="497" t="s">
        <v>986</v>
      </c>
      <c r="BI97" s="498" t="s">
        <v>37</v>
      </c>
      <c r="BJ97" s="497" t="s">
        <v>986</v>
      </c>
      <c r="BK97" s="498" t="s">
        <v>37</v>
      </c>
      <c r="BL97" s="497" t="s">
        <v>986</v>
      </c>
      <c r="BM97" s="498" t="s">
        <v>37</v>
      </c>
      <c r="BN97" s="497" t="s">
        <v>986</v>
      </c>
      <c r="BO97" s="499" t="s">
        <v>37</v>
      </c>
      <c r="BP97" s="497" t="s">
        <v>986</v>
      </c>
      <c r="BQ97" s="498" t="s">
        <v>37</v>
      </c>
      <c r="BR97" s="497" t="s">
        <v>986</v>
      </c>
      <c r="BS97" s="498" t="s">
        <v>37</v>
      </c>
      <c r="BT97" s="497" t="s">
        <v>986</v>
      </c>
      <c r="BU97" s="498" t="s">
        <v>37</v>
      </c>
      <c r="BV97" s="497" t="s">
        <v>986</v>
      </c>
      <c r="BW97" s="498" t="s">
        <v>37</v>
      </c>
      <c r="BX97" s="497" t="s">
        <v>986</v>
      </c>
      <c r="BY97" s="498" t="s">
        <v>37</v>
      </c>
      <c r="BZ97" s="497" t="s">
        <v>986</v>
      </c>
      <c r="CA97" s="498" t="s">
        <v>37</v>
      </c>
      <c r="CB97" s="497" t="s">
        <v>986</v>
      </c>
      <c r="CC97" s="498" t="s">
        <v>37</v>
      </c>
      <c r="CD97" s="497" t="s">
        <v>986</v>
      </c>
      <c r="CE97" s="498" t="s">
        <v>37</v>
      </c>
      <c r="CF97" s="497" t="s">
        <v>986</v>
      </c>
      <c r="CG97" s="498" t="s">
        <v>37</v>
      </c>
      <c r="CH97" s="497" t="s">
        <v>986</v>
      </c>
      <c r="CI97" s="499" t="s">
        <v>37</v>
      </c>
      <c r="CJ97" s="497" t="s">
        <v>986</v>
      </c>
      <c r="CK97" s="498" t="s">
        <v>37</v>
      </c>
      <c r="CL97" s="497" t="s">
        <v>986</v>
      </c>
      <c r="CM97" s="498" t="s">
        <v>37</v>
      </c>
      <c r="CN97" s="497" t="s">
        <v>986</v>
      </c>
      <c r="CO97" s="498" t="s">
        <v>37</v>
      </c>
      <c r="CP97" s="517"/>
      <c r="CQ97" s="34"/>
      <c r="CR97" s="34"/>
    </row>
    <row r="98" spans="1:96" s="5" customFormat="1" ht="79.5" thickBot="1" x14ac:dyDescent="0.25">
      <c r="A98" s="124">
        <f t="shared" si="1"/>
        <v>93</v>
      </c>
      <c r="B98" s="509" t="s">
        <v>1032</v>
      </c>
      <c r="C98" s="509" t="s">
        <v>1605</v>
      </c>
      <c r="D98" s="510">
        <v>484</v>
      </c>
      <c r="E98" s="510" t="s">
        <v>2386</v>
      </c>
      <c r="F98" s="497" t="s">
        <v>964</v>
      </c>
      <c r="G98" s="498" t="s">
        <v>506</v>
      </c>
      <c r="H98" s="497" t="s">
        <v>964</v>
      </c>
      <c r="I98" s="498" t="s">
        <v>507</v>
      </c>
      <c r="J98" s="497" t="s">
        <v>986</v>
      </c>
      <c r="K98" s="498" t="s">
        <v>37</v>
      </c>
      <c r="L98" s="497" t="s">
        <v>986</v>
      </c>
      <c r="M98" s="498" t="s">
        <v>37</v>
      </c>
      <c r="N98" s="497" t="s">
        <v>986</v>
      </c>
      <c r="O98" s="498" t="s">
        <v>37</v>
      </c>
      <c r="P98" s="497" t="s">
        <v>965</v>
      </c>
      <c r="Q98" s="498" t="s">
        <v>1316</v>
      </c>
      <c r="R98" s="497" t="s">
        <v>986</v>
      </c>
      <c r="S98" s="498" t="s">
        <v>37</v>
      </c>
      <c r="T98" s="497" t="s">
        <v>986</v>
      </c>
      <c r="U98" s="499" t="s">
        <v>37</v>
      </c>
      <c r="V98" s="497" t="s">
        <v>965</v>
      </c>
      <c r="W98" s="498" t="s">
        <v>1232</v>
      </c>
      <c r="X98" s="497" t="s">
        <v>958</v>
      </c>
      <c r="Y98" s="498" t="s">
        <v>1569</v>
      </c>
      <c r="Z98" s="497" t="s">
        <v>965</v>
      </c>
      <c r="AA98" s="498" t="s">
        <v>1570</v>
      </c>
      <c r="AB98" s="497" t="s">
        <v>958</v>
      </c>
      <c r="AC98" s="498" t="s">
        <v>1569</v>
      </c>
      <c r="AD98" s="497" t="s">
        <v>986</v>
      </c>
      <c r="AE98" s="498" t="s">
        <v>37</v>
      </c>
      <c r="AF98" s="497" t="s">
        <v>963</v>
      </c>
      <c r="AG98" s="499" t="s">
        <v>39</v>
      </c>
      <c r="AH98" s="497" t="s">
        <v>963</v>
      </c>
      <c r="AI98" s="498" t="s">
        <v>40</v>
      </c>
      <c r="AJ98" s="497" t="s">
        <v>963</v>
      </c>
      <c r="AK98" s="498" t="s">
        <v>603</v>
      </c>
      <c r="AL98" s="497" t="s">
        <v>986</v>
      </c>
      <c r="AM98" s="499" t="s">
        <v>37</v>
      </c>
      <c r="AN98" s="497" t="s">
        <v>963</v>
      </c>
      <c r="AO98" s="498" t="s">
        <v>765</v>
      </c>
      <c r="AP98" s="497" t="s">
        <v>958</v>
      </c>
      <c r="AQ98" s="498" t="s">
        <v>370</v>
      </c>
      <c r="AR98" s="497" t="s">
        <v>965</v>
      </c>
      <c r="AS98" s="499" t="s">
        <v>539</v>
      </c>
      <c r="AT98" s="497" t="s">
        <v>958</v>
      </c>
      <c r="AU98" s="499" t="s">
        <v>285</v>
      </c>
      <c r="AV98" s="497" t="s">
        <v>986</v>
      </c>
      <c r="AW98" s="498" t="s">
        <v>37</v>
      </c>
      <c r="AX98" s="497" t="s">
        <v>986</v>
      </c>
      <c r="AY98" s="498" t="s">
        <v>706</v>
      </c>
      <c r="AZ98" s="497" t="s">
        <v>963</v>
      </c>
      <c r="BA98" s="498" t="s">
        <v>811</v>
      </c>
      <c r="BB98" s="497" t="s">
        <v>986</v>
      </c>
      <c r="BC98" s="498" t="s">
        <v>37</v>
      </c>
      <c r="BD98" s="497" t="s">
        <v>986</v>
      </c>
      <c r="BE98" s="498" t="s">
        <v>37</v>
      </c>
      <c r="BF98" s="497" t="s">
        <v>986</v>
      </c>
      <c r="BG98" s="498" t="s">
        <v>37</v>
      </c>
      <c r="BH98" s="497" t="s">
        <v>963</v>
      </c>
      <c r="BI98" s="498" t="s">
        <v>186</v>
      </c>
      <c r="BJ98" s="497" t="s">
        <v>986</v>
      </c>
      <c r="BK98" s="498" t="s">
        <v>37</v>
      </c>
      <c r="BL98" s="497" t="s">
        <v>986</v>
      </c>
      <c r="BM98" s="498" t="s">
        <v>37</v>
      </c>
      <c r="BN98" s="497" t="s">
        <v>986</v>
      </c>
      <c r="BO98" s="499" t="s">
        <v>37</v>
      </c>
      <c r="BP98" s="497" t="s">
        <v>963</v>
      </c>
      <c r="BQ98" s="498" t="s">
        <v>871</v>
      </c>
      <c r="BR98" s="497" t="s">
        <v>986</v>
      </c>
      <c r="BS98" s="498" t="s">
        <v>37</v>
      </c>
      <c r="BT98" s="497" t="s">
        <v>963</v>
      </c>
      <c r="BU98" s="498" t="s">
        <v>442</v>
      </c>
      <c r="BV98" s="497" t="s">
        <v>986</v>
      </c>
      <c r="BW98" s="498" t="s">
        <v>37</v>
      </c>
      <c r="BX98" s="497" t="s">
        <v>965</v>
      </c>
      <c r="BY98" s="498" t="s">
        <v>184</v>
      </c>
      <c r="BZ98" s="497" t="s">
        <v>965</v>
      </c>
      <c r="CA98" s="498" t="s">
        <v>1643</v>
      </c>
      <c r="CB98" s="497" t="s">
        <v>986</v>
      </c>
      <c r="CC98" s="498" t="s">
        <v>37</v>
      </c>
      <c r="CD98" s="497" t="s">
        <v>986</v>
      </c>
      <c r="CE98" s="498" t="s">
        <v>37</v>
      </c>
      <c r="CF98" s="497" t="s">
        <v>986</v>
      </c>
      <c r="CG98" s="498" t="s">
        <v>37</v>
      </c>
      <c r="CH98" s="497" t="s">
        <v>986</v>
      </c>
      <c r="CI98" s="499" t="s">
        <v>37</v>
      </c>
      <c r="CJ98" s="497" t="s">
        <v>986</v>
      </c>
      <c r="CK98" s="498" t="s">
        <v>37</v>
      </c>
      <c r="CL98" s="497" t="s">
        <v>986</v>
      </c>
      <c r="CM98" s="498" t="s">
        <v>37</v>
      </c>
      <c r="CN98" s="497" t="s">
        <v>986</v>
      </c>
      <c r="CO98" s="498" t="s">
        <v>37</v>
      </c>
      <c r="CP98" s="517"/>
      <c r="CQ98" s="34"/>
      <c r="CR98" s="34"/>
    </row>
    <row r="99" spans="1:96" s="5" customFormat="1" ht="147" thickBot="1" x14ac:dyDescent="0.25">
      <c r="A99" s="124">
        <f t="shared" si="1"/>
        <v>94</v>
      </c>
      <c r="B99" s="509" t="s">
        <v>1218</v>
      </c>
      <c r="C99" s="509" t="s">
        <v>1598</v>
      </c>
      <c r="D99" s="510">
        <v>379</v>
      </c>
      <c r="E99" s="510" t="s">
        <v>2382</v>
      </c>
      <c r="F99" s="497" t="s">
        <v>965</v>
      </c>
      <c r="G99" s="498" t="s">
        <v>100</v>
      </c>
      <c r="H99" s="497" t="s">
        <v>965</v>
      </c>
      <c r="I99" s="498" t="s">
        <v>408</v>
      </c>
      <c r="J99" s="497" t="s">
        <v>965</v>
      </c>
      <c r="K99" s="498" t="s">
        <v>153</v>
      </c>
      <c r="L99" s="497" t="s">
        <v>965</v>
      </c>
      <c r="M99" s="498" t="s">
        <v>153</v>
      </c>
      <c r="N99" s="497" t="s">
        <v>986</v>
      </c>
      <c r="O99" s="498" t="s">
        <v>37</v>
      </c>
      <c r="P99" s="497" t="s">
        <v>967</v>
      </c>
      <c r="Q99" s="498" t="s">
        <v>3787</v>
      </c>
      <c r="R99" s="497" t="s">
        <v>963</v>
      </c>
      <c r="S99" s="498" t="s">
        <v>3788</v>
      </c>
      <c r="T99" s="497" t="s">
        <v>965</v>
      </c>
      <c r="U99" s="499" t="s">
        <v>3789</v>
      </c>
      <c r="V99" s="497" t="s">
        <v>965</v>
      </c>
      <c r="W99" s="498" t="s">
        <v>3790</v>
      </c>
      <c r="X99" s="497" t="s">
        <v>965</v>
      </c>
      <c r="Y99" s="498" t="s">
        <v>3791</v>
      </c>
      <c r="Z99" s="497" t="s">
        <v>965</v>
      </c>
      <c r="AA99" s="498" t="s">
        <v>3792</v>
      </c>
      <c r="AB99" s="497" t="s">
        <v>965</v>
      </c>
      <c r="AC99" s="498" t="s">
        <v>3792</v>
      </c>
      <c r="AD99" s="497" t="s">
        <v>986</v>
      </c>
      <c r="AE99" s="498" t="s">
        <v>37</v>
      </c>
      <c r="AF99" s="497" t="s">
        <v>986</v>
      </c>
      <c r="AG99" s="499" t="s">
        <v>37</v>
      </c>
      <c r="AH99" s="497" t="s">
        <v>986</v>
      </c>
      <c r="AI99" s="498" t="s">
        <v>2783</v>
      </c>
      <c r="AJ99" s="497" t="s">
        <v>966</v>
      </c>
      <c r="AK99" s="498" t="s">
        <v>3793</v>
      </c>
      <c r="AL99" s="497" t="s">
        <v>965</v>
      </c>
      <c r="AM99" s="499" t="s">
        <v>3794</v>
      </c>
      <c r="AN99" s="497" t="s">
        <v>965</v>
      </c>
      <c r="AO99" s="498" t="s">
        <v>3795</v>
      </c>
      <c r="AP99" s="497" t="s">
        <v>986</v>
      </c>
      <c r="AQ99" s="498" t="s">
        <v>465</v>
      </c>
      <c r="AR99" s="497" t="s">
        <v>965</v>
      </c>
      <c r="AS99" s="499" t="s">
        <v>3796</v>
      </c>
      <c r="AT99" s="497" t="s">
        <v>986</v>
      </c>
      <c r="AU99" s="499" t="s">
        <v>37</v>
      </c>
      <c r="AV99" s="497" t="s">
        <v>965</v>
      </c>
      <c r="AW99" s="498" t="s">
        <v>456</v>
      </c>
      <c r="AX99" s="497" t="s">
        <v>965</v>
      </c>
      <c r="AY99" s="498" t="s">
        <v>464</v>
      </c>
      <c r="AZ99" s="497" t="s">
        <v>965</v>
      </c>
      <c r="BA99" s="498" t="s">
        <v>279</v>
      </c>
      <c r="BB99" s="497" t="s">
        <v>986</v>
      </c>
      <c r="BC99" s="498" t="s">
        <v>37</v>
      </c>
      <c r="BD99" s="497" t="s">
        <v>965</v>
      </c>
      <c r="BE99" s="498" t="s">
        <v>2138</v>
      </c>
      <c r="BF99" s="497" t="s">
        <v>965</v>
      </c>
      <c r="BG99" s="498" t="s">
        <v>2138</v>
      </c>
      <c r="BH99" s="497" t="s">
        <v>965</v>
      </c>
      <c r="BI99" s="498" t="s">
        <v>457</v>
      </c>
      <c r="BJ99" s="497" t="s">
        <v>986</v>
      </c>
      <c r="BK99" s="498" t="s">
        <v>37</v>
      </c>
      <c r="BL99" s="497" t="s">
        <v>963</v>
      </c>
      <c r="BM99" s="498" t="s">
        <v>3797</v>
      </c>
      <c r="BN99" s="497" t="s">
        <v>986</v>
      </c>
      <c r="BO99" s="499" t="s">
        <v>37</v>
      </c>
      <c r="BP99" s="497" t="s">
        <v>967</v>
      </c>
      <c r="BQ99" s="498" t="s">
        <v>557</v>
      </c>
      <c r="BR99" s="497" t="s">
        <v>967</v>
      </c>
      <c r="BS99" s="498" t="s">
        <v>3798</v>
      </c>
      <c r="BT99" s="497" t="s">
        <v>966</v>
      </c>
      <c r="BU99" s="498" t="s">
        <v>458</v>
      </c>
      <c r="BV99" s="497" t="s">
        <v>965</v>
      </c>
      <c r="BW99" s="498" t="s">
        <v>2193</v>
      </c>
      <c r="BX99" s="497" t="s">
        <v>966</v>
      </c>
      <c r="BY99" s="498" t="s">
        <v>3799</v>
      </c>
      <c r="BZ99" s="497" t="s">
        <v>965</v>
      </c>
      <c r="CA99" s="498" t="s">
        <v>3800</v>
      </c>
      <c r="CB99" s="497" t="s">
        <v>986</v>
      </c>
      <c r="CC99" s="498" t="s">
        <v>37</v>
      </c>
      <c r="CD99" s="497" t="s">
        <v>965</v>
      </c>
      <c r="CE99" s="498" t="s">
        <v>3772</v>
      </c>
      <c r="CF99" s="497" t="s">
        <v>986</v>
      </c>
      <c r="CG99" s="498" t="s">
        <v>37</v>
      </c>
      <c r="CH99" s="497" t="s">
        <v>986</v>
      </c>
      <c r="CI99" s="498" t="s">
        <v>37</v>
      </c>
      <c r="CJ99" s="497" t="s">
        <v>986</v>
      </c>
      <c r="CK99" s="498" t="s">
        <v>37</v>
      </c>
      <c r="CL99" s="497" t="s">
        <v>986</v>
      </c>
      <c r="CM99" s="498" t="s">
        <v>37</v>
      </c>
      <c r="CN99" s="497" t="s">
        <v>986</v>
      </c>
      <c r="CO99" s="498" t="s">
        <v>37</v>
      </c>
      <c r="CP99" s="504" t="s">
        <v>3801</v>
      </c>
      <c r="CQ99" s="34"/>
      <c r="CR99" s="34"/>
    </row>
    <row r="100" spans="1:96" s="5" customFormat="1" ht="102" thickBot="1" x14ac:dyDescent="0.25">
      <c r="A100" s="124">
        <f t="shared" si="1"/>
        <v>95</v>
      </c>
      <c r="B100" s="509" t="s">
        <v>1596</v>
      </c>
      <c r="C100" s="509" t="s">
        <v>1461</v>
      </c>
      <c r="D100" s="510">
        <v>590</v>
      </c>
      <c r="E100" s="510" t="s">
        <v>2386</v>
      </c>
      <c r="F100" s="558" t="s">
        <v>986</v>
      </c>
      <c r="G100" s="559" t="s">
        <v>150</v>
      </c>
      <c r="H100" s="558" t="s">
        <v>986</v>
      </c>
      <c r="I100" s="559" t="s">
        <v>150</v>
      </c>
      <c r="J100" s="558" t="s">
        <v>986</v>
      </c>
      <c r="K100" s="559" t="s">
        <v>150</v>
      </c>
      <c r="L100" s="558" t="s">
        <v>986</v>
      </c>
      <c r="M100" s="559" t="s">
        <v>37</v>
      </c>
      <c r="N100" s="558" t="s">
        <v>986</v>
      </c>
      <c r="O100" s="559" t="s">
        <v>37</v>
      </c>
      <c r="P100" s="558" t="s">
        <v>963</v>
      </c>
      <c r="Q100" s="559" t="s">
        <v>1981</v>
      </c>
      <c r="R100" s="558" t="s">
        <v>958</v>
      </c>
      <c r="S100" s="559" t="s">
        <v>798</v>
      </c>
      <c r="T100" s="558" t="s">
        <v>986</v>
      </c>
      <c r="U100" s="560" t="s">
        <v>37</v>
      </c>
      <c r="V100" s="558" t="s">
        <v>964</v>
      </c>
      <c r="W100" s="559" t="s">
        <v>1982</v>
      </c>
      <c r="X100" s="558" t="s">
        <v>986</v>
      </c>
      <c r="Y100" s="559" t="s">
        <v>37</v>
      </c>
      <c r="Z100" s="558" t="s">
        <v>986</v>
      </c>
      <c r="AA100" s="559" t="s">
        <v>37</v>
      </c>
      <c r="AB100" s="558" t="s">
        <v>986</v>
      </c>
      <c r="AC100" s="559" t="s">
        <v>37</v>
      </c>
      <c r="AD100" s="558" t="s">
        <v>986</v>
      </c>
      <c r="AE100" s="559" t="s">
        <v>37</v>
      </c>
      <c r="AF100" s="558" t="s">
        <v>986</v>
      </c>
      <c r="AG100" s="560" t="s">
        <v>799</v>
      </c>
      <c r="AH100" s="558" t="s">
        <v>986</v>
      </c>
      <c r="AI100" s="559" t="s">
        <v>799</v>
      </c>
      <c r="AJ100" s="558" t="s">
        <v>986</v>
      </c>
      <c r="AK100" s="559" t="s">
        <v>37</v>
      </c>
      <c r="AL100" s="558" t="s">
        <v>986</v>
      </c>
      <c r="AM100" s="560" t="s">
        <v>37</v>
      </c>
      <c r="AN100" s="558" t="s">
        <v>967</v>
      </c>
      <c r="AO100" s="559" t="s">
        <v>1983</v>
      </c>
      <c r="AP100" s="558" t="s">
        <v>967</v>
      </c>
      <c r="AQ100" s="559" t="s">
        <v>1692</v>
      </c>
      <c r="AR100" s="558" t="s">
        <v>966</v>
      </c>
      <c r="AS100" s="560" t="s">
        <v>1668</v>
      </c>
      <c r="AT100" s="558" t="s">
        <v>966</v>
      </c>
      <c r="AU100" s="560" t="s">
        <v>1668</v>
      </c>
      <c r="AV100" s="558" t="s">
        <v>964</v>
      </c>
      <c r="AW100" s="559" t="s">
        <v>3947</v>
      </c>
      <c r="AX100" s="558" t="s">
        <v>964</v>
      </c>
      <c r="AY100" s="559" t="s">
        <v>3948</v>
      </c>
      <c r="AZ100" s="558" t="s">
        <v>986</v>
      </c>
      <c r="BA100" s="559" t="s">
        <v>1275</v>
      </c>
      <c r="BB100" s="558" t="s">
        <v>986</v>
      </c>
      <c r="BC100" s="559" t="s">
        <v>37</v>
      </c>
      <c r="BD100" s="558" t="s">
        <v>963</v>
      </c>
      <c r="BE100" s="559" t="s">
        <v>2104</v>
      </c>
      <c r="BF100" s="558" t="s">
        <v>963</v>
      </c>
      <c r="BG100" s="559" t="s">
        <v>2139</v>
      </c>
      <c r="BH100" s="558" t="s">
        <v>963</v>
      </c>
      <c r="BI100" s="559" t="s">
        <v>2894</v>
      </c>
      <c r="BJ100" s="558" t="s">
        <v>963</v>
      </c>
      <c r="BK100" s="559" t="s">
        <v>2895</v>
      </c>
      <c r="BL100" s="558" t="s">
        <v>964</v>
      </c>
      <c r="BM100" s="559" t="s">
        <v>2896</v>
      </c>
      <c r="BN100" s="558" t="s">
        <v>963</v>
      </c>
      <c r="BO100" s="560" t="s">
        <v>2897</v>
      </c>
      <c r="BP100" s="558" t="s">
        <v>964</v>
      </c>
      <c r="BQ100" s="559" t="s">
        <v>872</v>
      </c>
      <c r="BR100" s="558" t="s">
        <v>963</v>
      </c>
      <c r="BS100" s="559" t="s">
        <v>2164</v>
      </c>
      <c r="BT100" s="558" t="s">
        <v>986</v>
      </c>
      <c r="BU100" s="559" t="s">
        <v>37</v>
      </c>
      <c r="BV100" s="558" t="s">
        <v>986</v>
      </c>
      <c r="BW100" s="559" t="s">
        <v>37</v>
      </c>
      <c r="BX100" s="558" t="s">
        <v>986</v>
      </c>
      <c r="BY100" s="559" t="s">
        <v>873</v>
      </c>
      <c r="BZ100" s="558" t="s">
        <v>986</v>
      </c>
      <c r="CA100" s="559" t="s">
        <v>1644</v>
      </c>
      <c r="CB100" s="558" t="s">
        <v>986</v>
      </c>
      <c r="CC100" s="559" t="s">
        <v>37</v>
      </c>
      <c r="CD100" s="558" t="s">
        <v>986</v>
      </c>
      <c r="CE100" s="559" t="s">
        <v>37</v>
      </c>
      <c r="CF100" s="558" t="s">
        <v>964</v>
      </c>
      <c r="CG100" s="559" t="s">
        <v>1353</v>
      </c>
      <c r="CH100" s="558" t="s">
        <v>986</v>
      </c>
      <c r="CI100" s="560" t="s">
        <v>37</v>
      </c>
      <c r="CJ100" s="558" t="s">
        <v>986</v>
      </c>
      <c r="CK100" s="559" t="s">
        <v>3949</v>
      </c>
      <c r="CL100" s="558" t="s">
        <v>986</v>
      </c>
      <c r="CM100" s="559" t="s">
        <v>37</v>
      </c>
      <c r="CN100" s="558" t="s">
        <v>986</v>
      </c>
      <c r="CO100" s="559" t="s">
        <v>37</v>
      </c>
      <c r="CP100" s="561"/>
      <c r="CQ100" s="34"/>
      <c r="CR100" s="34"/>
    </row>
    <row r="101" spans="1:96" s="5" customFormat="1" ht="135.75" thickBot="1" x14ac:dyDescent="0.25">
      <c r="A101" s="124">
        <f t="shared" si="1"/>
        <v>96</v>
      </c>
      <c r="B101" s="509" t="s">
        <v>1014</v>
      </c>
      <c r="C101" s="509" t="s">
        <v>1597</v>
      </c>
      <c r="D101" s="510">
        <v>500</v>
      </c>
      <c r="E101" s="510" t="s">
        <v>2386</v>
      </c>
      <c r="F101" s="497" t="s">
        <v>986</v>
      </c>
      <c r="G101" s="498" t="s">
        <v>1004</v>
      </c>
      <c r="H101" s="497" t="s">
        <v>986</v>
      </c>
      <c r="I101" s="498" t="s">
        <v>1004</v>
      </c>
      <c r="J101" s="497" t="s">
        <v>986</v>
      </c>
      <c r="K101" s="498" t="s">
        <v>1004</v>
      </c>
      <c r="L101" s="497" t="s">
        <v>986</v>
      </c>
      <c r="M101" s="498" t="s">
        <v>37</v>
      </c>
      <c r="N101" s="497" t="s">
        <v>986</v>
      </c>
      <c r="O101" s="498" t="s">
        <v>37</v>
      </c>
      <c r="P101" s="497" t="s">
        <v>965</v>
      </c>
      <c r="Q101" s="498" t="s">
        <v>79</v>
      </c>
      <c r="R101" s="497" t="s">
        <v>958</v>
      </c>
      <c r="S101" s="498" t="s">
        <v>601</v>
      </c>
      <c r="T101" s="497" t="s">
        <v>986</v>
      </c>
      <c r="U101" s="499" t="s">
        <v>37</v>
      </c>
      <c r="V101" s="497" t="s">
        <v>986</v>
      </c>
      <c r="W101" s="498" t="s">
        <v>37</v>
      </c>
      <c r="X101" s="497" t="s">
        <v>986</v>
      </c>
      <c r="Y101" s="498" t="s">
        <v>37</v>
      </c>
      <c r="Z101" s="497" t="s">
        <v>986</v>
      </c>
      <c r="AA101" s="498" t="s">
        <v>37</v>
      </c>
      <c r="AB101" s="497" t="s">
        <v>986</v>
      </c>
      <c r="AC101" s="498" t="s">
        <v>37</v>
      </c>
      <c r="AD101" s="497" t="s">
        <v>963</v>
      </c>
      <c r="AE101" s="498" t="s">
        <v>887</v>
      </c>
      <c r="AF101" s="497" t="s">
        <v>986</v>
      </c>
      <c r="AG101" s="499" t="s">
        <v>37</v>
      </c>
      <c r="AH101" s="497" t="s">
        <v>986</v>
      </c>
      <c r="AI101" s="498" t="s">
        <v>37</v>
      </c>
      <c r="AJ101" s="497" t="s">
        <v>986</v>
      </c>
      <c r="AK101" s="498" t="s">
        <v>37</v>
      </c>
      <c r="AL101" s="497" t="s">
        <v>986</v>
      </c>
      <c r="AM101" s="499" t="s">
        <v>37</v>
      </c>
      <c r="AN101" s="497" t="s">
        <v>986</v>
      </c>
      <c r="AO101" s="498" t="s">
        <v>37</v>
      </c>
      <c r="AP101" s="497" t="s">
        <v>986</v>
      </c>
      <c r="AQ101" s="498" t="s">
        <v>37</v>
      </c>
      <c r="AR101" s="497" t="s">
        <v>986</v>
      </c>
      <c r="AS101" s="499" t="s">
        <v>37</v>
      </c>
      <c r="AT101" s="497" t="s">
        <v>986</v>
      </c>
      <c r="AU101" s="499" t="s">
        <v>37</v>
      </c>
      <c r="AV101" s="497" t="s">
        <v>986</v>
      </c>
      <c r="AW101" s="498" t="s">
        <v>37</v>
      </c>
      <c r="AX101" s="497" t="s">
        <v>986</v>
      </c>
      <c r="AY101" s="498" t="s">
        <v>37</v>
      </c>
      <c r="AZ101" s="497" t="s">
        <v>986</v>
      </c>
      <c r="BA101" s="498" t="s">
        <v>37</v>
      </c>
      <c r="BB101" s="497" t="s">
        <v>986</v>
      </c>
      <c r="BC101" s="498" t="s">
        <v>37</v>
      </c>
      <c r="BD101" s="497" t="s">
        <v>986</v>
      </c>
      <c r="BE101" s="498" t="s">
        <v>37</v>
      </c>
      <c r="BF101" s="497" t="s">
        <v>986</v>
      </c>
      <c r="BG101" s="498" t="s">
        <v>37</v>
      </c>
      <c r="BH101" s="497" t="s">
        <v>986</v>
      </c>
      <c r="BI101" s="498" t="s">
        <v>2898</v>
      </c>
      <c r="BJ101" s="497" t="s">
        <v>986</v>
      </c>
      <c r="BK101" s="498" t="s">
        <v>2899</v>
      </c>
      <c r="BL101" s="497" t="s">
        <v>986</v>
      </c>
      <c r="BM101" s="498" t="s">
        <v>2900</v>
      </c>
      <c r="BN101" s="497" t="s">
        <v>986</v>
      </c>
      <c r="BO101" s="499" t="s">
        <v>37</v>
      </c>
      <c r="BP101" s="497" t="s">
        <v>986</v>
      </c>
      <c r="BQ101" s="498" t="s">
        <v>37</v>
      </c>
      <c r="BR101" s="497" t="s">
        <v>986</v>
      </c>
      <c r="BS101" s="498" t="s">
        <v>37</v>
      </c>
      <c r="BT101" s="497" t="s">
        <v>986</v>
      </c>
      <c r="BU101" s="498" t="s">
        <v>37</v>
      </c>
      <c r="BV101" s="497" t="s">
        <v>986</v>
      </c>
      <c r="BW101" s="498" t="s">
        <v>37</v>
      </c>
      <c r="BX101" s="497" t="s">
        <v>986</v>
      </c>
      <c r="BY101" s="498" t="s">
        <v>37</v>
      </c>
      <c r="BZ101" s="497" t="s">
        <v>961</v>
      </c>
      <c r="CA101" s="498" t="s">
        <v>1763</v>
      </c>
      <c r="CB101" s="497" t="s">
        <v>986</v>
      </c>
      <c r="CC101" s="498" t="s">
        <v>37</v>
      </c>
      <c r="CD101" s="497" t="s">
        <v>986</v>
      </c>
      <c r="CE101" s="498" t="s">
        <v>37</v>
      </c>
      <c r="CF101" s="497" t="s">
        <v>986</v>
      </c>
      <c r="CG101" s="498" t="s">
        <v>37</v>
      </c>
      <c r="CH101" s="497" t="s">
        <v>958</v>
      </c>
      <c r="CI101" s="499" t="s">
        <v>1757</v>
      </c>
      <c r="CJ101" s="497" t="s">
        <v>986</v>
      </c>
      <c r="CK101" s="498" t="s">
        <v>37</v>
      </c>
      <c r="CL101" s="497" t="s">
        <v>986</v>
      </c>
      <c r="CM101" s="498" t="s">
        <v>37</v>
      </c>
      <c r="CN101" s="497" t="s">
        <v>986</v>
      </c>
      <c r="CO101" s="498" t="s">
        <v>37</v>
      </c>
      <c r="CP101" s="517"/>
      <c r="CQ101" s="34"/>
      <c r="CR101" s="34"/>
    </row>
    <row r="102" spans="1:96" s="5" customFormat="1" ht="57" thickBot="1" x14ac:dyDescent="0.25">
      <c r="A102" s="124">
        <f t="shared" si="1"/>
        <v>97</v>
      </c>
      <c r="B102" s="509" t="s">
        <v>3697</v>
      </c>
      <c r="C102" s="509" t="s">
        <v>1599</v>
      </c>
      <c r="D102" s="510" t="s">
        <v>3698</v>
      </c>
      <c r="E102" s="510" t="s">
        <v>2384</v>
      </c>
      <c r="F102" s="497" t="s">
        <v>986</v>
      </c>
      <c r="G102" s="498" t="s">
        <v>37</v>
      </c>
      <c r="H102" s="497" t="s">
        <v>986</v>
      </c>
      <c r="I102" s="498" t="s">
        <v>37</v>
      </c>
      <c r="J102" s="497" t="s">
        <v>986</v>
      </c>
      <c r="K102" s="498" t="s">
        <v>37</v>
      </c>
      <c r="L102" s="497" t="s">
        <v>986</v>
      </c>
      <c r="M102" s="498" t="s">
        <v>37</v>
      </c>
      <c r="N102" s="497" t="s">
        <v>986</v>
      </c>
      <c r="O102" s="498" t="s">
        <v>37</v>
      </c>
      <c r="P102" s="497" t="s">
        <v>986</v>
      </c>
      <c r="Q102" s="498" t="s">
        <v>37</v>
      </c>
      <c r="R102" s="497" t="s">
        <v>986</v>
      </c>
      <c r="S102" s="498" t="s">
        <v>37</v>
      </c>
      <c r="T102" s="497" t="s">
        <v>986</v>
      </c>
      <c r="U102" s="499" t="s">
        <v>37</v>
      </c>
      <c r="V102" s="497" t="s">
        <v>986</v>
      </c>
      <c r="W102" s="498" t="s">
        <v>37</v>
      </c>
      <c r="X102" s="497" t="s">
        <v>986</v>
      </c>
      <c r="Y102" s="498" t="s">
        <v>37</v>
      </c>
      <c r="Z102" s="497" t="s">
        <v>986</v>
      </c>
      <c r="AA102" s="498" t="s">
        <v>37</v>
      </c>
      <c r="AB102" s="497" t="s">
        <v>986</v>
      </c>
      <c r="AC102" s="498" t="s">
        <v>37</v>
      </c>
      <c r="AD102" s="497" t="s">
        <v>986</v>
      </c>
      <c r="AE102" s="498" t="s">
        <v>37</v>
      </c>
      <c r="AF102" s="497" t="s">
        <v>986</v>
      </c>
      <c r="AG102" s="499" t="s">
        <v>37</v>
      </c>
      <c r="AH102" s="497" t="s">
        <v>986</v>
      </c>
      <c r="AI102" s="498" t="s">
        <v>37</v>
      </c>
      <c r="AJ102" s="497" t="s">
        <v>986</v>
      </c>
      <c r="AK102" s="498" t="s">
        <v>37</v>
      </c>
      <c r="AL102" s="497" t="s">
        <v>986</v>
      </c>
      <c r="AM102" s="499" t="s">
        <v>37</v>
      </c>
      <c r="AN102" s="497" t="s">
        <v>986</v>
      </c>
      <c r="AO102" s="498" t="s">
        <v>37</v>
      </c>
      <c r="AP102" s="497" t="s">
        <v>986</v>
      </c>
      <c r="AQ102" s="499" t="s">
        <v>37</v>
      </c>
      <c r="AR102" s="497" t="s">
        <v>986</v>
      </c>
      <c r="AS102" s="499" t="s">
        <v>37</v>
      </c>
      <c r="AT102" s="497" t="s">
        <v>986</v>
      </c>
      <c r="AU102" s="499" t="s">
        <v>37</v>
      </c>
      <c r="AV102" s="497" t="s">
        <v>986</v>
      </c>
      <c r="AW102" s="498" t="s">
        <v>37</v>
      </c>
      <c r="AX102" s="497" t="s">
        <v>986</v>
      </c>
      <c r="AY102" s="498" t="s">
        <v>37</v>
      </c>
      <c r="AZ102" s="497" t="s">
        <v>986</v>
      </c>
      <c r="BA102" s="498" t="s">
        <v>37</v>
      </c>
      <c r="BB102" s="497" t="s">
        <v>986</v>
      </c>
      <c r="BC102" s="498" t="s">
        <v>37</v>
      </c>
      <c r="BD102" s="497" t="s">
        <v>967</v>
      </c>
      <c r="BE102" s="498" t="s">
        <v>3699</v>
      </c>
      <c r="BF102" s="497" t="s">
        <v>967</v>
      </c>
      <c r="BG102" s="498" t="s">
        <v>3699</v>
      </c>
      <c r="BH102" s="497" t="s">
        <v>986</v>
      </c>
      <c r="BI102" s="498" t="s">
        <v>37</v>
      </c>
      <c r="BJ102" s="497" t="s">
        <v>986</v>
      </c>
      <c r="BK102" s="498" t="s">
        <v>37</v>
      </c>
      <c r="BL102" s="497" t="s">
        <v>986</v>
      </c>
      <c r="BM102" s="498" t="s">
        <v>37</v>
      </c>
      <c r="BN102" s="497" t="s">
        <v>986</v>
      </c>
      <c r="BO102" s="499" t="s">
        <v>37</v>
      </c>
      <c r="BP102" s="497" t="s">
        <v>986</v>
      </c>
      <c r="BQ102" s="498" t="s">
        <v>37</v>
      </c>
      <c r="BR102" s="497" t="s">
        <v>986</v>
      </c>
      <c r="BS102" s="498" t="s">
        <v>37</v>
      </c>
      <c r="BT102" s="497" t="s">
        <v>986</v>
      </c>
      <c r="BU102" s="498" t="s">
        <v>37</v>
      </c>
      <c r="BV102" s="497" t="s">
        <v>986</v>
      </c>
      <c r="BW102" s="498" t="s">
        <v>37</v>
      </c>
      <c r="BX102" s="497" t="s">
        <v>986</v>
      </c>
      <c r="BY102" s="498" t="s">
        <v>37</v>
      </c>
      <c r="BZ102" s="497" t="s">
        <v>986</v>
      </c>
      <c r="CA102" s="498" t="s">
        <v>37</v>
      </c>
      <c r="CB102" s="497" t="s">
        <v>986</v>
      </c>
      <c r="CC102" s="498" t="s">
        <v>37</v>
      </c>
      <c r="CD102" s="497" t="s">
        <v>986</v>
      </c>
      <c r="CE102" s="498" t="s">
        <v>37</v>
      </c>
      <c r="CF102" s="497" t="s">
        <v>986</v>
      </c>
      <c r="CG102" s="498" t="s">
        <v>37</v>
      </c>
      <c r="CH102" s="497" t="s">
        <v>986</v>
      </c>
      <c r="CI102" s="499" t="s">
        <v>37</v>
      </c>
      <c r="CJ102" s="497" t="s">
        <v>986</v>
      </c>
      <c r="CK102" s="498" t="s">
        <v>37</v>
      </c>
      <c r="CL102" s="497" t="s">
        <v>986</v>
      </c>
      <c r="CM102" s="498" t="s">
        <v>37</v>
      </c>
      <c r="CN102" s="497" t="s">
        <v>986</v>
      </c>
      <c r="CO102" s="498" t="s">
        <v>37</v>
      </c>
      <c r="CP102" s="566" t="s">
        <v>3993</v>
      </c>
      <c r="CQ102" s="34"/>
      <c r="CR102" s="34"/>
    </row>
    <row r="103" spans="1:96" s="5" customFormat="1" ht="90.75" thickBot="1" x14ac:dyDescent="0.25">
      <c r="A103" s="124">
        <f t="shared" si="1"/>
        <v>98</v>
      </c>
      <c r="B103" s="509" t="s">
        <v>1015</v>
      </c>
      <c r="C103" s="509" t="s">
        <v>1606</v>
      </c>
      <c r="D103" s="510">
        <v>582</v>
      </c>
      <c r="E103" s="510" t="s">
        <v>2383</v>
      </c>
      <c r="F103" s="497" t="s">
        <v>986</v>
      </c>
      <c r="G103" s="498" t="s">
        <v>37</v>
      </c>
      <c r="H103" s="497" t="s">
        <v>986</v>
      </c>
      <c r="I103" s="498" t="s">
        <v>37</v>
      </c>
      <c r="J103" s="497" t="s">
        <v>986</v>
      </c>
      <c r="K103" s="498" t="s">
        <v>37</v>
      </c>
      <c r="L103" s="497" t="s">
        <v>986</v>
      </c>
      <c r="M103" s="498" t="s">
        <v>37</v>
      </c>
      <c r="N103" s="497" t="s">
        <v>963</v>
      </c>
      <c r="O103" s="498" t="s">
        <v>1676</v>
      </c>
      <c r="P103" s="497" t="s">
        <v>986</v>
      </c>
      <c r="Q103" s="498" t="s">
        <v>37</v>
      </c>
      <c r="R103" s="497" t="s">
        <v>986</v>
      </c>
      <c r="S103" s="498" t="s">
        <v>37</v>
      </c>
      <c r="T103" s="497" t="s">
        <v>986</v>
      </c>
      <c r="U103" s="499" t="s">
        <v>37</v>
      </c>
      <c r="V103" s="497" t="s">
        <v>986</v>
      </c>
      <c r="W103" s="498" t="s">
        <v>37</v>
      </c>
      <c r="X103" s="497" t="s">
        <v>965</v>
      </c>
      <c r="Y103" s="498" t="s">
        <v>1571</v>
      </c>
      <c r="Z103" s="497" t="s">
        <v>967</v>
      </c>
      <c r="AA103" s="498" t="s">
        <v>1572</v>
      </c>
      <c r="AB103" s="497" t="s">
        <v>963</v>
      </c>
      <c r="AC103" s="498" t="s">
        <v>1573</v>
      </c>
      <c r="AD103" s="497" t="s">
        <v>986</v>
      </c>
      <c r="AE103" s="498" t="s">
        <v>37</v>
      </c>
      <c r="AF103" s="497" t="s">
        <v>986</v>
      </c>
      <c r="AG103" s="499" t="s">
        <v>37</v>
      </c>
      <c r="AH103" s="497" t="s">
        <v>986</v>
      </c>
      <c r="AI103" s="498" t="s">
        <v>37</v>
      </c>
      <c r="AJ103" s="497" t="s">
        <v>986</v>
      </c>
      <c r="AK103" s="498" t="s">
        <v>37</v>
      </c>
      <c r="AL103" s="497" t="s">
        <v>986</v>
      </c>
      <c r="AM103" s="499" t="s">
        <v>37</v>
      </c>
      <c r="AN103" s="497" t="s">
        <v>958</v>
      </c>
      <c r="AO103" s="498" t="s">
        <v>294</v>
      </c>
      <c r="AP103" s="497" t="s">
        <v>986</v>
      </c>
      <c r="AQ103" s="498" t="s">
        <v>32</v>
      </c>
      <c r="AR103" s="497" t="s">
        <v>986</v>
      </c>
      <c r="AS103" s="499" t="s">
        <v>37</v>
      </c>
      <c r="AT103" s="497" t="s">
        <v>986</v>
      </c>
      <c r="AU103" s="499" t="s">
        <v>32</v>
      </c>
      <c r="AV103" s="497" t="s">
        <v>986</v>
      </c>
      <c r="AW103" s="498" t="s">
        <v>37</v>
      </c>
      <c r="AX103" s="497" t="s">
        <v>986</v>
      </c>
      <c r="AY103" s="498" t="s">
        <v>37</v>
      </c>
      <c r="AZ103" s="497" t="s">
        <v>986</v>
      </c>
      <c r="BA103" s="498" t="s">
        <v>445</v>
      </c>
      <c r="BB103" s="497" t="s">
        <v>986</v>
      </c>
      <c r="BC103" s="498" t="s">
        <v>1724</v>
      </c>
      <c r="BD103" s="497" t="s">
        <v>958</v>
      </c>
      <c r="BE103" s="498" t="s">
        <v>2105</v>
      </c>
      <c r="BF103" s="497" t="s">
        <v>986</v>
      </c>
      <c r="BG103" s="498" t="s">
        <v>37</v>
      </c>
      <c r="BH103" s="497" t="s">
        <v>986</v>
      </c>
      <c r="BI103" s="498" t="s">
        <v>37</v>
      </c>
      <c r="BJ103" s="497" t="s">
        <v>986</v>
      </c>
      <c r="BK103" s="498" t="s">
        <v>37</v>
      </c>
      <c r="BL103" s="497" t="s">
        <v>986</v>
      </c>
      <c r="BM103" s="498" t="s">
        <v>37</v>
      </c>
      <c r="BN103" s="497" t="s">
        <v>986</v>
      </c>
      <c r="BO103" s="499" t="s">
        <v>37</v>
      </c>
      <c r="BP103" s="497" t="s">
        <v>986</v>
      </c>
      <c r="BQ103" s="498" t="s">
        <v>37</v>
      </c>
      <c r="BR103" s="497" t="s">
        <v>986</v>
      </c>
      <c r="BS103" s="498" t="s">
        <v>37</v>
      </c>
      <c r="BT103" s="497" t="s">
        <v>986</v>
      </c>
      <c r="BU103" s="498" t="s">
        <v>37</v>
      </c>
      <c r="BV103" s="497" t="s">
        <v>986</v>
      </c>
      <c r="BW103" s="498" t="s">
        <v>37</v>
      </c>
      <c r="BX103" s="497" t="s">
        <v>986</v>
      </c>
      <c r="BY103" s="498" t="s">
        <v>1764</v>
      </c>
      <c r="BZ103" s="497" t="s">
        <v>986</v>
      </c>
      <c r="CA103" s="498" t="s">
        <v>713</v>
      </c>
      <c r="CB103" s="497" t="s">
        <v>961</v>
      </c>
      <c r="CC103" s="498" t="s">
        <v>1542</v>
      </c>
      <c r="CD103" s="497" t="s">
        <v>986</v>
      </c>
      <c r="CE103" s="498" t="s">
        <v>1155</v>
      </c>
      <c r="CF103" s="497" t="s">
        <v>986</v>
      </c>
      <c r="CG103" s="498" t="s">
        <v>37</v>
      </c>
      <c r="CH103" s="497" t="s">
        <v>986</v>
      </c>
      <c r="CI103" s="499" t="s">
        <v>37</v>
      </c>
      <c r="CJ103" s="497" t="s">
        <v>986</v>
      </c>
      <c r="CK103" s="498" t="s">
        <v>37</v>
      </c>
      <c r="CL103" s="497" t="s">
        <v>986</v>
      </c>
      <c r="CM103" s="498" t="s">
        <v>37</v>
      </c>
      <c r="CN103" s="497" t="s">
        <v>986</v>
      </c>
      <c r="CO103" s="498" t="s">
        <v>37</v>
      </c>
      <c r="CP103" s="517"/>
      <c r="CQ103" s="34"/>
      <c r="CR103" s="34"/>
    </row>
    <row r="104" spans="1:96" s="5" customFormat="1" ht="102" thickBot="1" x14ac:dyDescent="0.25">
      <c r="A104" s="124">
        <f t="shared" si="1"/>
        <v>99</v>
      </c>
      <c r="B104" s="509" t="s">
        <v>641</v>
      </c>
      <c r="C104" s="509" t="s">
        <v>1606</v>
      </c>
      <c r="D104" s="510">
        <v>378</v>
      </c>
      <c r="E104" s="510" t="s">
        <v>2388</v>
      </c>
      <c r="F104" s="497" t="s">
        <v>986</v>
      </c>
      <c r="G104" s="498" t="s">
        <v>37</v>
      </c>
      <c r="H104" s="497" t="s">
        <v>986</v>
      </c>
      <c r="I104" s="498" t="s">
        <v>37</v>
      </c>
      <c r="J104" s="497" t="s">
        <v>986</v>
      </c>
      <c r="K104" s="498" t="s">
        <v>37</v>
      </c>
      <c r="L104" s="497" t="s">
        <v>963</v>
      </c>
      <c r="M104" s="498" t="s">
        <v>1296</v>
      </c>
      <c r="N104" s="497" t="s">
        <v>965</v>
      </c>
      <c r="O104" s="498" t="s">
        <v>1509</v>
      </c>
      <c r="P104" s="497" t="s">
        <v>986</v>
      </c>
      <c r="Q104" s="498" t="s">
        <v>37</v>
      </c>
      <c r="R104" s="497" t="s">
        <v>986</v>
      </c>
      <c r="S104" s="498" t="s">
        <v>37</v>
      </c>
      <c r="T104" s="497" t="s">
        <v>986</v>
      </c>
      <c r="U104" s="499" t="s">
        <v>37</v>
      </c>
      <c r="V104" s="497" t="s">
        <v>958</v>
      </c>
      <c r="W104" s="498" t="s">
        <v>1975</v>
      </c>
      <c r="X104" s="497" t="s">
        <v>961</v>
      </c>
      <c r="Y104" s="498" t="s">
        <v>1332</v>
      </c>
      <c r="Z104" s="497" t="s">
        <v>963</v>
      </c>
      <c r="AA104" s="498" t="s">
        <v>1333</v>
      </c>
      <c r="AB104" s="497" t="s">
        <v>958</v>
      </c>
      <c r="AC104" s="498" t="s">
        <v>1334</v>
      </c>
      <c r="AD104" s="497" t="s">
        <v>986</v>
      </c>
      <c r="AE104" s="498" t="s">
        <v>37</v>
      </c>
      <c r="AF104" s="497" t="s">
        <v>963</v>
      </c>
      <c r="AG104" s="499" t="s">
        <v>1006</v>
      </c>
      <c r="AH104" s="497" t="s">
        <v>963</v>
      </c>
      <c r="AI104" s="498" t="s">
        <v>936</v>
      </c>
      <c r="AJ104" s="497" t="s">
        <v>986</v>
      </c>
      <c r="AK104" s="498" t="s">
        <v>37</v>
      </c>
      <c r="AL104" s="497" t="s">
        <v>986</v>
      </c>
      <c r="AM104" s="499" t="s">
        <v>37</v>
      </c>
      <c r="AN104" s="497" t="s">
        <v>963</v>
      </c>
      <c r="AO104" s="498" t="s">
        <v>1495</v>
      </c>
      <c r="AP104" s="497" t="s">
        <v>958</v>
      </c>
      <c r="AQ104" s="498" t="s">
        <v>1712</v>
      </c>
      <c r="AR104" s="497" t="s">
        <v>986</v>
      </c>
      <c r="AS104" s="499" t="s">
        <v>37</v>
      </c>
      <c r="AT104" s="497" t="s">
        <v>986</v>
      </c>
      <c r="AU104" s="499" t="s">
        <v>37</v>
      </c>
      <c r="AV104" s="497" t="s">
        <v>961</v>
      </c>
      <c r="AW104" s="498" t="s">
        <v>1730</v>
      </c>
      <c r="AX104" s="497" t="s">
        <v>986</v>
      </c>
      <c r="AY104" s="498" t="s">
        <v>37</v>
      </c>
      <c r="AZ104" s="497" t="s">
        <v>963</v>
      </c>
      <c r="BA104" s="498" t="s">
        <v>516</v>
      </c>
      <c r="BB104" s="497" t="s">
        <v>986</v>
      </c>
      <c r="BC104" s="498" t="s">
        <v>1197</v>
      </c>
      <c r="BD104" s="497" t="s">
        <v>986</v>
      </c>
      <c r="BE104" s="498" t="s">
        <v>37</v>
      </c>
      <c r="BF104" s="497" t="s">
        <v>986</v>
      </c>
      <c r="BG104" s="498" t="s">
        <v>37</v>
      </c>
      <c r="BH104" s="497" t="s">
        <v>986</v>
      </c>
      <c r="BI104" s="498" t="s">
        <v>37</v>
      </c>
      <c r="BJ104" s="497" t="s">
        <v>986</v>
      </c>
      <c r="BK104" s="498" t="s">
        <v>37</v>
      </c>
      <c r="BL104" s="497" t="s">
        <v>986</v>
      </c>
      <c r="BM104" s="498" t="s">
        <v>37</v>
      </c>
      <c r="BN104" s="497" t="s">
        <v>986</v>
      </c>
      <c r="BO104" s="499" t="s">
        <v>37</v>
      </c>
      <c r="BP104" s="497" t="s">
        <v>963</v>
      </c>
      <c r="BQ104" s="498" t="s">
        <v>232</v>
      </c>
      <c r="BR104" s="497" t="s">
        <v>986</v>
      </c>
      <c r="BS104" s="498" t="s">
        <v>37</v>
      </c>
      <c r="BT104" s="497" t="s">
        <v>986</v>
      </c>
      <c r="BU104" s="498" t="s">
        <v>37</v>
      </c>
      <c r="BV104" s="497" t="s">
        <v>986</v>
      </c>
      <c r="BW104" s="498" t="s">
        <v>37</v>
      </c>
      <c r="BX104" s="497" t="s">
        <v>963</v>
      </c>
      <c r="BY104" s="498" t="s">
        <v>551</v>
      </c>
      <c r="BZ104" s="497" t="s">
        <v>963</v>
      </c>
      <c r="CA104" s="498" t="s">
        <v>1310</v>
      </c>
      <c r="CB104" s="497" t="s">
        <v>964</v>
      </c>
      <c r="CC104" s="498" t="s">
        <v>241</v>
      </c>
      <c r="CD104" s="497" t="s">
        <v>963</v>
      </c>
      <c r="CE104" s="498" t="s">
        <v>247</v>
      </c>
      <c r="CF104" s="497" t="s">
        <v>986</v>
      </c>
      <c r="CG104" s="498" t="s">
        <v>37</v>
      </c>
      <c r="CH104" s="497" t="s">
        <v>986</v>
      </c>
      <c r="CI104" s="499" t="s">
        <v>37</v>
      </c>
      <c r="CJ104" s="497" t="s">
        <v>967</v>
      </c>
      <c r="CK104" s="498" t="s">
        <v>169</v>
      </c>
      <c r="CL104" s="497" t="s">
        <v>986</v>
      </c>
      <c r="CM104" s="498" t="s">
        <v>37</v>
      </c>
      <c r="CN104" s="497" t="s">
        <v>986</v>
      </c>
      <c r="CO104" s="498" t="s">
        <v>37</v>
      </c>
      <c r="CP104" s="517"/>
      <c r="CQ104" s="34"/>
      <c r="CR104" s="34"/>
    </row>
    <row r="105" spans="1:96" s="5" customFormat="1" ht="90.75" thickBot="1" x14ac:dyDescent="0.25">
      <c r="A105" s="124">
        <f t="shared" si="1"/>
        <v>100</v>
      </c>
      <c r="B105" s="563" t="s">
        <v>3957</v>
      </c>
      <c r="C105" s="563" t="s">
        <v>1472</v>
      </c>
      <c r="D105" s="564">
        <v>522</v>
      </c>
      <c r="E105" s="510" t="s">
        <v>2388</v>
      </c>
      <c r="F105" s="558" t="s">
        <v>986</v>
      </c>
      <c r="G105" s="559" t="s">
        <v>3973</v>
      </c>
      <c r="H105" s="558" t="s">
        <v>986</v>
      </c>
      <c r="I105" s="559" t="s">
        <v>3973</v>
      </c>
      <c r="J105" s="558" t="s">
        <v>986</v>
      </c>
      <c r="K105" s="559" t="s">
        <v>37</v>
      </c>
      <c r="L105" s="558" t="s">
        <v>986</v>
      </c>
      <c r="M105" s="559" t="s">
        <v>37</v>
      </c>
      <c r="N105" s="558" t="s">
        <v>986</v>
      </c>
      <c r="O105" s="559" t="s">
        <v>3974</v>
      </c>
      <c r="P105" s="558" t="s">
        <v>986</v>
      </c>
      <c r="Q105" s="559" t="s">
        <v>37</v>
      </c>
      <c r="R105" s="558" t="s">
        <v>986</v>
      </c>
      <c r="S105" s="559" t="s">
        <v>37</v>
      </c>
      <c r="T105" s="558" t="s">
        <v>986</v>
      </c>
      <c r="U105" s="560" t="s">
        <v>3974</v>
      </c>
      <c r="V105" s="558" t="s">
        <v>965</v>
      </c>
      <c r="W105" s="559" t="s">
        <v>616</v>
      </c>
      <c r="X105" s="558" t="s">
        <v>965</v>
      </c>
      <c r="Y105" s="559" t="s">
        <v>617</v>
      </c>
      <c r="Z105" s="558" t="s">
        <v>986</v>
      </c>
      <c r="AA105" s="559" t="s">
        <v>37</v>
      </c>
      <c r="AB105" s="558" t="s">
        <v>963</v>
      </c>
      <c r="AC105" s="559" t="s">
        <v>916</v>
      </c>
      <c r="AD105" s="558" t="s">
        <v>986</v>
      </c>
      <c r="AE105" s="559" t="s">
        <v>37</v>
      </c>
      <c r="AF105" s="558" t="s">
        <v>963</v>
      </c>
      <c r="AG105" s="560" t="s">
        <v>937</v>
      </c>
      <c r="AH105" s="558" t="s">
        <v>963</v>
      </c>
      <c r="AI105" s="559" t="s">
        <v>938</v>
      </c>
      <c r="AJ105" s="558" t="s">
        <v>986</v>
      </c>
      <c r="AK105" s="559" t="s">
        <v>37</v>
      </c>
      <c r="AL105" s="558" t="s">
        <v>986</v>
      </c>
      <c r="AM105" s="560" t="s">
        <v>37</v>
      </c>
      <c r="AN105" s="558" t="s">
        <v>963</v>
      </c>
      <c r="AO105" s="559" t="s">
        <v>295</v>
      </c>
      <c r="AP105" s="558" t="s">
        <v>963</v>
      </c>
      <c r="AQ105" s="559" t="s">
        <v>371</v>
      </c>
      <c r="AR105" s="558" t="s">
        <v>986</v>
      </c>
      <c r="AS105" s="560" t="s">
        <v>37</v>
      </c>
      <c r="AT105" s="558" t="s">
        <v>966</v>
      </c>
      <c r="AU105" s="560" t="s">
        <v>955</v>
      </c>
      <c r="AV105" s="558" t="s">
        <v>986</v>
      </c>
      <c r="AW105" s="559" t="s">
        <v>37</v>
      </c>
      <c r="AX105" s="558" t="s">
        <v>963</v>
      </c>
      <c r="AY105" s="559" t="s">
        <v>850</v>
      </c>
      <c r="AZ105" s="558" t="s">
        <v>986</v>
      </c>
      <c r="BA105" s="559" t="s">
        <v>37</v>
      </c>
      <c r="BB105" s="558" t="s">
        <v>986</v>
      </c>
      <c r="BC105" s="559" t="s">
        <v>37</v>
      </c>
      <c r="BD105" s="558" t="s">
        <v>986</v>
      </c>
      <c r="BE105" s="559" t="s">
        <v>37</v>
      </c>
      <c r="BF105" s="558" t="s">
        <v>965</v>
      </c>
      <c r="BG105" s="559" t="s">
        <v>2140</v>
      </c>
      <c r="BH105" s="558" t="s">
        <v>986</v>
      </c>
      <c r="BI105" s="559" t="s">
        <v>37</v>
      </c>
      <c r="BJ105" s="558" t="s">
        <v>986</v>
      </c>
      <c r="BK105" s="559" t="s">
        <v>37</v>
      </c>
      <c r="BL105" s="558" t="s">
        <v>986</v>
      </c>
      <c r="BM105" s="559" t="s">
        <v>37</v>
      </c>
      <c r="BN105" s="558" t="s">
        <v>986</v>
      </c>
      <c r="BO105" s="560" t="s">
        <v>37</v>
      </c>
      <c r="BP105" s="558" t="s">
        <v>965</v>
      </c>
      <c r="BQ105" s="559" t="s">
        <v>232</v>
      </c>
      <c r="BR105" s="558" t="s">
        <v>986</v>
      </c>
      <c r="BS105" s="559" t="s">
        <v>37</v>
      </c>
      <c r="BT105" s="558" t="s">
        <v>986</v>
      </c>
      <c r="BU105" s="559" t="s">
        <v>37</v>
      </c>
      <c r="BV105" s="558" t="s">
        <v>986</v>
      </c>
      <c r="BW105" s="559" t="s">
        <v>37</v>
      </c>
      <c r="BX105" s="558" t="s">
        <v>986</v>
      </c>
      <c r="BY105" s="559" t="s">
        <v>37</v>
      </c>
      <c r="BZ105" s="558" t="s">
        <v>986</v>
      </c>
      <c r="CA105" s="559" t="s">
        <v>37</v>
      </c>
      <c r="CB105" s="558" t="s">
        <v>965</v>
      </c>
      <c r="CC105" s="559" t="s">
        <v>1543</v>
      </c>
      <c r="CD105" s="558" t="s">
        <v>986</v>
      </c>
      <c r="CE105" s="559" t="s">
        <v>37</v>
      </c>
      <c r="CF105" s="558" t="s">
        <v>986</v>
      </c>
      <c r="CG105" s="559" t="s">
        <v>37</v>
      </c>
      <c r="CH105" s="558" t="s">
        <v>986</v>
      </c>
      <c r="CI105" s="560" t="s">
        <v>37</v>
      </c>
      <c r="CJ105" s="558" t="s">
        <v>964</v>
      </c>
      <c r="CK105" s="559" t="s">
        <v>171</v>
      </c>
      <c r="CL105" s="558" t="s">
        <v>986</v>
      </c>
      <c r="CM105" s="559" t="s">
        <v>37</v>
      </c>
      <c r="CN105" s="558" t="s">
        <v>986</v>
      </c>
      <c r="CO105" s="559" t="s">
        <v>37</v>
      </c>
      <c r="CP105" s="562"/>
      <c r="CQ105" s="34"/>
      <c r="CR105" s="34"/>
    </row>
    <row r="106" spans="1:96" s="5" customFormat="1" ht="90.75" thickBot="1" x14ac:dyDescent="0.25">
      <c r="A106" s="124">
        <f t="shared" si="1"/>
        <v>101</v>
      </c>
      <c r="B106" s="563" t="s">
        <v>3956</v>
      </c>
      <c r="C106" s="563" t="s">
        <v>1472</v>
      </c>
      <c r="D106" s="564">
        <v>520</v>
      </c>
      <c r="E106" s="510" t="s">
        <v>2388</v>
      </c>
      <c r="F106" s="558" t="s">
        <v>986</v>
      </c>
      <c r="G106" s="559" t="s">
        <v>37</v>
      </c>
      <c r="H106" s="558" t="s">
        <v>986</v>
      </c>
      <c r="I106" s="559" t="s">
        <v>37</v>
      </c>
      <c r="J106" s="558" t="s">
        <v>986</v>
      </c>
      <c r="K106" s="559" t="s">
        <v>37</v>
      </c>
      <c r="L106" s="558" t="s">
        <v>986</v>
      </c>
      <c r="M106" s="559" t="s">
        <v>37</v>
      </c>
      <c r="N106" s="558" t="s">
        <v>986</v>
      </c>
      <c r="O106" s="559" t="s">
        <v>37</v>
      </c>
      <c r="P106" s="558" t="s">
        <v>986</v>
      </c>
      <c r="Q106" s="559" t="s">
        <v>37</v>
      </c>
      <c r="R106" s="558" t="s">
        <v>986</v>
      </c>
      <c r="S106" s="559" t="s">
        <v>37</v>
      </c>
      <c r="T106" s="558" t="s">
        <v>986</v>
      </c>
      <c r="U106" s="560" t="s">
        <v>37</v>
      </c>
      <c r="V106" s="558" t="s">
        <v>965</v>
      </c>
      <c r="W106" s="559" t="s">
        <v>730</v>
      </c>
      <c r="X106" s="558" t="s">
        <v>965</v>
      </c>
      <c r="Y106" s="559" t="s">
        <v>617</v>
      </c>
      <c r="Z106" s="558" t="s">
        <v>986</v>
      </c>
      <c r="AA106" s="559" t="s">
        <v>37</v>
      </c>
      <c r="AB106" s="558" t="s">
        <v>963</v>
      </c>
      <c r="AC106" s="559" t="s">
        <v>916</v>
      </c>
      <c r="AD106" s="558" t="s">
        <v>986</v>
      </c>
      <c r="AE106" s="559" t="s">
        <v>37</v>
      </c>
      <c r="AF106" s="558" t="s">
        <v>963</v>
      </c>
      <c r="AG106" s="560" t="s">
        <v>937</v>
      </c>
      <c r="AH106" s="558" t="s">
        <v>963</v>
      </c>
      <c r="AI106" s="559" t="s">
        <v>938</v>
      </c>
      <c r="AJ106" s="558" t="s">
        <v>986</v>
      </c>
      <c r="AK106" s="559" t="s">
        <v>37</v>
      </c>
      <c r="AL106" s="558" t="s">
        <v>986</v>
      </c>
      <c r="AM106" s="560" t="s">
        <v>37</v>
      </c>
      <c r="AN106" s="558" t="s">
        <v>963</v>
      </c>
      <c r="AO106" s="559" t="s">
        <v>295</v>
      </c>
      <c r="AP106" s="558" t="s">
        <v>963</v>
      </c>
      <c r="AQ106" s="559" t="s">
        <v>729</v>
      </c>
      <c r="AR106" s="558" t="s">
        <v>986</v>
      </c>
      <c r="AS106" s="560" t="s">
        <v>37</v>
      </c>
      <c r="AT106" s="558" t="s">
        <v>966</v>
      </c>
      <c r="AU106" s="560" t="s">
        <v>955</v>
      </c>
      <c r="AV106" s="558" t="s">
        <v>986</v>
      </c>
      <c r="AW106" s="559" t="s">
        <v>37</v>
      </c>
      <c r="AX106" s="558" t="s">
        <v>963</v>
      </c>
      <c r="AY106" s="559" t="s">
        <v>850</v>
      </c>
      <c r="AZ106" s="558" t="s">
        <v>986</v>
      </c>
      <c r="BA106" s="559" t="s">
        <v>37</v>
      </c>
      <c r="BB106" s="558" t="s">
        <v>986</v>
      </c>
      <c r="BC106" s="559" t="s">
        <v>37</v>
      </c>
      <c r="BD106" s="558" t="s">
        <v>986</v>
      </c>
      <c r="BE106" s="559" t="s">
        <v>37</v>
      </c>
      <c r="BF106" s="558" t="s">
        <v>965</v>
      </c>
      <c r="BG106" s="559" t="s">
        <v>2140</v>
      </c>
      <c r="BH106" s="558" t="s">
        <v>986</v>
      </c>
      <c r="BI106" s="559" t="s">
        <v>37</v>
      </c>
      <c r="BJ106" s="558" t="s">
        <v>986</v>
      </c>
      <c r="BK106" s="559" t="s">
        <v>37</v>
      </c>
      <c r="BL106" s="558" t="s">
        <v>986</v>
      </c>
      <c r="BM106" s="559" t="s">
        <v>37</v>
      </c>
      <c r="BN106" s="558" t="s">
        <v>986</v>
      </c>
      <c r="BO106" s="560" t="s">
        <v>37</v>
      </c>
      <c r="BP106" s="558" t="s">
        <v>965</v>
      </c>
      <c r="BQ106" s="559" t="s">
        <v>232</v>
      </c>
      <c r="BR106" s="558" t="s">
        <v>986</v>
      </c>
      <c r="BS106" s="559" t="s">
        <v>37</v>
      </c>
      <c r="BT106" s="558" t="s">
        <v>986</v>
      </c>
      <c r="BU106" s="559" t="s">
        <v>37</v>
      </c>
      <c r="BV106" s="558" t="s">
        <v>986</v>
      </c>
      <c r="BW106" s="559" t="s">
        <v>37</v>
      </c>
      <c r="BX106" s="558" t="s">
        <v>986</v>
      </c>
      <c r="BY106" s="559" t="s">
        <v>37</v>
      </c>
      <c r="BZ106" s="558" t="s">
        <v>986</v>
      </c>
      <c r="CA106" s="559" t="s">
        <v>37</v>
      </c>
      <c r="CB106" s="558" t="s">
        <v>965</v>
      </c>
      <c r="CC106" s="559" t="s">
        <v>1543</v>
      </c>
      <c r="CD106" s="558" t="s">
        <v>986</v>
      </c>
      <c r="CE106" s="559" t="s">
        <v>37</v>
      </c>
      <c r="CF106" s="558" t="s">
        <v>986</v>
      </c>
      <c r="CG106" s="559" t="s">
        <v>37</v>
      </c>
      <c r="CH106" s="558" t="s">
        <v>986</v>
      </c>
      <c r="CI106" s="560" t="s">
        <v>37</v>
      </c>
      <c r="CJ106" s="558" t="s">
        <v>964</v>
      </c>
      <c r="CK106" s="559" t="s">
        <v>171</v>
      </c>
      <c r="CL106" s="558" t="s">
        <v>986</v>
      </c>
      <c r="CM106" s="559" t="s">
        <v>37</v>
      </c>
      <c r="CN106" s="558" t="s">
        <v>986</v>
      </c>
      <c r="CO106" s="559" t="s">
        <v>37</v>
      </c>
      <c r="CP106" s="562"/>
      <c r="CQ106" s="34"/>
      <c r="CR106" s="34"/>
    </row>
    <row r="107" spans="1:96" s="17" customFormat="1" ht="90.75" thickBot="1" x14ac:dyDescent="0.25">
      <c r="A107" s="124">
        <f t="shared" si="1"/>
        <v>102</v>
      </c>
      <c r="B107" s="509" t="s">
        <v>644</v>
      </c>
      <c r="C107" s="509" t="s">
        <v>1474</v>
      </c>
      <c r="D107" s="510" t="s">
        <v>1420</v>
      </c>
      <c r="E107" s="510" t="s">
        <v>2388</v>
      </c>
      <c r="F107" s="497" t="s">
        <v>986</v>
      </c>
      <c r="G107" s="498" t="s">
        <v>37</v>
      </c>
      <c r="H107" s="497" t="s">
        <v>986</v>
      </c>
      <c r="I107" s="498" t="s">
        <v>37</v>
      </c>
      <c r="J107" s="497" t="s">
        <v>986</v>
      </c>
      <c r="K107" s="498" t="s">
        <v>37</v>
      </c>
      <c r="L107" s="497" t="s">
        <v>986</v>
      </c>
      <c r="M107" s="498" t="s">
        <v>37</v>
      </c>
      <c r="N107" s="497" t="s">
        <v>986</v>
      </c>
      <c r="O107" s="498" t="s">
        <v>37</v>
      </c>
      <c r="P107" s="497" t="s">
        <v>986</v>
      </c>
      <c r="Q107" s="498" t="s">
        <v>37</v>
      </c>
      <c r="R107" s="497" t="s">
        <v>986</v>
      </c>
      <c r="S107" s="498" t="s">
        <v>37</v>
      </c>
      <c r="T107" s="497" t="s">
        <v>986</v>
      </c>
      <c r="U107" s="499" t="s">
        <v>37</v>
      </c>
      <c r="V107" s="497" t="s">
        <v>965</v>
      </c>
      <c r="W107" s="498" t="s">
        <v>616</v>
      </c>
      <c r="X107" s="497" t="s">
        <v>965</v>
      </c>
      <c r="Y107" s="498" t="s">
        <v>617</v>
      </c>
      <c r="Z107" s="497" t="s">
        <v>986</v>
      </c>
      <c r="AA107" s="498" t="s">
        <v>37</v>
      </c>
      <c r="AB107" s="497" t="s">
        <v>963</v>
      </c>
      <c r="AC107" s="498" t="s">
        <v>916</v>
      </c>
      <c r="AD107" s="497" t="s">
        <v>986</v>
      </c>
      <c r="AE107" s="498" t="s">
        <v>37</v>
      </c>
      <c r="AF107" s="497" t="s">
        <v>963</v>
      </c>
      <c r="AG107" s="499" t="s">
        <v>937</v>
      </c>
      <c r="AH107" s="497" t="s">
        <v>963</v>
      </c>
      <c r="AI107" s="498" t="s">
        <v>938</v>
      </c>
      <c r="AJ107" s="497" t="s">
        <v>986</v>
      </c>
      <c r="AK107" s="498" t="s">
        <v>37</v>
      </c>
      <c r="AL107" s="497" t="s">
        <v>986</v>
      </c>
      <c r="AM107" s="499" t="s">
        <v>37</v>
      </c>
      <c r="AN107" s="497" t="s">
        <v>963</v>
      </c>
      <c r="AO107" s="498" t="s">
        <v>295</v>
      </c>
      <c r="AP107" s="497" t="s">
        <v>963</v>
      </c>
      <c r="AQ107" s="498" t="s">
        <v>371</v>
      </c>
      <c r="AR107" s="497" t="s">
        <v>986</v>
      </c>
      <c r="AS107" s="499" t="s">
        <v>37</v>
      </c>
      <c r="AT107" s="497" t="s">
        <v>966</v>
      </c>
      <c r="AU107" s="499" t="s">
        <v>955</v>
      </c>
      <c r="AV107" s="497" t="s">
        <v>986</v>
      </c>
      <c r="AW107" s="498" t="s">
        <v>37</v>
      </c>
      <c r="AX107" s="497" t="s">
        <v>963</v>
      </c>
      <c r="AY107" s="498" t="s">
        <v>850</v>
      </c>
      <c r="AZ107" s="497" t="s">
        <v>986</v>
      </c>
      <c r="BA107" s="498" t="s">
        <v>37</v>
      </c>
      <c r="BB107" s="497" t="s">
        <v>986</v>
      </c>
      <c r="BC107" s="498" t="s">
        <v>37</v>
      </c>
      <c r="BD107" s="497" t="s">
        <v>986</v>
      </c>
      <c r="BE107" s="498" t="s">
        <v>37</v>
      </c>
      <c r="BF107" s="497" t="s">
        <v>965</v>
      </c>
      <c r="BG107" s="498" t="s">
        <v>2140</v>
      </c>
      <c r="BH107" s="497" t="s">
        <v>986</v>
      </c>
      <c r="BI107" s="498" t="s">
        <v>37</v>
      </c>
      <c r="BJ107" s="497" t="s">
        <v>986</v>
      </c>
      <c r="BK107" s="498" t="s">
        <v>37</v>
      </c>
      <c r="BL107" s="497" t="s">
        <v>986</v>
      </c>
      <c r="BM107" s="498" t="s">
        <v>37</v>
      </c>
      <c r="BN107" s="497" t="s">
        <v>986</v>
      </c>
      <c r="BO107" s="499" t="s">
        <v>37</v>
      </c>
      <c r="BP107" s="497" t="s">
        <v>965</v>
      </c>
      <c r="BQ107" s="498" t="s">
        <v>232</v>
      </c>
      <c r="BR107" s="497" t="s">
        <v>986</v>
      </c>
      <c r="BS107" s="498" t="s">
        <v>37</v>
      </c>
      <c r="BT107" s="497" t="s">
        <v>986</v>
      </c>
      <c r="BU107" s="498" t="s">
        <v>37</v>
      </c>
      <c r="BV107" s="497" t="s">
        <v>986</v>
      </c>
      <c r="BW107" s="498" t="s">
        <v>37</v>
      </c>
      <c r="BX107" s="497" t="s">
        <v>986</v>
      </c>
      <c r="BY107" s="498" t="s">
        <v>37</v>
      </c>
      <c r="BZ107" s="497" t="s">
        <v>986</v>
      </c>
      <c r="CA107" s="498" t="s">
        <v>37</v>
      </c>
      <c r="CB107" s="497" t="s">
        <v>965</v>
      </c>
      <c r="CC107" s="498" t="s">
        <v>1543</v>
      </c>
      <c r="CD107" s="497" t="s">
        <v>986</v>
      </c>
      <c r="CE107" s="498" t="s">
        <v>37</v>
      </c>
      <c r="CF107" s="497" t="s">
        <v>986</v>
      </c>
      <c r="CG107" s="498" t="s">
        <v>37</v>
      </c>
      <c r="CH107" s="497" t="s">
        <v>986</v>
      </c>
      <c r="CI107" s="499" t="s">
        <v>37</v>
      </c>
      <c r="CJ107" s="497" t="s">
        <v>964</v>
      </c>
      <c r="CK107" s="498" t="s">
        <v>171</v>
      </c>
      <c r="CL107" s="497" t="s">
        <v>986</v>
      </c>
      <c r="CM107" s="498" t="s">
        <v>37</v>
      </c>
      <c r="CN107" s="497" t="s">
        <v>986</v>
      </c>
      <c r="CO107" s="498" t="s">
        <v>37</v>
      </c>
      <c r="CP107" s="517"/>
      <c r="CQ107" s="18"/>
      <c r="CR107" s="18"/>
    </row>
    <row r="108" spans="1:96" s="5" customFormat="1" ht="90.75" thickBot="1" x14ac:dyDescent="0.25">
      <c r="A108" s="124">
        <f t="shared" si="1"/>
        <v>103</v>
      </c>
      <c r="B108" s="509" t="s">
        <v>646</v>
      </c>
      <c r="C108" s="509" t="s">
        <v>1597</v>
      </c>
      <c r="D108" s="510">
        <v>462</v>
      </c>
      <c r="E108" s="510" t="s">
        <v>2386</v>
      </c>
      <c r="F108" s="497" t="s">
        <v>986</v>
      </c>
      <c r="G108" s="498" t="s">
        <v>278</v>
      </c>
      <c r="H108" s="497" t="s">
        <v>986</v>
      </c>
      <c r="I108" s="498" t="s">
        <v>37</v>
      </c>
      <c r="J108" s="497" t="s">
        <v>963</v>
      </c>
      <c r="K108" s="498" t="s">
        <v>1221</v>
      </c>
      <c r="L108" s="497" t="s">
        <v>964</v>
      </c>
      <c r="M108" s="498" t="s">
        <v>1096</v>
      </c>
      <c r="N108" s="497" t="s">
        <v>986</v>
      </c>
      <c r="O108" s="498" t="s">
        <v>37</v>
      </c>
      <c r="P108" s="497" t="s">
        <v>961</v>
      </c>
      <c r="Q108" s="498" t="s">
        <v>1703</v>
      </c>
      <c r="R108" s="497" t="s">
        <v>958</v>
      </c>
      <c r="S108" s="498" t="s">
        <v>1177</v>
      </c>
      <c r="T108" s="497" t="s">
        <v>986</v>
      </c>
      <c r="U108" s="499" t="s">
        <v>37</v>
      </c>
      <c r="V108" s="497" t="s">
        <v>965</v>
      </c>
      <c r="W108" s="498" t="s">
        <v>1706</v>
      </c>
      <c r="X108" s="497" t="s">
        <v>963</v>
      </c>
      <c r="Y108" s="498" t="s">
        <v>1574</v>
      </c>
      <c r="Z108" s="497" t="s">
        <v>963</v>
      </c>
      <c r="AA108" s="498" t="s">
        <v>1575</v>
      </c>
      <c r="AB108" s="497" t="s">
        <v>963</v>
      </c>
      <c r="AC108" s="498" t="s">
        <v>1576</v>
      </c>
      <c r="AD108" s="497" t="s">
        <v>986</v>
      </c>
      <c r="AE108" s="498" t="s">
        <v>37</v>
      </c>
      <c r="AF108" s="497" t="s">
        <v>986</v>
      </c>
      <c r="AG108" s="499" t="s">
        <v>37</v>
      </c>
      <c r="AH108" s="497" t="s">
        <v>963</v>
      </c>
      <c r="AI108" s="498" t="s">
        <v>242</v>
      </c>
      <c r="AJ108" s="497" t="s">
        <v>965</v>
      </c>
      <c r="AK108" s="498" t="s">
        <v>912</v>
      </c>
      <c r="AL108" s="497" t="s">
        <v>965</v>
      </c>
      <c r="AM108" s="499" t="s">
        <v>1553</v>
      </c>
      <c r="AN108" s="497" t="s">
        <v>965</v>
      </c>
      <c r="AO108" s="498" t="s">
        <v>957</v>
      </c>
      <c r="AP108" s="497" t="s">
        <v>963</v>
      </c>
      <c r="AQ108" s="498" t="s">
        <v>122</v>
      </c>
      <c r="AR108" s="497" t="s">
        <v>986</v>
      </c>
      <c r="AS108" s="499" t="s">
        <v>1410</v>
      </c>
      <c r="AT108" s="497" t="s">
        <v>965</v>
      </c>
      <c r="AU108" s="499" t="s">
        <v>701</v>
      </c>
      <c r="AV108" s="497" t="s">
        <v>986</v>
      </c>
      <c r="AW108" s="498" t="s">
        <v>37</v>
      </c>
      <c r="AX108" s="497" t="s">
        <v>965</v>
      </c>
      <c r="AY108" s="498" t="s">
        <v>686</v>
      </c>
      <c r="AZ108" s="497" t="s">
        <v>965</v>
      </c>
      <c r="BA108" s="498" t="s">
        <v>665</v>
      </c>
      <c r="BB108" s="497" t="s">
        <v>986</v>
      </c>
      <c r="BC108" s="498" t="s">
        <v>37</v>
      </c>
      <c r="BD108" s="497" t="s">
        <v>965</v>
      </c>
      <c r="BE108" s="498" t="s">
        <v>2102</v>
      </c>
      <c r="BF108" s="497" t="s">
        <v>965</v>
      </c>
      <c r="BG108" s="498" t="s">
        <v>686</v>
      </c>
      <c r="BH108" s="497" t="s">
        <v>986</v>
      </c>
      <c r="BI108" s="498" t="s">
        <v>220</v>
      </c>
      <c r="BJ108" s="497" t="s">
        <v>986</v>
      </c>
      <c r="BK108" s="498" t="s">
        <v>2901</v>
      </c>
      <c r="BL108" s="497" t="s">
        <v>958</v>
      </c>
      <c r="BM108" s="498" t="s">
        <v>1716</v>
      </c>
      <c r="BN108" s="497" t="s">
        <v>986</v>
      </c>
      <c r="BO108" s="499" t="s">
        <v>37</v>
      </c>
      <c r="BP108" s="497" t="s">
        <v>964</v>
      </c>
      <c r="BQ108" s="498" t="s">
        <v>1138</v>
      </c>
      <c r="BR108" s="497" t="s">
        <v>986</v>
      </c>
      <c r="BS108" s="498" t="s">
        <v>37</v>
      </c>
      <c r="BT108" s="497" t="s">
        <v>986</v>
      </c>
      <c r="BU108" s="498" t="s">
        <v>37</v>
      </c>
      <c r="BV108" s="497" t="s">
        <v>986</v>
      </c>
      <c r="BW108" s="498" t="s">
        <v>37</v>
      </c>
      <c r="BX108" s="497" t="s">
        <v>986</v>
      </c>
      <c r="BY108" s="498" t="s">
        <v>37</v>
      </c>
      <c r="BZ108" s="497" t="s">
        <v>986</v>
      </c>
      <c r="CA108" s="498" t="s">
        <v>37</v>
      </c>
      <c r="CB108" s="497" t="s">
        <v>986</v>
      </c>
      <c r="CC108" s="498" t="s">
        <v>37</v>
      </c>
      <c r="CD108" s="497" t="s">
        <v>986</v>
      </c>
      <c r="CE108" s="498" t="s">
        <v>37</v>
      </c>
      <c r="CF108" s="497" t="s">
        <v>986</v>
      </c>
      <c r="CG108" s="498" t="s">
        <v>37</v>
      </c>
      <c r="CH108" s="497" t="s">
        <v>986</v>
      </c>
      <c r="CI108" s="499" t="s">
        <v>37</v>
      </c>
      <c r="CJ108" s="497" t="s">
        <v>986</v>
      </c>
      <c r="CK108" s="498" t="s">
        <v>37</v>
      </c>
      <c r="CL108" s="497" t="s">
        <v>986</v>
      </c>
      <c r="CM108" s="498" t="s">
        <v>37</v>
      </c>
      <c r="CN108" s="497" t="s">
        <v>986</v>
      </c>
      <c r="CO108" s="498" t="s">
        <v>37</v>
      </c>
      <c r="CP108" s="517"/>
      <c r="CQ108" s="34"/>
      <c r="CR108" s="34"/>
    </row>
    <row r="109" spans="1:96" s="5" customFormat="1" ht="113.25" thickBot="1" x14ac:dyDescent="0.25">
      <c r="A109" s="124">
        <f t="shared" si="1"/>
        <v>104</v>
      </c>
      <c r="B109" s="509" t="s">
        <v>647</v>
      </c>
      <c r="C109" s="509" t="s">
        <v>2061</v>
      </c>
      <c r="D109" s="510">
        <v>338</v>
      </c>
      <c r="E109" s="510" t="s">
        <v>2386</v>
      </c>
      <c r="F109" s="497" t="s">
        <v>963</v>
      </c>
      <c r="G109" s="498" t="s">
        <v>968</v>
      </c>
      <c r="H109" s="497" t="s">
        <v>963</v>
      </c>
      <c r="I109" s="498" t="s">
        <v>969</v>
      </c>
      <c r="J109" s="497" t="s">
        <v>965</v>
      </c>
      <c r="K109" s="498" t="s">
        <v>968</v>
      </c>
      <c r="L109" s="497" t="s">
        <v>965</v>
      </c>
      <c r="M109" s="498" t="s">
        <v>968</v>
      </c>
      <c r="N109" s="497" t="s">
        <v>965</v>
      </c>
      <c r="O109" s="498" t="s">
        <v>176</v>
      </c>
      <c r="P109" s="497" t="s">
        <v>965</v>
      </c>
      <c r="Q109" s="498" t="s">
        <v>215</v>
      </c>
      <c r="R109" s="497" t="s">
        <v>986</v>
      </c>
      <c r="S109" s="498" t="s">
        <v>37</v>
      </c>
      <c r="T109" s="497" t="s">
        <v>958</v>
      </c>
      <c r="U109" s="499" t="s">
        <v>2829</v>
      </c>
      <c r="V109" s="497" t="s">
        <v>958</v>
      </c>
      <c r="W109" s="498" t="s">
        <v>1313</v>
      </c>
      <c r="X109" s="497" t="s">
        <v>986</v>
      </c>
      <c r="Y109" s="498" t="s">
        <v>37</v>
      </c>
      <c r="Z109" s="497" t="s">
        <v>965</v>
      </c>
      <c r="AA109" s="498" t="s">
        <v>1314</v>
      </c>
      <c r="AB109" s="497" t="s">
        <v>986</v>
      </c>
      <c r="AC109" s="498" t="s">
        <v>37</v>
      </c>
      <c r="AD109" s="497" t="s">
        <v>986</v>
      </c>
      <c r="AE109" s="498" t="s">
        <v>37</v>
      </c>
      <c r="AF109" s="497" t="s">
        <v>986</v>
      </c>
      <c r="AG109" s="499" t="s">
        <v>37</v>
      </c>
      <c r="AH109" s="497" t="s">
        <v>986</v>
      </c>
      <c r="AI109" s="498" t="s">
        <v>37</v>
      </c>
      <c r="AJ109" s="497" t="s">
        <v>986</v>
      </c>
      <c r="AK109" s="498" t="s">
        <v>37</v>
      </c>
      <c r="AL109" s="497" t="s">
        <v>986</v>
      </c>
      <c r="AM109" s="499" t="s">
        <v>37</v>
      </c>
      <c r="AN109" s="497" t="s">
        <v>963</v>
      </c>
      <c r="AO109" s="498" t="s">
        <v>372</v>
      </c>
      <c r="AP109" s="497" t="s">
        <v>965</v>
      </c>
      <c r="AQ109" s="498" t="s">
        <v>372</v>
      </c>
      <c r="AR109" s="497" t="s">
        <v>986</v>
      </c>
      <c r="AS109" s="499" t="s">
        <v>37</v>
      </c>
      <c r="AT109" s="497" t="s">
        <v>986</v>
      </c>
      <c r="AU109" s="499" t="s">
        <v>37</v>
      </c>
      <c r="AV109" s="497" t="s">
        <v>986</v>
      </c>
      <c r="AW109" s="498" t="s">
        <v>37</v>
      </c>
      <c r="AX109" s="497" t="s">
        <v>986</v>
      </c>
      <c r="AY109" s="498" t="s">
        <v>37</v>
      </c>
      <c r="AZ109" s="497" t="s">
        <v>965</v>
      </c>
      <c r="BA109" s="498" t="s">
        <v>1411</v>
      </c>
      <c r="BB109" s="497" t="s">
        <v>986</v>
      </c>
      <c r="BC109" s="498" t="s">
        <v>1435</v>
      </c>
      <c r="BD109" s="497" t="s">
        <v>965</v>
      </c>
      <c r="BE109" s="498" t="s">
        <v>2106</v>
      </c>
      <c r="BF109" s="497" t="s">
        <v>986</v>
      </c>
      <c r="BG109" s="498" t="s">
        <v>37</v>
      </c>
      <c r="BH109" s="497" t="s">
        <v>986</v>
      </c>
      <c r="BI109" s="498" t="s">
        <v>2902</v>
      </c>
      <c r="BJ109" s="497" t="s">
        <v>986</v>
      </c>
      <c r="BK109" s="498" t="s">
        <v>1168</v>
      </c>
      <c r="BL109" s="497" t="s">
        <v>963</v>
      </c>
      <c r="BM109" s="498" t="s">
        <v>2903</v>
      </c>
      <c r="BN109" s="497" t="s">
        <v>958</v>
      </c>
      <c r="BO109" s="499" t="s">
        <v>314</v>
      </c>
      <c r="BP109" s="497" t="s">
        <v>967</v>
      </c>
      <c r="BQ109" s="498" t="s">
        <v>233</v>
      </c>
      <c r="BR109" s="497" t="s">
        <v>964</v>
      </c>
      <c r="BS109" s="498" t="s">
        <v>2165</v>
      </c>
      <c r="BT109" s="497" t="s">
        <v>964</v>
      </c>
      <c r="BU109" s="498" t="s">
        <v>1160</v>
      </c>
      <c r="BV109" s="497" t="s">
        <v>967</v>
      </c>
      <c r="BW109" s="498" t="s">
        <v>243</v>
      </c>
      <c r="BX109" s="497" t="s">
        <v>963</v>
      </c>
      <c r="BY109" s="498" t="s">
        <v>56</v>
      </c>
      <c r="BZ109" s="497" t="s">
        <v>963</v>
      </c>
      <c r="CA109" s="498" t="s">
        <v>57</v>
      </c>
      <c r="CB109" s="497" t="s">
        <v>986</v>
      </c>
      <c r="CC109" s="498" t="s">
        <v>37</v>
      </c>
      <c r="CD109" s="497" t="s">
        <v>964</v>
      </c>
      <c r="CE109" s="498" t="s">
        <v>248</v>
      </c>
      <c r="CF109" s="497" t="s">
        <v>967</v>
      </c>
      <c r="CG109" s="498" t="s">
        <v>1057</v>
      </c>
      <c r="CH109" s="497" t="s">
        <v>958</v>
      </c>
      <c r="CI109" s="499" t="s">
        <v>1436</v>
      </c>
      <c r="CJ109" s="497" t="s">
        <v>986</v>
      </c>
      <c r="CK109" s="498" t="s">
        <v>37</v>
      </c>
      <c r="CL109" s="497" t="s">
        <v>986</v>
      </c>
      <c r="CM109" s="498" t="s">
        <v>37</v>
      </c>
      <c r="CN109" s="497" t="s">
        <v>965</v>
      </c>
      <c r="CO109" s="498" t="s">
        <v>1828</v>
      </c>
      <c r="CP109" s="517"/>
      <c r="CQ109" s="34"/>
      <c r="CR109" s="34"/>
    </row>
    <row r="110" spans="1:96" s="17" customFormat="1" ht="158.25" thickBot="1" x14ac:dyDescent="0.25">
      <c r="A110" s="124">
        <f t="shared" si="1"/>
        <v>105</v>
      </c>
      <c r="B110" s="509" t="s">
        <v>648</v>
      </c>
      <c r="C110" s="509" t="s">
        <v>1603</v>
      </c>
      <c r="D110" s="510">
        <v>528</v>
      </c>
      <c r="E110" s="510" t="s">
        <v>2386</v>
      </c>
      <c r="F110" s="497" t="s">
        <v>964</v>
      </c>
      <c r="G110" s="498" t="s">
        <v>1709</v>
      </c>
      <c r="H110" s="497" t="s">
        <v>964</v>
      </c>
      <c r="I110" s="498" t="s">
        <v>160</v>
      </c>
      <c r="J110" s="497" t="s">
        <v>966</v>
      </c>
      <c r="K110" s="498" t="s">
        <v>2830</v>
      </c>
      <c r="L110" s="497" t="s">
        <v>965</v>
      </c>
      <c r="M110" s="498" t="s">
        <v>2831</v>
      </c>
      <c r="N110" s="497" t="s">
        <v>966</v>
      </c>
      <c r="O110" s="498" t="s">
        <v>822</v>
      </c>
      <c r="P110" s="497" t="s">
        <v>964</v>
      </c>
      <c r="Q110" s="498" t="s">
        <v>55</v>
      </c>
      <c r="R110" s="497" t="s">
        <v>963</v>
      </c>
      <c r="S110" s="498" t="s">
        <v>254</v>
      </c>
      <c r="T110" s="497" t="s">
        <v>986</v>
      </c>
      <c r="U110" s="499" t="s">
        <v>37</v>
      </c>
      <c r="V110" s="497" t="s">
        <v>963</v>
      </c>
      <c r="W110" s="498" t="s">
        <v>2832</v>
      </c>
      <c r="X110" s="497" t="s">
        <v>986</v>
      </c>
      <c r="Y110" s="498" t="s">
        <v>2833</v>
      </c>
      <c r="Z110" s="497" t="s">
        <v>965</v>
      </c>
      <c r="AA110" s="498" t="s">
        <v>1577</v>
      </c>
      <c r="AB110" s="497" t="s">
        <v>986</v>
      </c>
      <c r="AC110" s="498" t="s">
        <v>2805</v>
      </c>
      <c r="AD110" s="497" t="s">
        <v>986</v>
      </c>
      <c r="AE110" s="498" t="s">
        <v>37</v>
      </c>
      <c r="AF110" s="497" t="s">
        <v>986</v>
      </c>
      <c r="AG110" s="499" t="s">
        <v>2805</v>
      </c>
      <c r="AH110" s="497" t="s">
        <v>963</v>
      </c>
      <c r="AI110" s="498" t="s">
        <v>682</v>
      </c>
      <c r="AJ110" s="497" t="s">
        <v>963</v>
      </c>
      <c r="AK110" s="498" t="s">
        <v>1561</v>
      </c>
      <c r="AL110" s="497" t="s">
        <v>965</v>
      </c>
      <c r="AM110" s="499" t="s">
        <v>1560</v>
      </c>
      <c r="AN110" s="497" t="s">
        <v>965</v>
      </c>
      <c r="AO110" s="498" t="s">
        <v>372</v>
      </c>
      <c r="AP110" s="497" t="s">
        <v>965</v>
      </c>
      <c r="AQ110" s="498" t="s">
        <v>372</v>
      </c>
      <c r="AR110" s="497" t="s">
        <v>963</v>
      </c>
      <c r="AS110" s="499" t="s">
        <v>662</v>
      </c>
      <c r="AT110" s="497" t="s">
        <v>965</v>
      </c>
      <c r="AU110" s="499" t="s">
        <v>718</v>
      </c>
      <c r="AV110" s="497" t="s">
        <v>965</v>
      </c>
      <c r="AW110" s="498" t="s">
        <v>2213</v>
      </c>
      <c r="AX110" s="497" t="s">
        <v>965</v>
      </c>
      <c r="AY110" s="498" t="s">
        <v>851</v>
      </c>
      <c r="AZ110" s="497" t="s">
        <v>963</v>
      </c>
      <c r="BA110" s="498" t="s">
        <v>1276</v>
      </c>
      <c r="BB110" s="497" t="s">
        <v>965</v>
      </c>
      <c r="BC110" s="498" t="s">
        <v>1725</v>
      </c>
      <c r="BD110" s="497" t="s">
        <v>986</v>
      </c>
      <c r="BE110" s="498" t="s">
        <v>2834</v>
      </c>
      <c r="BF110" s="497" t="s">
        <v>986</v>
      </c>
      <c r="BG110" s="498" t="s">
        <v>2834</v>
      </c>
      <c r="BH110" s="497" t="s">
        <v>963</v>
      </c>
      <c r="BI110" s="498" t="s">
        <v>1565</v>
      </c>
      <c r="BJ110" s="497" t="s">
        <v>986</v>
      </c>
      <c r="BK110" s="498" t="s">
        <v>37</v>
      </c>
      <c r="BL110" s="497" t="s">
        <v>963</v>
      </c>
      <c r="BM110" s="498" t="s">
        <v>842</v>
      </c>
      <c r="BN110" s="497" t="s">
        <v>965</v>
      </c>
      <c r="BO110" s="499" t="s">
        <v>315</v>
      </c>
      <c r="BP110" s="497" t="s">
        <v>967</v>
      </c>
      <c r="BQ110" s="498" t="s">
        <v>234</v>
      </c>
      <c r="BR110" s="497" t="s">
        <v>964</v>
      </c>
      <c r="BS110" s="498" t="s">
        <v>2166</v>
      </c>
      <c r="BT110" s="497" t="s">
        <v>965</v>
      </c>
      <c r="BU110" s="498" t="s">
        <v>244</v>
      </c>
      <c r="BV110" s="497" t="s">
        <v>963</v>
      </c>
      <c r="BW110" s="498" t="s">
        <v>831</v>
      </c>
      <c r="BX110" s="497" t="s">
        <v>963</v>
      </c>
      <c r="BY110" s="498" t="s">
        <v>552</v>
      </c>
      <c r="BZ110" s="497" t="s">
        <v>963</v>
      </c>
      <c r="CA110" s="498" t="s">
        <v>266</v>
      </c>
      <c r="CB110" s="497" t="s">
        <v>986</v>
      </c>
      <c r="CC110" s="498" t="s">
        <v>2835</v>
      </c>
      <c r="CD110" s="497" t="s">
        <v>964</v>
      </c>
      <c r="CE110" s="498" t="s">
        <v>249</v>
      </c>
      <c r="CF110" s="497" t="s">
        <v>967</v>
      </c>
      <c r="CG110" s="498" t="s">
        <v>1058</v>
      </c>
      <c r="CH110" s="497" t="s">
        <v>963</v>
      </c>
      <c r="CI110" s="499" t="s">
        <v>782</v>
      </c>
      <c r="CJ110" s="497" t="s">
        <v>986</v>
      </c>
      <c r="CK110" s="498" t="s">
        <v>37</v>
      </c>
      <c r="CL110" s="497" t="s">
        <v>986</v>
      </c>
      <c r="CM110" s="498" t="s">
        <v>37</v>
      </c>
      <c r="CN110" s="497" t="s">
        <v>986</v>
      </c>
      <c r="CO110" s="498" t="s">
        <v>37</v>
      </c>
      <c r="CP110" s="517"/>
      <c r="CQ110" s="18"/>
      <c r="CR110" s="18"/>
    </row>
    <row r="111" spans="1:96" s="5" customFormat="1" ht="147" thickBot="1" x14ac:dyDescent="0.25">
      <c r="A111" s="124">
        <f t="shared" si="1"/>
        <v>106</v>
      </c>
      <c r="B111" s="509" t="s">
        <v>649</v>
      </c>
      <c r="C111" s="509" t="s">
        <v>1601</v>
      </c>
      <c r="D111" s="510">
        <v>533</v>
      </c>
      <c r="E111" s="510" t="s">
        <v>2388</v>
      </c>
      <c r="F111" s="497" t="s">
        <v>986</v>
      </c>
      <c r="G111" s="498" t="s">
        <v>37</v>
      </c>
      <c r="H111" s="497" t="s">
        <v>986</v>
      </c>
      <c r="I111" s="498" t="s">
        <v>37</v>
      </c>
      <c r="J111" s="497" t="s">
        <v>986</v>
      </c>
      <c r="K111" s="498" t="s">
        <v>37</v>
      </c>
      <c r="L111" s="497" t="s">
        <v>986</v>
      </c>
      <c r="M111" s="498" t="s">
        <v>37</v>
      </c>
      <c r="N111" s="497" t="s">
        <v>986</v>
      </c>
      <c r="O111" s="498" t="s">
        <v>37</v>
      </c>
      <c r="P111" s="497" t="s">
        <v>986</v>
      </c>
      <c r="Q111" s="498" t="s">
        <v>37</v>
      </c>
      <c r="R111" s="497" t="s">
        <v>986</v>
      </c>
      <c r="S111" s="498" t="s">
        <v>37</v>
      </c>
      <c r="T111" s="497" t="s">
        <v>963</v>
      </c>
      <c r="U111" s="499" t="s">
        <v>1609</v>
      </c>
      <c r="V111" s="497" t="s">
        <v>986</v>
      </c>
      <c r="W111" s="498" t="s">
        <v>37</v>
      </c>
      <c r="X111" s="497" t="s">
        <v>963</v>
      </c>
      <c r="Y111" s="498" t="s">
        <v>1578</v>
      </c>
      <c r="Z111" s="497" t="s">
        <v>963</v>
      </c>
      <c r="AA111" s="498" t="s">
        <v>1579</v>
      </c>
      <c r="AB111" s="497" t="s">
        <v>963</v>
      </c>
      <c r="AC111" s="498" t="s">
        <v>1578</v>
      </c>
      <c r="AD111" s="497" t="s">
        <v>986</v>
      </c>
      <c r="AE111" s="498" t="s">
        <v>37</v>
      </c>
      <c r="AF111" s="497" t="s">
        <v>963</v>
      </c>
      <c r="AG111" s="499" t="s">
        <v>1231</v>
      </c>
      <c r="AH111" s="497" t="s">
        <v>963</v>
      </c>
      <c r="AI111" s="498" t="s">
        <v>1231</v>
      </c>
      <c r="AJ111" s="497" t="s">
        <v>986</v>
      </c>
      <c r="AK111" s="498" t="s">
        <v>37</v>
      </c>
      <c r="AL111" s="497" t="s">
        <v>986</v>
      </c>
      <c r="AM111" s="499" t="s">
        <v>37</v>
      </c>
      <c r="AN111" s="497" t="s">
        <v>986</v>
      </c>
      <c r="AO111" s="498" t="s">
        <v>37</v>
      </c>
      <c r="AP111" s="497" t="s">
        <v>986</v>
      </c>
      <c r="AQ111" s="498" t="s">
        <v>37</v>
      </c>
      <c r="AR111" s="497" t="s">
        <v>986</v>
      </c>
      <c r="AS111" s="499" t="s">
        <v>37</v>
      </c>
      <c r="AT111" s="497" t="s">
        <v>986</v>
      </c>
      <c r="AU111" s="499" t="s">
        <v>37</v>
      </c>
      <c r="AV111" s="497" t="s">
        <v>986</v>
      </c>
      <c r="AW111" s="498" t="s">
        <v>37</v>
      </c>
      <c r="AX111" s="497" t="s">
        <v>986</v>
      </c>
      <c r="AY111" s="498" t="s">
        <v>37</v>
      </c>
      <c r="AZ111" s="497" t="s">
        <v>986</v>
      </c>
      <c r="BA111" s="498" t="s">
        <v>37</v>
      </c>
      <c r="BB111" s="497" t="s">
        <v>986</v>
      </c>
      <c r="BC111" s="498" t="s">
        <v>37</v>
      </c>
      <c r="BD111" s="497" t="s">
        <v>986</v>
      </c>
      <c r="BE111" s="498" t="s">
        <v>37</v>
      </c>
      <c r="BF111" s="497" t="s">
        <v>986</v>
      </c>
      <c r="BG111" s="498" t="s">
        <v>37</v>
      </c>
      <c r="BH111" s="497" t="s">
        <v>963</v>
      </c>
      <c r="BI111" s="498" t="s">
        <v>2904</v>
      </c>
      <c r="BJ111" s="497" t="s">
        <v>963</v>
      </c>
      <c r="BK111" s="498" t="s">
        <v>952</v>
      </c>
      <c r="BL111" s="497" t="s">
        <v>963</v>
      </c>
      <c r="BM111" s="498" t="s">
        <v>1169</v>
      </c>
      <c r="BN111" s="497" t="s">
        <v>986</v>
      </c>
      <c r="BO111" s="499" t="s">
        <v>37</v>
      </c>
      <c r="BP111" s="497" t="s">
        <v>963</v>
      </c>
      <c r="BQ111" s="498" t="s">
        <v>1137</v>
      </c>
      <c r="BR111" s="497" t="s">
        <v>986</v>
      </c>
      <c r="BS111" s="498" t="s">
        <v>37</v>
      </c>
      <c r="BT111" s="497" t="s">
        <v>986</v>
      </c>
      <c r="BU111" s="498" t="s">
        <v>37</v>
      </c>
      <c r="BV111" s="497" t="s">
        <v>986</v>
      </c>
      <c r="BW111" s="498" t="s">
        <v>37</v>
      </c>
      <c r="BX111" s="497" t="s">
        <v>986</v>
      </c>
      <c r="BY111" s="498" t="s">
        <v>37</v>
      </c>
      <c r="BZ111" s="497" t="s">
        <v>986</v>
      </c>
      <c r="CA111" s="498" t="s">
        <v>37</v>
      </c>
      <c r="CB111" s="497" t="s">
        <v>986</v>
      </c>
      <c r="CC111" s="498" t="s">
        <v>37</v>
      </c>
      <c r="CD111" s="497" t="s">
        <v>986</v>
      </c>
      <c r="CE111" s="498" t="s">
        <v>37</v>
      </c>
      <c r="CF111" s="497" t="s">
        <v>986</v>
      </c>
      <c r="CG111" s="498" t="s">
        <v>37</v>
      </c>
      <c r="CH111" s="497" t="s">
        <v>986</v>
      </c>
      <c r="CI111" s="499" t="s">
        <v>37</v>
      </c>
      <c r="CJ111" s="497" t="s">
        <v>967</v>
      </c>
      <c r="CK111" s="498" t="s">
        <v>172</v>
      </c>
      <c r="CL111" s="497" t="s">
        <v>964</v>
      </c>
      <c r="CM111" s="498" t="s">
        <v>1829</v>
      </c>
      <c r="CN111" s="497" t="s">
        <v>963</v>
      </c>
      <c r="CO111" s="498" t="s">
        <v>1999</v>
      </c>
      <c r="CP111" s="517"/>
      <c r="CQ111" s="34"/>
      <c r="CR111" s="34"/>
    </row>
    <row r="112" spans="1:96" s="5" customFormat="1" ht="147" thickBot="1" x14ac:dyDescent="0.25">
      <c r="A112" s="124">
        <f t="shared" si="1"/>
        <v>107</v>
      </c>
      <c r="B112" s="509" t="s">
        <v>650</v>
      </c>
      <c r="C112" s="509" t="s">
        <v>1603</v>
      </c>
      <c r="D112" s="510">
        <v>550</v>
      </c>
      <c r="E112" s="510" t="s">
        <v>2386</v>
      </c>
      <c r="F112" s="497" t="s">
        <v>964</v>
      </c>
      <c r="G112" s="498" t="s">
        <v>1564</v>
      </c>
      <c r="H112" s="497" t="s">
        <v>964</v>
      </c>
      <c r="I112" s="498" t="s">
        <v>1564</v>
      </c>
      <c r="J112" s="497" t="s">
        <v>964</v>
      </c>
      <c r="K112" s="498" t="s">
        <v>1564</v>
      </c>
      <c r="L112" s="497" t="s">
        <v>963</v>
      </c>
      <c r="M112" s="498" t="s">
        <v>1564</v>
      </c>
      <c r="N112" s="497" t="s">
        <v>963</v>
      </c>
      <c r="O112" s="498" t="s">
        <v>1564</v>
      </c>
      <c r="P112" s="497" t="s">
        <v>964</v>
      </c>
      <c r="Q112" s="498" t="s">
        <v>2836</v>
      </c>
      <c r="R112" s="497" t="s">
        <v>964</v>
      </c>
      <c r="S112" s="498" t="s">
        <v>1610</v>
      </c>
      <c r="T112" s="497" t="s">
        <v>986</v>
      </c>
      <c r="U112" s="499" t="s">
        <v>2179</v>
      </c>
      <c r="V112" s="497" t="s">
        <v>965</v>
      </c>
      <c r="W112" s="498" t="s">
        <v>1250</v>
      </c>
      <c r="X112" s="497" t="s">
        <v>986</v>
      </c>
      <c r="Y112" s="498" t="s">
        <v>1480</v>
      </c>
      <c r="Z112" s="497" t="s">
        <v>986</v>
      </c>
      <c r="AA112" s="498" t="s">
        <v>70</v>
      </c>
      <c r="AB112" s="497" t="s">
        <v>986</v>
      </c>
      <c r="AC112" s="498" t="s">
        <v>1480</v>
      </c>
      <c r="AD112" s="497" t="s">
        <v>965</v>
      </c>
      <c r="AE112" s="498" t="s">
        <v>144</v>
      </c>
      <c r="AF112" s="497" t="s">
        <v>986</v>
      </c>
      <c r="AG112" s="499" t="s">
        <v>37</v>
      </c>
      <c r="AH112" s="497" t="s">
        <v>963</v>
      </c>
      <c r="AI112" s="498" t="s">
        <v>705</v>
      </c>
      <c r="AJ112" s="497" t="s">
        <v>963</v>
      </c>
      <c r="AK112" s="498" t="s">
        <v>2837</v>
      </c>
      <c r="AL112" s="497" t="s">
        <v>963</v>
      </c>
      <c r="AM112" s="499" t="s">
        <v>2194</v>
      </c>
      <c r="AN112" s="497" t="s">
        <v>965</v>
      </c>
      <c r="AO112" s="498" t="s">
        <v>501</v>
      </c>
      <c r="AP112" s="497" t="s">
        <v>965</v>
      </c>
      <c r="AQ112" s="498" t="s">
        <v>693</v>
      </c>
      <c r="AR112" s="497" t="s">
        <v>965</v>
      </c>
      <c r="AS112" s="499" t="s">
        <v>1442</v>
      </c>
      <c r="AT112" s="497" t="s">
        <v>965</v>
      </c>
      <c r="AU112" s="499" t="s">
        <v>1625</v>
      </c>
      <c r="AV112" s="497" t="s">
        <v>965</v>
      </c>
      <c r="AW112" s="498" t="s">
        <v>1646</v>
      </c>
      <c r="AX112" s="497" t="s">
        <v>965</v>
      </c>
      <c r="AY112" s="498" t="s">
        <v>847</v>
      </c>
      <c r="AZ112" s="497" t="s">
        <v>963</v>
      </c>
      <c r="BA112" s="498" t="s">
        <v>1510</v>
      </c>
      <c r="BB112" s="497" t="s">
        <v>965</v>
      </c>
      <c r="BC112" s="498" t="s">
        <v>145</v>
      </c>
      <c r="BD112" s="497" t="s">
        <v>963</v>
      </c>
      <c r="BE112" s="498" t="s">
        <v>2838</v>
      </c>
      <c r="BF112" s="497" t="s">
        <v>965</v>
      </c>
      <c r="BG112" s="498" t="s">
        <v>2131</v>
      </c>
      <c r="BH112" s="497" t="s">
        <v>965</v>
      </c>
      <c r="BI112" s="498" t="s">
        <v>190</v>
      </c>
      <c r="BJ112" s="497" t="s">
        <v>986</v>
      </c>
      <c r="BK112" s="498" t="s">
        <v>37</v>
      </c>
      <c r="BL112" s="497" t="s">
        <v>963</v>
      </c>
      <c r="BM112" s="498" t="s">
        <v>1635</v>
      </c>
      <c r="BN112" s="497" t="s">
        <v>986</v>
      </c>
      <c r="BO112" s="499" t="s">
        <v>37</v>
      </c>
      <c r="BP112" s="497" t="s">
        <v>967</v>
      </c>
      <c r="BQ112" s="498" t="s">
        <v>2195</v>
      </c>
      <c r="BR112" s="497" t="s">
        <v>967</v>
      </c>
      <c r="BS112" s="498" t="s">
        <v>2196</v>
      </c>
      <c r="BT112" s="497" t="s">
        <v>964</v>
      </c>
      <c r="BU112" s="498" t="s">
        <v>2839</v>
      </c>
      <c r="BV112" s="497" t="s">
        <v>986</v>
      </c>
      <c r="BW112" s="498" t="s">
        <v>37</v>
      </c>
      <c r="BX112" s="497" t="s">
        <v>963</v>
      </c>
      <c r="BY112" s="498" t="s">
        <v>2197</v>
      </c>
      <c r="BZ112" s="497" t="s">
        <v>963</v>
      </c>
      <c r="CA112" s="498" t="s">
        <v>2198</v>
      </c>
      <c r="CB112" s="497" t="s">
        <v>986</v>
      </c>
      <c r="CC112" s="498" t="s">
        <v>37</v>
      </c>
      <c r="CD112" s="497" t="s">
        <v>964</v>
      </c>
      <c r="CE112" s="498" t="s">
        <v>129</v>
      </c>
      <c r="CF112" s="497" t="s">
        <v>967</v>
      </c>
      <c r="CG112" s="498" t="s">
        <v>1056</v>
      </c>
      <c r="CH112" s="497" t="s">
        <v>986</v>
      </c>
      <c r="CI112" s="499" t="s">
        <v>37</v>
      </c>
      <c r="CJ112" s="497" t="s">
        <v>986</v>
      </c>
      <c r="CK112" s="498" t="s">
        <v>37</v>
      </c>
      <c r="CL112" s="497" t="s">
        <v>986</v>
      </c>
      <c r="CM112" s="498" t="s">
        <v>37</v>
      </c>
      <c r="CN112" s="497" t="s">
        <v>986</v>
      </c>
      <c r="CO112" s="498" t="s">
        <v>37</v>
      </c>
      <c r="CP112" s="517"/>
      <c r="CQ112" s="34"/>
      <c r="CR112" s="34"/>
    </row>
    <row r="113" spans="1:96" s="5" customFormat="1" ht="90.75" thickBot="1" x14ac:dyDescent="0.25">
      <c r="A113" s="124">
        <f t="shared" si="1"/>
        <v>108</v>
      </c>
      <c r="B113" s="509" t="s">
        <v>651</v>
      </c>
      <c r="C113" s="509" t="s">
        <v>2062</v>
      </c>
      <c r="D113" s="510">
        <v>562</v>
      </c>
      <c r="E113" s="510" t="s">
        <v>2386</v>
      </c>
      <c r="F113" s="497" t="s">
        <v>965</v>
      </c>
      <c r="G113" s="498" t="s">
        <v>1202</v>
      </c>
      <c r="H113" s="497" t="s">
        <v>965</v>
      </c>
      <c r="I113" s="498" t="s">
        <v>1203</v>
      </c>
      <c r="J113" s="497" t="s">
        <v>965</v>
      </c>
      <c r="K113" s="498" t="s">
        <v>1204</v>
      </c>
      <c r="L113" s="497" t="s">
        <v>965</v>
      </c>
      <c r="M113" s="498" t="s">
        <v>837</v>
      </c>
      <c r="N113" s="497" t="s">
        <v>965</v>
      </c>
      <c r="O113" s="498" t="s">
        <v>837</v>
      </c>
      <c r="P113" s="497" t="s">
        <v>965</v>
      </c>
      <c r="Q113" s="498" t="s">
        <v>87</v>
      </c>
      <c r="R113" s="497" t="s">
        <v>965</v>
      </c>
      <c r="S113" s="498" t="s">
        <v>1696</v>
      </c>
      <c r="T113" s="497" t="s">
        <v>986</v>
      </c>
      <c r="U113" s="499" t="s">
        <v>37</v>
      </c>
      <c r="V113" s="497" t="s">
        <v>986</v>
      </c>
      <c r="W113" s="498" t="s">
        <v>1697</v>
      </c>
      <c r="X113" s="497" t="s">
        <v>986</v>
      </c>
      <c r="Y113" s="498" t="s">
        <v>37</v>
      </c>
      <c r="Z113" s="497" t="s">
        <v>965</v>
      </c>
      <c r="AA113" s="498" t="s">
        <v>1667</v>
      </c>
      <c r="AB113" s="497" t="s">
        <v>986</v>
      </c>
      <c r="AC113" s="498" t="s">
        <v>37</v>
      </c>
      <c r="AD113" s="497" t="s">
        <v>986</v>
      </c>
      <c r="AE113" s="498" t="s">
        <v>37</v>
      </c>
      <c r="AF113" s="497" t="s">
        <v>986</v>
      </c>
      <c r="AG113" s="499" t="s">
        <v>37</v>
      </c>
      <c r="AH113" s="497" t="s">
        <v>986</v>
      </c>
      <c r="AI113" s="498" t="s">
        <v>37</v>
      </c>
      <c r="AJ113" s="497" t="s">
        <v>965</v>
      </c>
      <c r="AK113" s="498" t="s">
        <v>434</v>
      </c>
      <c r="AL113" s="497" t="s">
        <v>965</v>
      </c>
      <c r="AM113" s="499" t="s">
        <v>1079</v>
      </c>
      <c r="AN113" s="497" t="s">
        <v>986</v>
      </c>
      <c r="AO113" s="498" t="s">
        <v>37</v>
      </c>
      <c r="AP113" s="497" t="s">
        <v>986</v>
      </c>
      <c r="AQ113" s="498" t="s">
        <v>37</v>
      </c>
      <c r="AR113" s="497" t="s">
        <v>986</v>
      </c>
      <c r="AS113" s="499" t="s">
        <v>37</v>
      </c>
      <c r="AT113" s="497" t="s">
        <v>986</v>
      </c>
      <c r="AU113" s="499" t="s">
        <v>37</v>
      </c>
      <c r="AV113" s="497" t="s">
        <v>986</v>
      </c>
      <c r="AW113" s="498" t="s">
        <v>1713</v>
      </c>
      <c r="AX113" s="497" t="s">
        <v>986</v>
      </c>
      <c r="AY113" s="498" t="s">
        <v>37</v>
      </c>
      <c r="AZ113" s="497" t="s">
        <v>965</v>
      </c>
      <c r="BA113" s="498" t="s">
        <v>1719</v>
      </c>
      <c r="BB113" s="497" t="s">
        <v>986</v>
      </c>
      <c r="BC113" s="498" t="s">
        <v>1618</v>
      </c>
      <c r="BD113" s="497" t="s">
        <v>986</v>
      </c>
      <c r="BE113" s="498" t="s">
        <v>37</v>
      </c>
      <c r="BF113" s="497" t="s">
        <v>986</v>
      </c>
      <c r="BG113" s="498" t="s">
        <v>37</v>
      </c>
      <c r="BH113" s="497" t="s">
        <v>965</v>
      </c>
      <c r="BI113" s="498" t="s">
        <v>761</v>
      </c>
      <c r="BJ113" s="497" t="s">
        <v>986</v>
      </c>
      <c r="BK113" s="498" t="s">
        <v>37</v>
      </c>
      <c r="BL113" s="497" t="s">
        <v>963</v>
      </c>
      <c r="BM113" s="498" t="s">
        <v>1170</v>
      </c>
      <c r="BN113" s="497" t="s">
        <v>986</v>
      </c>
      <c r="BO113" s="499" t="s">
        <v>37</v>
      </c>
      <c r="BP113" s="497" t="s">
        <v>965</v>
      </c>
      <c r="BQ113" s="498" t="s">
        <v>557</v>
      </c>
      <c r="BR113" s="497" t="s">
        <v>965</v>
      </c>
      <c r="BS113" s="498" t="s">
        <v>2159</v>
      </c>
      <c r="BT113" s="497" t="s">
        <v>966</v>
      </c>
      <c r="BU113" s="498" t="s">
        <v>1707</v>
      </c>
      <c r="BV113" s="497" t="s">
        <v>966</v>
      </c>
      <c r="BW113" s="498" t="s">
        <v>832</v>
      </c>
      <c r="BX113" s="497" t="s">
        <v>965</v>
      </c>
      <c r="BY113" s="498" t="s">
        <v>714</v>
      </c>
      <c r="BZ113" s="497" t="s">
        <v>965</v>
      </c>
      <c r="CA113" s="498" t="s">
        <v>738</v>
      </c>
      <c r="CB113" s="497" t="s">
        <v>986</v>
      </c>
      <c r="CC113" s="498" t="s">
        <v>1544</v>
      </c>
      <c r="CD113" s="497" t="s">
        <v>958</v>
      </c>
      <c r="CE113" s="498" t="s">
        <v>728</v>
      </c>
      <c r="CF113" s="497" t="s">
        <v>986</v>
      </c>
      <c r="CG113" s="498" t="s">
        <v>37</v>
      </c>
      <c r="CH113" s="497" t="s">
        <v>986</v>
      </c>
      <c r="CI113" s="499" t="s">
        <v>37</v>
      </c>
      <c r="CJ113" s="497" t="s">
        <v>986</v>
      </c>
      <c r="CK113" s="498" t="s">
        <v>37</v>
      </c>
      <c r="CL113" s="497" t="s">
        <v>986</v>
      </c>
      <c r="CM113" s="498" t="s">
        <v>37</v>
      </c>
      <c r="CN113" s="497" t="s">
        <v>986</v>
      </c>
      <c r="CO113" s="498" t="s">
        <v>37</v>
      </c>
      <c r="CP113" s="517"/>
      <c r="CQ113" s="34"/>
      <c r="CR113" s="34"/>
    </row>
    <row r="114" spans="1:96" s="5" customFormat="1" ht="124.5" thickBot="1" x14ac:dyDescent="0.25">
      <c r="A114" s="124">
        <f t="shared" si="1"/>
        <v>109</v>
      </c>
      <c r="B114" s="509" t="s">
        <v>652</v>
      </c>
      <c r="C114" s="509" t="s">
        <v>1597</v>
      </c>
      <c r="D114" s="510">
        <v>566</v>
      </c>
      <c r="E114" s="510" t="s">
        <v>2386</v>
      </c>
      <c r="F114" s="497" t="s">
        <v>986</v>
      </c>
      <c r="G114" s="498" t="s">
        <v>1004</v>
      </c>
      <c r="H114" s="497" t="s">
        <v>986</v>
      </c>
      <c r="I114" s="498" t="s">
        <v>1004</v>
      </c>
      <c r="J114" s="497" t="s">
        <v>986</v>
      </c>
      <c r="K114" s="498" t="s">
        <v>1004</v>
      </c>
      <c r="L114" s="497" t="s">
        <v>964</v>
      </c>
      <c r="M114" s="498" t="s">
        <v>838</v>
      </c>
      <c r="N114" s="497" t="s">
        <v>963</v>
      </c>
      <c r="O114" s="498" t="s">
        <v>839</v>
      </c>
      <c r="P114" s="497" t="s">
        <v>965</v>
      </c>
      <c r="Q114" s="498" t="s">
        <v>1621</v>
      </c>
      <c r="R114" s="497" t="s">
        <v>986</v>
      </c>
      <c r="S114" s="498" t="s">
        <v>1700</v>
      </c>
      <c r="T114" s="497" t="s">
        <v>986</v>
      </c>
      <c r="U114" s="499" t="s">
        <v>37</v>
      </c>
      <c r="V114" s="497" t="s">
        <v>986</v>
      </c>
      <c r="W114" s="498" t="s">
        <v>37</v>
      </c>
      <c r="X114" s="497" t="s">
        <v>986</v>
      </c>
      <c r="Y114" s="498" t="s">
        <v>37</v>
      </c>
      <c r="Z114" s="497" t="s">
        <v>963</v>
      </c>
      <c r="AA114" s="498" t="s">
        <v>1575</v>
      </c>
      <c r="AB114" s="497" t="s">
        <v>986</v>
      </c>
      <c r="AC114" s="498" t="s">
        <v>37</v>
      </c>
      <c r="AD114" s="497" t="s">
        <v>986</v>
      </c>
      <c r="AE114" s="498" t="s">
        <v>37</v>
      </c>
      <c r="AF114" s="497" t="s">
        <v>986</v>
      </c>
      <c r="AG114" s="499" t="s">
        <v>37</v>
      </c>
      <c r="AH114" s="497" t="s">
        <v>986</v>
      </c>
      <c r="AI114" s="498" t="s">
        <v>37</v>
      </c>
      <c r="AJ114" s="497" t="s">
        <v>986</v>
      </c>
      <c r="AK114" s="498" t="s">
        <v>37</v>
      </c>
      <c r="AL114" s="497" t="s">
        <v>986</v>
      </c>
      <c r="AM114" s="499" t="s">
        <v>37</v>
      </c>
      <c r="AN114" s="497" t="s">
        <v>986</v>
      </c>
      <c r="AO114" s="498" t="s">
        <v>37</v>
      </c>
      <c r="AP114" s="497" t="s">
        <v>986</v>
      </c>
      <c r="AQ114" s="498" t="s">
        <v>37</v>
      </c>
      <c r="AR114" s="497" t="s">
        <v>986</v>
      </c>
      <c r="AS114" s="499" t="s">
        <v>37</v>
      </c>
      <c r="AT114" s="497" t="s">
        <v>986</v>
      </c>
      <c r="AU114" s="499" t="s">
        <v>37</v>
      </c>
      <c r="AV114" s="497" t="s">
        <v>986</v>
      </c>
      <c r="AW114" s="498" t="s">
        <v>37</v>
      </c>
      <c r="AX114" s="497" t="s">
        <v>986</v>
      </c>
      <c r="AY114" s="498" t="s">
        <v>37</v>
      </c>
      <c r="AZ114" s="497" t="s">
        <v>963</v>
      </c>
      <c r="BA114" s="498" t="s">
        <v>1719</v>
      </c>
      <c r="BB114" s="497" t="s">
        <v>986</v>
      </c>
      <c r="BC114" s="498" t="s">
        <v>1725</v>
      </c>
      <c r="BD114" s="497" t="s">
        <v>986</v>
      </c>
      <c r="BE114" s="498" t="s">
        <v>37</v>
      </c>
      <c r="BF114" s="497" t="s">
        <v>986</v>
      </c>
      <c r="BG114" s="498" t="s">
        <v>37</v>
      </c>
      <c r="BH114" s="497" t="s">
        <v>986</v>
      </c>
      <c r="BI114" s="498" t="s">
        <v>37</v>
      </c>
      <c r="BJ114" s="497" t="s">
        <v>986</v>
      </c>
      <c r="BK114" s="498" t="s">
        <v>37</v>
      </c>
      <c r="BL114" s="497" t="s">
        <v>958</v>
      </c>
      <c r="BM114" s="498" t="s">
        <v>1716</v>
      </c>
      <c r="BN114" s="497" t="s">
        <v>986</v>
      </c>
      <c r="BO114" s="499" t="s">
        <v>37</v>
      </c>
      <c r="BP114" s="497" t="s">
        <v>966</v>
      </c>
      <c r="BQ114" s="498" t="s">
        <v>235</v>
      </c>
      <c r="BR114" s="497" t="s">
        <v>986</v>
      </c>
      <c r="BS114" s="498" t="s">
        <v>37</v>
      </c>
      <c r="BT114" s="497" t="s">
        <v>964</v>
      </c>
      <c r="BU114" s="498" t="s">
        <v>1707</v>
      </c>
      <c r="BV114" s="497" t="s">
        <v>986</v>
      </c>
      <c r="BW114" s="498" t="s">
        <v>37</v>
      </c>
      <c r="BX114" s="497" t="s">
        <v>961</v>
      </c>
      <c r="BY114" s="498" t="s">
        <v>553</v>
      </c>
      <c r="BZ114" s="497" t="s">
        <v>961</v>
      </c>
      <c r="CA114" s="498" t="s">
        <v>267</v>
      </c>
      <c r="CB114" s="497" t="s">
        <v>986</v>
      </c>
      <c r="CC114" s="498" t="s">
        <v>37</v>
      </c>
      <c r="CD114" s="497" t="s">
        <v>961</v>
      </c>
      <c r="CE114" s="498" t="s">
        <v>728</v>
      </c>
      <c r="CF114" s="497" t="s">
        <v>986</v>
      </c>
      <c r="CG114" s="498" t="s">
        <v>37</v>
      </c>
      <c r="CH114" s="497" t="s">
        <v>986</v>
      </c>
      <c r="CI114" s="499" t="s">
        <v>37</v>
      </c>
      <c r="CJ114" s="497" t="s">
        <v>986</v>
      </c>
      <c r="CK114" s="498" t="s">
        <v>37</v>
      </c>
      <c r="CL114" s="497" t="s">
        <v>986</v>
      </c>
      <c r="CM114" s="498" t="s">
        <v>37</v>
      </c>
      <c r="CN114" s="497" t="s">
        <v>986</v>
      </c>
      <c r="CO114" s="498" t="s">
        <v>37</v>
      </c>
      <c r="CP114" s="517"/>
      <c r="CQ114" s="34"/>
      <c r="CR114" s="34"/>
    </row>
    <row r="115" spans="1:96" s="5" customFormat="1" ht="113.25" thickBot="1" x14ac:dyDescent="0.25">
      <c r="A115" s="124">
        <f t="shared" si="1"/>
        <v>110</v>
      </c>
      <c r="B115" s="509" t="s">
        <v>3711</v>
      </c>
      <c r="C115" s="509" t="s">
        <v>1605</v>
      </c>
      <c r="D115" s="510">
        <v>329</v>
      </c>
      <c r="E115" s="510" t="s">
        <v>2386</v>
      </c>
      <c r="F115" s="497" t="s">
        <v>964</v>
      </c>
      <c r="G115" s="498" t="s">
        <v>502</v>
      </c>
      <c r="H115" s="497" t="s">
        <v>967</v>
      </c>
      <c r="I115" s="498" t="s">
        <v>503</v>
      </c>
      <c r="J115" s="497" t="s">
        <v>986</v>
      </c>
      <c r="K115" s="498" t="s">
        <v>37</v>
      </c>
      <c r="L115" s="497" t="s">
        <v>986</v>
      </c>
      <c r="M115" s="498" t="s">
        <v>37</v>
      </c>
      <c r="N115" s="497" t="s">
        <v>986</v>
      </c>
      <c r="O115" s="498" t="s">
        <v>37</v>
      </c>
      <c r="P115" s="497" t="s">
        <v>963</v>
      </c>
      <c r="Q115" s="498" t="s">
        <v>151</v>
      </c>
      <c r="R115" s="497" t="s">
        <v>963</v>
      </c>
      <c r="S115" s="498" t="s">
        <v>280</v>
      </c>
      <c r="T115" s="497" t="s">
        <v>986</v>
      </c>
      <c r="U115" s="499" t="s">
        <v>37</v>
      </c>
      <c r="V115" s="497" t="s">
        <v>986</v>
      </c>
      <c r="W115" s="498" t="s">
        <v>37</v>
      </c>
      <c r="X115" s="497" t="s">
        <v>958</v>
      </c>
      <c r="Y115" s="498" t="s">
        <v>281</v>
      </c>
      <c r="Z115" s="497" t="s">
        <v>963</v>
      </c>
      <c r="AA115" s="498" t="s">
        <v>282</v>
      </c>
      <c r="AB115" s="497" t="s">
        <v>958</v>
      </c>
      <c r="AC115" s="498" t="s">
        <v>2777</v>
      </c>
      <c r="AD115" s="497" t="s">
        <v>986</v>
      </c>
      <c r="AE115" s="498" t="s">
        <v>37</v>
      </c>
      <c r="AF115" s="497" t="s">
        <v>963</v>
      </c>
      <c r="AG115" s="499" t="s">
        <v>283</v>
      </c>
      <c r="AH115" s="497" t="s">
        <v>963</v>
      </c>
      <c r="AI115" s="498" t="s">
        <v>284</v>
      </c>
      <c r="AJ115" s="497" t="s">
        <v>964</v>
      </c>
      <c r="AK115" s="498" t="s">
        <v>434</v>
      </c>
      <c r="AL115" s="497" t="s">
        <v>986</v>
      </c>
      <c r="AM115" s="499" t="s">
        <v>37</v>
      </c>
      <c r="AN115" s="497" t="s">
        <v>963</v>
      </c>
      <c r="AO115" s="498" t="s">
        <v>286</v>
      </c>
      <c r="AP115" s="497" t="s">
        <v>958</v>
      </c>
      <c r="AQ115" s="498" t="s">
        <v>370</v>
      </c>
      <c r="AR115" s="497" t="s">
        <v>986</v>
      </c>
      <c r="AS115" s="499" t="s">
        <v>37</v>
      </c>
      <c r="AT115" s="497" t="s">
        <v>986</v>
      </c>
      <c r="AU115" s="499" t="s">
        <v>37</v>
      </c>
      <c r="AV115" s="497" t="s">
        <v>965</v>
      </c>
      <c r="AW115" s="498" t="s">
        <v>812</v>
      </c>
      <c r="AX115" s="497" t="s">
        <v>986</v>
      </c>
      <c r="AY115" s="498" t="s">
        <v>37</v>
      </c>
      <c r="AZ115" s="497" t="s">
        <v>964</v>
      </c>
      <c r="BA115" s="498" t="s">
        <v>811</v>
      </c>
      <c r="BB115" s="497" t="s">
        <v>986</v>
      </c>
      <c r="BC115" s="498" t="s">
        <v>37</v>
      </c>
      <c r="BD115" s="497" t="s">
        <v>986</v>
      </c>
      <c r="BE115" s="498" t="s">
        <v>37</v>
      </c>
      <c r="BF115" s="497" t="s">
        <v>986</v>
      </c>
      <c r="BG115" s="498" t="s">
        <v>37</v>
      </c>
      <c r="BH115" s="497" t="s">
        <v>967</v>
      </c>
      <c r="BI115" s="498" t="s">
        <v>1566</v>
      </c>
      <c r="BJ115" s="497" t="s">
        <v>963</v>
      </c>
      <c r="BK115" s="498" t="s">
        <v>894</v>
      </c>
      <c r="BL115" s="497" t="s">
        <v>964</v>
      </c>
      <c r="BM115" s="498" t="s">
        <v>808</v>
      </c>
      <c r="BN115" s="497" t="s">
        <v>986</v>
      </c>
      <c r="BO115" s="499" t="s">
        <v>37</v>
      </c>
      <c r="BP115" s="497" t="s">
        <v>963</v>
      </c>
      <c r="BQ115" s="498" t="s">
        <v>1717</v>
      </c>
      <c r="BR115" s="497" t="s">
        <v>986</v>
      </c>
      <c r="BS115" s="498" t="s">
        <v>37</v>
      </c>
      <c r="BT115" s="497" t="s">
        <v>986</v>
      </c>
      <c r="BU115" s="498" t="s">
        <v>37</v>
      </c>
      <c r="BV115" s="497" t="s">
        <v>986</v>
      </c>
      <c r="BW115" s="498" t="s">
        <v>37</v>
      </c>
      <c r="BX115" s="497" t="s">
        <v>963</v>
      </c>
      <c r="BY115" s="498" t="s">
        <v>1037</v>
      </c>
      <c r="BZ115" s="497" t="s">
        <v>963</v>
      </c>
      <c r="CA115" s="498" t="s">
        <v>1588</v>
      </c>
      <c r="CB115" s="497" t="s">
        <v>986</v>
      </c>
      <c r="CC115" s="498" t="s">
        <v>37</v>
      </c>
      <c r="CD115" s="497" t="s">
        <v>965</v>
      </c>
      <c r="CE115" s="498" t="s">
        <v>130</v>
      </c>
      <c r="CF115" s="497" t="s">
        <v>986</v>
      </c>
      <c r="CG115" s="498" t="s">
        <v>37</v>
      </c>
      <c r="CH115" s="497" t="s">
        <v>986</v>
      </c>
      <c r="CI115" s="499" t="s">
        <v>37</v>
      </c>
      <c r="CJ115" s="497" t="s">
        <v>986</v>
      </c>
      <c r="CK115" s="498" t="s">
        <v>37</v>
      </c>
      <c r="CL115" s="497" t="s">
        <v>964</v>
      </c>
      <c r="CM115" s="498" t="s">
        <v>1802</v>
      </c>
      <c r="CN115" s="497" t="s">
        <v>964</v>
      </c>
      <c r="CO115" s="498" t="s">
        <v>1803</v>
      </c>
      <c r="CP115" s="517" t="s">
        <v>2199</v>
      </c>
      <c r="CQ115" s="34"/>
      <c r="CR115" s="34"/>
    </row>
    <row r="116" spans="1:96" s="18" customFormat="1" ht="113.25" thickBot="1" x14ac:dyDescent="0.25">
      <c r="A116" s="124">
        <f t="shared" si="1"/>
        <v>111</v>
      </c>
      <c r="B116" s="509" t="s">
        <v>3712</v>
      </c>
      <c r="C116" s="509" t="s">
        <v>1605</v>
      </c>
      <c r="D116" s="510">
        <v>345</v>
      </c>
      <c r="E116" s="510" t="s">
        <v>2386</v>
      </c>
      <c r="F116" s="497" t="s">
        <v>964</v>
      </c>
      <c r="G116" s="498" t="s">
        <v>502</v>
      </c>
      <c r="H116" s="497" t="s">
        <v>964</v>
      </c>
      <c r="I116" s="498" t="s">
        <v>503</v>
      </c>
      <c r="J116" s="497" t="s">
        <v>986</v>
      </c>
      <c r="K116" s="498" t="s">
        <v>37</v>
      </c>
      <c r="L116" s="497" t="s">
        <v>986</v>
      </c>
      <c r="M116" s="498" t="s">
        <v>37</v>
      </c>
      <c r="N116" s="497" t="s">
        <v>986</v>
      </c>
      <c r="O116" s="498" t="s">
        <v>37</v>
      </c>
      <c r="P116" s="497" t="s">
        <v>963</v>
      </c>
      <c r="Q116" s="498" t="s">
        <v>303</v>
      </c>
      <c r="R116" s="497" t="s">
        <v>965</v>
      </c>
      <c r="S116" s="498" t="s">
        <v>149</v>
      </c>
      <c r="T116" s="497" t="s">
        <v>986</v>
      </c>
      <c r="U116" s="499" t="s">
        <v>37</v>
      </c>
      <c r="V116" s="497" t="s">
        <v>986</v>
      </c>
      <c r="W116" s="498" t="s">
        <v>37</v>
      </c>
      <c r="X116" s="497" t="s">
        <v>986</v>
      </c>
      <c r="Y116" s="498" t="s">
        <v>37</v>
      </c>
      <c r="Z116" s="497" t="s">
        <v>965</v>
      </c>
      <c r="AA116" s="498" t="s">
        <v>1629</v>
      </c>
      <c r="AB116" s="497" t="s">
        <v>986</v>
      </c>
      <c r="AC116" s="498" t="s">
        <v>37</v>
      </c>
      <c r="AD116" s="497" t="s">
        <v>986</v>
      </c>
      <c r="AE116" s="498" t="s">
        <v>37</v>
      </c>
      <c r="AF116" s="497" t="s">
        <v>965</v>
      </c>
      <c r="AG116" s="499" t="s">
        <v>1630</v>
      </c>
      <c r="AH116" s="497" t="s">
        <v>963</v>
      </c>
      <c r="AI116" s="498" t="s">
        <v>1631</v>
      </c>
      <c r="AJ116" s="497" t="s">
        <v>964</v>
      </c>
      <c r="AK116" s="498" t="s">
        <v>434</v>
      </c>
      <c r="AL116" s="497" t="s">
        <v>986</v>
      </c>
      <c r="AM116" s="499" t="s">
        <v>37</v>
      </c>
      <c r="AN116" s="497" t="s">
        <v>963</v>
      </c>
      <c r="AO116" s="498" t="s">
        <v>286</v>
      </c>
      <c r="AP116" s="497" t="s">
        <v>986</v>
      </c>
      <c r="AQ116" s="498" t="s">
        <v>37</v>
      </c>
      <c r="AR116" s="497" t="s">
        <v>965</v>
      </c>
      <c r="AS116" s="499" t="s">
        <v>287</v>
      </c>
      <c r="AT116" s="497" t="s">
        <v>986</v>
      </c>
      <c r="AU116" s="499" t="s">
        <v>37</v>
      </c>
      <c r="AV116" s="497" t="s">
        <v>965</v>
      </c>
      <c r="AW116" s="498" t="s">
        <v>812</v>
      </c>
      <c r="AX116" s="497" t="s">
        <v>986</v>
      </c>
      <c r="AY116" s="498" t="s">
        <v>37</v>
      </c>
      <c r="AZ116" s="497" t="s">
        <v>966</v>
      </c>
      <c r="BA116" s="498" t="s">
        <v>811</v>
      </c>
      <c r="BB116" s="497" t="s">
        <v>986</v>
      </c>
      <c r="BC116" s="498" t="s">
        <v>37</v>
      </c>
      <c r="BD116" s="497" t="s">
        <v>986</v>
      </c>
      <c r="BE116" s="498" t="s">
        <v>37</v>
      </c>
      <c r="BF116" s="497" t="s">
        <v>986</v>
      </c>
      <c r="BG116" s="498" t="s">
        <v>37</v>
      </c>
      <c r="BH116" s="497" t="s">
        <v>964</v>
      </c>
      <c r="BI116" s="498" t="s">
        <v>1566</v>
      </c>
      <c r="BJ116" s="497" t="s">
        <v>965</v>
      </c>
      <c r="BK116" s="498" t="s">
        <v>894</v>
      </c>
      <c r="BL116" s="497" t="s">
        <v>966</v>
      </c>
      <c r="BM116" s="498" t="s">
        <v>808</v>
      </c>
      <c r="BN116" s="497" t="s">
        <v>986</v>
      </c>
      <c r="BO116" s="499" t="s">
        <v>37</v>
      </c>
      <c r="BP116" s="497" t="s">
        <v>963</v>
      </c>
      <c r="BQ116" s="498" t="s">
        <v>1387</v>
      </c>
      <c r="BR116" s="497" t="s">
        <v>986</v>
      </c>
      <c r="BS116" s="498" t="s">
        <v>37</v>
      </c>
      <c r="BT116" s="497" t="s">
        <v>986</v>
      </c>
      <c r="BU116" s="498" t="s">
        <v>37</v>
      </c>
      <c r="BV116" s="497" t="s">
        <v>986</v>
      </c>
      <c r="BW116" s="498" t="s">
        <v>37</v>
      </c>
      <c r="BX116" s="497" t="s">
        <v>963</v>
      </c>
      <c r="BY116" s="498" t="s">
        <v>1037</v>
      </c>
      <c r="BZ116" s="497" t="s">
        <v>963</v>
      </c>
      <c r="CA116" s="498" t="s">
        <v>1588</v>
      </c>
      <c r="CB116" s="497" t="s">
        <v>986</v>
      </c>
      <c r="CC116" s="498" t="s">
        <v>37</v>
      </c>
      <c r="CD116" s="497" t="s">
        <v>965</v>
      </c>
      <c r="CE116" s="498" t="s">
        <v>130</v>
      </c>
      <c r="CF116" s="497" t="s">
        <v>986</v>
      </c>
      <c r="CG116" s="498" t="s">
        <v>37</v>
      </c>
      <c r="CH116" s="497" t="s">
        <v>986</v>
      </c>
      <c r="CI116" s="499" t="s">
        <v>37</v>
      </c>
      <c r="CJ116" s="497" t="s">
        <v>986</v>
      </c>
      <c r="CK116" s="498" t="s">
        <v>37</v>
      </c>
      <c r="CL116" s="497" t="s">
        <v>963</v>
      </c>
      <c r="CM116" s="498" t="s">
        <v>1830</v>
      </c>
      <c r="CN116" s="497" t="s">
        <v>963</v>
      </c>
      <c r="CO116" s="498" t="s">
        <v>1830</v>
      </c>
      <c r="CP116" s="517" t="s">
        <v>2199</v>
      </c>
    </row>
    <row r="117" spans="1:96" s="5" customFormat="1" ht="135.75" thickBot="1" x14ac:dyDescent="0.25">
      <c r="A117" s="124">
        <f t="shared" si="1"/>
        <v>112</v>
      </c>
      <c r="B117" s="509" t="s">
        <v>47</v>
      </c>
      <c r="C117" s="509" t="s">
        <v>1476</v>
      </c>
      <c r="D117" s="510">
        <v>643</v>
      </c>
      <c r="E117" s="510" t="s">
        <v>2382</v>
      </c>
      <c r="F117" s="497" t="s">
        <v>963</v>
      </c>
      <c r="G117" s="498" t="s">
        <v>142</v>
      </c>
      <c r="H117" s="497" t="s">
        <v>963</v>
      </c>
      <c r="I117" s="498" t="s">
        <v>143</v>
      </c>
      <c r="J117" s="497" t="s">
        <v>963</v>
      </c>
      <c r="K117" s="498" t="s">
        <v>142</v>
      </c>
      <c r="L117" s="497" t="s">
        <v>986</v>
      </c>
      <c r="M117" s="498" t="s">
        <v>1445</v>
      </c>
      <c r="N117" s="497" t="s">
        <v>986</v>
      </c>
      <c r="O117" s="498" t="s">
        <v>1445</v>
      </c>
      <c r="P117" s="497" t="s">
        <v>986</v>
      </c>
      <c r="Q117" s="498" t="s">
        <v>1526</v>
      </c>
      <c r="R117" s="497" t="s">
        <v>986</v>
      </c>
      <c r="S117" s="498" t="s">
        <v>37</v>
      </c>
      <c r="T117" s="497" t="s">
        <v>986</v>
      </c>
      <c r="U117" s="499" t="s">
        <v>37</v>
      </c>
      <c r="V117" s="497" t="s">
        <v>958</v>
      </c>
      <c r="W117" s="498" t="s">
        <v>1527</v>
      </c>
      <c r="X117" s="497" t="s">
        <v>986</v>
      </c>
      <c r="Y117" s="498" t="s">
        <v>37</v>
      </c>
      <c r="Z117" s="497" t="s">
        <v>986</v>
      </c>
      <c r="AA117" s="498" t="s">
        <v>37</v>
      </c>
      <c r="AB117" s="497" t="s">
        <v>986</v>
      </c>
      <c r="AC117" s="498" t="s">
        <v>37</v>
      </c>
      <c r="AD117" s="497" t="s">
        <v>986</v>
      </c>
      <c r="AE117" s="498" t="s">
        <v>37</v>
      </c>
      <c r="AF117" s="497" t="s">
        <v>986</v>
      </c>
      <c r="AG117" s="499" t="s">
        <v>37</v>
      </c>
      <c r="AH117" s="497" t="s">
        <v>986</v>
      </c>
      <c r="AI117" s="498" t="s">
        <v>37</v>
      </c>
      <c r="AJ117" s="497" t="s">
        <v>986</v>
      </c>
      <c r="AK117" s="498" t="s">
        <v>37</v>
      </c>
      <c r="AL117" s="497" t="s">
        <v>986</v>
      </c>
      <c r="AM117" s="499" t="s">
        <v>37</v>
      </c>
      <c r="AN117" s="497" t="s">
        <v>986</v>
      </c>
      <c r="AO117" s="498" t="s">
        <v>37</v>
      </c>
      <c r="AP117" s="497" t="s">
        <v>986</v>
      </c>
      <c r="AQ117" s="498" t="s">
        <v>37</v>
      </c>
      <c r="AR117" s="497" t="s">
        <v>986</v>
      </c>
      <c r="AS117" s="499" t="s">
        <v>37</v>
      </c>
      <c r="AT117" s="497" t="s">
        <v>986</v>
      </c>
      <c r="AU117" s="499" t="s">
        <v>37</v>
      </c>
      <c r="AV117" s="497" t="s">
        <v>986</v>
      </c>
      <c r="AW117" s="498" t="s">
        <v>37</v>
      </c>
      <c r="AX117" s="497" t="s">
        <v>986</v>
      </c>
      <c r="AY117" s="498" t="s">
        <v>37</v>
      </c>
      <c r="AZ117" s="497" t="s">
        <v>963</v>
      </c>
      <c r="BA117" s="498" t="s">
        <v>1510</v>
      </c>
      <c r="BB117" s="497" t="s">
        <v>963</v>
      </c>
      <c r="BC117" s="498" t="s">
        <v>864</v>
      </c>
      <c r="BD117" s="497" t="s">
        <v>986</v>
      </c>
      <c r="BE117" s="498" t="s">
        <v>37</v>
      </c>
      <c r="BF117" s="497" t="s">
        <v>986</v>
      </c>
      <c r="BG117" s="498" t="s">
        <v>37</v>
      </c>
      <c r="BH117" s="497" t="s">
        <v>986</v>
      </c>
      <c r="BI117" s="498" t="s">
        <v>37</v>
      </c>
      <c r="BJ117" s="497" t="s">
        <v>986</v>
      </c>
      <c r="BK117" s="498" t="s">
        <v>37</v>
      </c>
      <c r="BL117" s="497" t="s">
        <v>965</v>
      </c>
      <c r="BM117" s="498" t="s">
        <v>1635</v>
      </c>
      <c r="BN117" s="497" t="s">
        <v>986</v>
      </c>
      <c r="BO117" s="499" t="s">
        <v>37</v>
      </c>
      <c r="BP117" s="497" t="s">
        <v>964</v>
      </c>
      <c r="BQ117" s="498" t="s">
        <v>557</v>
      </c>
      <c r="BR117" s="497" t="s">
        <v>964</v>
      </c>
      <c r="BS117" s="498" t="s">
        <v>2167</v>
      </c>
      <c r="BT117" s="497" t="s">
        <v>964</v>
      </c>
      <c r="BU117" s="498" t="s">
        <v>1707</v>
      </c>
      <c r="BV117" s="497" t="s">
        <v>986</v>
      </c>
      <c r="BW117" s="498" t="s">
        <v>37</v>
      </c>
      <c r="BX117" s="497" t="s">
        <v>964</v>
      </c>
      <c r="BY117" s="498" t="s">
        <v>198</v>
      </c>
      <c r="BZ117" s="497" t="s">
        <v>964</v>
      </c>
      <c r="CA117" s="498" t="s">
        <v>199</v>
      </c>
      <c r="CB117" s="497" t="s">
        <v>964</v>
      </c>
      <c r="CC117" s="498" t="s">
        <v>1246</v>
      </c>
      <c r="CD117" s="497" t="s">
        <v>964</v>
      </c>
      <c r="CE117" s="498" t="s">
        <v>131</v>
      </c>
      <c r="CF117" s="497" t="s">
        <v>963</v>
      </c>
      <c r="CG117" s="498" t="s">
        <v>1059</v>
      </c>
      <c r="CH117" s="497" t="s">
        <v>986</v>
      </c>
      <c r="CI117" s="499" t="s">
        <v>37</v>
      </c>
      <c r="CJ117" s="497" t="s">
        <v>986</v>
      </c>
      <c r="CK117" s="498" t="s">
        <v>37</v>
      </c>
      <c r="CL117" s="497" t="s">
        <v>986</v>
      </c>
      <c r="CM117" s="498" t="s">
        <v>37</v>
      </c>
      <c r="CN117" s="497" t="s">
        <v>986</v>
      </c>
      <c r="CO117" s="498" t="s">
        <v>37</v>
      </c>
      <c r="CP117" s="517"/>
      <c r="CQ117" s="34"/>
      <c r="CR117" s="34"/>
    </row>
    <row r="118" spans="1:96" s="5" customFormat="1" ht="90.75" thickBot="1" x14ac:dyDescent="0.25">
      <c r="A118" s="124">
        <f t="shared" si="1"/>
        <v>113</v>
      </c>
      <c r="B118" s="509" t="s">
        <v>48</v>
      </c>
      <c r="C118" s="509" t="s">
        <v>2063</v>
      </c>
      <c r="D118" s="510">
        <v>391</v>
      </c>
      <c r="E118" s="510" t="s">
        <v>2382</v>
      </c>
      <c r="F118" s="497" t="s">
        <v>966</v>
      </c>
      <c r="G118" s="498" t="s">
        <v>104</v>
      </c>
      <c r="H118" s="497" t="s">
        <v>963</v>
      </c>
      <c r="I118" s="498" t="s">
        <v>105</v>
      </c>
      <c r="J118" s="497" t="s">
        <v>965</v>
      </c>
      <c r="K118" s="498" t="s">
        <v>402</v>
      </c>
      <c r="L118" s="497" t="s">
        <v>966</v>
      </c>
      <c r="M118" s="498" t="s">
        <v>1309</v>
      </c>
      <c r="N118" s="497" t="s">
        <v>964</v>
      </c>
      <c r="O118" s="498" t="s">
        <v>849</v>
      </c>
      <c r="P118" s="497" t="s">
        <v>964</v>
      </c>
      <c r="Q118" s="498" t="s">
        <v>1528</v>
      </c>
      <c r="R118" s="497" t="s">
        <v>963</v>
      </c>
      <c r="S118" s="498" t="s">
        <v>3830</v>
      </c>
      <c r="T118" s="497" t="s">
        <v>986</v>
      </c>
      <c r="U118" s="499" t="s">
        <v>37</v>
      </c>
      <c r="V118" s="497" t="s">
        <v>965</v>
      </c>
      <c r="W118" s="498" t="s">
        <v>1374</v>
      </c>
      <c r="X118" s="497" t="s">
        <v>965</v>
      </c>
      <c r="Y118" s="498" t="s">
        <v>1634</v>
      </c>
      <c r="Z118" s="497" t="s">
        <v>958</v>
      </c>
      <c r="AA118" s="498" t="s">
        <v>2789</v>
      </c>
      <c r="AB118" s="497" t="s">
        <v>963</v>
      </c>
      <c r="AC118" s="498" t="s">
        <v>1634</v>
      </c>
      <c r="AD118" s="497" t="s">
        <v>986</v>
      </c>
      <c r="AE118" s="498" t="s">
        <v>37</v>
      </c>
      <c r="AF118" s="497" t="s">
        <v>986</v>
      </c>
      <c r="AG118" s="499" t="s">
        <v>37</v>
      </c>
      <c r="AH118" s="497" t="s">
        <v>986</v>
      </c>
      <c r="AI118" s="498" t="s">
        <v>37</v>
      </c>
      <c r="AJ118" s="497" t="s">
        <v>966</v>
      </c>
      <c r="AK118" s="498" t="s">
        <v>476</v>
      </c>
      <c r="AL118" s="497" t="s">
        <v>965</v>
      </c>
      <c r="AM118" s="499" t="s">
        <v>1554</v>
      </c>
      <c r="AN118" s="497" t="s">
        <v>967</v>
      </c>
      <c r="AO118" s="498" t="s">
        <v>809</v>
      </c>
      <c r="AP118" s="497" t="s">
        <v>967</v>
      </c>
      <c r="AQ118" s="498" t="s">
        <v>693</v>
      </c>
      <c r="AR118" s="497" t="s">
        <v>965</v>
      </c>
      <c r="AS118" s="499" t="s">
        <v>1268</v>
      </c>
      <c r="AT118" s="497" t="s">
        <v>965</v>
      </c>
      <c r="AU118" s="499" t="s">
        <v>719</v>
      </c>
      <c r="AV118" s="497" t="s">
        <v>966</v>
      </c>
      <c r="AW118" s="498" t="s">
        <v>1186</v>
      </c>
      <c r="AX118" s="497" t="s">
        <v>965</v>
      </c>
      <c r="AY118" s="498" t="s">
        <v>865</v>
      </c>
      <c r="AZ118" s="497" t="s">
        <v>967</v>
      </c>
      <c r="BA118" s="498" t="s">
        <v>1513</v>
      </c>
      <c r="BB118" s="497" t="s">
        <v>967</v>
      </c>
      <c r="BC118" s="498" t="s">
        <v>1426</v>
      </c>
      <c r="BD118" s="497" t="s">
        <v>966</v>
      </c>
      <c r="BE118" s="498" t="s">
        <v>2107</v>
      </c>
      <c r="BF118" s="497" t="s">
        <v>965</v>
      </c>
      <c r="BG118" s="498" t="s">
        <v>2141</v>
      </c>
      <c r="BH118" s="497" t="s">
        <v>965</v>
      </c>
      <c r="BI118" s="498" t="s">
        <v>1534</v>
      </c>
      <c r="BJ118" s="497" t="s">
        <v>986</v>
      </c>
      <c r="BK118" s="498" t="s">
        <v>37</v>
      </c>
      <c r="BL118" s="497" t="s">
        <v>966</v>
      </c>
      <c r="BM118" s="498" t="s">
        <v>1635</v>
      </c>
      <c r="BN118" s="497" t="s">
        <v>986</v>
      </c>
      <c r="BO118" s="499" t="s">
        <v>37</v>
      </c>
      <c r="BP118" s="497" t="s">
        <v>967</v>
      </c>
      <c r="BQ118" s="498" t="s">
        <v>557</v>
      </c>
      <c r="BR118" s="497" t="s">
        <v>967</v>
      </c>
      <c r="BS118" s="498" t="s">
        <v>2168</v>
      </c>
      <c r="BT118" s="497" t="s">
        <v>966</v>
      </c>
      <c r="BU118" s="498" t="s">
        <v>1707</v>
      </c>
      <c r="BV118" s="497" t="s">
        <v>986</v>
      </c>
      <c r="BW118" s="498" t="s">
        <v>37</v>
      </c>
      <c r="BX118" s="497" t="s">
        <v>967</v>
      </c>
      <c r="BY118" s="498" t="s">
        <v>198</v>
      </c>
      <c r="BZ118" s="497" t="s">
        <v>967</v>
      </c>
      <c r="CA118" s="498" t="s">
        <v>199</v>
      </c>
      <c r="CB118" s="497" t="s">
        <v>965</v>
      </c>
      <c r="CC118" s="498" t="s">
        <v>1545</v>
      </c>
      <c r="CD118" s="497" t="s">
        <v>967</v>
      </c>
      <c r="CE118" s="498" t="s">
        <v>132</v>
      </c>
      <c r="CF118" s="497" t="s">
        <v>986</v>
      </c>
      <c r="CG118" s="498" t="s">
        <v>37</v>
      </c>
      <c r="CH118" s="497" t="s">
        <v>986</v>
      </c>
      <c r="CI118" s="498" t="s">
        <v>37</v>
      </c>
      <c r="CJ118" s="497" t="s">
        <v>986</v>
      </c>
      <c r="CK118" s="498" t="s">
        <v>37</v>
      </c>
      <c r="CL118" s="497" t="s">
        <v>986</v>
      </c>
      <c r="CM118" s="498" t="s">
        <v>37</v>
      </c>
      <c r="CN118" s="497" t="s">
        <v>986</v>
      </c>
      <c r="CO118" s="498" t="s">
        <v>37</v>
      </c>
      <c r="CP118" s="504" t="s">
        <v>3831</v>
      </c>
      <c r="CQ118" s="34"/>
      <c r="CR118" s="34"/>
    </row>
    <row r="119" spans="1:96" s="5" customFormat="1" ht="90.75" thickBot="1" x14ac:dyDescent="0.25">
      <c r="A119" s="124">
        <f t="shared" si="1"/>
        <v>114</v>
      </c>
      <c r="B119" s="509" t="s">
        <v>49</v>
      </c>
      <c r="C119" s="509" t="s">
        <v>1477</v>
      </c>
      <c r="D119" s="510">
        <v>390</v>
      </c>
      <c r="E119" s="510" t="s">
        <v>2382</v>
      </c>
      <c r="F119" s="497" t="s">
        <v>963</v>
      </c>
      <c r="G119" s="498" t="s">
        <v>104</v>
      </c>
      <c r="H119" s="497" t="s">
        <v>963</v>
      </c>
      <c r="I119" s="498" t="s">
        <v>1701</v>
      </c>
      <c r="J119" s="497" t="s">
        <v>965</v>
      </c>
      <c r="K119" s="498" t="s">
        <v>402</v>
      </c>
      <c r="L119" s="497" t="s">
        <v>986</v>
      </c>
      <c r="M119" s="498" t="s">
        <v>37</v>
      </c>
      <c r="N119" s="497" t="s">
        <v>964</v>
      </c>
      <c r="O119" s="498" t="s">
        <v>1481</v>
      </c>
      <c r="P119" s="497" t="s">
        <v>964</v>
      </c>
      <c r="Q119" s="498" t="s">
        <v>1528</v>
      </c>
      <c r="R119" s="497" t="s">
        <v>964</v>
      </c>
      <c r="S119" s="498" t="s">
        <v>1018</v>
      </c>
      <c r="T119" s="497" t="s">
        <v>986</v>
      </c>
      <c r="U119" s="499" t="s">
        <v>37</v>
      </c>
      <c r="V119" s="497" t="s">
        <v>963</v>
      </c>
      <c r="W119" s="498" t="s">
        <v>1374</v>
      </c>
      <c r="X119" s="497" t="s">
        <v>963</v>
      </c>
      <c r="Y119" s="498" t="s">
        <v>1634</v>
      </c>
      <c r="Z119" s="497" t="s">
        <v>959</v>
      </c>
      <c r="AA119" s="498" t="s">
        <v>19</v>
      </c>
      <c r="AB119" s="497" t="s">
        <v>963</v>
      </c>
      <c r="AC119" s="498" t="s">
        <v>1634</v>
      </c>
      <c r="AD119" s="497" t="s">
        <v>986</v>
      </c>
      <c r="AE119" s="498" t="s">
        <v>37</v>
      </c>
      <c r="AF119" s="497" t="s">
        <v>986</v>
      </c>
      <c r="AG119" s="499" t="s">
        <v>37</v>
      </c>
      <c r="AH119" s="497" t="s">
        <v>986</v>
      </c>
      <c r="AI119" s="498" t="s">
        <v>37</v>
      </c>
      <c r="AJ119" s="497" t="s">
        <v>963</v>
      </c>
      <c r="AK119" s="498" t="s">
        <v>604</v>
      </c>
      <c r="AL119" s="497" t="s">
        <v>963</v>
      </c>
      <c r="AM119" s="499" t="s">
        <v>1555</v>
      </c>
      <c r="AN119" s="497" t="s">
        <v>967</v>
      </c>
      <c r="AO119" s="498" t="s">
        <v>693</v>
      </c>
      <c r="AP119" s="497" t="s">
        <v>967</v>
      </c>
      <c r="AQ119" s="498" t="s">
        <v>693</v>
      </c>
      <c r="AR119" s="497" t="s">
        <v>965</v>
      </c>
      <c r="AS119" s="499" t="s">
        <v>1268</v>
      </c>
      <c r="AT119" s="497" t="s">
        <v>965</v>
      </c>
      <c r="AU119" s="499" t="s">
        <v>719</v>
      </c>
      <c r="AV119" s="497" t="s">
        <v>966</v>
      </c>
      <c r="AW119" s="498" t="s">
        <v>991</v>
      </c>
      <c r="AX119" s="497" t="s">
        <v>963</v>
      </c>
      <c r="AY119" s="498" t="s">
        <v>865</v>
      </c>
      <c r="AZ119" s="497" t="s">
        <v>964</v>
      </c>
      <c r="BA119" s="498" t="s">
        <v>1513</v>
      </c>
      <c r="BB119" s="497" t="s">
        <v>963</v>
      </c>
      <c r="BC119" s="498" t="s">
        <v>976</v>
      </c>
      <c r="BD119" s="497" t="s">
        <v>963</v>
      </c>
      <c r="BE119" s="498" t="s">
        <v>2107</v>
      </c>
      <c r="BF119" s="497" t="s">
        <v>965</v>
      </c>
      <c r="BG119" s="498" t="s">
        <v>2141</v>
      </c>
      <c r="BH119" s="497" t="s">
        <v>965</v>
      </c>
      <c r="BI119" s="498" t="s">
        <v>1535</v>
      </c>
      <c r="BJ119" s="497" t="s">
        <v>986</v>
      </c>
      <c r="BK119" s="498" t="s">
        <v>37</v>
      </c>
      <c r="BL119" s="497" t="s">
        <v>963</v>
      </c>
      <c r="BM119" s="498" t="s">
        <v>1635</v>
      </c>
      <c r="BN119" s="497" t="s">
        <v>986</v>
      </c>
      <c r="BO119" s="499" t="s">
        <v>37</v>
      </c>
      <c r="BP119" s="497" t="s">
        <v>967</v>
      </c>
      <c r="BQ119" s="498" t="s">
        <v>557</v>
      </c>
      <c r="BR119" s="497" t="s">
        <v>964</v>
      </c>
      <c r="BS119" s="498" t="s">
        <v>2169</v>
      </c>
      <c r="BT119" s="497" t="s">
        <v>964</v>
      </c>
      <c r="BU119" s="498" t="s">
        <v>1707</v>
      </c>
      <c r="BV119" s="497" t="s">
        <v>986</v>
      </c>
      <c r="BW119" s="498" t="s">
        <v>37</v>
      </c>
      <c r="BX119" s="497" t="s">
        <v>964</v>
      </c>
      <c r="BY119" s="498" t="s">
        <v>198</v>
      </c>
      <c r="BZ119" s="497" t="s">
        <v>964</v>
      </c>
      <c r="CA119" s="498" t="s">
        <v>199</v>
      </c>
      <c r="CB119" s="497" t="s">
        <v>963</v>
      </c>
      <c r="CC119" s="498" t="s">
        <v>1545</v>
      </c>
      <c r="CD119" s="497" t="s">
        <v>964</v>
      </c>
      <c r="CE119" s="498" t="s">
        <v>338</v>
      </c>
      <c r="CF119" s="497" t="s">
        <v>964</v>
      </c>
      <c r="CG119" s="498" t="s">
        <v>1059</v>
      </c>
      <c r="CH119" s="497" t="s">
        <v>986</v>
      </c>
      <c r="CI119" s="499" t="s">
        <v>37</v>
      </c>
      <c r="CJ119" s="497" t="s">
        <v>986</v>
      </c>
      <c r="CK119" s="498" t="s">
        <v>37</v>
      </c>
      <c r="CL119" s="497" t="s">
        <v>986</v>
      </c>
      <c r="CM119" s="498" t="s">
        <v>37</v>
      </c>
      <c r="CN119" s="497" t="s">
        <v>963</v>
      </c>
      <c r="CO119" s="498" t="s">
        <v>1831</v>
      </c>
      <c r="CP119" s="517"/>
      <c r="CQ119" s="34"/>
      <c r="CR119" s="34"/>
    </row>
    <row r="120" spans="1:96" s="5" customFormat="1" ht="92.45" customHeight="1" thickBot="1" x14ac:dyDescent="0.25">
      <c r="A120" s="124">
        <f t="shared" si="1"/>
        <v>115</v>
      </c>
      <c r="B120" s="509" t="s">
        <v>479</v>
      </c>
      <c r="C120" s="509" t="s">
        <v>1469</v>
      </c>
      <c r="D120" s="510">
        <v>654</v>
      </c>
      <c r="E120" s="510" t="s">
        <v>2390</v>
      </c>
      <c r="F120" s="497" t="s">
        <v>967</v>
      </c>
      <c r="G120" s="498" t="s">
        <v>1617</v>
      </c>
      <c r="H120" s="497" t="s">
        <v>965</v>
      </c>
      <c r="I120" s="498" t="s">
        <v>2790</v>
      </c>
      <c r="J120" s="497" t="s">
        <v>967</v>
      </c>
      <c r="K120" s="498" t="s">
        <v>1055</v>
      </c>
      <c r="L120" s="497" t="s">
        <v>967</v>
      </c>
      <c r="M120" s="498" t="s">
        <v>1054</v>
      </c>
      <c r="N120" s="497" t="s">
        <v>964</v>
      </c>
      <c r="O120" s="498" t="s">
        <v>1054</v>
      </c>
      <c r="P120" s="497" t="s">
        <v>967</v>
      </c>
      <c r="Q120" s="498" t="s">
        <v>767</v>
      </c>
      <c r="R120" s="497" t="s">
        <v>963</v>
      </c>
      <c r="S120" s="498" t="s">
        <v>2200</v>
      </c>
      <c r="T120" s="497" t="s">
        <v>986</v>
      </c>
      <c r="U120" s="499" t="s">
        <v>37</v>
      </c>
      <c r="V120" s="497" t="s">
        <v>986</v>
      </c>
      <c r="W120" s="498" t="s">
        <v>1374</v>
      </c>
      <c r="X120" s="497" t="s">
        <v>965</v>
      </c>
      <c r="Y120" s="498" t="s">
        <v>866</v>
      </c>
      <c r="Z120" s="497" t="s">
        <v>966</v>
      </c>
      <c r="AA120" s="498" t="s">
        <v>867</v>
      </c>
      <c r="AB120" s="497" t="s">
        <v>964</v>
      </c>
      <c r="AC120" s="498" t="s">
        <v>867</v>
      </c>
      <c r="AD120" s="497" t="s">
        <v>986</v>
      </c>
      <c r="AE120" s="498" t="s">
        <v>37</v>
      </c>
      <c r="AF120" s="497" t="s">
        <v>986</v>
      </c>
      <c r="AG120" s="499" t="s">
        <v>37</v>
      </c>
      <c r="AH120" s="497" t="s">
        <v>965</v>
      </c>
      <c r="AI120" s="498" t="s">
        <v>867</v>
      </c>
      <c r="AJ120" s="497" t="s">
        <v>986</v>
      </c>
      <c r="AK120" s="498" t="s">
        <v>37</v>
      </c>
      <c r="AL120" s="497" t="s">
        <v>986</v>
      </c>
      <c r="AM120" s="499" t="s">
        <v>37</v>
      </c>
      <c r="AN120" s="497" t="s">
        <v>965</v>
      </c>
      <c r="AO120" s="498" t="s">
        <v>775</v>
      </c>
      <c r="AP120" s="497" t="s">
        <v>965</v>
      </c>
      <c r="AQ120" s="498" t="s">
        <v>693</v>
      </c>
      <c r="AR120" s="497" t="s">
        <v>986</v>
      </c>
      <c r="AS120" s="499" t="s">
        <v>785</v>
      </c>
      <c r="AT120" s="497" t="s">
        <v>986</v>
      </c>
      <c r="AU120" s="499" t="s">
        <v>1711</v>
      </c>
      <c r="AV120" s="497" t="s">
        <v>965</v>
      </c>
      <c r="AW120" s="498" t="s">
        <v>812</v>
      </c>
      <c r="AX120" s="497" t="s">
        <v>965</v>
      </c>
      <c r="AY120" s="498" t="s">
        <v>736</v>
      </c>
      <c r="AZ120" s="497" t="s">
        <v>966</v>
      </c>
      <c r="BA120" s="498" t="s">
        <v>868</v>
      </c>
      <c r="BB120" s="497" t="s">
        <v>965</v>
      </c>
      <c r="BC120" s="498" t="s">
        <v>2791</v>
      </c>
      <c r="BD120" s="497" t="s">
        <v>966</v>
      </c>
      <c r="BE120" s="498" t="s">
        <v>2083</v>
      </c>
      <c r="BF120" s="497" t="s">
        <v>965</v>
      </c>
      <c r="BG120" s="498" t="s">
        <v>2128</v>
      </c>
      <c r="BH120" s="497" t="s">
        <v>963</v>
      </c>
      <c r="BI120" s="498" t="s">
        <v>869</v>
      </c>
      <c r="BJ120" s="497" t="s">
        <v>986</v>
      </c>
      <c r="BK120" s="498" t="s">
        <v>37</v>
      </c>
      <c r="BL120" s="497" t="s">
        <v>965</v>
      </c>
      <c r="BM120" s="498" t="s">
        <v>1635</v>
      </c>
      <c r="BN120" s="497" t="s">
        <v>986</v>
      </c>
      <c r="BO120" s="499" t="s">
        <v>37</v>
      </c>
      <c r="BP120" s="497" t="s">
        <v>965</v>
      </c>
      <c r="BQ120" s="498" t="s">
        <v>1051</v>
      </c>
      <c r="BR120" s="497" t="s">
        <v>965</v>
      </c>
      <c r="BS120" s="498" t="s">
        <v>2154</v>
      </c>
      <c r="BT120" s="497" t="s">
        <v>986</v>
      </c>
      <c r="BU120" s="498" t="s">
        <v>554</v>
      </c>
      <c r="BV120" s="497" t="s">
        <v>986</v>
      </c>
      <c r="BW120" s="498" t="s">
        <v>37</v>
      </c>
      <c r="BX120" s="497" t="s">
        <v>965</v>
      </c>
      <c r="BY120" s="498" t="s">
        <v>933</v>
      </c>
      <c r="BZ120" s="497" t="s">
        <v>965</v>
      </c>
      <c r="CA120" s="498" t="s">
        <v>934</v>
      </c>
      <c r="CB120" s="497" t="s">
        <v>965</v>
      </c>
      <c r="CC120" s="498" t="s">
        <v>555</v>
      </c>
      <c r="CD120" s="497" t="s">
        <v>966</v>
      </c>
      <c r="CE120" s="498" t="s">
        <v>1267</v>
      </c>
      <c r="CF120" s="497" t="s">
        <v>965</v>
      </c>
      <c r="CG120" s="498" t="s">
        <v>499</v>
      </c>
      <c r="CH120" s="497" t="s">
        <v>986</v>
      </c>
      <c r="CI120" s="499" t="s">
        <v>37</v>
      </c>
      <c r="CJ120" s="497" t="s">
        <v>986</v>
      </c>
      <c r="CK120" s="498" t="s">
        <v>37</v>
      </c>
      <c r="CL120" s="497" t="s">
        <v>986</v>
      </c>
      <c r="CM120" s="498" t="s">
        <v>37</v>
      </c>
      <c r="CN120" s="497" t="s">
        <v>986</v>
      </c>
      <c r="CO120" s="498" t="s">
        <v>37</v>
      </c>
      <c r="CP120" s="504" t="s">
        <v>3832</v>
      </c>
      <c r="CQ120" s="34"/>
      <c r="CR120" s="34"/>
    </row>
    <row r="121" spans="1:96" s="5" customFormat="1" ht="90.75" thickBot="1" x14ac:dyDescent="0.25">
      <c r="A121" s="124">
        <f t="shared" si="1"/>
        <v>116</v>
      </c>
      <c r="B121" s="509" t="s">
        <v>50</v>
      </c>
      <c r="C121" s="509" t="s">
        <v>1597</v>
      </c>
      <c r="D121" s="510">
        <v>555</v>
      </c>
      <c r="E121" s="510" t="s">
        <v>2390</v>
      </c>
      <c r="F121" s="497" t="s">
        <v>967</v>
      </c>
      <c r="G121" s="498" t="s">
        <v>1119</v>
      </c>
      <c r="H121" s="497" t="s">
        <v>986</v>
      </c>
      <c r="I121" s="498" t="s">
        <v>37</v>
      </c>
      <c r="J121" s="497" t="s">
        <v>967</v>
      </c>
      <c r="K121" s="498" t="s">
        <v>726</v>
      </c>
      <c r="L121" s="497" t="s">
        <v>965</v>
      </c>
      <c r="M121" s="498" t="s">
        <v>1671</v>
      </c>
      <c r="N121" s="497" t="s">
        <v>965</v>
      </c>
      <c r="O121" s="498" t="s">
        <v>1671</v>
      </c>
      <c r="P121" s="497" t="s">
        <v>986</v>
      </c>
      <c r="Q121" s="498" t="s">
        <v>37</v>
      </c>
      <c r="R121" s="497" t="s">
        <v>986</v>
      </c>
      <c r="S121" s="498" t="s">
        <v>37</v>
      </c>
      <c r="T121" s="497" t="s">
        <v>986</v>
      </c>
      <c r="U121" s="499" t="s">
        <v>37</v>
      </c>
      <c r="V121" s="497" t="s">
        <v>986</v>
      </c>
      <c r="W121" s="498" t="s">
        <v>37</v>
      </c>
      <c r="X121" s="497" t="s">
        <v>965</v>
      </c>
      <c r="Y121" s="498" t="s">
        <v>20</v>
      </c>
      <c r="Z121" s="497" t="s">
        <v>986</v>
      </c>
      <c r="AA121" s="498" t="s">
        <v>37</v>
      </c>
      <c r="AB121" s="497" t="s">
        <v>965</v>
      </c>
      <c r="AC121" s="498" t="s">
        <v>20</v>
      </c>
      <c r="AD121" s="497" t="s">
        <v>963</v>
      </c>
      <c r="AE121" s="498" t="s">
        <v>240</v>
      </c>
      <c r="AF121" s="497" t="s">
        <v>986</v>
      </c>
      <c r="AG121" s="499" t="s">
        <v>37</v>
      </c>
      <c r="AH121" s="497" t="s">
        <v>986</v>
      </c>
      <c r="AI121" s="498" t="s">
        <v>37</v>
      </c>
      <c r="AJ121" s="497" t="s">
        <v>986</v>
      </c>
      <c r="AK121" s="498" t="s">
        <v>37</v>
      </c>
      <c r="AL121" s="497" t="s">
        <v>986</v>
      </c>
      <c r="AM121" s="499" t="s">
        <v>37</v>
      </c>
      <c r="AN121" s="497" t="s">
        <v>986</v>
      </c>
      <c r="AO121" s="498" t="s">
        <v>37</v>
      </c>
      <c r="AP121" s="497" t="s">
        <v>986</v>
      </c>
      <c r="AQ121" s="498" t="s">
        <v>37</v>
      </c>
      <c r="AR121" s="497" t="s">
        <v>965</v>
      </c>
      <c r="AS121" s="499" t="s">
        <v>1443</v>
      </c>
      <c r="AT121" s="497" t="s">
        <v>958</v>
      </c>
      <c r="AU121" s="499" t="s">
        <v>1626</v>
      </c>
      <c r="AV121" s="497" t="s">
        <v>965</v>
      </c>
      <c r="AW121" s="498" t="s">
        <v>992</v>
      </c>
      <c r="AX121" s="497" t="s">
        <v>986</v>
      </c>
      <c r="AY121" s="498" t="s">
        <v>37</v>
      </c>
      <c r="AZ121" s="497" t="s">
        <v>963</v>
      </c>
      <c r="BA121" s="498" t="s">
        <v>1278</v>
      </c>
      <c r="BB121" s="497" t="s">
        <v>986</v>
      </c>
      <c r="BC121" s="498" t="s">
        <v>37</v>
      </c>
      <c r="BD121" s="497" t="s">
        <v>965</v>
      </c>
      <c r="BE121" s="498" t="s">
        <v>2108</v>
      </c>
      <c r="BF121" s="497" t="s">
        <v>986</v>
      </c>
      <c r="BG121" s="498" t="s">
        <v>37</v>
      </c>
      <c r="BH121" s="497" t="s">
        <v>986</v>
      </c>
      <c r="BI121" s="498" t="s">
        <v>37</v>
      </c>
      <c r="BJ121" s="497" t="s">
        <v>986</v>
      </c>
      <c r="BK121" s="498" t="s">
        <v>37</v>
      </c>
      <c r="BL121" s="497" t="s">
        <v>965</v>
      </c>
      <c r="BM121" s="498" t="s">
        <v>1070</v>
      </c>
      <c r="BN121" s="497" t="s">
        <v>986</v>
      </c>
      <c r="BO121" s="499" t="s">
        <v>37</v>
      </c>
      <c r="BP121" s="497" t="s">
        <v>965</v>
      </c>
      <c r="BQ121" s="498" t="s">
        <v>1388</v>
      </c>
      <c r="BR121" s="497" t="s">
        <v>986</v>
      </c>
      <c r="BS121" s="498" t="s">
        <v>37</v>
      </c>
      <c r="BT121" s="497" t="s">
        <v>986</v>
      </c>
      <c r="BU121" s="498" t="s">
        <v>37</v>
      </c>
      <c r="BV121" s="497" t="s">
        <v>986</v>
      </c>
      <c r="BW121" s="498" t="s">
        <v>37</v>
      </c>
      <c r="BX121" s="497" t="s">
        <v>986</v>
      </c>
      <c r="BY121" s="498" t="s">
        <v>37</v>
      </c>
      <c r="BZ121" s="497" t="s">
        <v>986</v>
      </c>
      <c r="CA121" s="498" t="s">
        <v>37</v>
      </c>
      <c r="CB121" s="497" t="s">
        <v>986</v>
      </c>
      <c r="CC121" s="498" t="s">
        <v>37</v>
      </c>
      <c r="CD121" s="497" t="s">
        <v>986</v>
      </c>
      <c r="CE121" s="498" t="s">
        <v>37</v>
      </c>
      <c r="CF121" s="497" t="s">
        <v>986</v>
      </c>
      <c r="CG121" s="498" t="s">
        <v>37</v>
      </c>
      <c r="CH121" s="497" t="s">
        <v>986</v>
      </c>
      <c r="CI121" s="499" t="s">
        <v>37</v>
      </c>
      <c r="CJ121" s="497" t="s">
        <v>986</v>
      </c>
      <c r="CK121" s="498" t="s">
        <v>37</v>
      </c>
      <c r="CL121" s="497" t="s">
        <v>986</v>
      </c>
      <c r="CM121" s="498" t="s">
        <v>37</v>
      </c>
      <c r="CN121" s="497" t="s">
        <v>986</v>
      </c>
      <c r="CO121" s="498" t="s">
        <v>37</v>
      </c>
      <c r="CP121" s="517"/>
      <c r="CQ121" s="34"/>
      <c r="CR121" s="34"/>
    </row>
    <row r="122" spans="1:96" s="18" customFormat="1" ht="102" thickBot="1" x14ac:dyDescent="0.25">
      <c r="A122" s="124">
        <f t="shared" si="1"/>
        <v>117</v>
      </c>
      <c r="B122" s="509" t="s">
        <v>51</v>
      </c>
      <c r="C122" s="509" t="s">
        <v>1599</v>
      </c>
      <c r="D122" s="510">
        <v>558</v>
      </c>
      <c r="E122" s="510" t="s">
        <v>2384</v>
      </c>
      <c r="F122" s="497" t="s">
        <v>965</v>
      </c>
      <c r="G122" s="498" t="s">
        <v>731</v>
      </c>
      <c r="H122" s="497" t="s">
        <v>986</v>
      </c>
      <c r="I122" s="498" t="s">
        <v>37</v>
      </c>
      <c r="J122" s="497" t="s">
        <v>966</v>
      </c>
      <c r="K122" s="498" t="s">
        <v>731</v>
      </c>
      <c r="L122" s="497" t="s">
        <v>965</v>
      </c>
      <c r="M122" s="498" t="s">
        <v>731</v>
      </c>
      <c r="N122" s="497" t="s">
        <v>965</v>
      </c>
      <c r="O122" s="498" t="s">
        <v>731</v>
      </c>
      <c r="P122" s="497" t="s">
        <v>986</v>
      </c>
      <c r="Q122" s="498" t="s">
        <v>37</v>
      </c>
      <c r="R122" s="497" t="s">
        <v>986</v>
      </c>
      <c r="S122" s="498" t="s">
        <v>1113</v>
      </c>
      <c r="T122" s="497" t="s">
        <v>986</v>
      </c>
      <c r="U122" s="499" t="s">
        <v>37</v>
      </c>
      <c r="V122" s="497" t="s">
        <v>986</v>
      </c>
      <c r="W122" s="498" t="s">
        <v>1370</v>
      </c>
      <c r="X122" s="497" t="s">
        <v>965</v>
      </c>
      <c r="Y122" s="498" t="s">
        <v>1432</v>
      </c>
      <c r="Z122" s="497" t="s">
        <v>958</v>
      </c>
      <c r="AA122" s="498" t="s">
        <v>1371</v>
      </c>
      <c r="AB122" s="497" t="s">
        <v>965</v>
      </c>
      <c r="AC122" s="498" t="s">
        <v>1432</v>
      </c>
      <c r="AD122" s="497" t="s">
        <v>986</v>
      </c>
      <c r="AE122" s="498" t="s">
        <v>37</v>
      </c>
      <c r="AF122" s="497" t="s">
        <v>986</v>
      </c>
      <c r="AG122" s="499" t="s">
        <v>37</v>
      </c>
      <c r="AH122" s="497" t="s">
        <v>966</v>
      </c>
      <c r="AI122" s="498" t="s">
        <v>1413</v>
      </c>
      <c r="AJ122" s="497" t="s">
        <v>986</v>
      </c>
      <c r="AK122" s="498" t="s">
        <v>37</v>
      </c>
      <c r="AL122" s="497" t="s">
        <v>986</v>
      </c>
      <c r="AM122" s="499" t="s">
        <v>37</v>
      </c>
      <c r="AN122" s="497" t="s">
        <v>963</v>
      </c>
      <c r="AO122" s="498" t="s">
        <v>1496</v>
      </c>
      <c r="AP122" s="497" t="s">
        <v>963</v>
      </c>
      <c r="AQ122" s="498" t="s">
        <v>3706</v>
      </c>
      <c r="AR122" s="497" t="s">
        <v>963</v>
      </c>
      <c r="AS122" s="499" t="s">
        <v>997</v>
      </c>
      <c r="AT122" s="497" t="s">
        <v>986</v>
      </c>
      <c r="AU122" s="499" t="s">
        <v>37</v>
      </c>
      <c r="AV122" s="497" t="s">
        <v>963</v>
      </c>
      <c r="AW122" s="498" t="s">
        <v>993</v>
      </c>
      <c r="AX122" s="497" t="s">
        <v>986</v>
      </c>
      <c r="AY122" s="498" t="s">
        <v>37</v>
      </c>
      <c r="AZ122" s="497" t="s">
        <v>965</v>
      </c>
      <c r="BA122" s="498" t="s">
        <v>788</v>
      </c>
      <c r="BB122" s="497" t="s">
        <v>986</v>
      </c>
      <c r="BC122" s="498" t="s">
        <v>37</v>
      </c>
      <c r="BD122" s="497" t="s">
        <v>986</v>
      </c>
      <c r="BE122" s="498" t="s">
        <v>2109</v>
      </c>
      <c r="BF122" s="497" t="s">
        <v>986</v>
      </c>
      <c r="BG122" s="498" t="s">
        <v>37</v>
      </c>
      <c r="BH122" s="497" t="s">
        <v>986</v>
      </c>
      <c r="BI122" s="498" t="s">
        <v>37</v>
      </c>
      <c r="BJ122" s="497" t="s">
        <v>986</v>
      </c>
      <c r="BK122" s="498" t="s">
        <v>37</v>
      </c>
      <c r="BL122" s="497" t="s">
        <v>986</v>
      </c>
      <c r="BM122" s="498" t="s">
        <v>37</v>
      </c>
      <c r="BN122" s="497" t="s">
        <v>986</v>
      </c>
      <c r="BO122" s="499" t="s">
        <v>37</v>
      </c>
      <c r="BP122" s="497" t="s">
        <v>986</v>
      </c>
      <c r="BQ122" s="498" t="s">
        <v>37</v>
      </c>
      <c r="BR122" s="497" t="s">
        <v>986</v>
      </c>
      <c r="BS122" s="498" t="s">
        <v>37</v>
      </c>
      <c r="BT122" s="497" t="s">
        <v>986</v>
      </c>
      <c r="BU122" s="498" t="s">
        <v>37</v>
      </c>
      <c r="BV122" s="497" t="s">
        <v>986</v>
      </c>
      <c r="BW122" s="498" t="s">
        <v>37</v>
      </c>
      <c r="BX122" s="497" t="s">
        <v>986</v>
      </c>
      <c r="BY122" s="498" t="s">
        <v>37</v>
      </c>
      <c r="BZ122" s="497" t="s">
        <v>986</v>
      </c>
      <c r="CA122" s="498" t="s">
        <v>37</v>
      </c>
      <c r="CB122" s="497" t="s">
        <v>986</v>
      </c>
      <c r="CC122" s="498" t="s">
        <v>37</v>
      </c>
      <c r="CD122" s="497" t="s">
        <v>986</v>
      </c>
      <c r="CE122" s="498" t="s">
        <v>37</v>
      </c>
      <c r="CF122" s="497" t="s">
        <v>986</v>
      </c>
      <c r="CG122" s="498" t="s">
        <v>37</v>
      </c>
      <c r="CH122" s="497" t="s">
        <v>986</v>
      </c>
      <c r="CI122" s="499" t="s">
        <v>37</v>
      </c>
      <c r="CJ122" s="497" t="s">
        <v>963</v>
      </c>
      <c r="CK122" s="498" t="s">
        <v>173</v>
      </c>
      <c r="CL122" s="497" t="s">
        <v>986</v>
      </c>
      <c r="CM122" s="498" t="s">
        <v>37</v>
      </c>
      <c r="CN122" s="497" t="s">
        <v>986</v>
      </c>
      <c r="CO122" s="498" t="s">
        <v>37</v>
      </c>
      <c r="CP122" s="566" t="s">
        <v>3994</v>
      </c>
    </row>
    <row r="123" spans="1:96" s="5" customFormat="1" ht="147" thickBot="1" x14ac:dyDescent="0.25">
      <c r="A123" s="124">
        <f t="shared" si="1"/>
        <v>118</v>
      </c>
      <c r="B123" s="509" t="s">
        <v>1521</v>
      </c>
      <c r="C123" s="509" t="s">
        <v>1599</v>
      </c>
      <c r="D123" s="510">
        <v>367</v>
      </c>
      <c r="E123" s="510" t="s">
        <v>2384</v>
      </c>
      <c r="F123" s="497" t="s">
        <v>986</v>
      </c>
      <c r="G123" s="498" t="s">
        <v>37</v>
      </c>
      <c r="H123" s="497" t="s">
        <v>986</v>
      </c>
      <c r="I123" s="498" t="s">
        <v>37</v>
      </c>
      <c r="J123" s="497" t="s">
        <v>986</v>
      </c>
      <c r="K123" s="498" t="s">
        <v>37</v>
      </c>
      <c r="L123" s="497" t="s">
        <v>986</v>
      </c>
      <c r="M123" s="498" t="s">
        <v>37</v>
      </c>
      <c r="N123" s="497" t="s">
        <v>986</v>
      </c>
      <c r="O123" s="498" t="s">
        <v>37</v>
      </c>
      <c r="P123" s="497" t="s">
        <v>986</v>
      </c>
      <c r="Q123" s="498" t="s">
        <v>37</v>
      </c>
      <c r="R123" s="497" t="s">
        <v>986</v>
      </c>
      <c r="S123" s="498" t="s">
        <v>37</v>
      </c>
      <c r="T123" s="497" t="s">
        <v>986</v>
      </c>
      <c r="U123" s="499" t="s">
        <v>37</v>
      </c>
      <c r="V123" s="497" t="s">
        <v>986</v>
      </c>
      <c r="W123" s="498" t="s">
        <v>37</v>
      </c>
      <c r="X123" s="497" t="s">
        <v>986</v>
      </c>
      <c r="Y123" s="498" t="s">
        <v>37</v>
      </c>
      <c r="Z123" s="497" t="s">
        <v>958</v>
      </c>
      <c r="AA123" s="498" t="s">
        <v>412</v>
      </c>
      <c r="AB123" s="497" t="s">
        <v>986</v>
      </c>
      <c r="AC123" s="498" t="s">
        <v>37</v>
      </c>
      <c r="AD123" s="497" t="s">
        <v>986</v>
      </c>
      <c r="AE123" s="498" t="s">
        <v>37</v>
      </c>
      <c r="AF123" s="497" t="s">
        <v>986</v>
      </c>
      <c r="AG123" s="499" t="s">
        <v>37</v>
      </c>
      <c r="AH123" s="497" t="s">
        <v>986</v>
      </c>
      <c r="AI123" s="498" t="s">
        <v>37</v>
      </c>
      <c r="AJ123" s="497" t="s">
        <v>986</v>
      </c>
      <c r="AK123" s="498" t="s">
        <v>37</v>
      </c>
      <c r="AL123" s="497" t="s">
        <v>986</v>
      </c>
      <c r="AM123" s="499" t="s">
        <v>37</v>
      </c>
      <c r="AN123" s="497" t="s">
        <v>986</v>
      </c>
      <c r="AO123" s="498" t="s">
        <v>37</v>
      </c>
      <c r="AP123" s="497" t="s">
        <v>986</v>
      </c>
      <c r="AQ123" s="498" t="s">
        <v>37</v>
      </c>
      <c r="AR123" s="497" t="s">
        <v>986</v>
      </c>
      <c r="AS123" s="499" t="s">
        <v>223</v>
      </c>
      <c r="AT123" s="497" t="s">
        <v>986</v>
      </c>
      <c r="AU123" s="499" t="s">
        <v>37</v>
      </c>
      <c r="AV123" s="497" t="s">
        <v>986</v>
      </c>
      <c r="AW123" s="498" t="s">
        <v>223</v>
      </c>
      <c r="AX123" s="497" t="s">
        <v>965</v>
      </c>
      <c r="AY123" s="498" t="s">
        <v>1753</v>
      </c>
      <c r="AZ123" s="497" t="s">
        <v>986</v>
      </c>
      <c r="BA123" s="498" t="s">
        <v>37</v>
      </c>
      <c r="BB123" s="497" t="s">
        <v>986</v>
      </c>
      <c r="BC123" s="498" t="s">
        <v>37</v>
      </c>
      <c r="BD123" s="497" t="s">
        <v>965</v>
      </c>
      <c r="BE123" s="498" t="s">
        <v>2110</v>
      </c>
      <c r="BF123" s="497" t="s">
        <v>965</v>
      </c>
      <c r="BG123" s="498" t="s">
        <v>1753</v>
      </c>
      <c r="BH123" s="497" t="s">
        <v>963</v>
      </c>
      <c r="BI123" s="498" t="s">
        <v>2905</v>
      </c>
      <c r="BJ123" s="497" t="s">
        <v>965</v>
      </c>
      <c r="BK123" s="498" t="s">
        <v>2906</v>
      </c>
      <c r="BL123" s="497" t="s">
        <v>964</v>
      </c>
      <c r="BM123" s="498" t="s">
        <v>2907</v>
      </c>
      <c r="BN123" s="497" t="s">
        <v>964</v>
      </c>
      <c r="BO123" s="499" t="s">
        <v>2908</v>
      </c>
      <c r="BP123" s="497" t="s">
        <v>986</v>
      </c>
      <c r="BQ123" s="498" t="s">
        <v>37</v>
      </c>
      <c r="BR123" s="497" t="s">
        <v>986</v>
      </c>
      <c r="BS123" s="498" t="s">
        <v>37</v>
      </c>
      <c r="BT123" s="497" t="s">
        <v>986</v>
      </c>
      <c r="BU123" s="498" t="s">
        <v>37</v>
      </c>
      <c r="BV123" s="497" t="s">
        <v>986</v>
      </c>
      <c r="BW123" s="498" t="s">
        <v>37</v>
      </c>
      <c r="BX123" s="497" t="s">
        <v>986</v>
      </c>
      <c r="BY123" s="498" t="s">
        <v>37</v>
      </c>
      <c r="BZ123" s="497" t="s">
        <v>986</v>
      </c>
      <c r="CA123" s="498" t="s">
        <v>37</v>
      </c>
      <c r="CB123" s="497" t="s">
        <v>986</v>
      </c>
      <c r="CC123" s="498" t="s">
        <v>37</v>
      </c>
      <c r="CD123" s="497" t="s">
        <v>986</v>
      </c>
      <c r="CE123" s="498" t="s">
        <v>37</v>
      </c>
      <c r="CF123" s="497" t="s">
        <v>986</v>
      </c>
      <c r="CG123" s="498" t="s">
        <v>37</v>
      </c>
      <c r="CH123" s="497" t="s">
        <v>986</v>
      </c>
      <c r="CI123" s="499" t="s">
        <v>37</v>
      </c>
      <c r="CJ123" s="497" t="s">
        <v>986</v>
      </c>
      <c r="CK123" s="498" t="s">
        <v>37</v>
      </c>
      <c r="CL123" s="497" t="s">
        <v>965</v>
      </c>
      <c r="CM123" s="498" t="s">
        <v>1832</v>
      </c>
      <c r="CN123" s="497" t="s">
        <v>986</v>
      </c>
      <c r="CO123" s="498" t="s">
        <v>37</v>
      </c>
      <c r="CP123" s="566" t="s">
        <v>3995</v>
      </c>
      <c r="CQ123" s="34"/>
      <c r="CR123" s="34"/>
    </row>
    <row r="124" spans="1:96" s="5" customFormat="1" ht="102" thickBot="1" x14ac:dyDescent="0.25">
      <c r="A124" s="124">
        <f t="shared" si="1"/>
        <v>119</v>
      </c>
      <c r="B124" s="509" t="s">
        <v>52</v>
      </c>
      <c r="C124" s="509" t="s">
        <v>1597</v>
      </c>
      <c r="D124" s="510">
        <v>557</v>
      </c>
      <c r="E124" s="510" t="s">
        <v>2386</v>
      </c>
      <c r="F124" s="497" t="s">
        <v>966</v>
      </c>
      <c r="G124" s="498" t="s">
        <v>777</v>
      </c>
      <c r="H124" s="497" t="s">
        <v>965</v>
      </c>
      <c r="I124" s="498" t="s">
        <v>834</v>
      </c>
      <c r="J124" s="497" t="s">
        <v>966</v>
      </c>
      <c r="K124" s="498" t="s">
        <v>777</v>
      </c>
      <c r="L124" s="497" t="s">
        <v>986</v>
      </c>
      <c r="M124" s="498" t="s">
        <v>787</v>
      </c>
      <c r="N124" s="497" t="s">
        <v>986</v>
      </c>
      <c r="O124" s="498" t="s">
        <v>778</v>
      </c>
      <c r="P124" s="497" t="s">
        <v>965</v>
      </c>
      <c r="Q124" s="498" t="s">
        <v>779</v>
      </c>
      <c r="R124" s="497" t="s">
        <v>986</v>
      </c>
      <c r="S124" s="498" t="s">
        <v>37</v>
      </c>
      <c r="T124" s="497" t="s">
        <v>986</v>
      </c>
      <c r="U124" s="499" t="s">
        <v>37</v>
      </c>
      <c r="V124" s="497" t="s">
        <v>965</v>
      </c>
      <c r="W124" s="498" t="s">
        <v>780</v>
      </c>
      <c r="X124" s="497" t="s">
        <v>958</v>
      </c>
      <c r="Y124" s="498" t="s">
        <v>21</v>
      </c>
      <c r="Z124" s="497" t="s">
        <v>963</v>
      </c>
      <c r="AA124" s="498" t="s">
        <v>702</v>
      </c>
      <c r="AB124" s="497" t="s">
        <v>958</v>
      </c>
      <c r="AC124" s="498" t="s">
        <v>21</v>
      </c>
      <c r="AD124" s="497" t="s">
        <v>986</v>
      </c>
      <c r="AE124" s="498" t="s">
        <v>37</v>
      </c>
      <c r="AF124" s="497" t="s">
        <v>964</v>
      </c>
      <c r="AG124" s="499" t="s">
        <v>1511</v>
      </c>
      <c r="AH124" s="497" t="s">
        <v>964</v>
      </c>
      <c r="AI124" s="498" t="s">
        <v>1240</v>
      </c>
      <c r="AJ124" s="497" t="s">
        <v>965</v>
      </c>
      <c r="AK124" s="498" t="s">
        <v>34</v>
      </c>
      <c r="AL124" s="497" t="s">
        <v>958</v>
      </c>
      <c r="AM124" s="499" t="s">
        <v>1078</v>
      </c>
      <c r="AN124" s="497" t="s">
        <v>961</v>
      </c>
      <c r="AO124" s="498" t="s">
        <v>1193</v>
      </c>
      <c r="AP124" s="497" t="s">
        <v>963</v>
      </c>
      <c r="AQ124" s="498" t="s">
        <v>373</v>
      </c>
      <c r="AR124" s="497" t="s">
        <v>986</v>
      </c>
      <c r="AS124" s="499" t="s">
        <v>998</v>
      </c>
      <c r="AT124" s="497" t="s">
        <v>986</v>
      </c>
      <c r="AU124" s="499" t="s">
        <v>1704</v>
      </c>
      <c r="AV124" s="497" t="s">
        <v>965</v>
      </c>
      <c r="AW124" s="498" t="s">
        <v>994</v>
      </c>
      <c r="AX124" s="497" t="s">
        <v>986</v>
      </c>
      <c r="AY124" s="498" t="s">
        <v>37</v>
      </c>
      <c r="AZ124" s="497" t="s">
        <v>963</v>
      </c>
      <c r="BA124" s="498" t="s">
        <v>567</v>
      </c>
      <c r="BB124" s="497" t="s">
        <v>986</v>
      </c>
      <c r="BC124" s="498" t="s">
        <v>37</v>
      </c>
      <c r="BD124" s="497" t="s">
        <v>986</v>
      </c>
      <c r="BE124" s="498" t="s">
        <v>2111</v>
      </c>
      <c r="BF124" s="497" t="s">
        <v>986</v>
      </c>
      <c r="BG124" s="498" t="s">
        <v>37</v>
      </c>
      <c r="BH124" s="497" t="s">
        <v>986</v>
      </c>
      <c r="BI124" s="498" t="s">
        <v>37</v>
      </c>
      <c r="BJ124" s="497" t="s">
        <v>986</v>
      </c>
      <c r="BK124" s="498" t="s">
        <v>37</v>
      </c>
      <c r="BL124" s="497" t="s">
        <v>986</v>
      </c>
      <c r="BM124" s="498" t="s">
        <v>805</v>
      </c>
      <c r="BN124" s="497" t="s">
        <v>986</v>
      </c>
      <c r="BO124" s="499" t="s">
        <v>37</v>
      </c>
      <c r="BP124" s="497" t="s">
        <v>965</v>
      </c>
      <c r="BQ124" s="498" t="s">
        <v>1163</v>
      </c>
      <c r="BR124" s="497" t="s">
        <v>986</v>
      </c>
      <c r="BS124" s="498" t="s">
        <v>37</v>
      </c>
      <c r="BT124" s="497" t="s">
        <v>986</v>
      </c>
      <c r="BU124" s="498" t="s">
        <v>37</v>
      </c>
      <c r="BV124" s="497" t="s">
        <v>986</v>
      </c>
      <c r="BW124" s="498" t="s">
        <v>37</v>
      </c>
      <c r="BX124" s="497" t="s">
        <v>986</v>
      </c>
      <c r="BY124" s="498" t="s">
        <v>37</v>
      </c>
      <c r="BZ124" s="497" t="s">
        <v>986</v>
      </c>
      <c r="CA124" s="498" t="s">
        <v>37</v>
      </c>
      <c r="CB124" s="497" t="s">
        <v>986</v>
      </c>
      <c r="CC124" s="498" t="s">
        <v>37</v>
      </c>
      <c r="CD124" s="497" t="s">
        <v>986</v>
      </c>
      <c r="CE124" s="498" t="s">
        <v>37</v>
      </c>
      <c r="CF124" s="497" t="s">
        <v>986</v>
      </c>
      <c r="CG124" s="498" t="s">
        <v>37</v>
      </c>
      <c r="CH124" s="497" t="s">
        <v>986</v>
      </c>
      <c r="CI124" s="499" t="s">
        <v>37</v>
      </c>
      <c r="CJ124" s="497" t="s">
        <v>986</v>
      </c>
      <c r="CK124" s="498" t="s">
        <v>37</v>
      </c>
      <c r="CL124" s="497" t="s">
        <v>986</v>
      </c>
      <c r="CM124" s="498" t="s">
        <v>37</v>
      </c>
      <c r="CN124" s="497" t="s">
        <v>986</v>
      </c>
      <c r="CO124" s="498" t="s">
        <v>37</v>
      </c>
      <c r="CP124" s="517"/>
      <c r="CQ124" s="34"/>
      <c r="CR124" s="34"/>
    </row>
    <row r="125" spans="1:96" s="6" customFormat="1" ht="113.25" thickBot="1" x14ac:dyDescent="0.25">
      <c r="A125" s="124">
        <f t="shared" si="1"/>
        <v>120</v>
      </c>
      <c r="B125" s="509" t="s">
        <v>53</v>
      </c>
      <c r="C125" s="509" t="s">
        <v>1471</v>
      </c>
      <c r="D125" s="510">
        <v>610</v>
      </c>
      <c r="E125" s="510" t="s">
        <v>2382</v>
      </c>
      <c r="F125" s="497" t="s">
        <v>986</v>
      </c>
      <c r="G125" s="498" t="s">
        <v>37</v>
      </c>
      <c r="H125" s="497" t="s">
        <v>986</v>
      </c>
      <c r="I125" s="498" t="s">
        <v>37</v>
      </c>
      <c r="J125" s="497" t="s">
        <v>986</v>
      </c>
      <c r="K125" s="498" t="s">
        <v>37</v>
      </c>
      <c r="L125" s="497" t="s">
        <v>986</v>
      </c>
      <c r="M125" s="498" t="s">
        <v>37</v>
      </c>
      <c r="N125" s="497" t="s">
        <v>986</v>
      </c>
      <c r="O125" s="498" t="s">
        <v>37</v>
      </c>
      <c r="P125" s="497" t="s">
        <v>986</v>
      </c>
      <c r="Q125" s="498" t="s">
        <v>37</v>
      </c>
      <c r="R125" s="497" t="s">
        <v>986</v>
      </c>
      <c r="S125" s="498" t="s">
        <v>37</v>
      </c>
      <c r="T125" s="497" t="s">
        <v>986</v>
      </c>
      <c r="U125" s="499" t="s">
        <v>37</v>
      </c>
      <c r="V125" s="497" t="s">
        <v>963</v>
      </c>
      <c r="W125" s="498" t="s">
        <v>251</v>
      </c>
      <c r="X125" s="497" t="s">
        <v>986</v>
      </c>
      <c r="Y125" s="498" t="s">
        <v>37</v>
      </c>
      <c r="Z125" s="497" t="s">
        <v>986</v>
      </c>
      <c r="AA125" s="498" t="s">
        <v>37</v>
      </c>
      <c r="AB125" s="497" t="s">
        <v>986</v>
      </c>
      <c r="AC125" s="498" t="s">
        <v>37</v>
      </c>
      <c r="AD125" s="497" t="s">
        <v>986</v>
      </c>
      <c r="AE125" s="498" t="s">
        <v>37</v>
      </c>
      <c r="AF125" s="497" t="s">
        <v>963</v>
      </c>
      <c r="AG125" s="499" t="s">
        <v>1241</v>
      </c>
      <c r="AH125" s="497" t="s">
        <v>963</v>
      </c>
      <c r="AI125" s="498" t="s">
        <v>1241</v>
      </c>
      <c r="AJ125" s="497" t="s">
        <v>986</v>
      </c>
      <c r="AK125" s="498" t="s">
        <v>37</v>
      </c>
      <c r="AL125" s="497" t="s">
        <v>986</v>
      </c>
      <c r="AM125" s="499" t="s">
        <v>37</v>
      </c>
      <c r="AN125" s="497" t="s">
        <v>986</v>
      </c>
      <c r="AO125" s="498" t="s">
        <v>37</v>
      </c>
      <c r="AP125" s="497" t="s">
        <v>986</v>
      </c>
      <c r="AQ125" s="498" t="s">
        <v>37</v>
      </c>
      <c r="AR125" s="497" t="s">
        <v>961</v>
      </c>
      <c r="AS125" s="499" t="s">
        <v>1733</v>
      </c>
      <c r="AT125" s="497" t="s">
        <v>961</v>
      </c>
      <c r="AU125" s="499" t="s">
        <v>1714</v>
      </c>
      <c r="AV125" s="497" t="s">
        <v>986</v>
      </c>
      <c r="AW125" s="498" t="s">
        <v>37</v>
      </c>
      <c r="AX125" s="497" t="s">
        <v>958</v>
      </c>
      <c r="AY125" s="498" t="s">
        <v>0</v>
      </c>
      <c r="AZ125" s="497" t="s">
        <v>986</v>
      </c>
      <c r="BA125" s="498" t="s">
        <v>37</v>
      </c>
      <c r="BB125" s="497" t="s">
        <v>986</v>
      </c>
      <c r="BC125" s="498" t="s">
        <v>37</v>
      </c>
      <c r="BD125" s="497" t="s">
        <v>986</v>
      </c>
      <c r="BE125" s="498" t="s">
        <v>37</v>
      </c>
      <c r="BF125" s="497" t="s">
        <v>958</v>
      </c>
      <c r="BG125" s="498" t="s">
        <v>2142</v>
      </c>
      <c r="BH125" s="497" t="s">
        <v>965</v>
      </c>
      <c r="BI125" s="498" t="s">
        <v>1536</v>
      </c>
      <c r="BJ125" s="497" t="s">
        <v>986</v>
      </c>
      <c r="BK125" s="498" t="s">
        <v>37</v>
      </c>
      <c r="BL125" s="497" t="s">
        <v>965</v>
      </c>
      <c r="BM125" s="498" t="s">
        <v>2909</v>
      </c>
      <c r="BN125" s="497" t="s">
        <v>986</v>
      </c>
      <c r="BO125" s="499" t="s">
        <v>37</v>
      </c>
      <c r="BP125" s="497" t="s">
        <v>963</v>
      </c>
      <c r="BQ125" s="498" t="s">
        <v>155</v>
      </c>
      <c r="BR125" s="497" t="s">
        <v>963</v>
      </c>
      <c r="BS125" s="498" t="s">
        <v>2170</v>
      </c>
      <c r="BT125" s="497" t="s">
        <v>986</v>
      </c>
      <c r="BU125" s="498" t="s">
        <v>37</v>
      </c>
      <c r="BV125" s="497" t="s">
        <v>986</v>
      </c>
      <c r="BW125" s="498" t="s">
        <v>37</v>
      </c>
      <c r="BX125" s="497" t="s">
        <v>986</v>
      </c>
      <c r="BY125" s="498" t="s">
        <v>37</v>
      </c>
      <c r="BZ125" s="497" t="s">
        <v>986</v>
      </c>
      <c r="CA125" s="498" t="s">
        <v>37</v>
      </c>
      <c r="CB125" s="497" t="s">
        <v>986</v>
      </c>
      <c r="CC125" s="498" t="s">
        <v>37</v>
      </c>
      <c r="CD125" s="497" t="s">
        <v>986</v>
      </c>
      <c r="CE125" s="498" t="s">
        <v>37</v>
      </c>
      <c r="CF125" s="497" t="s">
        <v>964</v>
      </c>
      <c r="CG125" s="498" t="s">
        <v>1060</v>
      </c>
      <c r="CH125" s="497" t="s">
        <v>986</v>
      </c>
      <c r="CI125" s="499" t="s">
        <v>37</v>
      </c>
      <c r="CJ125" s="497" t="s">
        <v>986</v>
      </c>
      <c r="CK125" s="498" t="s">
        <v>37</v>
      </c>
      <c r="CL125" s="497" t="s">
        <v>986</v>
      </c>
      <c r="CM125" s="498" t="s">
        <v>37</v>
      </c>
      <c r="CN125" s="497" t="s">
        <v>986</v>
      </c>
      <c r="CO125" s="498" t="s">
        <v>37</v>
      </c>
      <c r="CP125" s="517"/>
      <c r="CQ125" s="15"/>
      <c r="CR125" s="15"/>
    </row>
    <row r="126" spans="1:96" s="6" customFormat="1" ht="41.45" customHeight="1" thickBot="1" x14ac:dyDescent="0.25">
      <c r="A126" s="124">
        <f t="shared" si="1"/>
        <v>121</v>
      </c>
      <c r="B126" s="509" t="s">
        <v>3941</v>
      </c>
      <c r="C126" s="509" t="s">
        <v>1601</v>
      </c>
      <c r="D126" s="510">
        <v>604</v>
      </c>
      <c r="E126" s="510" t="s">
        <v>2398</v>
      </c>
      <c r="F126" s="497" t="s">
        <v>986</v>
      </c>
      <c r="G126" s="498" t="s">
        <v>37</v>
      </c>
      <c r="H126" s="497" t="s">
        <v>986</v>
      </c>
      <c r="I126" s="498" t="s">
        <v>37</v>
      </c>
      <c r="J126" s="497" t="s">
        <v>986</v>
      </c>
      <c r="K126" s="498" t="s">
        <v>37</v>
      </c>
      <c r="L126" s="497" t="s">
        <v>986</v>
      </c>
      <c r="M126" s="498" t="s">
        <v>37</v>
      </c>
      <c r="N126" s="497" t="s">
        <v>986</v>
      </c>
      <c r="O126" s="498" t="s">
        <v>37</v>
      </c>
      <c r="P126" s="497" t="s">
        <v>986</v>
      </c>
      <c r="Q126" s="498" t="s">
        <v>37</v>
      </c>
      <c r="R126" s="497" t="s">
        <v>986</v>
      </c>
      <c r="S126" s="498" t="s">
        <v>37</v>
      </c>
      <c r="T126" s="497" t="s">
        <v>986</v>
      </c>
      <c r="U126" s="499" t="s">
        <v>37</v>
      </c>
      <c r="V126" s="497" t="s">
        <v>986</v>
      </c>
      <c r="W126" s="498" t="s">
        <v>37</v>
      </c>
      <c r="X126" s="497" t="s">
        <v>986</v>
      </c>
      <c r="Y126" s="498" t="s">
        <v>37</v>
      </c>
      <c r="Z126" s="497" t="s">
        <v>986</v>
      </c>
      <c r="AA126" s="498" t="s">
        <v>37</v>
      </c>
      <c r="AB126" s="497" t="s">
        <v>986</v>
      </c>
      <c r="AC126" s="498" t="s">
        <v>37</v>
      </c>
      <c r="AD126" s="497" t="s">
        <v>986</v>
      </c>
      <c r="AE126" s="498" t="s">
        <v>37</v>
      </c>
      <c r="AF126" s="497" t="s">
        <v>986</v>
      </c>
      <c r="AG126" s="499" t="s">
        <v>37</v>
      </c>
      <c r="AH126" s="497" t="s">
        <v>986</v>
      </c>
      <c r="AI126" s="498" t="s">
        <v>37</v>
      </c>
      <c r="AJ126" s="497" t="s">
        <v>986</v>
      </c>
      <c r="AK126" s="498" t="s">
        <v>37</v>
      </c>
      <c r="AL126" s="497" t="s">
        <v>986</v>
      </c>
      <c r="AM126" s="499" t="s">
        <v>37</v>
      </c>
      <c r="AN126" s="497" t="s">
        <v>967</v>
      </c>
      <c r="AO126" s="498" t="s">
        <v>3942</v>
      </c>
      <c r="AP126" s="497" t="s">
        <v>986</v>
      </c>
      <c r="AQ126" s="498" t="s">
        <v>37</v>
      </c>
      <c r="AR126" s="497" t="s">
        <v>986</v>
      </c>
      <c r="AS126" s="499" t="s">
        <v>37</v>
      </c>
      <c r="AT126" s="497" t="s">
        <v>986</v>
      </c>
      <c r="AU126" s="499" t="s">
        <v>37</v>
      </c>
      <c r="AV126" s="497" t="s">
        <v>986</v>
      </c>
      <c r="AW126" s="498" t="s">
        <v>37</v>
      </c>
      <c r="AX126" s="497" t="s">
        <v>986</v>
      </c>
      <c r="AY126" s="498" t="s">
        <v>37</v>
      </c>
      <c r="AZ126" s="497" t="s">
        <v>986</v>
      </c>
      <c r="BA126" s="498" t="s">
        <v>37</v>
      </c>
      <c r="BB126" s="497" t="s">
        <v>986</v>
      </c>
      <c r="BC126" s="498" t="s">
        <v>37</v>
      </c>
      <c r="BD126" s="497" t="s">
        <v>986</v>
      </c>
      <c r="BE126" s="498" t="s">
        <v>37</v>
      </c>
      <c r="BF126" s="497" t="s">
        <v>986</v>
      </c>
      <c r="BG126" s="498" t="s">
        <v>37</v>
      </c>
      <c r="BH126" s="497" t="s">
        <v>986</v>
      </c>
      <c r="BI126" s="498" t="s">
        <v>37</v>
      </c>
      <c r="BJ126" s="497" t="s">
        <v>986</v>
      </c>
      <c r="BK126" s="498" t="s">
        <v>37</v>
      </c>
      <c r="BL126" s="497" t="s">
        <v>986</v>
      </c>
      <c r="BM126" s="498" t="s">
        <v>37</v>
      </c>
      <c r="BN126" s="497" t="s">
        <v>986</v>
      </c>
      <c r="BO126" s="499" t="s">
        <v>37</v>
      </c>
      <c r="BP126" s="497" t="s">
        <v>986</v>
      </c>
      <c r="BQ126" s="498" t="s">
        <v>37</v>
      </c>
      <c r="BR126" s="497" t="s">
        <v>986</v>
      </c>
      <c r="BS126" s="498" t="s">
        <v>37</v>
      </c>
      <c r="BT126" s="497" t="s">
        <v>986</v>
      </c>
      <c r="BU126" s="498" t="s">
        <v>37</v>
      </c>
      <c r="BV126" s="497" t="s">
        <v>986</v>
      </c>
      <c r="BW126" s="498" t="s">
        <v>37</v>
      </c>
      <c r="BX126" s="497" t="s">
        <v>986</v>
      </c>
      <c r="BY126" s="498" t="s">
        <v>37</v>
      </c>
      <c r="BZ126" s="497" t="s">
        <v>986</v>
      </c>
      <c r="CA126" s="498" t="s">
        <v>37</v>
      </c>
      <c r="CB126" s="497" t="s">
        <v>986</v>
      </c>
      <c r="CC126" s="498" t="s">
        <v>37</v>
      </c>
      <c r="CD126" s="497" t="s">
        <v>986</v>
      </c>
      <c r="CE126" s="498" t="s">
        <v>37</v>
      </c>
      <c r="CF126" s="497" t="s">
        <v>986</v>
      </c>
      <c r="CG126" s="498" t="s">
        <v>37</v>
      </c>
      <c r="CH126" s="497" t="s">
        <v>986</v>
      </c>
      <c r="CI126" s="499" t="s">
        <v>37</v>
      </c>
      <c r="CJ126" s="497" t="s">
        <v>986</v>
      </c>
      <c r="CK126" s="498" t="s">
        <v>37</v>
      </c>
      <c r="CL126" s="497" t="s">
        <v>986</v>
      </c>
      <c r="CM126" s="498" t="s">
        <v>37</v>
      </c>
      <c r="CN126" s="497" t="s">
        <v>986</v>
      </c>
      <c r="CO126" s="498" t="s">
        <v>37</v>
      </c>
      <c r="CP126" s="517"/>
      <c r="CQ126" s="15"/>
      <c r="CR126" s="15"/>
    </row>
    <row r="127" spans="1:96" s="5" customFormat="1" ht="79.5" thickBot="1" x14ac:dyDescent="0.25">
      <c r="A127" s="124">
        <f t="shared" si="1"/>
        <v>122</v>
      </c>
      <c r="B127" s="509" t="s">
        <v>54</v>
      </c>
      <c r="C127" s="509" t="s">
        <v>1606</v>
      </c>
      <c r="D127" s="510">
        <v>350</v>
      </c>
      <c r="E127" s="510" t="s">
        <v>2388</v>
      </c>
      <c r="F127" s="497" t="s">
        <v>986</v>
      </c>
      <c r="G127" s="498" t="s">
        <v>37</v>
      </c>
      <c r="H127" s="497" t="s">
        <v>986</v>
      </c>
      <c r="I127" s="498" t="s">
        <v>37</v>
      </c>
      <c r="J127" s="497" t="s">
        <v>963</v>
      </c>
      <c r="K127" s="498" t="s">
        <v>1108</v>
      </c>
      <c r="L127" s="497" t="s">
        <v>963</v>
      </c>
      <c r="M127" s="498" t="s">
        <v>712</v>
      </c>
      <c r="N127" s="497" t="s">
        <v>986</v>
      </c>
      <c r="O127" s="498" t="s">
        <v>113</v>
      </c>
      <c r="P127" s="497" t="s">
        <v>986</v>
      </c>
      <c r="Q127" s="498" t="s">
        <v>37</v>
      </c>
      <c r="R127" s="497" t="s">
        <v>986</v>
      </c>
      <c r="S127" s="498" t="s">
        <v>37</v>
      </c>
      <c r="T127" s="497" t="s">
        <v>986</v>
      </c>
      <c r="U127" s="499" t="s">
        <v>37</v>
      </c>
      <c r="V127" s="497" t="s">
        <v>986</v>
      </c>
      <c r="W127" s="498" t="s">
        <v>37</v>
      </c>
      <c r="X127" s="497" t="s">
        <v>961</v>
      </c>
      <c r="Y127" s="498" t="s">
        <v>487</v>
      </c>
      <c r="Z127" s="497" t="s">
        <v>963</v>
      </c>
      <c r="AA127" s="498" t="s">
        <v>488</v>
      </c>
      <c r="AB127" s="497" t="s">
        <v>961</v>
      </c>
      <c r="AC127" s="498" t="s">
        <v>489</v>
      </c>
      <c r="AD127" s="497" t="s">
        <v>986</v>
      </c>
      <c r="AE127" s="498" t="s">
        <v>37</v>
      </c>
      <c r="AF127" s="497" t="s">
        <v>986</v>
      </c>
      <c r="AG127" s="499" t="s">
        <v>37</v>
      </c>
      <c r="AH127" s="497" t="s">
        <v>986</v>
      </c>
      <c r="AI127" s="498" t="s">
        <v>37</v>
      </c>
      <c r="AJ127" s="497" t="s">
        <v>963</v>
      </c>
      <c r="AK127" s="498" t="s">
        <v>1289</v>
      </c>
      <c r="AL127" s="497" t="s">
        <v>958</v>
      </c>
      <c r="AM127" s="499" t="s">
        <v>1581</v>
      </c>
      <c r="AN127" s="497" t="s">
        <v>967</v>
      </c>
      <c r="AO127" s="498" t="s">
        <v>404</v>
      </c>
      <c r="AP127" s="497" t="s">
        <v>958</v>
      </c>
      <c r="AQ127" s="498" t="s">
        <v>1712</v>
      </c>
      <c r="AR127" s="497" t="s">
        <v>963</v>
      </c>
      <c r="AS127" s="499" t="s">
        <v>540</v>
      </c>
      <c r="AT127" s="497" t="s">
        <v>958</v>
      </c>
      <c r="AU127" s="499" t="s">
        <v>1</v>
      </c>
      <c r="AV127" s="497" t="s">
        <v>963</v>
      </c>
      <c r="AW127" s="498" t="s">
        <v>1062</v>
      </c>
      <c r="AX127" s="497" t="s">
        <v>958</v>
      </c>
      <c r="AY127" s="498" t="s">
        <v>1619</v>
      </c>
      <c r="AZ127" s="497" t="s">
        <v>964</v>
      </c>
      <c r="BA127" s="498" t="s">
        <v>569</v>
      </c>
      <c r="BB127" s="497" t="s">
        <v>986</v>
      </c>
      <c r="BC127" s="498" t="s">
        <v>721</v>
      </c>
      <c r="BD127" s="497" t="s">
        <v>963</v>
      </c>
      <c r="BE127" s="498" t="s">
        <v>2112</v>
      </c>
      <c r="BF127" s="497" t="s">
        <v>958</v>
      </c>
      <c r="BG127" s="498" t="s">
        <v>2143</v>
      </c>
      <c r="BH127" s="497" t="s">
        <v>986</v>
      </c>
      <c r="BI127" s="498" t="s">
        <v>37</v>
      </c>
      <c r="BJ127" s="497" t="s">
        <v>986</v>
      </c>
      <c r="BK127" s="498" t="s">
        <v>37</v>
      </c>
      <c r="BL127" s="497" t="s">
        <v>986</v>
      </c>
      <c r="BM127" s="498" t="s">
        <v>37</v>
      </c>
      <c r="BN127" s="497" t="s">
        <v>986</v>
      </c>
      <c r="BO127" s="499" t="s">
        <v>1261</v>
      </c>
      <c r="BP127" s="497" t="s">
        <v>986</v>
      </c>
      <c r="BQ127" s="498" t="s">
        <v>37</v>
      </c>
      <c r="BR127" s="497" t="s">
        <v>986</v>
      </c>
      <c r="BS127" s="498" t="s">
        <v>37</v>
      </c>
      <c r="BT127" s="497" t="s">
        <v>986</v>
      </c>
      <c r="BU127" s="498" t="s">
        <v>37</v>
      </c>
      <c r="BV127" s="497" t="s">
        <v>986</v>
      </c>
      <c r="BW127" s="498" t="s">
        <v>37</v>
      </c>
      <c r="BX127" s="497" t="s">
        <v>958</v>
      </c>
      <c r="BY127" s="498" t="s">
        <v>1038</v>
      </c>
      <c r="BZ127" s="497" t="s">
        <v>958</v>
      </c>
      <c r="CA127" s="498" t="s">
        <v>1589</v>
      </c>
      <c r="CB127" s="497" t="s">
        <v>965</v>
      </c>
      <c r="CC127" s="498" t="s">
        <v>535</v>
      </c>
      <c r="CD127" s="497" t="s">
        <v>986</v>
      </c>
      <c r="CE127" s="498" t="s">
        <v>37</v>
      </c>
      <c r="CF127" s="497" t="s">
        <v>986</v>
      </c>
      <c r="CG127" s="498" t="s">
        <v>37</v>
      </c>
      <c r="CH127" s="497" t="s">
        <v>986</v>
      </c>
      <c r="CI127" s="499" t="s">
        <v>37</v>
      </c>
      <c r="CJ127" s="497" t="s">
        <v>986</v>
      </c>
      <c r="CK127" s="498" t="s">
        <v>226</v>
      </c>
      <c r="CL127" s="497" t="s">
        <v>986</v>
      </c>
      <c r="CM127" s="498" t="s">
        <v>37</v>
      </c>
      <c r="CN127" s="497" t="s">
        <v>986</v>
      </c>
      <c r="CO127" s="498" t="s">
        <v>37</v>
      </c>
      <c r="CP127" s="517"/>
      <c r="CQ127" s="34"/>
      <c r="CR127" s="34"/>
    </row>
    <row r="128" spans="1:96" s="34" customFormat="1" ht="103.5" customHeight="1" thickBot="1" x14ac:dyDescent="0.25">
      <c r="A128" s="124">
        <f t="shared" si="1"/>
        <v>123</v>
      </c>
      <c r="B128" s="509" t="s">
        <v>349</v>
      </c>
      <c r="C128" s="509" t="s">
        <v>1477</v>
      </c>
      <c r="D128" s="510">
        <v>646</v>
      </c>
      <c r="E128" s="510" t="s">
        <v>2386</v>
      </c>
      <c r="F128" s="497" t="s">
        <v>986</v>
      </c>
      <c r="G128" s="498" t="s">
        <v>37</v>
      </c>
      <c r="H128" s="497" t="s">
        <v>986</v>
      </c>
      <c r="I128" s="498" t="s">
        <v>37</v>
      </c>
      <c r="J128" s="497" t="s">
        <v>986</v>
      </c>
      <c r="K128" s="498" t="s">
        <v>37</v>
      </c>
      <c r="L128" s="497" t="s">
        <v>986</v>
      </c>
      <c r="M128" s="498" t="s">
        <v>37</v>
      </c>
      <c r="N128" s="497" t="s">
        <v>986</v>
      </c>
      <c r="O128" s="498" t="s">
        <v>37</v>
      </c>
      <c r="P128" s="497" t="s">
        <v>965</v>
      </c>
      <c r="Q128" s="498" t="s">
        <v>189</v>
      </c>
      <c r="R128" s="497" t="s">
        <v>986</v>
      </c>
      <c r="S128" s="498" t="s">
        <v>37</v>
      </c>
      <c r="T128" s="497" t="s">
        <v>986</v>
      </c>
      <c r="U128" s="499" t="s">
        <v>37</v>
      </c>
      <c r="V128" s="497" t="s">
        <v>986</v>
      </c>
      <c r="W128" s="498" t="s">
        <v>37</v>
      </c>
      <c r="X128" s="497" t="s">
        <v>986</v>
      </c>
      <c r="Y128" s="498" t="s">
        <v>37</v>
      </c>
      <c r="Z128" s="497" t="s">
        <v>963</v>
      </c>
      <c r="AA128" s="498" t="s">
        <v>984</v>
      </c>
      <c r="AB128" s="497" t="s">
        <v>986</v>
      </c>
      <c r="AC128" s="498" t="s">
        <v>37</v>
      </c>
      <c r="AD128" s="497" t="s">
        <v>986</v>
      </c>
      <c r="AE128" s="498" t="s">
        <v>37</v>
      </c>
      <c r="AF128" s="497" t="s">
        <v>986</v>
      </c>
      <c r="AG128" s="499" t="s">
        <v>37</v>
      </c>
      <c r="AH128" s="497" t="s">
        <v>986</v>
      </c>
      <c r="AI128" s="498" t="s">
        <v>37</v>
      </c>
      <c r="AJ128" s="497" t="s">
        <v>986</v>
      </c>
      <c r="AK128" s="498" t="s">
        <v>37</v>
      </c>
      <c r="AL128" s="497" t="s">
        <v>986</v>
      </c>
      <c r="AM128" s="499" t="s">
        <v>37</v>
      </c>
      <c r="AN128" s="497" t="s">
        <v>965</v>
      </c>
      <c r="AO128" s="498" t="s">
        <v>508</v>
      </c>
      <c r="AP128" s="497" t="s">
        <v>965</v>
      </c>
      <c r="AQ128" s="498" t="s">
        <v>508</v>
      </c>
      <c r="AR128" s="497" t="s">
        <v>986</v>
      </c>
      <c r="AS128" s="499" t="s">
        <v>37</v>
      </c>
      <c r="AT128" s="497" t="s">
        <v>958</v>
      </c>
      <c r="AU128" s="499" t="s">
        <v>1083</v>
      </c>
      <c r="AV128" s="497" t="s">
        <v>963</v>
      </c>
      <c r="AW128" s="498" t="s">
        <v>1293</v>
      </c>
      <c r="AX128" s="497" t="s">
        <v>958</v>
      </c>
      <c r="AY128" s="498" t="s">
        <v>432</v>
      </c>
      <c r="AZ128" s="497" t="s">
        <v>963</v>
      </c>
      <c r="BA128" s="498" t="s">
        <v>570</v>
      </c>
      <c r="BB128" s="497" t="s">
        <v>986</v>
      </c>
      <c r="BC128" s="498" t="s">
        <v>1197</v>
      </c>
      <c r="BD128" s="497" t="s">
        <v>963</v>
      </c>
      <c r="BE128" s="498" t="s">
        <v>2082</v>
      </c>
      <c r="BF128" s="497" t="s">
        <v>965</v>
      </c>
      <c r="BG128" s="498" t="s">
        <v>2144</v>
      </c>
      <c r="BH128" s="497" t="s">
        <v>986</v>
      </c>
      <c r="BI128" s="498" t="s">
        <v>37</v>
      </c>
      <c r="BJ128" s="497" t="s">
        <v>986</v>
      </c>
      <c r="BK128" s="498" t="s">
        <v>37</v>
      </c>
      <c r="BL128" s="497" t="s">
        <v>986</v>
      </c>
      <c r="BM128" s="498" t="s">
        <v>1061</v>
      </c>
      <c r="BN128" s="497" t="s">
        <v>986</v>
      </c>
      <c r="BO128" s="499" t="s">
        <v>37</v>
      </c>
      <c r="BP128" s="497" t="s">
        <v>963</v>
      </c>
      <c r="BQ128" s="498" t="s">
        <v>156</v>
      </c>
      <c r="BR128" s="497" t="s">
        <v>964</v>
      </c>
      <c r="BS128" s="498" t="s">
        <v>2171</v>
      </c>
      <c r="BT128" s="497" t="s">
        <v>965</v>
      </c>
      <c r="BU128" s="498" t="s">
        <v>1262</v>
      </c>
      <c r="BV128" s="497" t="s">
        <v>986</v>
      </c>
      <c r="BW128" s="498" t="s">
        <v>37</v>
      </c>
      <c r="BX128" s="497" t="s">
        <v>964</v>
      </c>
      <c r="BY128" s="498" t="s">
        <v>1429</v>
      </c>
      <c r="BZ128" s="497" t="s">
        <v>963</v>
      </c>
      <c r="CA128" s="498" t="s">
        <v>1429</v>
      </c>
      <c r="CB128" s="497" t="s">
        <v>963</v>
      </c>
      <c r="CC128" s="498" t="s">
        <v>536</v>
      </c>
      <c r="CD128" s="497" t="s">
        <v>964</v>
      </c>
      <c r="CE128" s="498" t="s">
        <v>127</v>
      </c>
      <c r="CF128" s="497" t="s">
        <v>965</v>
      </c>
      <c r="CG128" s="498" t="s">
        <v>1059</v>
      </c>
      <c r="CH128" s="497" t="s">
        <v>986</v>
      </c>
      <c r="CI128" s="499" t="s">
        <v>37</v>
      </c>
      <c r="CJ128" s="497" t="s">
        <v>986</v>
      </c>
      <c r="CK128" s="498" t="s">
        <v>37</v>
      </c>
      <c r="CL128" s="497" t="s">
        <v>986</v>
      </c>
      <c r="CM128" s="498" t="s">
        <v>37</v>
      </c>
      <c r="CN128" s="497" t="s">
        <v>986</v>
      </c>
      <c r="CO128" s="498" t="s">
        <v>37</v>
      </c>
      <c r="CP128" s="517"/>
    </row>
    <row r="129" spans="1:96" s="5" customFormat="1" ht="135.75" thickBot="1" x14ac:dyDescent="0.25">
      <c r="A129" s="124">
        <f t="shared" si="1"/>
        <v>124</v>
      </c>
      <c r="B129" s="509" t="s">
        <v>3700</v>
      </c>
      <c r="C129" s="509" t="s">
        <v>1599</v>
      </c>
      <c r="D129" s="510" t="s">
        <v>3701</v>
      </c>
      <c r="E129" s="510" t="s">
        <v>3702</v>
      </c>
      <c r="F129" s="497" t="s">
        <v>986</v>
      </c>
      <c r="G129" s="498" t="s">
        <v>37</v>
      </c>
      <c r="H129" s="497" t="s">
        <v>986</v>
      </c>
      <c r="I129" s="498" t="s">
        <v>37</v>
      </c>
      <c r="J129" s="497" t="s">
        <v>986</v>
      </c>
      <c r="K129" s="498" t="s">
        <v>37</v>
      </c>
      <c r="L129" s="497" t="s">
        <v>986</v>
      </c>
      <c r="M129" s="498" t="s">
        <v>37</v>
      </c>
      <c r="N129" s="497" t="s">
        <v>986</v>
      </c>
      <c r="O129" s="498" t="s">
        <v>37</v>
      </c>
      <c r="P129" s="497" t="s">
        <v>965</v>
      </c>
      <c r="Q129" s="498" t="s">
        <v>1144</v>
      </c>
      <c r="R129" s="497" t="s">
        <v>965</v>
      </c>
      <c r="S129" s="498" t="s">
        <v>3703</v>
      </c>
      <c r="T129" s="497" t="s">
        <v>986</v>
      </c>
      <c r="U129" s="499" t="s">
        <v>37</v>
      </c>
      <c r="V129" s="497" t="s">
        <v>986</v>
      </c>
      <c r="W129" s="498" t="s">
        <v>37</v>
      </c>
      <c r="X129" s="497" t="s">
        <v>986</v>
      </c>
      <c r="Y129" s="498" t="s">
        <v>37</v>
      </c>
      <c r="Z129" s="497" t="s">
        <v>986</v>
      </c>
      <c r="AA129" s="498" t="s">
        <v>37</v>
      </c>
      <c r="AB129" s="497" t="s">
        <v>986</v>
      </c>
      <c r="AC129" s="498" t="s">
        <v>37</v>
      </c>
      <c r="AD129" s="497" t="s">
        <v>986</v>
      </c>
      <c r="AE129" s="498" t="s">
        <v>37</v>
      </c>
      <c r="AF129" s="497" t="s">
        <v>986</v>
      </c>
      <c r="AG129" s="499" t="s">
        <v>37</v>
      </c>
      <c r="AH129" s="497" t="s">
        <v>986</v>
      </c>
      <c r="AI129" s="498" t="s">
        <v>37</v>
      </c>
      <c r="AJ129" s="497" t="s">
        <v>986</v>
      </c>
      <c r="AK129" s="498" t="s">
        <v>37</v>
      </c>
      <c r="AL129" s="497" t="s">
        <v>986</v>
      </c>
      <c r="AM129" s="499" t="s">
        <v>37</v>
      </c>
      <c r="AN129" s="497" t="s">
        <v>964</v>
      </c>
      <c r="AO129" s="498" t="s">
        <v>3704</v>
      </c>
      <c r="AP129" s="497" t="s">
        <v>963</v>
      </c>
      <c r="AQ129" s="498" t="s">
        <v>175</v>
      </c>
      <c r="AR129" s="497" t="s">
        <v>963</v>
      </c>
      <c r="AS129" s="498" t="s">
        <v>3704</v>
      </c>
      <c r="AT129" s="497" t="s">
        <v>965</v>
      </c>
      <c r="AU129" s="498" t="s">
        <v>3704</v>
      </c>
      <c r="AV129" s="497" t="s">
        <v>963</v>
      </c>
      <c r="AW129" s="498" t="s">
        <v>3704</v>
      </c>
      <c r="AX129" s="497" t="s">
        <v>963</v>
      </c>
      <c r="AY129" s="498" t="s">
        <v>3704</v>
      </c>
      <c r="AZ129" s="497" t="s">
        <v>986</v>
      </c>
      <c r="BA129" s="498" t="s">
        <v>674</v>
      </c>
      <c r="BB129" s="497" t="s">
        <v>986</v>
      </c>
      <c r="BC129" s="498" t="s">
        <v>37</v>
      </c>
      <c r="BD129" s="497" t="s">
        <v>986</v>
      </c>
      <c r="BE129" s="498" t="s">
        <v>37</v>
      </c>
      <c r="BF129" s="497" t="s">
        <v>965</v>
      </c>
      <c r="BG129" s="498" t="s">
        <v>2151</v>
      </c>
      <c r="BH129" s="497" t="s">
        <v>958</v>
      </c>
      <c r="BI129" s="498" t="s">
        <v>2917</v>
      </c>
      <c r="BJ129" s="497" t="s">
        <v>958</v>
      </c>
      <c r="BK129" s="498" t="s">
        <v>2918</v>
      </c>
      <c r="BL129" s="497" t="s">
        <v>958</v>
      </c>
      <c r="BM129" s="498" t="s">
        <v>2919</v>
      </c>
      <c r="BN129" s="497" t="s">
        <v>961</v>
      </c>
      <c r="BO129" s="499" t="s">
        <v>2920</v>
      </c>
      <c r="BP129" s="497" t="s">
        <v>963</v>
      </c>
      <c r="BQ129" s="498" t="s">
        <v>229</v>
      </c>
      <c r="BR129" s="497" t="s">
        <v>986</v>
      </c>
      <c r="BS129" s="498" t="s">
        <v>37</v>
      </c>
      <c r="BT129" s="497" t="s">
        <v>986</v>
      </c>
      <c r="BU129" s="498" t="s">
        <v>37</v>
      </c>
      <c r="BV129" s="497" t="s">
        <v>986</v>
      </c>
      <c r="BW129" s="498" t="s">
        <v>37</v>
      </c>
      <c r="BX129" s="497" t="s">
        <v>986</v>
      </c>
      <c r="BY129" s="498" t="s">
        <v>37</v>
      </c>
      <c r="BZ129" s="497" t="s">
        <v>986</v>
      </c>
      <c r="CA129" s="498" t="s">
        <v>37</v>
      </c>
      <c r="CB129" s="497" t="s">
        <v>986</v>
      </c>
      <c r="CC129" s="498" t="s">
        <v>37</v>
      </c>
      <c r="CD129" s="497" t="s">
        <v>986</v>
      </c>
      <c r="CE129" s="498" t="s">
        <v>37</v>
      </c>
      <c r="CF129" s="497" t="s">
        <v>986</v>
      </c>
      <c r="CG129" s="498" t="s">
        <v>37</v>
      </c>
      <c r="CH129" s="497" t="s">
        <v>986</v>
      </c>
      <c r="CI129" s="499" t="s">
        <v>37</v>
      </c>
      <c r="CJ129" s="497" t="s">
        <v>986</v>
      </c>
      <c r="CK129" s="498" t="s">
        <v>37</v>
      </c>
      <c r="CL129" s="497" t="s">
        <v>986</v>
      </c>
      <c r="CM129" s="498" t="s">
        <v>37</v>
      </c>
      <c r="CN129" s="497" t="s">
        <v>986</v>
      </c>
      <c r="CO129" s="498" t="s">
        <v>37</v>
      </c>
      <c r="CP129" s="518" t="s">
        <v>3705</v>
      </c>
      <c r="CQ129" s="34"/>
      <c r="CR129" s="34"/>
    </row>
    <row r="130" spans="1:96" s="5" customFormat="1" ht="123" customHeight="1" thickBot="1" x14ac:dyDescent="0.25">
      <c r="A130" s="124">
        <f t="shared" si="1"/>
        <v>125</v>
      </c>
      <c r="B130" s="509" t="s">
        <v>350</v>
      </c>
      <c r="C130" s="509" t="s">
        <v>1598</v>
      </c>
      <c r="D130" s="510">
        <v>381</v>
      </c>
      <c r="E130" s="510" t="s">
        <v>2386</v>
      </c>
      <c r="F130" s="497" t="s">
        <v>964</v>
      </c>
      <c r="G130" s="498" t="s">
        <v>3802</v>
      </c>
      <c r="H130" s="497" t="s">
        <v>966</v>
      </c>
      <c r="I130" s="498" t="s">
        <v>3803</v>
      </c>
      <c r="J130" s="497" t="s">
        <v>966</v>
      </c>
      <c r="K130" s="498" t="s">
        <v>3802</v>
      </c>
      <c r="L130" s="497" t="s">
        <v>963</v>
      </c>
      <c r="M130" s="498" t="s">
        <v>3802</v>
      </c>
      <c r="N130" s="497" t="s">
        <v>963</v>
      </c>
      <c r="O130" s="498" t="s">
        <v>3804</v>
      </c>
      <c r="P130" s="497" t="s">
        <v>966</v>
      </c>
      <c r="Q130" s="498" t="s">
        <v>3805</v>
      </c>
      <c r="R130" s="497" t="s">
        <v>986</v>
      </c>
      <c r="S130" s="498" t="s">
        <v>684</v>
      </c>
      <c r="T130" s="497" t="s">
        <v>986</v>
      </c>
      <c r="U130" s="499" t="s">
        <v>37</v>
      </c>
      <c r="V130" s="497" t="s">
        <v>986</v>
      </c>
      <c r="W130" s="498" t="s">
        <v>1744</v>
      </c>
      <c r="X130" s="497" t="s">
        <v>965</v>
      </c>
      <c r="Y130" s="498" t="s">
        <v>561</v>
      </c>
      <c r="Z130" s="497" t="s">
        <v>963</v>
      </c>
      <c r="AA130" s="498" t="s">
        <v>3806</v>
      </c>
      <c r="AB130" s="497" t="s">
        <v>965</v>
      </c>
      <c r="AC130" s="498" t="s">
        <v>3807</v>
      </c>
      <c r="AD130" s="497" t="s">
        <v>963</v>
      </c>
      <c r="AE130" s="498" t="s">
        <v>3808</v>
      </c>
      <c r="AF130" s="497" t="s">
        <v>986</v>
      </c>
      <c r="AG130" s="499" t="s">
        <v>2792</v>
      </c>
      <c r="AH130" s="497" t="s">
        <v>963</v>
      </c>
      <c r="AI130" s="498" t="s">
        <v>3809</v>
      </c>
      <c r="AJ130" s="497" t="s">
        <v>963</v>
      </c>
      <c r="AK130" s="498" t="s">
        <v>3810</v>
      </c>
      <c r="AL130" s="497" t="s">
        <v>965</v>
      </c>
      <c r="AM130" s="499" t="s">
        <v>3811</v>
      </c>
      <c r="AN130" s="497" t="s">
        <v>966</v>
      </c>
      <c r="AO130" s="498" t="s">
        <v>3812</v>
      </c>
      <c r="AP130" s="497" t="s">
        <v>963</v>
      </c>
      <c r="AQ130" s="498" t="s">
        <v>3813</v>
      </c>
      <c r="AR130" s="497" t="s">
        <v>965</v>
      </c>
      <c r="AS130" s="499" t="s">
        <v>3814</v>
      </c>
      <c r="AT130" s="497" t="s">
        <v>965</v>
      </c>
      <c r="AU130" s="499" t="s">
        <v>3815</v>
      </c>
      <c r="AV130" s="497" t="s">
        <v>965</v>
      </c>
      <c r="AW130" s="501" t="s">
        <v>3816</v>
      </c>
      <c r="AX130" s="497" t="s">
        <v>965</v>
      </c>
      <c r="AY130" s="501" t="s">
        <v>3816</v>
      </c>
      <c r="AZ130" s="497" t="s">
        <v>966</v>
      </c>
      <c r="BA130" s="498" t="s">
        <v>3817</v>
      </c>
      <c r="BB130" s="497" t="s">
        <v>965</v>
      </c>
      <c r="BC130" s="498" t="s">
        <v>596</v>
      </c>
      <c r="BD130" s="497" t="s">
        <v>965</v>
      </c>
      <c r="BE130" s="498" t="s">
        <v>3818</v>
      </c>
      <c r="BF130" s="497" t="s">
        <v>965</v>
      </c>
      <c r="BG130" s="498" t="s">
        <v>3819</v>
      </c>
      <c r="BH130" s="497" t="s">
        <v>965</v>
      </c>
      <c r="BI130" s="498" t="s">
        <v>3820</v>
      </c>
      <c r="BJ130" s="497" t="s">
        <v>986</v>
      </c>
      <c r="BK130" s="498" t="s">
        <v>37</v>
      </c>
      <c r="BL130" s="497" t="s">
        <v>963</v>
      </c>
      <c r="BM130" s="498" t="s">
        <v>3821</v>
      </c>
      <c r="BN130" s="497" t="s">
        <v>986</v>
      </c>
      <c r="BO130" s="499" t="s">
        <v>37</v>
      </c>
      <c r="BP130" s="497" t="s">
        <v>967</v>
      </c>
      <c r="BQ130" s="498" t="s">
        <v>557</v>
      </c>
      <c r="BR130" s="497" t="s">
        <v>958</v>
      </c>
      <c r="BS130" s="498" t="s">
        <v>3822</v>
      </c>
      <c r="BT130" s="497" t="s">
        <v>986</v>
      </c>
      <c r="BU130" s="498" t="s">
        <v>1707</v>
      </c>
      <c r="BV130" s="497" t="s">
        <v>965</v>
      </c>
      <c r="BW130" s="498" t="s">
        <v>443</v>
      </c>
      <c r="BX130" s="497" t="s">
        <v>965</v>
      </c>
      <c r="BY130" s="498" t="s">
        <v>3823</v>
      </c>
      <c r="BZ130" s="497" t="s">
        <v>965</v>
      </c>
      <c r="CA130" s="498" t="s">
        <v>3824</v>
      </c>
      <c r="CB130" s="497" t="s">
        <v>986</v>
      </c>
      <c r="CC130" s="498" t="s">
        <v>37</v>
      </c>
      <c r="CD130" s="497" t="s">
        <v>965</v>
      </c>
      <c r="CE130" s="501" t="s">
        <v>3825</v>
      </c>
      <c r="CF130" s="497" t="s">
        <v>966</v>
      </c>
      <c r="CG130" s="498" t="s">
        <v>3826</v>
      </c>
      <c r="CH130" s="497" t="s">
        <v>964</v>
      </c>
      <c r="CI130" s="498" t="s">
        <v>3827</v>
      </c>
      <c r="CJ130" s="497" t="s">
        <v>986</v>
      </c>
      <c r="CK130" s="498" t="s">
        <v>37</v>
      </c>
      <c r="CL130" s="497" t="s">
        <v>965</v>
      </c>
      <c r="CM130" s="498" t="s">
        <v>3754</v>
      </c>
      <c r="CN130" s="497" t="s">
        <v>986</v>
      </c>
      <c r="CO130" s="498" t="s">
        <v>3828</v>
      </c>
      <c r="CP130" s="504" t="s">
        <v>3829</v>
      </c>
      <c r="CQ130" s="34"/>
      <c r="CR130" s="34"/>
    </row>
    <row r="131" spans="1:96" s="5" customFormat="1" ht="79.5" thickBot="1" x14ac:dyDescent="0.25">
      <c r="A131" s="124">
        <f t="shared" si="1"/>
        <v>126</v>
      </c>
      <c r="B131" s="509" t="s">
        <v>352</v>
      </c>
      <c r="C131" s="509" t="s">
        <v>1597</v>
      </c>
      <c r="D131" s="510">
        <v>572</v>
      </c>
      <c r="E131" s="510" t="s">
        <v>2383</v>
      </c>
      <c r="F131" s="497" t="s">
        <v>986</v>
      </c>
      <c r="G131" s="498" t="s">
        <v>1550</v>
      </c>
      <c r="H131" s="497" t="s">
        <v>986</v>
      </c>
      <c r="I131" s="498" t="s">
        <v>1550</v>
      </c>
      <c r="J131" s="497" t="s">
        <v>986</v>
      </c>
      <c r="K131" s="498" t="s">
        <v>1550</v>
      </c>
      <c r="L131" s="497" t="s">
        <v>986</v>
      </c>
      <c r="M131" s="498" t="s">
        <v>1430</v>
      </c>
      <c r="N131" s="497" t="s">
        <v>986</v>
      </c>
      <c r="O131" s="498" t="s">
        <v>37</v>
      </c>
      <c r="P131" s="497" t="s">
        <v>965</v>
      </c>
      <c r="Q131" s="498" t="s">
        <v>1396</v>
      </c>
      <c r="R131" s="497" t="s">
        <v>958</v>
      </c>
      <c r="S131" s="498" t="s">
        <v>344</v>
      </c>
      <c r="T131" s="497" t="s">
        <v>986</v>
      </c>
      <c r="U131" s="499" t="s">
        <v>37</v>
      </c>
      <c r="V131" s="497" t="s">
        <v>986</v>
      </c>
      <c r="W131" s="498" t="s">
        <v>37</v>
      </c>
      <c r="X131" s="497" t="s">
        <v>986</v>
      </c>
      <c r="Y131" s="498" t="s">
        <v>37</v>
      </c>
      <c r="Z131" s="497" t="s">
        <v>986</v>
      </c>
      <c r="AA131" s="498" t="s">
        <v>37</v>
      </c>
      <c r="AB131" s="497" t="s">
        <v>986</v>
      </c>
      <c r="AC131" s="498" t="s">
        <v>37</v>
      </c>
      <c r="AD131" s="497" t="s">
        <v>986</v>
      </c>
      <c r="AE131" s="498" t="s">
        <v>37</v>
      </c>
      <c r="AF131" s="497" t="s">
        <v>986</v>
      </c>
      <c r="AG131" s="499" t="s">
        <v>37</v>
      </c>
      <c r="AH131" s="497" t="s">
        <v>986</v>
      </c>
      <c r="AI131" s="498" t="s">
        <v>37</v>
      </c>
      <c r="AJ131" s="497" t="s">
        <v>986</v>
      </c>
      <c r="AK131" s="498" t="s">
        <v>37</v>
      </c>
      <c r="AL131" s="497" t="s">
        <v>986</v>
      </c>
      <c r="AM131" s="499" t="s">
        <v>37</v>
      </c>
      <c r="AN131" s="497" t="s">
        <v>986</v>
      </c>
      <c r="AO131" s="498" t="s">
        <v>37</v>
      </c>
      <c r="AP131" s="497" t="s">
        <v>986</v>
      </c>
      <c r="AQ131" s="498" t="s">
        <v>37</v>
      </c>
      <c r="AR131" s="497" t="s">
        <v>986</v>
      </c>
      <c r="AS131" s="499" t="s">
        <v>37</v>
      </c>
      <c r="AT131" s="497" t="s">
        <v>986</v>
      </c>
      <c r="AU131" s="499" t="s">
        <v>37</v>
      </c>
      <c r="AV131" s="497" t="s">
        <v>986</v>
      </c>
      <c r="AW131" s="498" t="s">
        <v>37</v>
      </c>
      <c r="AX131" s="497" t="s">
        <v>986</v>
      </c>
      <c r="AY131" s="498" t="s">
        <v>37</v>
      </c>
      <c r="AZ131" s="497" t="s">
        <v>963</v>
      </c>
      <c r="BA131" s="498" t="s">
        <v>571</v>
      </c>
      <c r="BB131" s="497" t="s">
        <v>986</v>
      </c>
      <c r="BC131" s="498" t="s">
        <v>37</v>
      </c>
      <c r="BD131" s="497" t="s">
        <v>986</v>
      </c>
      <c r="BE131" s="498" t="s">
        <v>37</v>
      </c>
      <c r="BF131" s="497" t="s">
        <v>986</v>
      </c>
      <c r="BG131" s="498" t="s">
        <v>37</v>
      </c>
      <c r="BH131" s="497" t="s">
        <v>986</v>
      </c>
      <c r="BI131" s="498" t="s">
        <v>37</v>
      </c>
      <c r="BJ131" s="497" t="s">
        <v>986</v>
      </c>
      <c r="BK131" s="498" t="s">
        <v>37</v>
      </c>
      <c r="BL131" s="497" t="s">
        <v>986</v>
      </c>
      <c r="BM131" s="498" t="s">
        <v>1716</v>
      </c>
      <c r="BN131" s="497" t="s">
        <v>986</v>
      </c>
      <c r="BO131" s="499" t="s">
        <v>37</v>
      </c>
      <c r="BP131" s="497" t="s">
        <v>963</v>
      </c>
      <c r="BQ131" s="498" t="s">
        <v>1051</v>
      </c>
      <c r="BR131" s="497" t="s">
        <v>964</v>
      </c>
      <c r="BS131" s="498" t="s">
        <v>2154</v>
      </c>
      <c r="BT131" s="497" t="s">
        <v>986</v>
      </c>
      <c r="BU131" s="498" t="s">
        <v>37</v>
      </c>
      <c r="BV131" s="497" t="s">
        <v>986</v>
      </c>
      <c r="BW131" s="498" t="s">
        <v>37</v>
      </c>
      <c r="BX131" s="497" t="s">
        <v>986</v>
      </c>
      <c r="BY131" s="498" t="s">
        <v>1397</v>
      </c>
      <c r="BZ131" s="497" t="s">
        <v>986</v>
      </c>
      <c r="CA131" s="498" t="s">
        <v>1398</v>
      </c>
      <c r="CB131" s="497" t="s">
        <v>986</v>
      </c>
      <c r="CC131" s="498" t="s">
        <v>37</v>
      </c>
      <c r="CD131" s="497" t="s">
        <v>986</v>
      </c>
      <c r="CE131" s="498" t="s">
        <v>37</v>
      </c>
      <c r="CF131" s="497" t="s">
        <v>965</v>
      </c>
      <c r="CG131" s="498" t="s">
        <v>1066</v>
      </c>
      <c r="CH131" s="497" t="s">
        <v>986</v>
      </c>
      <c r="CI131" s="499" t="s">
        <v>37</v>
      </c>
      <c r="CJ131" s="497" t="s">
        <v>986</v>
      </c>
      <c r="CK131" s="498" t="s">
        <v>37</v>
      </c>
      <c r="CL131" s="497" t="s">
        <v>986</v>
      </c>
      <c r="CM131" s="498" t="s">
        <v>37</v>
      </c>
      <c r="CN131" s="497" t="s">
        <v>986</v>
      </c>
      <c r="CO131" s="498" t="s">
        <v>37</v>
      </c>
      <c r="CP131" s="517"/>
      <c r="CQ131" s="34"/>
      <c r="CR131" s="34"/>
    </row>
    <row r="132" spans="1:96" s="5" customFormat="1" ht="124.5" thickBot="1" x14ac:dyDescent="0.25">
      <c r="A132" s="124">
        <f t="shared" si="1"/>
        <v>127</v>
      </c>
      <c r="B132" s="509" t="s">
        <v>353</v>
      </c>
      <c r="C132" s="509" t="s">
        <v>1601</v>
      </c>
      <c r="D132" s="510">
        <v>574</v>
      </c>
      <c r="E132" s="510" t="s">
        <v>2388</v>
      </c>
      <c r="F132" s="497" t="s">
        <v>986</v>
      </c>
      <c r="G132" s="498" t="s">
        <v>37</v>
      </c>
      <c r="H132" s="497" t="s">
        <v>986</v>
      </c>
      <c r="I132" s="498" t="s">
        <v>37</v>
      </c>
      <c r="J132" s="497" t="s">
        <v>986</v>
      </c>
      <c r="K132" s="498" t="s">
        <v>37</v>
      </c>
      <c r="L132" s="497" t="s">
        <v>965</v>
      </c>
      <c r="M132" s="498" t="s">
        <v>114</v>
      </c>
      <c r="N132" s="497" t="s">
        <v>965</v>
      </c>
      <c r="O132" s="498" t="s">
        <v>1557</v>
      </c>
      <c r="P132" s="497" t="s">
        <v>986</v>
      </c>
      <c r="Q132" s="498" t="s">
        <v>37</v>
      </c>
      <c r="R132" s="497" t="s">
        <v>958</v>
      </c>
      <c r="S132" s="498" t="s">
        <v>513</v>
      </c>
      <c r="T132" s="497" t="s">
        <v>986</v>
      </c>
      <c r="U132" s="499" t="s">
        <v>37</v>
      </c>
      <c r="V132" s="497" t="s">
        <v>986</v>
      </c>
      <c r="W132" s="498" t="s">
        <v>37</v>
      </c>
      <c r="X132" s="497" t="s">
        <v>963</v>
      </c>
      <c r="Y132" s="498" t="s">
        <v>490</v>
      </c>
      <c r="Z132" s="497" t="s">
        <v>965</v>
      </c>
      <c r="AA132" s="498" t="s">
        <v>490</v>
      </c>
      <c r="AB132" s="497" t="s">
        <v>963</v>
      </c>
      <c r="AC132" s="498" t="s">
        <v>491</v>
      </c>
      <c r="AD132" s="497" t="s">
        <v>986</v>
      </c>
      <c r="AE132" s="498" t="s">
        <v>37</v>
      </c>
      <c r="AF132" s="497" t="s">
        <v>963</v>
      </c>
      <c r="AG132" s="499" t="s">
        <v>329</v>
      </c>
      <c r="AH132" s="497" t="s">
        <v>963</v>
      </c>
      <c r="AI132" s="498" t="s">
        <v>329</v>
      </c>
      <c r="AJ132" s="497" t="s">
        <v>986</v>
      </c>
      <c r="AK132" s="498" t="s">
        <v>37</v>
      </c>
      <c r="AL132" s="497" t="s">
        <v>986</v>
      </c>
      <c r="AM132" s="499" t="s">
        <v>37</v>
      </c>
      <c r="AN132" s="497" t="s">
        <v>986</v>
      </c>
      <c r="AO132" s="498" t="s">
        <v>37</v>
      </c>
      <c r="AP132" s="497" t="s">
        <v>986</v>
      </c>
      <c r="AQ132" s="498" t="s">
        <v>37</v>
      </c>
      <c r="AR132" s="497" t="s">
        <v>965</v>
      </c>
      <c r="AS132" s="499" t="s">
        <v>221</v>
      </c>
      <c r="AT132" s="497" t="s">
        <v>986</v>
      </c>
      <c r="AU132" s="499" t="s">
        <v>37</v>
      </c>
      <c r="AV132" s="497" t="s">
        <v>965</v>
      </c>
      <c r="AW132" s="498" t="s">
        <v>789</v>
      </c>
      <c r="AX132" s="497" t="s">
        <v>986</v>
      </c>
      <c r="AY132" s="498" t="s">
        <v>37</v>
      </c>
      <c r="AZ132" s="497" t="s">
        <v>965</v>
      </c>
      <c r="BA132" s="498" t="s">
        <v>675</v>
      </c>
      <c r="BB132" s="497" t="s">
        <v>986</v>
      </c>
      <c r="BC132" s="498" t="s">
        <v>722</v>
      </c>
      <c r="BD132" s="497" t="s">
        <v>963</v>
      </c>
      <c r="BE132" s="498" t="s">
        <v>2114</v>
      </c>
      <c r="BF132" s="497" t="s">
        <v>986</v>
      </c>
      <c r="BG132" s="498" t="s">
        <v>37</v>
      </c>
      <c r="BH132" s="497" t="s">
        <v>986</v>
      </c>
      <c r="BI132" s="498" t="s">
        <v>37</v>
      </c>
      <c r="BJ132" s="497" t="s">
        <v>986</v>
      </c>
      <c r="BK132" s="498" t="s">
        <v>37</v>
      </c>
      <c r="BL132" s="497" t="s">
        <v>986</v>
      </c>
      <c r="BM132" s="498" t="s">
        <v>37</v>
      </c>
      <c r="BN132" s="497" t="s">
        <v>986</v>
      </c>
      <c r="BO132" s="499" t="s">
        <v>37</v>
      </c>
      <c r="BP132" s="497" t="s">
        <v>963</v>
      </c>
      <c r="BQ132" s="498" t="s">
        <v>157</v>
      </c>
      <c r="BR132" s="497" t="s">
        <v>986</v>
      </c>
      <c r="BS132" s="498" t="s">
        <v>37</v>
      </c>
      <c r="BT132" s="497" t="s">
        <v>986</v>
      </c>
      <c r="BU132" s="498" t="s">
        <v>37</v>
      </c>
      <c r="BV132" s="497" t="s">
        <v>986</v>
      </c>
      <c r="BW132" s="498" t="s">
        <v>37</v>
      </c>
      <c r="BX132" s="497" t="s">
        <v>986</v>
      </c>
      <c r="BY132" s="498" t="s">
        <v>37</v>
      </c>
      <c r="BZ132" s="497" t="s">
        <v>986</v>
      </c>
      <c r="CA132" s="498" t="s">
        <v>37</v>
      </c>
      <c r="CB132" s="497" t="s">
        <v>964</v>
      </c>
      <c r="CC132" s="498" t="s">
        <v>366</v>
      </c>
      <c r="CD132" s="497" t="s">
        <v>963</v>
      </c>
      <c r="CE132" s="498" t="s">
        <v>880</v>
      </c>
      <c r="CF132" s="497" t="s">
        <v>963</v>
      </c>
      <c r="CG132" s="498" t="s">
        <v>1326</v>
      </c>
      <c r="CH132" s="497" t="s">
        <v>986</v>
      </c>
      <c r="CI132" s="499" t="s">
        <v>37</v>
      </c>
      <c r="CJ132" s="497" t="s">
        <v>967</v>
      </c>
      <c r="CK132" s="498" t="s">
        <v>1329</v>
      </c>
      <c r="CL132" s="497" t="s">
        <v>986</v>
      </c>
      <c r="CM132" s="498" t="s">
        <v>37</v>
      </c>
      <c r="CN132" s="497" t="s">
        <v>986</v>
      </c>
      <c r="CO132" s="498" t="s">
        <v>37</v>
      </c>
      <c r="CP132" s="517"/>
      <c r="CQ132" s="34"/>
      <c r="CR132" s="34"/>
    </row>
    <row r="133" spans="1:96" s="5" customFormat="1" ht="102" thickBot="1" x14ac:dyDescent="0.25">
      <c r="A133" s="124">
        <f t="shared" si="1"/>
        <v>128</v>
      </c>
      <c r="B133" s="509" t="s">
        <v>3881</v>
      </c>
      <c r="C133" s="509" t="s">
        <v>1601</v>
      </c>
      <c r="D133" s="510">
        <v>442</v>
      </c>
      <c r="E133" s="510" t="s">
        <v>2386</v>
      </c>
      <c r="F133" s="497" t="s">
        <v>986</v>
      </c>
      <c r="G133" s="498" t="s">
        <v>37</v>
      </c>
      <c r="H133" s="497" t="s">
        <v>963</v>
      </c>
      <c r="I133" s="498" t="s">
        <v>148</v>
      </c>
      <c r="J133" s="497" t="s">
        <v>986</v>
      </c>
      <c r="K133" s="498" t="s">
        <v>37</v>
      </c>
      <c r="L133" s="497" t="s">
        <v>986</v>
      </c>
      <c r="M133" s="498" t="s">
        <v>37</v>
      </c>
      <c r="N133" s="497" t="s">
        <v>986</v>
      </c>
      <c r="O133" s="498" t="s">
        <v>37</v>
      </c>
      <c r="P133" s="497" t="s">
        <v>986</v>
      </c>
      <c r="Q133" s="498" t="s">
        <v>37</v>
      </c>
      <c r="R133" s="497" t="s">
        <v>958</v>
      </c>
      <c r="S133" s="498" t="s">
        <v>1547</v>
      </c>
      <c r="T133" s="497" t="s">
        <v>986</v>
      </c>
      <c r="U133" s="499" t="s">
        <v>37</v>
      </c>
      <c r="V133" s="497" t="s">
        <v>963</v>
      </c>
      <c r="W133" s="498" t="s">
        <v>1548</v>
      </c>
      <c r="X133" s="497" t="s">
        <v>986</v>
      </c>
      <c r="Y133" s="498" t="s">
        <v>96</v>
      </c>
      <c r="Z133" s="497" t="s">
        <v>963</v>
      </c>
      <c r="AA133" s="498" t="s">
        <v>97</v>
      </c>
      <c r="AB133" s="497" t="s">
        <v>965</v>
      </c>
      <c r="AC133" s="498" t="s">
        <v>98</v>
      </c>
      <c r="AD133" s="497" t="s">
        <v>986</v>
      </c>
      <c r="AE133" s="498" t="s">
        <v>37</v>
      </c>
      <c r="AF133" s="497" t="s">
        <v>967</v>
      </c>
      <c r="AG133" s="499" t="s">
        <v>1624</v>
      </c>
      <c r="AH133" s="497" t="s">
        <v>986</v>
      </c>
      <c r="AI133" s="498" t="s">
        <v>37</v>
      </c>
      <c r="AJ133" s="497" t="s">
        <v>963</v>
      </c>
      <c r="AK133" s="498" t="s">
        <v>1185</v>
      </c>
      <c r="AL133" s="497" t="s">
        <v>963</v>
      </c>
      <c r="AM133" s="499" t="s">
        <v>1434</v>
      </c>
      <c r="AN133" s="497" t="s">
        <v>963</v>
      </c>
      <c r="AO133" s="498" t="s">
        <v>667</v>
      </c>
      <c r="AP133" s="497" t="s">
        <v>965</v>
      </c>
      <c r="AQ133" s="498" t="s">
        <v>123</v>
      </c>
      <c r="AR133" s="497" t="s">
        <v>963</v>
      </c>
      <c r="AS133" s="499" t="s">
        <v>103</v>
      </c>
      <c r="AT133" s="497" t="s">
        <v>963</v>
      </c>
      <c r="AU133" s="499" t="s">
        <v>687</v>
      </c>
      <c r="AV133" s="497" t="s">
        <v>963</v>
      </c>
      <c r="AW133" s="498" t="s">
        <v>898</v>
      </c>
      <c r="AX133" s="497" t="s">
        <v>965</v>
      </c>
      <c r="AY133" s="498" t="s">
        <v>688</v>
      </c>
      <c r="AZ133" s="497" t="s">
        <v>965</v>
      </c>
      <c r="BA133" s="498" t="s">
        <v>2768</v>
      </c>
      <c r="BB133" s="497" t="s">
        <v>986</v>
      </c>
      <c r="BC133" s="498" t="s">
        <v>1236</v>
      </c>
      <c r="BD133" s="497" t="s">
        <v>965</v>
      </c>
      <c r="BE133" s="498" t="s">
        <v>2096</v>
      </c>
      <c r="BF133" s="497" t="s">
        <v>965</v>
      </c>
      <c r="BG133" s="498" t="s">
        <v>688</v>
      </c>
      <c r="BH133" s="497" t="s">
        <v>963</v>
      </c>
      <c r="BI133" s="498" t="s">
        <v>395</v>
      </c>
      <c r="BJ133" s="497" t="s">
        <v>986</v>
      </c>
      <c r="BK133" s="498" t="s">
        <v>37</v>
      </c>
      <c r="BL133" s="497" t="s">
        <v>965</v>
      </c>
      <c r="BM133" s="498" t="s">
        <v>2888</v>
      </c>
      <c r="BN133" s="497" t="s">
        <v>986</v>
      </c>
      <c r="BO133" s="499" t="s">
        <v>37</v>
      </c>
      <c r="BP133" s="497" t="s">
        <v>963</v>
      </c>
      <c r="BQ133" s="498" t="s">
        <v>1140</v>
      </c>
      <c r="BR133" s="497" t="s">
        <v>986</v>
      </c>
      <c r="BS133" s="498" t="s">
        <v>37</v>
      </c>
      <c r="BT133" s="497" t="s">
        <v>965</v>
      </c>
      <c r="BU133" s="498" t="s">
        <v>666</v>
      </c>
      <c r="BV133" s="497" t="s">
        <v>986</v>
      </c>
      <c r="BW133" s="498" t="s">
        <v>37</v>
      </c>
      <c r="BX133" s="497" t="s">
        <v>986</v>
      </c>
      <c r="BY133" s="498" t="s">
        <v>37</v>
      </c>
      <c r="BZ133" s="497" t="s">
        <v>986</v>
      </c>
      <c r="CA133" s="498" t="s">
        <v>37</v>
      </c>
      <c r="CB133" s="497" t="s">
        <v>965</v>
      </c>
      <c r="CC133" s="498" t="s">
        <v>1484</v>
      </c>
      <c r="CD133" s="497" t="s">
        <v>986</v>
      </c>
      <c r="CE133" s="498" t="s">
        <v>37</v>
      </c>
      <c r="CF133" s="497" t="s">
        <v>964</v>
      </c>
      <c r="CG133" s="498" t="s">
        <v>1350</v>
      </c>
      <c r="CH133" s="497" t="s">
        <v>986</v>
      </c>
      <c r="CI133" s="499" t="s">
        <v>37</v>
      </c>
      <c r="CJ133" s="497" t="s">
        <v>986</v>
      </c>
      <c r="CK133" s="498" t="s">
        <v>37</v>
      </c>
      <c r="CL133" s="497" t="s">
        <v>963</v>
      </c>
      <c r="CM133" s="498" t="s">
        <v>2772</v>
      </c>
      <c r="CN133" s="497" t="s">
        <v>963</v>
      </c>
      <c r="CO133" s="498" t="s">
        <v>1995</v>
      </c>
      <c r="CP133" s="517"/>
      <c r="CQ133" s="34"/>
      <c r="CR133" s="34"/>
    </row>
    <row r="134" spans="1:96" s="5" customFormat="1" ht="90.75" thickBot="1" x14ac:dyDescent="0.25">
      <c r="A134" s="124">
        <f t="shared" si="1"/>
        <v>129</v>
      </c>
      <c r="B134" s="509" t="s">
        <v>1522</v>
      </c>
      <c r="C134" s="509" t="s">
        <v>1597</v>
      </c>
      <c r="D134" s="510">
        <v>570</v>
      </c>
      <c r="E134" s="510" t="s">
        <v>2384</v>
      </c>
      <c r="F134" s="497" t="s">
        <v>986</v>
      </c>
      <c r="G134" s="498" t="s">
        <v>37</v>
      </c>
      <c r="H134" s="497" t="s">
        <v>986</v>
      </c>
      <c r="I134" s="498" t="s">
        <v>37</v>
      </c>
      <c r="J134" s="497" t="s">
        <v>963</v>
      </c>
      <c r="K134" s="498" t="s">
        <v>1550</v>
      </c>
      <c r="L134" s="497" t="s">
        <v>986</v>
      </c>
      <c r="M134" s="498" t="s">
        <v>1190</v>
      </c>
      <c r="N134" s="497" t="s">
        <v>966</v>
      </c>
      <c r="O134" s="498" t="s">
        <v>711</v>
      </c>
      <c r="P134" s="497" t="s">
        <v>986</v>
      </c>
      <c r="Q134" s="498" t="s">
        <v>37</v>
      </c>
      <c r="R134" s="497" t="s">
        <v>965</v>
      </c>
      <c r="S134" s="498" t="s">
        <v>11</v>
      </c>
      <c r="T134" s="497" t="s">
        <v>986</v>
      </c>
      <c r="U134" s="499" t="s">
        <v>37</v>
      </c>
      <c r="V134" s="497" t="s">
        <v>986</v>
      </c>
      <c r="W134" s="498" t="s">
        <v>37</v>
      </c>
      <c r="X134" s="497" t="s">
        <v>958</v>
      </c>
      <c r="Y134" s="498" t="s">
        <v>486</v>
      </c>
      <c r="Z134" s="497" t="s">
        <v>964</v>
      </c>
      <c r="AA134" s="498" t="s">
        <v>1728</v>
      </c>
      <c r="AB134" s="497" t="s">
        <v>958</v>
      </c>
      <c r="AC134" s="498" t="s">
        <v>486</v>
      </c>
      <c r="AD134" s="497" t="s">
        <v>986</v>
      </c>
      <c r="AE134" s="498" t="s">
        <v>37</v>
      </c>
      <c r="AF134" s="497" t="s">
        <v>986</v>
      </c>
      <c r="AG134" s="499" t="s">
        <v>37</v>
      </c>
      <c r="AH134" s="497" t="s">
        <v>986</v>
      </c>
      <c r="AI134" s="498" t="s">
        <v>37</v>
      </c>
      <c r="AJ134" s="497" t="s">
        <v>986</v>
      </c>
      <c r="AK134" s="498" t="s">
        <v>37</v>
      </c>
      <c r="AL134" s="497" t="s">
        <v>986</v>
      </c>
      <c r="AM134" s="499" t="s">
        <v>37</v>
      </c>
      <c r="AN134" s="497" t="s">
        <v>963</v>
      </c>
      <c r="AO134" s="498" t="s">
        <v>12</v>
      </c>
      <c r="AP134" s="497" t="s">
        <v>986</v>
      </c>
      <c r="AQ134" s="498" t="s">
        <v>37</v>
      </c>
      <c r="AR134" s="497" t="s">
        <v>986</v>
      </c>
      <c r="AS134" s="499" t="s">
        <v>985</v>
      </c>
      <c r="AT134" s="497" t="s">
        <v>986</v>
      </c>
      <c r="AU134" s="499" t="s">
        <v>985</v>
      </c>
      <c r="AV134" s="497" t="s">
        <v>986</v>
      </c>
      <c r="AW134" s="498" t="s">
        <v>1729</v>
      </c>
      <c r="AX134" s="497" t="s">
        <v>986</v>
      </c>
      <c r="AY134" s="498" t="s">
        <v>985</v>
      </c>
      <c r="AZ134" s="497" t="s">
        <v>964</v>
      </c>
      <c r="BA134" s="498" t="s">
        <v>568</v>
      </c>
      <c r="BB134" s="497" t="s">
        <v>986</v>
      </c>
      <c r="BC134" s="498" t="s">
        <v>1357</v>
      </c>
      <c r="BD134" s="497" t="s">
        <v>963</v>
      </c>
      <c r="BE134" s="498" t="s">
        <v>2115</v>
      </c>
      <c r="BF134" s="497" t="s">
        <v>986</v>
      </c>
      <c r="BG134" s="498" t="s">
        <v>985</v>
      </c>
      <c r="BH134" s="497" t="s">
        <v>986</v>
      </c>
      <c r="BI134" s="498" t="s">
        <v>37</v>
      </c>
      <c r="BJ134" s="497" t="s">
        <v>986</v>
      </c>
      <c r="BK134" s="498" t="s">
        <v>37</v>
      </c>
      <c r="BL134" s="497" t="s">
        <v>986</v>
      </c>
      <c r="BM134" s="498" t="s">
        <v>37</v>
      </c>
      <c r="BN134" s="497" t="s">
        <v>986</v>
      </c>
      <c r="BO134" s="499" t="s">
        <v>37</v>
      </c>
      <c r="BP134" s="497" t="s">
        <v>986</v>
      </c>
      <c r="BQ134" s="498" t="s">
        <v>37</v>
      </c>
      <c r="BR134" s="497" t="s">
        <v>986</v>
      </c>
      <c r="BS134" s="498" t="s">
        <v>37</v>
      </c>
      <c r="BT134" s="497" t="s">
        <v>986</v>
      </c>
      <c r="BU134" s="498" t="s">
        <v>37</v>
      </c>
      <c r="BV134" s="497" t="s">
        <v>986</v>
      </c>
      <c r="BW134" s="498" t="s">
        <v>37</v>
      </c>
      <c r="BX134" s="497" t="s">
        <v>986</v>
      </c>
      <c r="BY134" s="498" t="s">
        <v>37</v>
      </c>
      <c r="BZ134" s="497" t="s">
        <v>986</v>
      </c>
      <c r="CA134" s="498" t="s">
        <v>37</v>
      </c>
      <c r="CB134" s="497" t="s">
        <v>986</v>
      </c>
      <c r="CC134" s="498" t="s">
        <v>37</v>
      </c>
      <c r="CD134" s="497" t="s">
        <v>986</v>
      </c>
      <c r="CE134" s="498" t="s">
        <v>37</v>
      </c>
      <c r="CF134" s="497" t="s">
        <v>986</v>
      </c>
      <c r="CG134" s="498" t="s">
        <v>37</v>
      </c>
      <c r="CH134" s="497" t="s">
        <v>986</v>
      </c>
      <c r="CI134" s="499" t="s">
        <v>37</v>
      </c>
      <c r="CJ134" s="497" t="s">
        <v>986</v>
      </c>
      <c r="CK134" s="498" t="s">
        <v>37</v>
      </c>
      <c r="CL134" s="497" t="s">
        <v>986</v>
      </c>
      <c r="CM134" s="498" t="s">
        <v>37</v>
      </c>
      <c r="CN134" s="497" t="s">
        <v>986</v>
      </c>
      <c r="CO134" s="498" t="s">
        <v>37</v>
      </c>
      <c r="CP134" s="517"/>
      <c r="CQ134" s="34"/>
      <c r="CR134" s="34"/>
    </row>
    <row r="135" spans="1:96" s="17" customFormat="1" ht="79.5" thickBot="1" x14ac:dyDescent="0.25">
      <c r="A135" s="124">
        <f t="shared" si="1"/>
        <v>130</v>
      </c>
      <c r="B135" s="509" t="s">
        <v>356</v>
      </c>
      <c r="C135" s="509" t="s">
        <v>1606</v>
      </c>
      <c r="D135" s="510">
        <v>580</v>
      </c>
      <c r="E135" s="510" t="s">
        <v>2383</v>
      </c>
      <c r="F135" s="497" t="s">
        <v>986</v>
      </c>
      <c r="G135" s="498" t="s">
        <v>37</v>
      </c>
      <c r="H135" s="497" t="s">
        <v>986</v>
      </c>
      <c r="I135" s="498" t="s">
        <v>37</v>
      </c>
      <c r="J135" s="497" t="s">
        <v>986</v>
      </c>
      <c r="K135" s="498" t="s">
        <v>37</v>
      </c>
      <c r="L135" s="497" t="s">
        <v>986</v>
      </c>
      <c r="M135" s="498" t="s">
        <v>37</v>
      </c>
      <c r="N135" s="497" t="s">
        <v>964</v>
      </c>
      <c r="O135" s="498" t="s">
        <v>1069</v>
      </c>
      <c r="P135" s="497" t="s">
        <v>986</v>
      </c>
      <c r="Q135" s="498" t="s">
        <v>37</v>
      </c>
      <c r="R135" s="497" t="s">
        <v>986</v>
      </c>
      <c r="S135" s="498" t="s">
        <v>37</v>
      </c>
      <c r="T135" s="497" t="s">
        <v>986</v>
      </c>
      <c r="U135" s="499" t="s">
        <v>37</v>
      </c>
      <c r="V135" s="497" t="s">
        <v>986</v>
      </c>
      <c r="W135" s="498" t="s">
        <v>37</v>
      </c>
      <c r="X135" s="497" t="s">
        <v>986</v>
      </c>
      <c r="Y135" s="498" t="s">
        <v>37</v>
      </c>
      <c r="Z135" s="497" t="s">
        <v>986</v>
      </c>
      <c r="AA135" s="498" t="s">
        <v>37</v>
      </c>
      <c r="AB135" s="497" t="s">
        <v>986</v>
      </c>
      <c r="AC135" s="498" t="s">
        <v>37</v>
      </c>
      <c r="AD135" s="497" t="s">
        <v>986</v>
      </c>
      <c r="AE135" s="498" t="s">
        <v>37</v>
      </c>
      <c r="AF135" s="497" t="s">
        <v>986</v>
      </c>
      <c r="AG135" s="499" t="s">
        <v>37</v>
      </c>
      <c r="AH135" s="497" t="s">
        <v>986</v>
      </c>
      <c r="AI135" s="498" t="s">
        <v>37</v>
      </c>
      <c r="AJ135" s="497" t="s">
        <v>986</v>
      </c>
      <c r="AK135" s="498" t="s">
        <v>37</v>
      </c>
      <c r="AL135" s="497" t="s">
        <v>986</v>
      </c>
      <c r="AM135" s="499" t="s">
        <v>37</v>
      </c>
      <c r="AN135" s="497" t="s">
        <v>965</v>
      </c>
      <c r="AO135" s="498" t="s">
        <v>1255</v>
      </c>
      <c r="AP135" s="497" t="s">
        <v>986</v>
      </c>
      <c r="AQ135" s="498" t="s">
        <v>37</v>
      </c>
      <c r="AR135" s="497" t="s">
        <v>986</v>
      </c>
      <c r="AS135" s="499" t="s">
        <v>37</v>
      </c>
      <c r="AT135" s="497" t="s">
        <v>986</v>
      </c>
      <c r="AU135" s="499" t="s">
        <v>37</v>
      </c>
      <c r="AV135" s="497" t="s">
        <v>965</v>
      </c>
      <c r="AW135" s="498" t="s">
        <v>1373</v>
      </c>
      <c r="AX135" s="497" t="s">
        <v>986</v>
      </c>
      <c r="AY135" s="498" t="s">
        <v>37</v>
      </c>
      <c r="AZ135" s="497" t="s">
        <v>963</v>
      </c>
      <c r="BA135" s="498" t="s">
        <v>572</v>
      </c>
      <c r="BB135" s="497" t="s">
        <v>965</v>
      </c>
      <c r="BC135" s="498" t="s">
        <v>1726</v>
      </c>
      <c r="BD135" s="497" t="s">
        <v>986</v>
      </c>
      <c r="BE135" s="498" t="s">
        <v>37</v>
      </c>
      <c r="BF135" s="497" t="s">
        <v>986</v>
      </c>
      <c r="BG135" s="498" t="s">
        <v>37</v>
      </c>
      <c r="BH135" s="497" t="s">
        <v>986</v>
      </c>
      <c r="BI135" s="498" t="s">
        <v>37</v>
      </c>
      <c r="BJ135" s="497" t="s">
        <v>986</v>
      </c>
      <c r="BK135" s="498" t="s">
        <v>37</v>
      </c>
      <c r="BL135" s="497" t="s">
        <v>965</v>
      </c>
      <c r="BM135" s="498" t="s">
        <v>216</v>
      </c>
      <c r="BN135" s="497" t="s">
        <v>986</v>
      </c>
      <c r="BO135" s="499" t="s">
        <v>37</v>
      </c>
      <c r="BP135" s="497" t="s">
        <v>964</v>
      </c>
      <c r="BQ135" s="498" t="s">
        <v>158</v>
      </c>
      <c r="BR135" s="497" t="s">
        <v>964</v>
      </c>
      <c r="BS135" s="498" t="s">
        <v>2173</v>
      </c>
      <c r="BT135" s="497" t="s">
        <v>964</v>
      </c>
      <c r="BU135" s="498" t="s">
        <v>1707</v>
      </c>
      <c r="BV135" s="497" t="s">
        <v>986</v>
      </c>
      <c r="BW135" s="498" t="s">
        <v>37</v>
      </c>
      <c r="BX135" s="497" t="s">
        <v>963</v>
      </c>
      <c r="BY135" s="498" t="s">
        <v>1392</v>
      </c>
      <c r="BZ135" s="497" t="s">
        <v>963</v>
      </c>
      <c r="CA135" s="498" t="s">
        <v>1590</v>
      </c>
      <c r="CB135" s="497" t="s">
        <v>986</v>
      </c>
      <c r="CC135" s="498" t="s">
        <v>288</v>
      </c>
      <c r="CD135" s="497" t="s">
        <v>963</v>
      </c>
      <c r="CE135" s="498" t="s">
        <v>881</v>
      </c>
      <c r="CF135" s="497" t="s">
        <v>965</v>
      </c>
      <c r="CG135" s="498" t="s">
        <v>1067</v>
      </c>
      <c r="CH135" s="497" t="s">
        <v>986</v>
      </c>
      <c r="CI135" s="499" t="s">
        <v>37</v>
      </c>
      <c r="CJ135" s="497" t="s">
        <v>986</v>
      </c>
      <c r="CK135" s="498" t="s">
        <v>37</v>
      </c>
      <c r="CL135" s="497" t="s">
        <v>986</v>
      </c>
      <c r="CM135" s="498" t="s">
        <v>37</v>
      </c>
      <c r="CN135" s="497" t="s">
        <v>986</v>
      </c>
      <c r="CO135" s="498" t="s">
        <v>37</v>
      </c>
      <c r="CP135" s="517"/>
      <c r="CQ135" s="18"/>
      <c r="CR135" s="18"/>
    </row>
    <row r="136" spans="1:96" s="17" customFormat="1" ht="51.6" customHeight="1" thickBot="1" x14ac:dyDescent="0.25">
      <c r="A136" s="124">
        <f t="shared" ref="A136:A174" si="2">+A135+1</f>
        <v>131</v>
      </c>
      <c r="B136" s="509" t="s">
        <v>354</v>
      </c>
      <c r="C136" s="509" t="s">
        <v>1604</v>
      </c>
      <c r="D136" s="510">
        <v>578</v>
      </c>
      <c r="E136" s="510" t="s">
        <v>2388</v>
      </c>
      <c r="F136" s="497" t="s">
        <v>986</v>
      </c>
      <c r="G136" s="498" t="s">
        <v>37</v>
      </c>
      <c r="H136" s="497" t="s">
        <v>986</v>
      </c>
      <c r="I136" s="498" t="s">
        <v>37</v>
      </c>
      <c r="J136" s="497" t="s">
        <v>986</v>
      </c>
      <c r="K136" s="498" t="s">
        <v>37</v>
      </c>
      <c r="L136" s="497" t="s">
        <v>986</v>
      </c>
      <c r="M136" s="498" t="s">
        <v>37</v>
      </c>
      <c r="N136" s="497" t="s">
        <v>963</v>
      </c>
      <c r="O136" s="498" t="s">
        <v>1558</v>
      </c>
      <c r="P136" s="497" t="s">
        <v>986</v>
      </c>
      <c r="Q136" s="498" t="s">
        <v>37</v>
      </c>
      <c r="R136" s="497" t="s">
        <v>986</v>
      </c>
      <c r="S136" s="498" t="s">
        <v>37</v>
      </c>
      <c r="T136" s="497" t="s">
        <v>986</v>
      </c>
      <c r="U136" s="499" t="s">
        <v>37</v>
      </c>
      <c r="V136" s="497" t="s">
        <v>986</v>
      </c>
      <c r="W136" s="498" t="s">
        <v>37</v>
      </c>
      <c r="X136" s="497" t="s">
        <v>986</v>
      </c>
      <c r="Y136" s="498" t="s">
        <v>37</v>
      </c>
      <c r="Z136" s="497" t="s">
        <v>986</v>
      </c>
      <c r="AA136" s="498" t="s">
        <v>37</v>
      </c>
      <c r="AB136" s="497" t="s">
        <v>986</v>
      </c>
      <c r="AC136" s="498" t="s">
        <v>37</v>
      </c>
      <c r="AD136" s="497" t="s">
        <v>986</v>
      </c>
      <c r="AE136" s="498" t="s">
        <v>37</v>
      </c>
      <c r="AF136" s="497" t="s">
        <v>986</v>
      </c>
      <c r="AG136" s="499" t="s">
        <v>37</v>
      </c>
      <c r="AH136" s="497" t="s">
        <v>986</v>
      </c>
      <c r="AI136" s="498" t="s">
        <v>37</v>
      </c>
      <c r="AJ136" s="497" t="s">
        <v>986</v>
      </c>
      <c r="AK136" s="498" t="s">
        <v>37</v>
      </c>
      <c r="AL136" s="497" t="s">
        <v>986</v>
      </c>
      <c r="AM136" s="499" t="s">
        <v>37</v>
      </c>
      <c r="AN136" s="497" t="s">
        <v>965</v>
      </c>
      <c r="AO136" s="568" t="s">
        <v>3982</v>
      </c>
      <c r="AP136" s="497" t="s">
        <v>986</v>
      </c>
      <c r="AQ136" s="498" t="s">
        <v>37</v>
      </c>
      <c r="AR136" s="497" t="s">
        <v>986</v>
      </c>
      <c r="AS136" s="499" t="s">
        <v>37</v>
      </c>
      <c r="AT136" s="497" t="s">
        <v>986</v>
      </c>
      <c r="AU136" s="499" t="s">
        <v>37</v>
      </c>
      <c r="AV136" s="497" t="s">
        <v>959</v>
      </c>
      <c r="AW136" s="559" t="s">
        <v>1486</v>
      </c>
      <c r="AX136" s="497" t="s">
        <v>963</v>
      </c>
      <c r="AY136" s="568" t="s">
        <v>3982</v>
      </c>
      <c r="AZ136" s="497" t="s">
        <v>963</v>
      </c>
      <c r="BA136" s="498" t="s">
        <v>573</v>
      </c>
      <c r="BB136" s="497" t="s">
        <v>986</v>
      </c>
      <c r="BC136" s="498" t="s">
        <v>37</v>
      </c>
      <c r="BD136" s="497" t="s">
        <v>986</v>
      </c>
      <c r="BE136" s="498" t="s">
        <v>37</v>
      </c>
      <c r="BF136" s="497" t="s">
        <v>986</v>
      </c>
      <c r="BG136" s="498" t="s">
        <v>37</v>
      </c>
      <c r="BH136" s="497" t="s">
        <v>986</v>
      </c>
      <c r="BI136" s="498" t="s">
        <v>37</v>
      </c>
      <c r="BJ136" s="497" t="s">
        <v>986</v>
      </c>
      <c r="BK136" s="498" t="s">
        <v>37</v>
      </c>
      <c r="BL136" s="497" t="s">
        <v>986</v>
      </c>
      <c r="BM136" s="498" t="s">
        <v>37</v>
      </c>
      <c r="BN136" s="497" t="s">
        <v>986</v>
      </c>
      <c r="BO136" s="499" t="s">
        <v>37</v>
      </c>
      <c r="BP136" s="497" t="s">
        <v>986</v>
      </c>
      <c r="BQ136" s="498" t="s">
        <v>37</v>
      </c>
      <c r="BR136" s="497" t="s">
        <v>986</v>
      </c>
      <c r="BS136" s="498" t="s">
        <v>37</v>
      </c>
      <c r="BT136" s="497" t="s">
        <v>986</v>
      </c>
      <c r="BU136" s="498" t="s">
        <v>37</v>
      </c>
      <c r="BV136" s="497" t="s">
        <v>986</v>
      </c>
      <c r="BW136" s="498" t="s">
        <v>37</v>
      </c>
      <c r="BX136" s="497" t="s">
        <v>986</v>
      </c>
      <c r="BY136" s="498" t="s">
        <v>37</v>
      </c>
      <c r="BZ136" s="497" t="s">
        <v>986</v>
      </c>
      <c r="CA136" s="498" t="s">
        <v>37</v>
      </c>
      <c r="CB136" s="497" t="s">
        <v>986</v>
      </c>
      <c r="CC136" s="498" t="s">
        <v>37</v>
      </c>
      <c r="CD136" s="497" t="s">
        <v>986</v>
      </c>
      <c r="CE136" s="498" t="s">
        <v>37</v>
      </c>
      <c r="CF136" s="497" t="s">
        <v>963</v>
      </c>
      <c r="CG136" s="498" t="s">
        <v>1326</v>
      </c>
      <c r="CH136" s="497" t="s">
        <v>986</v>
      </c>
      <c r="CI136" s="499" t="s">
        <v>37</v>
      </c>
      <c r="CJ136" s="497" t="s">
        <v>963</v>
      </c>
      <c r="CK136" s="498" t="s">
        <v>1330</v>
      </c>
      <c r="CL136" s="497" t="s">
        <v>986</v>
      </c>
      <c r="CM136" s="498" t="s">
        <v>37</v>
      </c>
      <c r="CN136" s="497" t="s">
        <v>986</v>
      </c>
      <c r="CO136" s="498" t="s">
        <v>37</v>
      </c>
      <c r="CP136" s="566" t="s">
        <v>3981</v>
      </c>
      <c r="CQ136" s="18"/>
      <c r="CR136" s="18"/>
    </row>
    <row r="137" spans="1:96" s="5" customFormat="1" ht="90.75" thickBot="1" x14ac:dyDescent="0.25">
      <c r="A137" s="124">
        <f t="shared" si="2"/>
        <v>132</v>
      </c>
      <c r="B137" s="509" t="s">
        <v>355</v>
      </c>
      <c r="C137" s="509" t="s">
        <v>1466</v>
      </c>
      <c r="D137" s="510">
        <v>395</v>
      </c>
      <c r="E137" s="510" t="s">
        <v>2383</v>
      </c>
      <c r="F137" s="497" t="s">
        <v>986</v>
      </c>
      <c r="G137" s="498" t="s">
        <v>37</v>
      </c>
      <c r="H137" s="497" t="s">
        <v>986</v>
      </c>
      <c r="I137" s="498" t="s">
        <v>37</v>
      </c>
      <c r="J137" s="497" t="s">
        <v>986</v>
      </c>
      <c r="K137" s="498" t="s">
        <v>37</v>
      </c>
      <c r="L137" s="497" t="s">
        <v>986</v>
      </c>
      <c r="M137" s="498" t="s">
        <v>37</v>
      </c>
      <c r="N137" s="497" t="s">
        <v>967</v>
      </c>
      <c r="O137" s="498" t="s">
        <v>1481</v>
      </c>
      <c r="P137" s="497" t="s">
        <v>986</v>
      </c>
      <c r="Q137" s="498" t="s">
        <v>37</v>
      </c>
      <c r="R137" s="497" t="s">
        <v>986</v>
      </c>
      <c r="S137" s="498" t="s">
        <v>37</v>
      </c>
      <c r="T137" s="497" t="s">
        <v>986</v>
      </c>
      <c r="U137" s="499" t="s">
        <v>37</v>
      </c>
      <c r="V137" s="497" t="s">
        <v>986</v>
      </c>
      <c r="W137" s="498" t="s">
        <v>37</v>
      </c>
      <c r="X137" s="497" t="s">
        <v>986</v>
      </c>
      <c r="Y137" s="498" t="s">
        <v>37</v>
      </c>
      <c r="Z137" s="497" t="s">
        <v>986</v>
      </c>
      <c r="AA137" s="498" t="s">
        <v>37</v>
      </c>
      <c r="AB137" s="497" t="s">
        <v>986</v>
      </c>
      <c r="AC137" s="498" t="s">
        <v>37</v>
      </c>
      <c r="AD137" s="497" t="s">
        <v>986</v>
      </c>
      <c r="AE137" s="498" t="s">
        <v>37</v>
      </c>
      <c r="AF137" s="497" t="s">
        <v>986</v>
      </c>
      <c r="AG137" s="499" t="s">
        <v>37</v>
      </c>
      <c r="AH137" s="497" t="s">
        <v>986</v>
      </c>
      <c r="AI137" s="498" t="s">
        <v>37</v>
      </c>
      <c r="AJ137" s="497" t="s">
        <v>986</v>
      </c>
      <c r="AK137" s="498" t="s">
        <v>37</v>
      </c>
      <c r="AL137" s="497" t="s">
        <v>986</v>
      </c>
      <c r="AM137" s="499" t="s">
        <v>37</v>
      </c>
      <c r="AN137" s="497" t="s">
        <v>986</v>
      </c>
      <c r="AO137" s="498" t="s">
        <v>37</v>
      </c>
      <c r="AP137" s="497" t="s">
        <v>986</v>
      </c>
      <c r="AQ137" s="498" t="s">
        <v>37</v>
      </c>
      <c r="AR137" s="497" t="s">
        <v>986</v>
      </c>
      <c r="AS137" s="499" t="s">
        <v>37</v>
      </c>
      <c r="AT137" s="497" t="s">
        <v>986</v>
      </c>
      <c r="AU137" s="499" t="s">
        <v>37</v>
      </c>
      <c r="AV137" s="497" t="s">
        <v>986</v>
      </c>
      <c r="AW137" s="498" t="s">
        <v>37</v>
      </c>
      <c r="AX137" s="497" t="s">
        <v>986</v>
      </c>
      <c r="AY137" s="498" t="s">
        <v>37</v>
      </c>
      <c r="AZ137" s="497" t="s">
        <v>963</v>
      </c>
      <c r="BA137" s="498" t="s">
        <v>574</v>
      </c>
      <c r="BB137" s="497" t="s">
        <v>963</v>
      </c>
      <c r="BC137" s="498" t="s">
        <v>723</v>
      </c>
      <c r="BD137" s="497" t="s">
        <v>986</v>
      </c>
      <c r="BE137" s="498" t="s">
        <v>37</v>
      </c>
      <c r="BF137" s="497" t="s">
        <v>986</v>
      </c>
      <c r="BG137" s="498" t="s">
        <v>37</v>
      </c>
      <c r="BH137" s="497" t="s">
        <v>986</v>
      </c>
      <c r="BI137" s="498" t="s">
        <v>37</v>
      </c>
      <c r="BJ137" s="497" t="s">
        <v>986</v>
      </c>
      <c r="BK137" s="498" t="s">
        <v>37</v>
      </c>
      <c r="BL137" s="497" t="s">
        <v>965</v>
      </c>
      <c r="BM137" s="498" t="s">
        <v>1635</v>
      </c>
      <c r="BN137" s="497" t="s">
        <v>986</v>
      </c>
      <c r="BO137" s="499" t="s">
        <v>37</v>
      </c>
      <c r="BP137" s="497" t="s">
        <v>964</v>
      </c>
      <c r="BQ137" s="498" t="s">
        <v>1559</v>
      </c>
      <c r="BR137" s="497" t="s">
        <v>964</v>
      </c>
      <c r="BS137" s="498" t="s">
        <v>2172</v>
      </c>
      <c r="BT137" s="497" t="s">
        <v>964</v>
      </c>
      <c r="BU137" s="498" t="s">
        <v>1707</v>
      </c>
      <c r="BV137" s="497" t="s">
        <v>986</v>
      </c>
      <c r="BW137" s="498" t="s">
        <v>37</v>
      </c>
      <c r="BX137" s="497" t="s">
        <v>963</v>
      </c>
      <c r="BY137" s="498" t="s">
        <v>289</v>
      </c>
      <c r="BZ137" s="497" t="s">
        <v>966</v>
      </c>
      <c r="CA137" s="498" t="s">
        <v>290</v>
      </c>
      <c r="CB137" s="497" t="s">
        <v>966</v>
      </c>
      <c r="CC137" s="498" t="s">
        <v>1654</v>
      </c>
      <c r="CD137" s="497" t="s">
        <v>964</v>
      </c>
      <c r="CE137" s="498" t="s">
        <v>882</v>
      </c>
      <c r="CF137" s="497" t="s">
        <v>986</v>
      </c>
      <c r="CG137" s="559" t="s">
        <v>3946</v>
      </c>
      <c r="CH137" s="497" t="s">
        <v>986</v>
      </c>
      <c r="CI137" s="499" t="s">
        <v>37</v>
      </c>
      <c r="CJ137" s="497" t="s">
        <v>986</v>
      </c>
      <c r="CK137" s="498" t="s">
        <v>37</v>
      </c>
      <c r="CL137" s="497" t="s">
        <v>986</v>
      </c>
      <c r="CM137" s="498" t="s">
        <v>2153</v>
      </c>
      <c r="CN137" s="497" t="s">
        <v>986</v>
      </c>
      <c r="CO137" s="498" t="s">
        <v>2153</v>
      </c>
      <c r="CP137" s="566" t="s">
        <v>3989</v>
      </c>
      <c r="CQ137" s="34"/>
      <c r="CR137" s="34"/>
    </row>
    <row r="138" spans="1:96" s="5" customFormat="1" ht="112.9" customHeight="1" thickBot="1" x14ac:dyDescent="0.25">
      <c r="A138" s="124">
        <f t="shared" si="2"/>
        <v>133</v>
      </c>
      <c r="B138" s="509" t="s">
        <v>357</v>
      </c>
      <c r="C138" s="509" t="s">
        <v>1605</v>
      </c>
      <c r="D138" s="510">
        <v>585</v>
      </c>
      <c r="E138" s="510" t="s">
        <v>2386</v>
      </c>
      <c r="F138" s="497" t="s">
        <v>964</v>
      </c>
      <c r="G138" s="498" t="s">
        <v>1178</v>
      </c>
      <c r="H138" s="497" t="s">
        <v>964</v>
      </c>
      <c r="I138" s="498" t="s">
        <v>1523</v>
      </c>
      <c r="J138" s="497" t="s">
        <v>986</v>
      </c>
      <c r="K138" s="498" t="s">
        <v>37</v>
      </c>
      <c r="L138" s="497" t="s">
        <v>986</v>
      </c>
      <c r="M138" s="498" t="s">
        <v>37</v>
      </c>
      <c r="N138" s="497" t="s">
        <v>986</v>
      </c>
      <c r="O138" s="498" t="s">
        <v>37</v>
      </c>
      <c r="P138" s="497" t="s">
        <v>963</v>
      </c>
      <c r="Q138" s="498" t="s">
        <v>1519</v>
      </c>
      <c r="R138" s="497" t="s">
        <v>986</v>
      </c>
      <c r="S138" s="498" t="s">
        <v>37</v>
      </c>
      <c r="T138" s="497" t="s">
        <v>986</v>
      </c>
      <c r="U138" s="499" t="s">
        <v>37</v>
      </c>
      <c r="V138" s="497" t="s">
        <v>986</v>
      </c>
      <c r="W138" s="498" t="s">
        <v>37</v>
      </c>
      <c r="X138" s="497" t="s">
        <v>961</v>
      </c>
      <c r="Y138" s="498" t="s">
        <v>492</v>
      </c>
      <c r="Z138" s="497" t="s">
        <v>965</v>
      </c>
      <c r="AA138" s="498" t="s">
        <v>493</v>
      </c>
      <c r="AB138" s="497" t="s">
        <v>958</v>
      </c>
      <c r="AC138" s="498" t="s">
        <v>1256</v>
      </c>
      <c r="AD138" s="497" t="s">
        <v>965</v>
      </c>
      <c r="AE138" s="498" t="s">
        <v>1431</v>
      </c>
      <c r="AF138" s="497" t="s">
        <v>986</v>
      </c>
      <c r="AG138" s="499" t="s">
        <v>37</v>
      </c>
      <c r="AH138" s="497" t="s">
        <v>965</v>
      </c>
      <c r="AI138" s="498" t="s">
        <v>1208</v>
      </c>
      <c r="AJ138" s="497" t="s">
        <v>963</v>
      </c>
      <c r="AK138" s="498" t="s">
        <v>1290</v>
      </c>
      <c r="AL138" s="497" t="s">
        <v>986</v>
      </c>
      <c r="AM138" s="499" t="s">
        <v>37</v>
      </c>
      <c r="AN138" s="497" t="s">
        <v>963</v>
      </c>
      <c r="AO138" s="498" t="s">
        <v>71</v>
      </c>
      <c r="AP138" s="497" t="s">
        <v>986</v>
      </c>
      <c r="AQ138" s="498" t="s">
        <v>37</v>
      </c>
      <c r="AR138" s="497" t="s">
        <v>965</v>
      </c>
      <c r="AS138" s="499" t="s">
        <v>1217</v>
      </c>
      <c r="AT138" s="497" t="s">
        <v>958</v>
      </c>
      <c r="AU138" s="499" t="s">
        <v>1620</v>
      </c>
      <c r="AV138" s="497" t="s">
        <v>965</v>
      </c>
      <c r="AW138" s="498" t="s">
        <v>42</v>
      </c>
      <c r="AX138" s="497" t="s">
        <v>986</v>
      </c>
      <c r="AY138" s="498" t="s">
        <v>37</v>
      </c>
      <c r="AZ138" s="497" t="s">
        <v>963</v>
      </c>
      <c r="BA138" s="498" t="s">
        <v>575</v>
      </c>
      <c r="BB138" s="497" t="s">
        <v>986</v>
      </c>
      <c r="BC138" s="498" t="s">
        <v>37</v>
      </c>
      <c r="BD138" s="497" t="s">
        <v>986</v>
      </c>
      <c r="BE138" s="498" t="s">
        <v>37</v>
      </c>
      <c r="BF138" s="497" t="s">
        <v>986</v>
      </c>
      <c r="BG138" s="498" t="s">
        <v>37</v>
      </c>
      <c r="BH138" s="497" t="s">
        <v>963</v>
      </c>
      <c r="BI138" s="498" t="s">
        <v>1537</v>
      </c>
      <c r="BJ138" s="497" t="s">
        <v>986</v>
      </c>
      <c r="BK138" s="498" t="s">
        <v>37</v>
      </c>
      <c r="BL138" s="497" t="s">
        <v>986</v>
      </c>
      <c r="BM138" s="498" t="s">
        <v>37</v>
      </c>
      <c r="BN138" s="497" t="s">
        <v>986</v>
      </c>
      <c r="BO138" s="499" t="s">
        <v>37</v>
      </c>
      <c r="BP138" s="497" t="s">
        <v>963</v>
      </c>
      <c r="BQ138" s="498" t="s">
        <v>1679</v>
      </c>
      <c r="BR138" s="497" t="s">
        <v>986</v>
      </c>
      <c r="BS138" s="498" t="s">
        <v>37</v>
      </c>
      <c r="BT138" s="497" t="s">
        <v>986</v>
      </c>
      <c r="BU138" s="498" t="s">
        <v>37</v>
      </c>
      <c r="BV138" s="497" t="s">
        <v>986</v>
      </c>
      <c r="BW138" s="498" t="s">
        <v>37</v>
      </c>
      <c r="BX138" s="497" t="s">
        <v>963</v>
      </c>
      <c r="BY138" s="498" t="s">
        <v>1591</v>
      </c>
      <c r="BZ138" s="497" t="s">
        <v>963</v>
      </c>
      <c r="CA138" s="498" t="s">
        <v>1592</v>
      </c>
      <c r="CB138" s="497" t="s">
        <v>986</v>
      </c>
      <c r="CC138" s="498" t="s">
        <v>37</v>
      </c>
      <c r="CD138" s="497" t="s">
        <v>965</v>
      </c>
      <c r="CE138" s="498" t="s">
        <v>995</v>
      </c>
      <c r="CF138" s="497" t="s">
        <v>986</v>
      </c>
      <c r="CG138" s="498" t="s">
        <v>37</v>
      </c>
      <c r="CH138" s="497" t="s">
        <v>986</v>
      </c>
      <c r="CI138" s="499" t="s">
        <v>37</v>
      </c>
      <c r="CJ138" s="497" t="s">
        <v>986</v>
      </c>
      <c r="CK138" s="498" t="s">
        <v>37</v>
      </c>
      <c r="CL138" s="497" t="s">
        <v>986</v>
      </c>
      <c r="CM138" s="498" t="s">
        <v>37</v>
      </c>
      <c r="CN138" s="497" t="s">
        <v>986</v>
      </c>
      <c r="CO138" s="498" t="s">
        <v>37</v>
      </c>
      <c r="CP138" s="517"/>
      <c r="CQ138" s="34"/>
      <c r="CR138" s="34"/>
    </row>
    <row r="139" spans="1:96" s="5" customFormat="1" ht="90.75" thickBot="1" x14ac:dyDescent="0.25">
      <c r="A139" s="124">
        <f t="shared" si="2"/>
        <v>134</v>
      </c>
      <c r="B139" s="509" t="s">
        <v>358</v>
      </c>
      <c r="C139" s="509" t="s">
        <v>1606</v>
      </c>
      <c r="D139" s="510">
        <v>587</v>
      </c>
      <c r="E139" s="510" t="s">
        <v>2388</v>
      </c>
      <c r="F139" s="497" t="s">
        <v>986</v>
      </c>
      <c r="G139" s="498" t="s">
        <v>37</v>
      </c>
      <c r="H139" s="497" t="s">
        <v>986</v>
      </c>
      <c r="I139" s="498" t="s">
        <v>37</v>
      </c>
      <c r="J139" s="497" t="s">
        <v>986</v>
      </c>
      <c r="K139" s="498" t="s">
        <v>37</v>
      </c>
      <c r="L139" s="497" t="s">
        <v>986</v>
      </c>
      <c r="M139" s="498" t="s">
        <v>37</v>
      </c>
      <c r="N139" s="497" t="s">
        <v>986</v>
      </c>
      <c r="O139" s="498" t="s">
        <v>37</v>
      </c>
      <c r="P139" s="497" t="s">
        <v>986</v>
      </c>
      <c r="Q139" s="498" t="s">
        <v>37</v>
      </c>
      <c r="R139" s="497" t="s">
        <v>986</v>
      </c>
      <c r="S139" s="498" t="s">
        <v>37</v>
      </c>
      <c r="T139" s="497" t="s">
        <v>986</v>
      </c>
      <c r="U139" s="499" t="s">
        <v>909</v>
      </c>
      <c r="V139" s="497" t="s">
        <v>986</v>
      </c>
      <c r="W139" s="498" t="s">
        <v>37</v>
      </c>
      <c r="X139" s="497" t="s">
        <v>986</v>
      </c>
      <c r="Y139" s="498" t="s">
        <v>37</v>
      </c>
      <c r="Z139" s="497" t="s">
        <v>963</v>
      </c>
      <c r="AA139" s="498" t="s">
        <v>1257</v>
      </c>
      <c r="AB139" s="497" t="s">
        <v>986</v>
      </c>
      <c r="AC139" s="498" t="s">
        <v>37</v>
      </c>
      <c r="AD139" s="497" t="s">
        <v>986</v>
      </c>
      <c r="AE139" s="498" t="s">
        <v>37</v>
      </c>
      <c r="AF139" s="497" t="s">
        <v>963</v>
      </c>
      <c r="AG139" s="499" t="s">
        <v>1231</v>
      </c>
      <c r="AH139" s="497" t="s">
        <v>963</v>
      </c>
      <c r="AI139" s="498" t="s">
        <v>1231</v>
      </c>
      <c r="AJ139" s="497" t="s">
        <v>986</v>
      </c>
      <c r="AK139" s="498" t="s">
        <v>37</v>
      </c>
      <c r="AL139" s="497" t="s">
        <v>986</v>
      </c>
      <c r="AM139" s="499" t="s">
        <v>37</v>
      </c>
      <c r="AN139" s="497" t="s">
        <v>986</v>
      </c>
      <c r="AO139" s="498" t="s">
        <v>37</v>
      </c>
      <c r="AP139" s="497" t="s">
        <v>986</v>
      </c>
      <c r="AQ139" s="498" t="s">
        <v>37</v>
      </c>
      <c r="AR139" s="497" t="s">
        <v>986</v>
      </c>
      <c r="AS139" s="499" t="s">
        <v>37</v>
      </c>
      <c r="AT139" s="497" t="s">
        <v>986</v>
      </c>
      <c r="AU139" s="499" t="s">
        <v>37</v>
      </c>
      <c r="AV139" s="497" t="s">
        <v>986</v>
      </c>
      <c r="AW139" s="498" t="s">
        <v>37</v>
      </c>
      <c r="AX139" s="497" t="s">
        <v>986</v>
      </c>
      <c r="AY139" s="498" t="s">
        <v>37</v>
      </c>
      <c r="AZ139" s="497" t="s">
        <v>965</v>
      </c>
      <c r="BA139" s="498" t="s">
        <v>576</v>
      </c>
      <c r="BB139" s="497" t="s">
        <v>965</v>
      </c>
      <c r="BC139" s="498" t="s">
        <v>1727</v>
      </c>
      <c r="BD139" s="497" t="s">
        <v>986</v>
      </c>
      <c r="BE139" s="498" t="s">
        <v>37</v>
      </c>
      <c r="BF139" s="497" t="s">
        <v>986</v>
      </c>
      <c r="BG139" s="498" t="s">
        <v>37</v>
      </c>
      <c r="BH139" s="497" t="s">
        <v>986</v>
      </c>
      <c r="BI139" s="498" t="s">
        <v>37</v>
      </c>
      <c r="BJ139" s="497" t="s">
        <v>986</v>
      </c>
      <c r="BK139" s="498" t="s">
        <v>37</v>
      </c>
      <c r="BL139" s="497" t="s">
        <v>986</v>
      </c>
      <c r="BM139" s="498" t="s">
        <v>37</v>
      </c>
      <c r="BN139" s="497" t="s">
        <v>986</v>
      </c>
      <c r="BO139" s="499" t="s">
        <v>37</v>
      </c>
      <c r="BP139" s="497" t="s">
        <v>986</v>
      </c>
      <c r="BQ139" s="498" t="s">
        <v>37</v>
      </c>
      <c r="BR139" s="497" t="s">
        <v>986</v>
      </c>
      <c r="BS139" s="498" t="s">
        <v>37</v>
      </c>
      <c r="BT139" s="497" t="s">
        <v>986</v>
      </c>
      <c r="BU139" s="498" t="s">
        <v>37</v>
      </c>
      <c r="BV139" s="497" t="s">
        <v>986</v>
      </c>
      <c r="BW139" s="498" t="s">
        <v>37</v>
      </c>
      <c r="BX139" s="497" t="s">
        <v>986</v>
      </c>
      <c r="BY139" s="498" t="s">
        <v>37</v>
      </c>
      <c r="BZ139" s="497" t="s">
        <v>986</v>
      </c>
      <c r="CA139" s="498" t="s">
        <v>37</v>
      </c>
      <c r="CB139" s="497" t="s">
        <v>963</v>
      </c>
      <c r="CC139" s="498" t="s">
        <v>27</v>
      </c>
      <c r="CD139" s="497" t="s">
        <v>986</v>
      </c>
      <c r="CE139" s="498" t="s">
        <v>37</v>
      </c>
      <c r="CF139" s="497" t="s">
        <v>986</v>
      </c>
      <c r="CG139" s="498" t="s">
        <v>37</v>
      </c>
      <c r="CH139" s="497" t="s">
        <v>986</v>
      </c>
      <c r="CI139" s="499" t="s">
        <v>37</v>
      </c>
      <c r="CJ139" s="497" t="s">
        <v>965</v>
      </c>
      <c r="CK139" s="498" t="s">
        <v>549</v>
      </c>
      <c r="CL139" s="497" t="s">
        <v>986</v>
      </c>
      <c r="CM139" s="498" t="s">
        <v>37</v>
      </c>
      <c r="CN139" s="497" t="s">
        <v>986</v>
      </c>
      <c r="CO139" s="498" t="s">
        <v>37</v>
      </c>
      <c r="CP139" s="517"/>
      <c r="CQ139" s="34"/>
      <c r="CR139" s="34"/>
    </row>
    <row r="140" spans="1:96" s="5" customFormat="1" ht="42.75" customHeight="1" thickBot="1" x14ac:dyDescent="0.25">
      <c r="A140" s="124">
        <f t="shared" si="2"/>
        <v>135</v>
      </c>
      <c r="B140" s="509" t="s">
        <v>3871</v>
      </c>
      <c r="C140" s="509" t="s">
        <v>3872</v>
      </c>
      <c r="D140" s="510" t="s">
        <v>3708</v>
      </c>
      <c r="E140" s="510" t="s">
        <v>2388</v>
      </c>
      <c r="F140" s="497" t="s">
        <v>986</v>
      </c>
      <c r="G140" s="498" t="s">
        <v>37</v>
      </c>
      <c r="H140" s="497" t="s">
        <v>986</v>
      </c>
      <c r="I140" s="498" t="s">
        <v>37</v>
      </c>
      <c r="J140" s="497" t="s">
        <v>986</v>
      </c>
      <c r="K140" s="498" t="s">
        <v>37</v>
      </c>
      <c r="L140" s="497" t="s">
        <v>986</v>
      </c>
      <c r="M140" s="498" t="s">
        <v>37</v>
      </c>
      <c r="N140" s="497" t="s">
        <v>986</v>
      </c>
      <c r="O140" s="498" t="s">
        <v>37</v>
      </c>
      <c r="P140" s="497" t="s">
        <v>986</v>
      </c>
      <c r="Q140" s="498" t="s">
        <v>37</v>
      </c>
      <c r="R140" s="497" t="s">
        <v>986</v>
      </c>
      <c r="S140" s="498" t="s">
        <v>37</v>
      </c>
      <c r="T140" s="497" t="s">
        <v>986</v>
      </c>
      <c r="U140" s="499" t="s">
        <v>37</v>
      </c>
      <c r="V140" s="497" t="s">
        <v>986</v>
      </c>
      <c r="W140" s="498" t="s">
        <v>37</v>
      </c>
      <c r="X140" s="497" t="s">
        <v>986</v>
      </c>
      <c r="Y140" s="498" t="s">
        <v>37</v>
      </c>
      <c r="Z140" s="497" t="s">
        <v>986</v>
      </c>
      <c r="AA140" s="498" t="s">
        <v>37</v>
      </c>
      <c r="AB140" s="497" t="s">
        <v>986</v>
      </c>
      <c r="AC140" s="498" t="s">
        <v>37</v>
      </c>
      <c r="AD140" s="497" t="s">
        <v>986</v>
      </c>
      <c r="AE140" s="498" t="s">
        <v>37</v>
      </c>
      <c r="AF140" s="497" t="s">
        <v>986</v>
      </c>
      <c r="AG140" s="499" t="s">
        <v>37</v>
      </c>
      <c r="AH140" s="497" t="s">
        <v>986</v>
      </c>
      <c r="AI140" s="498" t="s">
        <v>37</v>
      </c>
      <c r="AJ140" s="497" t="s">
        <v>986</v>
      </c>
      <c r="AK140" s="498" t="s">
        <v>37</v>
      </c>
      <c r="AL140" s="497" t="s">
        <v>986</v>
      </c>
      <c r="AM140" s="499" t="s">
        <v>37</v>
      </c>
      <c r="AN140" s="497" t="s">
        <v>986</v>
      </c>
      <c r="AO140" s="498" t="s">
        <v>37</v>
      </c>
      <c r="AP140" s="497" t="s">
        <v>986</v>
      </c>
      <c r="AQ140" s="498" t="s">
        <v>37</v>
      </c>
      <c r="AR140" s="497" t="s">
        <v>986</v>
      </c>
      <c r="AS140" s="499" t="s">
        <v>37</v>
      </c>
      <c r="AT140" s="497" t="s">
        <v>986</v>
      </c>
      <c r="AU140" s="499" t="s">
        <v>37</v>
      </c>
      <c r="AV140" s="497" t="s">
        <v>986</v>
      </c>
      <c r="AW140" s="498" t="s">
        <v>37</v>
      </c>
      <c r="AX140" s="497" t="s">
        <v>986</v>
      </c>
      <c r="AY140" s="498" t="s">
        <v>37</v>
      </c>
      <c r="AZ140" s="497" t="s">
        <v>986</v>
      </c>
      <c r="BA140" s="498" t="s">
        <v>37</v>
      </c>
      <c r="BB140" s="497" t="s">
        <v>986</v>
      </c>
      <c r="BC140" s="498" t="s">
        <v>37</v>
      </c>
      <c r="BD140" s="497" t="s">
        <v>986</v>
      </c>
      <c r="BE140" s="498" t="s">
        <v>37</v>
      </c>
      <c r="BF140" s="497" t="s">
        <v>986</v>
      </c>
      <c r="BG140" s="498" t="s">
        <v>37</v>
      </c>
      <c r="BH140" s="497" t="s">
        <v>986</v>
      </c>
      <c r="BI140" s="498" t="s">
        <v>37</v>
      </c>
      <c r="BJ140" s="497" t="s">
        <v>986</v>
      </c>
      <c r="BK140" s="498" t="s">
        <v>37</v>
      </c>
      <c r="BL140" s="497" t="s">
        <v>986</v>
      </c>
      <c r="BM140" s="498" t="s">
        <v>37</v>
      </c>
      <c r="BN140" s="497" t="s">
        <v>986</v>
      </c>
      <c r="BO140" s="498" t="s">
        <v>37</v>
      </c>
      <c r="BP140" s="497" t="s">
        <v>986</v>
      </c>
      <c r="BQ140" s="498" t="s">
        <v>37</v>
      </c>
      <c r="BR140" s="497" t="s">
        <v>986</v>
      </c>
      <c r="BS140" s="498" t="s">
        <v>37</v>
      </c>
      <c r="BT140" s="497" t="s">
        <v>986</v>
      </c>
      <c r="BU140" s="498" t="s">
        <v>37</v>
      </c>
      <c r="BV140" s="497" t="s">
        <v>986</v>
      </c>
      <c r="BW140" s="498" t="s">
        <v>37</v>
      </c>
      <c r="BX140" s="497" t="s">
        <v>986</v>
      </c>
      <c r="BY140" s="498" t="s">
        <v>37</v>
      </c>
      <c r="BZ140" s="497" t="s">
        <v>964</v>
      </c>
      <c r="CA140" s="498" t="s">
        <v>3848</v>
      </c>
      <c r="CB140" s="497" t="s">
        <v>986</v>
      </c>
      <c r="CC140" s="498" t="s">
        <v>37</v>
      </c>
      <c r="CD140" s="497" t="s">
        <v>986</v>
      </c>
      <c r="CE140" s="498" t="s">
        <v>37</v>
      </c>
      <c r="CF140" s="497" t="s">
        <v>986</v>
      </c>
      <c r="CG140" s="498" t="s">
        <v>37</v>
      </c>
      <c r="CH140" s="497" t="s">
        <v>986</v>
      </c>
      <c r="CI140" s="499" t="s">
        <v>37</v>
      </c>
      <c r="CJ140" s="497" t="s">
        <v>986</v>
      </c>
      <c r="CK140" s="498" t="s">
        <v>37</v>
      </c>
      <c r="CL140" s="497" t="s">
        <v>986</v>
      </c>
      <c r="CM140" s="498" t="s">
        <v>37</v>
      </c>
      <c r="CN140" s="497" t="s">
        <v>986</v>
      </c>
      <c r="CO140" s="498" t="s">
        <v>37</v>
      </c>
      <c r="CP140" s="517"/>
      <c r="CQ140" s="34"/>
      <c r="CR140" s="34"/>
    </row>
    <row r="141" spans="1:96" s="34" customFormat="1" ht="79.5" thickBot="1" x14ac:dyDescent="0.25">
      <c r="A141" s="124">
        <f t="shared" si="2"/>
        <v>136</v>
      </c>
      <c r="B141" s="509" t="s">
        <v>359</v>
      </c>
      <c r="C141" s="509" t="s">
        <v>1601</v>
      </c>
      <c r="D141" s="510">
        <v>606</v>
      </c>
      <c r="E141" s="510" t="s">
        <v>2383</v>
      </c>
      <c r="F141" s="497" t="s">
        <v>964</v>
      </c>
      <c r="G141" s="498" t="s">
        <v>1104</v>
      </c>
      <c r="H141" s="497" t="s">
        <v>958</v>
      </c>
      <c r="I141" s="498" t="s">
        <v>1105</v>
      </c>
      <c r="J141" s="497" t="s">
        <v>964</v>
      </c>
      <c r="K141" s="498" t="s">
        <v>1104</v>
      </c>
      <c r="L141" s="497" t="s">
        <v>965</v>
      </c>
      <c r="M141" s="498" t="s">
        <v>206</v>
      </c>
      <c r="N141" s="497" t="s">
        <v>965</v>
      </c>
      <c r="O141" s="498" t="s">
        <v>298</v>
      </c>
      <c r="P141" s="497" t="s">
        <v>961</v>
      </c>
      <c r="Q141" s="498" t="s">
        <v>794</v>
      </c>
      <c r="R141" s="497" t="s">
        <v>963</v>
      </c>
      <c r="S141" s="498" t="s">
        <v>914</v>
      </c>
      <c r="T141" s="497" t="s">
        <v>961</v>
      </c>
      <c r="U141" s="499" t="s">
        <v>1747</v>
      </c>
      <c r="V141" s="497" t="s">
        <v>963</v>
      </c>
      <c r="W141" s="498" t="s">
        <v>1748</v>
      </c>
      <c r="X141" s="497" t="s">
        <v>964</v>
      </c>
      <c r="Y141" s="498" t="s">
        <v>1258</v>
      </c>
      <c r="Z141" s="497" t="s">
        <v>964</v>
      </c>
      <c r="AA141" s="498" t="s">
        <v>1259</v>
      </c>
      <c r="AB141" s="497" t="s">
        <v>964</v>
      </c>
      <c r="AC141" s="498" t="s">
        <v>521</v>
      </c>
      <c r="AD141" s="497" t="s">
        <v>986</v>
      </c>
      <c r="AE141" s="498" t="s">
        <v>37</v>
      </c>
      <c r="AF141" s="497" t="s">
        <v>963</v>
      </c>
      <c r="AG141" s="499" t="s">
        <v>1209</v>
      </c>
      <c r="AH141" s="497" t="s">
        <v>965</v>
      </c>
      <c r="AI141" s="498" t="s">
        <v>1209</v>
      </c>
      <c r="AJ141" s="497" t="s">
        <v>963</v>
      </c>
      <c r="AK141" s="498" t="s">
        <v>602</v>
      </c>
      <c r="AL141" s="497" t="s">
        <v>963</v>
      </c>
      <c r="AM141" s="499" t="s">
        <v>1219</v>
      </c>
      <c r="AN141" s="497" t="s">
        <v>961</v>
      </c>
      <c r="AO141" s="498" t="s">
        <v>1207</v>
      </c>
      <c r="AP141" s="497" t="s">
        <v>965</v>
      </c>
      <c r="AQ141" s="498" t="s">
        <v>1670</v>
      </c>
      <c r="AR141" s="497" t="s">
        <v>961</v>
      </c>
      <c r="AS141" s="499" t="s">
        <v>541</v>
      </c>
      <c r="AT141" s="497" t="s">
        <v>963</v>
      </c>
      <c r="AU141" s="499" t="s">
        <v>793</v>
      </c>
      <c r="AV141" s="497" t="s">
        <v>986</v>
      </c>
      <c r="AW141" s="498" t="s">
        <v>2202</v>
      </c>
      <c r="AX141" s="497" t="s">
        <v>965</v>
      </c>
      <c r="AY141" s="498" t="s">
        <v>1092</v>
      </c>
      <c r="AZ141" s="497" t="s">
        <v>963</v>
      </c>
      <c r="BA141" s="498" t="s">
        <v>1243</v>
      </c>
      <c r="BB141" s="497" t="s">
        <v>986</v>
      </c>
      <c r="BC141" s="498" t="s">
        <v>37</v>
      </c>
      <c r="BD141" s="497" t="s">
        <v>986</v>
      </c>
      <c r="BE141" s="498" t="s">
        <v>2116</v>
      </c>
      <c r="BF141" s="497" t="s">
        <v>965</v>
      </c>
      <c r="BG141" s="498" t="s">
        <v>2145</v>
      </c>
      <c r="BH141" s="497" t="s">
        <v>986</v>
      </c>
      <c r="BI141" s="498" t="s">
        <v>37</v>
      </c>
      <c r="BJ141" s="497" t="s">
        <v>986</v>
      </c>
      <c r="BK141" s="498" t="s">
        <v>37</v>
      </c>
      <c r="BL141" s="497" t="s">
        <v>986</v>
      </c>
      <c r="BM141" s="498" t="s">
        <v>37</v>
      </c>
      <c r="BN141" s="497" t="s">
        <v>986</v>
      </c>
      <c r="BO141" s="499" t="s">
        <v>37</v>
      </c>
      <c r="BP141" s="497" t="s">
        <v>963</v>
      </c>
      <c r="BQ141" s="498" t="s">
        <v>870</v>
      </c>
      <c r="BR141" s="497" t="s">
        <v>986</v>
      </c>
      <c r="BS141" s="498" t="s">
        <v>37</v>
      </c>
      <c r="BT141" s="497" t="s">
        <v>986</v>
      </c>
      <c r="BU141" s="498" t="s">
        <v>37</v>
      </c>
      <c r="BV141" s="497" t="s">
        <v>986</v>
      </c>
      <c r="BW141" s="498" t="s">
        <v>37</v>
      </c>
      <c r="BX141" s="497" t="s">
        <v>986</v>
      </c>
      <c r="BY141" s="498" t="s">
        <v>28</v>
      </c>
      <c r="BZ141" s="497" t="s">
        <v>986</v>
      </c>
      <c r="CA141" s="498" t="s">
        <v>29</v>
      </c>
      <c r="CB141" s="497" t="s">
        <v>986</v>
      </c>
      <c r="CC141" s="498" t="s">
        <v>1746</v>
      </c>
      <c r="CD141" s="497" t="s">
        <v>986</v>
      </c>
      <c r="CE141" s="498" t="s">
        <v>37</v>
      </c>
      <c r="CF141" s="497" t="s">
        <v>964</v>
      </c>
      <c r="CG141" s="498" t="s">
        <v>1352</v>
      </c>
      <c r="CH141" s="497" t="s">
        <v>986</v>
      </c>
      <c r="CI141" s="499" t="s">
        <v>37</v>
      </c>
      <c r="CJ141" s="497" t="s">
        <v>986</v>
      </c>
      <c r="CK141" s="498" t="s">
        <v>37</v>
      </c>
      <c r="CL141" s="497" t="s">
        <v>986</v>
      </c>
      <c r="CM141" s="498" t="s">
        <v>37</v>
      </c>
      <c r="CN141" s="497" t="s">
        <v>986</v>
      </c>
      <c r="CO141" s="498" t="s">
        <v>37</v>
      </c>
      <c r="CP141" s="517"/>
    </row>
    <row r="142" spans="1:96" s="34" customFormat="1" ht="135.75" thickBot="1" x14ac:dyDescent="0.25">
      <c r="A142" s="124">
        <f t="shared" si="2"/>
        <v>137</v>
      </c>
      <c r="B142" s="509" t="s">
        <v>360</v>
      </c>
      <c r="C142" s="509" t="s">
        <v>1601</v>
      </c>
      <c r="D142" s="510">
        <v>607</v>
      </c>
      <c r="E142" s="510" t="s">
        <v>2383</v>
      </c>
      <c r="F142" s="497" t="s">
        <v>965</v>
      </c>
      <c r="G142" s="498" t="s">
        <v>3695</v>
      </c>
      <c r="H142" s="497" t="s">
        <v>958</v>
      </c>
      <c r="I142" s="498" t="s">
        <v>1105</v>
      </c>
      <c r="J142" s="497" t="s">
        <v>963</v>
      </c>
      <c r="K142" s="498" t="s">
        <v>925</v>
      </c>
      <c r="L142" s="497" t="s">
        <v>986</v>
      </c>
      <c r="M142" s="498" t="s">
        <v>3696</v>
      </c>
      <c r="N142" s="497" t="s">
        <v>986</v>
      </c>
      <c r="O142" s="498" t="s">
        <v>37</v>
      </c>
      <c r="P142" s="497" t="s">
        <v>961</v>
      </c>
      <c r="Q142" s="498" t="s">
        <v>1749</v>
      </c>
      <c r="R142" s="497" t="s">
        <v>965</v>
      </c>
      <c r="S142" s="498" t="s">
        <v>914</v>
      </c>
      <c r="T142" s="497" t="s">
        <v>958</v>
      </c>
      <c r="U142" s="499" t="s">
        <v>1749</v>
      </c>
      <c r="V142" s="497" t="s">
        <v>963</v>
      </c>
      <c r="W142" s="498" t="s">
        <v>1750</v>
      </c>
      <c r="X142" s="497" t="s">
        <v>986</v>
      </c>
      <c r="Y142" s="498" t="s">
        <v>37</v>
      </c>
      <c r="Z142" s="497" t="s">
        <v>963</v>
      </c>
      <c r="AA142" s="498" t="s">
        <v>522</v>
      </c>
      <c r="AB142" s="497" t="s">
        <v>963</v>
      </c>
      <c r="AC142" s="498" t="s">
        <v>521</v>
      </c>
      <c r="AD142" s="497" t="s">
        <v>986</v>
      </c>
      <c r="AE142" s="498" t="s">
        <v>37</v>
      </c>
      <c r="AF142" s="497" t="s">
        <v>963</v>
      </c>
      <c r="AG142" s="499" t="s">
        <v>1209</v>
      </c>
      <c r="AH142" s="497" t="s">
        <v>963</v>
      </c>
      <c r="AI142" s="498" t="s">
        <v>1209</v>
      </c>
      <c r="AJ142" s="497" t="s">
        <v>986</v>
      </c>
      <c r="AK142" s="498" t="s">
        <v>222</v>
      </c>
      <c r="AL142" s="497" t="s">
        <v>965</v>
      </c>
      <c r="AM142" s="499" t="s">
        <v>1219</v>
      </c>
      <c r="AN142" s="497" t="s">
        <v>961</v>
      </c>
      <c r="AO142" s="498" t="s">
        <v>1638</v>
      </c>
      <c r="AP142" s="497" t="s">
        <v>965</v>
      </c>
      <c r="AQ142" s="498" t="s">
        <v>373</v>
      </c>
      <c r="AR142" s="497" t="s">
        <v>961</v>
      </c>
      <c r="AS142" s="499" t="s">
        <v>999</v>
      </c>
      <c r="AT142" s="497" t="s">
        <v>965</v>
      </c>
      <c r="AU142" s="499" t="s">
        <v>1084</v>
      </c>
      <c r="AV142" s="497" t="s">
        <v>961</v>
      </c>
      <c r="AW142" s="498" t="s">
        <v>1181</v>
      </c>
      <c r="AX142" s="497" t="s">
        <v>965</v>
      </c>
      <c r="AY142" s="498" t="s">
        <v>1084</v>
      </c>
      <c r="AZ142" s="497" t="s">
        <v>965</v>
      </c>
      <c r="BA142" s="498" t="s">
        <v>1286</v>
      </c>
      <c r="BB142" s="497" t="s">
        <v>986</v>
      </c>
      <c r="BC142" s="498" t="s">
        <v>724</v>
      </c>
      <c r="BD142" s="497" t="s">
        <v>961</v>
      </c>
      <c r="BE142" s="498" t="s">
        <v>2117</v>
      </c>
      <c r="BF142" s="497" t="s">
        <v>965</v>
      </c>
      <c r="BG142" s="498" t="s">
        <v>1084</v>
      </c>
      <c r="BH142" s="497" t="s">
        <v>986</v>
      </c>
      <c r="BI142" s="498" t="s">
        <v>37</v>
      </c>
      <c r="BJ142" s="497" t="s">
        <v>986</v>
      </c>
      <c r="BK142" s="498" t="s">
        <v>37</v>
      </c>
      <c r="BL142" s="497" t="s">
        <v>986</v>
      </c>
      <c r="BM142" s="498" t="s">
        <v>37</v>
      </c>
      <c r="BN142" s="497" t="s">
        <v>986</v>
      </c>
      <c r="BO142" s="499" t="s">
        <v>37</v>
      </c>
      <c r="BP142" s="497" t="s">
        <v>963</v>
      </c>
      <c r="BQ142" s="498" t="s">
        <v>870</v>
      </c>
      <c r="BR142" s="497" t="s">
        <v>986</v>
      </c>
      <c r="BS142" s="498" t="s">
        <v>37</v>
      </c>
      <c r="BT142" s="497" t="s">
        <v>986</v>
      </c>
      <c r="BU142" s="498" t="s">
        <v>37</v>
      </c>
      <c r="BV142" s="497" t="s">
        <v>986</v>
      </c>
      <c r="BW142" s="498" t="s">
        <v>37</v>
      </c>
      <c r="BX142" s="497" t="s">
        <v>986</v>
      </c>
      <c r="BY142" s="498" t="s">
        <v>30</v>
      </c>
      <c r="BZ142" s="497" t="s">
        <v>986</v>
      </c>
      <c r="CA142" s="498" t="s">
        <v>29</v>
      </c>
      <c r="CB142" s="497" t="s">
        <v>986</v>
      </c>
      <c r="CC142" s="498" t="s">
        <v>1754</v>
      </c>
      <c r="CD142" s="497" t="s">
        <v>986</v>
      </c>
      <c r="CE142" s="498" t="s">
        <v>37</v>
      </c>
      <c r="CF142" s="497" t="s">
        <v>964</v>
      </c>
      <c r="CG142" s="498" t="s">
        <v>1352</v>
      </c>
      <c r="CH142" s="497" t="s">
        <v>986</v>
      </c>
      <c r="CI142" s="499" t="s">
        <v>37</v>
      </c>
      <c r="CJ142" s="497" t="s">
        <v>986</v>
      </c>
      <c r="CK142" s="498" t="s">
        <v>37</v>
      </c>
      <c r="CL142" s="497" t="s">
        <v>986</v>
      </c>
      <c r="CM142" s="498" t="s">
        <v>37</v>
      </c>
      <c r="CN142" s="497" t="s">
        <v>986</v>
      </c>
      <c r="CO142" s="498" t="s">
        <v>37</v>
      </c>
      <c r="CP142" s="517"/>
    </row>
    <row r="143" spans="1:96" s="5" customFormat="1" ht="79.5" thickBot="1" x14ac:dyDescent="0.25">
      <c r="A143" s="124">
        <f t="shared" si="2"/>
        <v>138</v>
      </c>
      <c r="B143" s="509" t="s">
        <v>361</v>
      </c>
      <c r="C143" s="509" t="s">
        <v>1601</v>
      </c>
      <c r="D143" s="510">
        <v>608</v>
      </c>
      <c r="E143" s="510" t="s">
        <v>2383</v>
      </c>
      <c r="F143" s="497" t="s">
        <v>986</v>
      </c>
      <c r="G143" s="498" t="s">
        <v>3695</v>
      </c>
      <c r="H143" s="497" t="s">
        <v>958</v>
      </c>
      <c r="I143" s="498" t="s">
        <v>1105</v>
      </c>
      <c r="J143" s="497" t="s">
        <v>963</v>
      </c>
      <c r="K143" s="498" t="s">
        <v>925</v>
      </c>
      <c r="L143" s="497" t="s">
        <v>986</v>
      </c>
      <c r="M143" s="498" t="s">
        <v>3696</v>
      </c>
      <c r="N143" s="497" t="s">
        <v>986</v>
      </c>
      <c r="O143" s="498" t="s">
        <v>37</v>
      </c>
      <c r="P143" s="497" t="s">
        <v>986</v>
      </c>
      <c r="Q143" s="498" t="s">
        <v>37</v>
      </c>
      <c r="R143" s="497" t="s">
        <v>986</v>
      </c>
      <c r="S143" s="498" t="s">
        <v>37</v>
      </c>
      <c r="T143" s="497" t="s">
        <v>986</v>
      </c>
      <c r="U143" s="499" t="s">
        <v>37</v>
      </c>
      <c r="V143" s="497" t="s">
        <v>986</v>
      </c>
      <c r="W143" s="498" t="s">
        <v>37</v>
      </c>
      <c r="X143" s="497" t="s">
        <v>986</v>
      </c>
      <c r="Y143" s="498" t="s">
        <v>37</v>
      </c>
      <c r="Z143" s="497" t="s">
        <v>963</v>
      </c>
      <c r="AA143" s="498" t="s">
        <v>522</v>
      </c>
      <c r="AB143" s="497" t="s">
        <v>963</v>
      </c>
      <c r="AC143" s="498" t="s">
        <v>521</v>
      </c>
      <c r="AD143" s="497" t="s">
        <v>986</v>
      </c>
      <c r="AE143" s="498" t="s">
        <v>37</v>
      </c>
      <c r="AF143" s="497" t="s">
        <v>963</v>
      </c>
      <c r="AG143" s="499" t="s">
        <v>1209</v>
      </c>
      <c r="AH143" s="497" t="s">
        <v>963</v>
      </c>
      <c r="AI143" s="498" t="s">
        <v>1209</v>
      </c>
      <c r="AJ143" s="497" t="s">
        <v>986</v>
      </c>
      <c r="AK143" s="498" t="s">
        <v>37</v>
      </c>
      <c r="AL143" s="497" t="s">
        <v>986</v>
      </c>
      <c r="AM143" s="499" t="s">
        <v>37</v>
      </c>
      <c r="AN143" s="497" t="s">
        <v>961</v>
      </c>
      <c r="AO143" s="498" t="s">
        <v>1638</v>
      </c>
      <c r="AP143" s="497" t="s">
        <v>965</v>
      </c>
      <c r="AQ143" s="498" t="s">
        <v>524</v>
      </c>
      <c r="AR143" s="497" t="s">
        <v>961</v>
      </c>
      <c r="AS143" s="499" t="s">
        <v>1085</v>
      </c>
      <c r="AT143" s="497" t="s">
        <v>963</v>
      </c>
      <c r="AU143" s="499" t="s">
        <v>1085</v>
      </c>
      <c r="AV143" s="497" t="s">
        <v>961</v>
      </c>
      <c r="AW143" s="498" t="s">
        <v>1181</v>
      </c>
      <c r="AX143" s="497" t="s">
        <v>963</v>
      </c>
      <c r="AY143" s="498" t="s">
        <v>1085</v>
      </c>
      <c r="AZ143" s="497" t="s">
        <v>958</v>
      </c>
      <c r="BA143" s="498" t="s">
        <v>1286</v>
      </c>
      <c r="BB143" s="497" t="s">
        <v>986</v>
      </c>
      <c r="BC143" s="498" t="s">
        <v>724</v>
      </c>
      <c r="BD143" s="497" t="s">
        <v>961</v>
      </c>
      <c r="BE143" s="498" t="s">
        <v>2117</v>
      </c>
      <c r="BF143" s="497" t="s">
        <v>963</v>
      </c>
      <c r="BG143" s="498" t="s">
        <v>1085</v>
      </c>
      <c r="BH143" s="497" t="s">
        <v>986</v>
      </c>
      <c r="BI143" s="498" t="s">
        <v>37</v>
      </c>
      <c r="BJ143" s="497" t="s">
        <v>986</v>
      </c>
      <c r="BK143" s="498" t="s">
        <v>37</v>
      </c>
      <c r="BL143" s="497" t="s">
        <v>986</v>
      </c>
      <c r="BM143" s="498" t="s">
        <v>37</v>
      </c>
      <c r="BN143" s="497" t="s">
        <v>986</v>
      </c>
      <c r="BO143" s="499" t="s">
        <v>37</v>
      </c>
      <c r="BP143" s="497" t="s">
        <v>963</v>
      </c>
      <c r="BQ143" s="498" t="s">
        <v>870</v>
      </c>
      <c r="BR143" s="497" t="s">
        <v>986</v>
      </c>
      <c r="BS143" s="498" t="s">
        <v>37</v>
      </c>
      <c r="BT143" s="497" t="s">
        <v>986</v>
      </c>
      <c r="BU143" s="498" t="s">
        <v>37</v>
      </c>
      <c r="BV143" s="497" t="s">
        <v>986</v>
      </c>
      <c r="BW143" s="498" t="s">
        <v>37</v>
      </c>
      <c r="BX143" s="497" t="s">
        <v>986</v>
      </c>
      <c r="BY143" s="498" t="s">
        <v>30</v>
      </c>
      <c r="BZ143" s="497" t="s">
        <v>986</v>
      </c>
      <c r="CA143" s="498" t="s">
        <v>29</v>
      </c>
      <c r="CB143" s="497" t="s">
        <v>986</v>
      </c>
      <c r="CC143" s="498" t="s">
        <v>1754</v>
      </c>
      <c r="CD143" s="497" t="s">
        <v>986</v>
      </c>
      <c r="CE143" s="498" t="s">
        <v>37</v>
      </c>
      <c r="CF143" s="497" t="s">
        <v>964</v>
      </c>
      <c r="CG143" s="498" t="s">
        <v>1352</v>
      </c>
      <c r="CH143" s="497" t="s">
        <v>986</v>
      </c>
      <c r="CI143" s="499" t="s">
        <v>37</v>
      </c>
      <c r="CJ143" s="497" t="s">
        <v>986</v>
      </c>
      <c r="CK143" s="498" t="s">
        <v>37</v>
      </c>
      <c r="CL143" s="497" t="s">
        <v>986</v>
      </c>
      <c r="CM143" s="498" t="s">
        <v>37</v>
      </c>
      <c r="CN143" s="497" t="s">
        <v>986</v>
      </c>
      <c r="CO143" s="498" t="s">
        <v>37</v>
      </c>
      <c r="CP143" s="517"/>
      <c r="CQ143" s="34"/>
      <c r="CR143" s="34"/>
    </row>
    <row r="144" spans="1:96" s="5" customFormat="1" ht="79.5" thickBot="1" x14ac:dyDescent="0.25">
      <c r="A144" s="124">
        <f t="shared" si="2"/>
        <v>139</v>
      </c>
      <c r="B144" s="509" t="s">
        <v>362</v>
      </c>
      <c r="C144" s="509" t="s">
        <v>1605</v>
      </c>
      <c r="D144" s="510">
        <v>609</v>
      </c>
      <c r="E144" s="510" t="s">
        <v>2386</v>
      </c>
      <c r="F144" s="497" t="s">
        <v>986</v>
      </c>
      <c r="G144" s="498" t="s">
        <v>37</v>
      </c>
      <c r="H144" s="497" t="s">
        <v>966</v>
      </c>
      <c r="I144" s="498" t="s">
        <v>1354</v>
      </c>
      <c r="J144" s="497" t="s">
        <v>986</v>
      </c>
      <c r="K144" s="498" t="s">
        <v>37</v>
      </c>
      <c r="L144" s="497" t="s">
        <v>986</v>
      </c>
      <c r="M144" s="498" t="s">
        <v>37</v>
      </c>
      <c r="N144" s="497" t="s">
        <v>986</v>
      </c>
      <c r="O144" s="498" t="s">
        <v>37</v>
      </c>
      <c r="P144" s="497" t="s">
        <v>986</v>
      </c>
      <c r="Q144" s="498" t="s">
        <v>37</v>
      </c>
      <c r="R144" s="497" t="s">
        <v>986</v>
      </c>
      <c r="S144" s="498" t="s">
        <v>37</v>
      </c>
      <c r="T144" s="497" t="s">
        <v>986</v>
      </c>
      <c r="U144" s="499" t="s">
        <v>37</v>
      </c>
      <c r="V144" s="497" t="s">
        <v>986</v>
      </c>
      <c r="W144" s="498" t="s">
        <v>37</v>
      </c>
      <c r="X144" s="497" t="s">
        <v>986</v>
      </c>
      <c r="Y144" s="498" t="s">
        <v>37</v>
      </c>
      <c r="Z144" s="497" t="s">
        <v>986</v>
      </c>
      <c r="AA144" s="498" t="s">
        <v>37</v>
      </c>
      <c r="AB144" s="497" t="s">
        <v>986</v>
      </c>
      <c r="AC144" s="498" t="s">
        <v>37</v>
      </c>
      <c r="AD144" s="497" t="s">
        <v>986</v>
      </c>
      <c r="AE144" s="498" t="s">
        <v>37</v>
      </c>
      <c r="AF144" s="497" t="s">
        <v>986</v>
      </c>
      <c r="AG144" s="499" t="s">
        <v>37</v>
      </c>
      <c r="AH144" s="497" t="s">
        <v>986</v>
      </c>
      <c r="AI144" s="498" t="s">
        <v>37</v>
      </c>
      <c r="AJ144" s="497" t="s">
        <v>986</v>
      </c>
      <c r="AK144" s="498" t="s">
        <v>37</v>
      </c>
      <c r="AL144" s="497" t="s">
        <v>986</v>
      </c>
      <c r="AM144" s="499" t="s">
        <v>37</v>
      </c>
      <c r="AN144" s="497" t="s">
        <v>986</v>
      </c>
      <c r="AO144" s="498" t="s">
        <v>37</v>
      </c>
      <c r="AP144" s="497" t="s">
        <v>986</v>
      </c>
      <c r="AQ144" s="498" t="s">
        <v>37</v>
      </c>
      <c r="AR144" s="497" t="s">
        <v>986</v>
      </c>
      <c r="AS144" s="499" t="s">
        <v>37</v>
      </c>
      <c r="AT144" s="497" t="s">
        <v>986</v>
      </c>
      <c r="AU144" s="499" t="s">
        <v>37</v>
      </c>
      <c r="AV144" s="497" t="s">
        <v>986</v>
      </c>
      <c r="AW144" s="498" t="s">
        <v>37</v>
      </c>
      <c r="AX144" s="497" t="s">
        <v>958</v>
      </c>
      <c r="AY144" s="498" t="s">
        <v>1735</v>
      </c>
      <c r="AZ144" s="497" t="s">
        <v>965</v>
      </c>
      <c r="BA144" s="498" t="s">
        <v>756</v>
      </c>
      <c r="BB144" s="497" t="s">
        <v>986</v>
      </c>
      <c r="BC144" s="498" t="s">
        <v>37</v>
      </c>
      <c r="BD144" s="497" t="s">
        <v>986</v>
      </c>
      <c r="BE144" s="498" t="s">
        <v>37</v>
      </c>
      <c r="BF144" s="497" t="s">
        <v>986</v>
      </c>
      <c r="BG144" s="498" t="s">
        <v>37</v>
      </c>
      <c r="BH144" s="497" t="s">
        <v>963</v>
      </c>
      <c r="BI144" s="498" t="s">
        <v>1131</v>
      </c>
      <c r="BJ144" s="497" t="s">
        <v>986</v>
      </c>
      <c r="BK144" s="498" t="s">
        <v>37</v>
      </c>
      <c r="BL144" s="497" t="s">
        <v>958</v>
      </c>
      <c r="BM144" s="498" t="s">
        <v>1716</v>
      </c>
      <c r="BN144" s="497" t="s">
        <v>986</v>
      </c>
      <c r="BO144" s="499" t="s">
        <v>37</v>
      </c>
      <c r="BP144" s="497" t="s">
        <v>986</v>
      </c>
      <c r="BQ144" s="498" t="s">
        <v>37</v>
      </c>
      <c r="BR144" s="497" t="s">
        <v>986</v>
      </c>
      <c r="BS144" s="498" t="s">
        <v>37</v>
      </c>
      <c r="BT144" s="497" t="s">
        <v>986</v>
      </c>
      <c r="BU144" s="498" t="s">
        <v>37</v>
      </c>
      <c r="BV144" s="497" t="s">
        <v>986</v>
      </c>
      <c r="BW144" s="498" t="s">
        <v>37</v>
      </c>
      <c r="BX144" s="497" t="s">
        <v>986</v>
      </c>
      <c r="BY144" s="498" t="s">
        <v>37</v>
      </c>
      <c r="BZ144" s="497" t="s">
        <v>986</v>
      </c>
      <c r="CA144" s="498" t="s">
        <v>37</v>
      </c>
      <c r="CB144" s="497" t="s">
        <v>986</v>
      </c>
      <c r="CC144" s="498" t="s">
        <v>37</v>
      </c>
      <c r="CD144" s="497" t="s">
        <v>986</v>
      </c>
      <c r="CE144" s="498" t="s">
        <v>37</v>
      </c>
      <c r="CF144" s="497" t="s">
        <v>986</v>
      </c>
      <c r="CG144" s="498" t="s">
        <v>37</v>
      </c>
      <c r="CH144" s="497" t="s">
        <v>986</v>
      </c>
      <c r="CI144" s="499" t="s">
        <v>37</v>
      </c>
      <c r="CJ144" s="497" t="s">
        <v>986</v>
      </c>
      <c r="CK144" s="498" t="s">
        <v>37</v>
      </c>
      <c r="CL144" s="497" t="s">
        <v>959</v>
      </c>
      <c r="CM144" s="498" t="s">
        <v>1794</v>
      </c>
      <c r="CN144" s="497" t="s">
        <v>959</v>
      </c>
      <c r="CO144" s="498" t="s">
        <v>1794</v>
      </c>
      <c r="CP144" s="517"/>
      <c r="CQ144" s="34"/>
      <c r="CR144" s="34"/>
    </row>
    <row r="145" spans="1:96" s="34" customFormat="1" ht="90.75" thickBot="1" x14ac:dyDescent="0.25">
      <c r="A145" s="124">
        <f t="shared" si="2"/>
        <v>140</v>
      </c>
      <c r="B145" s="509" t="s">
        <v>363</v>
      </c>
      <c r="C145" s="509" t="s">
        <v>1597</v>
      </c>
      <c r="D145" s="510">
        <v>600</v>
      </c>
      <c r="E145" s="510" t="s">
        <v>2383</v>
      </c>
      <c r="F145" s="497" t="s">
        <v>967</v>
      </c>
      <c r="G145" s="498" t="s">
        <v>926</v>
      </c>
      <c r="H145" s="497" t="s">
        <v>965</v>
      </c>
      <c r="I145" s="498" t="s">
        <v>733</v>
      </c>
      <c r="J145" s="497" t="s">
        <v>964</v>
      </c>
      <c r="K145" s="498" t="s">
        <v>726</v>
      </c>
      <c r="L145" s="497" t="s">
        <v>963</v>
      </c>
      <c r="M145" s="498" t="s">
        <v>1065</v>
      </c>
      <c r="N145" s="497" t="s">
        <v>965</v>
      </c>
      <c r="O145" s="498" t="s">
        <v>806</v>
      </c>
      <c r="P145" s="497" t="s">
        <v>963</v>
      </c>
      <c r="Q145" s="498" t="s">
        <v>1188</v>
      </c>
      <c r="R145" s="497" t="s">
        <v>958</v>
      </c>
      <c r="S145" s="498" t="s">
        <v>1189</v>
      </c>
      <c r="T145" s="497" t="s">
        <v>986</v>
      </c>
      <c r="U145" s="499" t="s">
        <v>37</v>
      </c>
      <c r="V145" s="497" t="s">
        <v>986</v>
      </c>
      <c r="W145" s="498" t="s">
        <v>37</v>
      </c>
      <c r="X145" s="497" t="s">
        <v>958</v>
      </c>
      <c r="Y145" s="498" t="s">
        <v>807</v>
      </c>
      <c r="Z145" s="497" t="s">
        <v>964</v>
      </c>
      <c r="AA145" s="498" t="s">
        <v>1690</v>
      </c>
      <c r="AB145" s="497" t="s">
        <v>958</v>
      </c>
      <c r="AC145" s="498" t="s">
        <v>807</v>
      </c>
      <c r="AD145" s="497" t="s">
        <v>80</v>
      </c>
      <c r="AE145" s="498" t="s">
        <v>861</v>
      </c>
      <c r="AF145" s="497" t="s">
        <v>986</v>
      </c>
      <c r="AG145" s="499" t="s">
        <v>37</v>
      </c>
      <c r="AH145" s="497" t="s">
        <v>966</v>
      </c>
      <c r="AI145" s="498" t="s">
        <v>185</v>
      </c>
      <c r="AJ145" s="497" t="s">
        <v>963</v>
      </c>
      <c r="AK145" s="498" t="s">
        <v>34</v>
      </c>
      <c r="AL145" s="497" t="s">
        <v>961</v>
      </c>
      <c r="AM145" s="499" t="s">
        <v>1582</v>
      </c>
      <c r="AN145" s="497" t="s">
        <v>963</v>
      </c>
      <c r="AO145" s="498" t="s">
        <v>1639</v>
      </c>
      <c r="AP145" s="497" t="s">
        <v>961</v>
      </c>
      <c r="AQ145" s="498" t="s">
        <v>924</v>
      </c>
      <c r="AR145" s="497" t="s">
        <v>963</v>
      </c>
      <c r="AS145" s="499" t="s">
        <v>1000</v>
      </c>
      <c r="AT145" s="497" t="s">
        <v>961</v>
      </c>
      <c r="AU145" s="499" t="s">
        <v>296</v>
      </c>
      <c r="AV145" s="497" t="s">
        <v>963</v>
      </c>
      <c r="AW145" s="498" t="s">
        <v>1118</v>
      </c>
      <c r="AX145" s="497" t="s">
        <v>958</v>
      </c>
      <c r="AY145" s="498" t="s">
        <v>433</v>
      </c>
      <c r="AZ145" s="497" t="s">
        <v>963</v>
      </c>
      <c r="BA145" s="498" t="s">
        <v>757</v>
      </c>
      <c r="BB145" s="497" t="s">
        <v>986</v>
      </c>
      <c r="BC145" s="498" t="s">
        <v>37</v>
      </c>
      <c r="BD145" s="497" t="s">
        <v>963</v>
      </c>
      <c r="BE145" s="498" t="s">
        <v>2118</v>
      </c>
      <c r="BF145" s="497" t="s">
        <v>958</v>
      </c>
      <c r="BG145" s="498" t="s">
        <v>296</v>
      </c>
      <c r="BH145" s="497" t="s">
        <v>986</v>
      </c>
      <c r="BI145" s="498" t="s">
        <v>37</v>
      </c>
      <c r="BJ145" s="497" t="s">
        <v>986</v>
      </c>
      <c r="BK145" s="498" t="s">
        <v>37</v>
      </c>
      <c r="BL145" s="497" t="s">
        <v>986</v>
      </c>
      <c r="BM145" s="498" t="s">
        <v>37</v>
      </c>
      <c r="BN145" s="497" t="s">
        <v>986</v>
      </c>
      <c r="BO145" s="499" t="s">
        <v>37</v>
      </c>
      <c r="BP145" s="497" t="s">
        <v>963</v>
      </c>
      <c r="BQ145" s="498" t="s">
        <v>1163</v>
      </c>
      <c r="BR145" s="497" t="s">
        <v>986</v>
      </c>
      <c r="BS145" s="498" t="s">
        <v>37</v>
      </c>
      <c r="BT145" s="497" t="s">
        <v>986</v>
      </c>
      <c r="BU145" s="498" t="s">
        <v>37</v>
      </c>
      <c r="BV145" s="497" t="s">
        <v>986</v>
      </c>
      <c r="BW145" s="498" t="s">
        <v>37</v>
      </c>
      <c r="BX145" s="497" t="s">
        <v>986</v>
      </c>
      <c r="BY145" s="498" t="s">
        <v>37</v>
      </c>
      <c r="BZ145" s="497" t="s">
        <v>965</v>
      </c>
      <c r="CA145" s="498" t="s">
        <v>1593</v>
      </c>
      <c r="CB145" s="497" t="s">
        <v>986</v>
      </c>
      <c r="CC145" s="498" t="s">
        <v>37</v>
      </c>
      <c r="CD145" s="497" t="s">
        <v>986</v>
      </c>
      <c r="CE145" s="498" t="s">
        <v>37</v>
      </c>
      <c r="CF145" s="497" t="s">
        <v>986</v>
      </c>
      <c r="CG145" s="498" t="s">
        <v>37</v>
      </c>
      <c r="CH145" s="497" t="s">
        <v>986</v>
      </c>
      <c r="CI145" s="499" t="s">
        <v>37</v>
      </c>
      <c r="CJ145" s="497" t="s">
        <v>986</v>
      </c>
      <c r="CK145" s="498" t="s">
        <v>37</v>
      </c>
      <c r="CL145" s="497" t="s">
        <v>965</v>
      </c>
      <c r="CM145" s="498" t="s">
        <v>1793</v>
      </c>
      <c r="CN145" s="497" t="s">
        <v>965</v>
      </c>
      <c r="CO145" s="498" t="s">
        <v>1793</v>
      </c>
      <c r="CP145" s="517"/>
    </row>
    <row r="146" spans="1:96" s="5" customFormat="1" ht="68.25" thickBot="1" x14ac:dyDescent="0.25">
      <c r="A146" s="124">
        <f t="shared" si="2"/>
        <v>141</v>
      </c>
      <c r="B146" s="509" t="s">
        <v>1016</v>
      </c>
      <c r="C146" s="509" t="s">
        <v>3681</v>
      </c>
      <c r="D146" s="510" t="s">
        <v>3682</v>
      </c>
      <c r="E146" s="510" t="s">
        <v>2390</v>
      </c>
      <c r="F146" s="497" t="s">
        <v>965</v>
      </c>
      <c r="G146" s="498" t="s">
        <v>1205</v>
      </c>
      <c r="H146" s="497" t="s">
        <v>965</v>
      </c>
      <c r="I146" s="498" t="s">
        <v>1205</v>
      </c>
      <c r="J146" s="497" t="s">
        <v>965</v>
      </c>
      <c r="K146" s="498" t="s">
        <v>1205</v>
      </c>
      <c r="L146" s="497" t="s">
        <v>964</v>
      </c>
      <c r="M146" s="499" t="s">
        <v>3683</v>
      </c>
      <c r="N146" s="497" t="s">
        <v>963</v>
      </c>
      <c r="O146" s="498" t="s">
        <v>1444</v>
      </c>
      <c r="P146" s="497" t="s">
        <v>986</v>
      </c>
      <c r="Q146" s="498" t="s">
        <v>37</v>
      </c>
      <c r="R146" s="497" t="s">
        <v>963</v>
      </c>
      <c r="S146" s="499" t="s">
        <v>205</v>
      </c>
      <c r="T146" s="497" t="s">
        <v>986</v>
      </c>
      <c r="U146" s="498" t="s">
        <v>2805</v>
      </c>
      <c r="V146" s="497" t="s">
        <v>986</v>
      </c>
      <c r="W146" s="498" t="s">
        <v>37</v>
      </c>
      <c r="X146" s="497" t="s">
        <v>986</v>
      </c>
      <c r="Y146" s="499" t="s">
        <v>37</v>
      </c>
      <c r="Z146" s="497" t="s">
        <v>963</v>
      </c>
      <c r="AA146" s="499" t="s">
        <v>893</v>
      </c>
      <c r="AB146" s="497" t="s">
        <v>986</v>
      </c>
      <c r="AC146" s="498" t="s">
        <v>2805</v>
      </c>
      <c r="AD146" s="497" t="s">
        <v>986</v>
      </c>
      <c r="AE146" s="498" t="s">
        <v>37</v>
      </c>
      <c r="AF146" s="497" t="s">
        <v>986</v>
      </c>
      <c r="AG146" s="498" t="s">
        <v>37</v>
      </c>
      <c r="AH146" s="497" t="s">
        <v>986</v>
      </c>
      <c r="AI146" s="498" t="s">
        <v>37</v>
      </c>
      <c r="AJ146" s="497" t="s">
        <v>986</v>
      </c>
      <c r="AK146" s="498" t="s">
        <v>37</v>
      </c>
      <c r="AL146" s="497" t="s">
        <v>986</v>
      </c>
      <c r="AM146" s="502" t="s">
        <v>37</v>
      </c>
      <c r="AN146" s="497" t="s">
        <v>986</v>
      </c>
      <c r="AO146" s="498" t="s">
        <v>37</v>
      </c>
      <c r="AP146" s="497" t="s">
        <v>986</v>
      </c>
      <c r="AQ146" s="498" t="s">
        <v>37</v>
      </c>
      <c r="AR146" s="497" t="s">
        <v>986</v>
      </c>
      <c r="AS146" s="498" t="s">
        <v>37</v>
      </c>
      <c r="AT146" s="497" t="s">
        <v>986</v>
      </c>
      <c r="AU146" s="499" t="s">
        <v>37</v>
      </c>
      <c r="AV146" s="497" t="s">
        <v>965</v>
      </c>
      <c r="AW146" s="498" t="s">
        <v>3684</v>
      </c>
      <c r="AX146" s="497" t="s">
        <v>986</v>
      </c>
      <c r="AY146" s="498" t="s">
        <v>37</v>
      </c>
      <c r="AZ146" s="497" t="s">
        <v>963</v>
      </c>
      <c r="BA146" s="498" t="s">
        <v>1277</v>
      </c>
      <c r="BB146" s="497" t="s">
        <v>986</v>
      </c>
      <c r="BC146" s="498" t="s">
        <v>2805</v>
      </c>
      <c r="BD146" s="497" t="s">
        <v>986</v>
      </c>
      <c r="BE146" s="498" t="s">
        <v>37</v>
      </c>
      <c r="BF146" s="497" t="s">
        <v>986</v>
      </c>
      <c r="BG146" s="498" t="s">
        <v>37</v>
      </c>
      <c r="BH146" s="497" t="s">
        <v>965</v>
      </c>
      <c r="BI146" s="498" t="s">
        <v>2203</v>
      </c>
      <c r="BJ146" s="497" t="s">
        <v>986</v>
      </c>
      <c r="BK146" s="498" t="s">
        <v>2805</v>
      </c>
      <c r="BL146" s="497" t="s">
        <v>986</v>
      </c>
      <c r="BM146" s="498" t="s">
        <v>37</v>
      </c>
      <c r="BN146" s="497" t="s">
        <v>986</v>
      </c>
      <c r="BO146" s="499" t="s">
        <v>37</v>
      </c>
      <c r="BP146" s="497" t="s">
        <v>986</v>
      </c>
      <c r="BQ146" s="498" t="s">
        <v>37</v>
      </c>
      <c r="BR146" s="497" t="s">
        <v>986</v>
      </c>
      <c r="BS146" s="498" t="s">
        <v>37</v>
      </c>
      <c r="BT146" s="497" t="s">
        <v>986</v>
      </c>
      <c r="BU146" s="498" t="s">
        <v>37</v>
      </c>
      <c r="BV146" s="497" t="s">
        <v>963</v>
      </c>
      <c r="BW146" s="503" t="s">
        <v>715</v>
      </c>
      <c r="BX146" s="497" t="s">
        <v>964</v>
      </c>
      <c r="BY146" s="498" t="s">
        <v>3685</v>
      </c>
      <c r="BZ146" s="497" t="s">
        <v>964</v>
      </c>
      <c r="CA146" s="498" t="s">
        <v>3686</v>
      </c>
      <c r="CB146" s="497" t="s">
        <v>963</v>
      </c>
      <c r="CC146" s="498" t="s">
        <v>3687</v>
      </c>
      <c r="CD146" s="497" t="s">
        <v>986</v>
      </c>
      <c r="CE146" s="498" t="s">
        <v>37</v>
      </c>
      <c r="CF146" s="497" t="s">
        <v>965</v>
      </c>
      <c r="CG146" s="498" t="s">
        <v>3688</v>
      </c>
      <c r="CH146" s="497" t="s">
        <v>986</v>
      </c>
      <c r="CI146" s="499" t="s">
        <v>37</v>
      </c>
      <c r="CJ146" s="497" t="s">
        <v>965</v>
      </c>
      <c r="CK146" s="498" t="s">
        <v>3689</v>
      </c>
      <c r="CL146" s="497" t="s">
        <v>986</v>
      </c>
      <c r="CM146" s="498" t="s">
        <v>37</v>
      </c>
      <c r="CN146" s="497" t="s">
        <v>986</v>
      </c>
      <c r="CO146" s="498" t="s">
        <v>37</v>
      </c>
      <c r="CP146" s="518"/>
      <c r="CQ146" s="34"/>
      <c r="CR146" s="34"/>
    </row>
    <row r="147" spans="1:96" s="5" customFormat="1" ht="72" customHeight="1" thickBot="1" x14ac:dyDescent="0.25">
      <c r="A147" s="124">
        <f t="shared" si="2"/>
        <v>142</v>
      </c>
      <c r="B147" s="509" t="s">
        <v>364</v>
      </c>
      <c r="C147" s="509" t="s">
        <v>1475</v>
      </c>
      <c r="D147" s="510">
        <v>612</v>
      </c>
      <c r="E147" s="510" t="s">
        <v>2386</v>
      </c>
      <c r="F147" s="497" t="s">
        <v>967</v>
      </c>
      <c r="G147" s="498" t="s">
        <v>848</v>
      </c>
      <c r="H147" s="497" t="s">
        <v>967</v>
      </c>
      <c r="I147" s="498" t="s">
        <v>401</v>
      </c>
      <c r="J147" s="497" t="s">
        <v>964</v>
      </c>
      <c r="K147" s="498" t="s">
        <v>1242</v>
      </c>
      <c r="L147" s="497" t="s">
        <v>963</v>
      </c>
      <c r="M147" s="498" t="s">
        <v>1242</v>
      </c>
      <c r="N147" s="497" t="s">
        <v>963</v>
      </c>
      <c r="O147" s="498" t="s">
        <v>849</v>
      </c>
      <c r="P147" s="497" t="s">
        <v>964</v>
      </c>
      <c r="Q147" s="498" t="s">
        <v>879</v>
      </c>
      <c r="R147" s="497" t="s">
        <v>963</v>
      </c>
      <c r="S147" s="498" t="s">
        <v>1018</v>
      </c>
      <c r="T147" s="497" t="s">
        <v>986</v>
      </c>
      <c r="U147" s="499" t="s">
        <v>37</v>
      </c>
      <c r="V147" s="497" t="s">
        <v>965</v>
      </c>
      <c r="W147" s="498" t="s">
        <v>1508</v>
      </c>
      <c r="X147" s="497" t="s">
        <v>963</v>
      </c>
      <c r="Y147" s="498" t="s">
        <v>1033</v>
      </c>
      <c r="Z147" s="497" t="s">
        <v>986</v>
      </c>
      <c r="AA147" s="498" t="s">
        <v>2789</v>
      </c>
      <c r="AB147" s="497" t="s">
        <v>963</v>
      </c>
      <c r="AC147" s="498" t="s">
        <v>1033</v>
      </c>
      <c r="AD147" s="497" t="s">
        <v>965</v>
      </c>
      <c r="AE147" s="498" t="s">
        <v>2793</v>
      </c>
      <c r="AF147" s="497" t="s">
        <v>986</v>
      </c>
      <c r="AG147" s="499" t="s">
        <v>37</v>
      </c>
      <c r="AH147" s="497" t="s">
        <v>965</v>
      </c>
      <c r="AI147" s="498" t="s">
        <v>685</v>
      </c>
      <c r="AJ147" s="497" t="s">
        <v>965</v>
      </c>
      <c r="AK147" s="498" t="s">
        <v>1291</v>
      </c>
      <c r="AL147" s="497" t="s">
        <v>965</v>
      </c>
      <c r="AM147" s="499" t="s">
        <v>1220</v>
      </c>
      <c r="AN147" s="497" t="s">
        <v>965</v>
      </c>
      <c r="AO147" s="498" t="s">
        <v>693</v>
      </c>
      <c r="AP147" s="497" t="s">
        <v>965</v>
      </c>
      <c r="AQ147" s="498" t="s">
        <v>693</v>
      </c>
      <c r="AR147" s="497" t="s">
        <v>965</v>
      </c>
      <c r="AS147" s="499" t="s">
        <v>1179</v>
      </c>
      <c r="AT147" s="497" t="s">
        <v>965</v>
      </c>
      <c r="AU147" s="499" t="s">
        <v>956</v>
      </c>
      <c r="AV147" s="497" t="s">
        <v>965</v>
      </c>
      <c r="AW147" s="498" t="s">
        <v>1206</v>
      </c>
      <c r="AX147" s="497" t="s">
        <v>965</v>
      </c>
      <c r="AY147" s="498" t="s">
        <v>1093</v>
      </c>
      <c r="AZ147" s="497" t="s">
        <v>966</v>
      </c>
      <c r="BA147" s="498" t="s">
        <v>330</v>
      </c>
      <c r="BB147" s="497" t="s">
        <v>965</v>
      </c>
      <c r="BC147" s="498" t="s">
        <v>725</v>
      </c>
      <c r="BD147" s="497" t="s">
        <v>965</v>
      </c>
      <c r="BE147" s="498" t="s">
        <v>2113</v>
      </c>
      <c r="BF147" s="497" t="s">
        <v>965</v>
      </c>
      <c r="BG147" s="498" t="s">
        <v>2146</v>
      </c>
      <c r="BH147" s="497" t="s">
        <v>965</v>
      </c>
      <c r="BI147" s="498" t="s">
        <v>1132</v>
      </c>
      <c r="BJ147" s="497" t="s">
        <v>986</v>
      </c>
      <c r="BK147" s="498" t="s">
        <v>37</v>
      </c>
      <c r="BL147" s="497" t="s">
        <v>964</v>
      </c>
      <c r="BM147" s="498" t="s">
        <v>1635</v>
      </c>
      <c r="BN147" s="497" t="s">
        <v>963</v>
      </c>
      <c r="BO147" s="499" t="s">
        <v>2912</v>
      </c>
      <c r="BP147" s="497" t="s">
        <v>967</v>
      </c>
      <c r="BQ147" s="498" t="s">
        <v>557</v>
      </c>
      <c r="BR147" s="497" t="s">
        <v>967</v>
      </c>
      <c r="BS147" s="498" t="s">
        <v>2174</v>
      </c>
      <c r="BT147" s="497" t="s">
        <v>967</v>
      </c>
      <c r="BU147" s="498" t="s">
        <v>1707</v>
      </c>
      <c r="BV147" s="497" t="s">
        <v>986</v>
      </c>
      <c r="BW147" s="498" t="s">
        <v>37</v>
      </c>
      <c r="BX147" s="497" t="s">
        <v>965</v>
      </c>
      <c r="BY147" s="498" t="s">
        <v>138</v>
      </c>
      <c r="BZ147" s="497" t="s">
        <v>966</v>
      </c>
      <c r="CA147" s="498" t="s">
        <v>31</v>
      </c>
      <c r="CB147" s="497" t="s">
        <v>986</v>
      </c>
      <c r="CC147" s="498" t="s">
        <v>37</v>
      </c>
      <c r="CD147" s="497" t="s">
        <v>966</v>
      </c>
      <c r="CE147" s="498" t="s">
        <v>1708</v>
      </c>
      <c r="CF147" s="497" t="s">
        <v>986</v>
      </c>
      <c r="CG147" s="498" t="s">
        <v>1109</v>
      </c>
      <c r="CH147" s="497" t="s">
        <v>965</v>
      </c>
      <c r="CI147" s="499" t="s">
        <v>139</v>
      </c>
      <c r="CJ147" s="497" t="s">
        <v>986</v>
      </c>
      <c r="CK147" s="498" t="s">
        <v>37</v>
      </c>
      <c r="CL147" s="497" t="s">
        <v>965</v>
      </c>
      <c r="CM147" s="498" t="s">
        <v>3845</v>
      </c>
      <c r="CN147" s="497" t="s">
        <v>965</v>
      </c>
      <c r="CO147" s="498" t="s">
        <v>2000</v>
      </c>
      <c r="CP147" s="504" t="s">
        <v>3846</v>
      </c>
      <c r="CQ147" s="34"/>
      <c r="CR147" s="34"/>
    </row>
    <row r="148" spans="1:96" s="5" customFormat="1" ht="90.75" thickBot="1" x14ac:dyDescent="0.25">
      <c r="A148" s="124">
        <f t="shared" si="2"/>
        <v>143</v>
      </c>
      <c r="B148" s="509" t="s">
        <v>1394</v>
      </c>
      <c r="C148" s="509" t="s">
        <v>1598</v>
      </c>
      <c r="D148" s="510">
        <v>490</v>
      </c>
      <c r="E148" s="510" t="s">
        <v>2382</v>
      </c>
      <c r="F148" s="497" t="s">
        <v>958</v>
      </c>
      <c r="G148" s="498" t="s">
        <v>1384</v>
      </c>
      <c r="H148" s="497" t="s">
        <v>958</v>
      </c>
      <c r="I148" s="498" t="s">
        <v>58</v>
      </c>
      <c r="J148" s="497" t="s">
        <v>961</v>
      </c>
      <c r="K148" s="498" t="s">
        <v>1384</v>
      </c>
      <c r="L148" s="497" t="s">
        <v>958</v>
      </c>
      <c r="M148" s="498" t="s">
        <v>1384</v>
      </c>
      <c r="N148" s="497" t="s">
        <v>986</v>
      </c>
      <c r="O148" s="498" t="s">
        <v>37</v>
      </c>
      <c r="P148" s="497" t="s">
        <v>961</v>
      </c>
      <c r="Q148" s="498" t="s">
        <v>59</v>
      </c>
      <c r="R148" s="497" t="s">
        <v>958</v>
      </c>
      <c r="S148" s="498" t="s">
        <v>1450</v>
      </c>
      <c r="T148" s="497" t="s">
        <v>986</v>
      </c>
      <c r="U148" s="499" t="s">
        <v>37</v>
      </c>
      <c r="V148" s="497" t="s">
        <v>986</v>
      </c>
      <c r="W148" s="498" t="s">
        <v>37</v>
      </c>
      <c r="X148" s="497" t="s">
        <v>986</v>
      </c>
      <c r="Y148" s="498" t="s">
        <v>37</v>
      </c>
      <c r="Z148" s="497" t="s">
        <v>986</v>
      </c>
      <c r="AA148" s="498" t="s">
        <v>1437</v>
      </c>
      <c r="AB148" s="497" t="s">
        <v>986</v>
      </c>
      <c r="AC148" s="498" t="s">
        <v>1437</v>
      </c>
      <c r="AD148" s="497" t="s">
        <v>986</v>
      </c>
      <c r="AE148" s="498" t="s">
        <v>37</v>
      </c>
      <c r="AF148" s="497" t="s">
        <v>986</v>
      </c>
      <c r="AG148" s="499" t="s">
        <v>37</v>
      </c>
      <c r="AH148" s="497" t="s">
        <v>963</v>
      </c>
      <c r="AI148" s="498" t="s">
        <v>384</v>
      </c>
      <c r="AJ148" s="497" t="s">
        <v>958</v>
      </c>
      <c r="AK148" s="498" t="s">
        <v>469</v>
      </c>
      <c r="AL148" s="497" t="s">
        <v>958</v>
      </c>
      <c r="AM148" s="499" t="s">
        <v>2794</v>
      </c>
      <c r="AN148" s="497" t="s">
        <v>986</v>
      </c>
      <c r="AO148" s="498" t="s">
        <v>37</v>
      </c>
      <c r="AP148" s="497" t="s">
        <v>986</v>
      </c>
      <c r="AQ148" s="498" t="s">
        <v>37</v>
      </c>
      <c r="AR148" s="497" t="s">
        <v>986</v>
      </c>
      <c r="AS148" s="499" t="s">
        <v>37</v>
      </c>
      <c r="AT148" s="497" t="s">
        <v>986</v>
      </c>
      <c r="AU148" s="499" t="s">
        <v>37</v>
      </c>
      <c r="AV148" s="497" t="s">
        <v>986</v>
      </c>
      <c r="AW148" s="498" t="s">
        <v>1437</v>
      </c>
      <c r="AX148" s="497" t="s">
        <v>986</v>
      </c>
      <c r="AY148" s="498" t="s">
        <v>1427</v>
      </c>
      <c r="AZ148" s="497" t="s">
        <v>958</v>
      </c>
      <c r="BA148" s="498" t="s">
        <v>971</v>
      </c>
      <c r="BB148" s="497" t="s">
        <v>986</v>
      </c>
      <c r="BC148" s="498" t="s">
        <v>708</v>
      </c>
      <c r="BD148" s="497" t="s">
        <v>986</v>
      </c>
      <c r="BE148" s="498" t="s">
        <v>37</v>
      </c>
      <c r="BF148" s="497" t="s">
        <v>986</v>
      </c>
      <c r="BG148" s="498" t="s">
        <v>2147</v>
      </c>
      <c r="BH148" s="497" t="s">
        <v>986</v>
      </c>
      <c r="BI148" s="498" t="s">
        <v>3843</v>
      </c>
      <c r="BJ148" s="497" t="s">
        <v>986</v>
      </c>
      <c r="BK148" s="498" t="s">
        <v>385</v>
      </c>
      <c r="BL148" s="497" t="s">
        <v>986</v>
      </c>
      <c r="BM148" s="498" t="s">
        <v>2913</v>
      </c>
      <c r="BN148" s="497" t="s">
        <v>986</v>
      </c>
      <c r="BO148" s="499" t="s">
        <v>37</v>
      </c>
      <c r="BP148" s="497" t="s">
        <v>967</v>
      </c>
      <c r="BQ148" s="498" t="s">
        <v>1438</v>
      </c>
      <c r="BR148" s="497" t="s">
        <v>967</v>
      </c>
      <c r="BS148" s="498" t="s">
        <v>2175</v>
      </c>
      <c r="BT148" s="497" t="s">
        <v>967</v>
      </c>
      <c r="BU148" s="498" t="s">
        <v>791</v>
      </c>
      <c r="BV148" s="497" t="s">
        <v>966</v>
      </c>
      <c r="BW148" s="498" t="s">
        <v>1637</v>
      </c>
      <c r="BX148" s="497" t="s">
        <v>986</v>
      </c>
      <c r="BY148" s="498" t="s">
        <v>1665</v>
      </c>
      <c r="BZ148" s="497" t="s">
        <v>986</v>
      </c>
      <c r="CA148" s="498" t="s">
        <v>1049</v>
      </c>
      <c r="CB148" s="497" t="s">
        <v>986</v>
      </c>
      <c r="CC148" s="498" t="s">
        <v>37</v>
      </c>
      <c r="CD148" s="497" t="s">
        <v>986</v>
      </c>
      <c r="CE148" s="498" t="s">
        <v>566</v>
      </c>
      <c r="CF148" s="497" t="s">
        <v>986</v>
      </c>
      <c r="CG148" s="498" t="s">
        <v>37</v>
      </c>
      <c r="CH148" s="497" t="s">
        <v>986</v>
      </c>
      <c r="CI148" s="499" t="s">
        <v>37</v>
      </c>
      <c r="CJ148" s="497" t="s">
        <v>986</v>
      </c>
      <c r="CK148" s="498" t="s">
        <v>37</v>
      </c>
      <c r="CL148" s="497" t="s">
        <v>986</v>
      </c>
      <c r="CM148" s="498" t="s">
        <v>37</v>
      </c>
      <c r="CN148" s="497" t="s">
        <v>986</v>
      </c>
      <c r="CO148" s="498" t="s">
        <v>37</v>
      </c>
      <c r="CP148" s="504" t="s">
        <v>3844</v>
      </c>
      <c r="CQ148" s="34"/>
      <c r="CR148" s="34"/>
    </row>
    <row r="149" spans="1:96" s="18" customFormat="1" ht="90.75" thickBot="1" x14ac:dyDescent="0.25">
      <c r="A149" s="124">
        <f t="shared" si="2"/>
        <v>144</v>
      </c>
      <c r="B149" s="509" t="s">
        <v>365</v>
      </c>
      <c r="C149" s="509" t="s">
        <v>1598</v>
      </c>
      <c r="D149" s="510">
        <v>660</v>
      </c>
      <c r="E149" s="510" t="s">
        <v>2386</v>
      </c>
      <c r="F149" s="497" t="s">
        <v>965</v>
      </c>
      <c r="G149" s="498" t="s">
        <v>844</v>
      </c>
      <c r="H149" s="497" t="s">
        <v>986</v>
      </c>
      <c r="I149" s="498" t="s">
        <v>386</v>
      </c>
      <c r="J149" s="497" t="s">
        <v>986</v>
      </c>
      <c r="K149" s="498" t="s">
        <v>386</v>
      </c>
      <c r="L149" s="497" t="s">
        <v>986</v>
      </c>
      <c r="M149" s="498" t="s">
        <v>386</v>
      </c>
      <c r="N149" s="497" t="s">
        <v>986</v>
      </c>
      <c r="O149" s="498" t="s">
        <v>37</v>
      </c>
      <c r="P149" s="497" t="s">
        <v>965</v>
      </c>
      <c r="Q149" s="498" t="s">
        <v>3838</v>
      </c>
      <c r="R149" s="497" t="s">
        <v>986</v>
      </c>
      <c r="S149" s="498" t="s">
        <v>37</v>
      </c>
      <c r="T149" s="497" t="s">
        <v>986</v>
      </c>
      <c r="U149" s="499" t="s">
        <v>37</v>
      </c>
      <c r="V149" s="497" t="s">
        <v>986</v>
      </c>
      <c r="W149" s="498" t="s">
        <v>37</v>
      </c>
      <c r="X149" s="497" t="s">
        <v>986</v>
      </c>
      <c r="Y149" s="498" t="s">
        <v>37</v>
      </c>
      <c r="Z149" s="497" t="s">
        <v>986</v>
      </c>
      <c r="AA149" s="498" t="s">
        <v>37</v>
      </c>
      <c r="AB149" s="497" t="s">
        <v>986</v>
      </c>
      <c r="AC149" s="498" t="s">
        <v>37</v>
      </c>
      <c r="AD149" s="497" t="s">
        <v>986</v>
      </c>
      <c r="AE149" s="498" t="s">
        <v>37</v>
      </c>
      <c r="AF149" s="497" t="s">
        <v>986</v>
      </c>
      <c r="AG149" s="499" t="s">
        <v>37</v>
      </c>
      <c r="AH149" s="497" t="s">
        <v>986</v>
      </c>
      <c r="AI149" s="498" t="s">
        <v>37</v>
      </c>
      <c r="AJ149" s="497" t="s">
        <v>965</v>
      </c>
      <c r="AK149" s="498" t="s">
        <v>913</v>
      </c>
      <c r="AL149" s="497" t="s">
        <v>965</v>
      </c>
      <c r="AM149" s="499" t="s">
        <v>1022</v>
      </c>
      <c r="AN149" s="497" t="s">
        <v>965</v>
      </c>
      <c r="AO149" s="498" t="s">
        <v>526</v>
      </c>
      <c r="AP149" s="497" t="s">
        <v>965</v>
      </c>
      <c r="AQ149" s="498" t="s">
        <v>526</v>
      </c>
      <c r="AR149" s="497" t="s">
        <v>986</v>
      </c>
      <c r="AS149" s="499" t="s">
        <v>37</v>
      </c>
      <c r="AT149" s="497" t="s">
        <v>986</v>
      </c>
      <c r="AU149" s="499" t="s">
        <v>37</v>
      </c>
      <c r="AV149" s="497" t="s">
        <v>986</v>
      </c>
      <c r="AW149" s="498" t="s">
        <v>37</v>
      </c>
      <c r="AX149" s="497" t="s">
        <v>986</v>
      </c>
      <c r="AY149" s="498" t="s">
        <v>37</v>
      </c>
      <c r="AZ149" s="497" t="s">
        <v>986</v>
      </c>
      <c r="BA149" s="498" t="s">
        <v>37</v>
      </c>
      <c r="BB149" s="497" t="s">
        <v>986</v>
      </c>
      <c r="BC149" s="498" t="s">
        <v>37</v>
      </c>
      <c r="BD149" s="497" t="s">
        <v>986</v>
      </c>
      <c r="BE149" s="498" t="s">
        <v>37</v>
      </c>
      <c r="BF149" s="497" t="s">
        <v>986</v>
      </c>
      <c r="BG149" s="498" t="s">
        <v>37</v>
      </c>
      <c r="BH149" s="497" t="s">
        <v>986</v>
      </c>
      <c r="BI149" s="498" t="s">
        <v>37</v>
      </c>
      <c r="BJ149" s="497" t="s">
        <v>986</v>
      </c>
      <c r="BK149" s="498" t="s">
        <v>37</v>
      </c>
      <c r="BL149" s="497" t="s">
        <v>986</v>
      </c>
      <c r="BM149" s="498" t="s">
        <v>37</v>
      </c>
      <c r="BN149" s="497" t="s">
        <v>986</v>
      </c>
      <c r="BO149" s="499" t="s">
        <v>37</v>
      </c>
      <c r="BP149" s="497" t="s">
        <v>967</v>
      </c>
      <c r="BQ149" s="498" t="s">
        <v>1680</v>
      </c>
      <c r="BR149" s="497" t="s">
        <v>964</v>
      </c>
      <c r="BS149" s="498" t="s">
        <v>3839</v>
      </c>
      <c r="BT149" s="497" t="s">
        <v>986</v>
      </c>
      <c r="BU149" s="498" t="s">
        <v>37</v>
      </c>
      <c r="BV149" s="497" t="s">
        <v>966</v>
      </c>
      <c r="BW149" s="498" t="s">
        <v>1073</v>
      </c>
      <c r="BX149" s="497" t="s">
        <v>965</v>
      </c>
      <c r="BY149" s="498" t="s">
        <v>218</v>
      </c>
      <c r="BZ149" s="497" t="s">
        <v>965</v>
      </c>
      <c r="CA149" s="498" t="s">
        <v>1734</v>
      </c>
      <c r="CB149" s="497" t="s">
        <v>986</v>
      </c>
      <c r="CC149" s="498" t="s">
        <v>37</v>
      </c>
      <c r="CD149" s="497" t="s">
        <v>986</v>
      </c>
      <c r="CE149" s="498" t="s">
        <v>37</v>
      </c>
      <c r="CF149" s="497" t="s">
        <v>986</v>
      </c>
      <c r="CG149" s="498" t="s">
        <v>37</v>
      </c>
      <c r="CH149" s="497" t="s">
        <v>986</v>
      </c>
      <c r="CI149" s="499" t="s">
        <v>37</v>
      </c>
      <c r="CJ149" s="497" t="s">
        <v>986</v>
      </c>
      <c r="CK149" s="498" t="s">
        <v>37</v>
      </c>
      <c r="CL149" s="497" t="s">
        <v>965</v>
      </c>
      <c r="CM149" s="498" t="s">
        <v>3840</v>
      </c>
      <c r="CN149" s="497" t="s">
        <v>965</v>
      </c>
      <c r="CO149" s="498" t="s">
        <v>3841</v>
      </c>
      <c r="CP149" s="505" t="s">
        <v>3842</v>
      </c>
    </row>
    <row r="150" spans="1:96" s="5" customFormat="1" ht="79.5" thickBot="1" x14ac:dyDescent="0.25">
      <c r="A150" s="124">
        <f t="shared" si="2"/>
        <v>145</v>
      </c>
      <c r="B150" s="509" t="s">
        <v>1395</v>
      </c>
      <c r="C150" s="509" t="s">
        <v>1597</v>
      </c>
      <c r="D150" s="510">
        <v>620</v>
      </c>
      <c r="E150" s="510" t="s">
        <v>2383</v>
      </c>
      <c r="F150" s="497" t="s">
        <v>986</v>
      </c>
      <c r="G150" s="498" t="s">
        <v>37</v>
      </c>
      <c r="H150" s="497" t="s">
        <v>986</v>
      </c>
      <c r="I150" s="498" t="s">
        <v>37</v>
      </c>
      <c r="J150" s="497" t="s">
        <v>967</v>
      </c>
      <c r="K150" s="498" t="s">
        <v>813</v>
      </c>
      <c r="L150" s="497" t="s">
        <v>964</v>
      </c>
      <c r="M150" s="498" t="s">
        <v>60</v>
      </c>
      <c r="N150" s="497" t="s">
        <v>958</v>
      </c>
      <c r="O150" s="498" t="s">
        <v>61</v>
      </c>
      <c r="P150" s="497" t="s">
        <v>986</v>
      </c>
      <c r="Q150" s="498" t="s">
        <v>37</v>
      </c>
      <c r="R150" s="497" t="s">
        <v>986</v>
      </c>
      <c r="S150" s="498" t="s">
        <v>37</v>
      </c>
      <c r="T150" s="497" t="s">
        <v>986</v>
      </c>
      <c r="U150" s="499" t="s">
        <v>37</v>
      </c>
      <c r="V150" s="497" t="s">
        <v>986</v>
      </c>
      <c r="W150" s="498" t="s">
        <v>37</v>
      </c>
      <c r="X150" s="497" t="s">
        <v>986</v>
      </c>
      <c r="Y150" s="498" t="s">
        <v>884</v>
      </c>
      <c r="Z150" s="497" t="s">
        <v>964</v>
      </c>
      <c r="AA150" s="498" t="s">
        <v>1034</v>
      </c>
      <c r="AB150" s="497" t="s">
        <v>986</v>
      </c>
      <c r="AC150" s="498" t="s">
        <v>884</v>
      </c>
      <c r="AD150" s="497" t="s">
        <v>986</v>
      </c>
      <c r="AE150" s="498" t="s">
        <v>37</v>
      </c>
      <c r="AF150" s="497" t="s">
        <v>986</v>
      </c>
      <c r="AG150" s="499" t="s">
        <v>37</v>
      </c>
      <c r="AH150" s="497" t="s">
        <v>986</v>
      </c>
      <c r="AI150" s="498" t="s">
        <v>37</v>
      </c>
      <c r="AJ150" s="497" t="s">
        <v>958</v>
      </c>
      <c r="AK150" s="498" t="s">
        <v>1042</v>
      </c>
      <c r="AL150" s="497" t="s">
        <v>986</v>
      </c>
      <c r="AM150" s="499" t="s">
        <v>37</v>
      </c>
      <c r="AN150" s="497" t="s">
        <v>958</v>
      </c>
      <c r="AO150" s="498" t="s">
        <v>1042</v>
      </c>
      <c r="AP150" s="497" t="s">
        <v>986</v>
      </c>
      <c r="AQ150" s="498" t="s">
        <v>37</v>
      </c>
      <c r="AR150" s="497" t="s">
        <v>986</v>
      </c>
      <c r="AS150" s="499" t="s">
        <v>1001</v>
      </c>
      <c r="AT150" s="497" t="s">
        <v>986</v>
      </c>
      <c r="AU150" s="499" t="s">
        <v>37</v>
      </c>
      <c r="AV150" s="497" t="s">
        <v>958</v>
      </c>
      <c r="AW150" s="498" t="s">
        <v>1043</v>
      </c>
      <c r="AX150" s="497" t="s">
        <v>986</v>
      </c>
      <c r="AY150" s="498" t="s">
        <v>37</v>
      </c>
      <c r="AZ150" s="497" t="s">
        <v>986</v>
      </c>
      <c r="BA150" s="498" t="s">
        <v>331</v>
      </c>
      <c r="BB150" s="497" t="s">
        <v>986</v>
      </c>
      <c r="BC150" s="498" t="s">
        <v>1317</v>
      </c>
      <c r="BD150" s="497" t="s">
        <v>965</v>
      </c>
      <c r="BE150" s="498" t="s">
        <v>2119</v>
      </c>
      <c r="BF150" s="497" t="s">
        <v>986</v>
      </c>
      <c r="BG150" s="498" t="s">
        <v>37</v>
      </c>
      <c r="BH150" s="497" t="s">
        <v>986</v>
      </c>
      <c r="BI150" s="498" t="s">
        <v>37</v>
      </c>
      <c r="BJ150" s="497" t="s">
        <v>986</v>
      </c>
      <c r="BK150" s="498" t="s">
        <v>37</v>
      </c>
      <c r="BL150" s="497" t="s">
        <v>986</v>
      </c>
      <c r="BM150" s="498" t="s">
        <v>37</v>
      </c>
      <c r="BN150" s="497" t="s">
        <v>986</v>
      </c>
      <c r="BO150" s="499" t="s">
        <v>37</v>
      </c>
      <c r="BP150" s="497" t="s">
        <v>963</v>
      </c>
      <c r="BQ150" s="498" t="s">
        <v>2204</v>
      </c>
      <c r="BR150" s="497" t="s">
        <v>986</v>
      </c>
      <c r="BS150" s="498" t="s">
        <v>37</v>
      </c>
      <c r="BT150" s="497" t="s">
        <v>986</v>
      </c>
      <c r="BU150" s="498" t="s">
        <v>37</v>
      </c>
      <c r="BV150" s="497" t="s">
        <v>986</v>
      </c>
      <c r="BW150" s="498" t="s">
        <v>37</v>
      </c>
      <c r="BX150" s="497" t="s">
        <v>986</v>
      </c>
      <c r="BY150" s="498" t="s">
        <v>37</v>
      </c>
      <c r="BZ150" s="497" t="s">
        <v>986</v>
      </c>
      <c r="CA150" s="498" t="s">
        <v>37</v>
      </c>
      <c r="CB150" s="497" t="s">
        <v>986</v>
      </c>
      <c r="CC150" s="498" t="s">
        <v>37</v>
      </c>
      <c r="CD150" s="497" t="s">
        <v>986</v>
      </c>
      <c r="CE150" s="498" t="s">
        <v>37</v>
      </c>
      <c r="CF150" s="497" t="s">
        <v>986</v>
      </c>
      <c r="CG150" s="498" t="s">
        <v>37</v>
      </c>
      <c r="CH150" s="497" t="s">
        <v>986</v>
      </c>
      <c r="CI150" s="499" t="s">
        <v>37</v>
      </c>
      <c r="CJ150" s="497" t="s">
        <v>986</v>
      </c>
      <c r="CK150" s="498" t="s">
        <v>37</v>
      </c>
      <c r="CL150" s="497" t="s">
        <v>965</v>
      </c>
      <c r="CM150" s="498" t="s">
        <v>1793</v>
      </c>
      <c r="CN150" s="497" t="s">
        <v>965</v>
      </c>
      <c r="CO150" s="498" t="s">
        <v>1793</v>
      </c>
      <c r="CP150" s="517"/>
      <c r="CQ150" s="34"/>
      <c r="CR150" s="34"/>
    </row>
    <row r="151" spans="1:96" s="5" customFormat="1" ht="68.25" thickBot="1" x14ac:dyDescent="0.25">
      <c r="A151" s="124">
        <f t="shared" si="2"/>
        <v>146</v>
      </c>
      <c r="B151" s="509" t="s">
        <v>268</v>
      </c>
      <c r="C151" s="509" t="s">
        <v>1477</v>
      </c>
      <c r="D151" s="510">
        <v>645</v>
      </c>
      <c r="E151" s="510" t="s">
        <v>2386</v>
      </c>
      <c r="F151" s="497" t="s">
        <v>966</v>
      </c>
      <c r="G151" s="498" t="s">
        <v>732</v>
      </c>
      <c r="H151" s="497" t="s">
        <v>966</v>
      </c>
      <c r="I151" s="498" t="s">
        <v>996</v>
      </c>
      <c r="J151" s="497" t="s">
        <v>966</v>
      </c>
      <c r="K151" s="498" t="s">
        <v>732</v>
      </c>
      <c r="L151" s="497" t="s">
        <v>963</v>
      </c>
      <c r="M151" s="498" t="s">
        <v>1097</v>
      </c>
      <c r="N151" s="497" t="s">
        <v>965</v>
      </c>
      <c r="O151" s="498" t="s">
        <v>1097</v>
      </c>
      <c r="P151" s="497" t="s">
        <v>986</v>
      </c>
      <c r="Q151" s="498" t="s">
        <v>1386</v>
      </c>
      <c r="R151" s="497" t="s">
        <v>986</v>
      </c>
      <c r="S151" s="498" t="s">
        <v>37</v>
      </c>
      <c r="T151" s="497" t="s">
        <v>986</v>
      </c>
      <c r="U151" s="499" t="s">
        <v>37</v>
      </c>
      <c r="V151" s="497" t="s">
        <v>986</v>
      </c>
      <c r="W151" s="498" t="s">
        <v>37</v>
      </c>
      <c r="X151" s="497" t="s">
        <v>986</v>
      </c>
      <c r="Y151" s="498" t="s">
        <v>37</v>
      </c>
      <c r="Z151" s="497" t="s">
        <v>959</v>
      </c>
      <c r="AA151" s="498" t="s">
        <v>19</v>
      </c>
      <c r="AB151" s="497" t="s">
        <v>963</v>
      </c>
      <c r="AC151" s="498" t="s">
        <v>1033</v>
      </c>
      <c r="AD151" s="497" t="s">
        <v>986</v>
      </c>
      <c r="AE151" s="498" t="s">
        <v>37</v>
      </c>
      <c r="AF151" s="497" t="s">
        <v>986</v>
      </c>
      <c r="AG151" s="499" t="s">
        <v>37</v>
      </c>
      <c r="AH151" s="497" t="s">
        <v>986</v>
      </c>
      <c r="AI151" s="498" t="s">
        <v>37</v>
      </c>
      <c r="AJ151" s="497" t="s">
        <v>986</v>
      </c>
      <c r="AK151" s="498" t="s">
        <v>37</v>
      </c>
      <c r="AL151" s="497" t="s">
        <v>986</v>
      </c>
      <c r="AM151" s="499" t="s">
        <v>37</v>
      </c>
      <c r="AN151" s="497" t="s">
        <v>986</v>
      </c>
      <c r="AO151" s="498" t="s">
        <v>37</v>
      </c>
      <c r="AP151" s="497" t="s">
        <v>986</v>
      </c>
      <c r="AQ151" s="498" t="s">
        <v>37</v>
      </c>
      <c r="AR151" s="497" t="s">
        <v>986</v>
      </c>
      <c r="AS151" s="499" t="s">
        <v>37</v>
      </c>
      <c r="AT151" s="497" t="s">
        <v>986</v>
      </c>
      <c r="AU151" s="499" t="s">
        <v>37</v>
      </c>
      <c r="AV151" s="497" t="s">
        <v>986</v>
      </c>
      <c r="AW151" s="498" t="s">
        <v>37</v>
      </c>
      <c r="AX151" s="497" t="s">
        <v>986</v>
      </c>
      <c r="AY151" s="498" t="s">
        <v>37</v>
      </c>
      <c r="AZ151" s="497" t="s">
        <v>963</v>
      </c>
      <c r="BA151" s="498" t="s">
        <v>1510</v>
      </c>
      <c r="BB151" s="497" t="s">
        <v>986</v>
      </c>
      <c r="BC151" s="498" t="s">
        <v>1318</v>
      </c>
      <c r="BD151" s="497" t="s">
        <v>986</v>
      </c>
      <c r="BE151" s="498" t="s">
        <v>37</v>
      </c>
      <c r="BF151" s="497" t="s">
        <v>986</v>
      </c>
      <c r="BG151" s="498" t="s">
        <v>37</v>
      </c>
      <c r="BH151" s="497" t="s">
        <v>963</v>
      </c>
      <c r="BI151" s="498" t="s">
        <v>953</v>
      </c>
      <c r="BJ151" s="497" t="s">
        <v>986</v>
      </c>
      <c r="BK151" s="498" t="s">
        <v>37</v>
      </c>
      <c r="BL151" s="497" t="s">
        <v>963</v>
      </c>
      <c r="BM151" s="498" t="s">
        <v>1635</v>
      </c>
      <c r="BN151" s="497" t="s">
        <v>986</v>
      </c>
      <c r="BO151" s="499" t="s">
        <v>37</v>
      </c>
      <c r="BP151" s="497" t="s">
        <v>964</v>
      </c>
      <c r="BQ151" s="498" t="s">
        <v>557</v>
      </c>
      <c r="BR151" s="497" t="s">
        <v>964</v>
      </c>
      <c r="BS151" s="498" t="s">
        <v>2176</v>
      </c>
      <c r="BT151" s="497" t="s">
        <v>964</v>
      </c>
      <c r="BU151" s="498" t="s">
        <v>1707</v>
      </c>
      <c r="BV151" s="497" t="s">
        <v>986</v>
      </c>
      <c r="BW151" s="498" t="s">
        <v>37</v>
      </c>
      <c r="BX151" s="497" t="s">
        <v>967</v>
      </c>
      <c r="BY151" s="498" t="s">
        <v>1074</v>
      </c>
      <c r="BZ151" s="497" t="s">
        <v>967</v>
      </c>
      <c r="CA151" s="498" t="s">
        <v>1075</v>
      </c>
      <c r="CB151" s="497" t="s">
        <v>986</v>
      </c>
      <c r="CC151" s="498" t="s">
        <v>37</v>
      </c>
      <c r="CD151" s="497" t="s">
        <v>967</v>
      </c>
      <c r="CE151" s="498" t="s">
        <v>577</v>
      </c>
      <c r="CF151" s="497" t="s">
        <v>963</v>
      </c>
      <c r="CG151" s="498" t="s">
        <v>1059</v>
      </c>
      <c r="CH151" s="497" t="s">
        <v>986</v>
      </c>
      <c r="CI151" s="499" t="s">
        <v>37</v>
      </c>
      <c r="CJ151" s="497" t="s">
        <v>986</v>
      </c>
      <c r="CK151" s="498" t="s">
        <v>37</v>
      </c>
      <c r="CL151" s="497" t="s">
        <v>986</v>
      </c>
      <c r="CM151" s="498" t="s">
        <v>37</v>
      </c>
      <c r="CN151" s="497" t="s">
        <v>986</v>
      </c>
      <c r="CO151" s="498" t="s">
        <v>37</v>
      </c>
      <c r="CP151" s="517"/>
      <c r="CQ151" s="34"/>
      <c r="CR151" s="34"/>
    </row>
    <row r="152" spans="1:96" s="5" customFormat="1" ht="147" thickBot="1" x14ac:dyDescent="0.25">
      <c r="A152" s="124">
        <f t="shared" si="2"/>
        <v>147</v>
      </c>
      <c r="B152" s="509" t="s">
        <v>14</v>
      </c>
      <c r="C152" s="509" t="s">
        <v>1599</v>
      </c>
      <c r="D152" s="510">
        <v>635</v>
      </c>
      <c r="E152" s="510" t="s">
        <v>2382</v>
      </c>
      <c r="F152" s="497" t="s">
        <v>964</v>
      </c>
      <c r="G152" s="498" t="s">
        <v>65</v>
      </c>
      <c r="H152" s="497" t="s">
        <v>964</v>
      </c>
      <c r="I152" s="498" t="s">
        <v>65</v>
      </c>
      <c r="J152" s="497" t="s">
        <v>986</v>
      </c>
      <c r="K152" s="498" t="s">
        <v>37</v>
      </c>
      <c r="L152" s="497" t="s">
        <v>986</v>
      </c>
      <c r="M152" s="498" t="s">
        <v>37</v>
      </c>
      <c r="N152" s="497" t="s">
        <v>986</v>
      </c>
      <c r="O152" s="498" t="s">
        <v>37</v>
      </c>
      <c r="P152" s="497" t="s">
        <v>966</v>
      </c>
      <c r="Q152" s="498" t="s">
        <v>1251</v>
      </c>
      <c r="R152" s="497" t="s">
        <v>966</v>
      </c>
      <c r="S152" s="498" t="s">
        <v>2205</v>
      </c>
      <c r="T152" s="497" t="s">
        <v>986</v>
      </c>
      <c r="U152" s="499" t="s">
        <v>37</v>
      </c>
      <c r="V152" s="497" t="s">
        <v>961</v>
      </c>
      <c r="W152" s="498" t="s">
        <v>109</v>
      </c>
      <c r="X152" s="497" t="s">
        <v>80</v>
      </c>
      <c r="Y152" s="498" t="s">
        <v>81</v>
      </c>
      <c r="Z152" s="497" t="s">
        <v>986</v>
      </c>
      <c r="AA152" s="498" t="s">
        <v>37</v>
      </c>
      <c r="AB152" s="497" t="s">
        <v>961</v>
      </c>
      <c r="AC152" s="498" t="s">
        <v>1653</v>
      </c>
      <c r="AD152" s="497" t="s">
        <v>986</v>
      </c>
      <c r="AE152" s="498" t="s">
        <v>37</v>
      </c>
      <c r="AF152" s="497" t="s">
        <v>986</v>
      </c>
      <c r="AG152" s="499" t="s">
        <v>37</v>
      </c>
      <c r="AH152" s="497" t="s">
        <v>986</v>
      </c>
      <c r="AI152" s="498" t="s">
        <v>37</v>
      </c>
      <c r="AJ152" s="497" t="s">
        <v>986</v>
      </c>
      <c r="AK152" s="498" t="s">
        <v>37</v>
      </c>
      <c r="AL152" s="497" t="s">
        <v>986</v>
      </c>
      <c r="AM152" s="499" t="s">
        <v>37</v>
      </c>
      <c r="AN152" s="497" t="s">
        <v>964</v>
      </c>
      <c r="AO152" s="498" t="s">
        <v>548</v>
      </c>
      <c r="AP152" s="497" t="s">
        <v>961</v>
      </c>
      <c r="AQ152" s="498" t="s">
        <v>527</v>
      </c>
      <c r="AR152" s="497" t="s">
        <v>963</v>
      </c>
      <c r="AS152" s="499" t="s">
        <v>856</v>
      </c>
      <c r="AT152" s="497" t="s">
        <v>961</v>
      </c>
      <c r="AU152" s="499" t="s">
        <v>527</v>
      </c>
      <c r="AV152" s="497" t="s">
        <v>967</v>
      </c>
      <c r="AW152" s="498" t="s">
        <v>548</v>
      </c>
      <c r="AX152" s="497" t="s">
        <v>986</v>
      </c>
      <c r="AY152" s="498" t="s">
        <v>547</v>
      </c>
      <c r="AZ152" s="497" t="s">
        <v>963</v>
      </c>
      <c r="BA152" s="498" t="s">
        <v>1513</v>
      </c>
      <c r="BB152" s="497" t="s">
        <v>986</v>
      </c>
      <c r="BC152" s="498" t="s">
        <v>37</v>
      </c>
      <c r="BD152" s="497" t="s">
        <v>986</v>
      </c>
      <c r="BE152" s="498" t="s">
        <v>2120</v>
      </c>
      <c r="BF152" s="497" t="s">
        <v>986</v>
      </c>
      <c r="BG152" s="498" t="s">
        <v>2148</v>
      </c>
      <c r="BH152" s="497" t="s">
        <v>986</v>
      </c>
      <c r="BI152" s="498" t="s">
        <v>37</v>
      </c>
      <c r="BJ152" s="497" t="s">
        <v>986</v>
      </c>
      <c r="BK152" s="498" t="s">
        <v>37</v>
      </c>
      <c r="BL152" s="497" t="s">
        <v>965</v>
      </c>
      <c r="BM152" s="498" t="s">
        <v>1635</v>
      </c>
      <c r="BN152" s="497" t="s">
        <v>963</v>
      </c>
      <c r="BO152" s="499" t="s">
        <v>857</v>
      </c>
      <c r="BP152" s="497" t="s">
        <v>963</v>
      </c>
      <c r="BQ152" s="498" t="s">
        <v>858</v>
      </c>
      <c r="BR152" s="497" t="s">
        <v>967</v>
      </c>
      <c r="BS152" s="498" t="s">
        <v>2154</v>
      </c>
      <c r="BT152" s="497" t="s">
        <v>964</v>
      </c>
      <c r="BU152" s="498" t="s">
        <v>1707</v>
      </c>
      <c r="BV152" s="497" t="s">
        <v>986</v>
      </c>
      <c r="BW152" s="498" t="s">
        <v>37</v>
      </c>
      <c r="BX152" s="497" t="s">
        <v>986</v>
      </c>
      <c r="BY152" s="498" t="s">
        <v>37</v>
      </c>
      <c r="BZ152" s="497" t="s">
        <v>986</v>
      </c>
      <c r="CA152" s="498" t="s">
        <v>37</v>
      </c>
      <c r="CB152" s="497" t="s">
        <v>986</v>
      </c>
      <c r="CC152" s="498" t="s">
        <v>37</v>
      </c>
      <c r="CD152" s="497" t="s">
        <v>986</v>
      </c>
      <c r="CE152" s="498" t="s">
        <v>859</v>
      </c>
      <c r="CF152" s="497" t="s">
        <v>965</v>
      </c>
      <c r="CG152" s="498" t="s">
        <v>1303</v>
      </c>
      <c r="CH152" s="497" t="s">
        <v>986</v>
      </c>
      <c r="CI152" s="499" t="s">
        <v>37</v>
      </c>
      <c r="CJ152" s="497" t="s">
        <v>986</v>
      </c>
      <c r="CK152" s="498" t="s">
        <v>37</v>
      </c>
      <c r="CL152" s="497" t="s">
        <v>986</v>
      </c>
      <c r="CM152" s="498" t="s">
        <v>37</v>
      </c>
      <c r="CN152" s="497" t="s">
        <v>986</v>
      </c>
      <c r="CO152" s="498" t="s">
        <v>37</v>
      </c>
      <c r="CP152" s="517" t="s">
        <v>860</v>
      </c>
      <c r="CQ152" s="34"/>
      <c r="CR152" s="34"/>
    </row>
    <row r="153" spans="1:96" s="5" customFormat="1" ht="102" thickBot="1" x14ac:dyDescent="0.25">
      <c r="A153" s="124">
        <f t="shared" si="2"/>
        <v>148</v>
      </c>
      <c r="B153" s="509" t="s">
        <v>1147</v>
      </c>
      <c r="C153" s="509" t="s">
        <v>1605</v>
      </c>
      <c r="D153" s="510">
        <v>601</v>
      </c>
      <c r="E153" s="510" t="s">
        <v>2390</v>
      </c>
      <c r="F153" s="497" t="s">
        <v>964</v>
      </c>
      <c r="G153" s="498" t="s">
        <v>1297</v>
      </c>
      <c r="H153" s="497" t="s">
        <v>965</v>
      </c>
      <c r="I153" s="498" t="s">
        <v>1492</v>
      </c>
      <c r="J153" s="497" t="s">
        <v>965</v>
      </c>
      <c r="K153" s="498" t="s">
        <v>3918</v>
      </c>
      <c r="L153" s="497" t="s">
        <v>986</v>
      </c>
      <c r="M153" s="498" t="s">
        <v>37</v>
      </c>
      <c r="N153" s="497" t="s">
        <v>986</v>
      </c>
      <c r="O153" s="498" t="s">
        <v>37</v>
      </c>
      <c r="P153" s="497" t="s">
        <v>986</v>
      </c>
      <c r="Q153" s="498" t="s">
        <v>37</v>
      </c>
      <c r="R153" s="497" t="s">
        <v>986</v>
      </c>
      <c r="S153" s="498" t="s">
        <v>37</v>
      </c>
      <c r="T153" s="497" t="s">
        <v>986</v>
      </c>
      <c r="U153" s="499" t="s">
        <v>37</v>
      </c>
      <c r="V153" s="497" t="s">
        <v>961</v>
      </c>
      <c r="W153" s="498" t="s">
        <v>166</v>
      </c>
      <c r="X153" s="497" t="s">
        <v>986</v>
      </c>
      <c r="Y153" s="498" t="s">
        <v>37</v>
      </c>
      <c r="Z153" s="497" t="s">
        <v>986</v>
      </c>
      <c r="AA153" s="498" t="s">
        <v>37</v>
      </c>
      <c r="AB153" s="497" t="s">
        <v>986</v>
      </c>
      <c r="AC153" s="498" t="s">
        <v>37</v>
      </c>
      <c r="AD153" s="497" t="s">
        <v>986</v>
      </c>
      <c r="AE153" s="498" t="s">
        <v>37</v>
      </c>
      <c r="AF153" s="497" t="s">
        <v>986</v>
      </c>
      <c r="AG153" s="567" t="s">
        <v>37</v>
      </c>
      <c r="AH153" s="497" t="s">
        <v>986</v>
      </c>
      <c r="AI153" s="567" t="s">
        <v>37</v>
      </c>
      <c r="AJ153" s="497" t="s">
        <v>963</v>
      </c>
      <c r="AK153" s="498" t="s">
        <v>35</v>
      </c>
      <c r="AL153" s="497" t="s">
        <v>986</v>
      </c>
      <c r="AM153" s="499" t="s">
        <v>37</v>
      </c>
      <c r="AN153" s="497" t="s">
        <v>963</v>
      </c>
      <c r="AO153" s="498" t="s">
        <v>391</v>
      </c>
      <c r="AP153" s="497" t="s">
        <v>986</v>
      </c>
      <c r="AQ153" s="498" t="s">
        <v>37</v>
      </c>
      <c r="AR153" s="497" t="s">
        <v>965</v>
      </c>
      <c r="AS153" s="499" t="s">
        <v>1281</v>
      </c>
      <c r="AT153" s="497" t="s">
        <v>986</v>
      </c>
      <c r="AU153" s="499" t="s">
        <v>37</v>
      </c>
      <c r="AV153" s="497" t="s">
        <v>965</v>
      </c>
      <c r="AW153" s="498" t="s">
        <v>1063</v>
      </c>
      <c r="AX153" s="497" t="s">
        <v>986</v>
      </c>
      <c r="AY153" s="498" t="s">
        <v>37</v>
      </c>
      <c r="AZ153" s="497" t="s">
        <v>963</v>
      </c>
      <c r="BA153" s="498" t="s">
        <v>332</v>
      </c>
      <c r="BB153" s="497" t="s">
        <v>986</v>
      </c>
      <c r="BC153" s="498" t="s">
        <v>37</v>
      </c>
      <c r="BD153" s="497" t="s">
        <v>986</v>
      </c>
      <c r="BE153" s="498" t="s">
        <v>37</v>
      </c>
      <c r="BF153" s="497" t="s">
        <v>986</v>
      </c>
      <c r="BG153" s="498" t="s">
        <v>37</v>
      </c>
      <c r="BH153" s="497" t="s">
        <v>986</v>
      </c>
      <c r="BI153" s="498" t="s">
        <v>37</v>
      </c>
      <c r="BJ153" s="497" t="s">
        <v>986</v>
      </c>
      <c r="BK153" s="498" t="s">
        <v>37</v>
      </c>
      <c r="BL153" s="497" t="s">
        <v>965</v>
      </c>
      <c r="BM153" s="498" t="s">
        <v>1635</v>
      </c>
      <c r="BN153" s="497" t="s">
        <v>986</v>
      </c>
      <c r="BO153" s="499" t="s">
        <v>37</v>
      </c>
      <c r="BP153" s="497" t="s">
        <v>965</v>
      </c>
      <c r="BQ153" s="498" t="s">
        <v>1681</v>
      </c>
      <c r="BR153" s="497" t="s">
        <v>965</v>
      </c>
      <c r="BS153" s="498" t="s">
        <v>2154</v>
      </c>
      <c r="BT153" s="497" t="s">
        <v>986</v>
      </c>
      <c r="BU153" s="568" t="s">
        <v>37</v>
      </c>
      <c r="BV153" s="497" t="s">
        <v>986</v>
      </c>
      <c r="BW153" s="498" t="s">
        <v>37</v>
      </c>
      <c r="BX153" s="497" t="s">
        <v>965</v>
      </c>
      <c r="BY153" s="498" t="s">
        <v>1393</v>
      </c>
      <c r="BZ153" s="497" t="s">
        <v>965</v>
      </c>
      <c r="CA153" s="498" t="s">
        <v>1594</v>
      </c>
      <c r="CB153" s="497" t="s">
        <v>965</v>
      </c>
      <c r="CC153" s="498" t="s">
        <v>217</v>
      </c>
      <c r="CD153" s="497" t="s">
        <v>965</v>
      </c>
      <c r="CE153" s="498" t="s">
        <v>379</v>
      </c>
      <c r="CF153" s="497" t="s">
        <v>986</v>
      </c>
      <c r="CG153" s="498" t="s">
        <v>37</v>
      </c>
      <c r="CH153" s="497" t="s">
        <v>986</v>
      </c>
      <c r="CI153" s="499" t="s">
        <v>37</v>
      </c>
      <c r="CJ153" s="497" t="s">
        <v>986</v>
      </c>
      <c r="CK153" s="498" t="s">
        <v>37</v>
      </c>
      <c r="CL153" s="497" t="s">
        <v>986</v>
      </c>
      <c r="CM153" s="498" t="s">
        <v>37</v>
      </c>
      <c r="CN153" s="497" t="s">
        <v>986</v>
      </c>
      <c r="CO153" s="498" t="s">
        <v>37</v>
      </c>
      <c r="CP153" s="517"/>
      <c r="CQ153" s="34"/>
      <c r="CR153" s="34"/>
    </row>
    <row r="154" spans="1:96" s="5" customFormat="1" ht="68.25" thickBot="1" x14ac:dyDescent="0.25">
      <c r="A154" s="124">
        <f t="shared" si="2"/>
        <v>149</v>
      </c>
      <c r="B154" s="509" t="s">
        <v>1148</v>
      </c>
      <c r="C154" s="509" t="s">
        <v>1604</v>
      </c>
      <c r="D154" s="510">
        <v>630</v>
      </c>
      <c r="E154" s="510" t="s">
        <v>2388</v>
      </c>
      <c r="F154" s="497" t="s">
        <v>986</v>
      </c>
      <c r="G154" s="498" t="s">
        <v>37</v>
      </c>
      <c r="H154" s="497" t="s">
        <v>986</v>
      </c>
      <c r="I154" s="498" t="s">
        <v>37</v>
      </c>
      <c r="J154" s="497" t="s">
        <v>986</v>
      </c>
      <c r="K154" s="498" t="s">
        <v>37</v>
      </c>
      <c r="L154" s="497" t="s">
        <v>965</v>
      </c>
      <c r="M154" s="498" t="s">
        <v>318</v>
      </c>
      <c r="N154" s="497" t="s">
        <v>986</v>
      </c>
      <c r="O154" s="498" t="s">
        <v>37</v>
      </c>
      <c r="P154" s="497" t="s">
        <v>986</v>
      </c>
      <c r="Q154" s="498" t="s">
        <v>37</v>
      </c>
      <c r="R154" s="497" t="s">
        <v>986</v>
      </c>
      <c r="S154" s="498" t="s">
        <v>37</v>
      </c>
      <c r="T154" s="497" t="s">
        <v>986</v>
      </c>
      <c r="U154" s="499" t="s">
        <v>1157</v>
      </c>
      <c r="V154" s="497" t="s">
        <v>986</v>
      </c>
      <c r="W154" s="498" t="s">
        <v>37</v>
      </c>
      <c r="X154" s="497" t="s">
        <v>986</v>
      </c>
      <c r="Y154" s="498" t="s">
        <v>411</v>
      </c>
      <c r="Z154" s="497" t="s">
        <v>964</v>
      </c>
      <c r="AA154" s="498" t="s">
        <v>915</v>
      </c>
      <c r="AB154" s="497" t="s">
        <v>961</v>
      </c>
      <c r="AC154" s="498" t="s">
        <v>392</v>
      </c>
      <c r="AD154" s="497" t="s">
        <v>986</v>
      </c>
      <c r="AE154" s="498" t="s">
        <v>37</v>
      </c>
      <c r="AF154" s="497" t="s">
        <v>986</v>
      </c>
      <c r="AG154" s="499" t="s">
        <v>37</v>
      </c>
      <c r="AH154" s="497" t="s">
        <v>986</v>
      </c>
      <c r="AI154" s="498" t="s">
        <v>37</v>
      </c>
      <c r="AJ154" s="497" t="s">
        <v>986</v>
      </c>
      <c r="AK154" s="498" t="s">
        <v>37</v>
      </c>
      <c r="AL154" s="497" t="s">
        <v>961</v>
      </c>
      <c r="AM154" s="499" t="s">
        <v>1583</v>
      </c>
      <c r="AN154" s="497" t="s">
        <v>965</v>
      </c>
      <c r="AO154" s="498" t="s">
        <v>544</v>
      </c>
      <c r="AP154" s="497" t="s">
        <v>961</v>
      </c>
      <c r="AQ154" s="498" t="s">
        <v>1035</v>
      </c>
      <c r="AR154" s="497" t="s">
        <v>965</v>
      </c>
      <c r="AS154" s="499" t="s">
        <v>202</v>
      </c>
      <c r="AT154" s="497" t="s">
        <v>958</v>
      </c>
      <c r="AU154" s="499" t="s">
        <v>1036</v>
      </c>
      <c r="AV154" s="497" t="s">
        <v>965</v>
      </c>
      <c r="AW154" s="498" t="s">
        <v>2206</v>
      </c>
      <c r="AX154" s="497" t="s">
        <v>958</v>
      </c>
      <c r="AY154" s="498" t="s">
        <v>896</v>
      </c>
      <c r="AZ154" s="497" t="s">
        <v>965</v>
      </c>
      <c r="BA154" s="498" t="s">
        <v>673</v>
      </c>
      <c r="BB154" s="497" t="s">
        <v>986</v>
      </c>
      <c r="BC154" s="498" t="s">
        <v>1319</v>
      </c>
      <c r="BD154" s="497" t="s">
        <v>965</v>
      </c>
      <c r="BE154" s="498" t="s">
        <v>2121</v>
      </c>
      <c r="BF154" s="497" t="s">
        <v>958</v>
      </c>
      <c r="BG154" s="498" t="s">
        <v>2149</v>
      </c>
      <c r="BH154" s="497" t="s">
        <v>986</v>
      </c>
      <c r="BI154" s="498" t="s">
        <v>37</v>
      </c>
      <c r="BJ154" s="497" t="s">
        <v>986</v>
      </c>
      <c r="BK154" s="498" t="s">
        <v>37</v>
      </c>
      <c r="BL154" s="497" t="s">
        <v>986</v>
      </c>
      <c r="BM154" s="498" t="s">
        <v>37</v>
      </c>
      <c r="BN154" s="497" t="s">
        <v>986</v>
      </c>
      <c r="BO154" s="499" t="s">
        <v>37</v>
      </c>
      <c r="BP154" s="497" t="s">
        <v>986</v>
      </c>
      <c r="BQ154" s="498" t="s">
        <v>37</v>
      </c>
      <c r="BR154" s="497" t="s">
        <v>986</v>
      </c>
      <c r="BS154" s="498" t="s">
        <v>37</v>
      </c>
      <c r="BT154" s="497" t="s">
        <v>986</v>
      </c>
      <c r="BU154" s="498" t="s">
        <v>37</v>
      </c>
      <c r="BV154" s="497" t="s">
        <v>986</v>
      </c>
      <c r="BW154" s="498" t="s">
        <v>37</v>
      </c>
      <c r="BX154" s="497" t="s">
        <v>986</v>
      </c>
      <c r="BY154" s="498" t="s">
        <v>37</v>
      </c>
      <c r="BZ154" s="497" t="s">
        <v>986</v>
      </c>
      <c r="CA154" s="498" t="s">
        <v>37</v>
      </c>
      <c r="CB154" s="497" t="s">
        <v>986</v>
      </c>
      <c r="CC154" s="498" t="s">
        <v>37</v>
      </c>
      <c r="CD154" s="497" t="s">
        <v>986</v>
      </c>
      <c r="CE154" s="498" t="s">
        <v>37</v>
      </c>
      <c r="CF154" s="497" t="s">
        <v>986</v>
      </c>
      <c r="CG154" s="498" t="s">
        <v>37</v>
      </c>
      <c r="CH154" s="497" t="s">
        <v>986</v>
      </c>
      <c r="CI154" s="499" t="s">
        <v>37</v>
      </c>
      <c r="CJ154" s="497" t="s">
        <v>986</v>
      </c>
      <c r="CK154" s="498" t="s">
        <v>37</v>
      </c>
      <c r="CL154" s="497" t="s">
        <v>986</v>
      </c>
      <c r="CM154" s="498" t="s">
        <v>37</v>
      </c>
      <c r="CN154" s="497" t="s">
        <v>986</v>
      </c>
      <c r="CO154" s="498" t="s">
        <v>37</v>
      </c>
      <c r="CP154" s="517"/>
      <c r="CQ154" s="34"/>
      <c r="CR154" s="34"/>
    </row>
    <row r="155" spans="1:96" s="5" customFormat="1" ht="79.5" thickBot="1" x14ac:dyDescent="0.25">
      <c r="A155" s="124">
        <f t="shared" si="2"/>
        <v>150</v>
      </c>
      <c r="B155" s="509" t="s">
        <v>1782</v>
      </c>
      <c r="C155" s="509" t="s">
        <v>1460</v>
      </c>
      <c r="D155" s="510">
        <v>360</v>
      </c>
      <c r="E155" s="510" t="s">
        <v>2388</v>
      </c>
      <c r="F155" s="497" t="s">
        <v>986</v>
      </c>
      <c r="G155" s="498" t="s">
        <v>37</v>
      </c>
      <c r="H155" s="497" t="s">
        <v>986</v>
      </c>
      <c r="I155" s="498" t="s">
        <v>37</v>
      </c>
      <c r="J155" s="497" t="s">
        <v>986</v>
      </c>
      <c r="K155" s="498" t="s">
        <v>37</v>
      </c>
      <c r="L155" s="497" t="s">
        <v>986</v>
      </c>
      <c r="M155" s="498" t="s">
        <v>37</v>
      </c>
      <c r="N155" s="497" t="s">
        <v>986</v>
      </c>
      <c r="O155" s="498" t="s">
        <v>37</v>
      </c>
      <c r="P155" s="497" t="s">
        <v>986</v>
      </c>
      <c r="Q155" s="498" t="s">
        <v>37</v>
      </c>
      <c r="R155" s="497" t="s">
        <v>986</v>
      </c>
      <c r="S155" s="498" t="s">
        <v>37</v>
      </c>
      <c r="T155" s="497" t="s">
        <v>986</v>
      </c>
      <c r="U155" s="499" t="s">
        <v>174</v>
      </c>
      <c r="V155" s="497" t="s">
        <v>963</v>
      </c>
      <c r="W155" s="498" t="s">
        <v>1976</v>
      </c>
      <c r="X155" s="497" t="s">
        <v>986</v>
      </c>
      <c r="Y155" s="498" t="s">
        <v>37</v>
      </c>
      <c r="Z155" s="497" t="s">
        <v>986</v>
      </c>
      <c r="AA155" s="498" t="s">
        <v>37</v>
      </c>
      <c r="AB155" s="497" t="s">
        <v>986</v>
      </c>
      <c r="AC155" s="498" t="s">
        <v>2181</v>
      </c>
      <c r="AD155" s="497" t="s">
        <v>986</v>
      </c>
      <c r="AE155" s="498" t="s">
        <v>37</v>
      </c>
      <c r="AF155" s="497" t="s">
        <v>986</v>
      </c>
      <c r="AG155" s="499" t="s">
        <v>37</v>
      </c>
      <c r="AH155" s="497" t="s">
        <v>986</v>
      </c>
      <c r="AI155" s="498" t="s">
        <v>37</v>
      </c>
      <c r="AJ155" s="497" t="s">
        <v>986</v>
      </c>
      <c r="AK155" s="498" t="s">
        <v>37</v>
      </c>
      <c r="AL155" s="497" t="s">
        <v>986</v>
      </c>
      <c r="AM155" s="499" t="s">
        <v>37</v>
      </c>
      <c r="AN155" s="497" t="s">
        <v>963</v>
      </c>
      <c r="AO155" s="498" t="s">
        <v>1977</v>
      </c>
      <c r="AP155" s="497" t="s">
        <v>963</v>
      </c>
      <c r="AQ155" s="498" t="s">
        <v>1978</v>
      </c>
      <c r="AR155" s="497" t="s">
        <v>986</v>
      </c>
      <c r="AS155" s="499" t="s">
        <v>37</v>
      </c>
      <c r="AT155" s="497" t="s">
        <v>965</v>
      </c>
      <c r="AU155" s="499" t="s">
        <v>270</v>
      </c>
      <c r="AV155" s="497" t="s">
        <v>986</v>
      </c>
      <c r="AW155" s="498" t="s">
        <v>37</v>
      </c>
      <c r="AX155" s="497" t="s">
        <v>963</v>
      </c>
      <c r="AY155" s="498" t="s">
        <v>452</v>
      </c>
      <c r="AZ155" s="497" t="s">
        <v>986</v>
      </c>
      <c r="BA155" s="498" t="s">
        <v>37</v>
      </c>
      <c r="BB155" s="497" t="s">
        <v>986</v>
      </c>
      <c r="BC155" s="498" t="s">
        <v>37</v>
      </c>
      <c r="BD155" s="497" t="s">
        <v>986</v>
      </c>
      <c r="BE155" s="498" t="s">
        <v>37</v>
      </c>
      <c r="BF155" s="497" t="s">
        <v>986</v>
      </c>
      <c r="BG155" s="498" t="s">
        <v>2150</v>
      </c>
      <c r="BH155" s="497" t="s">
        <v>965</v>
      </c>
      <c r="BI155" s="498" t="s">
        <v>2914</v>
      </c>
      <c r="BJ155" s="497" t="s">
        <v>965</v>
      </c>
      <c r="BK155" s="498" t="s">
        <v>2915</v>
      </c>
      <c r="BL155" s="497" t="s">
        <v>965</v>
      </c>
      <c r="BM155" s="498" t="s">
        <v>2916</v>
      </c>
      <c r="BN155" s="497" t="s">
        <v>965</v>
      </c>
      <c r="BO155" s="499" t="s">
        <v>2915</v>
      </c>
      <c r="BP155" s="497" t="s">
        <v>986</v>
      </c>
      <c r="BQ155" s="498" t="s">
        <v>37</v>
      </c>
      <c r="BR155" s="497" t="s">
        <v>986</v>
      </c>
      <c r="BS155" s="498" t="s">
        <v>37</v>
      </c>
      <c r="BT155" s="497" t="s">
        <v>986</v>
      </c>
      <c r="BU155" s="498" t="s">
        <v>792</v>
      </c>
      <c r="BV155" s="497" t="s">
        <v>986</v>
      </c>
      <c r="BW155" s="498" t="s">
        <v>37</v>
      </c>
      <c r="BX155" s="497" t="s">
        <v>986</v>
      </c>
      <c r="BY155" s="498" t="s">
        <v>37</v>
      </c>
      <c r="BZ155" s="497" t="s">
        <v>986</v>
      </c>
      <c r="CA155" s="498" t="s">
        <v>37</v>
      </c>
      <c r="CB155" s="497" t="s">
        <v>986</v>
      </c>
      <c r="CC155" s="498" t="s">
        <v>37</v>
      </c>
      <c r="CD155" s="497" t="s">
        <v>986</v>
      </c>
      <c r="CE155" s="498" t="s">
        <v>37</v>
      </c>
      <c r="CF155" s="497" t="s">
        <v>986</v>
      </c>
      <c r="CG155" s="498" t="s">
        <v>37</v>
      </c>
      <c r="CH155" s="497" t="s">
        <v>986</v>
      </c>
      <c r="CI155" s="499" t="s">
        <v>37</v>
      </c>
      <c r="CJ155" s="497" t="s">
        <v>986</v>
      </c>
      <c r="CK155" s="498" t="s">
        <v>37</v>
      </c>
      <c r="CL155" s="497" t="s">
        <v>986</v>
      </c>
      <c r="CM155" s="498" t="s">
        <v>37</v>
      </c>
      <c r="CN155" s="497" t="s">
        <v>986</v>
      </c>
      <c r="CO155" s="498" t="s">
        <v>37</v>
      </c>
      <c r="CP155" s="517" t="s">
        <v>1979</v>
      </c>
      <c r="CQ155" s="34"/>
      <c r="CR155" s="34"/>
    </row>
    <row r="156" spans="1:96" s="5" customFormat="1" ht="102" thickBot="1" x14ac:dyDescent="0.25">
      <c r="A156" s="124">
        <f t="shared" si="2"/>
        <v>151</v>
      </c>
      <c r="B156" s="509" t="s">
        <v>1973</v>
      </c>
      <c r="C156" s="509" t="s">
        <v>1461</v>
      </c>
      <c r="D156" s="510">
        <v>633</v>
      </c>
      <c r="E156" s="510" t="s">
        <v>2382</v>
      </c>
      <c r="F156" s="497" t="s">
        <v>986</v>
      </c>
      <c r="G156" s="498" t="s">
        <v>37</v>
      </c>
      <c r="H156" s="497" t="s">
        <v>986</v>
      </c>
      <c r="I156" s="498" t="s">
        <v>37</v>
      </c>
      <c r="J156" s="497" t="s">
        <v>986</v>
      </c>
      <c r="K156" s="498" t="s">
        <v>37</v>
      </c>
      <c r="L156" s="497" t="s">
        <v>986</v>
      </c>
      <c r="M156" s="498" t="s">
        <v>37</v>
      </c>
      <c r="N156" s="497" t="s">
        <v>986</v>
      </c>
      <c r="O156" s="498" t="s">
        <v>37</v>
      </c>
      <c r="P156" s="497" t="s">
        <v>965</v>
      </c>
      <c r="Q156" s="498" t="s">
        <v>3891</v>
      </c>
      <c r="R156" s="497" t="s">
        <v>986</v>
      </c>
      <c r="S156" s="498" t="s">
        <v>3892</v>
      </c>
      <c r="T156" s="497" t="s">
        <v>986</v>
      </c>
      <c r="U156" s="499" t="s">
        <v>37</v>
      </c>
      <c r="V156" s="497" t="s">
        <v>986</v>
      </c>
      <c r="W156" s="498" t="s">
        <v>800</v>
      </c>
      <c r="X156" s="497" t="s">
        <v>986</v>
      </c>
      <c r="Y156" s="498" t="s">
        <v>37</v>
      </c>
      <c r="Z156" s="497" t="s">
        <v>986</v>
      </c>
      <c r="AA156" s="498" t="s">
        <v>37</v>
      </c>
      <c r="AB156" s="497" t="s">
        <v>986</v>
      </c>
      <c r="AC156" s="498" t="s">
        <v>37</v>
      </c>
      <c r="AD156" s="497" t="s">
        <v>986</v>
      </c>
      <c r="AE156" s="498" t="s">
        <v>37</v>
      </c>
      <c r="AF156" s="497" t="s">
        <v>965</v>
      </c>
      <c r="AG156" s="499" t="s">
        <v>3893</v>
      </c>
      <c r="AH156" s="497" t="s">
        <v>965</v>
      </c>
      <c r="AI156" s="499" t="s">
        <v>3893</v>
      </c>
      <c r="AJ156" s="497" t="s">
        <v>986</v>
      </c>
      <c r="AK156" s="498" t="s">
        <v>37</v>
      </c>
      <c r="AL156" s="497" t="s">
        <v>986</v>
      </c>
      <c r="AM156" s="499" t="s">
        <v>37</v>
      </c>
      <c r="AN156" s="497" t="s">
        <v>963</v>
      </c>
      <c r="AO156" s="498" t="s">
        <v>1265</v>
      </c>
      <c r="AP156" s="497" t="s">
        <v>963</v>
      </c>
      <c r="AQ156" s="498" t="s">
        <v>1264</v>
      </c>
      <c r="AR156" s="497" t="s">
        <v>963</v>
      </c>
      <c r="AS156" s="499" t="s">
        <v>542</v>
      </c>
      <c r="AT156" s="497" t="s">
        <v>963</v>
      </c>
      <c r="AU156" s="499" t="s">
        <v>1563</v>
      </c>
      <c r="AV156" s="497" t="s">
        <v>986</v>
      </c>
      <c r="AW156" s="498" t="s">
        <v>1265</v>
      </c>
      <c r="AX156" s="497" t="s">
        <v>963</v>
      </c>
      <c r="AY156" s="498" t="s">
        <v>537</v>
      </c>
      <c r="AZ156" s="497" t="s">
        <v>986</v>
      </c>
      <c r="BA156" s="498" t="s">
        <v>1265</v>
      </c>
      <c r="BB156" s="497" t="s">
        <v>986</v>
      </c>
      <c r="BC156" s="498" t="s">
        <v>37</v>
      </c>
      <c r="BD156" s="497" t="s">
        <v>986</v>
      </c>
      <c r="BE156" s="498" t="s">
        <v>37</v>
      </c>
      <c r="BF156" s="497" t="s">
        <v>986</v>
      </c>
      <c r="BG156" s="498" t="s">
        <v>37</v>
      </c>
      <c r="BH156" s="497" t="s">
        <v>958</v>
      </c>
      <c r="BI156" s="498" t="s">
        <v>3894</v>
      </c>
      <c r="BJ156" s="497" t="s">
        <v>958</v>
      </c>
      <c r="BK156" s="498" t="s">
        <v>3895</v>
      </c>
      <c r="BL156" s="497" t="s">
        <v>958</v>
      </c>
      <c r="BM156" s="498" t="s">
        <v>3896</v>
      </c>
      <c r="BN156" s="497" t="s">
        <v>958</v>
      </c>
      <c r="BO156" s="498" t="s">
        <v>3897</v>
      </c>
      <c r="BP156" s="497" t="s">
        <v>963</v>
      </c>
      <c r="BQ156" s="498" t="s">
        <v>1682</v>
      </c>
      <c r="BR156" s="497" t="s">
        <v>963</v>
      </c>
      <c r="BS156" s="498" t="s">
        <v>2164</v>
      </c>
      <c r="BT156" s="497" t="s">
        <v>986</v>
      </c>
      <c r="BU156" s="498" t="s">
        <v>37</v>
      </c>
      <c r="BV156" s="497" t="s">
        <v>986</v>
      </c>
      <c r="BW156" s="498" t="s">
        <v>37</v>
      </c>
      <c r="BX156" s="497" t="s">
        <v>986</v>
      </c>
      <c r="BY156" s="498" t="s">
        <v>37</v>
      </c>
      <c r="BZ156" s="497" t="s">
        <v>986</v>
      </c>
      <c r="CA156" s="498" t="s">
        <v>37</v>
      </c>
      <c r="CB156" s="497" t="s">
        <v>986</v>
      </c>
      <c r="CC156" s="498" t="s">
        <v>37</v>
      </c>
      <c r="CD156" s="497" t="s">
        <v>986</v>
      </c>
      <c r="CE156" s="498" t="s">
        <v>37</v>
      </c>
      <c r="CF156" s="497" t="s">
        <v>965</v>
      </c>
      <c r="CG156" s="498" t="s">
        <v>1111</v>
      </c>
      <c r="CH156" s="497" t="s">
        <v>986</v>
      </c>
      <c r="CI156" s="499" t="s">
        <v>37</v>
      </c>
      <c r="CJ156" s="497" t="s">
        <v>986</v>
      </c>
      <c r="CK156" s="498" t="s">
        <v>37</v>
      </c>
      <c r="CL156" s="497" t="s">
        <v>986</v>
      </c>
      <c r="CM156" s="498" t="s">
        <v>1796</v>
      </c>
      <c r="CN156" s="497" t="s">
        <v>986</v>
      </c>
      <c r="CO156" s="498" t="s">
        <v>1796</v>
      </c>
      <c r="CP156" s="517" t="s">
        <v>1980</v>
      </c>
      <c r="CQ156" s="34"/>
      <c r="CR156" s="34"/>
    </row>
    <row r="157" spans="1:96" s="5" customFormat="1" ht="36" customHeight="1" thickBot="1" x14ac:dyDescent="0.25">
      <c r="A157" s="124">
        <f t="shared" si="2"/>
        <v>152</v>
      </c>
      <c r="B157" s="509" t="s">
        <v>3880</v>
      </c>
      <c r="C157" s="509" t="s">
        <v>1599</v>
      </c>
      <c r="D157" s="510">
        <v>632</v>
      </c>
      <c r="E157" s="510" t="s">
        <v>2384</v>
      </c>
      <c r="F157" s="497" t="s">
        <v>986</v>
      </c>
      <c r="G157" s="498" t="s">
        <v>37</v>
      </c>
      <c r="H157" s="497" t="s">
        <v>986</v>
      </c>
      <c r="I157" s="498" t="s">
        <v>37</v>
      </c>
      <c r="J157" s="497" t="s">
        <v>986</v>
      </c>
      <c r="K157" s="498" t="s">
        <v>37</v>
      </c>
      <c r="L157" s="497" t="s">
        <v>986</v>
      </c>
      <c r="M157" s="498" t="s">
        <v>37</v>
      </c>
      <c r="N157" s="497" t="s">
        <v>986</v>
      </c>
      <c r="O157" s="498" t="s">
        <v>37</v>
      </c>
      <c r="P157" s="497" t="s">
        <v>965</v>
      </c>
      <c r="Q157" s="498" t="s">
        <v>908</v>
      </c>
      <c r="R157" s="497" t="s">
        <v>986</v>
      </c>
      <c r="S157" s="498" t="s">
        <v>37</v>
      </c>
      <c r="T157" s="497" t="s">
        <v>986</v>
      </c>
      <c r="U157" s="499" t="s">
        <v>37</v>
      </c>
      <c r="V157" s="497" t="s">
        <v>986</v>
      </c>
      <c r="W157" s="498" t="s">
        <v>560</v>
      </c>
      <c r="X157" s="497" t="s">
        <v>986</v>
      </c>
      <c r="Y157" s="498" t="s">
        <v>37</v>
      </c>
      <c r="Z157" s="497" t="s">
        <v>986</v>
      </c>
      <c r="AA157" s="498" t="s">
        <v>37</v>
      </c>
      <c r="AB157" s="497" t="s">
        <v>986</v>
      </c>
      <c r="AC157" s="498" t="s">
        <v>37</v>
      </c>
      <c r="AD157" s="497" t="s">
        <v>986</v>
      </c>
      <c r="AE157" s="498" t="s">
        <v>37</v>
      </c>
      <c r="AF157" s="497" t="s">
        <v>965</v>
      </c>
      <c r="AG157" s="499" t="s">
        <v>2185</v>
      </c>
      <c r="AH157" s="497" t="s">
        <v>986</v>
      </c>
      <c r="AI157" s="498" t="s">
        <v>37</v>
      </c>
      <c r="AJ157" s="497" t="s">
        <v>986</v>
      </c>
      <c r="AK157" s="498" t="s">
        <v>37</v>
      </c>
      <c r="AL157" s="497" t="s">
        <v>986</v>
      </c>
      <c r="AM157" s="499" t="s">
        <v>37</v>
      </c>
      <c r="AN157" s="497" t="s">
        <v>963</v>
      </c>
      <c r="AO157" s="498" t="s">
        <v>203</v>
      </c>
      <c r="AP157" s="497" t="s">
        <v>963</v>
      </c>
      <c r="AQ157" s="498" t="s">
        <v>203</v>
      </c>
      <c r="AR157" s="497" t="s">
        <v>963</v>
      </c>
      <c r="AS157" s="499" t="s">
        <v>204</v>
      </c>
      <c r="AT157" s="497" t="s">
        <v>963</v>
      </c>
      <c r="AU157" s="499" t="s">
        <v>204</v>
      </c>
      <c r="AV157" s="497" t="s">
        <v>963</v>
      </c>
      <c r="AW157" s="498" t="s">
        <v>204</v>
      </c>
      <c r="AX157" s="497" t="s">
        <v>963</v>
      </c>
      <c r="AY157" s="498" t="s">
        <v>204</v>
      </c>
      <c r="AZ157" s="497" t="s">
        <v>986</v>
      </c>
      <c r="BA157" s="498" t="s">
        <v>37</v>
      </c>
      <c r="BB157" s="497" t="s">
        <v>986</v>
      </c>
      <c r="BC157" s="498" t="s">
        <v>37</v>
      </c>
      <c r="BD157" s="497" t="s">
        <v>963</v>
      </c>
      <c r="BE157" s="498" t="s">
        <v>204</v>
      </c>
      <c r="BF157" s="497" t="s">
        <v>963</v>
      </c>
      <c r="BG157" s="498" t="s">
        <v>204</v>
      </c>
      <c r="BH157" s="497" t="s">
        <v>965</v>
      </c>
      <c r="BI157" s="498" t="s">
        <v>2910</v>
      </c>
      <c r="BJ157" s="497" t="s">
        <v>963</v>
      </c>
      <c r="BK157" s="498" t="s">
        <v>2911</v>
      </c>
      <c r="BL157" s="497" t="s">
        <v>965</v>
      </c>
      <c r="BM157" s="498" t="s">
        <v>99</v>
      </c>
      <c r="BN157" s="497" t="s">
        <v>964</v>
      </c>
      <c r="BO157" s="499" t="s">
        <v>2201</v>
      </c>
      <c r="BP157" s="497" t="s">
        <v>986</v>
      </c>
      <c r="BQ157" s="498" t="s">
        <v>37</v>
      </c>
      <c r="BR157" s="497" t="s">
        <v>986</v>
      </c>
      <c r="BS157" s="498" t="s">
        <v>37</v>
      </c>
      <c r="BT157" s="497" t="s">
        <v>986</v>
      </c>
      <c r="BU157" s="498" t="s">
        <v>37</v>
      </c>
      <c r="BV157" s="497" t="s">
        <v>986</v>
      </c>
      <c r="BW157" s="498" t="s">
        <v>37</v>
      </c>
      <c r="BX157" s="497" t="s">
        <v>986</v>
      </c>
      <c r="BY157" s="498" t="s">
        <v>37</v>
      </c>
      <c r="BZ157" s="497" t="s">
        <v>986</v>
      </c>
      <c r="CA157" s="498" t="s">
        <v>37</v>
      </c>
      <c r="CB157" s="497" t="s">
        <v>986</v>
      </c>
      <c r="CC157" s="498" t="s">
        <v>37</v>
      </c>
      <c r="CD157" s="497" t="s">
        <v>986</v>
      </c>
      <c r="CE157" s="498" t="s">
        <v>37</v>
      </c>
      <c r="CF157" s="497" t="s">
        <v>986</v>
      </c>
      <c r="CG157" s="498" t="s">
        <v>710</v>
      </c>
      <c r="CH157" s="497" t="s">
        <v>986</v>
      </c>
      <c r="CI157" s="499" t="s">
        <v>37</v>
      </c>
      <c r="CJ157" s="497" t="s">
        <v>965</v>
      </c>
      <c r="CK157" s="498" t="s">
        <v>1718</v>
      </c>
      <c r="CL157" s="497" t="s">
        <v>986</v>
      </c>
      <c r="CM157" s="498" t="s">
        <v>37</v>
      </c>
      <c r="CN157" s="497" t="s">
        <v>986</v>
      </c>
      <c r="CO157" s="498" t="s">
        <v>37</v>
      </c>
      <c r="CP157" s="566" t="s">
        <v>3996</v>
      </c>
      <c r="CQ157" s="34"/>
      <c r="CR157" s="34"/>
    </row>
    <row r="158" spans="1:96" s="17" customFormat="1" ht="135.75" thickBot="1" x14ac:dyDescent="0.25">
      <c r="A158" s="124">
        <f t="shared" si="2"/>
        <v>153</v>
      </c>
      <c r="B158" s="509" t="s">
        <v>1149</v>
      </c>
      <c r="C158" s="509" t="s">
        <v>1599</v>
      </c>
      <c r="D158" s="510">
        <v>313</v>
      </c>
      <c r="E158" s="510" t="s">
        <v>2388</v>
      </c>
      <c r="F158" s="497" t="s">
        <v>986</v>
      </c>
      <c r="G158" s="498" t="s">
        <v>37</v>
      </c>
      <c r="H158" s="497" t="s">
        <v>986</v>
      </c>
      <c r="I158" s="498" t="s">
        <v>37</v>
      </c>
      <c r="J158" s="497" t="s">
        <v>986</v>
      </c>
      <c r="K158" s="498" t="s">
        <v>37</v>
      </c>
      <c r="L158" s="497" t="s">
        <v>986</v>
      </c>
      <c r="M158" s="498" t="s">
        <v>37</v>
      </c>
      <c r="N158" s="497" t="s">
        <v>986</v>
      </c>
      <c r="O158" s="498" t="s">
        <v>37</v>
      </c>
      <c r="P158" s="497" t="s">
        <v>965</v>
      </c>
      <c r="Q158" s="498" t="s">
        <v>1144</v>
      </c>
      <c r="R158" s="497" t="s">
        <v>965</v>
      </c>
      <c r="S158" s="498" t="s">
        <v>855</v>
      </c>
      <c r="T158" s="497" t="s">
        <v>986</v>
      </c>
      <c r="U158" s="499" t="s">
        <v>37</v>
      </c>
      <c r="V158" s="497" t="s">
        <v>965</v>
      </c>
      <c r="W158" s="559" t="s">
        <v>1144</v>
      </c>
      <c r="X158" s="497" t="s">
        <v>986</v>
      </c>
      <c r="Y158" s="498" t="s">
        <v>84</v>
      </c>
      <c r="Z158" s="497" t="s">
        <v>986</v>
      </c>
      <c r="AA158" s="498" t="s">
        <v>85</v>
      </c>
      <c r="AB158" s="497" t="s">
        <v>986</v>
      </c>
      <c r="AC158" s="498" t="s">
        <v>84</v>
      </c>
      <c r="AD158" s="497" t="s">
        <v>986</v>
      </c>
      <c r="AE158" s="498" t="s">
        <v>37</v>
      </c>
      <c r="AF158" s="497" t="s">
        <v>965</v>
      </c>
      <c r="AG158" s="499" t="s">
        <v>393</v>
      </c>
      <c r="AH158" s="497" t="s">
        <v>986</v>
      </c>
      <c r="AI158" s="498" t="s">
        <v>37</v>
      </c>
      <c r="AJ158" s="497" t="s">
        <v>986</v>
      </c>
      <c r="AK158" s="498" t="s">
        <v>37</v>
      </c>
      <c r="AL158" s="497" t="s">
        <v>986</v>
      </c>
      <c r="AM158" s="499" t="s">
        <v>37</v>
      </c>
      <c r="AN158" s="497" t="s">
        <v>964</v>
      </c>
      <c r="AO158" s="498" t="s">
        <v>228</v>
      </c>
      <c r="AP158" s="497" t="s">
        <v>963</v>
      </c>
      <c r="AQ158" s="498" t="s">
        <v>175</v>
      </c>
      <c r="AR158" s="497" t="s">
        <v>963</v>
      </c>
      <c r="AS158" s="499" t="s">
        <v>228</v>
      </c>
      <c r="AT158" s="497" t="s">
        <v>965</v>
      </c>
      <c r="AU158" s="499" t="s">
        <v>734</v>
      </c>
      <c r="AV158" s="497" t="s">
        <v>963</v>
      </c>
      <c r="AW158" s="498" t="s">
        <v>228</v>
      </c>
      <c r="AX158" s="497" t="s">
        <v>963</v>
      </c>
      <c r="AY158" s="498" t="s">
        <v>1562</v>
      </c>
      <c r="AZ158" s="497" t="s">
        <v>986</v>
      </c>
      <c r="BA158" s="498" t="s">
        <v>674</v>
      </c>
      <c r="BB158" s="497" t="s">
        <v>986</v>
      </c>
      <c r="BC158" s="498" t="s">
        <v>37</v>
      </c>
      <c r="BD158" s="497" t="s">
        <v>986</v>
      </c>
      <c r="BE158" s="498" t="s">
        <v>37</v>
      </c>
      <c r="BF158" s="497" t="s">
        <v>965</v>
      </c>
      <c r="BG158" s="498" t="s">
        <v>2151</v>
      </c>
      <c r="BH158" s="497" t="s">
        <v>958</v>
      </c>
      <c r="BI158" s="498" t="s">
        <v>2917</v>
      </c>
      <c r="BJ158" s="497" t="s">
        <v>958</v>
      </c>
      <c r="BK158" s="498" t="s">
        <v>2918</v>
      </c>
      <c r="BL158" s="497" t="s">
        <v>958</v>
      </c>
      <c r="BM158" s="498" t="s">
        <v>2919</v>
      </c>
      <c r="BN158" s="497" t="s">
        <v>961</v>
      </c>
      <c r="BO158" s="499" t="s">
        <v>2920</v>
      </c>
      <c r="BP158" s="497" t="s">
        <v>963</v>
      </c>
      <c r="BQ158" s="498" t="s">
        <v>229</v>
      </c>
      <c r="BR158" s="497" t="s">
        <v>986</v>
      </c>
      <c r="BS158" s="498" t="s">
        <v>37</v>
      </c>
      <c r="BT158" s="497" t="s">
        <v>986</v>
      </c>
      <c r="BU158" s="498" t="s">
        <v>37</v>
      </c>
      <c r="BV158" s="497" t="s">
        <v>986</v>
      </c>
      <c r="BW158" s="498" t="s">
        <v>37</v>
      </c>
      <c r="BX158" s="497" t="s">
        <v>986</v>
      </c>
      <c r="BY158" s="498" t="s">
        <v>37</v>
      </c>
      <c r="BZ158" s="497" t="s">
        <v>986</v>
      </c>
      <c r="CA158" s="498" t="s">
        <v>37</v>
      </c>
      <c r="CB158" s="497" t="s">
        <v>986</v>
      </c>
      <c r="CC158" s="498" t="s">
        <v>37</v>
      </c>
      <c r="CD158" s="497" t="s">
        <v>986</v>
      </c>
      <c r="CE158" s="498" t="s">
        <v>37</v>
      </c>
      <c r="CF158" s="497" t="s">
        <v>986</v>
      </c>
      <c r="CG158" s="498" t="s">
        <v>37</v>
      </c>
      <c r="CH158" s="497" t="s">
        <v>986</v>
      </c>
      <c r="CI158" s="499" t="s">
        <v>37</v>
      </c>
      <c r="CJ158" s="497" t="s">
        <v>986</v>
      </c>
      <c r="CK158" s="498" t="s">
        <v>37</v>
      </c>
      <c r="CL158" s="497" t="s">
        <v>986</v>
      </c>
      <c r="CM158" s="498" t="s">
        <v>37</v>
      </c>
      <c r="CN158" s="497" t="s">
        <v>986</v>
      </c>
      <c r="CO158" s="498" t="s">
        <v>37</v>
      </c>
      <c r="CP158" s="566" t="s">
        <v>3997</v>
      </c>
      <c r="CQ158" s="18"/>
      <c r="CR158" s="18"/>
    </row>
    <row r="159" spans="1:96" s="5" customFormat="1" ht="147" thickBot="1" x14ac:dyDescent="0.25">
      <c r="A159" s="124">
        <f t="shared" si="2"/>
        <v>154</v>
      </c>
      <c r="B159" s="509" t="s">
        <v>1825</v>
      </c>
      <c r="C159" s="509" t="s">
        <v>1599</v>
      </c>
      <c r="D159" s="510">
        <v>634</v>
      </c>
      <c r="E159" s="510" t="s">
        <v>2384</v>
      </c>
      <c r="F159" s="497" t="s">
        <v>958</v>
      </c>
      <c r="G159" s="498" t="s">
        <v>823</v>
      </c>
      <c r="H159" s="497" t="s">
        <v>958</v>
      </c>
      <c r="I159" s="498" t="s">
        <v>920</v>
      </c>
      <c r="J159" s="497" t="s">
        <v>958</v>
      </c>
      <c r="K159" s="498" t="s">
        <v>823</v>
      </c>
      <c r="L159" s="497" t="s">
        <v>986</v>
      </c>
      <c r="M159" s="498" t="s">
        <v>37</v>
      </c>
      <c r="N159" s="497" t="s">
        <v>986</v>
      </c>
      <c r="O159" s="498" t="s">
        <v>37</v>
      </c>
      <c r="P159" s="497" t="s">
        <v>986</v>
      </c>
      <c r="Q159" s="498" t="s">
        <v>37</v>
      </c>
      <c r="R159" s="497" t="s">
        <v>958</v>
      </c>
      <c r="S159" s="498" t="s">
        <v>425</v>
      </c>
      <c r="T159" s="497" t="s">
        <v>986</v>
      </c>
      <c r="U159" s="499" t="s">
        <v>37</v>
      </c>
      <c r="V159" s="497" t="s">
        <v>986</v>
      </c>
      <c r="W159" s="498" t="s">
        <v>37</v>
      </c>
      <c r="X159" s="497" t="s">
        <v>986</v>
      </c>
      <c r="Y159" s="498" t="s">
        <v>426</v>
      </c>
      <c r="Z159" s="497" t="s">
        <v>986</v>
      </c>
      <c r="AA159" s="498" t="s">
        <v>426</v>
      </c>
      <c r="AB159" s="497" t="s">
        <v>986</v>
      </c>
      <c r="AC159" s="498" t="s">
        <v>426</v>
      </c>
      <c r="AD159" s="497" t="s">
        <v>986</v>
      </c>
      <c r="AE159" s="498" t="s">
        <v>37</v>
      </c>
      <c r="AF159" s="497" t="s">
        <v>986</v>
      </c>
      <c r="AG159" s="499" t="s">
        <v>427</v>
      </c>
      <c r="AH159" s="497" t="s">
        <v>965</v>
      </c>
      <c r="AI159" s="498" t="s">
        <v>427</v>
      </c>
      <c r="AJ159" s="497" t="s">
        <v>986</v>
      </c>
      <c r="AK159" s="498" t="s">
        <v>37</v>
      </c>
      <c r="AL159" s="497" t="s">
        <v>986</v>
      </c>
      <c r="AM159" s="499" t="s">
        <v>37</v>
      </c>
      <c r="AN159" s="497" t="s">
        <v>963</v>
      </c>
      <c r="AO159" s="498" t="s">
        <v>430</v>
      </c>
      <c r="AP159" s="497" t="s">
        <v>963</v>
      </c>
      <c r="AQ159" s="498" t="s">
        <v>126</v>
      </c>
      <c r="AR159" s="497" t="s">
        <v>963</v>
      </c>
      <c r="AS159" s="499" t="s">
        <v>431</v>
      </c>
      <c r="AT159" s="497" t="s">
        <v>963</v>
      </c>
      <c r="AU159" s="499" t="s">
        <v>428</v>
      </c>
      <c r="AV159" s="497" t="s">
        <v>963</v>
      </c>
      <c r="AW159" s="498" t="s">
        <v>1645</v>
      </c>
      <c r="AX159" s="497" t="s">
        <v>963</v>
      </c>
      <c r="AY159" s="498" t="s">
        <v>429</v>
      </c>
      <c r="AZ159" s="497" t="s">
        <v>986</v>
      </c>
      <c r="BA159" s="498" t="s">
        <v>37</v>
      </c>
      <c r="BB159" s="497" t="s">
        <v>986</v>
      </c>
      <c r="BC159" s="498" t="s">
        <v>37</v>
      </c>
      <c r="BD159" s="497" t="s">
        <v>986</v>
      </c>
      <c r="BE159" s="498" t="s">
        <v>2122</v>
      </c>
      <c r="BF159" s="497" t="s">
        <v>986</v>
      </c>
      <c r="BG159" s="498" t="s">
        <v>428</v>
      </c>
      <c r="BH159" s="497" t="s">
        <v>958</v>
      </c>
      <c r="BI159" s="498" t="s">
        <v>2921</v>
      </c>
      <c r="BJ159" s="497" t="s">
        <v>958</v>
      </c>
      <c r="BK159" s="498" t="s">
        <v>2922</v>
      </c>
      <c r="BL159" s="497" t="s">
        <v>986</v>
      </c>
      <c r="BM159" s="498" t="s">
        <v>37</v>
      </c>
      <c r="BN159" s="497" t="s">
        <v>958</v>
      </c>
      <c r="BO159" s="499" t="s">
        <v>2923</v>
      </c>
      <c r="BP159" s="497" t="s">
        <v>986</v>
      </c>
      <c r="BQ159" s="498" t="s">
        <v>37</v>
      </c>
      <c r="BR159" s="497" t="s">
        <v>986</v>
      </c>
      <c r="BS159" s="498" t="s">
        <v>37</v>
      </c>
      <c r="BT159" s="497" t="s">
        <v>958</v>
      </c>
      <c r="BU159" s="498" t="s">
        <v>435</v>
      </c>
      <c r="BV159" s="497" t="s">
        <v>986</v>
      </c>
      <c r="BW159" s="498" t="s">
        <v>37</v>
      </c>
      <c r="BX159" s="497" t="s">
        <v>986</v>
      </c>
      <c r="BY159" s="498" t="s">
        <v>37</v>
      </c>
      <c r="BZ159" s="497" t="s">
        <v>986</v>
      </c>
      <c r="CA159" s="498" t="s">
        <v>37</v>
      </c>
      <c r="CB159" s="497" t="s">
        <v>986</v>
      </c>
      <c r="CC159" s="498" t="s">
        <v>37</v>
      </c>
      <c r="CD159" s="497" t="s">
        <v>986</v>
      </c>
      <c r="CE159" s="498" t="s">
        <v>37</v>
      </c>
      <c r="CF159" s="497" t="s">
        <v>986</v>
      </c>
      <c r="CG159" s="498" t="s">
        <v>37</v>
      </c>
      <c r="CH159" s="497" t="s">
        <v>986</v>
      </c>
      <c r="CI159" s="499" t="s">
        <v>37</v>
      </c>
      <c r="CJ159" s="497" t="s">
        <v>986</v>
      </c>
      <c r="CK159" s="498" t="s">
        <v>37</v>
      </c>
      <c r="CL159" s="497" t="s">
        <v>986</v>
      </c>
      <c r="CM159" s="498" t="s">
        <v>37</v>
      </c>
      <c r="CN159" s="497" t="s">
        <v>986</v>
      </c>
      <c r="CO159" s="498" t="s">
        <v>37</v>
      </c>
      <c r="CP159" s="517"/>
      <c r="CQ159" s="34"/>
      <c r="CR159" s="34"/>
    </row>
    <row r="160" spans="1:96" s="5" customFormat="1" ht="113.25" thickBot="1" x14ac:dyDescent="0.25">
      <c r="A160" s="124">
        <f t="shared" si="2"/>
        <v>155</v>
      </c>
      <c r="B160" s="509" t="s">
        <v>1150</v>
      </c>
      <c r="C160" s="509" t="s">
        <v>1599</v>
      </c>
      <c r="D160" s="510">
        <v>629</v>
      </c>
      <c r="E160" s="510" t="s">
        <v>2384</v>
      </c>
      <c r="F160" s="497" t="s">
        <v>986</v>
      </c>
      <c r="G160" s="498" t="s">
        <v>3707</v>
      </c>
      <c r="H160" s="497" t="s">
        <v>986</v>
      </c>
      <c r="I160" s="498" t="s">
        <v>3707</v>
      </c>
      <c r="J160" s="497" t="s">
        <v>986</v>
      </c>
      <c r="K160" s="498" t="s">
        <v>3707</v>
      </c>
      <c r="L160" s="497" t="s">
        <v>986</v>
      </c>
      <c r="M160" s="498" t="s">
        <v>37</v>
      </c>
      <c r="N160" s="497" t="s">
        <v>986</v>
      </c>
      <c r="O160" s="498" t="s">
        <v>37</v>
      </c>
      <c r="P160" s="497" t="s">
        <v>965</v>
      </c>
      <c r="Q160" s="498" t="s">
        <v>908</v>
      </c>
      <c r="R160" s="497" t="s">
        <v>965</v>
      </c>
      <c r="S160" s="498" t="s">
        <v>2207</v>
      </c>
      <c r="T160" s="497" t="s">
        <v>986</v>
      </c>
      <c r="U160" s="499" t="s">
        <v>37</v>
      </c>
      <c r="V160" s="497" t="s">
        <v>986</v>
      </c>
      <c r="W160" s="498" t="s">
        <v>560</v>
      </c>
      <c r="X160" s="497" t="s">
        <v>986</v>
      </c>
      <c r="Y160" s="498" t="s">
        <v>37</v>
      </c>
      <c r="Z160" s="497" t="s">
        <v>986</v>
      </c>
      <c r="AA160" s="498" t="s">
        <v>37</v>
      </c>
      <c r="AB160" s="497" t="s">
        <v>986</v>
      </c>
      <c r="AC160" s="498" t="s">
        <v>2208</v>
      </c>
      <c r="AD160" s="497" t="s">
        <v>986</v>
      </c>
      <c r="AE160" s="498" t="s">
        <v>37</v>
      </c>
      <c r="AF160" s="497" t="s">
        <v>965</v>
      </c>
      <c r="AG160" s="499" t="s">
        <v>2185</v>
      </c>
      <c r="AH160" s="497" t="s">
        <v>986</v>
      </c>
      <c r="AI160" s="498" t="s">
        <v>37</v>
      </c>
      <c r="AJ160" s="497" t="s">
        <v>986</v>
      </c>
      <c r="AK160" s="498" t="s">
        <v>37</v>
      </c>
      <c r="AL160" s="497" t="s">
        <v>986</v>
      </c>
      <c r="AM160" s="499" t="s">
        <v>37</v>
      </c>
      <c r="AN160" s="497" t="s">
        <v>963</v>
      </c>
      <c r="AO160" s="498" t="s">
        <v>1283</v>
      </c>
      <c r="AP160" s="497" t="s">
        <v>963</v>
      </c>
      <c r="AQ160" s="498" t="s">
        <v>1283</v>
      </c>
      <c r="AR160" s="497" t="s">
        <v>963</v>
      </c>
      <c r="AS160" s="499" t="s">
        <v>1702</v>
      </c>
      <c r="AT160" s="497" t="s">
        <v>963</v>
      </c>
      <c r="AU160" s="499" t="s">
        <v>1284</v>
      </c>
      <c r="AV160" s="497" t="s">
        <v>963</v>
      </c>
      <c r="AW160" s="498" t="s">
        <v>1702</v>
      </c>
      <c r="AX160" s="497" t="s">
        <v>963</v>
      </c>
      <c r="AY160" s="498" t="s">
        <v>1284</v>
      </c>
      <c r="AZ160" s="497" t="s">
        <v>986</v>
      </c>
      <c r="BA160" s="498" t="s">
        <v>37</v>
      </c>
      <c r="BB160" s="497" t="s">
        <v>986</v>
      </c>
      <c r="BC160" s="498" t="s">
        <v>37</v>
      </c>
      <c r="BD160" s="497" t="s">
        <v>963</v>
      </c>
      <c r="BE160" s="498" t="s">
        <v>1702</v>
      </c>
      <c r="BF160" s="497" t="s">
        <v>963</v>
      </c>
      <c r="BG160" s="498" t="s">
        <v>1284</v>
      </c>
      <c r="BH160" s="497" t="s">
        <v>965</v>
      </c>
      <c r="BI160" s="498" t="s">
        <v>2924</v>
      </c>
      <c r="BJ160" s="497" t="s">
        <v>965</v>
      </c>
      <c r="BK160" s="498" t="s">
        <v>2925</v>
      </c>
      <c r="BL160" s="497" t="s">
        <v>965</v>
      </c>
      <c r="BM160" s="498" t="s">
        <v>2926</v>
      </c>
      <c r="BN160" s="497" t="s">
        <v>964</v>
      </c>
      <c r="BO160" s="499" t="s">
        <v>2209</v>
      </c>
      <c r="BP160" s="497" t="s">
        <v>963</v>
      </c>
      <c r="BQ160" s="498" t="s">
        <v>1282</v>
      </c>
      <c r="BR160" s="497" t="s">
        <v>986</v>
      </c>
      <c r="BS160" s="498" t="s">
        <v>37</v>
      </c>
      <c r="BT160" s="497" t="s">
        <v>986</v>
      </c>
      <c r="BU160" s="498" t="s">
        <v>37</v>
      </c>
      <c r="BV160" s="497" t="s">
        <v>986</v>
      </c>
      <c r="BW160" s="498" t="s">
        <v>37</v>
      </c>
      <c r="BX160" s="497" t="s">
        <v>986</v>
      </c>
      <c r="BY160" s="498" t="s">
        <v>37</v>
      </c>
      <c r="BZ160" s="497" t="s">
        <v>986</v>
      </c>
      <c r="CA160" s="498" t="s">
        <v>37</v>
      </c>
      <c r="CB160" s="497" t="s">
        <v>986</v>
      </c>
      <c r="CC160" s="498" t="s">
        <v>37</v>
      </c>
      <c r="CD160" s="497" t="s">
        <v>986</v>
      </c>
      <c r="CE160" s="498" t="s">
        <v>37</v>
      </c>
      <c r="CF160" s="497" t="s">
        <v>986</v>
      </c>
      <c r="CG160" s="498" t="s">
        <v>1285</v>
      </c>
      <c r="CH160" s="497" t="s">
        <v>986</v>
      </c>
      <c r="CI160" s="499" t="s">
        <v>37</v>
      </c>
      <c r="CJ160" s="497" t="s">
        <v>965</v>
      </c>
      <c r="CK160" s="498" t="s">
        <v>1005</v>
      </c>
      <c r="CL160" s="497" t="s">
        <v>986</v>
      </c>
      <c r="CM160" s="498" t="s">
        <v>37</v>
      </c>
      <c r="CN160" s="497" t="s">
        <v>986</v>
      </c>
      <c r="CO160" s="498" t="s">
        <v>37</v>
      </c>
      <c r="CP160" s="517"/>
      <c r="CQ160" s="34"/>
      <c r="CR160" s="34"/>
    </row>
    <row r="161" spans="1:96" s="5" customFormat="1" ht="112.9" customHeight="1" thickBot="1" x14ac:dyDescent="0.25">
      <c r="A161" s="124">
        <f t="shared" si="2"/>
        <v>156</v>
      </c>
      <c r="B161" s="509" t="s">
        <v>1151</v>
      </c>
      <c r="C161" s="509" t="s">
        <v>1599</v>
      </c>
      <c r="D161" s="510">
        <v>359</v>
      </c>
      <c r="E161" s="510" t="s">
        <v>2388</v>
      </c>
      <c r="F161" s="497" t="s">
        <v>986</v>
      </c>
      <c r="G161" s="498" t="s">
        <v>37</v>
      </c>
      <c r="H161" s="497" t="s">
        <v>986</v>
      </c>
      <c r="I161" s="498" t="s">
        <v>37</v>
      </c>
      <c r="J161" s="497" t="s">
        <v>986</v>
      </c>
      <c r="K161" s="498" t="s">
        <v>37</v>
      </c>
      <c r="L161" s="497" t="s">
        <v>986</v>
      </c>
      <c r="M161" s="498" t="s">
        <v>37</v>
      </c>
      <c r="N161" s="497" t="s">
        <v>986</v>
      </c>
      <c r="O161" s="498" t="s">
        <v>37</v>
      </c>
      <c r="P161" s="497" t="s">
        <v>965</v>
      </c>
      <c r="Q161" s="498" t="s">
        <v>1144</v>
      </c>
      <c r="R161" s="497" t="s">
        <v>965</v>
      </c>
      <c r="S161" s="498" t="s">
        <v>855</v>
      </c>
      <c r="T161" s="497" t="s">
        <v>986</v>
      </c>
      <c r="U161" s="499" t="s">
        <v>37</v>
      </c>
      <c r="V161" s="497" t="s">
        <v>986</v>
      </c>
      <c r="W161" s="498" t="s">
        <v>37</v>
      </c>
      <c r="X161" s="497" t="s">
        <v>986</v>
      </c>
      <c r="Y161" s="498" t="s">
        <v>84</v>
      </c>
      <c r="Z161" s="497" t="s">
        <v>986</v>
      </c>
      <c r="AA161" s="498" t="s">
        <v>230</v>
      </c>
      <c r="AB161" s="497" t="s">
        <v>986</v>
      </c>
      <c r="AC161" s="498" t="s">
        <v>84</v>
      </c>
      <c r="AD161" s="497" t="s">
        <v>986</v>
      </c>
      <c r="AE161" s="498" t="s">
        <v>37</v>
      </c>
      <c r="AF161" s="497" t="s">
        <v>965</v>
      </c>
      <c r="AG161" s="499" t="s">
        <v>1693</v>
      </c>
      <c r="AH161" s="497" t="s">
        <v>986</v>
      </c>
      <c r="AI161" s="498" t="s">
        <v>37</v>
      </c>
      <c r="AJ161" s="497" t="s">
        <v>986</v>
      </c>
      <c r="AK161" s="498" t="s">
        <v>37</v>
      </c>
      <c r="AL161" s="497" t="s">
        <v>986</v>
      </c>
      <c r="AM161" s="499" t="s">
        <v>37</v>
      </c>
      <c r="AN161" s="497" t="s">
        <v>964</v>
      </c>
      <c r="AO161" s="498" t="s">
        <v>228</v>
      </c>
      <c r="AP161" s="497" t="s">
        <v>963</v>
      </c>
      <c r="AQ161" s="498" t="s">
        <v>175</v>
      </c>
      <c r="AR161" s="497" t="s">
        <v>963</v>
      </c>
      <c r="AS161" s="499" t="s">
        <v>228</v>
      </c>
      <c r="AT161" s="497" t="s">
        <v>965</v>
      </c>
      <c r="AU161" s="499" t="s">
        <v>734</v>
      </c>
      <c r="AV161" s="497" t="s">
        <v>964</v>
      </c>
      <c r="AW161" s="498" t="s">
        <v>228</v>
      </c>
      <c r="AX161" s="497" t="s">
        <v>963</v>
      </c>
      <c r="AY161" s="498" t="s">
        <v>1184</v>
      </c>
      <c r="AZ161" s="497" t="s">
        <v>986</v>
      </c>
      <c r="BA161" s="498" t="s">
        <v>674</v>
      </c>
      <c r="BB161" s="497" t="s">
        <v>986</v>
      </c>
      <c r="BC161" s="498" t="s">
        <v>37</v>
      </c>
      <c r="BD161" s="497" t="s">
        <v>986</v>
      </c>
      <c r="BE161" s="498" t="s">
        <v>37</v>
      </c>
      <c r="BF161" s="497" t="s">
        <v>965</v>
      </c>
      <c r="BG161" s="498" t="s">
        <v>2151</v>
      </c>
      <c r="BH161" s="497" t="s">
        <v>958</v>
      </c>
      <c r="BI161" s="498" t="s">
        <v>2927</v>
      </c>
      <c r="BJ161" s="497" t="s">
        <v>965</v>
      </c>
      <c r="BK161" s="498" t="s">
        <v>2928</v>
      </c>
      <c r="BL161" s="497" t="s">
        <v>959</v>
      </c>
      <c r="BM161" s="498" t="s">
        <v>2929</v>
      </c>
      <c r="BN161" s="497" t="s">
        <v>958</v>
      </c>
      <c r="BO161" s="499" t="s">
        <v>1648</v>
      </c>
      <c r="BP161" s="497" t="s">
        <v>963</v>
      </c>
      <c r="BQ161" s="498" t="s">
        <v>229</v>
      </c>
      <c r="BR161" s="497" t="s">
        <v>986</v>
      </c>
      <c r="BS161" s="498" t="s">
        <v>37</v>
      </c>
      <c r="BT161" s="497" t="s">
        <v>986</v>
      </c>
      <c r="BU161" s="498" t="s">
        <v>37</v>
      </c>
      <c r="BV161" s="497" t="s">
        <v>986</v>
      </c>
      <c r="BW161" s="498" t="s">
        <v>37</v>
      </c>
      <c r="BX161" s="497" t="s">
        <v>986</v>
      </c>
      <c r="BY161" s="498" t="s">
        <v>37</v>
      </c>
      <c r="BZ161" s="497" t="s">
        <v>986</v>
      </c>
      <c r="CA161" s="498" t="s">
        <v>37</v>
      </c>
      <c r="CB161" s="497" t="s">
        <v>986</v>
      </c>
      <c r="CC161" s="498" t="s">
        <v>37</v>
      </c>
      <c r="CD161" s="497" t="s">
        <v>986</v>
      </c>
      <c r="CE161" s="498" t="s">
        <v>37</v>
      </c>
      <c r="CF161" s="497" t="s">
        <v>986</v>
      </c>
      <c r="CG161" s="498" t="s">
        <v>37</v>
      </c>
      <c r="CH161" s="497" t="s">
        <v>986</v>
      </c>
      <c r="CI161" s="499" t="s">
        <v>37</v>
      </c>
      <c r="CJ161" s="497" t="s">
        <v>986</v>
      </c>
      <c r="CK161" s="498" t="s">
        <v>37</v>
      </c>
      <c r="CL161" s="497" t="s">
        <v>965</v>
      </c>
      <c r="CM161" s="498" t="s">
        <v>1833</v>
      </c>
      <c r="CN161" s="497" t="s">
        <v>986</v>
      </c>
      <c r="CO161" s="498" t="s">
        <v>37</v>
      </c>
      <c r="CP161" s="517"/>
      <c r="CQ161" s="34"/>
      <c r="CR161" s="34"/>
    </row>
    <row r="162" spans="1:96" s="5" customFormat="1" ht="79.5" thickBot="1" x14ac:dyDescent="0.25">
      <c r="A162" s="124">
        <f t="shared" si="2"/>
        <v>157</v>
      </c>
      <c r="B162" s="509" t="s">
        <v>1152</v>
      </c>
      <c r="C162" s="509" t="s">
        <v>1597</v>
      </c>
      <c r="D162" s="510">
        <v>638</v>
      </c>
      <c r="E162" s="510" t="s">
        <v>2388</v>
      </c>
      <c r="F162" s="497" t="s">
        <v>986</v>
      </c>
      <c r="G162" s="498" t="s">
        <v>37</v>
      </c>
      <c r="H162" s="497" t="s">
        <v>986</v>
      </c>
      <c r="I162" s="498" t="s">
        <v>37</v>
      </c>
      <c r="J162" s="497" t="s">
        <v>963</v>
      </c>
      <c r="K162" s="498" t="s">
        <v>1705</v>
      </c>
      <c r="L162" s="497" t="s">
        <v>963</v>
      </c>
      <c r="M162" s="498" t="s">
        <v>1683</v>
      </c>
      <c r="N162" s="497" t="s">
        <v>986</v>
      </c>
      <c r="O162" s="498" t="s">
        <v>37</v>
      </c>
      <c r="P162" s="497" t="s">
        <v>986</v>
      </c>
      <c r="Q162" s="498" t="s">
        <v>37</v>
      </c>
      <c r="R162" s="497" t="s">
        <v>986</v>
      </c>
      <c r="S162" s="498" t="s">
        <v>37</v>
      </c>
      <c r="T162" s="497" t="s">
        <v>986</v>
      </c>
      <c r="U162" s="499" t="s">
        <v>37</v>
      </c>
      <c r="V162" s="497" t="s">
        <v>986</v>
      </c>
      <c r="W162" s="498" t="s">
        <v>37</v>
      </c>
      <c r="X162" s="497" t="s">
        <v>961</v>
      </c>
      <c r="Y162" s="498" t="s">
        <v>769</v>
      </c>
      <c r="Z162" s="497" t="s">
        <v>963</v>
      </c>
      <c r="AA162" s="498" t="s">
        <v>770</v>
      </c>
      <c r="AB162" s="497" t="s">
        <v>961</v>
      </c>
      <c r="AC162" s="498" t="s">
        <v>771</v>
      </c>
      <c r="AD162" s="497" t="s">
        <v>986</v>
      </c>
      <c r="AE162" s="498" t="s">
        <v>37</v>
      </c>
      <c r="AF162" s="497" t="s">
        <v>986</v>
      </c>
      <c r="AG162" s="499" t="s">
        <v>37</v>
      </c>
      <c r="AH162" s="497" t="s">
        <v>986</v>
      </c>
      <c r="AI162" s="498" t="s">
        <v>37</v>
      </c>
      <c r="AJ162" s="497" t="s">
        <v>986</v>
      </c>
      <c r="AK162" s="498" t="s">
        <v>1047</v>
      </c>
      <c r="AL162" s="497" t="s">
        <v>958</v>
      </c>
      <c r="AM162" s="499" t="s">
        <v>1044</v>
      </c>
      <c r="AN162" s="497" t="s">
        <v>986</v>
      </c>
      <c r="AO162" s="498" t="s">
        <v>1047</v>
      </c>
      <c r="AP162" s="497" t="s">
        <v>958</v>
      </c>
      <c r="AQ162" s="498" t="s">
        <v>1045</v>
      </c>
      <c r="AR162" s="497" t="s">
        <v>986</v>
      </c>
      <c r="AS162" s="499" t="s">
        <v>1047</v>
      </c>
      <c r="AT162" s="497" t="s">
        <v>958</v>
      </c>
      <c r="AU162" s="499" t="s">
        <v>154</v>
      </c>
      <c r="AV162" s="497" t="s">
        <v>986</v>
      </c>
      <c r="AW162" s="498" t="s">
        <v>1047</v>
      </c>
      <c r="AX162" s="497" t="s">
        <v>958</v>
      </c>
      <c r="AY162" s="498" t="s">
        <v>1046</v>
      </c>
      <c r="AZ162" s="497" t="s">
        <v>964</v>
      </c>
      <c r="BA162" s="498" t="s">
        <v>974</v>
      </c>
      <c r="BB162" s="497" t="s">
        <v>961</v>
      </c>
      <c r="BC162" s="498" t="s">
        <v>1740</v>
      </c>
      <c r="BD162" s="497" t="s">
        <v>986</v>
      </c>
      <c r="BE162" s="498" t="s">
        <v>1047</v>
      </c>
      <c r="BF162" s="497" t="s">
        <v>958</v>
      </c>
      <c r="BG162" s="498" t="s">
        <v>2152</v>
      </c>
      <c r="BH162" s="497" t="s">
        <v>986</v>
      </c>
      <c r="BI162" s="498" t="s">
        <v>37</v>
      </c>
      <c r="BJ162" s="497" t="s">
        <v>986</v>
      </c>
      <c r="BK162" s="498" t="s">
        <v>37</v>
      </c>
      <c r="BL162" s="497" t="s">
        <v>986</v>
      </c>
      <c r="BM162" s="498" t="s">
        <v>37</v>
      </c>
      <c r="BN162" s="497" t="s">
        <v>986</v>
      </c>
      <c r="BO162" s="499" t="s">
        <v>37</v>
      </c>
      <c r="BP162" s="497" t="s">
        <v>986</v>
      </c>
      <c r="BQ162" s="498" t="s">
        <v>37</v>
      </c>
      <c r="BR162" s="497" t="s">
        <v>986</v>
      </c>
      <c r="BS162" s="498" t="s">
        <v>37</v>
      </c>
      <c r="BT162" s="497" t="s">
        <v>986</v>
      </c>
      <c r="BU162" s="498" t="s">
        <v>37</v>
      </c>
      <c r="BV162" s="497" t="s">
        <v>986</v>
      </c>
      <c r="BW162" s="498" t="s">
        <v>37</v>
      </c>
      <c r="BX162" s="497" t="s">
        <v>986</v>
      </c>
      <c r="BY162" s="498" t="s">
        <v>37</v>
      </c>
      <c r="BZ162" s="497" t="s">
        <v>986</v>
      </c>
      <c r="CA162" s="498" t="s">
        <v>37</v>
      </c>
      <c r="CB162" s="497" t="s">
        <v>963</v>
      </c>
      <c r="CC162" s="498" t="s">
        <v>597</v>
      </c>
      <c r="CD162" s="497" t="s">
        <v>986</v>
      </c>
      <c r="CE162" s="498" t="s">
        <v>37</v>
      </c>
      <c r="CF162" s="497" t="s">
        <v>986</v>
      </c>
      <c r="CG162" s="498" t="s">
        <v>37</v>
      </c>
      <c r="CH162" s="497" t="s">
        <v>986</v>
      </c>
      <c r="CI162" s="499" t="s">
        <v>37</v>
      </c>
      <c r="CJ162" s="497" t="s">
        <v>986</v>
      </c>
      <c r="CK162" s="498" t="s">
        <v>37</v>
      </c>
      <c r="CL162" s="497" t="s">
        <v>986</v>
      </c>
      <c r="CM162" s="498" t="s">
        <v>37</v>
      </c>
      <c r="CN162" s="497" t="s">
        <v>986</v>
      </c>
      <c r="CO162" s="498" t="s">
        <v>37</v>
      </c>
      <c r="CP162" s="517"/>
      <c r="CQ162" s="34"/>
      <c r="CR162" s="34"/>
    </row>
    <row r="163" spans="1:96" s="5" customFormat="1" ht="79.5" thickBot="1" x14ac:dyDescent="0.25">
      <c r="A163" s="124">
        <f t="shared" si="2"/>
        <v>158</v>
      </c>
      <c r="B163" s="509" t="s">
        <v>1153</v>
      </c>
      <c r="C163" s="509" t="s">
        <v>1601</v>
      </c>
      <c r="D163" s="510">
        <v>636</v>
      </c>
      <c r="E163" s="510" t="s">
        <v>2388</v>
      </c>
      <c r="F163" s="497" t="s">
        <v>986</v>
      </c>
      <c r="G163" s="498" t="s">
        <v>37</v>
      </c>
      <c r="H163" s="497" t="s">
        <v>986</v>
      </c>
      <c r="I163" s="498" t="s">
        <v>37</v>
      </c>
      <c r="J163" s="497" t="s">
        <v>986</v>
      </c>
      <c r="K163" s="498" t="s">
        <v>37</v>
      </c>
      <c r="L163" s="497" t="s">
        <v>986</v>
      </c>
      <c r="M163" s="498" t="s">
        <v>37</v>
      </c>
      <c r="N163" s="497" t="s">
        <v>986</v>
      </c>
      <c r="O163" s="498" t="s">
        <v>37</v>
      </c>
      <c r="P163" s="497" t="s">
        <v>986</v>
      </c>
      <c r="Q163" s="498" t="s">
        <v>37</v>
      </c>
      <c r="R163" s="497" t="s">
        <v>986</v>
      </c>
      <c r="S163" s="498" t="s">
        <v>37</v>
      </c>
      <c r="T163" s="497" t="s">
        <v>986</v>
      </c>
      <c r="U163" s="499" t="s">
        <v>37</v>
      </c>
      <c r="V163" s="497" t="s">
        <v>986</v>
      </c>
      <c r="W163" s="498" t="s">
        <v>37</v>
      </c>
      <c r="X163" s="497" t="s">
        <v>965</v>
      </c>
      <c r="Y163" s="498" t="s">
        <v>1321</v>
      </c>
      <c r="Z163" s="497" t="s">
        <v>986</v>
      </c>
      <c r="AA163" s="498" t="s">
        <v>37</v>
      </c>
      <c r="AB163" s="497" t="s">
        <v>986</v>
      </c>
      <c r="AC163" s="498" t="s">
        <v>37</v>
      </c>
      <c r="AD163" s="497" t="s">
        <v>986</v>
      </c>
      <c r="AE163" s="498" t="s">
        <v>37</v>
      </c>
      <c r="AF163" s="497" t="s">
        <v>986</v>
      </c>
      <c r="AG163" s="499" t="s">
        <v>37</v>
      </c>
      <c r="AH163" s="497" t="s">
        <v>986</v>
      </c>
      <c r="AI163" s="498" t="s">
        <v>37</v>
      </c>
      <c r="AJ163" s="497" t="s">
        <v>986</v>
      </c>
      <c r="AK163" s="498" t="s">
        <v>37</v>
      </c>
      <c r="AL163" s="497" t="s">
        <v>986</v>
      </c>
      <c r="AM163" s="499" t="s">
        <v>37</v>
      </c>
      <c r="AN163" s="497" t="s">
        <v>986</v>
      </c>
      <c r="AO163" s="498" t="s">
        <v>37</v>
      </c>
      <c r="AP163" s="497" t="s">
        <v>986</v>
      </c>
      <c r="AQ163" s="498" t="s">
        <v>37</v>
      </c>
      <c r="AR163" s="497" t="s">
        <v>986</v>
      </c>
      <c r="AS163" s="499" t="s">
        <v>37</v>
      </c>
      <c r="AT163" s="497" t="s">
        <v>986</v>
      </c>
      <c r="AU163" s="499" t="s">
        <v>1669</v>
      </c>
      <c r="AV163" s="497" t="s">
        <v>986</v>
      </c>
      <c r="AW163" s="498" t="s">
        <v>37</v>
      </c>
      <c r="AX163" s="497" t="s">
        <v>986</v>
      </c>
      <c r="AY163" s="498" t="s">
        <v>37</v>
      </c>
      <c r="AZ163" s="497" t="s">
        <v>986</v>
      </c>
      <c r="BA163" s="498" t="s">
        <v>37</v>
      </c>
      <c r="BB163" s="497" t="s">
        <v>986</v>
      </c>
      <c r="BC163" s="498" t="s">
        <v>1320</v>
      </c>
      <c r="BD163" s="497" t="s">
        <v>986</v>
      </c>
      <c r="BE163" s="498" t="s">
        <v>37</v>
      </c>
      <c r="BF163" s="497" t="s">
        <v>986</v>
      </c>
      <c r="BG163" s="498" t="s">
        <v>37</v>
      </c>
      <c r="BH163" s="497" t="s">
        <v>986</v>
      </c>
      <c r="BI163" s="498" t="s">
        <v>37</v>
      </c>
      <c r="BJ163" s="497" t="s">
        <v>986</v>
      </c>
      <c r="BK163" s="498" t="s">
        <v>37</v>
      </c>
      <c r="BL163" s="497" t="s">
        <v>986</v>
      </c>
      <c r="BM163" s="498" t="s">
        <v>37</v>
      </c>
      <c r="BN163" s="497" t="s">
        <v>986</v>
      </c>
      <c r="BO163" s="499" t="s">
        <v>37</v>
      </c>
      <c r="BP163" s="497" t="s">
        <v>986</v>
      </c>
      <c r="BQ163" s="498" t="s">
        <v>37</v>
      </c>
      <c r="BR163" s="497" t="s">
        <v>986</v>
      </c>
      <c r="BS163" s="498" t="s">
        <v>37</v>
      </c>
      <c r="BT163" s="497" t="s">
        <v>986</v>
      </c>
      <c r="BU163" s="498" t="s">
        <v>37</v>
      </c>
      <c r="BV163" s="497" t="s">
        <v>986</v>
      </c>
      <c r="BW163" s="498" t="s">
        <v>37</v>
      </c>
      <c r="BX163" s="497" t="s">
        <v>986</v>
      </c>
      <c r="BY163" s="498" t="s">
        <v>37</v>
      </c>
      <c r="BZ163" s="497" t="s">
        <v>986</v>
      </c>
      <c r="CA163" s="498" t="s">
        <v>37</v>
      </c>
      <c r="CB163" s="497" t="s">
        <v>964</v>
      </c>
      <c r="CC163" s="498" t="s">
        <v>1755</v>
      </c>
      <c r="CD163" s="497" t="s">
        <v>963</v>
      </c>
      <c r="CE163" s="498" t="s">
        <v>380</v>
      </c>
      <c r="CF163" s="497" t="s">
        <v>986</v>
      </c>
      <c r="CG163" s="498" t="s">
        <v>37</v>
      </c>
      <c r="CH163" s="497" t="s">
        <v>986</v>
      </c>
      <c r="CI163" s="499" t="s">
        <v>37</v>
      </c>
      <c r="CJ163" s="497" t="s">
        <v>967</v>
      </c>
      <c r="CK163" s="498" t="s">
        <v>1649</v>
      </c>
      <c r="CL163" s="497" t="s">
        <v>986</v>
      </c>
      <c r="CM163" s="498" t="s">
        <v>37</v>
      </c>
      <c r="CN163" s="497" t="s">
        <v>986</v>
      </c>
      <c r="CO163" s="498" t="s">
        <v>37</v>
      </c>
      <c r="CP163" s="517"/>
      <c r="CQ163" s="34"/>
      <c r="CR163" s="34"/>
    </row>
    <row r="164" spans="1:96" s="5" customFormat="1" ht="112.9" customHeight="1" thickBot="1" x14ac:dyDescent="0.25">
      <c r="A164" s="124">
        <f t="shared" si="2"/>
        <v>159</v>
      </c>
      <c r="B164" s="509" t="s">
        <v>305</v>
      </c>
      <c r="C164" s="509" t="s">
        <v>2064</v>
      </c>
      <c r="D164" s="510">
        <v>614</v>
      </c>
      <c r="E164" s="510" t="s">
        <v>2388</v>
      </c>
      <c r="F164" s="497" t="s">
        <v>963</v>
      </c>
      <c r="G164" s="498" t="s">
        <v>1493</v>
      </c>
      <c r="H164" s="497" t="s">
        <v>963</v>
      </c>
      <c r="I164" s="498" t="s">
        <v>1493</v>
      </c>
      <c r="J164" s="497" t="s">
        <v>963</v>
      </c>
      <c r="K164" s="498" t="s">
        <v>1493</v>
      </c>
      <c r="L164" s="497" t="s">
        <v>965</v>
      </c>
      <c r="M164" s="498" t="s">
        <v>319</v>
      </c>
      <c r="N164" s="497" t="s">
        <v>964</v>
      </c>
      <c r="O164" s="498" t="s">
        <v>795</v>
      </c>
      <c r="P164" s="497" t="s">
        <v>986</v>
      </c>
      <c r="Q164" s="498" t="s">
        <v>37</v>
      </c>
      <c r="R164" s="497" t="s">
        <v>986</v>
      </c>
      <c r="S164" s="498" t="s">
        <v>110</v>
      </c>
      <c r="T164" s="497" t="s">
        <v>986</v>
      </c>
      <c r="U164" s="499" t="s">
        <v>37</v>
      </c>
      <c r="V164" s="497" t="s">
        <v>986</v>
      </c>
      <c r="W164" s="498" t="s">
        <v>37</v>
      </c>
      <c r="X164" s="497" t="s">
        <v>986</v>
      </c>
      <c r="Y164" s="498" t="s">
        <v>885</v>
      </c>
      <c r="Z164" s="497" t="s">
        <v>986</v>
      </c>
      <c r="AA164" s="498" t="s">
        <v>886</v>
      </c>
      <c r="AB164" s="497" t="s">
        <v>986</v>
      </c>
      <c r="AC164" s="498" t="s">
        <v>885</v>
      </c>
      <c r="AD164" s="497" t="s">
        <v>986</v>
      </c>
      <c r="AE164" s="498" t="s">
        <v>37</v>
      </c>
      <c r="AF164" s="497" t="s">
        <v>986</v>
      </c>
      <c r="AG164" s="499" t="s">
        <v>37</v>
      </c>
      <c r="AH164" s="497" t="s">
        <v>986</v>
      </c>
      <c r="AI164" s="498" t="s">
        <v>37</v>
      </c>
      <c r="AJ164" s="497" t="s">
        <v>986</v>
      </c>
      <c r="AK164" s="498" t="s">
        <v>37</v>
      </c>
      <c r="AL164" s="497" t="s">
        <v>986</v>
      </c>
      <c r="AM164" s="499" t="s">
        <v>37</v>
      </c>
      <c r="AN164" s="497" t="s">
        <v>964</v>
      </c>
      <c r="AO164" s="498" t="s">
        <v>3690</v>
      </c>
      <c r="AP164" s="497" t="s">
        <v>986</v>
      </c>
      <c r="AQ164" s="498" t="s">
        <v>37</v>
      </c>
      <c r="AR164" s="497" t="s">
        <v>965</v>
      </c>
      <c r="AS164" s="499" t="s">
        <v>89</v>
      </c>
      <c r="AT164" s="497" t="s">
        <v>986</v>
      </c>
      <c r="AU164" s="499" t="s">
        <v>37</v>
      </c>
      <c r="AV164" s="497" t="s">
        <v>963</v>
      </c>
      <c r="AW164" s="498" t="s">
        <v>3691</v>
      </c>
      <c r="AX164" s="497" t="s">
        <v>965</v>
      </c>
      <c r="AY164" s="498" t="s">
        <v>3692</v>
      </c>
      <c r="AZ164" s="497" t="s">
        <v>963</v>
      </c>
      <c r="BA164" s="498" t="s">
        <v>675</v>
      </c>
      <c r="BB164" s="497" t="s">
        <v>965</v>
      </c>
      <c r="BC164" s="498" t="s">
        <v>1739</v>
      </c>
      <c r="BD164" s="497" t="s">
        <v>965</v>
      </c>
      <c r="BE164" s="498" t="s">
        <v>776</v>
      </c>
      <c r="BF164" s="497" t="s">
        <v>986</v>
      </c>
      <c r="BG164" s="498" t="s">
        <v>37</v>
      </c>
      <c r="BH164" s="497" t="s">
        <v>986</v>
      </c>
      <c r="BI164" s="498" t="s">
        <v>37</v>
      </c>
      <c r="BJ164" s="497" t="s">
        <v>986</v>
      </c>
      <c r="BK164" s="498" t="s">
        <v>37</v>
      </c>
      <c r="BL164" s="497" t="s">
        <v>986</v>
      </c>
      <c r="BM164" s="498" t="s">
        <v>37</v>
      </c>
      <c r="BN164" s="497" t="s">
        <v>986</v>
      </c>
      <c r="BO164" s="499" t="s">
        <v>37</v>
      </c>
      <c r="BP164" s="497" t="s">
        <v>963</v>
      </c>
      <c r="BQ164" s="498" t="s">
        <v>232</v>
      </c>
      <c r="BR164" s="497" t="s">
        <v>986</v>
      </c>
      <c r="BS164" s="498" t="s">
        <v>37</v>
      </c>
      <c r="BT164" s="497" t="s">
        <v>986</v>
      </c>
      <c r="BU164" s="498" t="s">
        <v>37</v>
      </c>
      <c r="BV164" s="497" t="s">
        <v>986</v>
      </c>
      <c r="BW164" s="498" t="s">
        <v>37</v>
      </c>
      <c r="BX164" s="497" t="s">
        <v>986</v>
      </c>
      <c r="BY164" s="498" t="s">
        <v>37</v>
      </c>
      <c r="BZ164" s="497" t="s">
        <v>986</v>
      </c>
      <c r="CA164" s="498" t="s">
        <v>37</v>
      </c>
      <c r="CB164" s="497" t="s">
        <v>967</v>
      </c>
      <c r="CC164" s="498" t="s">
        <v>407</v>
      </c>
      <c r="CD164" s="497" t="s">
        <v>966</v>
      </c>
      <c r="CE164" s="498" t="s">
        <v>614</v>
      </c>
      <c r="CF164" s="497" t="s">
        <v>963</v>
      </c>
      <c r="CG164" s="498" t="s">
        <v>1326</v>
      </c>
      <c r="CH164" s="497" t="s">
        <v>986</v>
      </c>
      <c r="CI164" s="499" t="s">
        <v>37</v>
      </c>
      <c r="CJ164" s="497" t="s">
        <v>967</v>
      </c>
      <c r="CK164" s="498" t="s">
        <v>1650</v>
      </c>
      <c r="CL164" s="497" t="s">
        <v>986</v>
      </c>
      <c r="CM164" s="498" t="s">
        <v>37</v>
      </c>
      <c r="CN164" s="497" t="s">
        <v>986</v>
      </c>
      <c r="CO164" s="498" t="s">
        <v>37</v>
      </c>
      <c r="CP164" s="518"/>
      <c r="CQ164" s="34"/>
      <c r="CR164" s="34"/>
    </row>
    <row r="165" spans="1:96" s="5" customFormat="1" ht="113.25" thickBot="1" x14ac:dyDescent="0.25">
      <c r="A165" s="124">
        <f t="shared" si="2"/>
        <v>160</v>
      </c>
      <c r="B165" s="509" t="s">
        <v>1154</v>
      </c>
      <c r="C165" s="509" t="s">
        <v>1604</v>
      </c>
      <c r="D165" s="510">
        <v>642</v>
      </c>
      <c r="E165" s="510" t="s">
        <v>2384</v>
      </c>
      <c r="F165" s="497" t="s">
        <v>963</v>
      </c>
      <c r="G165" s="498" t="s">
        <v>1493</v>
      </c>
      <c r="H165" s="497" t="s">
        <v>963</v>
      </c>
      <c r="I165" s="498" t="s">
        <v>1493</v>
      </c>
      <c r="J165" s="497" t="s">
        <v>963</v>
      </c>
      <c r="K165" s="498" t="s">
        <v>1493</v>
      </c>
      <c r="L165" s="497" t="s">
        <v>986</v>
      </c>
      <c r="M165" s="498" t="s">
        <v>37</v>
      </c>
      <c r="N165" s="497" t="s">
        <v>986</v>
      </c>
      <c r="O165" s="498" t="s">
        <v>37</v>
      </c>
      <c r="P165" s="497" t="s">
        <v>986</v>
      </c>
      <c r="Q165" s="498" t="s">
        <v>37</v>
      </c>
      <c r="R165" s="497" t="s">
        <v>986</v>
      </c>
      <c r="S165" s="498" t="s">
        <v>37</v>
      </c>
      <c r="T165" s="497" t="s">
        <v>986</v>
      </c>
      <c r="U165" s="560" t="s">
        <v>3955</v>
      </c>
      <c r="V165" s="497" t="s">
        <v>965</v>
      </c>
      <c r="W165" s="498" t="s">
        <v>747</v>
      </c>
      <c r="X165" s="497" t="s">
        <v>986</v>
      </c>
      <c r="Y165" s="498" t="s">
        <v>37</v>
      </c>
      <c r="Z165" s="497" t="s">
        <v>986</v>
      </c>
      <c r="AA165" s="498" t="s">
        <v>37</v>
      </c>
      <c r="AB165" s="497" t="s">
        <v>963</v>
      </c>
      <c r="AC165" s="498" t="s">
        <v>1556</v>
      </c>
      <c r="AD165" s="497" t="s">
        <v>986</v>
      </c>
      <c r="AE165" s="498" t="s">
        <v>37</v>
      </c>
      <c r="AF165" s="497" t="s">
        <v>963</v>
      </c>
      <c r="AG165" s="499" t="s">
        <v>413</v>
      </c>
      <c r="AH165" s="497" t="s">
        <v>986</v>
      </c>
      <c r="AI165" s="498" t="s">
        <v>37</v>
      </c>
      <c r="AJ165" s="497" t="s">
        <v>986</v>
      </c>
      <c r="AK165" s="498" t="s">
        <v>37</v>
      </c>
      <c r="AL165" s="497" t="s">
        <v>986</v>
      </c>
      <c r="AM165" s="499" t="s">
        <v>37</v>
      </c>
      <c r="AN165" s="497" t="s">
        <v>986</v>
      </c>
      <c r="AO165" s="498" t="s">
        <v>37</v>
      </c>
      <c r="AP165" s="497" t="s">
        <v>986</v>
      </c>
      <c r="AQ165" s="498" t="s">
        <v>37</v>
      </c>
      <c r="AR165" s="497" t="s">
        <v>986</v>
      </c>
      <c r="AS165" s="499" t="s">
        <v>37</v>
      </c>
      <c r="AT165" s="497" t="s">
        <v>986</v>
      </c>
      <c r="AU165" s="499" t="s">
        <v>459</v>
      </c>
      <c r="AV165" s="497" t="s">
        <v>958</v>
      </c>
      <c r="AW165" s="559" t="s">
        <v>3954</v>
      </c>
      <c r="AX165" s="497" t="s">
        <v>986</v>
      </c>
      <c r="AY165" s="498" t="s">
        <v>37</v>
      </c>
      <c r="AZ165" s="497" t="s">
        <v>986</v>
      </c>
      <c r="BA165" s="498" t="s">
        <v>37</v>
      </c>
      <c r="BB165" s="497" t="s">
        <v>986</v>
      </c>
      <c r="BC165" s="498" t="s">
        <v>37</v>
      </c>
      <c r="BD165" s="497" t="s">
        <v>986</v>
      </c>
      <c r="BE165" s="498" t="s">
        <v>37</v>
      </c>
      <c r="BF165" s="497" t="s">
        <v>986</v>
      </c>
      <c r="BG165" s="498" t="s">
        <v>37</v>
      </c>
      <c r="BH165" s="497" t="s">
        <v>986</v>
      </c>
      <c r="BI165" s="498" t="s">
        <v>37</v>
      </c>
      <c r="BJ165" s="497" t="s">
        <v>986</v>
      </c>
      <c r="BK165" s="498" t="s">
        <v>37</v>
      </c>
      <c r="BL165" s="497" t="s">
        <v>986</v>
      </c>
      <c r="BM165" s="498" t="s">
        <v>37</v>
      </c>
      <c r="BN165" s="497" t="s">
        <v>986</v>
      </c>
      <c r="BO165" s="499" t="s">
        <v>37</v>
      </c>
      <c r="BP165" s="497" t="s">
        <v>965</v>
      </c>
      <c r="BQ165" s="498" t="s">
        <v>1498</v>
      </c>
      <c r="BR165" s="497" t="s">
        <v>986</v>
      </c>
      <c r="BS165" s="498" t="s">
        <v>37</v>
      </c>
      <c r="BT165" s="497" t="s">
        <v>986</v>
      </c>
      <c r="BU165" s="498" t="s">
        <v>37</v>
      </c>
      <c r="BV165" s="497" t="s">
        <v>986</v>
      </c>
      <c r="BW165" s="498" t="s">
        <v>37</v>
      </c>
      <c r="BX165" s="497" t="s">
        <v>986</v>
      </c>
      <c r="BY165" s="498" t="s">
        <v>37</v>
      </c>
      <c r="BZ165" s="497" t="s">
        <v>986</v>
      </c>
      <c r="CA165" s="498" t="s">
        <v>37</v>
      </c>
      <c r="CB165" s="497" t="s">
        <v>963</v>
      </c>
      <c r="CC165" s="559" t="s">
        <v>3953</v>
      </c>
      <c r="CD165" s="497" t="s">
        <v>986</v>
      </c>
      <c r="CE165" s="498" t="s">
        <v>37</v>
      </c>
      <c r="CF165" s="497" t="s">
        <v>963</v>
      </c>
      <c r="CG165" s="498" t="s">
        <v>1326</v>
      </c>
      <c r="CH165" s="497" t="s">
        <v>986</v>
      </c>
      <c r="CI165" s="499" t="s">
        <v>37</v>
      </c>
      <c r="CJ165" s="497" t="s">
        <v>967</v>
      </c>
      <c r="CK165" s="498" t="s">
        <v>1651</v>
      </c>
      <c r="CL165" s="497" t="s">
        <v>986</v>
      </c>
      <c r="CM165" s="498" t="s">
        <v>1800</v>
      </c>
      <c r="CN165" s="497" t="s">
        <v>986</v>
      </c>
      <c r="CO165" s="498" t="s">
        <v>37</v>
      </c>
      <c r="CP165" s="517"/>
      <c r="CQ165" s="34"/>
      <c r="CR165" s="34"/>
    </row>
    <row r="166" spans="1:96" s="5" customFormat="1" ht="61.9" customHeight="1" thickBot="1" x14ac:dyDescent="0.25">
      <c r="A166" s="124">
        <f t="shared" si="2"/>
        <v>161</v>
      </c>
      <c r="B166" s="509" t="s">
        <v>306</v>
      </c>
      <c r="C166" s="509" t="s">
        <v>1601</v>
      </c>
      <c r="D166" s="510">
        <v>640</v>
      </c>
      <c r="E166" s="510" t="s">
        <v>2386</v>
      </c>
      <c r="F166" s="497" t="s">
        <v>986</v>
      </c>
      <c r="G166" s="498" t="s">
        <v>37</v>
      </c>
      <c r="H166" s="497" t="s">
        <v>986</v>
      </c>
      <c r="I166" s="498" t="s">
        <v>37</v>
      </c>
      <c r="J166" s="497" t="s">
        <v>986</v>
      </c>
      <c r="K166" s="498" t="s">
        <v>37</v>
      </c>
      <c r="L166" s="497" t="s">
        <v>958</v>
      </c>
      <c r="M166" s="498" t="s">
        <v>1361</v>
      </c>
      <c r="N166" s="497" t="s">
        <v>986</v>
      </c>
      <c r="O166" s="498" t="s">
        <v>37</v>
      </c>
      <c r="P166" s="497" t="s">
        <v>965</v>
      </c>
      <c r="Q166" s="498" t="s">
        <v>1145</v>
      </c>
      <c r="R166" s="497" t="s">
        <v>986</v>
      </c>
      <c r="S166" s="498" t="s">
        <v>37</v>
      </c>
      <c r="T166" s="497" t="s">
        <v>986</v>
      </c>
      <c r="U166" s="499" t="s">
        <v>37</v>
      </c>
      <c r="V166" s="497" t="s">
        <v>965</v>
      </c>
      <c r="W166" s="498" t="s">
        <v>1002</v>
      </c>
      <c r="X166" s="497" t="s">
        <v>986</v>
      </c>
      <c r="Y166" s="498" t="s">
        <v>37</v>
      </c>
      <c r="Z166" s="497" t="s">
        <v>965</v>
      </c>
      <c r="AA166" s="498" t="s">
        <v>18</v>
      </c>
      <c r="AB166" s="497" t="s">
        <v>958</v>
      </c>
      <c r="AC166" s="498" t="s">
        <v>18</v>
      </c>
      <c r="AD166" s="497" t="s">
        <v>986</v>
      </c>
      <c r="AE166" s="498" t="s">
        <v>37</v>
      </c>
      <c r="AF166" s="497" t="s">
        <v>965</v>
      </c>
      <c r="AG166" s="499" t="s">
        <v>1322</v>
      </c>
      <c r="AH166" s="497" t="s">
        <v>963</v>
      </c>
      <c r="AI166" s="498" t="s">
        <v>853</v>
      </c>
      <c r="AJ166" s="497" t="s">
        <v>965</v>
      </c>
      <c r="AK166" s="498" t="s">
        <v>36</v>
      </c>
      <c r="AL166" s="497" t="s">
        <v>958</v>
      </c>
      <c r="AM166" s="499" t="s">
        <v>1080</v>
      </c>
      <c r="AN166" s="497" t="s">
        <v>963</v>
      </c>
      <c r="AO166" s="498" t="s">
        <v>405</v>
      </c>
      <c r="AP166" s="497" t="s">
        <v>958</v>
      </c>
      <c r="AQ166" s="498" t="s">
        <v>744</v>
      </c>
      <c r="AR166" s="497" t="s">
        <v>965</v>
      </c>
      <c r="AS166" s="499" t="s">
        <v>1003</v>
      </c>
      <c r="AT166" s="497" t="s">
        <v>958</v>
      </c>
      <c r="AU166" s="499" t="s">
        <v>1086</v>
      </c>
      <c r="AV166" s="497" t="s">
        <v>986</v>
      </c>
      <c r="AW166" s="498" t="s">
        <v>37</v>
      </c>
      <c r="AX166" s="497" t="s">
        <v>958</v>
      </c>
      <c r="AY166" s="498" t="s">
        <v>253</v>
      </c>
      <c r="AZ166" s="497" t="s">
        <v>986</v>
      </c>
      <c r="BA166" s="498" t="s">
        <v>37</v>
      </c>
      <c r="BB166" s="497" t="s">
        <v>986</v>
      </c>
      <c r="BC166" s="498" t="s">
        <v>1238</v>
      </c>
      <c r="BD166" s="497" t="s">
        <v>965</v>
      </c>
      <c r="BE166" s="498" t="s">
        <v>2123</v>
      </c>
      <c r="BF166" s="497" t="s">
        <v>958</v>
      </c>
      <c r="BG166" s="498" t="s">
        <v>253</v>
      </c>
      <c r="BH166" s="497" t="s">
        <v>986</v>
      </c>
      <c r="BI166" s="498" t="s">
        <v>37</v>
      </c>
      <c r="BJ166" s="497" t="s">
        <v>986</v>
      </c>
      <c r="BK166" s="498" t="s">
        <v>37</v>
      </c>
      <c r="BL166" s="497" t="s">
        <v>986</v>
      </c>
      <c r="BM166" s="498" t="s">
        <v>37</v>
      </c>
      <c r="BN166" s="497" t="s">
        <v>986</v>
      </c>
      <c r="BO166" s="499" t="s">
        <v>37</v>
      </c>
      <c r="BP166" s="497" t="s">
        <v>963</v>
      </c>
      <c r="BQ166" s="498" t="s">
        <v>1138</v>
      </c>
      <c r="BR166" s="497" t="s">
        <v>986</v>
      </c>
      <c r="BS166" s="498" t="s">
        <v>37</v>
      </c>
      <c r="BT166" s="497" t="s">
        <v>965</v>
      </c>
      <c r="BU166" s="498" t="s">
        <v>987</v>
      </c>
      <c r="BV166" s="497" t="s">
        <v>986</v>
      </c>
      <c r="BW166" s="498" t="s">
        <v>37</v>
      </c>
      <c r="BX166" s="497" t="s">
        <v>963</v>
      </c>
      <c r="BY166" s="498" t="s">
        <v>598</v>
      </c>
      <c r="BZ166" s="497" t="s">
        <v>963</v>
      </c>
      <c r="CA166" s="498" t="s">
        <v>1595</v>
      </c>
      <c r="CB166" s="497" t="s">
        <v>965</v>
      </c>
      <c r="CC166" s="498" t="s">
        <v>1546</v>
      </c>
      <c r="CD166" s="497" t="s">
        <v>986</v>
      </c>
      <c r="CE166" s="498" t="s">
        <v>37</v>
      </c>
      <c r="CF166" s="497" t="s">
        <v>964</v>
      </c>
      <c r="CG166" s="498" t="s">
        <v>1350</v>
      </c>
      <c r="CH166" s="497" t="s">
        <v>986</v>
      </c>
      <c r="CI166" s="499" t="s">
        <v>37</v>
      </c>
      <c r="CJ166" s="497" t="s">
        <v>986</v>
      </c>
      <c r="CK166" s="498" t="s">
        <v>37</v>
      </c>
      <c r="CL166" s="497" t="s">
        <v>986</v>
      </c>
      <c r="CM166" s="498" t="s">
        <v>37</v>
      </c>
      <c r="CN166" s="497" t="s">
        <v>986</v>
      </c>
      <c r="CO166" s="498" t="s">
        <v>37</v>
      </c>
      <c r="CP166" s="517"/>
      <c r="CQ166" s="34"/>
      <c r="CR166" s="34"/>
    </row>
    <row r="167" spans="1:96" s="5" customFormat="1" ht="79.5" thickBot="1" x14ac:dyDescent="0.25">
      <c r="A167" s="124">
        <f t="shared" si="2"/>
        <v>162</v>
      </c>
      <c r="B167" s="509" t="s">
        <v>3870</v>
      </c>
      <c r="C167" s="509" t="s">
        <v>1604</v>
      </c>
      <c r="D167" s="510">
        <v>351</v>
      </c>
      <c r="E167" s="510" t="s">
        <v>2388</v>
      </c>
      <c r="F167" s="497" t="s">
        <v>986</v>
      </c>
      <c r="G167" s="498" t="s">
        <v>37</v>
      </c>
      <c r="H167" s="497" t="s">
        <v>986</v>
      </c>
      <c r="I167" s="498" t="s">
        <v>37</v>
      </c>
      <c r="J167" s="497" t="s">
        <v>986</v>
      </c>
      <c r="K167" s="498" t="s">
        <v>37</v>
      </c>
      <c r="L167" s="497" t="s">
        <v>986</v>
      </c>
      <c r="M167" s="498" t="s">
        <v>37</v>
      </c>
      <c r="N167" s="497" t="s">
        <v>986</v>
      </c>
      <c r="O167" s="498" t="s">
        <v>37</v>
      </c>
      <c r="P167" s="497" t="s">
        <v>986</v>
      </c>
      <c r="Q167" s="498" t="s">
        <v>37</v>
      </c>
      <c r="R167" s="497" t="s">
        <v>986</v>
      </c>
      <c r="S167" s="498" t="s">
        <v>37</v>
      </c>
      <c r="T167" s="497" t="s">
        <v>986</v>
      </c>
      <c r="U167" s="498" t="s">
        <v>37</v>
      </c>
      <c r="V167" s="497" t="s">
        <v>986</v>
      </c>
      <c r="W167" s="498" t="s">
        <v>37</v>
      </c>
      <c r="X167" s="497" t="s">
        <v>986</v>
      </c>
      <c r="Y167" s="498" t="s">
        <v>37</v>
      </c>
      <c r="Z167" s="497" t="s">
        <v>986</v>
      </c>
      <c r="AA167" s="498" t="s">
        <v>37</v>
      </c>
      <c r="AB167" s="497" t="s">
        <v>986</v>
      </c>
      <c r="AC167" s="498" t="s">
        <v>37</v>
      </c>
      <c r="AD167" s="497" t="s">
        <v>986</v>
      </c>
      <c r="AE167" s="498" t="s">
        <v>37</v>
      </c>
      <c r="AF167" s="497" t="s">
        <v>986</v>
      </c>
      <c r="AG167" s="498" t="s">
        <v>37</v>
      </c>
      <c r="AH167" s="497" t="s">
        <v>986</v>
      </c>
      <c r="AI167" s="498" t="s">
        <v>37</v>
      </c>
      <c r="AJ167" s="497" t="s">
        <v>986</v>
      </c>
      <c r="AK167" s="498" t="s">
        <v>37</v>
      </c>
      <c r="AL167" s="497" t="s">
        <v>963</v>
      </c>
      <c r="AM167" s="559" t="s">
        <v>88</v>
      </c>
      <c r="AN167" s="497" t="s">
        <v>986</v>
      </c>
      <c r="AO167" s="498" t="s">
        <v>37</v>
      </c>
      <c r="AP167" s="497" t="s">
        <v>963</v>
      </c>
      <c r="AQ167" s="559" t="s">
        <v>88</v>
      </c>
      <c r="AR167" s="497" t="s">
        <v>986</v>
      </c>
      <c r="AS167" s="499" t="s">
        <v>37</v>
      </c>
      <c r="AT167" s="497" t="s">
        <v>963</v>
      </c>
      <c r="AU167" s="499" t="s">
        <v>460</v>
      </c>
      <c r="AV167" s="497" t="s">
        <v>986</v>
      </c>
      <c r="AW167" s="498" t="s">
        <v>37</v>
      </c>
      <c r="AX167" s="497" t="s">
        <v>963</v>
      </c>
      <c r="AY167" s="498" t="s">
        <v>88</v>
      </c>
      <c r="AZ167" s="497" t="s">
        <v>986</v>
      </c>
      <c r="BA167" s="498" t="s">
        <v>37</v>
      </c>
      <c r="BB167" s="497" t="s">
        <v>986</v>
      </c>
      <c r="BC167" s="498" t="s">
        <v>37</v>
      </c>
      <c r="BD167" s="497" t="s">
        <v>986</v>
      </c>
      <c r="BE167" s="498" t="s">
        <v>37</v>
      </c>
      <c r="BF167" s="497" t="s">
        <v>963</v>
      </c>
      <c r="BG167" s="498" t="s">
        <v>88</v>
      </c>
      <c r="BH167" s="497" t="s">
        <v>986</v>
      </c>
      <c r="BI167" s="498" t="s">
        <v>37</v>
      </c>
      <c r="BJ167" s="497" t="s">
        <v>986</v>
      </c>
      <c r="BK167" s="498" t="s">
        <v>37</v>
      </c>
      <c r="BL167" s="497" t="s">
        <v>986</v>
      </c>
      <c r="BM167" s="498" t="s">
        <v>37</v>
      </c>
      <c r="BN167" s="497" t="s">
        <v>986</v>
      </c>
      <c r="BO167" s="499" t="s">
        <v>37</v>
      </c>
      <c r="BP167" s="497" t="s">
        <v>986</v>
      </c>
      <c r="BQ167" s="499" t="s">
        <v>37</v>
      </c>
      <c r="BR167" s="497" t="s">
        <v>986</v>
      </c>
      <c r="BS167" s="499" t="s">
        <v>37</v>
      </c>
      <c r="BT167" s="497" t="s">
        <v>986</v>
      </c>
      <c r="BU167" s="499" t="s">
        <v>37</v>
      </c>
      <c r="BV167" s="497" t="s">
        <v>986</v>
      </c>
      <c r="BW167" s="499" t="s">
        <v>37</v>
      </c>
      <c r="BX167" s="497" t="s">
        <v>986</v>
      </c>
      <c r="BY167" s="498" t="s">
        <v>37</v>
      </c>
      <c r="BZ167" s="497" t="s">
        <v>986</v>
      </c>
      <c r="CA167" s="498" t="s">
        <v>37</v>
      </c>
      <c r="CB167" s="497" t="s">
        <v>986</v>
      </c>
      <c r="CC167" s="498" t="s">
        <v>37</v>
      </c>
      <c r="CD167" s="497" t="s">
        <v>986</v>
      </c>
      <c r="CE167" s="498" t="s">
        <v>37</v>
      </c>
      <c r="CF167" s="497" t="s">
        <v>986</v>
      </c>
      <c r="CG167" s="498" t="s">
        <v>37</v>
      </c>
      <c r="CH167" s="497" t="s">
        <v>986</v>
      </c>
      <c r="CI167" s="498" t="s">
        <v>37</v>
      </c>
      <c r="CJ167" s="497" t="s">
        <v>986</v>
      </c>
      <c r="CK167" s="498" t="s">
        <v>37</v>
      </c>
      <c r="CL167" s="497" t="s">
        <v>986</v>
      </c>
      <c r="CM167" s="498" t="s">
        <v>37</v>
      </c>
      <c r="CN167" s="497" t="s">
        <v>986</v>
      </c>
      <c r="CO167" s="498" t="s">
        <v>37</v>
      </c>
      <c r="CP167" s="517"/>
      <c r="CQ167" s="34"/>
      <c r="CR167" s="34"/>
    </row>
    <row r="168" spans="1:96" s="5" customFormat="1" ht="79.5" thickBot="1" x14ac:dyDescent="0.25">
      <c r="A168" s="124">
        <f t="shared" si="2"/>
        <v>163</v>
      </c>
      <c r="B168" s="509" t="s">
        <v>308</v>
      </c>
      <c r="C168" s="509" t="s">
        <v>1462</v>
      </c>
      <c r="D168" s="510">
        <v>658</v>
      </c>
      <c r="E168" s="510" t="s">
        <v>2386</v>
      </c>
      <c r="F168" s="497" t="s">
        <v>986</v>
      </c>
      <c r="G168" s="498" t="s">
        <v>37</v>
      </c>
      <c r="H168" s="497" t="s">
        <v>986</v>
      </c>
      <c r="I168" s="498" t="s">
        <v>37</v>
      </c>
      <c r="J168" s="497" t="s">
        <v>986</v>
      </c>
      <c r="K168" s="498" t="s">
        <v>37</v>
      </c>
      <c r="L168" s="497" t="s">
        <v>986</v>
      </c>
      <c r="M168" s="498" t="s">
        <v>37</v>
      </c>
      <c r="N168" s="497" t="s">
        <v>986</v>
      </c>
      <c r="O168" s="498" t="s">
        <v>37</v>
      </c>
      <c r="P168" s="497" t="s">
        <v>963</v>
      </c>
      <c r="Q168" s="498" t="s">
        <v>748</v>
      </c>
      <c r="R168" s="497" t="s">
        <v>986</v>
      </c>
      <c r="S168" s="498" t="s">
        <v>37</v>
      </c>
      <c r="T168" s="497" t="s">
        <v>986</v>
      </c>
      <c r="U168" s="499" t="s">
        <v>37</v>
      </c>
      <c r="V168" s="497" t="s">
        <v>986</v>
      </c>
      <c r="W168" s="498" t="s">
        <v>37</v>
      </c>
      <c r="X168" s="497" t="s">
        <v>986</v>
      </c>
      <c r="Y168" s="498" t="s">
        <v>37</v>
      </c>
      <c r="Z168" s="497" t="s">
        <v>963</v>
      </c>
      <c r="AA168" s="498" t="s">
        <v>414</v>
      </c>
      <c r="AB168" s="497" t="s">
        <v>958</v>
      </c>
      <c r="AC168" s="498" t="s">
        <v>415</v>
      </c>
      <c r="AD168" s="497" t="s">
        <v>986</v>
      </c>
      <c r="AE168" s="498" t="s">
        <v>37</v>
      </c>
      <c r="AF168" s="497" t="s">
        <v>986</v>
      </c>
      <c r="AG168" s="499" t="s">
        <v>37</v>
      </c>
      <c r="AH168" s="497" t="s">
        <v>986</v>
      </c>
      <c r="AI168" s="498" t="s">
        <v>37</v>
      </c>
      <c r="AJ168" s="497" t="s">
        <v>965</v>
      </c>
      <c r="AK168" s="498" t="s">
        <v>1390</v>
      </c>
      <c r="AL168" s="497" t="s">
        <v>965</v>
      </c>
      <c r="AM168" s="499" t="s">
        <v>1390</v>
      </c>
      <c r="AN168" s="497" t="s">
        <v>966</v>
      </c>
      <c r="AO168" s="498" t="s">
        <v>509</v>
      </c>
      <c r="AP168" s="497" t="s">
        <v>965</v>
      </c>
      <c r="AQ168" s="498" t="s">
        <v>508</v>
      </c>
      <c r="AR168" s="497" t="s">
        <v>965</v>
      </c>
      <c r="AS168" s="499" t="s">
        <v>846</v>
      </c>
      <c r="AT168" s="497" t="s">
        <v>986</v>
      </c>
      <c r="AU168" s="499" t="s">
        <v>37</v>
      </c>
      <c r="AV168" s="497" t="s">
        <v>965</v>
      </c>
      <c r="AW168" s="498" t="s">
        <v>1340</v>
      </c>
      <c r="AX168" s="497" t="s">
        <v>986</v>
      </c>
      <c r="AY168" s="498" t="s">
        <v>37</v>
      </c>
      <c r="AZ168" s="497" t="s">
        <v>963</v>
      </c>
      <c r="BA168" s="498" t="s">
        <v>676</v>
      </c>
      <c r="BB168" s="497" t="s">
        <v>986</v>
      </c>
      <c r="BC168" s="498" t="s">
        <v>1239</v>
      </c>
      <c r="BD168" s="497" t="s">
        <v>963</v>
      </c>
      <c r="BE168" s="498" t="s">
        <v>2082</v>
      </c>
      <c r="BF168" s="497" t="s">
        <v>986</v>
      </c>
      <c r="BG168" s="498" t="s">
        <v>37</v>
      </c>
      <c r="BH168" s="497" t="s">
        <v>986</v>
      </c>
      <c r="BI168" s="498" t="s">
        <v>37</v>
      </c>
      <c r="BJ168" s="497" t="s">
        <v>986</v>
      </c>
      <c r="BK168" s="498" t="s">
        <v>37</v>
      </c>
      <c r="BL168" s="497" t="s">
        <v>965</v>
      </c>
      <c r="BM168" s="498" t="s">
        <v>2867</v>
      </c>
      <c r="BN168" s="497" t="s">
        <v>958</v>
      </c>
      <c r="BO168" s="499" t="s">
        <v>2868</v>
      </c>
      <c r="BP168" s="497" t="s">
        <v>964</v>
      </c>
      <c r="BQ168" s="498" t="s">
        <v>156</v>
      </c>
      <c r="BR168" s="497" t="s">
        <v>964</v>
      </c>
      <c r="BS168" s="498" t="s">
        <v>2154</v>
      </c>
      <c r="BT168" s="497" t="s">
        <v>964</v>
      </c>
      <c r="BU168" s="498" t="s">
        <v>1707</v>
      </c>
      <c r="BV168" s="497" t="s">
        <v>986</v>
      </c>
      <c r="BW168" s="498" t="s">
        <v>37</v>
      </c>
      <c r="BX168" s="497" t="s">
        <v>967</v>
      </c>
      <c r="BY168" s="498" t="s">
        <v>599</v>
      </c>
      <c r="BZ168" s="497" t="s">
        <v>967</v>
      </c>
      <c r="CA168" s="498" t="s">
        <v>600</v>
      </c>
      <c r="CB168" s="497" t="s">
        <v>963</v>
      </c>
      <c r="CC168" s="498" t="s">
        <v>3</v>
      </c>
      <c r="CD168" s="497" t="s">
        <v>964</v>
      </c>
      <c r="CE168" s="498" t="s">
        <v>817</v>
      </c>
      <c r="CF168" s="497" t="s">
        <v>963</v>
      </c>
      <c r="CG168" s="498" t="s">
        <v>1059</v>
      </c>
      <c r="CH168" s="497" t="s">
        <v>986</v>
      </c>
      <c r="CI168" s="499" t="s">
        <v>37</v>
      </c>
      <c r="CJ168" s="497" t="s">
        <v>986</v>
      </c>
      <c r="CK168" s="498" t="s">
        <v>37</v>
      </c>
      <c r="CL168" s="497" t="s">
        <v>986</v>
      </c>
      <c r="CM168" s="498" t="s">
        <v>37</v>
      </c>
      <c r="CN168" s="497" t="s">
        <v>986</v>
      </c>
      <c r="CO168" s="498" t="s">
        <v>37</v>
      </c>
      <c r="CP168" s="517"/>
      <c r="CQ168" s="34"/>
      <c r="CR168" s="34"/>
    </row>
    <row r="169" spans="1:96" s="5" customFormat="1" ht="124.5" thickBot="1" x14ac:dyDescent="0.25">
      <c r="A169" s="124">
        <f t="shared" si="2"/>
        <v>164</v>
      </c>
      <c r="B169" s="509" t="s">
        <v>309</v>
      </c>
      <c r="C169" s="509" t="s">
        <v>1462</v>
      </c>
      <c r="D169" s="510">
        <v>659</v>
      </c>
      <c r="E169" s="510" t="s">
        <v>2386</v>
      </c>
      <c r="F169" s="497" t="s">
        <v>986</v>
      </c>
      <c r="G169" s="498" t="s">
        <v>37</v>
      </c>
      <c r="H169" s="497" t="s">
        <v>986</v>
      </c>
      <c r="I169" s="498" t="s">
        <v>37</v>
      </c>
      <c r="J169" s="497" t="s">
        <v>986</v>
      </c>
      <c r="K169" s="498" t="s">
        <v>37</v>
      </c>
      <c r="L169" s="497" t="s">
        <v>986</v>
      </c>
      <c r="M169" s="498" t="s">
        <v>37</v>
      </c>
      <c r="N169" s="497" t="s">
        <v>986</v>
      </c>
      <c r="O169" s="498" t="s">
        <v>37</v>
      </c>
      <c r="P169" s="497" t="s">
        <v>965</v>
      </c>
      <c r="Q169" s="498" t="s">
        <v>748</v>
      </c>
      <c r="R169" s="497" t="s">
        <v>986</v>
      </c>
      <c r="S169" s="498" t="s">
        <v>37</v>
      </c>
      <c r="T169" s="497" t="s">
        <v>986</v>
      </c>
      <c r="U169" s="499" t="s">
        <v>37</v>
      </c>
      <c r="V169" s="497" t="s">
        <v>986</v>
      </c>
      <c r="W169" s="498" t="s">
        <v>37</v>
      </c>
      <c r="X169" s="497" t="s">
        <v>986</v>
      </c>
      <c r="Y169" s="498" t="s">
        <v>37</v>
      </c>
      <c r="Z169" s="497" t="s">
        <v>963</v>
      </c>
      <c r="AA169" s="498" t="s">
        <v>414</v>
      </c>
      <c r="AB169" s="497" t="s">
        <v>986</v>
      </c>
      <c r="AC169" s="498" t="s">
        <v>37</v>
      </c>
      <c r="AD169" s="497" t="s">
        <v>986</v>
      </c>
      <c r="AE169" s="498" t="s">
        <v>37</v>
      </c>
      <c r="AF169" s="497" t="s">
        <v>986</v>
      </c>
      <c r="AG169" s="499" t="s">
        <v>37</v>
      </c>
      <c r="AH169" s="497" t="s">
        <v>986</v>
      </c>
      <c r="AI169" s="498" t="s">
        <v>37</v>
      </c>
      <c r="AJ169" s="497" t="s">
        <v>965</v>
      </c>
      <c r="AK169" s="498" t="s">
        <v>1390</v>
      </c>
      <c r="AL169" s="497" t="s">
        <v>965</v>
      </c>
      <c r="AM169" s="499" t="s">
        <v>1390</v>
      </c>
      <c r="AN169" s="497" t="s">
        <v>966</v>
      </c>
      <c r="AO169" s="498" t="s">
        <v>509</v>
      </c>
      <c r="AP169" s="497" t="s">
        <v>965</v>
      </c>
      <c r="AQ169" s="498" t="s">
        <v>508</v>
      </c>
      <c r="AR169" s="497" t="s">
        <v>965</v>
      </c>
      <c r="AS169" s="499" t="s">
        <v>846</v>
      </c>
      <c r="AT169" s="497" t="s">
        <v>986</v>
      </c>
      <c r="AU169" s="499" t="s">
        <v>37</v>
      </c>
      <c r="AV169" s="497" t="s">
        <v>965</v>
      </c>
      <c r="AW169" s="498" t="s">
        <v>1340</v>
      </c>
      <c r="AX169" s="497" t="s">
        <v>986</v>
      </c>
      <c r="AY169" s="498" t="s">
        <v>37</v>
      </c>
      <c r="AZ169" s="497" t="s">
        <v>963</v>
      </c>
      <c r="BA169" s="498" t="s">
        <v>676</v>
      </c>
      <c r="BB169" s="497" t="s">
        <v>986</v>
      </c>
      <c r="BC169" s="498" t="s">
        <v>1239</v>
      </c>
      <c r="BD169" s="497" t="s">
        <v>963</v>
      </c>
      <c r="BE169" s="498" t="s">
        <v>2082</v>
      </c>
      <c r="BF169" s="497" t="s">
        <v>986</v>
      </c>
      <c r="BG169" s="498" t="s">
        <v>37</v>
      </c>
      <c r="BH169" s="497" t="s">
        <v>986</v>
      </c>
      <c r="BI169" s="498" t="s">
        <v>37</v>
      </c>
      <c r="BJ169" s="497" t="s">
        <v>986</v>
      </c>
      <c r="BK169" s="498" t="s">
        <v>37</v>
      </c>
      <c r="BL169" s="497" t="s">
        <v>965</v>
      </c>
      <c r="BM169" s="498" t="s">
        <v>2867</v>
      </c>
      <c r="BN169" s="497" t="s">
        <v>958</v>
      </c>
      <c r="BO169" s="499" t="s">
        <v>2868</v>
      </c>
      <c r="BP169" s="497" t="s">
        <v>964</v>
      </c>
      <c r="BQ169" s="498" t="s">
        <v>156</v>
      </c>
      <c r="BR169" s="497" t="s">
        <v>964</v>
      </c>
      <c r="BS169" s="498" t="s">
        <v>2154</v>
      </c>
      <c r="BT169" s="497" t="s">
        <v>964</v>
      </c>
      <c r="BU169" s="498" t="s">
        <v>1707</v>
      </c>
      <c r="BV169" s="497" t="s">
        <v>986</v>
      </c>
      <c r="BW169" s="498" t="s">
        <v>37</v>
      </c>
      <c r="BX169" s="497" t="s">
        <v>967</v>
      </c>
      <c r="BY169" s="498" t="s">
        <v>720</v>
      </c>
      <c r="BZ169" s="497" t="s">
        <v>967</v>
      </c>
      <c r="CA169" s="498" t="s">
        <v>4</v>
      </c>
      <c r="CB169" s="497" t="s">
        <v>963</v>
      </c>
      <c r="CC169" s="498" t="s">
        <v>5</v>
      </c>
      <c r="CD169" s="497" t="s">
        <v>964</v>
      </c>
      <c r="CE169" s="498" t="s">
        <v>383</v>
      </c>
      <c r="CF169" s="497" t="s">
        <v>963</v>
      </c>
      <c r="CG169" s="498" t="s">
        <v>1059</v>
      </c>
      <c r="CH169" s="497" t="s">
        <v>986</v>
      </c>
      <c r="CI169" s="499" t="s">
        <v>37</v>
      </c>
      <c r="CJ169" s="497" t="s">
        <v>986</v>
      </c>
      <c r="CK169" s="498" t="s">
        <v>37</v>
      </c>
      <c r="CL169" s="497" t="s">
        <v>986</v>
      </c>
      <c r="CM169" s="498" t="s">
        <v>37</v>
      </c>
      <c r="CN169" s="497" t="s">
        <v>986</v>
      </c>
      <c r="CO169" s="498" t="s">
        <v>37</v>
      </c>
      <c r="CP169" s="517"/>
      <c r="CQ169" s="34"/>
      <c r="CR169" s="34"/>
    </row>
    <row r="170" spans="1:96" s="31" customFormat="1" ht="180.75" thickBot="1" x14ac:dyDescent="0.25">
      <c r="A170" s="124">
        <f t="shared" si="2"/>
        <v>165</v>
      </c>
      <c r="B170" s="509" t="s">
        <v>310</v>
      </c>
      <c r="C170" s="509" t="s">
        <v>1462</v>
      </c>
      <c r="D170" s="510">
        <v>657</v>
      </c>
      <c r="E170" s="510" t="s">
        <v>2386</v>
      </c>
      <c r="F170" s="497" t="s">
        <v>986</v>
      </c>
      <c r="G170" s="498" t="s">
        <v>37</v>
      </c>
      <c r="H170" s="497" t="s">
        <v>986</v>
      </c>
      <c r="I170" s="498" t="s">
        <v>37</v>
      </c>
      <c r="J170" s="497" t="s">
        <v>986</v>
      </c>
      <c r="K170" s="498" t="s">
        <v>37</v>
      </c>
      <c r="L170" s="497" t="s">
        <v>986</v>
      </c>
      <c r="M170" s="498" t="s">
        <v>37</v>
      </c>
      <c r="N170" s="497" t="s">
        <v>986</v>
      </c>
      <c r="O170" s="498" t="s">
        <v>37</v>
      </c>
      <c r="P170" s="497" t="s">
        <v>965</v>
      </c>
      <c r="Q170" s="498" t="s">
        <v>748</v>
      </c>
      <c r="R170" s="497" t="s">
        <v>986</v>
      </c>
      <c r="S170" s="498" t="s">
        <v>37</v>
      </c>
      <c r="T170" s="497" t="s">
        <v>986</v>
      </c>
      <c r="U170" s="499" t="s">
        <v>37</v>
      </c>
      <c r="V170" s="497" t="s">
        <v>986</v>
      </c>
      <c r="W170" s="498" t="s">
        <v>37</v>
      </c>
      <c r="X170" s="497" t="s">
        <v>986</v>
      </c>
      <c r="Y170" s="498" t="s">
        <v>37</v>
      </c>
      <c r="Z170" s="497" t="s">
        <v>963</v>
      </c>
      <c r="AA170" s="498" t="s">
        <v>414</v>
      </c>
      <c r="AB170" s="497" t="s">
        <v>986</v>
      </c>
      <c r="AC170" s="498" t="s">
        <v>37</v>
      </c>
      <c r="AD170" s="497" t="s">
        <v>986</v>
      </c>
      <c r="AE170" s="498" t="s">
        <v>37</v>
      </c>
      <c r="AF170" s="497" t="s">
        <v>986</v>
      </c>
      <c r="AG170" s="499" t="s">
        <v>37</v>
      </c>
      <c r="AH170" s="497" t="s">
        <v>986</v>
      </c>
      <c r="AI170" s="498" t="s">
        <v>37</v>
      </c>
      <c r="AJ170" s="497" t="s">
        <v>965</v>
      </c>
      <c r="AK170" s="498" t="s">
        <v>1390</v>
      </c>
      <c r="AL170" s="497" t="s">
        <v>965</v>
      </c>
      <c r="AM170" s="499" t="s">
        <v>1390</v>
      </c>
      <c r="AN170" s="497" t="s">
        <v>966</v>
      </c>
      <c r="AO170" s="498" t="s">
        <v>509</v>
      </c>
      <c r="AP170" s="497" t="s">
        <v>965</v>
      </c>
      <c r="AQ170" s="498" t="s">
        <v>508</v>
      </c>
      <c r="AR170" s="497" t="s">
        <v>965</v>
      </c>
      <c r="AS170" s="499" t="s">
        <v>846</v>
      </c>
      <c r="AT170" s="497" t="s">
        <v>986</v>
      </c>
      <c r="AU170" s="499" t="s">
        <v>37</v>
      </c>
      <c r="AV170" s="497" t="s">
        <v>965</v>
      </c>
      <c r="AW170" s="498" t="s">
        <v>1340</v>
      </c>
      <c r="AX170" s="497" t="s">
        <v>986</v>
      </c>
      <c r="AY170" s="498" t="s">
        <v>37</v>
      </c>
      <c r="AZ170" s="497" t="s">
        <v>963</v>
      </c>
      <c r="BA170" s="498" t="s">
        <v>676</v>
      </c>
      <c r="BB170" s="497" t="s">
        <v>986</v>
      </c>
      <c r="BC170" s="498" t="s">
        <v>1239</v>
      </c>
      <c r="BD170" s="497" t="s">
        <v>963</v>
      </c>
      <c r="BE170" s="498" t="s">
        <v>2082</v>
      </c>
      <c r="BF170" s="497" t="s">
        <v>986</v>
      </c>
      <c r="BG170" s="498" t="s">
        <v>37</v>
      </c>
      <c r="BH170" s="497" t="s">
        <v>986</v>
      </c>
      <c r="BI170" s="498" t="s">
        <v>37</v>
      </c>
      <c r="BJ170" s="497" t="s">
        <v>986</v>
      </c>
      <c r="BK170" s="498" t="s">
        <v>37</v>
      </c>
      <c r="BL170" s="497" t="s">
        <v>965</v>
      </c>
      <c r="BM170" s="498" t="s">
        <v>2867</v>
      </c>
      <c r="BN170" s="497" t="s">
        <v>958</v>
      </c>
      <c r="BO170" s="499" t="s">
        <v>2868</v>
      </c>
      <c r="BP170" s="497" t="s">
        <v>964</v>
      </c>
      <c r="BQ170" s="498" t="s">
        <v>156</v>
      </c>
      <c r="BR170" s="497" t="s">
        <v>964</v>
      </c>
      <c r="BS170" s="498" t="s">
        <v>2154</v>
      </c>
      <c r="BT170" s="497" t="s">
        <v>964</v>
      </c>
      <c r="BU170" s="498" t="s">
        <v>1707</v>
      </c>
      <c r="BV170" s="497" t="s">
        <v>986</v>
      </c>
      <c r="BW170" s="498" t="s">
        <v>37</v>
      </c>
      <c r="BX170" s="497" t="s">
        <v>967</v>
      </c>
      <c r="BY170" s="498" t="s">
        <v>6</v>
      </c>
      <c r="BZ170" s="497" t="s">
        <v>967</v>
      </c>
      <c r="CA170" s="498" t="s">
        <v>7</v>
      </c>
      <c r="CB170" s="497" t="s">
        <v>963</v>
      </c>
      <c r="CC170" s="498" t="s">
        <v>533</v>
      </c>
      <c r="CD170" s="497" t="s">
        <v>964</v>
      </c>
      <c r="CE170" s="498" t="s">
        <v>382</v>
      </c>
      <c r="CF170" s="497" t="s">
        <v>963</v>
      </c>
      <c r="CG170" s="498" t="s">
        <v>1059</v>
      </c>
      <c r="CH170" s="497" t="s">
        <v>986</v>
      </c>
      <c r="CI170" s="499" t="s">
        <v>37</v>
      </c>
      <c r="CJ170" s="497" t="s">
        <v>986</v>
      </c>
      <c r="CK170" s="498" t="s">
        <v>37</v>
      </c>
      <c r="CL170" s="497" t="s">
        <v>986</v>
      </c>
      <c r="CM170" s="498" t="s">
        <v>37</v>
      </c>
      <c r="CN170" s="497" t="s">
        <v>986</v>
      </c>
      <c r="CO170" s="498" t="s">
        <v>37</v>
      </c>
      <c r="CP170" s="517"/>
    </row>
    <row r="171" spans="1:96" s="31" customFormat="1" ht="147" thickBot="1" x14ac:dyDescent="0.25">
      <c r="A171" s="124">
        <f t="shared" si="2"/>
        <v>166</v>
      </c>
      <c r="B171" s="509" t="s">
        <v>1380</v>
      </c>
      <c r="C171" s="509" t="s">
        <v>1465</v>
      </c>
      <c r="D171" s="510">
        <v>644</v>
      </c>
      <c r="E171" s="510" t="s">
        <v>2386</v>
      </c>
      <c r="F171" s="497" t="s">
        <v>986</v>
      </c>
      <c r="G171" s="498" t="s">
        <v>37</v>
      </c>
      <c r="H171" s="497" t="s">
        <v>986</v>
      </c>
      <c r="I171" s="498" t="s">
        <v>37</v>
      </c>
      <c r="J171" s="497" t="s">
        <v>986</v>
      </c>
      <c r="K171" s="498" t="s">
        <v>37</v>
      </c>
      <c r="L171" s="497" t="s">
        <v>986</v>
      </c>
      <c r="M171" s="498" t="s">
        <v>37</v>
      </c>
      <c r="N171" s="497" t="s">
        <v>986</v>
      </c>
      <c r="O171" s="498" t="s">
        <v>37</v>
      </c>
      <c r="P171" s="497" t="s">
        <v>986</v>
      </c>
      <c r="Q171" s="498" t="s">
        <v>37</v>
      </c>
      <c r="R171" s="497" t="s">
        <v>986</v>
      </c>
      <c r="S171" s="498" t="s">
        <v>37</v>
      </c>
      <c r="T171" s="497" t="s">
        <v>986</v>
      </c>
      <c r="U171" s="499" t="s">
        <v>37</v>
      </c>
      <c r="V171" s="497" t="s">
        <v>986</v>
      </c>
      <c r="W171" s="498" t="s">
        <v>37</v>
      </c>
      <c r="X171" s="497" t="s">
        <v>986</v>
      </c>
      <c r="Y171" s="498" t="s">
        <v>37</v>
      </c>
      <c r="Z171" s="497" t="s">
        <v>963</v>
      </c>
      <c r="AA171" s="498" t="s">
        <v>414</v>
      </c>
      <c r="AB171" s="497" t="s">
        <v>986</v>
      </c>
      <c r="AC171" s="498" t="s">
        <v>37</v>
      </c>
      <c r="AD171" s="497" t="s">
        <v>986</v>
      </c>
      <c r="AE171" s="498" t="s">
        <v>37</v>
      </c>
      <c r="AF171" s="497" t="s">
        <v>986</v>
      </c>
      <c r="AG171" s="499" t="s">
        <v>37</v>
      </c>
      <c r="AH171" s="497" t="s">
        <v>986</v>
      </c>
      <c r="AI171" s="498" t="s">
        <v>37</v>
      </c>
      <c r="AJ171" s="497" t="s">
        <v>986</v>
      </c>
      <c r="AK171" s="498" t="s">
        <v>37</v>
      </c>
      <c r="AL171" s="497" t="s">
        <v>986</v>
      </c>
      <c r="AM171" s="499" t="s">
        <v>37</v>
      </c>
      <c r="AN171" s="497" t="s">
        <v>986</v>
      </c>
      <c r="AO171" s="498" t="s">
        <v>37</v>
      </c>
      <c r="AP171" s="497" t="s">
        <v>986</v>
      </c>
      <c r="AQ171" s="498" t="s">
        <v>37</v>
      </c>
      <c r="AR171" s="497" t="s">
        <v>986</v>
      </c>
      <c r="AS171" s="499" t="s">
        <v>37</v>
      </c>
      <c r="AT171" s="497" t="s">
        <v>986</v>
      </c>
      <c r="AU171" s="499" t="s">
        <v>37</v>
      </c>
      <c r="AV171" s="497" t="s">
        <v>965</v>
      </c>
      <c r="AW171" s="498" t="s">
        <v>1340</v>
      </c>
      <c r="AX171" s="497" t="s">
        <v>986</v>
      </c>
      <c r="AY171" s="498" t="s">
        <v>37</v>
      </c>
      <c r="AZ171" s="497" t="s">
        <v>966</v>
      </c>
      <c r="BA171" s="498" t="s">
        <v>1510</v>
      </c>
      <c r="BB171" s="497" t="s">
        <v>986</v>
      </c>
      <c r="BC171" s="498" t="s">
        <v>1197</v>
      </c>
      <c r="BD171" s="497" t="s">
        <v>986</v>
      </c>
      <c r="BE171" s="498" t="s">
        <v>37</v>
      </c>
      <c r="BF171" s="497" t="s">
        <v>986</v>
      </c>
      <c r="BG171" s="498" t="s">
        <v>37</v>
      </c>
      <c r="BH171" s="497" t="s">
        <v>986</v>
      </c>
      <c r="BI171" s="498" t="s">
        <v>37</v>
      </c>
      <c r="BJ171" s="497" t="s">
        <v>986</v>
      </c>
      <c r="BK171" s="498" t="s">
        <v>37</v>
      </c>
      <c r="BL171" s="497" t="s">
        <v>965</v>
      </c>
      <c r="BM171" s="498" t="s">
        <v>2867</v>
      </c>
      <c r="BN171" s="497" t="s">
        <v>958</v>
      </c>
      <c r="BO171" s="499" t="s">
        <v>2868</v>
      </c>
      <c r="BP171" s="497" t="s">
        <v>964</v>
      </c>
      <c r="BQ171" s="498" t="s">
        <v>156</v>
      </c>
      <c r="BR171" s="497" t="s">
        <v>964</v>
      </c>
      <c r="BS171" s="498" t="s">
        <v>2154</v>
      </c>
      <c r="BT171" s="497" t="s">
        <v>964</v>
      </c>
      <c r="BU171" s="498" t="s">
        <v>1707</v>
      </c>
      <c r="BV171" s="497" t="s">
        <v>986</v>
      </c>
      <c r="BW171" s="498" t="s">
        <v>37</v>
      </c>
      <c r="BX171" s="497" t="s">
        <v>967</v>
      </c>
      <c r="BY171" s="498" t="s">
        <v>1074</v>
      </c>
      <c r="BZ171" s="497" t="s">
        <v>967</v>
      </c>
      <c r="CA171" s="498" t="s">
        <v>477</v>
      </c>
      <c r="CB171" s="497" t="s">
        <v>963</v>
      </c>
      <c r="CC171" s="498" t="s">
        <v>534</v>
      </c>
      <c r="CD171" s="497" t="s">
        <v>964</v>
      </c>
      <c r="CE171" s="498" t="s">
        <v>381</v>
      </c>
      <c r="CF171" s="497" t="s">
        <v>963</v>
      </c>
      <c r="CG171" s="498" t="s">
        <v>1059</v>
      </c>
      <c r="CH171" s="497" t="s">
        <v>986</v>
      </c>
      <c r="CI171" s="499" t="s">
        <v>37</v>
      </c>
      <c r="CJ171" s="497" t="s">
        <v>986</v>
      </c>
      <c r="CK171" s="498" t="s">
        <v>37</v>
      </c>
      <c r="CL171" s="497" t="s">
        <v>986</v>
      </c>
      <c r="CM171" s="498" t="s">
        <v>37</v>
      </c>
      <c r="CN171" s="497" t="s">
        <v>986</v>
      </c>
      <c r="CO171" s="498" t="s">
        <v>37</v>
      </c>
      <c r="CP171" s="517"/>
    </row>
    <row r="172" spans="1:96" s="31" customFormat="1" ht="102" thickBot="1" x14ac:dyDescent="0.25">
      <c r="A172" s="124">
        <f t="shared" si="2"/>
        <v>167</v>
      </c>
      <c r="B172" s="509" t="s">
        <v>1381</v>
      </c>
      <c r="C172" s="509" t="s">
        <v>1598</v>
      </c>
      <c r="D172" s="510">
        <v>380</v>
      </c>
      <c r="E172" s="510" t="s">
        <v>2383</v>
      </c>
      <c r="F172" s="497" t="s">
        <v>965</v>
      </c>
      <c r="G172" s="498" t="s">
        <v>187</v>
      </c>
      <c r="H172" s="497" t="s">
        <v>967</v>
      </c>
      <c r="I172" s="498" t="s">
        <v>401</v>
      </c>
      <c r="J172" s="497" t="s">
        <v>963</v>
      </c>
      <c r="K172" s="498" t="s">
        <v>188</v>
      </c>
      <c r="L172" s="497" t="s">
        <v>986</v>
      </c>
      <c r="M172" s="498" t="s">
        <v>37</v>
      </c>
      <c r="N172" s="497" t="s">
        <v>986</v>
      </c>
      <c r="O172" s="498" t="s">
        <v>37</v>
      </c>
      <c r="P172" s="497" t="s">
        <v>964</v>
      </c>
      <c r="Q172" s="498" t="s">
        <v>1528</v>
      </c>
      <c r="R172" s="497" t="s">
        <v>963</v>
      </c>
      <c r="S172" s="498" t="s">
        <v>1018</v>
      </c>
      <c r="T172" s="497" t="s">
        <v>986</v>
      </c>
      <c r="U172" s="499" t="s">
        <v>37</v>
      </c>
      <c r="V172" s="497" t="s">
        <v>965</v>
      </c>
      <c r="W172" s="498" t="s">
        <v>1020</v>
      </c>
      <c r="X172" s="497" t="s">
        <v>963</v>
      </c>
      <c r="Y172" s="498" t="s">
        <v>1634</v>
      </c>
      <c r="Z172" s="497" t="s">
        <v>986</v>
      </c>
      <c r="AA172" s="498" t="s">
        <v>2789</v>
      </c>
      <c r="AB172" s="497" t="s">
        <v>963</v>
      </c>
      <c r="AC172" s="498" t="s">
        <v>1634</v>
      </c>
      <c r="AD172" s="497" t="s">
        <v>967</v>
      </c>
      <c r="AE172" s="498" t="s">
        <v>403</v>
      </c>
      <c r="AF172" s="497" t="s">
        <v>967</v>
      </c>
      <c r="AG172" s="499" t="s">
        <v>1161</v>
      </c>
      <c r="AH172" s="497" t="s">
        <v>966</v>
      </c>
      <c r="AI172" s="498" t="s">
        <v>2795</v>
      </c>
      <c r="AJ172" s="497" t="s">
        <v>966</v>
      </c>
      <c r="AK172" s="498" t="s">
        <v>1039</v>
      </c>
      <c r="AL172" s="497" t="s">
        <v>986</v>
      </c>
      <c r="AM172" s="499" t="s">
        <v>37</v>
      </c>
      <c r="AN172" s="497" t="s">
        <v>965</v>
      </c>
      <c r="AO172" s="498" t="s">
        <v>510</v>
      </c>
      <c r="AP172" s="497" t="s">
        <v>965</v>
      </c>
      <c r="AQ172" s="498" t="s">
        <v>693</v>
      </c>
      <c r="AR172" s="497" t="s">
        <v>986</v>
      </c>
      <c r="AS172" s="499" t="s">
        <v>37</v>
      </c>
      <c r="AT172" s="497" t="s">
        <v>986</v>
      </c>
      <c r="AU172" s="499" t="s">
        <v>1087</v>
      </c>
      <c r="AV172" s="497" t="s">
        <v>986</v>
      </c>
      <c r="AW172" s="498" t="s">
        <v>37</v>
      </c>
      <c r="AX172" s="497" t="s">
        <v>986</v>
      </c>
      <c r="AY172" s="498" t="s">
        <v>37</v>
      </c>
      <c r="AZ172" s="497" t="s">
        <v>965</v>
      </c>
      <c r="BA172" s="498" t="s">
        <v>989</v>
      </c>
      <c r="BB172" s="497" t="s">
        <v>986</v>
      </c>
      <c r="BC172" s="498" t="s">
        <v>37</v>
      </c>
      <c r="BD172" s="497" t="s">
        <v>965</v>
      </c>
      <c r="BE172" s="498" t="s">
        <v>2124</v>
      </c>
      <c r="BF172" s="497" t="s">
        <v>986</v>
      </c>
      <c r="BG172" s="498" t="s">
        <v>37</v>
      </c>
      <c r="BH172" s="497" t="s">
        <v>964</v>
      </c>
      <c r="BI172" s="498" t="s">
        <v>2930</v>
      </c>
      <c r="BJ172" s="497" t="s">
        <v>986</v>
      </c>
      <c r="BK172" s="498" t="s">
        <v>37</v>
      </c>
      <c r="BL172" s="497" t="s">
        <v>964</v>
      </c>
      <c r="BM172" s="498" t="s">
        <v>1635</v>
      </c>
      <c r="BN172" s="497" t="s">
        <v>966</v>
      </c>
      <c r="BO172" s="499" t="s">
        <v>399</v>
      </c>
      <c r="BP172" s="497" t="s">
        <v>967</v>
      </c>
      <c r="BQ172" s="498" t="s">
        <v>557</v>
      </c>
      <c r="BR172" s="497" t="s">
        <v>965</v>
      </c>
      <c r="BS172" s="498" t="s">
        <v>2154</v>
      </c>
      <c r="BT172" s="497" t="s">
        <v>965</v>
      </c>
      <c r="BU172" s="498" t="s">
        <v>1707</v>
      </c>
      <c r="BV172" s="497" t="s">
        <v>986</v>
      </c>
      <c r="BW172" s="498" t="s">
        <v>37</v>
      </c>
      <c r="BX172" s="497" t="s">
        <v>966</v>
      </c>
      <c r="BY172" s="498" t="s">
        <v>198</v>
      </c>
      <c r="BZ172" s="497" t="s">
        <v>966</v>
      </c>
      <c r="CA172" s="498" t="s">
        <v>199</v>
      </c>
      <c r="CB172" s="497" t="s">
        <v>986</v>
      </c>
      <c r="CC172" s="498" t="s">
        <v>37</v>
      </c>
      <c r="CD172" s="497" t="s">
        <v>966</v>
      </c>
      <c r="CE172" s="498" t="s">
        <v>1708</v>
      </c>
      <c r="CF172" s="497" t="s">
        <v>965</v>
      </c>
      <c r="CG172" s="498" t="s">
        <v>390</v>
      </c>
      <c r="CH172" s="497" t="s">
        <v>967</v>
      </c>
      <c r="CI172" s="499" t="s">
        <v>139</v>
      </c>
      <c r="CJ172" s="497" t="s">
        <v>986</v>
      </c>
      <c r="CK172" s="498" t="s">
        <v>37</v>
      </c>
      <c r="CL172" s="497" t="s">
        <v>966</v>
      </c>
      <c r="CM172" s="498" t="s">
        <v>3833</v>
      </c>
      <c r="CN172" s="497" t="s">
        <v>965</v>
      </c>
      <c r="CO172" s="498" t="s">
        <v>1834</v>
      </c>
      <c r="CP172" s="505" t="s">
        <v>3834</v>
      </c>
    </row>
    <row r="173" spans="1:96" s="31" customFormat="1" ht="147" thickBot="1" x14ac:dyDescent="0.25">
      <c r="A173" s="124">
        <f t="shared" si="2"/>
        <v>168</v>
      </c>
      <c r="B173" s="509" t="s">
        <v>1382</v>
      </c>
      <c r="C173" s="509" t="s">
        <v>1598</v>
      </c>
      <c r="D173" s="510">
        <v>650</v>
      </c>
      <c r="E173" s="510" t="s">
        <v>2383</v>
      </c>
      <c r="F173" s="497" t="s">
        <v>965</v>
      </c>
      <c r="G173" s="498" t="s">
        <v>1162</v>
      </c>
      <c r="H173" s="497" t="s">
        <v>967</v>
      </c>
      <c r="I173" s="498" t="s">
        <v>1327</v>
      </c>
      <c r="J173" s="497" t="s">
        <v>963</v>
      </c>
      <c r="K173" s="498" t="s">
        <v>1328</v>
      </c>
      <c r="L173" s="497" t="s">
        <v>986</v>
      </c>
      <c r="M173" s="498" t="s">
        <v>37</v>
      </c>
      <c r="N173" s="497" t="s">
        <v>986</v>
      </c>
      <c r="O173" s="498" t="s">
        <v>37</v>
      </c>
      <c r="P173" s="497" t="s">
        <v>964</v>
      </c>
      <c r="Q173" s="498" t="s">
        <v>1089</v>
      </c>
      <c r="R173" s="497" t="s">
        <v>963</v>
      </c>
      <c r="S173" s="498" t="s">
        <v>1090</v>
      </c>
      <c r="T173" s="497" t="s">
        <v>986</v>
      </c>
      <c r="U173" s="499" t="s">
        <v>37</v>
      </c>
      <c r="V173" s="497" t="s">
        <v>965</v>
      </c>
      <c r="W173" s="498" t="s">
        <v>1020</v>
      </c>
      <c r="X173" s="497" t="s">
        <v>963</v>
      </c>
      <c r="Y173" s="498" t="s">
        <v>1487</v>
      </c>
      <c r="Z173" s="497" t="s">
        <v>986</v>
      </c>
      <c r="AA173" s="498" t="s">
        <v>2789</v>
      </c>
      <c r="AB173" s="497" t="s">
        <v>963</v>
      </c>
      <c r="AC173" s="498" t="s">
        <v>1487</v>
      </c>
      <c r="AD173" s="497" t="s">
        <v>967</v>
      </c>
      <c r="AE173" s="498" t="s">
        <v>1488</v>
      </c>
      <c r="AF173" s="497" t="s">
        <v>967</v>
      </c>
      <c r="AG173" s="499" t="s">
        <v>1489</v>
      </c>
      <c r="AH173" s="497" t="s">
        <v>966</v>
      </c>
      <c r="AI173" s="498" t="s">
        <v>2795</v>
      </c>
      <c r="AJ173" s="497" t="s">
        <v>966</v>
      </c>
      <c r="AK173" s="498" t="s">
        <v>1039</v>
      </c>
      <c r="AL173" s="497" t="s">
        <v>986</v>
      </c>
      <c r="AM173" s="499" t="s">
        <v>37</v>
      </c>
      <c r="AN173" s="497" t="s">
        <v>965</v>
      </c>
      <c r="AO173" s="498" t="s">
        <v>1456</v>
      </c>
      <c r="AP173" s="497" t="s">
        <v>965</v>
      </c>
      <c r="AQ173" s="498" t="s">
        <v>461</v>
      </c>
      <c r="AR173" s="497" t="s">
        <v>986</v>
      </c>
      <c r="AS173" s="499" t="s">
        <v>37</v>
      </c>
      <c r="AT173" s="497" t="s">
        <v>986</v>
      </c>
      <c r="AU173" s="499" t="s">
        <v>1087</v>
      </c>
      <c r="AV173" s="497" t="s">
        <v>986</v>
      </c>
      <c r="AW173" s="498" t="s">
        <v>37</v>
      </c>
      <c r="AX173" s="497" t="s">
        <v>986</v>
      </c>
      <c r="AY173" s="498" t="s">
        <v>37</v>
      </c>
      <c r="AZ173" s="497" t="s">
        <v>965</v>
      </c>
      <c r="BA173" s="498" t="s">
        <v>990</v>
      </c>
      <c r="BB173" s="497" t="s">
        <v>986</v>
      </c>
      <c r="BC173" s="498" t="s">
        <v>37</v>
      </c>
      <c r="BD173" s="497" t="s">
        <v>965</v>
      </c>
      <c r="BE173" s="498" t="s">
        <v>2124</v>
      </c>
      <c r="BF173" s="497" t="s">
        <v>986</v>
      </c>
      <c r="BG173" s="498" t="s">
        <v>37</v>
      </c>
      <c r="BH173" s="497" t="s">
        <v>963</v>
      </c>
      <c r="BI173" s="498" t="s">
        <v>2930</v>
      </c>
      <c r="BJ173" s="497" t="s">
        <v>986</v>
      </c>
      <c r="BK173" s="498" t="s">
        <v>37</v>
      </c>
      <c r="BL173" s="497" t="s">
        <v>965</v>
      </c>
      <c r="BM173" s="498" t="s">
        <v>2931</v>
      </c>
      <c r="BN173" s="497" t="s">
        <v>963</v>
      </c>
      <c r="BO173" s="499" t="s">
        <v>399</v>
      </c>
      <c r="BP173" s="497" t="s">
        <v>967</v>
      </c>
      <c r="BQ173" s="498" t="s">
        <v>1499</v>
      </c>
      <c r="BR173" s="497" t="s">
        <v>965</v>
      </c>
      <c r="BS173" s="498" t="s">
        <v>2177</v>
      </c>
      <c r="BT173" s="497" t="s">
        <v>965</v>
      </c>
      <c r="BU173" s="498" t="s">
        <v>1707</v>
      </c>
      <c r="BV173" s="497" t="s">
        <v>986</v>
      </c>
      <c r="BW173" s="498" t="s">
        <v>37</v>
      </c>
      <c r="BX173" s="497" t="s">
        <v>966</v>
      </c>
      <c r="BY173" s="498" t="s">
        <v>198</v>
      </c>
      <c r="BZ173" s="497" t="s">
        <v>966</v>
      </c>
      <c r="CA173" s="498" t="s">
        <v>199</v>
      </c>
      <c r="CB173" s="497" t="s">
        <v>986</v>
      </c>
      <c r="CC173" s="498" t="s">
        <v>37</v>
      </c>
      <c r="CD173" s="497" t="s">
        <v>966</v>
      </c>
      <c r="CE173" s="498" t="s">
        <v>852</v>
      </c>
      <c r="CF173" s="497" t="s">
        <v>965</v>
      </c>
      <c r="CG173" s="498" t="s">
        <v>390</v>
      </c>
      <c r="CH173" s="497" t="s">
        <v>967</v>
      </c>
      <c r="CI173" s="499" t="s">
        <v>1167</v>
      </c>
      <c r="CJ173" s="497" t="s">
        <v>986</v>
      </c>
      <c r="CK173" s="498" t="s">
        <v>37</v>
      </c>
      <c r="CL173" s="497" t="s">
        <v>966</v>
      </c>
      <c r="CM173" s="498" t="s">
        <v>3833</v>
      </c>
      <c r="CN173" s="497" t="s">
        <v>965</v>
      </c>
      <c r="CO173" s="498" t="s">
        <v>1834</v>
      </c>
      <c r="CP173" s="504" t="s">
        <v>3835</v>
      </c>
    </row>
    <row r="174" spans="1:96" s="31" customFormat="1" ht="113.25" thickBot="1" x14ac:dyDescent="0.25">
      <c r="A174" s="124">
        <f t="shared" si="2"/>
        <v>169</v>
      </c>
      <c r="B174" s="509" t="s">
        <v>1974</v>
      </c>
      <c r="C174" s="509" t="s">
        <v>1598</v>
      </c>
      <c r="D174" s="510">
        <v>384</v>
      </c>
      <c r="E174" s="510" t="s">
        <v>2382</v>
      </c>
      <c r="F174" s="497" t="s">
        <v>965</v>
      </c>
      <c r="G174" s="498" t="s">
        <v>346</v>
      </c>
      <c r="H174" s="497" t="s">
        <v>965</v>
      </c>
      <c r="I174" s="498" t="s">
        <v>346</v>
      </c>
      <c r="J174" s="497" t="s">
        <v>965</v>
      </c>
      <c r="K174" s="498" t="s">
        <v>346</v>
      </c>
      <c r="L174" s="497" t="s">
        <v>965</v>
      </c>
      <c r="M174" s="498" t="s">
        <v>347</v>
      </c>
      <c r="N174" s="497" t="s">
        <v>986</v>
      </c>
      <c r="O174" s="498" t="s">
        <v>37</v>
      </c>
      <c r="P174" s="497" t="s">
        <v>958</v>
      </c>
      <c r="Q174" s="498" t="s">
        <v>348</v>
      </c>
      <c r="R174" s="497" t="s">
        <v>961</v>
      </c>
      <c r="S174" s="498" t="s">
        <v>1450</v>
      </c>
      <c r="T174" s="497" t="s">
        <v>986</v>
      </c>
      <c r="U174" s="499" t="s">
        <v>37</v>
      </c>
      <c r="V174" s="497" t="s">
        <v>986</v>
      </c>
      <c r="W174" s="498" t="s">
        <v>37</v>
      </c>
      <c r="X174" s="497" t="s">
        <v>986</v>
      </c>
      <c r="Y174" s="498" t="s">
        <v>37</v>
      </c>
      <c r="Z174" s="497" t="s">
        <v>986</v>
      </c>
      <c r="AA174" s="498" t="s">
        <v>37</v>
      </c>
      <c r="AB174" s="497" t="s">
        <v>986</v>
      </c>
      <c r="AC174" s="498" t="s">
        <v>37</v>
      </c>
      <c r="AD174" s="497" t="s">
        <v>986</v>
      </c>
      <c r="AE174" s="498" t="s">
        <v>37</v>
      </c>
      <c r="AF174" s="497" t="s">
        <v>986</v>
      </c>
      <c r="AG174" s="499" t="s">
        <v>37</v>
      </c>
      <c r="AH174" s="497" t="s">
        <v>965</v>
      </c>
      <c r="AI174" s="498" t="s">
        <v>2796</v>
      </c>
      <c r="AJ174" s="497" t="s">
        <v>986</v>
      </c>
      <c r="AK174" s="498" t="s">
        <v>37</v>
      </c>
      <c r="AL174" s="497" t="s">
        <v>986</v>
      </c>
      <c r="AM174" s="499" t="s">
        <v>37</v>
      </c>
      <c r="AN174" s="497" t="s">
        <v>986</v>
      </c>
      <c r="AO174" s="498" t="s">
        <v>37</v>
      </c>
      <c r="AP174" s="497" t="s">
        <v>986</v>
      </c>
      <c r="AQ174" s="498" t="s">
        <v>37</v>
      </c>
      <c r="AR174" s="497" t="s">
        <v>986</v>
      </c>
      <c r="AS174" s="499" t="s">
        <v>37</v>
      </c>
      <c r="AT174" s="497" t="s">
        <v>986</v>
      </c>
      <c r="AU174" s="499" t="s">
        <v>37</v>
      </c>
      <c r="AV174" s="497" t="s">
        <v>986</v>
      </c>
      <c r="AW174" s="498" t="s">
        <v>37</v>
      </c>
      <c r="AX174" s="497" t="s">
        <v>986</v>
      </c>
      <c r="AY174" s="498" t="s">
        <v>37</v>
      </c>
      <c r="AZ174" s="497" t="s">
        <v>965</v>
      </c>
      <c r="BA174" s="498" t="s">
        <v>375</v>
      </c>
      <c r="BB174" s="497" t="s">
        <v>986</v>
      </c>
      <c r="BC174" s="498" t="s">
        <v>37</v>
      </c>
      <c r="BD174" s="497" t="s">
        <v>986</v>
      </c>
      <c r="BE174" s="498" t="s">
        <v>37</v>
      </c>
      <c r="BF174" s="497" t="s">
        <v>986</v>
      </c>
      <c r="BG174" s="498" t="s">
        <v>37</v>
      </c>
      <c r="BH174" s="497" t="s">
        <v>986</v>
      </c>
      <c r="BI174" s="498" t="s">
        <v>3836</v>
      </c>
      <c r="BJ174" s="497" t="s">
        <v>965</v>
      </c>
      <c r="BK174" s="498" t="s">
        <v>277</v>
      </c>
      <c r="BL174" s="497" t="s">
        <v>963</v>
      </c>
      <c r="BM174" s="498" t="s">
        <v>613</v>
      </c>
      <c r="BN174" s="497" t="s">
        <v>986</v>
      </c>
      <c r="BO174" s="499" t="s">
        <v>37</v>
      </c>
      <c r="BP174" s="497" t="s">
        <v>967</v>
      </c>
      <c r="BQ174" s="498" t="s">
        <v>1438</v>
      </c>
      <c r="BR174" s="497" t="s">
        <v>965</v>
      </c>
      <c r="BS174" s="498" t="s">
        <v>2178</v>
      </c>
      <c r="BT174" s="497" t="s">
        <v>966</v>
      </c>
      <c r="BU174" s="498" t="s">
        <v>791</v>
      </c>
      <c r="BV174" s="497" t="s">
        <v>966</v>
      </c>
      <c r="BW174" s="498" t="s">
        <v>1637</v>
      </c>
      <c r="BX174" s="497" t="s">
        <v>986</v>
      </c>
      <c r="BY174" s="498" t="s">
        <v>1665</v>
      </c>
      <c r="BZ174" s="497" t="s">
        <v>986</v>
      </c>
      <c r="CA174" s="498" t="s">
        <v>1049</v>
      </c>
      <c r="CB174" s="497" t="s">
        <v>986</v>
      </c>
      <c r="CC174" s="498" t="s">
        <v>37</v>
      </c>
      <c r="CD174" s="497" t="s">
        <v>986</v>
      </c>
      <c r="CE174" s="498" t="s">
        <v>470</v>
      </c>
      <c r="CF174" s="497" t="s">
        <v>966</v>
      </c>
      <c r="CG174" s="498" t="s">
        <v>472</v>
      </c>
      <c r="CH174" s="497" t="s">
        <v>965</v>
      </c>
      <c r="CI174" s="499" t="s">
        <v>2797</v>
      </c>
      <c r="CJ174" s="497" t="s">
        <v>986</v>
      </c>
      <c r="CK174" s="498" t="s">
        <v>37</v>
      </c>
      <c r="CL174" s="497" t="s">
        <v>986</v>
      </c>
      <c r="CM174" s="498" t="s">
        <v>37</v>
      </c>
      <c r="CN174" s="497" t="s">
        <v>965</v>
      </c>
      <c r="CO174" s="498" t="s">
        <v>2000</v>
      </c>
      <c r="CP174" s="505" t="s">
        <v>3837</v>
      </c>
    </row>
    <row r="175" spans="1:96" s="31" customFormat="1" ht="61.15" customHeight="1" thickBot="1" x14ac:dyDescent="0.25">
      <c r="A175" s="124"/>
      <c r="B175" s="509"/>
      <c r="C175" s="509"/>
      <c r="D175" s="510"/>
      <c r="E175" s="510"/>
      <c r="F175" s="497"/>
      <c r="G175" s="498"/>
      <c r="H175" s="497"/>
      <c r="I175" s="498"/>
      <c r="J175" s="497"/>
      <c r="K175" s="498"/>
      <c r="L175" s="497"/>
      <c r="M175" s="498"/>
      <c r="N175" s="497"/>
      <c r="O175" s="498"/>
      <c r="P175" s="497"/>
      <c r="Q175" s="498"/>
      <c r="R175" s="497"/>
      <c r="S175" s="498"/>
      <c r="T175" s="497"/>
      <c r="U175" s="499"/>
      <c r="V175" s="497"/>
      <c r="W175" s="498"/>
      <c r="X175" s="497"/>
      <c r="Y175" s="498"/>
      <c r="Z175" s="497"/>
      <c r="AA175" s="498"/>
      <c r="AB175" s="497"/>
      <c r="AC175" s="498"/>
      <c r="AD175" s="497"/>
      <c r="AE175" s="498"/>
      <c r="AF175" s="497"/>
      <c r="AG175" s="499"/>
      <c r="AH175" s="497"/>
      <c r="AI175" s="498"/>
      <c r="AJ175" s="497"/>
      <c r="AK175" s="498"/>
      <c r="AL175" s="497"/>
      <c r="AM175" s="499"/>
      <c r="AN175" s="497"/>
      <c r="AO175" s="498"/>
      <c r="AP175" s="497"/>
      <c r="AQ175" s="498"/>
      <c r="AR175" s="497"/>
      <c r="AS175" s="499"/>
      <c r="AT175" s="497"/>
      <c r="AU175" s="499"/>
      <c r="AV175" s="497"/>
      <c r="AW175" s="498"/>
      <c r="AX175" s="497"/>
      <c r="AY175" s="498"/>
      <c r="AZ175" s="497"/>
      <c r="BA175" s="498"/>
      <c r="BB175" s="497"/>
      <c r="BC175" s="498"/>
      <c r="BD175" s="497"/>
      <c r="BE175" s="498"/>
      <c r="BF175" s="497"/>
      <c r="BG175" s="498"/>
      <c r="BH175" s="497"/>
      <c r="BI175" s="498"/>
      <c r="BJ175" s="497"/>
      <c r="BK175" s="498"/>
      <c r="BL175" s="497"/>
      <c r="BM175" s="498"/>
      <c r="BN175" s="497"/>
      <c r="BO175" s="499"/>
      <c r="BP175" s="497"/>
      <c r="BQ175" s="498"/>
      <c r="BR175" s="497"/>
      <c r="BS175" s="498"/>
      <c r="BT175" s="497"/>
      <c r="BU175" s="498"/>
      <c r="BV175" s="497"/>
      <c r="BW175" s="498"/>
      <c r="BX175" s="497"/>
      <c r="BY175" s="498"/>
      <c r="BZ175" s="497"/>
      <c r="CA175" s="498"/>
      <c r="CB175" s="497"/>
      <c r="CC175" s="498"/>
      <c r="CD175" s="497"/>
      <c r="CE175" s="498"/>
      <c r="CF175" s="497"/>
      <c r="CG175" s="498"/>
      <c r="CH175" s="497"/>
      <c r="CI175" s="499"/>
      <c r="CJ175" s="497"/>
      <c r="CK175" s="498"/>
      <c r="CL175" s="497"/>
      <c r="CM175" s="498"/>
      <c r="CN175" s="497"/>
      <c r="CO175" s="498"/>
      <c r="CP175" s="517"/>
    </row>
    <row r="176" spans="1:96" s="31" customFormat="1" ht="61.15" customHeight="1" thickBot="1" x14ac:dyDescent="0.25">
      <c r="A176" s="124"/>
      <c r="B176" s="509"/>
      <c r="C176" s="509"/>
      <c r="D176" s="510"/>
      <c r="E176" s="510"/>
      <c r="F176" s="497"/>
      <c r="G176" s="498"/>
      <c r="H176" s="497"/>
      <c r="I176" s="498"/>
      <c r="J176" s="497"/>
      <c r="K176" s="498"/>
      <c r="L176" s="497"/>
      <c r="M176" s="498"/>
      <c r="N176" s="497"/>
      <c r="O176" s="498"/>
      <c r="P176" s="497"/>
      <c r="Q176" s="498"/>
      <c r="R176" s="497"/>
      <c r="S176" s="498"/>
      <c r="T176" s="497"/>
      <c r="U176" s="499"/>
      <c r="V176" s="497"/>
      <c r="W176" s="498"/>
      <c r="X176" s="497"/>
      <c r="Y176" s="498"/>
      <c r="Z176" s="497"/>
      <c r="AA176" s="498"/>
      <c r="AB176" s="497"/>
      <c r="AC176" s="498"/>
      <c r="AD176" s="497"/>
      <c r="AE176" s="498"/>
      <c r="AF176" s="497"/>
      <c r="AG176" s="499"/>
      <c r="AH176" s="497"/>
      <c r="AI176" s="498"/>
      <c r="AJ176" s="497"/>
      <c r="AK176" s="498"/>
      <c r="AL176" s="497"/>
      <c r="AM176" s="499"/>
      <c r="AN176" s="497"/>
      <c r="AO176" s="498"/>
      <c r="AP176" s="497"/>
      <c r="AQ176" s="498"/>
      <c r="AR176" s="497"/>
      <c r="AS176" s="499"/>
      <c r="AT176" s="497"/>
      <c r="AU176" s="499"/>
      <c r="AV176" s="497"/>
      <c r="AW176" s="498"/>
      <c r="AX176" s="497"/>
      <c r="AY176" s="498"/>
      <c r="AZ176" s="497"/>
      <c r="BA176" s="498"/>
      <c r="BB176" s="497"/>
      <c r="BC176" s="498"/>
      <c r="BD176" s="497"/>
      <c r="BE176" s="498"/>
      <c r="BF176" s="497"/>
      <c r="BG176" s="498"/>
      <c r="BH176" s="497"/>
      <c r="BI176" s="498"/>
      <c r="BJ176" s="497"/>
      <c r="BK176" s="498"/>
      <c r="BL176" s="497"/>
      <c r="BM176" s="498"/>
      <c r="BN176" s="497"/>
      <c r="BO176" s="499"/>
      <c r="BP176" s="497"/>
      <c r="BQ176" s="498"/>
      <c r="BR176" s="497"/>
      <c r="BS176" s="498"/>
      <c r="BT176" s="497"/>
      <c r="BU176" s="498"/>
      <c r="BV176" s="497"/>
      <c r="BW176" s="498"/>
      <c r="BX176" s="497"/>
      <c r="BY176" s="498"/>
      <c r="BZ176" s="497"/>
      <c r="CA176" s="498"/>
      <c r="CB176" s="497"/>
      <c r="CC176" s="498"/>
      <c r="CD176" s="497"/>
      <c r="CE176" s="498"/>
      <c r="CF176" s="497"/>
      <c r="CG176" s="498"/>
      <c r="CH176" s="497"/>
      <c r="CI176" s="499"/>
      <c r="CJ176" s="497"/>
      <c r="CK176" s="498"/>
      <c r="CL176" s="497"/>
      <c r="CM176" s="498"/>
      <c r="CN176" s="497"/>
      <c r="CO176" s="498"/>
      <c r="CP176" s="517"/>
    </row>
    <row r="177" spans="1:94" s="31" customFormat="1" ht="61.15" customHeight="1" thickBot="1" x14ac:dyDescent="0.25">
      <c r="A177" s="124"/>
      <c r="B177" s="509"/>
      <c r="C177" s="509"/>
      <c r="D177" s="510"/>
      <c r="E177" s="510"/>
      <c r="F177" s="497"/>
      <c r="G177" s="498"/>
      <c r="H177" s="497"/>
      <c r="I177" s="498"/>
      <c r="J177" s="497"/>
      <c r="K177" s="498"/>
      <c r="L177" s="497"/>
      <c r="M177" s="498"/>
      <c r="N177" s="497"/>
      <c r="O177" s="498"/>
      <c r="P177" s="497"/>
      <c r="Q177" s="498"/>
      <c r="R177" s="497"/>
      <c r="S177" s="498"/>
      <c r="T177" s="497"/>
      <c r="U177" s="499"/>
      <c r="V177" s="497"/>
      <c r="W177" s="498"/>
      <c r="X177" s="497"/>
      <c r="Y177" s="498"/>
      <c r="Z177" s="497"/>
      <c r="AA177" s="498"/>
      <c r="AB177" s="497"/>
      <c r="AC177" s="498"/>
      <c r="AD177" s="497"/>
      <c r="AE177" s="498"/>
      <c r="AF177" s="497"/>
      <c r="AG177" s="499"/>
      <c r="AH177" s="497"/>
      <c r="AI177" s="498"/>
      <c r="AJ177" s="497"/>
      <c r="AK177" s="498"/>
      <c r="AL177" s="497"/>
      <c r="AM177" s="499"/>
      <c r="AN177" s="497"/>
      <c r="AO177" s="498"/>
      <c r="AP177" s="497"/>
      <c r="AQ177" s="498"/>
      <c r="AR177" s="497"/>
      <c r="AS177" s="499"/>
      <c r="AT177" s="497"/>
      <c r="AU177" s="499"/>
      <c r="AV177" s="497"/>
      <c r="AW177" s="498"/>
      <c r="AX177" s="497"/>
      <c r="AY177" s="498"/>
      <c r="AZ177" s="497"/>
      <c r="BA177" s="498"/>
      <c r="BB177" s="497"/>
      <c r="BC177" s="498"/>
      <c r="BD177" s="497"/>
      <c r="BE177" s="498"/>
      <c r="BF177" s="497"/>
      <c r="BG177" s="498"/>
      <c r="BH177" s="497"/>
      <c r="BI177" s="498"/>
      <c r="BJ177" s="497"/>
      <c r="BK177" s="498"/>
      <c r="BL177" s="497"/>
      <c r="BM177" s="498"/>
      <c r="BN177" s="497"/>
      <c r="BO177" s="499"/>
      <c r="BP177" s="497"/>
      <c r="BQ177" s="498"/>
      <c r="BR177" s="497"/>
      <c r="BS177" s="498"/>
      <c r="BT177" s="497"/>
      <c r="BU177" s="498"/>
      <c r="BV177" s="497"/>
      <c r="BW177" s="498"/>
      <c r="BX177" s="497"/>
      <c r="BY177" s="498"/>
      <c r="BZ177" s="497"/>
      <c r="CA177" s="498"/>
      <c r="CB177" s="497"/>
      <c r="CC177" s="498"/>
      <c r="CD177" s="497"/>
      <c r="CE177" s="498"/>
      <c r="CF177" s="497"/>
      <c r="CG177" s="498"/>
      <c r="CH177" s="497"/>
      <c r="CI177" s="499"/>
      <c r="CJ177" s="497"/>
      <c r="CK177" s="498"/>
      <c r="CL177" s="497"/>
      <c r="CM177" s="498"/>
      <c r="CN177" s="497"/>
      <c r="CO177" s="498"/>
      <c r="CP177" s="517"/>
    </row>
    <row r="178" spans="1:94" s="31" customFormat="1" ht="61.15" customHeight="1" thickBot="1" x14ac:dyDescent="0.25">
      <c r="A178" s="124"/>
      <c r="B178" s="509"/>
      <c r="C178" s="509"/>
      <c r="D178" s="510"/>
      <c r="E178" s="510"/>
      <c r="F178" s="497"/>
      <c r="G178" s="498"/>
      <c r="H178" s="497"/>
      <c r="I178" s="498"/>
      <c r="J178" s="497"/>
      <c r="K178" s="498"/>
      <c r="L178" s="497"/>
      <c r="M178" s="498"/>
      <c r="N178" s="497"/>
      <c r="O178" s="498"/>
      <c r="P178" s="497"/>
      <c r="Q178" s="498"/>
      <c r="R178" s="497"/>
      <c r="S178" s="498"/>
      <c r="T178" s="497"/>
      <c r="U178" s="499"/>
      <c r="V178" s="497"/>
      <c r="W178" s="498"/>
      <c r="X178" s="497"/>
      <c r="Y178" s="498"/>
      <c r="Z178" s="497"/>
      <c r="AA178" s="498"/>
      <c r="AB178" s="497"/>
      <c r="AC178" s="498"/>
      <c r="AD178" s="497"/>
      <c r="AE178" s="498"/>
      <c r="AF178" s="497"/>
      <c r="AG178" s="499"/>
      <c r="AH178" s="497"/>
      <c r="AI178" s="498"/>
      <c r="AJ178" s="497"/>
      <c r="AK178" s="498"/>
      <c r="AL178" s="497"/>
      <c r="AM178" s="499"/>
      <c r="AN178" s="497"/>
      <c r="AO178" s="498"/>
      <c r="AP178" s="497"/>
      <c r="AQ178" s="498"/>
      <c r="AR178" s="497"/>
      <c r="AS178" s="499"/>
      <c r="AT178" s="497"/>
      <c r="AU178" s="499"/>
      <c r="AV178" s="497"/>
      <c r="AW178" s="498"/>
      <c r="AX178" s="497"/>
      <c r="AY178" s="498"/>
      <c r="AZ178" s="497"/>
      <c r="BA178" s="498"/>
      <c r="BB178" s="497"/>
      <c r="BC178" s="498"/>
      <c r="BD178" s="497"/>
      <c r="BE178" s="498"/>
      <c r="BF178" s="497"/>
      <c r="BG178" s="498"/>
      <c r="BH178" s="497"/>
      <c r="BI178" s="498"/>
      <c r="BJ178" s="497"/>
      <c r="BK178" s="498"/>
      <c r="BL178" s="497"/>
      <c r="BM178" s="498"/>
      <c r="BN178" s="497"/>
      <c r="BO178" s="499"/>
      <c r="BP178" s="497"/>
      <c r="BQ178" s="498"/>
      <c r="BR178" s="497"/>
      <c r="BS178" s="498"/>
      <c r="BT178" s="497"/>
      <c r="BU178" s="498"/>
      <c r="BV178" s="497"/>
      <c r="BW178" s="498"/>
      <c r="BX178" s="497"/>
      <c r="BY178" s="498"/>
      <c r="BZ178" s="497"/>
      <c r="CA178" s="498"/>
      <c r="CB178" s="497"/>
      <c r="CC178" s="498"/>
      <c r="CD178" s="497"/>
      <c r="CE178" s="498"/>
      <c r="CF178" s="497"/>
      <c r="CG178" s="498"/>
      <c r="CH178" s="497"/>
      <c r="CI178" s="499"/>
      <c r="CJ178" s="497"/>
      <c r="CK178" s="498"/>
      <c r="CL178" s="497"/>
      <c r="CM178" s="498"/>
      <c r="CN178" s="497"/>
      <c r="CO178" s="498"/>
      <c r="CP178" s="517"/>
    </row>
    <row r="179" spans="1:94" s="31" customFormat="1" ht="61.15" customHeight="1" thickBot="1" x14ac:dyDescent="0.25">
      <c r="A179" s="124"/>
      <c r="B179" s="509"/>
      <c r="C179" s="509"/>
      <c r="D179" s="510"/>
      <c r="E179" s="510"/>
      <c r="F179" s="497"/>
      <c r="G179" s="498"/>
      <c r="H179" s="497"/>
      <c r="I179" s="498"/>
      <c r="J179" s="497"/>
      <c r="K179" s="498"/>
      <c r="L179" s="497"/>
      <c r="M179" s="498"/>
      <c r="N179" s="497"/>
      <c r="O179" s="498"/>
      <c r="P179" s="497"/>
      <c r="Q179" s="498"/>
      <c r="R179" s="497"/>
      <c r="S179" s="498"/>
      <c r="T179" s="497"/>
      <c r="U179" s="499"/>
      <c r="V179" s="497"/>
      <c r="W179" s="498"/>
      <c r="X179" s="497"/>
      <c r="Y179" s="498"/>
      <c r="Z179" s="497"/>
      <c r="AA179" s="498"/>
      <c r="AB179" s="497"/>
      <c r="AC179" s="498"/>
      <c r="AD179" s="497"/>
      <c r="AE179" s="498"/>
      <c r="AF179" s="497"/>
      <c r="AG179" s="499"/>
      <c r="AH179" s="497"/>
      <c r="AI179" s="498"/>
      <c r="AJ179" s="497"/>
      <c r="AK179" s="498"/>
      <c r="AL179" s="497"/>
      <c r="AM179" s="499"/>
      <c r="AN179" s="497"/>
      <c r="AO179" s="498"/>
      <c r="AP179" s="497"/>
      <c r="AQ179" s="498"/>
      <c r="AR179" s="497"/>
      <c r="AS179" s="499"/>
      <c r="AT179" s="497"/>
      <c r="AU179" s="499"/>
      <c r="AV179" s="497"/>
      <c r="AW179" s="498"/>
      <c r="AX179" s="497"/>
      <c r="AY179" s="498"/>
      <c r="AZ179" s="497"/>
      <c r="BA179" s="498"/>
      <c r="BB179" s="497"/>
      <c r="BC179" s="498"/>
      <c r="BD179" s="497"/>
      <c r="BE179" s="498"/>
      <c r="BF179" s="497"/>
      <c r="BG179" s="498"/>
      <c r="BH179" s="497"/>
      <c r="BI179" s="498"/>
      <c r="BJ179" s="497"/>
      <c r="BK179" s="498"/>
      <c r="BL179" s="497"/>
      <c r="BM179" s="498"/>
      <c r="BN179" s="497"/>
      <c r="BO179" s="499"/>
      <c r="BP179" s="497"/>
      <c r="BQ179" s="498"/>
      <c r="BR179" s="497"/>
      <c r="BS179" s="498"/>
      <c r="BT179" s="497"/>
      <c r="BU179" s="498"/>
      <c r="BV179" s="497"/>
      <c r="BW179" s="498"/>
      <c r="BX179" s="497"/>
      <c r="BY179" s="498"/>
      <c r="BZ179" s="497"/>
      <c r="CA179" s="498"/>
      <c r="CB179" s="497"/>
      <c r="CC179" s="498"/>
      <c r="CD179" s="497"/>
      <c r="CE179" s="498"/>
      <c r="CF179" s="497"/>
      <c r="CG179" s="498"/>
      <c r="CH179" s="497"/>
      <c r="CI179" s="499"/>
      <c r="CJ179" s="497"/>
      <c r="CK179" s="498"/>
      <c r="CL179" s="497"/>
      <c r="CM179" s="498"/>
      <c r="CN179" s="497"/>
      <c r="CO179" s="498"/>
      <c r="CP179" s="517"/>
    </row>
    <row r="180" spans="1:94" s="31" customFormat="1" ht="61.15" customHeight="1" thickBot="1" x14ac:dyDescent="0.25">
      <c r="A180" s="124"/>
      <c r="B180" s="509"/>
      <c r="C180" s="509"/>
      <c r="D180" s="510"/>
      <c r="E180" s="510"/>
      <c r="F180" s="497"/>
      <c r="G180" s="498"/>
      <c r="H180" s="497"/>
      <c r="I180" s="498"/>
      <c r="J180" s="497"/>
      <c r="K180" s="498"/>
      <c r="L180" s="497"/>
      <c r="M180" s="498"/>
      <c r="N180" s="497"/>
      <c r="O180" s="498"/>
      <c r="P180" s="497"/>
      <c r="Q180" s="498"/>
      <c r="R180" s="497"/>
      <c r="S180" s="498"/>
      <c r="T180" s="497"/>
      <c r="U180" s="499"/>
      <c r="V180" s="497"/>
      <c r="W180" s="498"/>
      <c r="X180" s="497"/>
      <c r="Y180" s="498"/>
      <c r="Z180" s="497"/>
      <c r="AA180" s="498"/>
      <c r="AB180" s="497"/>
      <c r="AC180" s="498"/>
      <c r="AD180" s="497"/>
      <c r="AE180" s="498"/>
      <c r="AF180" s="497"/>
      <c r="AG180" s="499"/>
      <c r="AH180" s="497"/>
      <c r="AI180" s="498"/>
      <c r="AJ180" s="497"/>
      <c r="AK180" s="498"/>
      <c r="AL180" s="497"/>
      <c r="AM180" s="499"/>
      <c r="AN180" s="497"/>
      <c r="AO180" s="498"/>
      <c r="AP180" s="497"/>
      <c r="AQ180" s="498"/>
      <c r="AR180" s="497"/>
      <c r="AS180" s="499"/>
      <c r="AT180" s="497"/>
      <c r="AU180" s="499"/>
      <c r="AV180" s="497"/>
      <c r="AW180" s="498"/>
      <c r="AX180" s="497"/>
      <c r="AY180" s="498"/>
      <c r="AZ180" s="497"/>
      <c r="BA180" s="498"/>
      <c r="BB180" s="497"/>
      <c r="BC180" s="498"/>
      <c r="BD180" s="497"/>
      <c r="BE180" s="498"/>
      <c r="BF180" s="497"/>
      <c r="BG180" s="498"/>
      <c r="BH180" s="497"/>
      <c r="BI180" s="498"/>
      <c r="BJ180" s="497"/>
      <c r="BK180" s="498"/>
      <c r="BL180" s="497"/>
      <c r="BM180" s="498"/>
      <c r="BN180" s="497"/>
      <c r="BO180" s="499"/>
      <c r="BP180" s="497"/>
      <c r="BQ180" s="498"/>
      <c r="BR180" s="497"/>
      <c r="BS180" s="498"/>
      <c r="BT180" s="497"/>
      <c r="BU180" s="498"/>
      <c r="BV180" s="497"/>
      <c r="BW180" s="498"/>
      <c r="BX180" s="497"/>
      <c r="BY180" s="498"/>
      <c r="BZ180" s="497"/>
      <c r="CA180" s="498"/>
      <c r="CB180" s="497"/>
      <c r="CC180" s="498"/>
      <c r="CD180" s="497"/>
      <c r="CE180" s="498"/>
      <c r="CF180" s="497"/>
      <c r="CG180" s="498"/>
      <c r="CH180" s="497"/>
      <c r="CI180" s="499"/>
      <c r="CJ180" s="497"/>
      <c r="CK180" s="498"/>
      <c r="CL180" s="497"/>
      <c r="CM180" s="498"/>
      <c r="CN180" s="497"/>
      <c r="CO180" s="498"/>
      <c r="CP180" s="517"/>
    </row>
    <row r="182" spans="1:94" ht="51" x14ac:dyDescent="0.2">
      <c r="B182" s="14" t="s">
        <v>231</v>
      </c>
    </row>
    <row r="183" spans="1:94" ht="63.75" x14ac:dyDescent="0.2">
      <c r="B183" s="47" t="s">
        <v>2210</v>
      </c>
    </row>
    <row r="184" spans="1:94" ht="38.25" x14ac:dyDescent="0.2">
      <c r="B184" s="48" t="s">
        <v>2211</v>
      </c>
    </row>
    <row r="186" spans="1:94" x14ac:dyDescent="0.2">
      <c r="B186" s="7"/>
    </row>
    <row r="188" spans="1:94" ht="15.75" x14ac:dyDescent="0.2">
      <c r="B188" s="536"/>
    </row>
    <row r="189" spans="1:94" ht="15.75" x14ac:dyDescent="0.2">
      <c r="B189" s="536"/>
    </row>
    <row r="190" spans="1:94" ht="15.75" x14ac:dyDescent="0.2">
      <c r="B190" s="536"/>
    </row>
    <row r="191" spans="1:94" ht="15.75" x14ac:dyDescent="0.2">
      <c r="B191" s="536"/>
    </row>
    <row r="192" spans="1:94" ht="15.75" x14ac:dyDescent="0.2">
      <c r="B192" s="536"/>
    </row>
    <row r="193" spans="2:2" ht="15.75" x14ac:dyDescent="0.2">
      <c r="B193" s="536"/>
    </row>
    <row r="194" spans="2:2" ht="15.75" x14ac:dyDescent="0.2">
      <c r="B194" s="536"/>
    </row>
    <row r="195" spans="2:2" ht="15.75" x14ac:dyDescent="0.2">
      <c r="B195" s="536"/>
    </row>
    <row r="196" spans="2:2" ht="15.75" x14ac:dyDescent="0.2">
      <c r="B196" s="536"/>
    </row>
    <row r="197" spans="2:2" ht="15.75" x14ac:dyDescent="0.2">
      <c r="B197" s="536"/>
    </row>
    <row r="198" spans="2:2" ht="15.75" x14ac:dyDescent="0.2">
      <c r="B198" s="536"/>
    </row>
    <row r="199" spans="2:2" ht="15.75" x14ac:dyDescent="0.2">
      <c r="B199" s="536"/>
    </row>
    <row r="200" spans="2:2" ht="15.75" x14ac:dyDescent="0.2">
      <c r="B200" s="536"/>
    </row>
    <row r="201" spans="2:2" ht="15.75" x14ac:dyDescent="0.2">
      <c r="B201" s="536"/>
    </row>
    <row r="202" spans="2:2" ht="15.75" x14ac:dyDescent="0.2">
      <c r="B202" s="536"/>
    </row>
    <row r="203" spans="2:2" ht="15.75" x14ac:dyDescent="0.2">
      <c r="B203" s="536"/>
    </row>
  </sheetData>
  <sortState ref="B6:CP176">
    <sortCondition ref="B6:B176"/>
  </sortState>
  <customSheetViews>
    <customSheetView guid="{F424B91F-F60F-4B7D-B253-938B2614248E}">
      <pane xSplit="3" ySplit="4" topLeftCell="D5" activePane="bottomRight" state="frozen"/>
      <selection pane="bottomRight" activeCell="D5" sqref="D5"/>
      <pageMargins left="0.75" right="0.75" top="1" bottom="1" header="0.5" footer="0.5"/>
      <pageSetup scale="75" pageOrder="overThenDown" orientation="landscape" verticalDpi="300" r:id="rId1"/>
      <headerFooter alignWithMargins="0">
        <oddHeader>&amp;RPractice Effects</oddHeader>
        <oddFooter>Page &amp;P of &amp;N</oddFooter>
      </headerFooter>
    </customSheetView>
  </customSheetViews>
  <mergeCells count="87">
    <mergeCell ref="B3:E3"/>
    <mergeCell ref="B4:E4"/>
    <mergeCell ref="CL2:CO2"/>
    <mergeCell ref="CF2:CK2"/>
    <mergeCell ref="BP2:BW2"/>
    <mergeCell ref="X2:AE2"/>
    <mergeCell ref="P2:W2"/>
    <mergeCell ref="AF2:AI2"/>
    <mergeCell ref="CN3:CO3"/>
    <mergeCell ref="CL4:CM4"/>
    <mergeCell ref="CN4:CO4"/>
    <mergeCell ref="CJ3:CK3"/>
    <mergeCell ref="CJ4:CK4"/>
    <mergeCell ref="CH3:CI3"/>
    <mergeCell ref="CH4:CI4"/>
    <mergeCell ref="CF3:CG3"/>
    <mergeCell ref="CL3:CM3"/>
    <mergeCell ref="BP3:BQ3"/>
    <mergeCell ref="BP4:BQ4"/>
    <mergeCell ref="BR3:BS3"/>
    <mergeCell ref="BR4:BS4"/>
    <mergeCell ref="BT3:BU3"/>
    <mergeCell ref="CF4:CG4"/>
    <mergeCell ref="BX4:BY4"/>
    <mergeCell ref="BZ4:CA4"/>
    <mergeCell ref="BT4:BU4"/>
    <mergeCell ref="N4:O4"/>
    <mergeCell ref="N3:O3"/>
    <mergeCell ref="P3:Q3"/>
    <mergeCell ref="P4:Q4"/>
    <mergeCell ref="BF4:BG4"/>
    <mergeCell ref="AV4:AW4"/>
    <mergeCell ref="AR3:AU3"/>
    <mergeCell ref="AN4:AO4"/>
    <mergeCell ref="AP4:AQ4"/>
    <mergeCell ref="R3:S3"/>
    <mergeCell ref="R4:S4"/>
    <mergeCell ref="BB3:BC3"/>
    <mergeCell ref="T4:U4"/>
    <mergeCell ref="T3:U3"/>
    <mergeCell ref="AJ4:AK4"/>
    <mergeCell ref="BB4:BC4"/>
    <mergeCell ref="F3:I3"/>
    <mergeCell ref="F4:G4"/>
    <mergeCell ref="H4:I4"/>
    <mergeCell ref="J4:K4"/>
    <mergeCell ref="L4:M4"/>
    <mergeCell ref="J3:M3"/>
    <mergeCell ref="AH4:AI4"/>
    <mergeCell ref="V3:W3"/>
    <mergeCell ref="V4:W4"/>
    <mergeCell ref="X3:AE3"/>
    <mergeCell ref="X4:Y4"/>
    <mergeCell ref="Z4:AA4"/>
    <mergeCell ref="AB4:AC4"/>
    <mergeCell ref="AZ3:BA3"/>
    <mergeCell ref="AZ4:BA4"/>
    <mergeCell ref="AN3:AQ3"/>
    <mergeCell ref="AJ3:AM3"/>
    <mergeCell ref="BX2:CE2"/>
    <mergeCell ref="BL3:BM3"/>
    <mergeCell ref="BH3:BI3"/>
    <mergeCell ref="BX3:CE3"/>
    <mergeCell ref="BL4:BM4"/>
    <mergeCell ref="BJ3:BK3"/>
    <mergeCell ref="BJ4:BK4"/>
    <mergeCell ref="BV3:BW3"/>
    <mergeCell ref="BV4:BW4"/>
    <mergeCell ref="CD4:CE4"/>
    <mergeCell ref="BH4:BI4"/>
    <mergeCell ref="CB4:CC4"/>
    <mergeCell ref="F2:O2"/>
    <mergeCell ref="AD4:AE4"/>
    <mergeCell ref="AF4:AG4"/>
    <mergeCell ref="BN3:BO3"/>
    <mergeCell ref="BN4:BO4"/>
    <mergeCell ref="BH2:BO2"/>
    <mergeCell ref="AF3:AG3"/>
    <mergeCell ref="AH3:AI3"/>
    <mergeCell ref="AJ2:BG2"/>
    <mergeCell ref="BD4:BE4"/>
    <mergeCell ref="AX4:AY4"/>
    <mergeCell ref="AL4:AM4"/>
    <mergeCell ref="AV3:AY3"/>
    <mergeCell ref="BD3:BG3"/>
    <mergeCell ref="AT4:AU4"/>
    <mergeCell ref="AR4:AS4"/>
  </mergeCells>
  <phoneticPr fontId="5" type="noConversion"/>
  <conditionalFormatting sqref="CJ6 CH6 CF6 CD6 CB6 BZ6 BX6 BV6 BT6 BR6 BP6 BN6 BL6 BJ6 BH6 BF6 BD6 BB6 AZ6 AX6 AV6 AT6 AR6 AP6 AN6 AL6 AJ6 AH6 AF6 AD6 AB6 Z6 X6 V6 T6 R6 P6 N6 L6 J6 H6 F6">
    <cfRule type="expression" dxfId="329" priority="1445" stopIfTrue="1">
      <formula>AND(SEARCH("decrease",F6),SEARCH("substantial",F6),SEARCH("No",#REF!))</formula>
    </cfRule>
    <cfRule type="expression" dxfId="328" priority="1446" stopIfTrue="1">
      <formula>AND(SEARCH("decrease",F6),SEARCH("moderate",F6),SEARCH("No",#REF!))</formula>
    </cfRule>
  </conditionalFormatting>
  <conditionalFormatting sqref="CJ37:CJ38 CH37:CH38 CF37:CF38 CD37:CD38 CB37:CB38 BZ37:BZ38 BX37:BX38 BV37:BV38 BT37:BT38 BR37:BR38 BP37:BP38 BN37:BN38 BL37:BL38 BJ37:BJ38 BH37:BH38 BF37:BF38 BD37:BD38 BB37:BB38 AZ37:AZ38 AX37:AX38 AV37:AV38 AT37:AT38 AR37:AR38 AP37:AP38 AN37:AN38 AL37:AL38 AJ37:AJ38 AH37:AH38 AF37:AF38 AD37:AD38 AB37:AB38 Z37:Z38 X37:X38 V37:V38 T37:T38 R37:R38 P37:P38 N37:N38 L37:L38 J37:J38 H37:H38 F37:F38 CJ92 CH92 CF92 CD92 CB92 BZ92 BX92 BV92 BT92 BR92 BP92 BN92 BL92 BJ92 BH92 BF92 BD92 BB92 AZ92 AX92 AV92 AT92 AR92 AP92 AN92 AL92 AJ92 AH92 AF92 AD92 AB92 Z92 X92 V92 T92 R92 P92 N92 L92 J92 H92 F92 CJ29:CJ30 CH29:CH30 CF29:CF30 CD29:CD30 CB29:CB30 BZ29:BZ30 BX29:BX30 BV29:BV30 BT29:BT30 BR29:BR30 BP29:BP30 BN29:BN30 BL29:BL30 BJ29:BJ30 BH29:BH30 BF29:BF30 BD29:BD30 BB29:BB30 AZ29:AZ30 AX29:AX30 AV29:AV30 AT29:AT30 AR29:AR30 AP29:AP30 AN29:AN30 AL29:AL30 AJ29:AJ30 AH29:AH30 AF29:AF30 AD29:AD30 AB29:AB30 Z29:Z30 X29:X30 V29:V30 T29:T30 R29:R30 P29:P30 N29:N30 L29:L30 J29:J30 H29:H30 F29:F30 F7:F10 H7:H10 J7:J10 L7:L10 N7:N10 P7:P10 R7:R10 T7:T10 X7:X10 AB7:AB10 AD7:AD10 AH7:AH10 AJ7:AJ10 AL7:AL10 AN7:AN10 AP7:AP10 AR7:AR10 AT7:AT10 AV7:AV10 AX7:AX10 AZ7:AZ10 BB7:BB10 BD7:BD10 BF7:BF10 BH7:BH10 BJ7:BJ10 BL7:BL10 BN7:BN10 BP7:BP10 BR7:BR10 BT7:BT10 BV7:BV10 BX7:BX10 BZ7:BZ10 CB7:CB10 CD7:CD10 CH7:CH10 CJ7:CJ10 F55:F67 H55:H67 J55:J67 L55:L67 N55:N67 P55:P67 R55:R67 T55:T67 V55:V67 X55:X67 Z55:Z67 AB55:AB67 AD55:AD67 AF55:AF67 AH55:AH67 AJ55:AJ67 AL55:AL67 AN55:AN67 AP55:AP67 AR55:AR67 AT55:AT67 AV55:AV67 AX55:AX67 AZ55:AZ67 BB55:BB67 BD55:BD67 BF55:BF67 BH55:BH67 BJ55:BJ67 BL55:BL67 BN55:BN67 BP55:BP67 BR55:BR67 BT55:BT67 BV55:BV67 BX55:BX67 BZ55:BZ67 CB55:CB67 CD55:CD67 CF55:CF67 CH55:CH67 CJ55:CJ67 F98:F99 H98:H99 J98:J99 L98:L99 N98:N99 P98:P99 R98:R99 T98:T99 V98:V99 X98:X99 Z98:Z99 AB98:AB99 AD98:AD99 AF98:AF99 AH98:AH99 AJ98:AJ99 AL98:AL99 AN98:AN99 AP98:AP99 AR98:AR99 AT98:AT99 AV98:AV99 AX98:AX99 AZ98:AZ99 BB98:BB99 BD98:BD99 BF98:BF99 BH98:BH99 BJ98:BJ99 BL98:BL99 BN98:BN99 BP98:BP99 BR98:BR99 BT98:BT99 BV98:BV99 BX98:BX99 BZ98:BZ99 CB98:CB99 CD98:CD99 CF98:CF99 CH98:CH99 CJ98:CJ99 CJ116:CJ124 CH116:CH124 CF116:CF124 CD116:CD124 CB116:CB124 BZ116:BZ124 BX116:BX124 BV116:BV124 BT116:BT124 BR116:BR124 BP116:BP124 BN116:BN124 BL116:BL124 BJ116:BJ124 BH116:BH124 BF116:BF124 BD116:BD124 BB116:BB124 AZ116:AZ124 AX116:AX124 AV116:AV124 AT116:AT124 AR116:AR124 AP116:AP124 AN116:AN124 AL116:AL124 AJ116:AJ124 AH116:AH124 AF116:AF124 AD116:AD124 AB116:AB124 Z116:Z124 X116:X124 V116:V124 T116:T124 R116:R124 P116:P124 N116:N124 L116:L124 J116:J124 H116:H124 F116:F124 F94:F96 H94:H96 J94:J96 L94:L96 N94:N96 P94:P96 R94:R96 T94:T96 V94:V96 X94:X96 Z94:Z96 AB94:AB96 AD94:AD96 AF94:AF96 AH94:AH96 AJ94:AJ96 AL94:AL96 AN94:AN96 AP94:AP96 AR94:AR96 AT94:AT96 AV94:AV96 AX94:AX96 AZ94:AZ96 BB94:BB96 BD94:BD96 BF94:BF96 BH94:BH96 BJ94:BJ96 BL94:BL96 BN94:BN96 BP94:BP96 BR94:BR96 BT94:BT96 BV94:BV96 BX94:BX96 BZ94:BZ96 CB94:CB96 CD94:CD96 CF94:CF96 CH94:CH96 CJ94:CJ96 F41:F47 H41:H44 J41:J47 L41:L47 N41:N47 P41:P47 R41:R47 V41:V47 X41:X47 Z41:Z47 AB41:AB47 AD41:AD47 AJ41:AJ47 AL41:AL47 AN41:AN44 AP41:AP47 AR41:AR44 AT41:AT47 AV41:AV44 AX41:AX47 AZ41:AZ47 BB41:BB47 BD41:BD45 BF41:BF47 AH41:AH47 AF41:AF47 T41:T47 BH41:BH47 BJ41:BJ47 BL41:BL47 BN41:BN47 BP41:BP47 BR41:BR47 CJ41:CJ47 CH41:CH47 CF41:CF47 CD41:CD47 CB41:CB47 BZ41:BZ47 BX41:BX47 BV41:BV47 BT41:BT47 H47 AN46:AN47 AR46:AR47 AV46:AV47 BD47 F141:F144 H141:H144 J141:J144 L141:L144 N141:N144 P141:P144 R141:R144 T141:T144 V141:V144 X141:X144 Z141:Z144 AB141:AB144 AD141:AD144 AF141:AF144 AH141:AH144 AJ141:AJ144 AL141:AL144 AN141:AN144 AP141:AP144 AR141:AR144 AT141:AT144 AV141:AV144 AX141:AX144 AZ141:AZ144 BB141:BB144 BD141:BD144 BF141:BF144 BH141:BH144 BJ141:BJ144 BL141:BL144 BN141:BN144 BP141:BP144 BR141:BR144 BT141:BT144 BV141:BV144 BX141:BX144 BZ141:BZ144 CB141:CB144 CD141:CD144 CF141:CF144 CH141:CH144 CJ141:CJ144 CJ12:CJ25 CH12:CH25 CD12:CD25 CB12:CB25 BZ12:BZ25 BX12:BX25 BV12:BV25 BT12:BT25 BR12:BR25 BP12:BP25 BN12:BN25 BL12:BL25 BJ12:BJ25 BH12:BH25 BF12:BF25 BD12:BD25 BB12:BB25 AZ12:AZ25 AX12:AX25 AV12:AV25 AT12:AT25 AR12:AR25 AP12:AP25 AN12:AN25 AL12:AL25 AJ12:AJ25 AH12:AH14 AD12:AD25 AB12:AB25 X12:X25 T12:T25 R12:R14 P12:P25 N12:N25 L12:L25 J12:J25 H12:H25 F12:F25 BD49:BD51 AV49:AV51 AR49:AR51 AN49:AN51 H49:H51 BT49:BT51 BV49:BV51 BX49:BX51 BZ49:BZ51 CB49:CB51 CD49:CD51 CF49:CF51 CH49:CH51 CJ49:CJ51 BR49:BR51 BP49:BP51 BN49:BN51 BL49:BL51 BJ49:BJ51 BH49:BH51 T49:T51 AF49:AF51 AH49:AH51 BF49:BF51 BB49:BB51 AZ49:AZ51 AX49:AX51 AT49:AT51 AP49:AP51 AL49:AL51 AJ49:AJ51 AD49:AD51 AB49:AB51 Z49:Z51 X49:X51 V49:V51 R49:R51 P49:P51 N49:N51 L49:L51 J49:J51 F49:F51 F168:F174 H168:H174 J168:J174 L168:L174 N168:N174 P168:P174 R168:R174 T168:T174 V168:V174 X168:X174 Z168:Z174 AB168:AB174 AD168:AD174 AF168:AF174 AH168:AH174 AJ168:AJ174 AN168:AN174 AP168:AP174 AT168:AT174 AV168:AV174 BP168:BP174 BR168:BR174 BT168:BT174 BV168:BV174 BX168:BX174 BZ168:BZ174 CB168:CB174 CD168:CD174 CF168:CF174 CH168:CH174 CJ168:CJ174 CJ129:CJ134 CF129:CF134 CD129:CD134 CB129:CB134 BZ129:BZ134 BX129:BX134 BV129:BV134 BT129:BT134 BR129:BR134 BP129:BP134 BN129:BN134 BL129:BL134 BJ129:BJ134 BH129:BH134 BF129:BF134 BD129:BD134 BB129:BB134 AX129:AX134 AV129:AV134 AT129:AT134 AR129:AR134 AP129:AP134 AN129:AN134 AL129:AL134 AJ129:AJ134 AH129:AH134 AF129:AF134 AD129:AD134 AB129:AB134 Z129:Z134 X129:X134 V129:V134 T129:T134 R129:R134 P129:P134 N129:N134 L129:L134 J129:J134 H129:H134 F129:F134 CJ127 CJ70:CJ72 CH127 CH70:CH72 CF127 CF70:CF72 CD127 CD70:CD72 CB127 CB70:CB72 BZ127 BZ70:BZ72 BX127 BX70:BX72 BV127 BV70:BV72 BT127 BT70:BT72 BR127 BR70:BR72 BP127 BN127 BN70:BN72 BL127 BL70:BL72 BJ127 BJ70:BJ72 BH127 BH70:BH72 BF127 BF70:BF72 BD127 BD70:BD72 BB127 BB70:BB72 AZ127 AZ70:AZ72 AX127 AX70:AX72 AV127 AV70:AV72 AT127 AT70:AT72 AR127 AR70:AR72 AP127 AP70:AP72 AN127 AN70:AN72 AL127 AL70:AL72 AJ127 AJ70:AJ72 AH127 AH70:AH72 AF127 AF70:AF72 AD127 AD70:AD72 AB127 AB70:AB72 Z127 Z70:Z72 X127 X70:X72 V127 V70:V72 T127 T70:T72 R127 R70:R72 P127 P70:P72 N127 N70:N72 L127 L70:L72 J127 J70:J72 H127 H70:H72 F127 F70:F72 CH129:CH134 BP70:BP72 AF7:AF25 V7:V25 CF7:CF25 Z7:Z25 AZ129:AZ134 R16:R25 AH16:AH25 BP74:BP90 F74:F90 H74:H90 J74:J90 L74:L90 N74:N90 P74:P90 R74:R90 T74:T90 V74:V90 X74:X90 Z74:Z90 AB74:AB90 AD74:AD90 AF74:AF90 AH74:AH90 AJ74:AJ90 AL74:AL90 AN74:AN90 AP74:AP90 AR74:AR90 AT74:AT90 AV74:AV90 AX74:AX90 AZ74:AZ90 BB74:BB90 BD74:BD90 BF74:BF90 BH74:BH90 BJ74:BJ90 BL74:BL90 BN74:BN90 BR74:BR90 BT74:BT90 BV74:BV90 BX74:BX90 BZ74:BZ90 CB74:CB90 CD74:CD90 CF74:CF90 CH74:CH90 CJ74:CJ90 CJ101:CJ105 CH101:CH105 CF101:CF105 CD101:CD105 CB101:CB105 BZ101:BZ105 BX101:BX105 BV101:BV105 BT101:BT105 BR101:BR105 BP101:BP105 BN101:BN105 BL101:BL105 BJ101:BJ105 BH101:BH105 BF101:BF105 BD101:BD105 BB101:BB105 AZ101:AZ105 AX101:AX105 AV101:AV105 AT101:AT105 AR101:AR105 AP101:AP105 AN101:AN105 AL101:AL105 AJ101:AJ105 AH101:AH105 AF101:AF105 AD101:AD105 AB101:AB105 Z101:Z105 X101:X105 V101:V105 T101:T105 R101:R105 P101:P105 N101:N105 L101:L105 J101:J105 H101:H105 F101:F105 AZ137:AZ139 CH137:CH139 F137:F139 H137:H139 J137:J139 L137:L139 N137:N139 P137:P139 R137:R139 T137:T139 V137:V139 X137:X139 Z137:Z139 AB137:AB139 AD137:AD139 AF137:AF139 AH137:AH139 AJ137:AJ139 AL137:AL139 AN137:AN139 AP137:AP139 AR137:AR139 AT137:AT139 AV137:AV139 AX137:AX139 BB137:BB139 BD137:BD139 BF137:BF139 BH137:BH139 BJ137:BJ139 BL137:BL139 BN137:BN139 BP137:BP139 BR137:BR139 BT137:BT139 BV137:BV139 BX137:BX139 BZ137:BZ139 CB137:CB139 CD137:CD139 CF137:CF139 CJ137:CJ139 BH146:BH155 L146:L156 N146:N156 P146:P156 R146:R156 T146:T156 V146:V156 X146:X156 Z146:Z156 AB146:AB156 AD146:AD156 AF146:AF155 AH146:AH155 AJ146:AJ156 AL146:AL155 AR146:AR156 AT146:AT156 AV146:AV156 AX146:AX156 AZ146:AZ156 BB146:BB156 BD146:BD156 BF146:BF156 BJ146:BJ155 BL146:BL155 BN146:BN155 BP146:BP156 BR146:BR156 BT146:BT156 BV146:BV156 BX146:BX156 BZ146:BZ156 CB146:CB156 CD146:CD156 CF146:CF156 CH146:CH156 CJ146:CJ156 F146:F156 H146:H156 J146:J156 AH157:AH166 F158:F166 H158:H166 J158:J166 L158:L166 N158:N166 P158:P166 R158:R166 T158:T166 V158:V166 X158:X166 Z158:Z166 AB158:AB166 AD158:AD166 AF158:AF166 AJ158:AJ166 AN158:AN166 AP158:AP166 AT158:AT166 AV158:AV166 BP158:BP166 BR158:BR166 BT158:BT166 BV158:BV166 BX158:BX166 BZ158:BZ166 CB158:CB166 CD158:CD166 CF158:CF166 CH158:CH166 CJ158:CJ166 F107:F113 H107:H113 J107:J113 L107:L113 N107:N113 P107:P113 R107:R113 T107:T113 V107:V113 X107:X113 Z107:Z113 AB107:AB113 AD107:AD113 AF107:AF113 AH107:AH113 AJ107:AJ113 AL107:AL113 AN107:AN113 AP107:AP113 AR107:AR113 AT107:AT113 AV107:AV113 AX107:AX113 AZ107:AZ113 BB107:BB113 BD107:BD113 BF107:BF113 BH107:BH113 BJ107:BJ113 BL107:BL113 BN107:BN113 BP107:BP113 BR107:BR113 BT107:BT113 BV107:BV113 BX107:BX113 BZ107:BZ113 CB107:CB113 CD107:CD113 CF107:CF113 CH107:CH113 CJ107:CJ113 AN146:AN156 AP146:AP156 BH158:BH174 BJ158:BJ174 BL158:BL174 BN158:BN174 BF158:BF174 AZ158:AZ174 BB158:BB174 BD158:BD174 AX158:AX174 AR158:AR174 AL158:AL174">
    <cfRule type="expression" dxfId="327" priority="559" stopIfTrue="1">
      <formula>AND(SEARCH("decrease",F7),SEARCH("substantial",F7),SEARCH("No",#REF!))</formula>
    </cfRule>
    <cfRule type="expression" dxfId="326" priority="560" stopIfTrue="1">
      <formula>AND(SEARCH("decrease",F7),SEARCH("moderate",F7),SEARCH("No",#REF!))</formula>
    </cfRule>
  </conditionalFormatting>
  <conditionalFormatting sqref="CJ175:CJ180 CH175:CH180 CF175:CF180 CD175:CD180 CB175:CB180 BZ175:BZ180 BX175:BX180 BV175:BV180 BT175:BT180 BR175:BR180 BP175:BP180 BN175:BN180 BL175:BL180 BJ175:BJ180 BH175:BH180 BF175:BF180 BD175:BD180 BB175:BB180 AZ175:AZ180 AX175:AX180 AV175:AV180 AT175:AT180 AR175:AR180 AP175:AP180 AN175:AN180 AL175:AL180 AJ175:AJ180 AH175:AH180 AF175:AF180 AD175:AD180 AB175:AB180 Z175:Z180 X175:X180 V175:V180 T175:T180 R175:R180 P175:P180 N175:N180 L175:L180 J175:J180 H175:H180 F175:F180">
    <cfRule type="expression" dxfId="325" priority="557" stopIfTrue="1">
      <formula>AND(SEARCH("decrease",F175),SEARCH("substantial",F175),SEARCH("No",#REF!))</formula>
    </cfRule>
    <cfRule type="expression" dxfId="324" priority="558" stopIfTrue="1">
      <formula>AND(SEARCH("decrease",F175),SEARCH("moderate",F175),SEARCH("No",#REF!))</formula>
    </cfRule>
  </conditionalFormatting>
  <conditionalFormatting sqref="CJ125 CH125 CF125 CD125 CB125 BZ125 BX125 BV125 BT125 BR125 BP125 BN125 BL125 BJ125 BH125 BF125 BD125 BB125 AZ125 AX125 AV125 AT125 AR125 AP125 AN125 AL125 AJ125 AH125 AF125 AD125 AB125 Z125 X125 V125 T125 R125 P125 N125 L125 J125 H125 F125">
    <cfRule type="expression" dxfId="323" priority="537" stopIfTrue="1">
      <formula>AND(SEARCH("decrease",F125),SEARCH("substantial",F125),SEARCH("No",#REF!))</formula>
    </cfRule>
    <cfRule type="expression" dxfId="322" priority="538" stopIfTrue="1">
      <formula>AND(SEARCH("decrease",F125),SEARCH("moderate",F125),SEARCH("No",#REF!))</formula>
    </cfRule>
  </conditionalFormatting>
  <conditionalFormatting sqref="CJ27:CJ28 CH27:CH28 CF27:CF28 CD27:CD28 CB27:CB28 BZ27:BZ28 BX27:BX28 BV27:BV28 BT27:BT28 BR27:BR28 BP27:BP28 BN27:BN28 BL27:BL28 BJ27:BJ28 BH27:BH28 BF27:BF28 BD27:BD28 BB27:BB28 AZ27:AZ28 AX27:AX28 AV27:AV28 AT27:AT28 AR27:AR28 AP27:AP28 AN27:AN28 AL27:AL28 AJ27:AJ28 AH27:AH28 AF27:AF28 AD27:AD28 AB27:AB28 Z27:Z28 X27:X28 V27:V28 T27:T28 R27:R28 P27:P28 N27:N28 L27:L28 J27:J28 H27:H28 F27:F28">
    <cfRule type="expression" dxfId="321" priority="555" stopIfTrue="1">
      <formula>AND(SEARCH("decrease",F27),SEARCH("substantial",F27),SEARCH("No",#REF!))</formula>
    </cfRule>
    <cfRule type="expression" dxfId="320" priority="556" stopIfTrue="1">
      <formula>AND(SEARCH("decrease",F27),SEARCH("moderate",F27),SEARCH("No",#REF!))</formula>
    </cfRule>
  </conditionalFormatting>
  <conditionalFormatting sqref="CJ31:CJ32 CH31:CH32 CF31:CF32 CD31:CD32 CB31:CB32 BZ31:BZ32 BX31:BX32 BV31:BV32 BT31:BT32 BR31:BR32 BP31:BP32 BN31:BN32 BL31:BL32 BJ31:BJ32 BH31:BH32 BF31:BF32 BD31:BD32 BB31:BB32 AZ31:AZ32 AX31:AX32 AV31:AV32 AT31:AT32 AR31:AR32 AP31:AP32 AN31:AN32 AL31:AL32 AJ31:AJ32 AH31:AH32 AF31:AF32 AD31:AD32 AB31:AB32 Z31:Z32 X31:X32 V31:V32 T31:T32 R31:R32 P31:P32 N31:N32 L31:L32 J31:J32 H31:H32 F31:F32">
    <cfRule type="expression" dxfId="319" priority="553" stopIfTrue="1">
      <formula>AND(SEARCH("decrease",F31),SEARCH("substantial",F31),SEARCH("No",#REF!))</formula>
    </cfRule>
    <cfRule type="expression" dxfId="318" priority="554" stopIfTrue="1">
      <formula>AND(SEARCH("decrease",F31),SEARCH("moderate",F31),SEARCH("No",#REF!))</formula>
    </cfRule>
  </conditionalFormatting>
  <conditionalFormatting sqref="CJ33:CJ36 CH33:CH36 CF33:CF36 CD33:CD36 CB33:CB36 BZ33:BZ36 BX33:BX36 BV33:BV36 BT33:BT36 BR33:BR36 BP33:BP36 BN33:BN36 BL33:BL36 BJ33:BJ36 BH33:BH36 BF33:BF36 BD33:BD36 BB33:BB36 AZ33:AZ36 AX33:AX36 AV33:AV36 AT33:AT36 AR33:AR36 AP33:AP36 AN33:AN36 AL33:AL36 AJ33:AJ36 AH33:AH36 AF33:AF36 AD33:AD36 AB33:AB36 Z33:Z36 X33:X36 V33:V36 T33:T36 R33:R36 P33:P36 N33:N36 L33:L36 J33:J36 H33:H36 F33:F36">
    <cfRule type="expression" dxfId="317" priority="551" stopIfTrue="1">
      <formula>AND(SEARCH("decrease",F33),SEARCH("substantial",F33),SEARCH("No",#REF!))</formula>
    </cfRule>
    <cfRule type="expression" dxfId="316" priority="552" stopIfTrue="1">
      <formula>AND(SEARCH("decrease",F33),SEARCH("moderate",F33),SEARCH("No",#REF!))</formula>
    </cfRule>
  </conditionalFormatting>
  <conditionalFormatting sqref="CJ39 CH39 CF39 CD39 CB39 BZ39 BX39 BV39 BT39 BR39 BP39 BN39 BL39 BJ39 BH39 BF39 BD39 BB39 AZ39 AX39 AV39 AT39 AR39 AL39 AJ39 AH39 AF39 AD39 AB39 Z39 X39 V39 T39 R39 P39 N39 L39 J39 H39 F39 AN39:AN40 AP39:AP40">
    <cfRule type="expression" dxfId="315" priority="549" stopIfTrue="1">
      <formula>AND(SEARCH("decrease",F39),SEARCH("substantial",F39),SEARCH("No",#REF!))</formula>
    </cfRule>
    <cfRule type="expression" dxfId="314" priority="550" stopIfTrue="1">
      <formula>AND(SEARCH("decrease",F39),SEARCH("moderate",F39),SEARCH("No",#REF!))</formula>
    </cfRule>
  </conditionalFormatting>
  <conditionalFormatting sqref="CJ52 CH52 CF52 CD52 CB52 BZ52 BX52 BV52 BT52 BR52 BP52 BN52 BJ52 BH52 BF52 BD52 BB52 AZ52 AX52 AV52 AT52 AR52 AP52 AN52 AL52 AJ52 AH52 AF52 AD52 AB52 Z52 X52 V52 T52 R52 P52 N52 L52 J52 J54 L54 N54 P54 R54 T54 V54 X54 Z54 AB54 AD54 AF54 AH54 AJ54 AL54 AN54 AP54 AR54 AT54 AV54 AX54 AZ54 BB54 BD54 BF54 BH54 BJ54 BN54 BP54 BR54 BT54 BV54 BX54 BZ54 CB54 CD54 CF54 CH54 CJ54 BL52:BL54 F52:F54 H52:H54">
    <cfRule type="expression" dxfId="313" priority="547" stopIfTrue="1">
      <formula>AND(SEARCH("decrease",F52),SEARCH("substantial",F52),SEARCH("No",#REF!))</formula>
    </cfRule>
    <cfRule type="expression" dxfId="312" priority="548" stopIfTrue="1">
      <formula>AND(SEARCH("decrease",F52),SEARCH("moderate",F52),SEARCH("No",#REF!))</formula>
    </cfRule>
  </conditionalFormatting>
  <conditionalFormatting sqref="CJ69 CH69 CF69 CD69 CB69 BZ69 BX69 BV69 BT69 BR69 BP69 BN69 BL69 BJ69 BH69 BF69 BD69 BB69 AZ69 AX69 AV69 AT69 AR69 AP69 AN69 AL69 AJ69 AH69 AF69 AD69 AB69 Z69 X69 V69 T69 R69 P69 N69 L69 J69 H69 F69">
    <cfRule type="expression" dxfId="311" priority="545" stopIfTrue="1">
      <formula>AND(SEARCH("decrease",F69),SEARCH("substantial",F69),SEARCH("No",#REF!))</formula>
    </cfRule>
    <cfRule type="expression" dxfId="310" priority="546" stopIfTrue="1">
      <formula>AND(SEARCH("decrease",F69),SEARCH("moderate",F69),SEARCH("No",#REF!))</formula>
    </cfRule>
  </conditionalFormatting>
  <conditionalFormatting sqref="CJ97 CH97 CF97 CD97 CB97 BZ97 BX97 BV97 BT97 BR97 BP97 BN97 BL97 BJ97 BH97 BF97 BD97 BB97 AZ97 AX97 AV97 AT97 AR97 AP97 AN97 AL97 AJ97 AH97 AF97 AD97 AB97 Z97 X97 V97 T97 R97 P97 N97 L97 J97 H97">
    <cfRule type="expression" dxfId="309" priority="543" stopIfTrue="1">
      <formula>AND(SEARCH("decrease",H97),SEARCH("substantial",H97),SEARCH("No",#REF!))</formula>
    </cfRule>
    <cfRule type="expression" dxfId="308" priority="544" stopIfTrue="1">
      <formula>AND(SEARCH("decrease",H97),SEARCH("moderate",H97),SEARCH("No",#REF!))</formula>
    </cfRule>
  </conditionalFormatting>
  <conditionalFormatting sqref="F97">
    <cfRule type="expression" dxfId="307" priority="541" stopIfTrue="1">
      <formula>AND(SEARCH("decrease",F97),SEARCH("substantial",F97),SEARCH("No",#REF!))</formula>
    </cfRule>
    <cfRule type="expression" dxfId="306" priority="542" stopIfTrue="1">
      <formula>AND(SEARCH("decrease",F97),SEARCH("moderate",F97),SEARCH("No",#REF!))</formula>
    </cfRule>
  </conditionalFormatting>
  <conditionalFormatting sqref="CJ114:CJ115 CH114:CH115 CF114:CF115 CD114:CD115 CB114:CB115 BZ114:BZ115 BX114:BX115 BV114:BV115 BT114:BT115 BR114:BR115 BP114:BP115 BN114:BN115 BL114:BL115 BJ114:BJ115 BH114:BH115 BF114:BF115 BD114:BD115 BB114:BB115 AZ114:AZ115 AX114:AX115 AV114:AV115 AT114:AT115 AR114:AR115 AP114:AP115 AN114:AN115 AL114:AL115 AJ114:AJ115 AH114:AH115 AF114:AF115 AD114:AD115 AB114:AB115 Z114:Z115 X114:X115 V114:V115 T114:T115 R114:R115 P114:P115 N114:N115 L114:L115 J114:J115 H114:H115 F114:F115">
    <cfRule type="expression" dxfId="305" priority="539" stopIfTrue="1">
      <formula>AND(SEARCH("decrease",F114),SEARCH("substantial",F114),SEARCH("No",#REF!))</formula>
    </cfRule>
    <cfRule type="expression" dxfId="304" priority="540" stopIfTrue="1">
      <formula>AND(SEARCH("decrease",F114),SEARCH("moderate",F114),SEARCH("No",#REF!))</formula>
    </cfRule>
  </conditionalFormatting>
  <conditionalFormatting sqref="CJ68 CH68 CF68 CD68 CB68 BZ68 BX68 BV68 BT68 BR68 BP68 BN68 BL68 BJ68 BH68 BF68 BD68 BB68 AZ68 AX68 AV68 AT68 AR68 AP68 AN68 AL68 AJ68 AH68 AF68 AD68 AB68 Z68 X68 V68 T68 R68 P68 N68 L68 J68 H68 F68">
    <cfRule type="expression" dxfId="303" priority="535" stopIfTrue="1">
      <formula>AND(SEARCH("decrease",F68),SEARCH("substantial",F68),SEARCH("No",#REF!))</formula>
    </cfRule>
    <cfRule type="expression" dxfId="302" priority="536" stopIfTrue="1">
      <formula>AND(SEARCH("decrease",F68),SEARCH("moderate",F68),SEARCH("No",#REF!))</formula>
    </cfRule>
  </conditionalFormatting>
  <conditionalFormatting sqref="CJ145">
    <cfRule type="expression" dxfId="301" priority="513" stopIfTrue="1">
      <formula>AND(SEARCH("decrease",CJ145),SEARCH("substantial",CJ145),SEARCH("No",#REF!))</formula>
    </cfRule>
    <cfRule type="expression" dxfId="300" priority="514" stopIfTrue="1">
      <formula>AND(SEARCH("decrease",CJ145),SEARCH("moderate",CJ145),SEARCH("No",#REF!))</formula>
    </cfRule>
  </conditionalFormatting>
  <conditionalFormatting sqref="F91 H91 J91 L91 N91 P91 R91 T91 V91 X91 Z91 AB91 AD91 AF91 AH91 AJ91 AL91 AN91 AP91 AR91 AT91 AV91 AX91 AZ91 BB91 BD91 BF91 BH91 BJ91 BL91 BN91 BP91 BR91 BT91 BV91 BX91 BZ91 CB91 CD91 CF91 CH91 CJ91">
    <cfRule type="expression" dxfId="299" priority="509" stopIfTrue="1">
      <formula>AND(SEARCH("decrease",F91),SEARCH("substantial",F91),SEARCH("No",#REF!))</formula>
    </cfRule>
    <cfRule type="expression" dxfId="298" priority="510" stopIfTrue="1">
      <formula>AND(SEARCH("decrease",F91),SEARCH("moderate",F91),SEARCH("No",#REF!))</formula>
    </cfRule>
  </conditionalFormatting>
  <conditionalFormatting sqref="CD145 CB145 BZ145 BX145">
    <cfRule type="expression" dxfId="297" priority="521" stopIfTrue="1">
      <formula>AND(SEARCH("decrease",BX145),SEARCH("substantial",BX145),SEARCH("No",#REF!))</formula>
    </cfRule>
    <cfRule type="expression" dxfId="296" priority="522" stopIfTrue="1">
      <formula>AND(SEARCH("decrease",BX145),SEARCH("moderate",BX145),SEARCH("No",#REF!))</formula>
    </cfRule>
  </conditionalFormatting>
  <conditionalFormatting sqref="BP145 BN145 BL145 BJ145 BH145 BF145 BD145 BB145 AZ145 AX145 AV145 AT145 AR145 AP145 AN145 AL145 AJ145 AH145 AF145 AD145 AB145 Z145 X145 V145 T145 R145 P145 N145 L145 J145 H145 F145">
    <cfRule type="expression" dxfId="295" priority="519" stopIfTrue="1">
      <formula>AND(SEARCH("decrease",F145),SEARCH("substantial",F145),SEARCH("No",#REF!))</formula>
    </cfRule>
    <cfRule type="expression" dxfId="294" priority="520" stopIfTrue="1">
      <formula>AND(SEARCH("decrease",F145),SEARCH("moderate",F145),SEARCH("No",#REF!))</formula>
    </cfRule>
  </conditionalFormatting>
  <conditionalFormatting sqref="CF145 CH145">
    <cfRule type="expression" dxfId="293" priority="517" stopIfTrue="1">
      <formula>AND(SEARCH("decrease",CF145),SEARCH("substantial",CF145),SEARCH("No",#REF!))</formula>
    </cfRule>
    <cfRule type="expression" dxfId="292" priority="518" stopIfTrue="1">
      <formula>AND(SEARCH("decrease",CF145),SEARCH("moderate",CF145),SEARCH("No",#REF!))</formula>
    </cfRule>
  </conditionalFormatting>
  <conditionalFormatting sqref="BV145">
    <cfRule type="expression" dxfId="291" priority="515" stopIfTrue="1">
      <formula>AND(SEARCH("decrease",BV145),SEARCH("substantial",BV145),SEARCH("No",#REF!))</formula>
    </cfRule>
    <cfRule type="expression" dxfId="290" priority="516" stopIfTrue="1">
      <formula>AND(SEARCH("decrease",BV145),SEARCH("moderate",BV145),SEARCH("No",#REF!))</formula>
    </cfRule>
  </conditionalFormatting>
  <conditionalFormatting sqref="CJ93 CH93 CF93 CD93 CB93 BZ93 BX93 BV93 BT93 BR93 BP93 BN93 BL93 BJ93 BH93 BF93 BD93 BB93 AZ93 AX93 AV93 AT93 AR93 AP93 AN93 AL93 AJ93 AH93 AF93 AD93 AB93 Z93 X93 V93 T93 R93 P93 N93 L93 J93 H93 F93">
    <cfRule type="expression" dxfId="289" priority="495" stopIfTrue="1">
      <formula>AND(SEARCH("decrease",F93),SEARCH("substantial",F93),SEARCH("No",#REF!))</formula>
    </cfRule>
    <cfRule type="expression" dxfId="288" priority="496" stopIfTrue="1">
      <formula>AND(SEARCH("decrease",F93),SEARCH("moderate",F93),SEARCH("No",#REF!))</formula>
    </cfRule>
  </conditionalFormatting>
  <conditionalFormatting sqref="X128">
    <cfRule type="expression" dxfId="287" priority="493" stopIfTrue="1">
      <formula>AND(SEARCH("decrease",X128),SEARCH("substantial",X128),SEARCH("No",#REF!))</formula>
    </cfRule>
    <cfRule type="expression" dxfId="286" priority="494" stopIfTrue="1">
      <formula>AND(SEARCH("decrease",X128),SEARCH("moderate",X128),SEARCH("No",#REF!))</formula>
    </cfRule>
  </conditionalFormatting>
  <conditionalFormatting sqref="N128 L128 J128 H128 F128">
    <cfRule type="expression" dxfId="285" priority="491" stopIfTrue="1">
      <formula>AND(SEARCH("decrease",F128),SEARCH("substantial",F128),SEARCH("No",#REF!))</formula>
    </cfRule>
    <cfRule type="expression" dxfId="284" priority="492" stopIfTrue="1">
      <formula>AND(SEARCH("decrease",F128),SEARCH("moderate",F128),SEARCH("No",#REF!))</formula>
    </cfRule>
  </conditionalFormatting>
  <conditionalFormatting sqref="P128 R128 T128 V128">
    <cfRule type="expression" dxfId="283" priority="489" stopIfTrue="1">
      <formula>AND(SEARCH("decrease",P128),SEARCH("substantial",P128),SEARCH("No",#REF!))</formula>
    </cfRule>
    <cfRule type="expression" dxfId="282" priority="490" stopIfTrue="1">
      <formula>AND(SEARCH("decrease",P128),SEARCH("moderate",P128),SEARCH("No",#REF!))</formula>
    </cfRule>
  </conditionalFormatting>
  <conditionalFormatting sqref="AD128 AB128">
    <cfRule type="expression" dxfId="281" priority="487" stopIfTrue="1">
      <formula>AND(SEARCH("decrease",AB128),SEARCH("substantial",AB128),SEARCH("No",#REF!))</formula>
    </cfRule>
    <cfRule type="expression" dxfId="280" priority="488" stopIfTrue="1">
      <formula>AND(SEARCH("decrease",AB128),SEARCH("moderate",AB128),SEARCH("No",#REF!))</formula>
    </cfRule>
  </conditionalFormatting>
  <conditionalFormatting sqref="Z128">
    <cfRule type="expression" dxfId="279" priority="485" stopIfTrue="1">
      <formula>AND(SEARCH("decrease",Z128),SEARCH("substantial",Z128),SEARCH("No",#REF!))</formula>
    </cfRule>
    <cfRule type="expression" dxfId="278" priority="486" stopIfTrue="1">
      <formula>AND(SEARCH("decrease",Z128),SEARCH("moderate",Z128),SEARCH("No",#REF!))</formula>
    </cfRule>
  </conditionalFormatting>
  <conditionalFormatting sqref="AL128 AJ128 AH128 AF128">
    <cfRule type="expression" dxfId="277" priority="483" stopIfTrue="1">
      <formula>AND(SEARCH("decrease",AF128),SEARCH("substantial",AF128),SEARCH("No",#REF!))</formula>
    </cfRule>
    <cfRule type="expression" dxfId="276" priority="484" stopIfTrue="1">
      <formula>AND(SEARCH("decrease",AF128),SEARCH("moderate",AF128),SEARCH("No",#REF!))</formula>
    </cfRule>
  </conditionalFormatting>
  <conditionalFormatting sqref="AN128 AP128 AR128 AT128 AV128 AX128 AZ128">
    <cfRule type="expression" dxfId="275" priority="481" stopIfTrue="1">
      <formula>AND(SEARCH("decrease",AN128),SEARCH("substantial",AN128),SEARCH("No",#REF!))</formula>
    </cfRule>
    <cfRule type="expression" dxfId="274" priority="482" stopIfTrue="1">
      <formula>AND(SEARCH("decrease",AN128),SEARCH("moderate",AN128),SEARCH("No",#REF!))</formula>
    </cfRule>
  </conditionalFormatting>
  <conditionalFormatting sqref="BB128 BD128 BF128">
    <cfRule type="expression" dxfId="273" priority="479" stopIfTrue="1">
      <formula>AND(SEARCH("decrease",BB128),SEARCH("substantial",BB128),SEARCH("No",#REF!))</formula>
    </cfRule>
    <cfRule type="expression" dxfId="272" priority="480" stopIfTrue="1">
      <formula>AND(SEARCH("decrease",BB128),SEARCH("moderate",BB128),SEARCH("No",#REF!))</formula>
    </cfRule>
  </conditionalFormatting>
  <conditionalFormatting sqref="BH128 BJ128 BL128 BN128">
    <cfRule type="expression" dxfId="271" priority="477" stopIfTrue="1">
      <formula>AND(SEARCH("decrease",BH128),SEARCH("substantial",BH128),SEARCH("No",#REF!))</formula>
    </cfRule>
    <cfRule type="expression" dxfId="270" priority="478" stopIfTrue="1">
      <formula>AND(SEARCH("decrease",BH128),SEARCH("moderate",BH128),SEARCH("No",#REF!))</formula>
    </cfRule>
  </conditionalFormatting>
  <conditionalFormatting sqref="BP128 BR128 BT128 BV128 BX128 BZ128 CB128">
    <cfRule type="expression" dxfId="269" priority="475" stopIfTrue="1">
      <formula>AND(SEARCH("decrease",BP128),SEARCH("substantial",BP128),SEARCH("No",#REF!))</formula>
    </cfRule>
    <cfRule type="expression" dxfId="268" priority="476" stopIfTrue="1">
      <formula>AND(SEARCH("decrease",BP128),SEARCH("moderate",BP128),SEARCH("No",#REF!))</formula>
    </cfRule>
  </conditionalFormatting>
  <conditionalFormatting sqref="CD128 CF128 CH128 CJ128">
    <cfRule type="expression" dxfId="267" priority="473" stopIfTrue="1">
      <formula>AND(SEARCH("decrease",CD128),SEARCH("substantial",CD128),SEARCH("No",#REF!))</formula>
    </cfRule>
    <cfRule type="expression" dxfId="266" priority="474" stopIfTrue="1">
      <formula>AND(SEARCH("decrease",CD128),SEARCH("moderate",CD128),SEARCH("No",#REF!))</formula>
    </cfRule>
  </conditionalFormatting>
  <conditionalFormatting sqref="H45">
    <cfRule type="expression" dxfId="265" priority="343" stopIfTrue="1">
      <formula>AND(SEARCH("decrease",H45),SEARCH("substantial",H45),SEARCH("No",#REF!))</formula>
    </cfRule>
    <cfRule type="expression" dxfId="264" priority="344" stopIfTrue="1">
      <formula>AND(SEARCH("decrease",H45),SEARCH("moderate",H45),SEARCH("No",#REF!))</formula>
    </cfRule>
  </conditionalFormatting>
  <conditionalFormatting sqref="AN45">
    <cfRule type="expression" dxfId="263" priority="341" stopIfTrue="1">
      <formula>AND(SEARCH("decrease",AN45),SEARCH("substantial",AN45),SEARCH("No",#REF!))</formula>
    </cfRule>
    <cfRule type="expression" dxfId="262" priority="342" stopIfTrue="1">
      <formula>AND(SEARCH("decrease",AN45),SEARCH("moderate",AN45),SEARCH("No",#REF!))</formula>
    </cfRule>
  </conditionalFormatting>
  <conditionalFormatting sqref="AR45">
    <cfRule type="expression" dxfId="261" priority="339" stopIfTrue="1">
      <formula>AND(SEARCH("decrease",AR45),SEARCH("substantial",AR45),SEARCH("No",#REF!))</formula>
    </cfRule>
    <cfRule type="expression" dxfId="260" priority="340" stopIfTrue="1">
      <formula>AND(SEARCH("decrease",AR45),SEARCH("moderate",AR45),SEARCH("No",#REF!))</formula>
    </cfRule>
  </conditionalFormatting>
  <conditionalFormatting sqref="AV45">
    <cfRule type="expression" dxfId="259" priority="337" stopIfTrue="1">
      <formula>AND(SEARCH("decrease",AV45),SEARCH("substantial",AV45),SEARCH("No",#REF!))</formula>
    </cfRule>
    <cfRule type="expression" dxfId="258" priority="338" stopIfTrue="1">
      <formula>AND(SEARCH("decrease",AV45),SEARCH("moderate",AV45),SEARCH("No",#REF!))</formula>
    </cfRule>
  </conditionalFormatting>
  <conditionalFormatting sqref="BD46">
    <cfRule type="expression" dxfId="257" priority="335" stopIfTrue="1">
      <formula>AND(SEARCH("decrease",BD46),SEARCH("substantial",BD46),SEARCH("No",#REF!))</formula>
    </cfRule>
    <cfRule type="expression" dxfId="256" priority="336" stopIfTrue="1">
      <formula>AND(SEARCH("decrease",BD46),SEARCH("moderate",BD46),SEARCH("No",#REF!))</formula>
    </cfRule>
  </conditionalFormatting>
  <conditionalFormatting sqref="CD140">
    <cfRule type="expression" dxfId="255" priority="301" stopIfTrue="1">
      <formula>AND(SEARCH("decrease",CD140),SEARCH("substantial",CD140),SEARCH("No",#REF!))</formula>
    </cfRule>
    <cfRule type="expression" dxfId="254" priority="302" stopIfTrue="1">
      <formula>AND(SEARCH("decrease",CD140),SEARCH("moderate",CD140),SEARCH("No",#REF!))</formula>
    </cfRule>
  </conditionalFormatting>
  <conditionalFormatting sqref="CF140">
    <cfRule type="expression" dxfId="253" priority="299" stopIfTrue="1">
      <formula>AND(SEARCH("decrease",CF140),SEARCH("substantial",CF140),SEARCH("No",#REF!))</formula>
    </cfRule>
    <cfRule type="expression" dxfId="252" priority="300" stopIfTrue="1">
      <formula>AND(SEARCH("decrease",CF140),SEARCH("moderate",CF140),SEARCH("No",#REF!))</formula>
    </cfRule>
  </conditionalFormatting>
  <conditionalFormatting sqref="F140 H140 J140 L140 N140 P140 R140 T140 V140 X140 Z140 AB140 AD140 AF140 AH140 AJ140 AL140 AN140 AP140 AR140 AT140 AX140 BD140 BH140 BJ140 BV140 CH140 CJ140">
    <cfRule type="expression" dxfId="251" priority="327" stopIfTrue="1">
      <formula>AND(SEARCH("decrease",F140),SEARCH("substantial",F140),SEARCH("No",#REF!))</formula>
    </cfRule>
    <cfRule type="expression" dxfId="250" priority="328" stopIfTrue="1">
      <formula>AND(SEARCH("decrease",F140),SEARCH("moderate",F140),SEARCH("No",#REF!))</formula>
    </cfRule>
  </conditionalFormatting>
  <conditionalFormatting sqref="AV140">
    <cfRule type="expression" dxfId="249" priority="325" stopIfTrue="1">
      <formula>AND(SEARCH("decrease",AV140),SEARCH("substantial",AV140),SEARCH("No",#REF!))</formula>
    </cfRule>
    <cfRule type="expression" dxfId="248" priority="326" stopIfTrue="1">
      <formula>AND(SEARCH("decrease",AV140),SEARCH("moderate",AV140),SEARCH("No",#REF!))</formula>
    </cfRule>
  </conditionalFormatting>
  <conditionalFormatting sqref="AZ140">
    <cfRule type="expression" dxfId="247" priority="323" stopIfTrue="1">
      <formula>AND(SEARCH("decrease",AZ140),SEARCH("substantial",AZ140),SEARCH("No",#REF!))</formula>
    </cfRule>
    <cfRule type="expression" dxfId="246" priority="324" stopIfTrue="1">
      <formula>AND(SEARCH("decrease",AZ140),SEARCH("moderate",AZ140),SEARCH("No",#REF!))</formula>
    </cfRule>
  </conditionalFormatting>
  <conditionalFormatting sqref="BB140">
    <cfRule type="expression" dxfId="245" priority="321" stopIfTrue="1">
      <formula>AND(SEARCH("decrease",BB140),SEARCH("substantial",BB140),SEARCH("No",#REF!))</formula>
    </cfRule>
    <cfRule type="expression" dxfId="244" priority="322" stopIfTrue="1">
      <formula>AND(SEARCH("decrease",BB140),SEARCH("moderate",BB140),SEARCH("No",#REF!))</formula>
    </cfRule>
  </conditionalFormatting>
  <conditionalFormatting sqref="BF140">
    <cfRule type="expression" dxfId="243" priority="319" stopIfTrue="1">
      <formula>AND(SEARCH("decrease",BF140),SEARCH("substantial",BF140),SEARCH("No",#REF!))</formula>
    </cfRule>
    <cfRule type="expression" dxfId="242" priority="320" stopIfTrue="1">
      <formula>AND(SEARCH("decrease",BF140),SEARCH("moderate",BF140),SEARCH("No",#REF!))</formula>
    </cfRule>
  </conditionalFormatting>
  <conditionalFormatting sqref="BL140">
    <cfRule type="expression" dxfId="241" priority="317" stopIfTrue="1">
      <formula>AND(SEARCH("decrease",BL140),SEARCH("substantial",BL140),SEARCH("No",#REF!))</formula>
    </cfRule>
    <cfRule type="expression" dxfId="240" priority="318" stopIfTrue="1">
      <formula>AND(SEARCH("decrease",BL140),SEARCH("moderate",BL140),SEARCH("No",#REF!))</formula>
    </cfRule>
  </conditionalFormatting>
  <conditionalFormatting sqref="BN140">
    <cfRule type="expression" dxfId="239" priority="315" stopIfTrue="1">
      <formula>AND(SEARCH("decrease",BN140),SEARCH("substantial",BN140),SEARCH("No",#REF!))</formula>
    </cfRule>
    <cfRule type="expression" dxfId="238" priority="316" stopIfTrue="1">
      <formula>AND(SEARCH("decrease",BN140),SEARCH("moderate",BN140),SEARCH("No",#REF!))</formula>
    </cfRule>
  </conditionalFormatting>
  <conditionalFormatting sqref="BP140">
    <cfRule type="expression" dxfId="237" priority="313" stopIfTrue="1">
      <formula>AND(SEARCH("decrease",BP140),SEARCH("substantial",BP140),SEARCH("No",#REF!))</formula>
    </cfRule>
    <cfRule type="expression" dxfId="236" priority="314" stopIfTrue="1">
      <formula>AND(SEARCH("decrease",BP140),SEARCH("moderate",BP140),SEARCH("No",#REF!))</formula>
    </cfRule>
  </conditionalFormatting>
  <conditionalFormatting sqref="BR140">
    <cfRule type="expression" dxfId="235" priority="311" stopIfTrue="1">
      <formula>AND(SEARCH("decrease",BR140),SEARCH("substantial",BR140),SEARCH("No",#REF!))</formula>
    </cfRule>
    <cfRule type="expression" dxfId="234" priority="312" stopIfTrue="1">
      <formula>AND(SEARCH("decrease",BR140),SEARCH("moderate",BR140),SEARCH("No",#REF!))</formula>
    </cfRule>
  </conditionalFormatting>
  <conditionalFormatting sqref="BT140">
    <cfRule type="expression" dxfId="233" priority="309" stopIfTrue="1">
      <formula>AND(SEARCH("decrease",BT140),SEARCH("substantial",BT140),SEARCH("No",#REF!))</formula>
    </cfRule>
    <cfRule type="expression" dxfId="232" priority="310" stopIfTrue="1">
      <formula>AND(SEARCH("decrease",BT140),SEARCH("moderate",BT140),SEARCH("No",#REF!))</formula>
    </cfRule>
  </conditionalFormatting>
  <conditionalFormatting sqref="BX140">
    <cfRule type="expression" dxfId="231" priority="307" stopIfTrue="1">
      <formula>AND(SEARCH("decrease",BX140),SEARCH("substantial",BX140),SEARCH("No",#REF!))</formula>
    </cfRule>
    <cfRule type="expression" dxfId="230" priority="308" stopIfTrue="1">
      <formula>AND(SEARCH("decrease",BX140),SEARCH("moderate",BX140),SEARCH("No",#REF!))</formula>
    </cfRule>
  </conditionalFormatting>
  <conditionalFormatting sqref="BZ140">
    <cfRule type="expression" dxfId="229" priority="305" stopIfTrue="1">
      <formula>AND(SEARCH("decrease",BZ140),SEARCH("substantial",BZ140),SEARCH("No",#REF!))</formula>
    </cfRule>
    <cfRule type="expression" dxfId="228" priority="306" stopIfTrue="1">
      <formula>AND(SEARCH("decrease",BZ140),SEARCH("moderate",BZ140),SEARCH("No",#REF!))</formula>
    </cfRule>
  </conditionalFormatting>
  <conditionalFormatting sqref="CB140">
    <cfRule type="expression" dxfId="227" priority="303" stopIfTrue="1">
      <formula>AND(SEARCH("decrease",CB140),SEARCH("substantial",CB140),SEARCH("No",#REF!))</formula>
    </cfRule>
    <cfRule type="expression" dxfId="226" priority="304" stopIfTrue="1">
      <formula>AND(SEARCH("decrease",CB140),SEARCH("moderate",CB140),SEARCH("No",#REF!))</formula>
    </cfRule>
  </conditionalFormatting>
  <conditionalFormatting sqref="CJ11 CH11 CD11 CB11 BZ11 BX11 BV11 BT11 BR11 BP11 BN11 BJ11 BH11 BF11 BD11 BB11 AX11 AV11 AT11 AR11 AP11 AN11 AL11 AJ11 AD11 AB11 X11 T11 R11 P11 N11 L11 H11 F11">
    <cfRule type="expression" dxfId="225" priority="279" stopIfTrue="1">
      <formula>AND(SEARCH("decrease",F11),SEARCH("substantial",F11),SEARCH("No",#REF!))</formula>
    </cfRule>
    <cfRule type="expression" dxfId="224" priority="280" stopIfTrue="1">
      <formula>AND(SEARCH("decrease",F11),SEARCH("moderate",F11),SEARCH("No",#REF!))</formula>
    </cfRule>
  </conditionalFormatting>
  <conditionalFormatting sqref="J11">
    <cfRule type="expression" dxfId="223" priority="277" stopIfTrue="1">
      <formula>AND(SEARCH("decrease",J11),SEARCH("substantial",J11),SEARCH("No",#REF!))</formula>
    </cfRule>
    <cfRule type="expression" dxfId="222" priority="278" stopIfTrue="1">
      <formula>AND(SEARCH("decrease",J11),SEARCH("moderate",J11),SEARCH("No",#REF!))</formula>
    </cfRule>
  </conditionalFormatting>
  <conditionalFormatting sqref="CN53">
    <cfRule type="expression" dxfId="221" priority="201" stopIfTrue="1">
      <formula>AND(SEARCH("decrease",CN53),SEARCH("substantial",CN53),SEARCH("No",#REF!))</formula>
    </cfRule>
    <cfRule type="expression" dxfId="220" priority="202" stopIfTrue="1">
      <formula>AND(SEARCH("decrease",CN53),SEARCH("moderate",CN53),SEARCH("No",#REF!))</formula>
    </cfRule>
  </conditionalFormatting>
  <conditionalFormatting sqref="AH11">
    <cfRule type="expression" dxfId="219" priority="273" stopIfTrue="1">
      <formula>AND(SEARCH("decrease",AH11),SEARCH("substantial",AH11),SEARCH("No",#REF!))</formula>
    </cfRule>
    <cfRule type="expression" dxfId="218" priority="274" stopIfTrue="1">
      <formula>AND(SEARCH("decrease",AH11),SEARCH("moderate",AH11),SEARCH("No",#REF!))</formula>
    </cfRule>
  </conditionalFormatting>
  <conditionalFormatting sqref="AZ11">
    <cfRule type="expression" dxfId="217" priority="271" stopIfTrue="1">
      <formula>AND(SEARCH("decrease",AZ11),SEARCH("substantial",AZ11),SEARCH("No",#REF!))</formula>
    </cfRule>
    <cfRule type="expression" dxfId="216" priority="272" stopIfTrue="1">
      <formula>AND(SEARCH("decrease",AZ11),SEARCH("moderate",AZ11),SEARCH("No",#REF!))</formula>
    </cfRule>
  </conditionalFormatting>
  <conditionalFormatting sqref="BL11">
    <cfRule type="expression" dxfId="215" priority="269" stopIfTrue="1">
      <formula>AND(SEARCH("decrease",BL11),SEARCH("substantial",BL11),SEARCH("No",#REF!))</formula>
    </cfRule>
    <cfRule type="expression" dxfId="214" priority="270" stopIfTrue="1">
      <formula>AND(SEARCH("decrease",BL11),SEARCH("moderate",BL11),SEARCH("No",#REF!))</formula>
    </cfRule>
  </conditionalFormatting>
  <conditionalFormatting sqref="CL11">
    <cfRule type="expression" dxfId="213" priority="267" stopIfTrue="1">
      <formula>AND(SEARCH("decrease",CL11),SEARCH("substantial",CL11),SEARCH("No",#REF!))</formula>
    </cfRule>
    <cfRule type="expression" dxfId="212" priority="268" stopIfTrue="1">
      <formula>AND(SEARCH("decrease",CL11),SEARCH("moderate",CL11),SEARCH("No",#REF!))</formula>
    </cfRule>
  </conditionalFormatting>
  <conditionalFormatting sqref="CN11">
    <cfRule type="expression" dxfId="211" priority="265" stopIfTrue="1">
      <formula>AND(SEARCH("decrease",CN11),SEARCH("substantial",CN11),SEARCH("No",#REF!))</formula>
    </cfRule>
    <cfRule type="expression" dxfId="210" priority="266" stopIfTrue="1">
      <formula>AND(SEARCH("decrease",CN11),SEARCH("moderate",CN11),SEARCH("No",#REF!))</formula>
    </cfRule>
  </conditionalFormatting>
  <conditionalFormatting sqref="CJ26 CH26 CF26 CD26 CB26 BZ26 BX26 BV26 BT26 BR26 BP26 BN26 BJ26 BH26 BF26 BD26 BB26 AX26 AV26 AT26 AR26 AP26 AN26 AL26 AJ26 AF26 AD26 AB26 X26 V26 T26 R26 P26 N26 L26 H26 F26">
    <cfRule type="expression" dxfId="209" priority="263" stopIfTrue="1">
      <formula>AND(SEARCH("decrease",F26),SEARCH("substantial",F26),SEARCH("No",#REF!))</formula>
    </cfRule>
    <cfRule type="expression" dxfId="208" priority="264" stopIfTrue="1">
      <formula>AND(SEARCH("decrease",F26),SEARCH("moderate",F26),SEARCH("No",#REF!))</formula>
    </cfRule>
  </conditionalFormatting>
  <conditionalFormatting sqref="J26">
    <cfRule type="expression" dxfId="207" priority="261" stopIfTrue="1">
      <formula>AND(SEARCH("decrease",J26),SEARCH("substantial",J26),SEARCH("No",#REF!))</formula>
    </cfRule>
    <cfRule type="expression" dxfId="206" priority="262" stopIfTrue="1">
      <formula>AND(SEARCH("decrease",J26),SEARCH("moderate",J26),SEARCH("No",#REF!))</formula>
    </cfRule>
  </conditionalFormatting>
  <conditionalFormatting sqref="Z26">
    <cfRule type="expression" dxfId="205" priority="259" stopIfTrue="1">
      <formula>AND(SEARCH("decrease",Z26),SEARCH("substantial",Z26),SEARCH("No",#REF!))</formula>
    </cfRule>
    <cfRule type="expression" dxfId="204" priority="260" stopIfTrue="1">
      <formula>AND(SEARCH("decrease",Z26),SEARCH("moderate",Z26),SEARCH("No",#REF!))</formula>
    </cfRule>
  </conditionalFormatting>
  <conditionalFormatting sqref="AH26">
    <cfRule type="expression" dxfId="203" priority="257" stopIfTrue="1">
      <formula>AND(SEARCH("decrease",AH26),SEARCH("substantial",AH26),SEARCH("No",#REF!))</formula>
    </cfRule>
    <cfRule type="expression" dxfId="202" priority="258" stopIfTrue="1">
      <formula>AND(SEARCH("decrease",AH26),SEARCH("moderate",AH26),SEARCH("No",#REF!))</formula>
    </cfRule>
  </conditionalFormatting>
  <conditionalFormatting sqref="AZ26">
    <cfRule type="expression" dxfId="201" priority="255" stopIfTrue="1">
      <formula>AND(SEARCH("decrease",AZ26),SEARCH("substantial",AZ26),SEARCH("No",#REF!))</formula>
    </cfRule>
    <cfRule type="expression" dxfId="200" priority="256" stopIfTrue="1">
      <formula>AND(SEARCH("decrease",AZ26),SEARCH("moderate",AZ26),SEARCH("No",#REF!))</formula>
    </cfRule>
  </conditionalFormatting>
  <conditionalFormatting sqref="BL26">
    <cfRule type="expression" dxfId="199" priority="253" stopIfTrue="1">
      <formula>AND(SEARCH("decrease",BL26),SEARCH("substantial",BL26),SEARCH("No",#REF!))</formula>
    </cfRule>
    <cfRule type="expression" dxfId="198" priority="254" stopIfTrue="1">
      <formula>AND(SEARCH("decrease",BL26),SEARCH("moderate",BL26),SEARCH("No",#REF!))</formula>
    </cfRule>
  </conditionalFormatting>
  <conditionalFormatting sqref="CL26">
    <cfRule type="expression" dxfId="197" priority="251" stopIfTrue="1">
      <formula>AND(SEARCH("decrease",CL26),SEARCH("substantial",CL26),SEARCH("No",#REF!))</formula>
    </cfRule>
    <cfRule type="expression" dxfId="196" priority="252" stopIfTrue="1">
      <formula>AND(SEARCH("decrease",CL26),SEARCH("moderate",CL26),SEARCH("No",#REF!))</formula>
    </cfRule>
  </conditionalFormatting>
  <conditionalFormatting sqref="CN26">
    <cfRule type="expression" dxfId="195" priority="249" stopIfTrue="1">
      <formula>AND(SEARCH("decrease",CN26),SEARCH("substantial",CN26),SEARCH("No",#REF!))</formula>
    </cfRule>
    <cfRule type="expression" dxfId="194" priority="250" stopIfTrue="1">
      <formula>AND(SEARCH("decrease",CN26),SEARCH("moderate",CN26),SEARCH("No",#REF!))</formula>
    </cfRule>
  </conditionalFormatting>
  <conditionalFormatting sqref="CJ40 CH40 CF40 CD40 CB40 BZ40 BX40 BV40 BT40 BR40 BP40 BN40 BJ40 BH40 BF40 BD40 BB40 AX40 AV40 AT40 AR40 AL40 AJ40 AF40 AD40 AB40 X40 V40 T40 R40 P40 N40 L40 H40 F40">
    <cfRule type="expression" dxfId="193" priority="247" stopIfTrue="1">
      <formula>AND(SEARCH("decrease",F40),SEARCH("substantial",F40),SEARCH("No",#REF!))</formula>
    </cfRule>
    <cfRule type="expression" dxfId="192" priority="248" stopIfTrue="1">
      <formula>AND(SEARCH("decrease",F40),SEARCH("moderate",F40),SEARCH("No",#REF!))</formula>
    </cfRule>
  </conditionalFormatting>
  <conditionalFormatting sqref="J40">
    <cfRule type="expression" dxfId="191" priority="245" stopIfTrue="1">
      <formula>AND(SEARCH("decrease",J40),SEARCH("substantial",J40),SEARCH("No",#REF!))</formula>
    </cfRule>
    <cfRule type="expression" dxfId="190" priority="246" stopIfTrue="1">
      <formula>AND(SEARCH("decrease",J40),SEARCH("moderate",J40),SEARCH("No",#REF!))</formula>
    </cfRule>
  </conditionalFormatting>
  <conditionalFormatting sqref="Z40">
    <cfRule type="expression" dxfId="189" priority="243" stopIfTrue="1">
      <formula>AND(SEARCH("decrease",Z40),SEARCH("substantial",Z40),SEARCH("No",#REF!))</formula>
    </cfRule>
    <cfRule type="expression" dxfId="188" priority="244" stopIfTrue="1">
      <formula>AND(SEARCH("decrease",Z40),SEARCH("moderate",Z40),SEARCH("No",#REF!))</formula>
    </cfRule>
  </conditionalFormatting>
  <conditionalFormatting sqref="AH40">
    <cfRule type="expression" dxfId="187" priority="241" stopIfTrue="1">
      <formula>AND(SEARCH("decrease",AH40),SEARCH("substantial",AH40),SEARCH("No",#REF!))</formula>
    </cfRule>
    <cfRule type="expression" dxfId="186" priority="242" stopIfTrue="1">
      <formula>AND(SEARCH("decrease",AH40),SEARCH("moderate",AH40),SEARCH("No",#REF!))</formula>
    </cfRule>
  </conditionalFormatting>
  <conditionalFormatting sqref="AZ40">
    <cfRule type="expression" dxfId="185" priority="239" stopIfTrue="1">
      <formula>AND(SEARCH("decrease",AZ40),SEARCH("substantial",AZ40),SEARCH("No",#REF!))</formula>
    </cfRule>
    <cfRule type="expression" dxfId="184" priority="240" stopIfTrue="1">
      <formula>AND(SEARCH("decrease",AZ40),SEARCH("moderate",AZ40),SEARCH("No",#REF!))</formula>
    </cfRule>
  </conditionalFormatting>
  <conditionalFormatting sqref="BL40">
    <cfRule type="expression" dxfId="183" priority="237" stopIfTrue="1">
      <formula>AND(SEARCH("decrease",BL40),SEARCH("substantial",BL40),SEARCH("No",#REF!))</formula>
    </cfRule>
    <cfRule type="expression" dxfId="182" priority="238" stopIfTrue="1">
      <formula>AND(SEARCH("decrease",BL40),SEARCH("moderate",BL40),SEARCH("No",#REF!))</formula>
    </cfRule>
  </conditionalFormatting>
  <conditionalFormatting sqref="CL40">
    <cfRule type="expression" dxfId="181" priority="235" stopIfTrue="1">
      <formula>AND(SEARCH("decrease",CL40),SEARCH("substantial",CL40),SEARCH("No",#REF!))</formula>
    </cfRule>
    <cfRule type="expression" dxfId="180" priority="236" stopIfTrue="1">
      <formula>AND(SEARCH("decrease",CL40),SEARCH("moderate",CL40),SEARCH("No",#REF!))</formula>
    </cfRule>
  </conditionalFormatting>
  <conditionalFormatting sqref="CN40">
    <cfRule type="expression" dxfId="179" priority="233" stopIfTrue="1">
      <formula>AND(SEARCH("decrease",CN40),SEARCH("substantial",CN40),SEARCH("No",#REF!))</formula>
    </cfRule>
    <cfRule type="expression" dxfId="178" priority="234" stopIfTrue="1">
      <formula>AND(SEARCH("decrease",CN40),SEARCH("moderate",CN40),SEARCH("No",#REF!))</formula>
    </cfRule>
  </conditionalFormatting>
  <conditionalFormatting sqref="CJ48 CH48 CF48 CD48 CB48 BZ48 BX48 BV48 BT48 BR48 BP48 BN48 BJ48 BH48 BF48 BD48 BB48 AX48 AV48 AT48 AR48 AP48 AN48 AL48 AJ48 AF48 AD48 AB48 X48 V48 T48 R48 P48 N48 L48 H48 F48">
    <cfRule type="expression" dxfId="177" priority="231" stopIfTrue="1">
      <formula>AND(SEARCH("decrease",F48),SEARCH("substantial",F48),SEARCH("No",#REF!))</formula>
    </cfRule>
    <cfRule type="expression" dxfId="176" priority="232" stopIfTrue="1">
      <formula>AND(SEARCH("decrease",F48),SEARCH("moderate",F48),SEARCH("No",#REF!))</formula>
    </cfRule>
  </conditionalFormatting>
  <conditionalFormatting sqref="J48">
    <cfRule type="expression" dxfId="175" priority="229" stopIfTrue="1">
      <formula>AND(SEARCH("decrease",J48),SEARCH("substantial",J48),SEARCH("No",#REF!))</formula>
    </cfRule>
    <cfRule type="expression" dxfId="174" priority="230" stopIfTrue="1">
      <formula>AND(SEARCH("decrease",J48),SEARCH("moderate",J48),SEARCH("No",#REF!))</formula>
    </cfRule>
  </conditionalFormatting>
  <conditionalFormatting sqref="Z48">
    <cfRule type="expression" dxfId="173" priority="227" stopIfTrue="1">
      <formula>AND(SEARCH("decrease",Z48),SEARCH("substantial",Z48),SEARCH("No",#REF!))</formula>
    </cfRule>
    <cfRule type="expression" dxfId="172" priority="228" stopIfTrue="1">
      <formula>AND(SEARCH("decrease",Z48),SEARCH("moderate",Z48),SEARCH("No",#REF!))</formula>
    </cfRule>
  </conditionalFormatting>
  <conditionalFormatting sqref="AH48">
    <cfRule type="expression" dxfId="171" priority="225" stopIfTrue="1">
      <formula>AND(SEARCH("decrease",AH48),SEARCH("substantial",AH48),SEARCH("No",#REF!))</formula>
    </cfRule>
    <cfRule type="expression" dxfId="170" priority="226" stopIfTrue="1">
      <formula>AND(SEARCH("decrease",AH48),SEARCH("moderate",AH48),SEARCH("No",#REF!))</formula>
    </cfRule>
  </conditionalFormatting>
  <conditionalFormatting sqref="AZ48">
    <cfRule type="expression" dxfId="169" priority="223" stopIfTrue="1">
      <formula>AND(SEARCH("decrease",AZ48),SEARCH("substantial",AZ48),SEARCH("No",#REF!))</formula>
    </cfRule>
    <cfRule type="expression" dxfId="168" priority="224" stopIfTrue="1">
      <formula>AND(SEARCH("decrease",AZ48),SEARCH("moderate",AZ48),SEARCH("No",#REF!))</formula>
    </cfRule>
  </conditionalFormatting>
  <conditionalFormatting sqref="BL48">
    <cfRule type="expression" dxfId="167" priority="221" stopIfTrue="1">
      <formula>AND(SEARCH("decrease",BL48),SEARCH("substantial",BL48),SEARCH("No",#REF!))</formula>
    </cfRule>
    <cfRule type="expression" dxfId="166" priority="222" stopIfTrue="1">
      <formula>AND(SEARCH("decrease",BL48),SEARCH("moderate",BL48),SEARCH("No",#REF!))</formula>
    </cfRule>
  </conditionalFormatting>
  <conditionalFormatting sqref="CL48">
    <cfRule type="expression" dxfId="165" priority="219" stopIfTrue="1">
      <formula>AND(SEARCH("decrease",CL48),SEARCH("substantial",CL48),SEARCH("No",#REF!))</formula>
    </cfRule>
    <cfRule type="expression" dxfId="164" priority="220" stopIfTrue="1">
      <formula>AND(SEARCH("decrease",CL48),SEARCH("moderate",CL48),SEARCH("No",#REF!))</formula>
    </cfRule>
  </conditionalFormatting>
  <conditionalFormatting sqref="CN48">
    <cfRule type="expression" dxfId="163" priority="217" stopIfTrue="1">
      <formula>AND(SEARCH("decrease",CN48),SEARCH("substantial",CN48),SEARCH("No",#REF!))</formula>
    </cfRule>
    <cfRule type="expression" dxfId="162" priority="218" stopIfTrue="1">
      <formula>AND(SEARCH("decrease",CN48),SEARCH("moderate",CN48),SEARCH("No",#REF!))</formula>
    </cfRule>
  </conditionalFormatting>
  <conditionalFormatting sqref="CJ53 CH53 CF53 CD53 CB53 BZ53 BX53 BV53 BT53 BR53 BP53 BN53 BJ53 BH53 BF53 BD53 BB53 AX53 AV53 AT53 AR53 AP53 AN53 AL53 AJ53 AF53 AD53 AB53 X53 V53 T53 R53 P53 N53 L53">
    <cfRule type="expression" dxfId="161" priority="215" stopIfTrue="1">
      <formula>AND(SEARCH("decrease",L53),SEARCH("substantial",L53),SEARCH("No",#REF!))</formula>
    </cfRule>
    <cfRule type="expression" dxfId="160" priority="216" stopIfTrue="1">
      <formula>AND(SEARCH("decrease",L53),SEARCH("moderate",L53),SEARCH("No",#REF!))</formula>
    </cfRule>
  </conditionalFormatting>
  <conditionalFormatting sqref="J53">
    <cfRule type="expression" dxfId="159" priority="213" stopIfTrue="1">
      <formula>AND(SEARCH("decrease",J53),SEARCH("substantial",J53),SEARCH("No",#REF!))</formula>
    </cfRule>
    <cfRule type="expression" dxfId="158" priority="214" stopIfTrue="1">
      <formula>AND(SEARCH("decrease",J53),SEARCH("moderate",J53),SEARCH("No",#REF!))</formula>
    </cfRule>
  </conditionalFormatting>
  <conditionalFormatting sqref="Z53">
    <cfRule type="expression" dxfId="157" priority="211" stopIfTrue="1">
      <formula>AND(SEARCH("decrease",Z53),SEARCH("substantial",Z53),SEARCH("No",#REF!))</formula>
    </cfRule>
    <cfRule type="expression" dxfId="156" priority="212" stopIfTrue="1">
      <formula>AND(SEARCH("decrease",Z53),SEARCH("moderate",Z53),SEARCH("No",#REF!))</formula>
    </cfRule>
  </conditionalFormatting>
  <conditionalFormatting sqref="AH53">
    <cfRule type="expression" dxfId="155" priority="209" stopIfTrue="1">
      <formula>AND(SEARCH("decrease",AH53),SEARCH("substantial",AH53),SEARCH("No",#REF!))</formula>
    </cfRule>
    <cfRule type="expression" dxfId="154" priority="210" stopIfTrue="1">
      <formula>AND(SEARCH("decrease",AH53),SEARCH("moderate",AH53),SEARCH("No",#REF!))</formula>
    </cfRule>
  </conditionalFormatting>
  <conditionalFormatting sqref="AZ53">
    <cfRule type="expression" dxfId="153" priority="207" stopIfTrue="1">
      <formula>AND(SEARCH("decrease",AZ53),SEARCH("substantial",AZ53),SEARCH("No",#REF!))</formula>
    </cfRule>
    <cfRule type="expression" dxfId="152" priority="208" stopIfTrue="1">
      <formula>AND(SEARCH("decrease",AZ53),SEARCH("moderate",AZ53),SEARCH("No",#REF!))</formula>
    </cfRule>
  </conditionalFormatting>
  <conditionalFormatting sqref="CL53">
    <cfRule type="expression" dxfId="151" priority="203" stopIfTrue="1">
      <formula>AND(SEARCH("decrease",CL53),SEARCH("substantial",CL53),SEARCH("No",#REF!))</formula>
    </cfRule>
    <cfRule type="expression" dxfId="150" priority="204" stopIfTrue="1">
      <formula>AND(SEARCH("decrease",CL53),SEARCH("moderate",CL53),SEARCH("No",#REF!))</formula>
    </cfRule>
  </conditionalFormatting>
  <conditionalFormatting sqref="CJ157 CH157 CF157 CD157 CB157 BZ157 BX157 BV157 BT157 BR157 BP157 BN157 BL157 BJ157 BH157 BF157 BD157 BB157 AZ157 AX157 AV157 AT157 AR157 AP157 AN157 AJ157 AD157 AB157 Z157 X157 V157 T157 R157 P157 N157 L157 J157 H157 F157 AF156:AF157 AH156 AL156:AL157">
    <cfRule type="expression" dxfId="149" priority="199" stopIfTrue="1">
      <formula>AND(SEARCH("decrease",F156),SEARCH("substantial",F156),SEARCH("No",#REF!))</formula>
    </cfRule>
    <cfRule type="expression" dxfId="148" priority="200" stopIfTrue="1">
      <formula>AND(SEARCH("decrease",F156),SEARCH("moderate",F156),SEARCH("No",#REF!))</formula>
    </cfRule>
  </conditionalFormatting>
  <conditionalFormatting sqref="BH156">
    <cfRule type="expression" dxfId="147" priority="189" stopIfTrue="1">
      <formula>AND(SEARCH("decrease",BH156),SEARCH("substantial",BH156),SEARCH("No",#REF!))</formula>
    </cfRule>
    <cfRule type="expression" dxfId="146" priority="190" stopIfTrue="1">
      <formula>AND(SEARCH("decrease",BH156),SEARCH("moderate",BH156),SEARCH("No",#REF!))</formula>
    </cfRule>
  </conditionalFormatting>
  <conditionalFormatting sqref="BN156 BL156 BJ156">
    <cfRule type="expression" dxfId="145" priority="187" stopIfTrue="1">
      <formula>AND(SEARCH("decrease",BJ156),SEARCH("substantial",BJ156),SEARCH("No",#REF!))</formula>
    </cfRule>
    <cfRule type="expression" dxfId="144" priority="188" stopIfTrue="1">
      <formula>AND(SEARCH("decrease",BJ156),SEARCH("moderate",BJ156),SEARCH("No",#REF!))</formula>
    </cfRule>
  </conditionalFormatting>
  <conditionalFormatting sqref="F167 H167 J167 L167 N167">
    <cfRule type="expression" dxfId="143" priority="183" stopIfTrue="1">
      <formula>AND(SEARCH("decrease",F167),SEARCH("substantial",F167),SEARCH("No",#REF!))</formula>
    </cfRule>
    <cfRule type="expression" dxfId="142" priority="184" stopIfTrue="1">
      <formula>AND(SEARCH("decrease",F167),SEARCH("moderate",F167),SEARCH("No",#REF!))</formula>
    </cfRule>
  </conditionalFormatting>
  <conditionalFormatting sqref="P167">
    <cfRule type="expression" dxfId="141" priority="181" stopIfTrue="1">
      <formula>AND(SEARCH("decrease",P167),SEARCH("substantial",P167),SEARCH("No",#REF!))</formula>
    </cfRule>
    <cfRule type="expression" dxfId="140" priority="182" stopIfTrue="1">
      <formula>AND(SEARCH("decrease",P167),SEARCH("moderate",P167),SEARCH("No",#REF!))</formula>
    </cfRule>
  </conditionalFormatting>
  <conditionalFormatting sqref="R167">
    <cfRule type="expression" dxfId="139" priority="179" stopIfTrue="1">
      <formula>AND(SEARCH("decrease",R167),SEARCH("substantial",R167),SEARCH("No",#REF!))</formula>
    </cfRule>
    <cfRule type="expression" dxfId="138" priority="180" stopIfTrue="1">
      <formula>AND(SEARCH("decrease",R167),SEARCH("moderate",R167),SEARCH("No",#REF!))</formula>
    </cfRule>
  </conditionalFormatting>
  <conditionalFormatting sqref="T167">
    <cfRule type="expression" dxfId="137" priority="177" stopIfTrue="1">
      <formula>AND(SEARCH("decrease",T167),SEARCH("substantial",T167),SEARCH("No",#REF!))</formula>
    </cfRule>
    <cfRule type="expression" dxfId="136" priority="178" stopIfTrue="1">
      <formula>AND(SEARCH("decrease",T167),SEARCH("moderate",T167),SEARCH("No",#REF!))</formula>
    </cfRule>
  </conditionalFormatting>
  <conditionalFormatting sqref="X167">
    <cfRule type="expression" dxfId="135" priority="173" stopIfTrue="1">
      <formula>AND(SEARCH("decrease",X167),SEARCH("substantial",X167),SEARCH("No",#REF!))</formula>
    </cfRule>
    <cfRule type="expression" dxfId="134" priority="174" stopIfTrue="1">
      <formula>AND(SEARCH("decrease",X167),SEARCH("moderate",X167),SEARCH("No",#REF!))</formula>
    </cfRule>
  </conditionalFormatting>
  <conditionalFormatting sqref="V167">
    <cfRule type="expression" dxfId="133" priority="171" stopIfTrue="1">
      <formula>AND(SEARCH("decrease",V167),SEARCH("substantial",V167),SEARCH("No",#REF!))</formula>
    </cfRule>
    <cfRule type="expression" dxfId="132" priority="172" stopIfTrue="1">
      <formula>AND(SEARCH("decrease",V167),SEARCH("moderate",V167),SEARCH("No",#REF!))</formula>
    </cfRule>
  </conditionalFormatting>
  <conditionalFormatting sqref="Z167">
    <cfRule type="expression" dxfId="131" priority="169" stopIfTrue="1">
      <formula>AND(SEARCH("decrease",Z167),SEARCH("substantial",Z167),SEARCH("No",#REF!))</formula>
    </cfRule>
    <cfRule type="expression" dxfId="130" priority="170" stopIfTrue="1">
      <formula>AND(SEARCH("decrease",Z167),SEARCH("moderate",Z167),SEARCH("No",#REF!))</formula>
    </cfRule>
  </conditionalFormatting>
  <conditionalFormatting sqref="AB167">
    <cfRule type="expression" dxfId="129" priority="167" stopIfTrue="1">
      <formula>AND(SEARCH("decrease",AB167),SEARCH("substantial",AB167),SEARCH("No",#REF!))</formula>
    </cfRule>
    <cfRule type="expression" dxfId="128" priority="168" stopIfTrue="1">
      <formula>AND(SEARCH("decrease",AB167),SEARCH("moderate",AB167),SEARCH("No",#REF!))</formula>
    </cfRule>
  </conditionalFormatting>
  <conditionalFormatting sqref="AD167">
    <cfRule type="expression" dxfId="127" priority="165" stopIfTrue="1">
      <formula>AND(SEARCH("decrease",AD167),SEARCH("substantial",AD167),SEARCH("No",#REF!))</formula>
    </cfRule>
    <cfRule type="expression" dxfId="126" priority="166" stopIfTrue="1">
      <formula>AND(SEARCH("decrease",AD167),SEARCH("moderate",AD167),SEARCH("No",#REF!))</formula>
    </cfRule>
  </conditionalFormatting>
  <conditionalFormatting sqref="AF167">
    <cfRule type="expression" dxfId="125" priority="163" stopIfTrue="1">
      <formula>AND(SEARCH("decrease",AF167),SEARCH("substantial",AF167),SEARCH("No",#REF!))</formula>
    </cfRule>
    <cfRule type="expression" dxfId="124" priority="164" stopIfTrue="1">
      <formula>AND(SEARCH("decrease",AF167),SEARCH("moderate",AF167),SEARCH("No",#REF!))</formula>
    </cfRule>
  </conditionalFormatting>
  <conditionalFormatting sqref="AH167">
    <cfRule type="expression" dxfId="123" priority="161" stopIfTrue="1">
      <formula>AND(SEARCH("decrease",AH167),SEARCH("substantial",AH167),SEARCH("No",#REF!))</formula>
    </cfRule>
    <cfRule type="expression" dxfId="122" priority="162" stopIfTrue="1">
      <formula>AND(SEARCH("decrease",AH167),SEARCH("moderate",AH167),SEARCH("No",#REF!))</formula>
    </cfRule>
  </conditionalFormatting>
  <conditionalFormatting sqref="AJ167">
    <cfRule type="expression" dxfId="121" priority="159" stopIfTrue="1">
      <formula>AND(SEARCH("decrease",AJ167),SEARCH("substantial",AJ167),SEARCH("No",#REF!))</formula>
    </cfRule>
    <cfRule type="expression" dxfId="120" priority="160" stopIfTrue="1">
      <formula>AND(SEARCH("decrease",AJ167),SEARCH("moderate",AJ167),SEARCH("No",#REF!))</formula>
    </cfRule>
  </conditionalFormatting>
  <conditionalFormatting sqref="AN167">
    <cfRule type="expression" dxfId="119" priority="157" stopIfTrue="1">
      <formula>AND(SEARCH("decrease",AN167),SEARCH("substantial",AN167),SEARCH("No",#REF!))</formula>
    </cfRule>
    <cfRule type="expression" dxfId="118" priority="158" stopIfTrue="1">
      <formula>AND(SEARCH("decrease",AN167),SEARCH("moderate",AN167),SEARCH("No",#REF!))</formula>
    </cfRule>
  </conditionalFormatting>
  <conditionalFormatting sqref="AP167">
    <cfRule type="expression" dxfId="117" priority="155" stopIfTrue="1">
      <formula>AND(SEARCH("decrease",AP167),SEARCH("substantial",AP167),SEARCH("No",#REF!))</formula>
    </cfRule>
    <cfRule type="expression" dxfId="116" priority="156" stopIfTrue="1">
      <formula>AND(SEARCH("decrease",AP167),SEARCH("moderate",AP167),SEARCH("No",#REF!))</formula>
    </cfRule>
  </conditionalFormatting>
  <conditionalFormatting sqref="AT167">
    <cfRule type="expression" dxfId="115" priority="153" stopIfTrue="1">
      <formula>AND(SEARCH("decrease",AT167),SEARCH("substantial",AT167),SEARCH("No",#REF!))</formula>
    </cfRule>
    <cfRule type="expression" dxfId="114" priority="154" stopIfTrue="1">
      <formula>AND(SEARCH("decrease",AT167),SEARCH("moderate",AT167),SEARCH("No",#REF!))</formula>
    </cfRule>
  </conditionalFormatting>
  <conditionalFormatting sqref="AV167">
    <cfRule type="expression" dxfId="113" priority="151" stopIfTrue="1">
      <formula>AND(SEARCH("decrease",AV167),SEARCH("substantial",AV167),SEARCH("No",#REF!))</formula>
    </cfRule>
    <cfRule type="expression" dxfId="112" priority="152" stopIfTrue="1">
      <formula>AND(SEARCH("decrease",AV167),SEARCH("moderate",AV167),SEARCH("No",#REF!))</formula>
    </cfRule>
  </conditionalFormatting>
  <conditionalFormatting sqref="BP167">
    <cfRule type="expression" dxfId="111" priority="149" stopIfTrue="1">
      <formula>AND(SEARCH("decrease",BP167),SEARCH("substantial",BP167),SEARCH("No",#REF!))</formula>
    </cfRule>
    <cfRule type="expression" dxfId="110" priority="150" stopIfTrue="1">
      <formula>AND(SEARCH("decrease",BP167),SEARCH("moderate",BP167),SEARCH("No",#REF!))</formula>
    </cfRule>
  </conditionalFormatting>
  <conditionalFormatting sqref="BR167">
    <cfRule type="expression" dxfId="109" priority="147" stopIfTrue="1">
      <formula>AND(SEARCH("decrease",BR167),SEARCH("substantial",BR167),SEARCH("No",#REF!))</formula>
    </cfRule>
    <cfRule type="expression" dxfId="108" priority="148" stopIfTrue="1">
      <formula>AND(SEARCH("decrease",BR167),SEARCH("moderate",BR167),SEARCH("No",#REF!))</formula>
    </cfRule>
  </conditionalFormatting>
  <conditionalFormatting sqref="BT167">
    <cfRule type="expression" dxfId="107" priority="145" stopIfTrue="1">
      <formula>AND(SEARCH("decrease",BT167),SEARCH("substantial",BT167),SEARCH("No",#REF!))</formula>
    </cfRule>
    <cfRule type="expression" dxfId="106" priority="146" stopIfTrue="1">
      <formula>AND(SEARCH("decrease",BT167),SEARCH("moderate",BT167),SEARCH("No",#REF!))</formula>
    </cfRule>
  </conditionalFormatting>
  <conditionalFormatting sqref="BV167">
    <cfRule type="expression" dxfId="105" priority="143" stopIfTrue="1">
      <formula>AND(SEARCH("decrease",BV167),SEARCH("substantial",BV167),SEARCH("No",#REF!))</formula>
    </cfRule>
    <cfRule type="expression" dxfId="104" priority="144" stopIfTrue="1">
      <formula>AND(SEARCH("decrease",BV167),SEARCH("moderate",BV167),SEARCH("No",#REF!))</formula>
    </cfRule>
  </conditionalFormatting>
  <conditionalFormatting sqref="F100 H100 J100 L100 N100 P100 R100 T100 V100 X100 Z100 AB100 AD100 AF100 AH100 AJ100 AL100 AN100 AP100 AR100 AT100 AV100 AX100 AZ100 BB100 BD100 BF100 BH100 BJ100 BL100 BN100 BP100 BR100 BT100 BV100 BX100 BZ100 CB100 CD100 CF100 CH100 CJ100">
    <cfRule type="expression" dxfId="103" priority="11" stopIfTrue="1">
      <formula>AND(SEARCH("decrease",F100),SEARCH("substantial",F100),SEARCH("No",#REF!))</formula>
    </cfRule>
    <cfRule type="expression" dxfId="102" priority="12" stopIfTrue="1">
      <formula>AND(SEARCH("decrease",F100),SEARCH("moderate",F100),SEARCH("No",#REF!))</formula>
    </cfRule>
  </conditionalFormatting>
  <conditionalFormatting sqref="R15">
    <cfRule type="expression" dxfId="101" priority="21" stopIfTrue="1">
      <formula>AND(SEARCH("decrease",R15),SEARCH("substantial",R15),SEARCH("No",#REF!))</formula>
    </cfRule>
    <cfRule type="expression" dxfId="100" priority="22" stopIfTrue="1">
      <formula>AND(SEARCH("decrease",R15),SEARCH("moderate",R15),SEARCH("No",#REF!))</formula>
    </cfRule>
  </conditionalFormatting>
  <conditionalFormatting sqref="AH15">
    <cfRule type="expression" dxfId="99" priority="17" stopIfTrue="1">
      <formula>AND(SEARCH("decrease",AH15),SEARCH("substantial",AH15),SEARCH("No",#REF!))</formula>
    </cfRule>
    <cfRule type="expression" dxfId="98" priority="18" stopIfTrue="1">
      <formula>AND(SEARCH("decrease",AH15),SEARCH("moderate",AH15),SEARCH("No",#REF!))</formula>
    </cfRule>
  </conditionalFormatting>
  <conditionalFormatting sqref="CJ126 CH126 CF126 CD126 CB126 BZ126 BX126 BV126 BT126 BR126 BP126 BN126 BL126 BJ126 BH126 BF126 BD126 BB126 AZ126 AX126 AV126 AT126 AR126 AP126 AN126 AL126 AJ126 AH126 AF126 AD126 AB126 Z126 X126 V126 T126 R126 P126 N126 L126 J126 H126 F126">
    <cfRule type="expression" dxfId="97" priority="15" stopIfTrue="1">
      <formula>AND(SEARCH("decrease",F126),SEARCH("substantial",F126),SEARCH("No",#REF!))</formula>
    </cfRule>
    <cfRule type="expression" dxfId="96" priority="16" stopIfTrue="1">
      <formula>AND(SEARCH("decrease",F126),SEARCH("moderate",F126),SEARCH("No",#REF!))</formula>
    </cfRule>
  </conditionalFormatting>
  <conditionalFormatting sqref="CJ73 CH73 CF73 CD73 CB73 BZ73 BX73 BV73 BT73 BR73 BN73 BL73 BJ73 BH73 BF73 BD73 BB73 AZ73 AX73 AV73 AT73 AR73 AP73 AN73 AL73 AJ73 AH73 AF73 AD73 AB73 Z73 X73 V73 T73 R73 P73 N73 L73 J73 H73 F73 BP73">
    <cfRule type="expression" dxfId="95" priority="13" stopIfTrue="1">
      <formula>AND(SEARCH("decrease",F73),SEARCH("substantial",F73),SEARCH("No",#REF!))</formula>
    </cfRule>
    <cfRule type="expression" dxfId="94" priority="14" stopIfTrue="1">
      <formula>AND(SEARCH("decrease",F73),SEARCH("moderate",F73),SEARCH("No",#REF!))</formula>
    </cfRule>
  </conditionalFormatting>
  <conditionalFormatting sqref="AZ136 CH136 F136 H136 J136 L136 N136 P136 R136 T136 V136 X136 Z136 AB136 AD136 AF136 AH136 AJ136 AL136 AN136 AP136 AR136 AT136 AV136 AX136 BB136 BD136 BF136 BH136 BJ136 BL136 BN136 BP136 BR136 BT136 BV136 BX136 BZ136 CB136 CD136 CF136 CJ136">
    <cfRule type="expression" dxfId="93" priority="7" stopIfTrue="1">
      <formula>AND(SEARCH("decrease",F136),SEARCH("substantial",F136),SEARCH("No",#REF!))</formula>
    </cfRule>
    <cfRule type="expression" dxfId="92" priority="8" stopIfTrue="1">
      <formula>AND(SEARCH("decrease",F136),SEARCH("moderate",F136),SEARCH("No",#REF!))</formula>
    </cfRule>
  </conditionalFormatting>
  <conditionalFormatting sqref="AZ135 CH135 F135 H135 J135 L135 N135 P135 R135 T135 V135 X135 Z135 AB135 AD135 AF135 AH135 AJ135 AL135 AN135 AP135 AR135 AT135 AV135 AX135 BB135 BD135 BF135 BH135 BJ135 BL135 BN135 BP135 BR135 BT135 BV135 BX135 BZ135 CB135 CD135 CF135 CJ135">
    <cfRule type="expression" dxfId="91" priority="9" stopIfTrue="1">
      <formula>AND(SEARCH("decrease",F135),SEARCH("substantial",F135),SEARCH("No",#REF!))</formula>
    </cfRule>
    <cfRule type="expression" dxfId="90" priority="10" stopIfTrue="1">
      <formula>AND(SEARCH("decrease",F135),SEARCH("moderate",F135),SEARCH("No",#REF!))</formula>
    </cfRule>
  </conditionalFormatting>
  <conditionalFormatting sqref="CJ106 CH106 CF106 CD106 CB106 BZ106 BX106 BV106 BT106 BR106 BP106 BN106 BL106 BJ106 BH106 BF106 BD106 BB106 AZ106 AX106 AV106 AT106 AR106 AP106 AN106 AL106 AJ106 AH106 AF106 AD106 AB106 Z106 X106 V106 T106 R106 P106 N106 L106 J106 H106 F106">
    <cfRule type="expression" dxfId="89" priority="3" stopIfTrue="1">
      <formula>AND(SEARCH("decrease",F106),SEARCH("substantial",F106),SEARCH("No",#REF!))</formula>
    </cfRule>
    <cfRule type="expression" dxfId="88" priority="4" stopIfTrue="1">
      <formula>AND(SEARCH("decrease",F106),SEARCH("moderate",F106),SEARCH("No",#REF!))</formula>
    </cfRule>
  </conditionalFormatting>
  <conditionalFormatting sqref="H46">
    <cfRule type="expression" dxfId="87" priority="1" stopIfTrue="1">
      <formula>AND(SEARCH("decrease",H46),SEARCH("substantial",H46),SEARCH("No",#REF!))</formula>
    </cfRule>
    <cfRule type="expression" dxfId="86" priority="2" stopIfTrue="1">
      <formula>AND(SEARCH("decrease",H46),SEARCH("moderate",H46),SEARCH("No",#REF!))</formula>
    </cfRule>
  </conditionalFormatting>
  <dataValidations xWindow="869" yWindow="261" count="6">
    <dataValidation type="list" allowBlank="1" showInputMessage="1" showErrorMessage="1" sqref="CO96 CM154 CM54 CM111 CM98 CO19:CO21 CM91:CM92 CO61 CM58 CN176:CN180 CO12 CM16:CM17 CM19:CM21 CM23:CM24 AA54 CM38:CM39 CM50:CM51 AI33 CH176:CH180 CM107:CM108 CD176:CD180 CE16 BZ176:BZ180 CO50:CO51 BW16 BR176:BR180 CO58 BS16 BO16 BJ176:BJ180 BF176:BF180 BK16 BB176:BB180 BG16 AX176:AX180 AY16 V176:V180 AT176:AT180 AU16 AP176:AP180 AQ16 AL176:AL180 AM16 AH176:AH180 AI13 AI16 AI23 CM96 AG31 AE16 CM9 AA23:AA24 AA16 AA13 X176:X180 Z176:Z180 Q89:Q90 CM72:CM78 T176:T180 W70 R176:R180 N176:N180 S16 J176:J180 O16 CO104:CO105 K16 H176:H180 CM118 CO144:CO145 G16 CO111:CO112 Y97 I16 F176:F180 CO117 CM61 CO98 M16 CO102 Q96 I145 L176:L180 Q12:Q13 Q16 CO38:CO39 U16 P176:P180 Y110:Y111 CO114:CO115 Y57 Y23 AB176:AB180 AC13 AC16 I14 CL176:CL180 W89:W90 AG19 AG16 AG13 AI7:AI8 AF176:AF180 AG64 AK16 AJ176:AJ180 AO16 AN176:AN180 AS16 AR176:AR180 AV176:AV180 AW16 BA16 AD176:AD180 BE16 AZ176:AZ180 BD176:BD180 BI16 CO54:CO55 BM16 BH176:BH180 BN176:BN180 BQ16 BL176:BL180 CM63:CM70 BP176:BP180 BV176:BV180 BY16 BT176:BT180 BX176:BX180 CB176:CB180 CG16 CF176:CF180 CK16 CJ176:CJ180 AG29 AI36 CO23:CO24 CM12 CM114:CM115 BD46 M145 BS145 O145 BU145 G145 CO15:CO17 Y13:Y16 CO91:CO92 CM6 W65:W67 CO72:CO83 CM144 CO44:CO46 CM44:CM46 CO108 AN45 AR45 AV45 AG38:AG39 CO133 CO157 AG9:AG10 G14 CO63:CO70 H45" xr:uid="{00000000-0002-0000-0100-000000000000}">
      <formula1>effects</formula1>
    </dataValidation>
    <dataValidation type="list" allowBlank="1" showInputMessage="1" showErrorMessage="1" sqref="BY37 BK29 BW37 W29 S29 U29 BM29" xr:uid="{00000000-0002-0000-0100-000001000000}">
      <formula1>yes_no</formula1>
    </dataValidation>
    <dataValidation type="list" allowBlank="1" showInputMessage="1" showErrorMessage="1" prompt="YES indicates the concern is addressed in the practice standard's purpose section; NO indicates it s not." sqref="K194:K202" xr:uid="{00000000-0002-0000-0100-000002000000}">
      <formula1>yes_no</formula1>
    </dataValidation>
    <dataValidation type="list" allowBlank="1" showInputMessage="1" showErrorMessage="1" prompt="YES indicates the concern is addressed in the practice standard's purpose section; NO indicates it is not." sqref="AR189:AS65546 CL181:CO65546 AV181:AW65546 AJ183:AK65546 AN182:AO65546" xr:uid="{00000000-0002-0000-0100-000003000000}">
      <formula1>yes_no</formula1>
    </dataValidation>
    <dataValidation type="textLength" allowBlank="1" showInputMessage="1" showErrorMessage="1" sqref="S6:S15 AI17:AI22 Q17:Q88 AC17:AC139 AA14:AA15 Q14:Q15 Y17:Y22 AC14:AC15 AG17:AG18 AG14:AG15 AI34:AI35 AG30 BK30:BK31 CM62 AI6 CM55 CM130 BI174 Q91:Q95 AG6:AG8 BS141:BS144 BU141:BU144 BW141:BW144 M141:M144 O141:O144 G141:G144 I141:I144 I15 G15 CM40 CO40 CO48 CM53 CO53 CK168:CK169 CC168:CC169 CA168:CA169 CE168:CE169 CI168:CI169 CG168:CG169 W71:W88 BY168:BY169 W68:W69 AA6:AA12 CG6:CG15 CE6:CE15 AI9:AI12 BY6:BY15 BS6:BS15 BW6:BW15 BG6:BG15 BA6:BA15 BK6:BK15 AQ6:AQ15 AE6:AE15 AS6:AS15 AK6:AK15 U6:U15 CK6:CK15 AC6:AC12 I6:I13 AM6:AM15 AO6:AO15 AU6:AU15 AW6:AW15 BE6:BE15 BI6:BI15 BO6:BO15 M6:M15 AG11:AG12 BQ6:BQ15 Y6:Y12 Q6:Q11 O6:O15 K6:K15 BM6:BM15 AY6:AY15 G6:G13 CM11 CO11 S17:S28 BU146:BU169 BU6:BU36 BW17:BW36 BM17:BM28 AG20:AG28 U17:U28 W6:W28 BK17:BK28 AI24:AI32 K17:K40 CO26 CM26 Y58:Y96 K62:K84 CM48 AI14:AI15 BK134:BK139 Y112:Y139 AW131:AW139 BG17:BG139 CE131:CE139 CK141:CK166 CC141:CC166 BY141:BY166 CA141:CA166 CE141:CE166 CG141:CG166 CI141:CI166 BK33:BK132 AA17:AA22 BA17:BA81 BM30:BM59 Y24:Y56 AA25:AA53 BS17:BS60 W30:W64 AG40:AG63 K42:K60 AY17:AY129 CE17:CE129 AW17:AW129 BM141:BM169 U30:U139 CG17:CG139 CI6:CI139 M17:M139 O17:O139 AO17:AO139 AE17:AE139 AM17:AM139 AS17:AS139 AK17:AK139 AQ17:AQ139 BA159:BA169 BE17:BE139 AY131:AY139 CK17:CK139 AU17:AU139 S30:S139 CC6:CC139 CA6:CA139 BC6:BC139 BQ17:BQ139 BI17:BI139 BY38:BY139 BW38:BW139 BU38:BU139 AI37:AI139 AA55:AA139 BS62:BS139 BO17:BO139 W91:W139 K86:K139 AG65:AG139 I17:I139 G17:G139 Q97:Q139 BA84:BA139 Y98:Y109 BA141:BA157 AO141:AO169 BI141:BI169 BK141:BK169 BY17:BY36 BO141:BO169 BC141:BC169 BE141:BE169 O146:O169 I146:I169 G146:G169 AG32:AG37 AI141:AI169 AW141:AW169 M146:M169 S141:S169 AC141:AC169 Q141:Q169 AA141:AA169 AG141:AG169 AK141:AK169 BW146:BW169 K141:K169 U141:U169 BG141:BG169 AE141:AE169 Y141:Y169 BQ141:BQ169 BS146:BS169 AY141:AY169 AS141:AS169 AM141:AM169 AU141:AU169 AQ141:AQ169 W141:W169 BM61:BM139" xr:uid="{00000000-0002-0000-0100-000004000000}">
      <formula1>0</formula1>
      <formula2>256</formula2>
    </dataValidation>
    <dataValidation type="list" allowBlank="1" showInputMessage="1" showErrorMessage="1" sqref="CM148 CO148" xr:uid="{00000000-0002-0000-0100-000005000000}">
      <formula1>zzz</formula1>
    </dataValidation>
  </dataValidations>
  <pageMargins left="0.75" right="0.75" top="1" bottom="1" header="0.5" footer="0.5"/>
  <pageSetup scale="75" pageOrder="overThenDown" orientation="landscape" verticalDpi="300" r:id="rId2"/>
  <headerFooter alignWithMargins="0">
    <oddHeader>&amp;RPractice Effects</oddHeader>
    <oddFooter>Page &amp;P of &amp;N</oddFooter>
  </headerFooter>
  <cellWatches>
    <cellWatch r="AP5"/>
  </cellWatches>
  <extLst>
    <ext xmlns:x14="http://schemas.microsoft.com/office/spreadsheetml/2009/9/main" uri="{CCE6A557-97BC-4b89-ADB6-D9C93CAAB3DF}">
      <x14:dataValidations xmlns:xm="http://schemas.microsoft.com/office/excel/2006/main" xWindow="869" yWindow="261" count="5">
        <x14:dataValidation type="list" allowBlank="1" showInputMessage="1" showErrorMessage="1" xr:uid="{00000000-0002-0000-0100-000006000000}">
          <x14:formula1>
            <xm:f>Lookup!$B$4:$B$14</xm:f>
          </x14:formula1>
          <xm:sqref>CH92 CF92 CD92 CB92 BZ92 BX92 BV92 BT92 BR92 BP92 BN92 BL92 BJ92 BH92 H92 J92 Z92 BF92 F92 AX92 P92 AB92 AF92 AT92 AL92 X92 AZ92 L92 AJ92 N92 AN92 AH92 V92 AV92 R92 BB92 AD92 T92 AR92 AP92 BD92 CN92 CL92 CJ92 V6:V10 Z6:Z10 CF6:CF10 BD6:BD45 AN6:AN44 H6:H44 AR6:AR44 AV6:AV44 AP129:AP144 R129:R144 BB129:BB144 N129:N144 BT129:BT144 BX129:BX144 AF129:AF144 F129:F144 L129:L144 T129:T144 P129:P144 X129:X144 V129:V144 J129:J144 AB129:AB144 Z129:Z144 AD129:AD144 AL129:AL144 AJ129:AJ144 AX129:AX144 AT129:AT144 AH129:AH144 AZ129:AZ144 BJ129:BJ144 BH129:BH144 BF129:BF144 BV129:BV144 BR129:BR144 BP129:BP144 BN129:BN144 CF129:CF144 CD129:CD144 CB129:CB144 BZ129:BZ144 CL129:CL144 BL129:BL144 CJ129:CJ144 AV129:AV144 AN129:AN144 AR129:AR144 H129:H144 BD129:BD144 CN129:CN144 CH129:CH144 BP6:BP90 AP6:AP90 BD47:BD90 AR46:AR90 F6:F90 CN6:CN90 T6:T90 AD6:AD90 AV46:AV90 BB6:BB90 AN46:AN90 V12:V90 R6:R90 N6:N90 AJ6:AJ90 L6:L90 AZ6:AZ90 X6:X90 AL6:AL90 AT6:AT90 AB6:AB90 P6:P90 AX6:AX90 BL6:BL90 BF6:BF90 Z12:Z90 J6:J90 BH6:BH90 BJ6:BJ90 BN6:BN90 BR6:BR90 BT6:BT90 BV6:BV90 BX6:BX90 BZ6:BZ90 CB6:CB90 CD6:CD90 CH6:CH90 H46:H90 CJ6:CJ90 CL6:CL90 CF12:CF90 AF6:AF90 AH6:AH90 CJ94:CJ127 CH94:CH127 CF94:CF127 CD94:CD127 CB94:CB127 BZ94:BZ127 BX94:BX127 BV94:BV127 BT94:BT127 BR94:BR127 BP94:BP127 BN94:BN127 CN94:CN127 BL94:BL127 BJ94:BJ127 BH94:BH127 H94:H127 J94:J127 Z94:Z127 BF94:BF127 F94:F127 AX94:AX127 P94:P127 AB94:AB127 AF94:AF127 AT94:AT127 AL94:AL127 X94:X127 AZ94:AZ127 L94:L127 AJ94:AJ127 N94:N127 AN94:AN127 AH94:AH127 V94:V127 AV94:AV127 R94:R127 BB94:BB127 AD94:AD127 T94:T127 AR94:AR127 AP94:AP127 BD94:BD127 CL94:CL127 AH146:AH175 AN146:AN175 AV146:AV175 AP146:AP175 AT146:AT175 AX146:AX175 BX146:BX175 BT146:BT175 BV146:BV175 BR146:BR175 BP146:BP175 BF146:BF175 CF146:CF175 Z146:Z175 BB146:BB175 P146:P175 AB146:AB175 AF146:AF175 X146:X175 L146:L175 AJ146:AJ175 N146:N175 H146:H175 BZ146:BZ175 R146:R175 AZ146:AZ175 AD146:AD175 T146:T175 AL146:AL175 BD146:BD175 CN146:CN175 CL146:CL175 CJ146:CJ175 CH146:CH175 CD146:CD175 CB146:CB175 BN146:BN175 F146:F175 J146:J175 BJ146:BJ175 BL146:BL175 V146:V175 AR146:AR175 BH146:BH175</xm:sqref>
        </x14:dataValidation>
        <x14:dataValidation type="list" allowBlank="1" showInputMessage="1" showErrorMessage="1" xr:uid="{00000000-0002-0000-0100-000007000000}">
          <x14:formula1>
            <xm:f>'C:\Users\greg.zwicke\AppData\Local\Microsoft\Windows\Temporary Internet Files\Content.Outlook\V7UI0ZCC\[CPPENational061114 Bogovich.xlsm]Lookup'!#REF!</xm:f>
          </x14:formula1>
          <xm:sqref>BT145 CD145 CB145 BZ145 BX145 BD145 AP145 AR145 T145 AD145 BB145 R145 AV145 V145 AH145 AN145 N145 AJ145 CJ145 AZ145 X145 AL145 AT145 AF145 AB145 P145 AX145 F145 BF145 Z145 J145 H145 BH145 BJ145 BL145 BN145 BP145 BR145 L145 BV145 CF145 CH145 CL145 CN145 BB91 BZ91 CB91 CD91 BT91 CJ91 P91 AF91 BP91 H91 AZ91 BR91 AT91 BN91 Z91 F91 BV91 BF91 AP91 X91 BL91 AX91 AB91 J91 BH91 L91 AL91 CF91 AJ91 BJ91 CH91 CL91 V91 AH91 AN91 N91 AV91 R91 CN91 AD91 BX91 BD91 AR91 T91</xm:sqref>
        </x14:dataValidation>
        <x14:dataValidation type="list" allowBlank="1" showInputMessage="1" showErrorMessage="1" xr:uid="{00000000-0002-0000-0100-000008000000}">
          <x14:formula1>
            <xm:f>'C:\Users\greg.zwicke\AppData\Local\Microsoft\Windows\Temporary Internet Files\Content.Outlook\V7UI0ZCC\[CPPENational041414-wrr.xlsm]Lookup'!#REF!</xm:f>
          </x14:formula1>
          <xm:sqref>AR93 T93 AD93 BB93 R93 AV93 V93 AH93 AJ93 N93 L93 AZ93 X93 CN93 AT93 AF93 AB93 P93 AX93 F93 AP93 Z93 J93 H93 BD93 BL93 BN93 BP93 BR93 BT93 BV93 BX93 BZ93 CB93 CD93 CF93 CH93 CJ93 CL93 AL93 AN93 BF93 BJ93 BH93</xm:sqref>
        </x14:dataValidation>
        <x14:dataValidation type="list" allowBlank="1" showInputMessage="1" showErrorMessage="1" xr:uid="{00000000-0002-0000-0100-000009000000}">
          <x14:formula1>
            <xm:f>'C:\Users\greg.zwicke\AppData\Local\Microsoft\Windows\Temporary Internet Files\Content.Outlook\V7UI0ZCC\[CPPENational041414_CEL 318.xlsm]Lookup'!#REF!</xm:f>
          </x14:formula1>
          <xm:sqref>CB128 BN128 BF128 AB128 X128 Z128 AX128 P128 H128 AF128 N128 L128 F128 J128 T128 R128 V128 AD128 AH128 AJ128 AL128 AP128 AR128 AV128 AN128 AZ128 AT128 BB128 BD128 BH128 BJ128 BL128 BP128 BR128 BT128 BV128 BX128 BZ128 CD128 CF128 CH128 CJ128 CL128 CN128</xm:sqref>
        </x14:dataValidation>
        <x14:dataValidation type="list" allowBlank="1" showInputMessage="1" showErrorMessage="1" xr:uid="{00000000-0002-0000-0100-00000A000000}">
          <x14:formula1>
            <xm:f>'C:\Users\hal.gordon\AppData\Local\Microsoft\Windows\Temporary Internet Files\Content.Outlook\A8O3OWEQ\[AgronomyCopy of CPPENational051415.xlsm]Lookup'!#REF!</xm:f>
          </x14:formula1>
          <xm:sqref>CF11 V11 Z11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6" tint="0.39997558519241921"/>
  </sheetPr>
  <dimension ref="A1:BF175"/>
  <sheetViews>
    <sheetView zoomScale="90" zoomScaleNormal="90" workbookViewId="0">
      <pane xSplit="3" ySplit="1" topLeftCell="D2" activePane="bottomRight" state="frozen"/>
      <selection pane="topRight" activeCell="C1" sqref="C1"/>
      <selection pane="bottomLeft" activeCell="A2" sqref="A2"/>
      <selection pane="bottomRight" activeCell="D2" sqref="D2"/>
    </sheetView>
  </sheetViews>
  <sheetFormatPr defaultColWidth="9.140625" defaultRowHeight="12.75" x14ac:dyDescent="0.2"/>
  <cols>
    <col min="1" max="1" width="2.7109375" style="26" customWidth="1"/>
    <col min="2" max="2" width="60.7109375" style="4" customWidth="1"/>
    <col min="3" max="3" width="9.7109375" style="3" customWidth="1"/>
    <col min="4" max="4" width="16.7109375" style="6" customWidth="1"/>
    <col min="5" max="45" width="17.28515625" style="2" customWidth="1"/>
    <col min="46" max="47" width="17.28515625" style="28" customWidth="1"/>
    <col min="48" max="48" width="8.85546875"/>
    <col min="49" max="57" width="9.140625" style="28"/>
    <col min="58" max="16384" width="9.140625" style="26"/>
  </cols>
  <sheetData>
    <row r="1" spans="1:58" s="11" customFormat="1" ht="97.5" thickBot="1" x14ac:dyDescent="0.3">
      <c r="B1" s="16" t="s">
        <v>3936</v>
      </c>
      <c r="C1" s="30" t="str">
        <f>+'Physical Effects'!D5</f>
        <v>Practice Code</v>
      </c>
      <c r="D1" s="12" t="str">
        <f>+'Physical Effects'!F4</f>
        <v>Soil Erosion - Sheet and Rill Erosion</v>
      </c>
      <c r="E1" s="12" t="str">
        <f>+'Physical Effects'!H4</f>
        <v>Soil Erosion - Wind Erosion</v>
      </c>
      <c r="F1" s="12" t="str">
        <f>+'Physical Effects'!J4</f>
        <v>Soil Erosion - Ephemeral Gully Erosion</v>
      </c>
      <c r="G1" s="12" t="str">
        <f>+'Physical Effects'!L4</f>
        <v>Soil Erosion - Classic Gully Erosion</v>
      </c>
      <c r="H1" s="12" t="str">
        <f>+'Physical Effects'!N4</f>
        <v>Soil Erosion - Streambank, Shoreline, Water Conveyance Channels</v>
      </c>
      <c r="I1" s="12" t="str">
        <f>+'Physical Effects'!P4</f>
        <v>Soil Quality Degradation - Organic Matter Depletion</v>
      </c>
      <c r="J1" s="12" t="str">
        <f>+'Physical Effects'!R4</f>
        <v>Soil Quality Degradation - Compaction</v>
      </c>
      <c r="K1" s="12" t="str">
        <f>+'Physical Effects'!T4</f>
        <v>Soil Quality Degradation - Subsidence</v>
      </c>
      <c r="L1" s="12" t="str">
        <f>+'Physical Effects'!V4</f>
        <v>Soil Quality Degradation - Concentration of Salts or Other Chemicals</v>
      </c>
      <c r="M1" s="12" t="str">
        <f>+'Physical Effects'!X4</f>
        <v>Excess Water - Seeps</v>
      </c>
      <c r="N1" s="12" t="str">
        <f>+'Physical Effects'!Z4</f>
        <v>Excess Water - Runoff, Flooding, or Ponding</v>
      </c>
      <c r="O1" s="12" t="str">
        <f>+'Physical Effects'!AB4</f>
        <v>Excess Water - Seasonal High Water Table</v>
      </c>
      <c r="P1" s="12" t="str">
        <f>+'Physical Effects'!AD4</f>
        <v>Excess Water - Drifted Snow</v>
      </c>
      <c r="Q1" s="12" t="str">
        <f>+'Physical Effects'!AF4</f>
        <v>Insufficient Water - Inefficient Use of Irrigation Water</v>
      </c>
      <c r="R1" s="12" t="str">
        <f>+'Physical Effects'!AH4</f>
        <v>Insufficient Water - Inefficient Moisture Management</v>
      </c>
      <c r="S1" s="12" t="str">
        <f>+'Physical Effects'!AJ4</f>
        <v>Water Quality Degradation - Pesticides in Surface Water</v>
      </c>
      <c r="T1" s="12" t="str">
        <f>+'Physical Effects'!AL4</f>
        <v>Water Quality Degradation - Pesticides in Groundwater</v>
      </c>
      <c r="U1" s="12" t="str">
        <f>+'Physical Effects'!AN4</f>
        <v>Water Quality Degradation - Nutrients in Surface water</v>
      </c>
      <c r="V1" s="12" t="str">
        <f>+'Physical Effects'!AP4</f>
        <v>Water Quality Degradation - Nutrients in Groundwater</v>
      </c>
      <c r="W1" s="12" t="str">
        <f>+'Physical Effects'!AR4</f>
        <v>Water Quality Degradation - Salts in Surface Water</v>
      </c>
      <c r="X1" s="12" t="str">
        <f>+'Physical Effects'!AT4</f>
        <v>Water Quality Degradation - Salts in Groundwater</v>
      </c>
      <c r="Y1" s="12" t="str">
        <f>+'Physical Effects'!AV4</f>
        <v>Water Quality Degradation - Excess Pathogens and Chemicals from Manure, Bio-solids or Compost Applications in Surface Water</v>
      </c>
      <c r="Z1" s="12" t="str">
        <f>+'Physical Effects'!AX4</f>
        <v>Water Quality Degradation - Excess Pathogens and Chemicals from Manure, Bio-solids or Compost Applications in Groundwater</v>
      </c>
      <c r="AA1" s="12" t="str">
        <f>+'Physical Effects'!AZ4</f>
        <v>Water Quality Degradation - Excessive Sediment in Surface Water</v>
      </c>
      <c r="AB1" s="12" t="str">
        <f>+'Physical Effects'!BB4</f>
        <v>Water Quality Degradation - Elevated Water Temperature</v>
      </c>
      <c r="AC1" s="12" t="str">
        <f>+'Physical Effects'!BD4</f>
        <v>Water Quality Degradation - Petroleum, Heavy Metals and Other Pollutants Transported to Surface Water</v>
      </c>
      <c r="AD1" s="12" t="str">
        <f>+'Physical Effects'!BF4</f>
        <v>Water Quality Degradation - Petroleum, Heavy Metals and Other Pollutants Transported to Groundwater</v>
      </c>
      <c r="AE1" s="12" t="str">
        <f>+'Physical Effects'!BH4</f>
        <v>Air Quality Impacts - Emissions of Particulate Matter (PM) and PM Precursors</v>
      </c>
      <c r="AF1" s="12" t="str">
        <f>+'Physical Effects'!BJ4</f>
        <v>Air Quality Impacts - Emissions of Ozone Precursors</v>
      </c>
      <c r="AG1" s="12" t="str">
        <f>+'Physical Effects'!BL4</f>
        <v>Air Quality Impacts - Emissions of Greenhouse Gases (GHGs)</v>
      </c>
      <c r="AH1" s="12" t="str">
        <f>+'Physical Effects'!BN4</f>
        <v>Air Quality Impacts - Objectionable Odors</v>
      </c>
      <c r="AI1" s="12" t="str">
        <f>+'Physical Effects'!BP4</f>
        <v>Degraded Plant Condition - Undesirable Plant Productivity and Health</v>
      </c>
      <c r="AJ1" s="12" t="str">
        <f>+'Physical Effects'!BR4</f>
        <v xml:space="preserve">Degraded Plant Condition - Inadequate Structure and Composition </v>
      </c>
      <c r="AK1" s="12" t="str">
        <f>+'Physical Effects'!BT4</f>
        <v>Degraded Plant Condition - Excessive Plant Pest Pressure</v>
      </c>
      <c r="AL1" s="12" t="str">
        <f>+'Physical Effects'!BV4</f>
        <v>Degraded Plant Condition - Wildfire Hazard, Excessive Biomass Accumulation</v>
      </c>
      <c r="AM1" s="12" t="str">
        <f>+'Physical Effects'!BX4</f>
        <v>Fish and Wildlife - Inadequate Habitat - Food</v>
      </c>
      <c r="AN1" s="12" t="str">
        <f>+'Physical Effects'!BZ4</f>
        <v>Fish and Wildlife - Inadequate Habitat - Cover/Shelter</v>
      </c>
      <c r="AO1" s="12" t="str">
        <f>+'Physical Effects'!CB4</f>
        <v>Fish and Wildlife - Inadequate Habitat - Water</v>
      </c>
      <c r="AP1" s="12" t="str">
        <f>+'Physical Effects'!CD4</f>
        <v>Fish and Wildlife - Inadequate Habitat - Habitat Continuity (Space)</v>
      </c>
      <c r="AQ1" s="12" t="str">
        <f>+'Physical Effects'!CF4</f>
        <v>Livestock Production Limitation - Inadequate Feed and Forage</v>
      </c>
      <c r="AR1" s="12" t="str">
        <f>+'Physical Effects'!CH4</f>
        <v>Livestock Production Limitation - Inadequate Shelter</v>
      </c>
      <c r="AS1" s="12" t="str">
        <f>+'Physical Effects'!CJ4</f>
        <v>Livestock Production Limitation - Inadequate Water</v>
      </c>
      <c r="AT1" s="12" t="str">
        <f>+'Physical Effects'!CL4</f>
        <v>Inefficient Energy Use - Equipment and Facilities</v>
      </c>
      <c r="AU1" s="12" t="str">
        <f>+'Physical Effects'!CN4</f>
        <v>Inefficient Energy Use - Farming/Ranching Practices and Field Operations</v>
      </c>
      <c r="AW1" s="27"/>
      <c r="AX1" s="27"/>
      <c r="AY1" s="27"/>
      <c r="AZ1" s="27"/>
      <c r="BA1" s="27"/>
      <c r="BB1" s="27"/>
      <c r="BC1" s="27"/>
      <c r="BD1" s="27"/>
      <c r="BE1" s="27"/>
      <c r="BF1" s="22"/>
    </row>
    <row r="2" spans="1:58" s="10" customFormat="1" ht="13.5" thickBot="1" x14ac:dyDescent="0.25">
      <c r="A2" s="325">
        <v>1</v>
      </c>
      <c r="B2" s="19" t="str">
        <f>+'Physical Effects'!B6</f>
        <v xml:space="preserve">Access Control </v>
      </c>
      <c r="C2" s="32">
        <f>+'Physical Effects'!D6</f>
        <v>472</v>
      </c>
      <c r="D2" s="418">
        <f>VLOOKUP('Physical Effects'!F6,Lookup!$B$4:$C$14,2,FALSE)</f>
        <v>3</v>
      </c>
      <c r="E2" s="418">
        <f>VLOOKUP('Physical Effects'!H6,Lookup!$B$4:$C$14,2,FALSE)</f>
        <v>1</v>
      </c>
      <c r="F2" s="418">
        <f>VLOOKUP('Physical Effects'!J6,Lookup!$B$4:$C$14,2,FALSE)</f>
        <v>4</v>
      </c>
      <c r="G2" s="418">
        <f>VLOOKUP('Physical Effects'!L6,Lookup!$B$4:$C$14,2,FALSE)</f>
        <v>4</v>
      </c>
      <c r="H2" s="418">
        <f>VLOOKUP('Physical Effects'!N6,Lookup!$B$4:$C$14,2,FALSE)</f>
        <v>5</v>
      </c>
      <c r="I2" s="418">
        <f>VLOOKUP('Physical Effects'!P6,Lookup!$B$4:$C$14,2,FALSE)</f>
        <v>1</v>
      </c>
      <c r="J2" s="418">
        <f>VLOOKUP('Physical Effects'!R6,Lookup!$B$4:$C$14,2,FALSE)</f>
        <v>4</v>
      </c>
      <c r="K2" s="418">
        <f>VLOOKUP('Physical Effects'!T6,Lookup!$B$4:$C$14,2,FALSE)</f>
        <v>0</v>
      </c>
      <c r="L2" s="418">
        <f>VLOOKUP('Physical Effects'!V6,Lookup!$B$4:$C$14,2,FALSE)</f>
        <v>0</v>
      </c>
      <c r="M2" s="418">
        <f>VLOOKUP('Physical Effects'!X6,Lookup!$B$4:$C$14,2,FALSE)</f>
        <v>1</v>
      </c>
      <c r="N2" s="418">
        <f>VLOOKUP('Physical Effects'!Z6,Lookup!$B$4:$C$14,2,FALSE)</f>
        <v>1</v>
      </c>
      <c r="O2" s="418">
        <f>VLOOKUP('Physical Effects'!AB6,Lookup!$B$4:$C$14,2,FALSE)</f>
        <v>2</v>
      </c>
      <c r="P2" s="418">
        <f>VLOOKUP('Physical Effects'!AD6,Lookup!$B$4:$C$14,2,FALSE)</f>
        <v>0</v>
      </c>
      <c r="Q2" s="418">
        <f>VLOOKUP('Physical Effects'!AF6,Lookup!$B$4:$C$14,2,FALSE)</f>
        <v>0</v>
      </c>
      <c r="R2" s="418">
        <f>VLOOKUP('Physical Effects'!AH6,Lookup!$B$4:$C$14,2,FALSE)</f>
        <v>3</v>
      </c>
      <c r="S2" s="418">
        <f>VLOOKUP('Physical Effects'!AJ6,Lookup!$B$4:$C$14,2,FALSE)</f>
        <v>1</v>
      </c>
      <c r="T2" s="418">
        <f>VLOOKUP('Physical Effects'!AL6,Lookup!$B$4:$C$14,2,FALSE)</f>
        <v>0</v>
      </c>
      <c r="U2" s="418">
        <f>VLOOKUP('Physical Effects'!AN6,Lookup!$B$4:$C$14,2,FALSE)</f>
        <v>1</v>
      </c>
      <c r="V2" s="418">
        <f>VLOOKUP('Physical Effects'!AP6,Lookup!$B$4:$C$14,2,FALSE)</f>
        <v>1</v>
      </c>
      <c r="W2" s="418">
        <f>VLOOKUP('Physical Effects'!AR6,Lookup!$B$4:$C$14,2,FALSE)</f>
        <v>0</v>
      </c>
      <c r="X2" s="418">
        <f>VLOOKUP('Physical Effects'!AT6,Lookup!$B$4:$C$14,2,FALSE)</f>
        <v>0</v>
      </c>
      <c r="Y2" s="418">
        <f>VLOOKUP('Physical Effects'!AV6,Lookup!$B$4:$C$14,2,FALSE)</f>
        <v>1</v>
      </c>
      <c r="Z2" s="418">
        <f>VLOOKUP('Physical Effects'!AX6,Lookup!$B$4:$C$14,2,FALSE)</f>
        <v>1</v>
      </c>
      <c r="AA2" s="418">
        <f>VLOOKUP('Physical Effects'!AZ6,Lookup!$B$4:$C$14,2,FALSE)</f>
        <v>3</v>
      </c>
      <c r="AB2" s="418">
        <f>VLOOKUP('Physical Effects'!BB6,Lookup!$B$4:$C$14,2,FALSE)</f>
        <v>3</v>
      </c>
      <c r="AC2" s="418">
        <f>VLOOKUP('Physical Effects'!BD6,Lookup!$B$4:$C$14,2,FALSE)</f>
        <v>1</v>
      </c>
      <c r="AD2" s="418">
        <f>VLOOKUP('Physical Effects'!BF6,Lookup!$B$4:$C$14,2,FALSE)</f>
        <v>1</v>
      </c>
      <c r="AE2" s="418">
        <f>VLOOKUP('Physical Effects'!BH6,Lookup!$B$4:$C$14,2,FALSE)</f>
        <v>2</v>
      </c>
      <c r="AF2" s="418">
        <f>VLOOKUP('Physical Effects'!BJ6,Lookup!$B$4:$C$14,2,FALSE)</f>
        <v>1</v>
      </c>
      <c r="AG2" s="418">
        <f>VLOOKUP('Physical Effects'!BL6,Lookup!$B$4:$C$14,2,FALSE)</f>
        <v>1</v>
      </c>
      <c r="AH2" s="418">
        <f>VLOOKUP('Physical Effects'!BN6,Lookup!$B$4:$C$14,2,FALSE)</f>
        <v>0</v>
      </c>
      <c r="AI2" s="418">
        <f>VLOOKUP('Physical Effects'!BP6,Lookup!$B$4:$C$14,2,FALSE)</f>
        <v>3</v>
      </c>
      <c r="AJ2" s="418">
        <f>VLOOKUP('Physical Effects'!BR6,Lookup!$B$4:$C$14,2,FALSE)</f>
        <v>4</v>
      </c>
      <c r="AK2" s="418">
        <f>VLOOKUP('Physical Effects'!BT6,Lookup!$B$4:$C$14,2,FALSE)</f>
        <v>5</v>
      </c>
      <c r="AL2" s="418">
        <f>VLOOKUP('Physical Effects'!BV6,Lookup!$B$4:$C$14,2,FALSE)</f>
        <v>3</v>
      </c>
      <c r="AM2" s="418">
        <f>VLOOKUP('Physical Effects'!BX6,Lookup!$B$4:$C$14,2,FALSE)</f>
        <v>3</v>
      </c>
      <c r="AN2" s="418">
        <f>VLOOKUP('Physical Effects'!BZ6,Lookup!$B$4:$C$14,2,FALSE)</f>
        <v>3</v>
      </c>
      <c r="AO2" s="418">
        <f>VLOOKUP('Physical Effects'!CB6,Lookup!$B$4:$C$14,2,FALSE)</f>
        <v>1</v>
      </c>
      <c r="AP2" s="418">
        <f>VLOOKUP('Physical Effects'!CD6,Lookup!$B$4:$C$14,2,FALSE)</f>
        <v>1</v>
      </c>
      <c r="AQ2" s="418">
        <f>VLOOKUP('Physical Effects'!CF6,Lookup!$B$4:$C$14,2,FALSE)</f>
        <v>3</v>
      </c>
      <c r="AR2" s="418">
        <f>VLOOKUP('Physical Effects'!CH6,Lookup!$B$4:$C$14,2,FALSE)</f>
        <v>1</v>
      </c>
      <c r="AS2" s="418">
        <f>VLOOKUP('Physical Effects'!CJ6,Lookup!$B$4:$C$14,2,FALSE)</f>
        <v>0</v>
      </c>
      <c r="AT2" s="418">
        <f>VLOOKUP('Physical Effects'!CL6,Lookup!$B$4:$C$14,2,FALSE)</f>
        <v>0</v>
      </c>
      <c r="AU2" s="418">
        <f>VLOOKUP('Physical Effects'!CN6,Lookup!$B$4:$C$14,2,FALSE)</f>
        <v>0</v>
      </c>
      <c r="AV2" s="28"/>
      <c r="AW2" s="27"/>
      <c r="AX2" s="27"/>
      <c r="AY2" s="27"/>
      <c r="AZ2" s="27"/>
      <c r="BA2" s="27"/>
      <c r="BB2" s="27"/>
      <c r="BC2" s="27"/>
      <c r="BD2" s="27"/>
      <c r="BE2" s="27"/>
      <c r="BF2" s="22"/>
    </row>
    <row r="3" spans="1:58" s="18" customFormat="1" ht="13.5" thickBot="1" x14ac:dyDescent="0.25">
      <c r="A3" s="123">
        <f>+A2+1</f>
        <v>2</v>
      </c>
      <c r="B3" s="19" t="str">
        <f>+'Physical Effects'!B7</f>
        <v xml:space="preserve">Access Road </v>
      </c>
      <c r="C3" s="32">
        <f>+'Physical Effects'!D7</f>
        <v>560</v>
      </c>
      <c r="D3" s="418">
        <f>VLOOKUP('Physical Effects'!F7,Lookup!$B$4:$C$14,2,FALSE)</f>
        <v>1</v>
      </c>
      <c r="E3" s="418">
        <f>VLOOKUP('Physical Effects'!H7,Lookup!$B$4:$C$14,2,FALSE)</f>
        <v>0</v>
      </c>
      <c r="F3" s="418">
        <f>VLOOKUP('Physical Effects'!J7,Lookup!$B$4:$C$14,2,FALSE)</f>
        <v>1</v>
      </c>
      <c r="G3" s="418">
        <f>VLOOKUP('Physical Effects'!L7,Lookup!$B$4:$C$14,2,FALSE)</f>
        <v>1</v>
      </c>
      <c r="H3" s="418">
        <f>VLOOKUP('Physical Effects'!N7,Lookup!$B$4:$C$14,2,FALSE)</f>
        <v>0</v>
      </c>
      <c r="I3" s="418">
        <f>VLOOKUP('Physical Effects'!P7,Lookup!$B$4:$C$14,2,FALSE)</f>
        <v>0</v>
      </c>
      <c r="J3" s="418">
        <f>VLOOKUP('Physical Effects'!R7,Lookup!$B$4:$C$14,2,FALSE)</f>
        <v>2</v>
      </c>
      <c r="K3" s="418">
        <f>VLOOKUP('Physical Effects'!T7,Lookup!$B$4:$C$14,2,FALSE)</f>
        <v>0</v>
      </c>
      <c r="L3" s="418">
        <f>VLOOKUP('Physical Effects'!V7,Lookup!$B$4:$C$14,2,FALSE)</f>
        <v>0</v>
      </c>
      <c r="M3" s="418">
        <f>VLOOKUP('Physical Effects'!X7,Lookup!$B$4:$C$14,2,FALSE)</f>
        <v>0</v>
      </c>
      <c r="N3" s="418">
        <f>VLOOKUP('Physical Effects'!Z7,Lookup!$B$4:$C$14,2,FALSE)</f>
        <v>1</v>
      </c>
      <c r="O3" s="418">
        <f>VLOOKUP('Physical Effects'!AB7,Lookup!$B$4:$C$14,2,FALSE)</f>
        <v>0</v>
      </c>
      <c r="P3" s="418">
        <f>VLOOKUP('Physical Effects'!AD7,Lookup!$B$4:$C$14,2,FALSE)</f>
        <v>0</v>
      </c>
      <c r="Q3" s="418">
        <f>VLOOKUP('Physical Effects'!AF7,Lookup!$B$4:$C$14,2,FALSE)</f>
        <v>2</v>
      </c>
      <c r="R3" s="418">
        <f>VLOOKUP('Physical Effects'!AH7,Lookup!$B$4:$C$14,2,FALSE)</f>
        <v>0</v>
      </c>
      <c r="S3" s="418">
        <f>VLOOKUP('Physical Effects'!AJ7,Lookup!$B$4:$C$14,2,FALSE)</f>
        <v>0</v>
      </c>
      <c r="T3" s="418">
        <f>VLOOKUP('Physical Effects'!AL7,Lookup!$B$4:$C$14,2,FALSE)</f>
        <v>0</v>
      </c>
      <c r="U3" s="418">
        <f>VLOOKUP('Physical Effects'!AN7,Lookup!$B$4:$C$14,2,FALSE)</f>
        <v>0</v>
      </c>
      <c r="V3" s="418">
        <f>VLOOKUP('Physical Effects'!AP7,Lookup!$B$4:$C$14,2,FALSE)</f>
        <v>0</v>
      </c>
      <c r="W3" s="418">
        <f>VLOOKUP('Physical Effects'!AR7,Lookup!$B$4:$C$14,2,FALSE)</f>
        <v>0</v>
      </c>
      <c r="X3" s="418">
        <f>VLOOKUP('Physical Effects'!AT7,Lookup!$B$4:$C$14,2,FALSE)</f>
        <v>0</v>
      </c>
      <c r="Y3" s="418">
        <f>VLOOKUP('Physical Effects'!AV7,Lookup!$B$4:$C$14,2,FALSE)</f>
        <v>0</v>
      </c>
      <c r="Z3" s="418">
        <f>VLOOKUP('Physical Effects'!AX7,Lookup!$B$4:$C$14,2,FALSE)</f>
        <v>0</v>
      </c>
      <c r="AA3" s="418">
        <f>VLOOKUP('Physical Effects'!AZ7,Lookup!$B$4:$C$14,2,FALSE)</f>
        <v>1</v>
      </c>
      <c r="AB3" s="418">
        <f>VLOOKUP('Physical Effects'!BB7,Lookup!$B$4:$C$14,2,FALSE)</f>
        <v>0</v>
      </c>
      <c r="AC3" s="418">
        <f>VLOOKUP('Physical Effects'!BD7,Lookup!$B$4:$C$14,2,FALSE)</f>
        <v>0</v>
      </c>
      <c r="AD3" s="418">
        <f>VLOOKUP('Physical Effects'!BF7,Lookup!$B$4:$C$14,2,FALSE)</f>
        <v>0</v>
      </c>
      <c r="AE3" s="418">
        <f>VLOOKUP('Physical Effects'!BH7,Lookup!$B$4:$C$14,2,FALSE)</f>
        <v>2</v>
      </c>
      <c r="AF3" s="418">
        <f>VLOOKUP('Physical Effects'!BJ7,Lookup!$B$4:$C$14,2,FALSE)</f>
        <v>0</v>
      </c>
      <c r="AG3" s="418">
        <f>VLOOKUP('Physical Effects'!BL7,Lookup!$B$4:$C$14,2,FALSE)</f>
        <v>0</v>
      </c>
      <c r="AH3" s="418">
        <f>VLOOKUP('Physical Effects'!BN7,Lookup!$B$4:$C$14,2,FALSE)</f>
        <v>0</v>
      </c>
      <c r="AI3" s="418">
        <f>VLOOKUP('Physical Effects'!BP7,Lookup!$B$4:$C$14,2,FALSE)</f>
        <v>2</v>
      </c>
      <c r="AJ3" s="418">
        <f>VLOOKUP('Physical Effects'!BR7,Lookup!$B$4:$C$14,2,FALSE)</f>
        <v>0</v>
      </c>
      <c r="AK3" s="418">
        <f>VLOOKUP('Physical Effects'!BT7,Lookup!$B$4:$C$14,2,FALSE)</f>
        <v>0</v>
      </c>
      <c r="AL3" s="418">
        <f>VLOOKUP('Physical Effects'!BV7,Lookup!$B$4:$C$14,2,FALSE)</f>
        <v>4</v>
      </c>
      <c r="AM3" s="418">
        <f>VLOOKUP('Physical Effects'!BX7,Lookup!$B$4:$C$14,2,FALSE)</f>
        <v>0</v>
      </c>
      <c r="AN3" s="418">
        <f>VLOOKUP('Physical Effects'!BZ7,Lookup!$B$4:$C$14,2,FALSE)</f>
        <v>0</v>
      </c>
      <c r="AO3" s="418">
        <f>VLOOKUP('Physical Effects'!CB7,Lookup!$B$4:$C$14,2,FALSE)</f>
        <v>0</v>
      </c>
      <c r="AP3" s="418">
        <f>VLOOKUP('Physical Effects'!CD7,Lookup!$B$4:$C$14,2,FALSE)</f>
        <v>-1</v>
      </c>
      <c r="AQ3" s="418">
        <f>VLOOKUP('Physical Effects'!CF7,Lookup!$B$4:$C$14,2,FALSE)</f>
        <v>0</v>
      </c>
      <c r="AR3" s="418">
        <f>VLOOKUP('Physical Effects'!CH7,Lookup!$B$4:$C$14,2,FALSE)</f>
        <v>0</v>
      </c>
      <c r="AS3" s="418">
        <f>VLOOKUP('Physical Effects'!CJ7,Lookup!$B$4:$C$14,2,FALSE)</f>
        <v>0</v>
      </c>
      <c r="AT3" s="418">
        <f>VLOOKUP('Physical Effects'!CL7,Lookup!$B$4:$C$14,2,FALSE)</f>
        <v>1</v>
      </c>
      <c r="AU3" s="418">
        <f>VLOOKUP('Physical Effects'!CN7,Lookup!$B$4:$C$14,2,FALSE)</f>
        <v>1</v>
      </c>
      <c r="AV3" s="28"/>
      <c r="AW3" s="21"/>
      <c r="AX3" s="21"/>
      <c r="AY3" s="21"/>
      <c r="AZ3" s="21"/>
      <c r="BA3" s="21"/>
      <c r="BB3" s="21"/>
      <c r="BC3" s="21"/>
      <c r="BD3" s="21"/>
      <c r="BE3" s="21"/>
      <c r="BF3" s="21"/>
    </row>
    <row r="4" spans="1:58" s="5" customFormat="1" ht="13.5" thickBot="1" x14ac:dyDescent="0.25">
      <c r="A4" s="123">
        <f t="shared" ref="A4:A67" si="0">+A3+1</f>
        <v>3</v>
      </c>
      <c r="B4" s="19" t="str">
        <f>+'Physical Effects'!B8</f>
        <v>Agrichemical Handling Facility</v>
      </c>
      <c r="C4" s="32">
        <f>+'Physical Effects'!D8</f>
        <v>309</v>
      </c>
      <c r="D4" s="418">
        <f>VLOOKUP('Physical Effects'!F8,Lookup!$B$4:$C$14,2,FALSE)</f>
        <v>0</v>
      </c>
      <c r="E4" s="418">
        <f>VLOOKUP('Physical Effects'!H8,Lookup!$B$4:$C$14,2,FALSE)</f>
        <v>0</v>
      </c>
      <c r="F4" s="418">
        <f>VLOOKUP('Physical Effects'!J8,Lookup!$B$4:$C$14,2,FALSE)</f>
        <v>0</v>
      </c>
      <c r="G4" s="418">
        <f>VLOOKUP('Physical Effects'!L8,Lookup!$B$4:$C$14,2,FALSE)</f>
        <v>0</v>
      </c>
      <c r="H4" s="418">
        <f>VLOOKUP('Physical Effects'!N8,Lookup!$B$4:$C$14,2,FALSE)</f>
        <v>0</v>
      </c>
      <c r="I4" s="418">
        <f>VLOOKUP('Physical Effects'!P8,Lookup!$B$4:$C$14,2,FALSE)</f>
        <v>0</v>
      </c>
      <c r="J4" s="418">
        <f>VLOOKUP('Physical Effects'!R8,Lookup!$B$4:$C$14,2,FALSE)</f>
        <v>0</v>
      </c>
      <c r="K4" s="418">
        <f>VLOOKUP('Physical Effects'!T8,Lookup!$B$4:$C$14,2,FALSE)</f>
        <v>0</v>
      </c>
      <c r="L4" s="418">
        <f>VLOOKUP('Physical Effects'!V8,Lookup!$B$4:$C$14,2,FALSE)</f>
        <v>0</v>
      </c>
      <c r="M4" s="418">
        <f>VLOOKUP('Physical Effects'!X8,Lookup!$B$4:$C$14,2,FALSE)</f>
        <v>0</v>
      </c>
      <c r="N4" s="418">
        <f>VLOOKUP('Physical Effects'!Z8,Lookup!$B$4:$C$14,2,FALSE)</f>
        <v>0</v>
      </c>
      <c r="O4" s="418">
        <f>VLOOKUP('Physical Effects'!AB8,Lookup!$B$4:$C$14,2,FALSE)</f>
        <v>0</v>
      </c>
      <c r="P4" s="418">
        <f>VLOOKUP('Physical Effects'!AD8,Lookup!$B$4:$C$14,2,FALSE)</f>
        <v>0</v>
      </c>
      <c r="Q4" s="418">
        <f>VLOOKUP('Physical Effects'!AF8,Lookup!$B$4:$C$14,2,FALSE)</f>
        <v>0</v>
      </c>
      <c r="R4" s="418">
        <f>VLOOKUP('Physical Effects'!AH8,Lookup!$B$4:$C$14,2,FALSE)</f>
        <v>0</v>
      </c>
      <c r="S4" s="418">
        <f>VLOOKUP('Physical Effects'!AJ8,Lookup!$B$4:$C$14,2,FALSE)</f>
        <v>5</v>
      </c>
      <c r="T4" s="418">
        <f>VLOOKUP('Physical Effects'!AL8,Lookup!$B$4:$C$14,2,FALSE)</f>
        <v>5</v>
      </c>
      <c r="U4" s="418">
        <f>VLOOKUP('Physical Effects'!AN8,Lookup!$B$4:$C$14,2,FALSE)</f>
        <v>5</v>
      </c>
      <c r="V4" s="418">
        <f>VLOOKUP('Physical Effects'!AP8,Lookup!$B$4:$C$14,2,FALSE)</f>
        <v>5</v>
      </c>
      <c r="W4" s="418">
        <f>VLOOKUP('Physical Effects'!AR8,Lookup!$B$4:$C$14,2,FALSE)</f>
        <v>0</v>
      </c>
      <c r="X4" s="418">
        <f>VLOOKUP('Physical Effects'!AT8,Lookup!$B$4:$C$14,2,FALSE)</f>
        <v>0</v>
      </c>
      <c r="Y4" s="418">
        <f>VLOOKUP('Physical Effects'!AV8,Lookup!$B$4:$C$14,2,FALSE)</f>
        <v>0</v>
      </c>
      <c r="Z4" s="418">
        <f>VLOOKUP('Physical Effects'!AX8,Lookup!$B$4:$C$14,2,FALSE)</f>
        <v>0</v>
      </c>
      <c r="AA4" s="418">
        <f>VLOOKUP('Physical Effects'!AZ8,Lookup!$B$4:$C$14,2,FALSE)</f>
        <v>0</v>
      </c>
      <c r="AB4" s="418">
        <f>VLOOKUP('Physical Effects'!BB8,Lookup!$B$4:$C$14,2,FALSE)</f>
        <v>0</v>
      </c>
      <c r="AC4" s="418">
        <f>VLOOKUP('Physical Effects'!BD8,Lookup!$B$4:$C$14,2,FALSE)</f>
        <v>0</v>
      </c>
      <c r="AD4" s="418">
        <f>VLOOKUP('Physical Effects'!BF8,Lookup!$B$4:$C$14,2,FALSE)</f>
        <v>0</v>
      </c>
      <c r="AE4" s="418">
        <f>VLOOKUP('Physical Effects'!BH8,Lookup!$B$4:$C$14,2,FALSE)</f>
        <v>1</v>
      </c>
      <c r="AF4" s="418">
        <f>VLOOKUP('Physical Effects'!BJ8,Lookup!$B$4:$C$14,2,FALSE)</f>
        <v>1</v>
      </c>
      <c r="AG4" s="418">
        <f>VLOOKUP('Physical Effects'!BL8,Lookup!$B$4:$C$14,2,FALSE)</f>
        <v>0</v>
      </c>
      <c r="AH4" s="418">
        <f>VLOOKUP('Physical Effects'!BN8,Lookup!$B$4:$C$14,2,FALSE)</f>
        <v>0</v>
      </c>
      <c r="AI4" s="418">
        <f>VLOOKUP('Physical Effects'!BP8,Lookup!$B$4:$C$14,2,FALSE)</f>
        <v>0</v>
      </c>
      <c r="AJ4" s="418">
        <f>VLOOKUP('Physical Effects'!BR8,Lookup!$B$4:$C$14,2,FALSE)</f>
        <v>0</v>
      </c>
      <c r="AK4" s="418">
        <f>VLOOKUP('Physical Effects'!BT8,Lookup!$B$4:$C$14,2,FALSE)</f>
        <v>0</v>
      </c>
      <c r="AL4" s="418">
        <f>VLOOKUP('Physical Effects'!BV8,Lookup!$B$4:$C$14,2,FALSE)</f>
        <v>0</v>
      </c>
      <c r="AM4" s="418">
        <f>VLOOKUP('Physical Effects'!BX8,Lookup!$B$4:$C$14,2,FALSE)</f>
        <v>0</v>
      </c>
      <c r="AN4" s="418">
        <f>VLOOKUP('Physical Effects'!BZ8,Lookup!$B$4:$C$14,2,FALSE)</f>
        <v>0</v>
      </c>
      <c r="AO4" s="418">
        <f>VLOOKUP('Physical Effects'!CB8,Lookup!$B$4:$C$14,2,FALSE)</f>
        <v>0</v>
      </c>
      <c r="AP4" s="418">
        <f>VLOOKUP('Physical Effects'!CD8,Lookup!$B$4:$C$14,2,FALSE)</f>
        <v>0</v>
      </c>
      <c r="AQ4" s="418">
        <f>VLOOKUP('Physical Effects'!CF8,Lookup!$B$4:$C$14,2,FALSE)</f>
        <v>0</v>
      </c>
      <c r="AR4" s="418">
        <f>VLOOKUP('Physical Effects'!CH8,Lookup!$B$4:$C$14,2,FALSE)</f>
        <v>0</v>
      </c>
      <c r="AS4" s="418">
        <f>VLOOKUP('Physical Effects'!CJ8,Lookup!$B$4:$C$14,2,FALSE)</f>
        <v>0</v>
      </c>
      <c r="AT4" s="418">
        <f>VLOOKUP('Physical Effects'!CL8,Lookup!$B$4:$C$14,2,FALSE)</f>
        <v>0</v>
      </c>
      <c r="AU4" s="418">
        <f>VLOOKUP('Physical Effects'!CN8,Lookup!$B$4:$C$14,2,FALSE)</f>
        <v>0</v>
      </c>
      <c r="AV4" s="28"/>
      <c r="AW4" s="23"/>
      <c r="AX4" s="23"/>
      <c r="AY4" s="23"/>
      <c r="AZ4" s="23"/>
      <c r="BA4" s="23"/>
      <c r="BB4" s="23"/>
      <c r="BC4" s="23"/>
      <c r="BD4" s="23"/>
      <c r="BE4" s="23"/>
      <c r="BF4" s="23"/>
    </row>
    <row r="5" spans="1:58" s="5" customFormat="1" ht="13.5" thickBot="1" x14ac:dyDescent="0.25">
      <c r="A5" s="123">
        <f t="shared" si="0"/>
        <v>4</v>
      </c>
      <c r="B5" s="19" t="str">
        <f>+'Physical Effects'!B9</f>
        <v>Air Filtration and Scrubbing</v>
      </c>
      <c r="C5" s="32">
        <f>+'Physical Effects'!D9</f>
        <v>371</v>
      </c>
      <c r="D5" s="418">
        <f>VLOOKUP('Physical Effects'!F9,Lookup!$B$4:$C$14,2,FALSE)</f>
        <v>0</v>
      </c>
      <c r="E5" s="418">
        <f>VLOOKUP('Physical Effects'!H9,Lookup!$B$4:$C$14,2,FALSE)</f>
        <v>0</v>
      </c>
      <c r="F5" s="418">
        <f>VLOOKUP('Physical Effects'!J9,Lookup!$B$4:$C$14,2,FALSE)</f>
        <v>0</v>
      </c>
      <c r="G5" s="418">
        <f>VLOOKUP('Physical Effects'!L9,Lookup!$B$4:$C$14,2,FALSE)</f>
        <v>0</v>
      </c>
      <c r="H5" s="418">
        <f>VLOOKUP('Physical Effects'!N9,Lookup!$B$4:$C$14,2,FALSE)</f>
        <v>0</v>
      </c>
      <c r="I5" s="418">
        <f>VLOOKUP('Physical Effects'!P9,Lookup!$B$4:$C$14,2,FALSE)</f>
        <v>0</v>
      </c>
      <c r="J5" s="418">
        <f>VLOOKUP('Physical Effects'!R9,Lookup!$B$4:$C$14,2,FALSE)</f>
        <v>0</v>
      </c>
      <c r="K5" s="418">
        <f>VLOOKUP('Physical Effects'!T9,Lookup!$B$4:$C$14,2,FALSE)</f>
        <v>0</v>
      </c>
      <c r="L5" s="418">
        <f>VLOOKUP('Physical Effects'!V9,Lookup!$B$4:$C$14,2,FALSE)</f>
        <v>0</v>
      </c>
      <c r="M5" s="418">
        <f>VLOOKUP('Physical Effects'!X9,Lookup!$B$4:$C$14,2,FALSE)</f>
        <v>0</v>
      </c>
      <c r="N5" s="418">
        <f>VLOOKUP('Physical Effects'!Z9,Lookup!$B$4:$C$14,2,FALSE)</f>
        <v>0</v>
      </c>
      <c r="O5" s="418">
        <f>VLOOKUP('Physical Effects'!AB9,Lookup!$B$4:$C$14,2,FALSE)</f>
        <v>0</v>
      </c>
      <c r="P5" s="418">
        <f>VLOOKUP('Physical Effects'!AD9,Lookup!$B$4:$C$14,2,FALSE)</f>
        <v>0</v>
      </c>
      <c r="Q5" s="418">
        <f>VLOOKUP('Physical Effects'!AF9,Lookup!$B$4:$C$14,2,FALSE)</f>
        <v>0</v>
      </c>
      <c r="R5" s="418">
        <f>VLOOKUP('Physical Effects'!AH9,Lookup!$B$4:$C$14,2,FALSE)</f>
        <v>0</v>
      </c>
      <c r="S5" s="418">
        <f>VLOOKUP('Physical Effects'!AJ9,Lookup!$B$4:$C$14,2,FALSE)</f>
        <v>0</v>
      </c>
      <c r="T5" s="418">
        <f>VLOOKUP('Physical Effects'!AL9,Lookup!$B$4:$C$14,2,FALSE)</f>
        <v>0</v>
      </c>
      <c r="U5" s="418">
        <f>VLOOKUP('Physical Effects'!AN9,Lookup!$B$4:$C$14,2,FALSE)</f>
        <v>0</v>
      </c>
      <c r="V5" s="418">
        <f>VLOOKUP('Physical Effects'!AP9,Lookup!$B$4:$C$14,2,FALSE)</f>
        <v>0</v>
      </c>
      <c r="W5" s="418">
        <f>VLOOKUP('Physical Effects'!AR9,Lookup!$B$4:$C$14,2,FALSE)</f>
        <v>0</v>
      </c>
      <c r="X5" s="418">
        <f>VLOOKUP('Physical Effects'!AT9,Lookup!$B$4:$C$14,2,FALSE)</f>
        <v>0</v>
      </c>
      <c r="Y5" s="418">
        <f>VLOOKUP('Physical Effects'!AV9,Lookup!$B$4:$C$14,2,FALSE)</f>
        <v>0</v>
      </c>
      <c r="Z5" s="418">
        <f>VLOOKUP('Physical Effects'!AX9,Lookup!$B$4:$C$14,2,FALSE)</f>
        <v>0</v>
      </c>
      <c r="AA5" s="418">
        <f>VLOOKUP('Physical Effects'!AZ9,Lookup!$B$4:$C$14,2,FALSE)</f>
        <v>0</v>
      </c>
      <c r="AB5" s="418">
        <f>VLOOKUP('Physical Effects'!BB9,Lookup!$B$4:$C$14,2,FALSE)</f>
        <v>0</v>
      </c>
      <c r="AC5" s="418">
        <f>VLOOKUP('Physical Effects'!BD9,Lookup!$B$4:$C$14,2,FALSE)</f>
        <v>0</v>
      </c>
      <c r="AD5" s="418">
        <f>VLOOKUP('Physical Effects'!BF9,Lookup!$B$4:$C$14,2,FALSE)</f>
        <v>0</v>
      </c>
      <c r="AE5" s="418">
        <f>VLOOKUP('Physical Effects'!BH9,Lookup!$B$4:$C$14,2,FALSE)</f>
        <v>4</v>
      </c>
      <c r="AF5" s="418">
        <f>VLOOKUP('Physical Effects'!BJ9,Lookup!$B$4:$C$14,2,FALSE)</f>
        <v>2</v>
      </c>
      <c r="AG5" s="418">
        <f>VLOOKUP('Physical Effects'!BL9,Lookup!$B$4:$C$14,2,FALSE)</f>
        <v>2</v>
      </c>
      <c r="AH5" s="418">
        <f>VLOOKUP('Physical Effects'!BN9,Lookup!$B$4:$C$14,2,FALSE)</f>
        <v>4</v>
      </c>
      <c r="AI5" s="418">
        <f>VLOOKUP('Physical Effects'!BP9,Lookup!$B$4:$C$14,2,FALSE)</f>
        <v>0</v>
      </c>
      <c r="AJ5" s="418">
        <f>VLOOKUP('Physical Effects'!BR9,Lookup!$B$4:$C$14,2,FALSE)</f>
        <v>0</v>
      </c>
      <c r="AK5" s="418">
        <f>VLOOKUP('Physical Effects'!BT9,Lookup!$B$4:$C$14,2,FALSE)</f>
        <v>0</v>
      </c>
      <c r="AL5" s="418">
        <f>VLOOKUP('Physical Effects'!BV9,Lookup!$B$4:$C$14,2,FALSE)</f>
        <v>0</v>
      </c>
      <c r="AM5" s="418">
        <f>VLOOKUP('Physical Effects'!BX9,Lookup!$B$4:$C$14,2,FALSE)</f>
        <v>0</v>
      </c>
      <c r="AN5" s="418">
        <f>VLOOKUP('Physical Effects'!BZ9,Lookup!$B$4:$C$14,2,FALSE)</f>
        <v>0</v>
      </c>
      <c r="AO5" s="418">
        <f>VLOOKUP('Physical Effects'!CB9,Lookup!$B$4:$C$14,2,FALSE)</f>
        <v>0</v>
      </c>
      <c r="AP5" s="418">
        <f>VLOOKUP('Physical Effects'!CD9,Lookup!$B$4:$C$14,2,FALSE)</f>
        <v>0</v>
      </c>
      <c r="AQ5" s="418">
        <f>VLOOKUP('Physical Effects'!CF9,Lookup!$B$4:$C$14,2,FALSE)</f>
        <v>0</v>
      </c>
      <c r="AR5" s="418">
        <f>VLOOKUP('Physical Effects'!CH9,Lookup!$B$4:$C$14,2,FALSE)</f>
        <v>0</v>
      </c>
      <c r="AS5" s="418">
        <f>VLOOKUP('Physical Effects'!CJ9,Lookup!$B$4:$C$14,2,FALSE)</f>
        <v>0</v>
      </c>
      <c r="AT5" s="418">
        <f>VLOOKUP('Physical Effects'!CL9,Lookup!$B$4:$C$14,2,FALSE)</f>
        <v>-1</v>
      </c>
      <c r="AU5" s="418">
        <f>VLOOKUP('Physical Effects'!CN9,Lookup!$B$4:$C$14,2,FALSE)</f>
        <v>0</v>
      </c>
      <c r="AV5" s="28"/>
      <c r="AW5" s="23"/>
      <c r="AX5" s="23"/>
      <c r="AY5" s="23"/>
      <c r="AZ5" s="23"/>
      <c r="BA5" s="23"/>
      <c r="BB5" s="23"/>
      <c r="BC5" s="23"/>
      <c r="BD5" s="23"/>
      <c r="BE5" s="23"/>
      <c r="BF5" s="23"/>
    </row>
    <row r="6" spans="1:58" s="5" customFormat="1" ht="13.5" thickBot="1" x14ac:dyDescent="0.25">
      <c r="A6" s="123">
        <f t="shared" si="0"/>
        <v>5</v>
      </c>
      <c r="B6" s="19" t="str">
        <f>+'Physical Effects'!B10</f>
        <v>Alley Cropping</v>
      </c>
      <c r="C6" s="32">
        <f>+'Physical Effects'!D10</f>
        <v>311</v>
      </c>
      <c r="D6" s="418">
        <f>VLOOKUP('Physical Effects'!F10,Lookup!$B$4:$C$14,2,FALSE)</f>
        <v>5</v>
      </c>
      <c r="E6" s="418">
        <f>VLOOKUP('Physical Effects'!H10,Lookup!$B$4:$C$14,2,FALSE)</f>
        <v>5</v>
      </c>
      <c r="F6" s="418">
        <f>VLOOKUP('Physical Effects'!J10,Lookup!$B$4:$C$14,2,FALSE)</f>
        <v>5</v>
      </c>
      <c r="G6" s="418">
        <f>VLOOKUP('Physical Effects'!L10,Lookup!$B$4:$C$14,2,FALSE)</f>
        <v>3</v>
      </c>
      <c r="H6" s="418">
        <f>VLOOKUP('Physical Effects'!N10,Lookup!$B$4:$C$14,2,FALSE)</f>
        <v>0</v>
      </c>
      <c r="I6" s="418">
        <f>VLOOKUP('Physical Effects'!P10,Lookup!$B$4:$C$14,2,FALSE)</f>
        <v>5</v>
      </c>
      <c r="J6" s="418">
        <f>VLOOKUP('Physical Effects'!R10,Lookup!$B$4:$C$14,2,FALSE)</f>
        <v>2</v>
      </c>
      <c r="K6" s="418">
        <f>VLOOKUP('Physical Effects'!T10,Lookup!$B$4:$C$14,2,FALSE)</f>
        <v>0</v>
      </c>
      <c r="L6" s="418">
        <f>VLOOKUP('Physical Effects'!V10,Lookup!$B$4:$C$14,2,FALSE)</f>
        <v>1</v>
      </c>
      <c r="M6" s="418">
        <f>VLOOKUP('Physical Effects'!X10,Lookup!$B$4:$C$14,2,FALSE)</f>
        <v>1</v>
      </c>
      <c r="N6" s="418">
        <f>VLOOKUP('Physical Effects'!Z10,Lookup!$B$4:$C$14,2,FALSE)</f>
        <v>1</v>
      </c>
      <c r="O6" s="418">
        <f>VLOOKUP('Physical Effects'!AB10,Lookup!$B$4:$C$14,2,FALSE)</f>
        <v>2</v>
      </c>
      <c r="P6" s="418">
        <f>VLOOKUP('Physical Effects'!AD10,Lookup!$B$4:$C$14,2,FALSE)</f>
        <v>3</v>
      </c>
      <c r="Q6" s="418">
        <f>VLOOKUP('Physical Effects'!AF10,Lookup!$B$4:$C$14,2,FALSE)</f>
        <v>3</v>
      </c>
      <c r="R6" s="418">
        <f>VLOOKUP('Physical Effects'!AH10,Lookup!$B$4:$C$14,2,FALSE)</f>
        <v>0</v>
      </c>
      <c r="S6" s="418">
        <f>VLOOKUP('Physical Effects'!AJ10,Lookup!$B$4:$C$14,2,FALSE)</f>
        <v>3</v>
      </c>
      <c r="T6" s="418">
        <f>VLOOKUP('Physical Effects'!AL10,Lookup!$B$4:$C$14,2,FALSE)</f>
        <v>1</v>
      </c>
      <c r="U6" s="418">
        <f>VLOOKUP('Physical Effects'!AN10,Lookup!$B$4:$C$14,2,FALSE)</f>
        <v>3</v>
      </c>
      <c r="V6" s="418">
        <f>VLOOKUP('Physical Effects'!AP10,Lookup!$B$4:$C$14,2,FALSE)</f>
        <v>1</v>
      </c>
      <c r="W6" s="418">
        <f>VLOOKUP('Physical Effects'!AR10,Lookup!$B$4:$C$14,2,FALSE)</f>
        <v>1</v>
      </c>
      <c r="X6" s="418">
        <f>VLOOKUP('Physical Effects'!AT10,Lookup!$B$4:$C$14,2,FALSE)</f>
        <v>1</v>
      </c>
      <c r="Y6" s="418">
        <f>VLOOKUP('Physical Effects'!AV10,Lookup!$B$4:$C$14,2,FALSE)</f>
        <v>3</v>
      </c>
      <c r="Z6" s="418">
        <f>VLOOKUP('Physical Effects'!AX10,Lookup!$B$4:$C$14,2,FALSE)</f>
        <v>1</v>
      </c>
      <c r="AA6" s="418">
        <f>VLOOKUP('Physical Effects'!AZ10,Lookup!$B$4:$C$14,2,FALSE)</f>
        <v>3</v>
      </c>
      <c r="AB6" s="418">
        <f>VLOOKUP('Physical Effects'!BB10,Lookup!$B$4:$C$14,2,FALSE)</f>
        <v>0</v>
      </c>
      <c r="AC6" s="418">
        <f>VLOOKUP('Physical Effects'!BD10,Lookup!$B$4:$C$14,2,FALSE)</f>
        <v>1</v>
      </c>
      <c r="AD6" s="418">
        <f>VLOOKUP('Physical Effects'!BF10,Lookup!$B$4:$C$14,2,FALSE)</f>
        <v>1</v>
      </c>
      <c r="AE6" s="418">
        <f>VLOOKUP('Physical Effects'!BH10,Lookup!$B$4:$C$14,2,FALSE)</f>
        <v>2</v>
      </c>
      <c r="AF6" s="418">
        <f>VLOOKUP('Physical Effects'!BJ10,Lookup!$B$4:$C$14,2,FALSE)</f>
        <v>0</v>
      </c>
      <c r="AG6" s="418">
        <f>VLOOKUP('Physical Effects'!BL10,Lookup!$B$4:$C$14,2,FALSE)</f>
        <v>2</v>
      </c>
      <c r="AH6" s="418">
        <f>VLOOKUP('Physical Effects'!BN10,Lookup!$B$4:$C$14,2,FALSE)</f>
        <v>0</v>
      </c>
      <c r="AI6" s="418">
        <f>VLOOKUP('Physical Effects'!BP10,Lookup!$B$4:$C$14,2,FALSE)</f>
        <v>5</v>
      </c>
      <c r="AJ6" s="418">
        <f>VLOOKUP('Physical Effects'!BR10,Lookup!$B$4:$C$14,2,FALSE)</f>
        <v>3</v>
      </c>
      <c r="AK6" s="418">
        <f>VLOOKUP('Physical Effects'!BT10,Lookup!$B$4:$C$14,2,FALSE)</f>
        <v>3</v>
      </c>
      <c r="AL6" s="418">
        <f>VLOOKUP('Physical Effects'!BV10,Lookup!$B$4:$C$14,2,FALSE)</f>
        <v>0</v>
      </c>
      <c r="AM6" s="418">
        <f>VLOOKUP('Physical Effects'!BX10,Lookup!$B$4:$C$14,2,FALSE)</f>
        <v>2</v>
      </c>
      <c r="AN6" s="418">
        <f>VLOOKUP('Physical Effects'!BZ10,Lookup!$B$4:$C$14,2,FALSE)</f>
        <v>2</v>
      </c>
      <c r="AO6" s="418">
        <f>VLOOKUP('Physical Effects'!CB10,Lookup!$B$4:$C$14,2,FALSE)</f>
        <v>0</v>
      </c>
      <c r="AP6" s="418">
        <f>VLOOKUP('Physical Effects'!CD10,Lookup!$B$4:$C$14,2,FALSE)</f>
        <v>3</v>
      </c>
      <c r="AQ6" s="418">
        <f>VLOOKUP('Physical Effects'!CF10,Lookup!$B$4:$C$14,2,FALSE)</f>
        <v>1</v>
      </c>
      <c r="AR6" s="418">
        <f>VLOOKUP('Physical Effects'!CH10,Lookup!$B$4:$C$14,2,FALSE)</f>
        <v>2</v>
      </c>
      <c r="AS6" s="418">
        <f>VLOOKUP('Physical Effects'!CJ10,Lookup!$B$4:$C$14,2,FALSE)</f>
        <v>0</v>
      </c>
      <c r="AT6" s="418">
        <f>VLOOKUP('Physical Effects'!CL10,Lookup!$B$4:$C$14,2,FALSE)</f>
        <v>1</v>
      </c>
      <c r="AU6" s="418">
        <f>VLOOKUP('Physical Effects'!CN10,Lookup!$B$4:$C$14,2,FALSE)</f>
        <v>1</v>
      </c>
      <c r="AV6" s="28"/>
      <c r="AW6" s="23"/>
      <c r="AX6" s="23"/>
      <c r="AY6" s="23"/>
      <c r="AZ6" s="23"/>
      <c r="BA6" s="23"/>
      <c r="BB6" s="23"/>
      <c r="BC6" s="23"/>
      <c r="BD6" s="23"/>
      <c r="BE6" s="23"/>
      <c r="BF6" s="23"/>
    </row>
    <row r="7" spans="1:58" s="5" customFormat="1" ht="13.5" thickBot="1" x14ac:dyDescent="0.25">
      <c r="A7" s="123">
        <f t="shared" si="0"/>
        <v>6</v>
      </c>
      <c r="B7" s="19" t="str">
        <f>+'Physical Effects'!B11</f>
        <v>Amending Soil Properties with Gypsum Products</v>
      </c>
      <c r="C7" s="32">
        <f>+'Physical Effects'!D11</f>
        <v>333</v>
      </c>
      <c r="D7" s="418">
        <f>VLOOKUP('Physical Effects'!F11,Lookup!$B$4:$C$14,2,FALSE)</f>
        <v>1</v>
      </c>
      <c r="E7" s="418">
        <f>VLOOKUP('Physical Effects'!H11,Lookup!$B$4:$C$14,2,FALSE)</f>
        <v>1</v>
      </c>
      <c r="F7" s="418">
        <f>VLOOKUP('Physical Effects'!J11,Lookup!$B$4:$C$14,2,FALSE)</f>
        <v>0</v>
      </c>
      <c r="G7" s="418">
        <f>VLOOKUP('Physical Effects'!L11,Lookup!$B$4:$C$14,2,FALSE)</f>
        <v>0</v>
      </c>
      <c r="H7" s="418">
        <f>VLOOKUP('Physical Effects'!N11,Lookup!$B$4:$C$14,2,FALSE)</f>
        <v>0</v>
      </c>
      <c r="I7" s="418">
        <f>VLOOKUP('Physical Effects'!P11,Lookup!$B$4:$C$14,2,FALSE)</f>
        <v>1</v>
      </c>
      <c r="J7" s="418">
        <f>VLOOKUP('Physical Effects'!R11,Lookup!$B$4:$C$14,2,FALSE)</f>
        <v>0</v>
      </c>
      <c r="K7" s="418">
        <f>VLOOKUP('Physical Effects'!T11,Lookup!$B$4:$C$14,2,FALSE)</f>
        <v>0</v>
      </c>
      <c r="L7" s="418">
        <f>VLOOKUP('Physical Effects'!V11,Lookup!$B$4:$C$14,2,FALSE)</f>
        <v>1</v>
      </c>
      <c r="M7" s="418">
        <f>VLOOKUP('Physical Effects'!X11,Lookup!$B$4:$C$14,2,FALSE)</f>
        <v>0</v>
      </c>
      <c r="N7" s="418">
        <f>VLOOKUP('Physical Effects'!Z11,Lookup!$B$4:$C$14,2,FALSE)</f>
        <v>1</v>
      </c>
      <c r="O7" s="418">
        <f>VLOOKUP('Physical Effects'!AB11,Lookup!$B$4:$C$14,2,FALSE)</f>
        <v>0</v>
      </c>
      <c r="P7" s="418">
        <f>VLOOKUP('Physical Effects'!AD11,Lookup!$B$4:$C$14,2,FALSE)</f>
        <v>0</v>
      </c>
      <c r="Q7" s="418">
        <f>VLOOKUP('Physical Effects'!AF11,Lookup!$B$4:$C$14,2,FALSE)</f>
        <v>1</v>
      </c>
      <c r="R7" s="418">
        <f>VLOOKUP('Physical Effects'!AH11,Lookup!$B$4:$C$14,2,FALSE)</f>
        <v>0</v>
      </c>
      <c r="S7" s="418">
        <f>VLOOKUP('Physical Effects'!AJ11,Lookup!$B$4:$C$14,2,FALSE)</f>
        <v>0</v>
      </c>
      <c r="T7" s="418">
        <f>VLOOKUP('Physical Effects'!AL11,Lookup!$B$4:$C$14,2,FALSE)</f>
        <v>0</v>
      </c>
      <c r="U7" s="418">
        <f>VLOOKUP('Physical Effects'!AN11,Lookup!$B$4:$C$14,2,FALSE)</f>
        <v>0</v>
      </c>
      <c r="V7" s="418">
        <f>VLOOKUP('Physical Effects'!AP11,Lookup!$B$4:$C$14,2,FALSE)</f>
        <v>0</v>
      </c>
      <c r="W7" s="418">
        <f>VLOOKUP('Physical Effects'!AR11,Lookup!$B$4:$C$14,2,FALSE)</f>
        <v>0</v>
      </c>
      <c r="X7" s="418">
        <f>VLOOKUP('Physical Effects'!AT11,Lookup!$B$4:$C$14,2,FALSE)</f>
        <v>0</v>
      </c>
      <c r="Y7" s="418">
        <f>VLOOKUP('Physical Effects'!AV11,Lookup!$B$4:$C$14,2,FALSE)</f>
        <v>0</v>
      </c>
      <c r="Z7" s="418">
        <f>VLOOKUP('Physical Effects'!AX11,Lookup!$B$4:$C$14,2,FALSE)</f>
        <v>0</v>
      </c>
      <c r="AA7" s="418">
        <f>VLOOKUP('Physical Effects'!AZ11,Lookup!$B$4:$C$14,2,FALSE)</f>
        <v>0</v>
      </c>
      <c r="AB7" s="418">
        <f>VLOOKUP('Physical Effects'!BB11,Lookup!$B$4:$C$14,2,FALSE)</f>
        <v>0</v>
      </c>
      <c r="AC7" s="418">
        <f>VLOOKUP('Physical Effects'!BD11,Lookup!$B$4:$C$14,2,FALSE)</f>
        <v>0</v>
      </c>
      <c r="AD7" s="418">
        <f>VLOOKUP('Physical Effects'!BF11,Lookup!$B$4:$C$14,2,FALSE)</f>
        <v>0</v>
      </c>
      <c r="AE7" s="418">
        <f>VLOOKUP('Physical Effects'!BH11,Lookup!$B$4:$C$14,2,FALSE)</f>
        <v>0</v>
      </c>
      <c r="AF7" s="418">
        <f>VLOOKUP('Physical Effects'!BJ11,Lookup!$B$4:$C$14,2,FALSE)</f>
        <v>0</v>
      </c>
      <c r="AG7" s="418">
        <f>VLOOKUP('Physical Effects'!BL11,Lookup!$B$4:$C$14,2,FALSE)</f>
        <v>0</v>
      </c>
      <c r="AH7" s="418">
        <f>VLOOKUP('Physical Effects'!BN11,Lookup!$B$4:$C$14,2,FALSE)</f>
        <v>0</v>
      </c>
      <c r="AI7" s="418">
        <f>VLOOKUP('Physical Effects'!BP11,Lookup!$B$4:$C$14,2,FALSE)</f>
        <v>1</v>
      </c>
      <c r="AJ7" s="418">
        <f>VLOOKUP('Physical Effects'!BR11,Lookup!$B$4:$C$14,2,FALSE)</f>
        <v>0</v>
      </c>
      <c r="AK7" s="418">
        <f>VLOOKUP('Physical Effects'!BT11,Lookup!$B$4:$C$14,2,FALSE)</f>
        <v>0</v>
      </c>
      <c r="AL7" s="418">
        <f>VLOOKUP('Physical Effects'!BV11,Lookup!$B$4:$C$14,2,FALSE)</f>
        <v>0</v>
      </c>
      <c r="AM7" s="418">
        <f>VLOOKUP('Physical Effects'!BX11,Lookup!$B$4:$C$14,2,FALSE)</f>
        <v>0</v>
      </c>
      <c r="AN7" s="418">
        <f>VLOOKUP('Physical Effects'!BZ11,Lookup!$B$4:$C$14,2,FALSE)</f>
        <v>0</v>
      </c>
      <c r="AO7" s="418">
        <f>VLOOKUP('Physical Effects'!CB11,Lookup!$B$4:$C$14,2,FALSE)</f>
        <v>0</v>
      </c>
      <c r="AP7" s="418">
        <f>VLOOKUP('Physical Effects'!CD11,Lookup!$B$4:$C$14,2,FALSE)</f>
        <v>0</v>
      </c>
      <c r="AQ7" s="418">
        <f>VLOOKUP('Physical Effects'!CF11,Lookup!$B$4:$C$14,2,FALSE)</f>
        <v>0</v>
      </c>
      <c r="AR7" s="418">
        <f>VLOOKUP('Physical Effects'!CH11,Lookup!$B$4:$C$14,2,FALSE)</f>
        <v>0</v>
      </c>
      <c r="AS7" s="418">
        <f>VLOOKUP('Physical Effects'!CJ11,Lookup!$B$4:$C$14,2,FALSE)</f>
        <v>0</v>
      </c>
      <c r="AT7" s="418">
        <f>VLOOKUP('Physical Effects'!CL11,Lookup!$B$4:$C$14,2,FALSE)</f>
        <v>0</v>
      </c>
      <c r="AU7" s="418">
        <f>VLOOKUP('Physical Effects'!CN11,Lookup!$B$4:$C$14,2,FALSE)</f>
        <v>0</v>
      </c>
      <c r="AV7" s="28"/>
      <c r="AW7" s="23"/>
      <c r="AX7" s="23"/>
      <c r="AY7" s="23"/>
      <c r="AZ7" s="23"/>
      <c r="BA7" s="23"/>
      <c r="BB7" s="23"/>
      <c r="BC7" s="23"/>
      <c r="BD7" s="23"/>
      <c r="BE7" s="23"/>
      <c r="BF7" s="23"/>
    </row>
    <row r="8" spans="1:58" s="5" customFormat="1" ht="13.5" thickBot="1" x14ac:dyDescent="0.25">
      <c r="A8" s="123">
        <f t="shared" si="0"/>
        <v>7</v>
      </c>
      <c r="B8" s="19" t="str">
        <f>+'Physical Effects'!B12</f>
        <v>Amendments for Treatment of Agricultural Waste</v>
      </c>
      <c r="C8" s="32">
        <f>+'Physical Effects'!D12</f>
        <v>591</v>
      </c>
      <c r="D8" s="418">
        <f>VLOOKUP('Physical Effects'!F12,Lookup!$B$4:$C$14,2,FALSE)</f>
        <v>0</v>
      </c>
      <c r="E8" s="418">
        <f>VLOOKUP('Physical Effects'!H12,Lookup!$B$4:$C$14,2,FALSE)</f>
        <v>0</v>
      </c>
      <c r="F8" s="418">
        <f>VLOOKUP('Physical Effects'!J12,Lookup!$B$4:$C$14,2,FALSE)</f>
        <v>0</v>
      </c>
      <c r="G8" s="418">
        <f>VLOOKUP('Physical Effects'!L12,Lookup!$B$4:$C$14,2,FALSE)</f>
        <v>0</v>
      </c>
      <c r="H8" s="418">
        <f>VLOOKUP('Physical Effects'!N12,Lookup!$B$4:$C$14,2,FALSE)</f>
        <v>0</v>
      </c>
      <c r="I8" s="418">
        <f>VLOOKUP('Physical Effects'!P12,Lookup!$B$4:$C$14,2,FALSE)</f>
        <v>1</v>
      </c>
      <c r="J8" s="418">
        <f>VLOOKUP('Physical Effects'!R12,Lookup!$B$4:$C$14,2,FALSE)</f>
        <v>0</v>
      </c>
      <c r="K8" s="418">
        <f>VLOOKUP('Physical Effects'!T12,Lookup!$B$4:$C$14,2,FALSE)</f>
        <v>0</v>
      </c>
      <c r="L8" s="418">
        <f>VLOOKUP('Physical Effects'!V12,Lookup!$B$4:$C$14,2,FALSE)</f>
        <v>0</v>
      </c>
      <c r="M8" s="418">
        <f>VLOOKUP('Physical Effects'!X12,Lookup!$B$4:$C$14,2,FALSE)</f>
        <v>0</v>
      </c>
      <c r="N8" s="418">
        <f>VLOOKUP('Physical Effects'!Z12,Lookup!$B$4:$C$14,2,FALSE)</f>
        <v>0</v>
      </c>
      <c r="O8" s="418">
        <f>VLOOKUP('Physical Effects'!AB12,Lookup!$B$4:$C$14,2,FALSE)</f>
        <v>0</v>
      </c>
      <c r="P8" s="418">
        <f>VLOOKUP('Physical Effects'!AD12,Lookup!$B$4:$C$14,2,FALSE)</f>
        <v>0</v>
      </c>
      <c r="Q8" s="418">
        <f>VLOOKUP('Physical Effects'!AF12,Lookup!$B$4:$C$14,2,FALSE)</f>
        <v>1</v>
      </c>
      <c r="R8" s="418">
        <f>VLOOKUP('Physical Effects'!AH12,Lookup!$B$4:$C$14,2,FALSE)</f>
        <v>0</v>
      </c>
      <c r="S8" s="418">
        <f>VLOOKUP('Physical Effects'!AJ12,Lookup!$B$4:$C$14,2,FALSE)</f>
        <v>0</v>
      </c>
      <c r="T8" s="418">
        <f>VLOOKUP('Physical Effects'!AL12,Lookup!$B$4:$C$14,2,FALSE)</f>
        <v>0</v>
      </c>
      <c r="U8" s="418">
        <f>VLOOKUP('Physical Effects'!AN12,Lookup!$B$4:$C$14,2,FALSE)</f>
        <v>2</v>
      </c>
      <c r="V8" s="418">
        <f>VLOOKUP('Physical Effects'!AP12,Lookup!$B$4:$C$14,2,FALSE)</f>
        <v>2</v>
      </c>
      <c r="W8" s="418">
        <f>VLOOKUP('Physical Effects'!AR12,Lookup!$B$4:$C$14,2,FALSE)</f>
        <v>2</v>
      </c>
      <c r="X8" s="418">
        <f>VLOOKUP('Physical Effects'!AT12,Lookup!$B$4:$C$14,2,FALSE)</f>
        <v>2</v>
      </c>
      <c r="Y8" s="418">
        <f>VLOOKUP('Physical Effects'!AV12,Lookup!$B$4:$C$14,2,FALSE)</f>
        <v>2</v>
      </c>
      <c r="Z8" s="418">
        <f>VLOOKUP('Physical Effects'!AX12,Lookup!$B$4:$C$14,2,FALSE)</f>
        <v>2</v>
      </c>
      <c r="AA8" s="418">
        <f>VLOOKUP('Physical Effects'!AZ12,Lookup!$B$4:$C$14,2,FALSE)</f>
        <v>0</v>
      </c>
      <c r="AB8" s="418">
        <f>VLOOKUP('Physical Effects'!BB12,Lookup!$B$4:$C$14,2,FALSE)</f>
        <v>0</v>
      </c>
      <c r="AC8" s="418">
        <f>VLOOKUP('Physical Effects'!BD12,Lookup!$B$4:$C$14,2,FALSE)</f>
        <v>2</v>
      </c>
      <c r="AD8" s="418">
        <f>VLOOKUP('Physical Effects'!BF12,Lookup!$B$4:$C$14,2,FALSE)</f>
        <v>2</v>
      </c>
      <c r="AE8" s="418">
        <f>VLOOKUP('Physical Effects'!BH12,Lookup!$B$4:$C$14,2,FALSE)</f>
        <v>3</v>
      </c>
      <c r="AF8" s="418">
        <f>VLOOKUP('Physical Effects'!BJ12,Lookup!$B$4:$C$14,2,FALSE)</f>
        <v>1</v>
      </c>
      <c r="AG8" s="418">
        <f>VLOOKUP('Physical Effects'!BL12,Lookup!$B$4:$C$14,2,FALSE)</f>
        <v>1</v>
      </c>
      <c r="AH8" s="418">
        <f>VLOOKUP('Physical Effects'!BN12,Lookup!$B$4:$C$14,2,FALSE)</f>
        <v>4</v>
      </c>
      <c r="AI8" s="418">
        <f>VLOOKUP('Physical Effects'!BP12,Lookup!$B$4:$C$14,2,FALSE)</f>
        <v>1</v>
      </c>
      <c r="AJ8" s="418">
        <f>VLOOKUP('Physical Effects'!BR12,Lookup!$B$4:$C$14,2,FALSE)</f>
        <v>0</v>
      </c>
      <c r="AK8" s="418">
        <f>VLOOKUP('Physical Effects'!BT12,Lookup!$B$4:$C$14,2,FALSE)</f>
        <v>0</v>
      </c>
      <c r="AL8" s="418">
        <f>VLOOKUP('Physical Effects'!BV12,Lookup!$B$4:$C$14,2,FALSE)</f>
        <v>0</v>
      </c>
      <c r="AM8" s="418">
        <f>VLOOKUP('Physical Effects'!BX12,Lookup!$B$4:$C$14,2,FALSE)</f>
        <v>0</v>
      </c>
      <c r="AN8" s="418">
        <f>VLOOKUP('Physical Effects'!BZ12,Lookup!$B$4:$C$14,2,FALSE)</f>
        <v>0</v>
      </c>
      <c r="AO8" s="418">
        <f>VLOOKUP('Physical Effects'!CB12,Lookup!$B$4:$C$14,2,FALSE)</f>
        <v>0</v>
      </c>
      <c r="AP8" s="418">
        <f>VLOOKUP('Physical Effects'!CD12,Lookup!$B$4:$C$14,2,FALSE)</f>
        <v>0</v>
      </c>
      <c r="AQ8" s="418">
        <f>VLOOKUP('Physical Effects'!CF12,Lookup!$B$4:$C$14,2,FALSE)</f>
        <v>0</v>
      </c>
      <c r="AR8" s="418">
        <f>VLOOKUP('Physical Effects'!CH12,Lookup!$B$4:$C$14,2,FALSE)</f>
        <v>0</v>
      </c>
      <c r="AS8" s="418">
        <f>VLOOKUP('Physical Effects'!CJ12,Lookup!$B$4:$C$14,2,FALSE)</f>
        <v>1</v>
      </c>
      <c r="AT8" s="418">
        <f>VLOOKUP('Physical Effects'!CL12,Lookup!$B$4:$C$14,2,FALSE)</f>
        <v>0</v>
      </c>
      <c r="AU8" s="418">
        <f>VLOOKUP('Physical Effects'!CN12,Lookup!$B$4:$C$14,2,FALSE)</f>
        <v>0</v>
      </c>
      <c r="AV8" s="28"/>
      <c r="AW8" s="23"/>
      <c r="AX8" s="23"/>
      <c r="AY8" s="23"/>
      <c r="AZ8" s="23"/>
      <c r="BA8" s="23"/>
      <c r="BB8" s="23"/>
      <c r="BC8" s="23"/>
      <c r="BD8" s="23"/>
      <c r="BE8" s="23"/>
      <c r="BF8" s="23"/>
    </row>
    <row r="9" spans="1:58" s="5" customFormat="1" ht="13.5" thickBot="1" x14ac:dyDescent="0.25">
      <c r="A9" s="123">
        <f t="shared" si="0"/>
        <v>8</v>
      </c>
      <c r="B9" s="19" t="str">
        <f>+'Physical Effects'!B13</f>
        <v>Anaerobic Digester</v>
      </c>
      <c r="C9" s="32">
        <f>+'Physical Effects'!D13</f>
        <v>366</v>
      </c>
      <c r="D9" s="418">
        <f>VLOOKUP('Physical Effects'!F13,Lookup!$B$4:$C$14,2,FALSE)</f>
        <v>0</v>
      </c>
      <c r="E9" s="418">
        <f>VLOOKUP('Physical Effects'!H13,Lookup!$B$4:$C$14,2,FALSE)</f>
        <v>0</v>
      </c>
      <c r="F9" s="418">
        <f>VLOOKUP('Physical Effects'!J13,Lookup!$B$4:$C$14,2,FALSE)</f>
        <v>0</v>
      </c>
      <c r="G9" s="418">
        <f>VLOOKUP('Physical Effects'!L13,Lookup!$B$4:$C$14,2,FALSE)</f>
        <v>0</v>
      </c>
      <c r="H9" s="418">
        <f>VLOOKUP('Physical Effects'!N13,Lookup!$B$4:$C$14,2,FALSE)</f>
        <v>0</v>
      </c>
      <c r="I9" s="418">
        <f>VLOOKUP('Physical Effects'!P13,Lookup!$B$4:$C$14,2,FALSE)</f>
        <v>0</v>
      </c>
      <c r="J9" s="418">
        <f>VLOOKUP('Physical Effects'!R13,Lookup!$B$4:$C$14,2,FALSE)</f>
        <v>0</v>
      </c>
      <c r="K9" s="418">
        <f>VLOOKUP('Physical Effects'!T13,Lookup!$B$4:$C$14,2,FALSE)</f>
        <v>0</v>
      </c>
      <c r="L9" s="418">
        <f>VLOOKUP('Physical Effects'!V13,Lookup!$B$4:$C$14,2,FALSE)</f>
        <v>0</v>
      </c>
      <c r="M9" s="418">
        <f>VLOOKUP('Physical Effects'!X13,Lookup!$B$4:$C$14,2,FALSE)</f>
        <v>0</v>
      </c>
      <c r="N9" s="418">
        <f>VLOOKUP('Physical Effects'!Z13,Lookup!$B$4:$C$14,2,FALSE)</f>
        <v>0</v>
      </c>
      <c r="O9" s="418">
        <f>VLOOKUP('Physical Effects'!AB13,Lookup!$B$4:$C$14,2,FALSE)</f>
        <v>0</v>
      </c>
      <c r="P9" s="418">
        <f>VLOOKUP('Physical Effects'!AD13,Lookup!$B$4:$C$14,2,FALSE)</f>
        <v>0</v>
      </c>
      <c r="Q9" s="418">
        <f>VLOOKUP('Physical Effects'!AF13,Lookup!$B$4:$C$14,2,FALSE)</f>
        <v>0</v>
      </c>
      <c r="R9" s="418">
        <f>VLOOKUP('Physical Effects'!AH13,Lookup!$B$4:$C$14,2,FALSE)</f>
        <v>0</v>
      </c>
      <c r="S9" s="418">
        <f>VLOOKUP('Physical Effects'!AJ13,Lookup!$B$4:$C$14,2,FALSE)</f>
        <v>0</v>
      </c>
      <c r="T9" s="418">
        <f>VLOOKUP('Physical Effects'!AL13,Lookup!$B$4:$C$14,2,FALSE)</f>
        <v>0</v>
      </c>
      <c r="U9" s="418">
        <f>VLOOKUP('Physical Effects'!AN13,Lookup!$B$4:$C$14,2,FALSE)</f>
        <v>2</v>
      </c>
      <c r="V9" s="418">
        <f>VLOOKUP('Physical Effects'!AP13,Lookup!$B$4:$C$14,2,FALSE)</f>
        <v>0</v>
      </c>
      <c r="W9" s="418">
        <f>VLOOKUP('Physical Effects'!AR13,Lookup!$B$4:$C$14,2,FALSE)</f>
        <v>0</v>
      </c>
      <c r="X9" s="418">
        <f>VLOOKUP('Physical Effects'!AT13,Lookup!$B$4:$C$14,2,FALSE)</f>
        <v>0</v>
      </c>
      <c r="Y9" s="418">
        <f>VLOOKUP('Physical Effects'!AV13,Lookup!$B$4:$C$14,2,FALSE)</f>
        <v>2</v>
      </c>
      <c r="Z9" s="418">
        <f>VLOOKUP('Physical Effects'!AX13,Lookup!$B$4:$C$14,2,FALSE)</f>
        <v>0</v>
      </c>
      <c r="AA9" s="418">
        <f>VLOOKUP('Physical Effects'!AZ13,Lookup!$B$4:$C$14,2,FALSE)</f>
        <v>0</v>
      </c>
      <c r="AB9" s="418">
        <f>VLOOKUP('Physical Effects'!BB13,Lookup!$B$4:$C$14,2,FALSE)</f>
        <v>0</v>
      </c>
      <c r="AC9" s="418">
        <f>VLOOKUP('Physical Effects'!BD13,Lookup!$B$4:$C$14,2,FALSE)</f>
        <v>0</v>
      </c>
      <c r="AD9" s="418">
        <f>VLOOKUP('Physical Effects'!BF13,Lookup!$B$4:$C$14,2,FALSE)</f>
        <v>0</v>
      </c>
      <c r="AE9" s="418">
        <f>VLOOKUP('Physical Effects'!BH13,Lookup!$B$4:$C$14,2,FALSE)</f>
        <v>0</v>
      </c>
      <c r="AF9" s="418">
        <f>VLOOKUP('Physical Effects'!BJ13,Lookup!$B$4:$C$14,2,FALSE)</f>
        <v>1</v>
      </c>
      <c r="AG9" s="418">
        <f>VLOOKUP('Physical Effects'!BL13,Lookup!$B$4:$C$14,2,FALSE)</f>
        <v>4</v>
      </c>
      <c r="AH9" s="418">
        <f>VLOOKUP('Physical Effects'!BN13,Lookup!$B$4:$C$14,2,FALSE)</f>
        <v>5</v>
      </c>
      <c r="AI9" s="418">
        <f>VLOOKUP('Physical Effects'!BP13,Lookup!$B$4:$C$14,2,FALSE)</f>
        <v>0</v>
      </c>
      <c r="AJ9" s="418">
        <f>VLOOKUP('Physical Effects'!BR13,Lookup!$B$4:$C$14,2,FALSE)</f>
        <v>0</v>
      </c>
      <c r="AK9" s="418">
        <f>VLOOKUP('Physical Effects'!BT13,Lookup!$B$4:$C$14,2,FALSE)</f>
        <v>0</v>
      </c>
      <c r="AL9" s="418">
        <f>VLOOKUP('Physical Effects'!BV13,Lookup!$B$4:$C$14,2,FALSE)</f>
        <v>0</v>
      </c>
      <c r="AM9" s="418">
        <f>VLOOKUP('Physical Effects'!BX13,Lookup!$B$4:$C$14,2,FALSE)</f>
        <v>0</v>
      </c>
      <c r="AN9" s="418">
        <f>VLOOKUP('Physical Effects'!BZ13,Lookup!$B$4:$C$14,2,FALSE)</f>
        <v>0</v>
      </c>
      <c r="AO9" s="418">
        <f>VLOOKUP('Physical Effects'!CB13,Lookup!$B$4:$C$14,2,FALSE)</f>
        <v>0</v>
      </c>
      <c r="AP9" s="418">
        <f>VLOOKUP('Physical Effects'!CD13,Lookup!$B$4:$C$14,2,FALSE)</f>
        <v>0</v>
      </c>
      <c r="AQ9" s="418">
        <f>VLOOKUP('Physical Effects'!CF13,Lookup!$B$4:$C$14,2,FALSE)</f>
        <v>0</v>
      </c>
      <c r="AR9" s="418">
        <f>VLOOKUP('Physical Effects'!CH13,Lookup!$B$4:$C$14,2,FALSE)</f>
        <v>0</v>
      </c>
      <c r="AS9" s="418">
        <f>VLOOKUP('Physical Effects'!CJ13,Lookup!$B$4:$C$14,2,FALSE)</f>
        <v>0</v>
      </c>
      <c r="AT9" s="418">
        <f>VLOOKUP('Physical Effects'!CL13,Lookup!$B$4:$C$14,2,FALSE)</f>
        <v>0</v>
      </c>
      <c r="AU9" s="418">
        <f>VLOOKUP('Physical Effects'!CN13,Lookup!$B$4:$C$14,2,FALSE)</f>
        <v>0</v>
      </c>
      <c r="AV9" s="28"/>
      <c r="AW9" s="23"/>
      <c r="AX9" s="23"/>
      <c r="AY9" s="23"/>
      <c r="AZ9" s="23"/>
      <c r="BA9" s="23"/>
      <c r="BB9" s="23"/>
      <c r="BC9" s="23"/>
      <c r="BD9" s="23"/>
      <c r="BE9" s="23"/>
      <c r="BF9" s="23"/>
    </row>
    <row r="10" spans="1:58" s="18" customFormat="1" ht="13.5" thickBot="1" x14ac:dyDescent="0.25">
      <c r="A10" s="123">
        <f t="shared" si="0"/>
        <v>9</v>
      </c>
      <c r="B10" s="19" t="str">
        <f>+'Physical Effects'!B14</f>
        <v>Animal Mortality Facility</v>
      </c>
      <c r="C10" s="32">
        <f>+'Physical Effects'!D14</f>
        <v>316</v>
      </c>
      <c r="D10" s="418">
        <f>VLOOKUP('Physical Effects'!F14,Lookup!$B$4:$C$14,2,FALSE)</f>
        <v>0</v>
      </c>
      <c r="E10" s="418">
        <f>VLOOKUP('Physical Effects'!H14,Lookup!$B$4:$C$14,2,FALSE)</f>
        <v>0</v>
      </c>
      <c r="F10" s="418">
        <f>VLOOKUP('Physical Effects'!J14,Lookup!$B$4:$C$14,2,FALSE)</f>
        <v>0</v>
      </c>
      <c r="G10" s="418">
        <f>VLOOKUP('Physical Effects'!L14,Lookup!$B$4:$C$14,2,FALSE)</f>
        <v>0</v>
      </c>
      <c r="H10" s="418">
        <f>VLOOKUP('Physical Effects'!N14,Lookup!$B$4:$C$14,2,FALSE)</f>
        <v>0</v>
      </c>
      <c r="I10" s="418">
        <f>VLOOKUP('Physical Effects'!P14,Lookup!$B$4:$C$14,2,FALSE)</f>
        <v>0</v>
      </c>
      <c r="J10" s="418">
        <f>VLOOKUP('Physical Effects'!R14,Lookup!$B$4:$C$14,2,FALSE)</f>
        <v>0</v>
      </c>
      <c r="K10" s="418">
        <f>VLOOKUP('Physical Effects'!T14,Lookup!$B$4:$C$14,2,FALSE)</f>
        <v>0</v>
      </c>
      <c r="L10" s="418">
        <f>VLOOKUP('Physical Effects'!V14,Lookup!$B$4:$C$14,2,FALSE)</f>
        <v>0</v>
      </c>
      <c r="M10" s="418">
        <f>VLOOKUP('Physical Effects'!X14,Lookup!$B$4:$C$14,2,FALSE)</f>
        <v>0</v>
      </c>
      <c r="N10" s="418">
        <f>VLOOKUP('Physical Effects'!Z14,Lookup!$B$4:$C$14,2,FALSE)</f>
        <v>0</v>
      </c>
      <c r="O10" s="418">
        <f>VLOOKUP('Physical Effects'!AB14,Lookup!$B$4:$C$14,2,FALSE)</f>
        <v>0</v>
      </c>
      <c r="P10" s="418">
        <f>VLOOKUP('Physical Effects'!AD14,Lookup!$B$4:$C$14,2,FALSE)</f>
        <v>0</v>
      </c>
      <c r="Q10" s="418">
        <f>VLOOKUP('Physical Effects'!AF14,Lookup!$B$4:$C$14,2,FALSE)</f>
        <v>0</v>
      </c>
      <c r="R10" s="418">
        <f>VLOOKUP('Physical Effects'!AH14,Lookup!$B$4:$C$14,2,FALSE)</f>
        <v>0</v>
      </c>
      <c r="S10" s="418">
        <f>VLOOKUP('Physical Effects'!AJ14,Lookup!$B$4:$C$14,2,FALSE)</f>
        <v>0</v>
      </c>
      <c r="T10" s="418">
        <f>VLOOKUP('Physical Effects'!AL14,Lookup!$B$4:$C$14,2,FALSE)</f>
        <v>0</v>
      </c>
      <c r="U10" s="418">
        <f>VLOOKUP('Physical Effects'!AN14,Lookup!$B$4:$C$14,2,FALSE)</f>
        <v>2</v>
      </c>
      <c r="V10" s="418">
        <f>VLOOKUP('Physical Effects'!AP14,Lookup!$B$4:$C$14,2,FALSE)</f>
        <v>2</v>
      </c>
      <c r="W10" s="418">
        <f>VLOOKUP('Physical Effects'!AR14,Lookup!$B$4:$C$14,2,FALSE)</f>
        <v>0</v>
      </c>
      <c r="X10" s="418">
        <f>VLOOKUP('Physical Effects'!AT14,Lookup!$B$4:$C$14,2,FALSE)</f>
        <v>0</v>
      </c>
      <c r="Y10" s="418">
        <f>VLOOKUP('Physical Effects'!AV14,Lookup!$B$4:$C$14,2,FALSE)</f>
        <v>2</v>
      </c>
      <c r="Z10" s="418">
        <f>VLOOKUP('Physical Effects'!AX14,Lookup!$B$4:$C$14,2,FALSE)</f>
        <v>2</v>
      </c>
      <c r="AA10" s="418">
        <f>VLOOKUP('Physical Effects'!AZ14,Lookup!$B$4:$C$14,2,FALSE)</f>
        <v>0</v>
      </c>
      <c r="AB10" s="418">
        <f>VLOOKUP('Physical Effects'!BB14,Lookup!$B$4:$C$14,2,FALSE)</f>
        <v>0</v>
      </c>
      <c r="AC10" s="418">
        <f>VLOOKUP('Physical Effects'!BD14,Lookup!$B$4:$C$14,2,FALSE)</f>
        <v>0</v>
      </c>
      <c r="AD10" s="418">
        <f>VLOOKUP('Physical Effects'!BF14,Lookup!$B$4:$C$14,2,FALSE)</f>
        <v>0</v>
      </c>
      <c r="AE10" s="418">
        <f>VLOOKUP('Physical Effects'!BH14,Lookup!$B$4:$C$14,2,FALSE)</f>
        <v>0</v>
      </c>
      <c r="AF10" s="418">
        <f>VLOOKUP('Physical Effects'!BJ14,Lookup!$B$4:$C$14,2,FALSE)</f>
        <v>-1</v>
      </c>
      <c r="AG10" s="418">
        <f>VLOOKUP('Physical Effects'!BL14,Lookup!$B$4:$C$14,2,FALSE)</f>
        <v>1</v>
      </c>
      <c r="AH10" s="418">
        <f>VLOOKUP('Physical Effects'!BN14,Lookup!$B$4:$C$14,2,FALSE)</f>
        <v>3</v>
      </c>
      <c r="AI10" s="418">
        <f>VLOOKUP('Physical Effects'!BP14,Lookup!$B$4:$C$14,2,FALSE)</f>
        <v>0</v>
      </c>
      <c r="AJ10" s="418">
        <f>VLOOKUP('Physical Effects'!BR14,Lookup!$B$4:$C$14,2,FALSE)</f>
        <v>0</v>
      </c>
      <c r="AK10" s="418">
        <f>VLOOKUP('Physical Effects'!BT14,Lookup!$B$4:$C$14,2,FALSE)</f>
        <v>0</v>
      </c>
      <c r="AL10" s="418">
        <f>VLOOKUP('Physical Effects'!BV14,Lookup!$B$4:$C$14,2,FALSE)</f>
        <v>0</v>
      </c>
      <c r="AM10" s="418">
        <f>VLOOKUP('Physical Effects'!BX14,Lookup!$B$4:$C$14,2,FALSE)</f>
        <v>0</v>
      </c>
      <c r="AN10" s="418">
        <f>VLOOKUP('Physical Effects'!BZ14,Lookup!$B$4:$C$14,2,FALSE)</f>
        <v>0</v>
      </c>
      <c r="AO10" s="418">
        <f>VLOOKUP('Physical Effects'!CB14,Lookup!$B$4:$C$14,2,FALSE)</f>
        <v>0</v>
      </c>
      <c r="AP10" s="418">
        <f>VLOOKUP('Physical Effects'!CD14,Lookup!$B$4:$C$14,2,FALSE)</f>
        <v>0</v>
      </c>
      <c r="AQ10" s="418">
        <f>VLOOKUP('Physical Effects'!CF14,Lookup!$B$4:$C$14,2,FALSE)</f>
        <v>0</v>
      </c>
      <c r="AR10" s="418">
        <f>VLOOKUP('Physical Effects'!CH14,Lookup!$B$4:$C$14,2,FALSE)</f>
        <v>0</v>
      </c>
      <c r="AS10" s="418">
        <f>VLOOKUP('Physical Effects'!CJ14,Lookup!$B$4:$C$14,2,FALSE)</f>
        <v>0</v>
      </c>
      <c r="AT10" s="418">
        <f>VLOOKUP('Physical Effects'!CL14,Lookup!$B$4:$C$14,2,FALSE)</f>
        <v>0</v>
      </c>
      <c r="AU10" s="418">
        <f>VLOOKUP('Physical Effects'!CN14,Lookup!$B$4:$C$14,2,FALSE)</f>
        <v>0</v>
      </c>
      <c r="AV10" s="28"/>
      <c r="AW10" s="28"/>
      <c r="AX10" s="28"/>
      <c r="AY10" s="28"/>
      <c r="AZ10" s="28"/>
      <c r="BA10" s="28"/>
      <c r="BB10" s="28"/>
      <c r="BC10" s="28"/>
      <c r="BD10" s="28"/>
      <c r="BE10" s="28"/>
      <c r="BF10" s="28"/>
    </row>
    <row r="11" spans="1:58" s="5" customFormat="1" ht="13.5" thickBot="1" x14ac:dyDescent="0.25">
      <c r="A11" s="123">
        <f t="shared" si="0"/>
        <v>10</v>
      </c>
      <c r="B11" s="19" t="str">
        <f>+'Physical Effects'!B15</f>
        <v>Anionic Polyacrylamide (PAM) Erosion Control</v>
      </c>
      <c r="C11" s="32">
        <f>+'Physical Effects'!D15</f>
        <v>450</v>
      </c>
      <c r="D11" s="418">
        <f>VLOOKUP('Physical Effects'!F15,Lookup!$B$4:$C$14,2,FALSE)</f>
        <v>2</v>
      </c>
      <c r="E11" s="418">
        <f>VLOOKUP('Physical Effects'!H15,Lookup!$B$4:$C$14,2,FALSE)</f>
        <v>2</v>
      </c>
      <c r="F11" s="418">
        <f>VLOOKUP('Physical Effects'!J15,Lookup!$B$4:$C$14,2,FALSE)</f>
        <v>2</v>
      </c>
      <c r="G11" s="418">
        <f>VLOOKUP('Physical Effects'!L15,Lookup!$B$4:$C$14,2,FALSE)</f>
        <v>0</v>
      </c>
      <c r="H11" s="418">
        <f>VLOOKUP('Physical Effects'!N15,Lookup!$B$4:$C$14,2,FALSE)</f>
        <v>0</v>
      </c>
      <c r="I11" s="418">
        <f>VLOOKUP('Physical Effects'!P15,Lookup!$B$4:$C$14,2,FALSE)</f>
        <v>0</v>
      </c>
      <c r="J11" s="418">
        <f>VLOOKUP('Physical Effects'!R15,Lookup!$B$4:$C$14,2,FALSE)</f>
        <v>2</v>
      </c>
      <c r="K11" s="418">
        <f>VLOOKUP('Physical Effects'!T15,Lookup!$B$4:$C$14,2,FALSE)</f>
        <v>0</v>
      </c>
      <c r="L11" s="418">
        <f>VLOOKUP('Physical Effects'!V15,Lookup!$B$4:$C$14,2,FALSE)</f>
        <v>0</v>
      </c>
      <c r="M11" s="418">
        <f>VLOOKUP('Physical Effects'!X15,Lookup!$B$4:$C$14,2,FALSE)</f>
        <v>0</v>
      </c>
      <c r="N11" s="418">
        <f>VLOOKUP('Physical Effects'!Z15,Lookup!$B$4:$C$14,2,FALSE)</f>
        <v>0</v>
      </c>
      <c r="O11" s="418">
        <f>VLOOKUP('Physical Effects'!AB15,Lookup!$B$4:$C$14,2,FALSE)</f>
        <v>0</v>
      </c>
      <c r="P11" s="418">
        <f>VLOOKUP('Physical Effects'!AD15,Lookup!$B$4:$C$14,2,FALSE)</f>
        <v>0</v>
      </c>
      <c r="Q11" s="418">
        <f>VLOOKUP('Physical Effects'!AF15,Lookup!$B$4:$C$14,2,FALSE)</f>
        <v>1</v>
      </c>
      <c r="R11" s="418">
        <f>VLOOKUP('Physical Effects'!AH15,Lookup!$B$4:$C$14,2,FALSE)</f>
        <v>1</v>
      </c>
      <c r="S11" s="418">
        <f>VLOOKUP('Physical Effects'!AJ15,Lookup!$B$4:$C$14,2,FALSE)</f>
        <v>2</v>
      </c>
      <c r="T11" s="418">
        <f>VLOOKUP('Physical Effects'!AL15,Lookup!$B$4:$C$14,2,FALSE)</f>
        <v>-1</v>
      </c>
      <c r="U11" s="418">
        <f>VLOOKUP('Physical Effects'!AN15,Lookup!$B$4:$C$14,2,FALSE)</f>
        <v>2</v>
      </c>
      <c r="V11" s="418">
        <f>VLOOKUP('Physical Effects'!AP15,Lookup!$B$4:$C$14,2,FALSE)</f>
        <v>-1</v>
      </c>
      <c r="W11" s="418">
        <f>VLOOKUP('Physical Effects'!AR15,Lookup!$B$4:$C$14,2,FALSE)</f>
        <v>0</v>
      </c>
      <c r="X11" s="418">
        <f>VLOOKUP('Physical Effects'!AT15,Lookup!$B$4:$C$14,2,FALSE)</f>
        <v>0</v>
      </c>
      <c r="Y11" s="418">
        <f>VLOOKUP('Physical Effects'!AV15,Lookup!$B$4:$C$14,2,FALSE)</f>
        <v>0</v>
      </c>
      <c r="Z11" s="418">
        <f>VLOOKUP('Physical Effects'!AX15,Lookup!$B$4:$C$14,2,FALSE)</f>
        <v>0</v>
      </c>
      <c r="AA11" s="418">
        <f>VLOOKUP('Physical Effects'!AZ15,Lookup!$B$4:$C$14,2,FALSE)</f>
        <v>4</v>
      </c>
      <c r="AB11" s="418">
        <f>VLOOKUP('Physical Effects'!BB15,Lookup!$B$4:$C$14,2,FALSE)</f>
        <v>0</v>
      </c>
      <c r="AC11" s="418">
        <f>VLOOKUP('Physical Effects'!BD15,Lookup!$B$4:$C$14,2,FALSE)</f>
        <v>1</v>
      </c>
      <c r="AD11" s="418">
        <f>VLOOKUP('Physical Effects'!BF15,Lookup!$B$4:$C$14,2,FALSE)</f>
        <v>0</v>
      </c>
      <c r="AE11" s="418">
        <f>VLOOKUP('Physical Effects'!BH15,Lookup!$B$4:$C$14,2,FALSE)</f>
        <v>2</v>
      </c>
      <c r="AF11" s="418">
        <f>VLOOKUP('Physical Effects'!BJ15,Lookup!$B$4:$C$14,2,FALSE)</f>
        <v>0</v>
      </c>
      <c r="AG11" s="418">
        <f>VLOOKUP('Physical Effects'!BL15,Lookup!$B$4:$C$14,2,FALSE)</f>
        <v>0</v>
      </c>
      <c r="AH11" s="418">
        <f>VLOOKUP('Physical Effects'!BN15,Lookup!$B$4:$C$14,2,FALSE)</f>
        <v>0</v>
      </c>
      <c r="AI11" s="418">
        <f>VLOOKUP('Physical Effects'!BP15,Lookup!$B$4:$C$14,2,FALSE)</f>
        <v>0</v>
      </c>
      <c r="AJ11" s="418">
        <f>VLOOKUP('Physical Effects'!BR15,Lookup!$B$4:$C$14,2,FALSE)</f>
        <v>0</v>
      </c>
      <c r="AK11" s="418">
        <f>VLOOKUP('Physical Effects'!BT15,Lookup!$B$4:$C$14,2,FALSE)</f>
        <v>0</v>
      </c>
      <c r="AL11" s="418">
        <f>VLOOKUP('Physical Effects'!BV15,Lookup!$B$4:$C$14,2,FALSE)</f>
        <v>0</v>
      </c>
      <c r="AM11" s="418">
        <f>VLOOKUP('Physical Effects'!BX15,Lookup!$B$4:$C$14,2,FALSE)</f>
        <v>0</v>
      </c>
      <c r="AN11" s="418">
        <f>VLOOKUP('Physical Effects'!BZ15,Lookup!$B$4:$C$14,2,FALSE)</f>
        <v>0</v>
      </c>
      <c r="AO11" s="418">
        <f>VLOOKUP('Physical Effects'!CB15,Lookup!$B$4:$C$14,2,FALSE)</f>
        <v>0</v>
      </c>
      <c r="AP11" s="418">
        <f>VLOOKUP('Physical Effects'!CD15,Lookup!$B$4:$C$14,2,FALSE)</f>
        <v>0</v>
      </c>
      <c r="AQ11" s="418">
        <f>VLOOKUP('Physical Effects'!CF15,Lookup!$B$4:$C$14,2,FALSE)</f>
        <v>0</v>
      </c>
      <c r="AR11" s="418">
        <f>VLOOKUP('Physical Effects'!CH15,Lookup!$B$4:$C$14,2,FALSE)</f>
        <v>0</v>
      </c>
      <c r="AS11" s="418">
        <f>VLOOKUP('Physical Effects'!CJ15,Lookup!$B$4:$C$14,2,FALSE)</f>
        <v>0</v>
      </c>
      <c r="AT11" s="418">
        <f>VLOOKUP('Physical Effects'!CL15,Lookup!$B$4:$C$14,2,FALSE)</f>
        <v>0</v>
      </c>
      <c r="AU11" s="418">
        <f>VLOOKUP('Physical Effects'!CN15,Lookup!$B$4:$C$14,2,FALSE)</f>
        <v>2</v>
      </c>
      <c r="AV11" s="28"/>
      <c r="AW11" s="23"/>
      <c r="AX11" s="23"/>
      <c r="AY11" s="23"/>
      <c r="AZ11" s="23"/>
      <c r="BA11" s="23"/>
      <c r="BB11" s="23"/>
      <c r="BC11" s="23"/>
      <c r="BD11" s="23"/>
      <c r="BE11" s="23"/>
      <c r="BF11" s="23"/>
    </row>
    <row r="12" spans="1:58" s="17" customFormat="1" ht="13.5" thickBot="1" x14ac:dyDescent="0.25">
      <c r="A12" s="123">
        <f t="shared" si="0"/>
        <v>11</v>
      </c>
      <c r="B12" s="19" t="str">
        <f>+'Physical Effects'!B16</f>
        <v>Aquaculture Ponds</v>
      </c>
      <c r="C12" s="32">
        <f>+'Physical Effects'!D16</f>
        <v>397</v>
      </c>
      <c r="D12" s="418">
        <f>VLOOKUP('Physical Effects'!F16,Lookup!$B$4:$C$14,2,FALSE)</f>
        <v>0</v>
      </c>
      <c r="E12" s="418">
        <f>VLOOKUP('Physical Effects'!H16,Lookup!$B$4:$C$14,2,FALSE)</f>
        <v>0</v>
      </c>
      <c r="F12" s="418">
        <f>VLOOKUP('Physical Effects'!J16,Lookup!$B$4:$C$14,2,FALSE)</f>
        <v>0</v>
      </c>
      <c r="G12" s="418">
        <f>VLOOKUP('Physical Effects'!L16,Lookup!$B$4:$C$14,2,FALSE)</f>
        <v>0</v>
      </c>
      <c r="H12" s="418">
        <f>VLOOKUP('Physical Effects'!N16,Lookup!$B$4:$C$14,2,FALSE)</f>
        <v>0</v>
      </c>
      <c r="I12" s="418">
        <f>VLOOKUP('Physical Effects'!P16,Lookup!$B$4:$C$14,2,FALSE)</f>
        <v>0</v>
      </c>
      <c r="J12" s="418">
        <f>VLOOKUP('Physical Effects'!R16,Lookup!$B$4:$C$14,2,FALSE)</f>
        <v>0</v>
      </c>
      <c r="K12" s="418">
        <f>VLOOKUP('Physical Effects'!T16,Lookup!$B$4:$C$14,2,FALSE)</f>
        <v>0</v>
      </c>
      <c r="L12" s="418">
        <f>VLOOKUP('Physical Effects'!V16,Lookup!$B$4:$C$14,2,FALSE)</f>
        <v>0</v>
      </c>
      <c r="M12" s="418">
        <f>VLOOKUP('Physical Effects'!X16,Lookup!$B$4:$C$14,2,FALSE)</f>
        <v>0</v>
      </c>
      <c r="N12" s="418">
        <f>VLOOKUP('Physical Effects'!Z16,Lookup!$B$4:$C$14,2,FALSE)</f>
        <v>0</v>
      </c>
      <c r="O12" s="418">
        <f>VLOOKUP('Physical Effects'!AB16,Lookup!$B$4:$C$14,2,FALSE)</f>
        <v>0</v>
      </c>
      <c r="P12" s="418">
        <f>VLOOKUP('Physical Effects'!AD16,Lookup!$B$4:$C$14,2,FALSE)</f>
        <v>0</v>
      </c>
      <c r="Q12" s="418">
        <f>VLOOKUP('Physical Effects'!AF16,Lookup!$B$4:$C$14,2,FALSE)</f>
        <v>0</v>
      </c>
      <c r="R12" s="418">
        <f>VLOOKUP('Physical Effects'!AH16,Lookup!$B$4:$C$14,2,FALSE)</f>
        <v>0</v>
      </c>
      <c r="S12" s="418">
        <f>VLOOKUP('Physical Effects'!AJ16,Lookup!$B$4:$C$14,2,FALSE)</f>
        <v>0</v>
      </c>
      <c r="T12" s="418">
        <f>VLOOKUP('Physical Effects'!AL16,Lookup!$B$4:$C$14,2,FALSE)</f>
        <v>0</v>
      </c>
      <c r="U12" s="418">
        <f>VLOOKUP('Physical Effects'!AN16,Lookup!$B$4:$C$14,2,FALSE)</f>
        <v>-2</v>
      </c>
      <c r="V12" s="418">
        <f>VLOOKUP('Physical Effects'!AP16,Lookup!$B$4:$C$14,2,FALSE)</f>
        <v>-2</v>
      </c>
      <c r="W12" s="418">
        <f>VLOOKUP('Physical Effects'!AR16,Lookup!$B$4:$C$14,2,FALSE)</f>
        <v>0</v>
      </c>
      <c r="X12" s="418">
        <f>VLOOKUP('Physical Effects'!AT16,Lookup!$B$4:$C$14,2,FALSE)</f>
        <v>0</v>
      </c>
      <c r="Y12" s="418">
        <f>VLOOKUP('Physical Effects'!AV16,Lookup!$B$4:$C$14,2,FALSE)</f>
        <v>-2</v>
      </c>
      <c r="Z12" s="418">
        <f>VLOOKUP('Physical Effects'!AX16,Lookup!$B$4:$C$14,2,FALSE)</f>
        <v>0</v>
      </c>
      <c r="AA12" s="418">
        <f>VLOOKUP('Physical Effects'!AZ16,Lookup!$B$4:$C$14,2,FALSE)</f>
        <v>0</v>
      </c>
      <c r="AB12" s="418">
        <f>VLOOKUP('Physical Effects'!BB16,Lookup!$B$4:$C$14,2,FALSE)</f>
        <v>-2</v>
      </c>
      <c r="AC12" s="418">
        <f>VLOOKUP('Physical Effects'!BD16,Lookup!$B$4:$C$14,2,FALSE)</f>
        <v>0</v>
      </c>
      <c r="AD12" s="418">
        <f>VLOOKUP('Physical Effects'!BF16,Lookup!$B$4:$C$14,2,FALSE)</f>
        <v>0</v>
      </c>
      <c r="AE12" s="418">
        <f>VLOOKUP('Physical Effects'!BH16,Lookup!$B$4:$C$14,2,FALSE)</f>
        <v>0</v>
      </c>
      <c r="AF12" s="418">
        <f>VLOOKUP('Physical Effects'!BJ16,Lookup!$B$4:$C$14,2,FALSE)</f>
        <v>0</v>
      </c>
      <c r="AG12" s="418">
        <f>VLOOKUP('Physical Effects'!BL16,Lookup!$B$4:$C$14,2,FALSE)</f>
        <v>0</v>
      </c>
      <c r="AH12" s="418">
        <f>VLOOKUP('Physical Effects'!BN16,Lookup!$B$4:$C$14,2,FALSE)</f>
        <v>0</v>
      </c>
      <c r="AI12" s="418">
        <f>VLOOKUP('Physical Effects'!BP16,Lookup!$B$4:$C$14,2,FALSE)</f>
        <v>0</v>
      </c>
      <c r="AJ12" s="418">
        <f>VLOOKUP('Physical Effects'!BR16,Lookup!$B$4:$C$14,2,FALSE)</f>
        <v>0</v>
      </c>
      <c r="AK12" s="418">
        <f>VLOOKUP('Physical Effects'!BT16,Lookup!$B$4:$C$14,2,FALSE)</f>
        <v>0</v>
      </c>
      <c r="AL12" s="418">
        <f>VLOOKUP('Physical Effects'!BV16,Lookup!$B$4:$C$14,2,FALSE)</f>
        <v>0</v>
      </c>
      <c r="AM12" s="418">
        <f>VLOOKUP('Physical Effects'!BX16,Lookup!$B$4:$C$14,2,FALSE)</f>
        <v>0</v>
      </c>
      <c r="AN12" s="418">
        <f>VLOOKUP('Physical Effects'!BZ16,Lookup!$B$4:$C$14,2,FALSE)</f>
        <v>0</v>
      </c>
      <c r="AO12" s="418">
        <f>VLOOKUP('Physical Effects'!CB16,Lookup!$B$4:$C$14,2,FALSE)</f>
        <v>1</v>
      </c>
      <c r="AP12" s="418">
        <f>VLOOKUP('Physical Effects'!CD16,Lookup!$B$4:$C$14,2,FALSE)</f>
        <v>0</v>
      </c>
      <c r="AQ12" s="418">
        <f>VLOOKUP('Physical Effects'!CF16,Lookup!$B$4:$C$14,2,FALSE)</f>
        <v>0</v>
      </c>
      <c r="AR12" s="418">
        <f>VLOOKUP('Physical Effects'!CH16,Lookup!$B$4:$C$14,2,FALSE)</f>
        <v>2</v>
      </c>
      <c r="AS12" s="418">
        <f>VLOOKUP('Physical Effects'!CJ16,Lookup!$B$4:$C$14,2,FALSE)</f>
        <v>0</v>
      </c>
      <c r="AT12" s="418">
        <f>VLOOKUP('Physical Effects'!CL16,Lookup!$B$4:$C$14,2,FALSE)</f>
        <v>0</v>
      </c>
      <c r="AU12" s="418">
        <f>VLOOKUP('Physical Effects'!CN16,Lookup!$B$4:$C$14,2,FALSE)</f>
        <v>0</v>
      </c>
      <c r="AV12" s="28"/>
      <c r="AW12" s="21"/>
      <c r="AX12" s="21"/>
      <c r="AY12" s="21"/>
      <c r="AZ12" s="21"/>
      <c r="BA12" s="21"/>
      <c r="BB12" s="21"/>
      <c r="BC12" s="21"/>
      <c r="BD12" s="21"/>
      <c r="BE12" s="21"/>
      <c r="BF12" s="21"/>
    </row>
    <row r="13" spans="1:58" s="17" customFormat="1" ht="13.5" thickBot="1" x14ac:dyDescent="0.25">
      <c r="A13" s="123">
        <f t="shared" si="0"/>
        <v>12</v>
      </c>
      <c r="B13" s="19" t="str">
        <f>+'Physical Effects'!B17</f>
        <v xml:space="preserve">Aquatic Organism Passage </v>
      </c>
      <c r="C13" s="32">
        <f>+'Physical Effects'!D17</f>
        <v>396</v>
      </c>
      <c r="D13" s="418">
        <f>VLOOKUP('Physical Effects'!F17,Lookup!$B$4:$C$14,2,FALSE)</f>
        <v>0</v>
      </c>
      <c r="E13" s="418">
        <f>VLOOKUP('Physical Effects'!H17,Lookup!$B$4:$C$14,2,FALSE)</f>
        <v>0</v>
      </c>
      <c r="F13" s="418">
        <f>VLOOKUP('Physical Effects'!J17,Lookup!$B$4:$C$14,2,FALSE)</f>
        <v>0</v>
      </c>
      <c r="G13" s="418">
        <f>VLOOKUP('Physical Effects'!L17,Lookup!$B$4:$C$14,2,FALSE)</f>
        <v>0</v>
      </c>
      <c r="H13" s="418">
        <f>VLOOKUP('Physical Effects'!N17,Lookup!$B$4:$C$14,2,FALSE)</f>
        <v>0</v>
      </c>
      <c r="I13" s="418">
        <f>VLOOKUP('Physical Effects'!P17,Lookup!$B$4:$C$14,2,FALSE)</f>
        <v>0</v>
      </c>
      <c r="J13" s="418">
        <f>VLOOKUP('Physical Effects'!R17,Lookup!$B$4:$C$14,2,FALSE)</f>
        <v>0</v>
      </c>
      <c r="K13" s="418">
        <f>VLOOKUP('Physical Effects'!T17,Lookup!$B$4:$C$14,2,FALSE)</f>
        <v>0</v>
      </c>
      <c r="L13" s="418">
        <f>VLOOKUP('Physical Effects'!V17,Lookup!$B$4:$C$14,2,FALSE)</f>
        <v>0</v>
      </c>
      <c r="M13" s="418">
        <f>VLOOKUP('Physical Effects'!X17,Lookup!$B$4:$C$14,2,FALSE)</f>
        <v>0</v>
      </c>
      <c r="N13" s="418">
        <f>VLOOKUP('Physical Effects'!Z17,Lookup!$B$4:$C$14,2,FALSE)</f>
        <v>0</v>
      </c>
      <c r="O13" s="418">
        <f>VLOOKUP('Physical Effects'!AB17,Lookup!$B$4:$C$14,2,FALSE)</f>
        <v>0</v>
      </c>
      <c r="P13" s="418">
        <f>VLOOKUP('Physical Effects'!AD17,Lookup!$B$4:$C$14,2,FALSE)</f>
        <v>0</v>
      </c>
      <c r="Q13" s="418">
        <f>VLOOKUP('Physical Effects'!AF17,Lookup!$B$4:$C$14,2,FALSE)</f>
        <v>0</v>
      </c>
      <c r="R13" s="418">
        <f>VLOOKUP('Physical Effects'!AH17,Lookup!$B$4:$C$14,2,FALSE)</f>
        <v>0</v>
      </c>
      <c r="S13" s="418">
        <f>VLOOKUP('Physical Effects'!AJ17,Lookup!$B$4:$C$14,2,FALSE)</f>
        <v>0</v>
      </c>
      <c r="T13" s="418">
        <f>VLOOKUP('Physical Effects'!AL17,Lookup!$B$4:$C$14,2,FALSE)</f>
        <v>0</v>
      </c>
      <c r="U13" s="418">
        <f>VLOOKUP('Physical Effects'!AN17,Lookup!$B$4:$C$14,2,FALSE)</f>
        <v>0</v>
      </c>
      <c r="V13" s="418">
        <f>VLOOKUP('Physical Effects'!AP17,Lookup!$B$4:$C$14,2,FALSE)</f>
        <v>0</v>
      </c>
      <c r="W13" s="418">
        <f>VLOOKUP('Physical Effects'!AR17,Lookup!$B$4:$C$14,2,FALSE)</f>
        <v>0</v>
      </c>
      <c r="X13" s="418">
        <f>VLOOKUP('Physical Effects'!AT17,Lookup!$B$4:$C$14,2,FALSE)</f>
        <v>0</v>
      </c>
      <c r="Y13" s="418">
        <f>VLOOKUP('Physical Effects'!AV17,Lookup!$B$4:$C$14,2,FALSE)</f>
        <v>0</v>
      </c>
      <c r="Z13" s="418">
        <f>VLOOKUP('Physical Effects'!AX17,Lookup!$B$4:$C$14,2,FALSE)</f>
        <v>0</v>
      </c>
      <c r="AA13" s="418">
        <f>VLOOKUP('Physical Effects'!AZ17,Lookup!$B$4:$C$14,2,FALSE)</f>
        <v>0</v>
      </c>
      <c r="AB13" s="418">
        <f>VLOOKUP('Physical Effects'!BB17,Lookup!$B$4:$C$14,2,FALSE)</f>
        <v>2</v>
      </c>
      <c r="AC13" s="418">
        <f>VLOOKUP('Physical Effects'!BD17,Lookup!$B$4:$C$14,2,FALSE)</f>
        <v>0</v>
      </c>
      <c r="AD13" s="418">
        <f>VLOOKUP('Physical Effects'!BF17,Lookup!$B$4:$C$14,2,FALSE)</f>
        <v>0</v>
      </c>
      <c r="AE13" s="418">
        <f>VLOOKUP('Physical Effects'!BH17,Lookup!$B$4:$C$14,2,FALSE)</f>
        <v>0</v>
      </c>
      <c r="AF13" s="418">
        <f>VLOOKUP('Physical Effects'!BJ17,Lookup!$B$4:$C$14,2,FALSE)</f>
        <v>0</v>
      </c>
      <c r="AG13" s="418">
        <f>VLOOKUP('Physical Effects'!BL17,Lookup!$B$4:$C$14,2,FALSE)</f>
        <v>0</v>
      </c>
      <c r="AH13" s="418">
        <f>VLOOKUP('Physical Effects'!BN17,Lookup!$B$4:$C$14,2,FALSE)</f>
        <v>0</v>
      </c>
      <c r="AI13" s="418">
        <f>VLOOKUP('Physical Effects'!BP17,Lookup!$B$4:$C$14,2,FALSE)</f>
        <v>0</v>
      </c>
      <c r="AJ13" s="418">
        <f>VLOOKUP('Physical Effects'!BR17,Lookup!$B$4:$C$14,2,FALSE)</f>
        <v>0</v>
      </c>
      <c r="AK13" s="418">
        <f>VLOOKUP('Physical Effects'!BT17,Lookup!$B$4:$C$14,2,FALSE)</f>
        <v>0</v>
      </c>
      <c r="AL13" s="418">
        <f>VLOOKUP('Physical Effects'!BV17,Lookup!$B$4:$C$14,2,FALSE)</f>
        <v>0</v>
      </c>
      <c r="AM13" s="418">
        <f>VLOOKUP('Physical Effects'!BX17,Lookup!$B$4:$C$14,2,FALSE)</f>
        <v>0</v>
      </c>
      <c r="AN13" s="418">
        <f>VLOOKUP('Physical Effects'!BZ17,Lookup!$B$4:$C$14,2,FALSE)</f>
        <v>2</v>
      </c>
      <c r="AO13" s="418">
        <f>VLOOKUP('Physical Effects'!CB17,Lookup!$B$4:$C$14,2,FALSE)</f>
        <v>1</v>
      </c>
      <c r="AP13" s="418">
        <f>VLOOKUP('Physical Effects'!CD17,Lookup!$B$4:$C$14,2,FALSE)</f>
        <v>5</v>
      </c>
      <c r="AQ13" s="418">
        <f>VLOOKUP('Physical Effects'!CF17,Lookup!$B$4:$C$14,2,FALSE)</f>
        <v>0</v>
      </c>
      <c r="AR13" s="418">
        <f>VLOOKUP('Physical Effects'!CH17,Lookup!$B$4:$C$14,2,FALSE)</f>
        <v>0</v>
      </c>
      <c r="AS13" s="418">
        <f>VLOOKUP('Physical Effects'!CJ17,Lookup!$B$4:$C$14,2,FALSE)</f>
        <v>0</v>
      </c>
      <c r="AT13" s="418">
        <f>VLOOKUP('Physical Effects'!CL17,Lookup!$B$4:$C$14,2,FALSE)</f>
        <v>0</v>
      </c>
      <c r="AU13" s="418">
        <f>VLOOKUP('Physical Effects'!CN17,Lookup!$B$4:$C$14,2,FALSE)</f>
        <v>0</v>
      </c>
      <c r="AV13" s="28"/>
      <c r="AW13" s="21"/>
      <c r="AX13" s="21"/>
      <c r="AY13" s="21"/>
      <c r="AZ13" s="21"/>
      <c r="BA13" s="21"/>
      <c r="BB13" s="21"/>
      <c r="BC13" s="21"/>
      <c r="BD13" s="21"/>
      <c r="BE13" s="21"/>
      <c r="BF13" s="21"/>
    </row>
    <row r="14" spans="1:58" s="5" customFormat="1" ht="13.5" thickBot="1" x14ac:dyDescent="0.25">
      <c r="A14" s="123">
        <f t="shared" si="0"/>
        <v>13</v>
      </c>
      <c r="B14" s="19" t="str">
        <f>+'Physical Effects'!B18</f>
        <v>Bedding</v>
      </c>
      <c r="C14" s="32">
        <f>+'Physical Effects'!D18</f>
        <v>310</v>
      </c>
      <c r="D14" s="418">
        <f>VLOOKUP('Physical Effects'!F18,Lookup!$B$4:$C$14,2,FALSE)</f>
        <v>2</v>
      </c>
      <c r="E14" s="418">
        <f>VLOOKUP('Physical Effects'!H18,Lookup!$B$4:$C$14,2,FALSE)</f>
        <v>0</v>
      </c>
      <c r="F14" s="418">
        <f>VLOOKUP('Physical Effects'!J18,Lookup!$B$4:$C$14,2,FALSE)</f>
        <v>0</v>
      </c>
      <c r="G14" s="418">
        <f>VLOOKUP('Physical Effects'!L18,Lookup!$B$4:$C$14,2,FALSE)</f>
        <v>0</v>
      </c>
      <c r="H14" s="418">
        <f>VLOOKUP('Physical Effects'!N18,Lookup!$B$4:$C$14,2,FALSE)</f>
        <v>0</v>
      </c>
      <c r="I14" s="418">
        <f>VLOOKUP('Physical Effects'!P18,Lookup!$B$4:$C$14,2,FALSE)</f>
        <v>-1</v>
      </c>
      <c r="J14" s="418">
        <f>VLOOKUP('Physical Effects'!R18,Lookup!$B$4:$C$14,2,FALSE)</f>
        <v>-1</v>
      </c>
      <c r="K14" s="418">
        <f>VLOOKUP('Physical Effects'!T18,Lookup!$B$4:$C$14,2,FALSE)</f>
        <v>0</v>
      </c>
      <c r="L14" s="418">
        <f>VLOOKUP('Physical Effects'!V18,Lookup!$B$4:$C$14,2,FALSE)</f>
        <v>1</v>
      </c>
      <c r="M14" s="418">
        <f>VLOOKUP('Physical Effects'!X18,Lookup!$B$4:$C$14,2,FALSE)</f>
        <v>0</v>
      </c>
      <c r="N14" s="418">
        <f>VLOOKUP('Physical Effects'!Z18,Lookup!$B$4:$C$14,2,FALSE)</f>
        <v>5</v>
      </c>
      <c r="O14" s="418">
        <f>VLOOKUP('Physical Effects'!AB18,Lookup!$B$4:$C$14,2,FALSE)</f>
        <v>0</v>
      </c>
      <c r="P14" s="418">
        <f>VLOOKUP('Physical Effects'!AD18,Lookup!$B$4:$C$14,2,FALSE)</f>
        <v>0</v>
      </c>
      <c r="Q14" s="418">
        <f>VLOOKUP('Physical Effects'!AF18,Lookup!$B$4:$C$14,2,FALSE)</f>
        <v>0</v>
      </c>
      <c r="R14" s="418">
        <f>VLOOKUP('Physical Effects'!AH18,Lookup!$B$4:$C$14,2,FALSE)</f>
        <v>-1</v>
      </c>
      <c r="S14" s="418">
        <f>VLOOKUP('Physical Effects'!AJ18,Lookup!$B$4:$C$14,2,FALSE)</f>
        <v>-2</v>
      </c>
      <c r="T14" s="418">
        <f>VLOOKUP('Physical Effects'!AL18,Lookup!$B$4:$C$14,2,FALSE)</f>
        <v>1</v>
      </c>
      <c r="U14" s="418">
        <f>VLOOKUP('Physical Effects'!AN18,Lookup!$B$4:$C$14,2,FALSE)</f>
        <v>-2</v>
      </c>
      <c r="V14" s="418">
        <f>VLOOKUP('Physical Effects'!AP18,Lookup!$B$4:$C$14,2,FALSE)</f>
        <v>1</v>
      </c>
      <c r="W14" s="418">
        <f>VLOOKUP('Physical Effects'!AR18,Lookup!$B$4:$C$14,2,FALSE)</f>
        <v>-2</v>
      </c>
      <c r="X14" s="418">
        <f>VLOOKUP('Physical Effects'!AT18,Lookup!$B$4:$C$14,2,FALSE)</f>
        <v>1</v>
      </c>
      <c r="Y14" s="418">
        <f>VLOOKUP('Physical Effects'!AV18,Lookup!$B$4:$C$14,2,FALSE)</f>
        <v>-2</v>
      </c>
      <c r="Z14" s="418">
        <f>VLOOKUP('Physical Effects'!AX18,Lookup!$B$4:$C$14,2,FALSE)</f>
        <v>1</v>
      </c>
      <c r="AA14" s="418">
        <f>VLOOKUP('Physical Effects'!AZ18,Lookup!$B$4:$C$14,2,FALSE)</f>
        <v>-1</v>
      </c>
      <c r="AB14" s="418">
        <f>VLOOKUP('Physical Effects'!BB18,Lookup!$B$4:$C$14,2,FALSE)</f>
        <v>0</v>
      </c>
      <c r="AC14" s="418">
        <f>VLOOKUP('Physical Effects'!BD18,Lookup!$B$4:$C$14,2,FALSE)</f>
        <v>-2</v>
      </c>
      <c r="AD14" s="418">
        <f>VLOOKUP('Physical Effects'!BF18,Lookup!$B$4:$C$14,2,FALSE)</f>
        <v>1</v>
      </c>
      <c r="AE14" s="418">
        <f>VLOOKUP('Physical Effects'!BH18,Lookup!$B$4:$C$14,2,FALSE)</f>
        <v>-1</v>
      </c>
      <c r="AF14" s="418">
        <f>VLOOKUP('Physical Effects'!BJ18,Lookup!$B$4:$C$14,2,FALSE)</f>
        <v>-1</v>
      </c>
      <c r="AG14" s="418">
        <f>VLOOKUP('Physical Effects'!BL18,Lookup!$B$4:$C$14,2,FALSE)</f>
        <v>-1</v>
      </c>
      <c r="AH14" s="418">
        <f>VLOOKUP('Physical Effects'!BN18,Lookup!$B$4:$C$14,2,FALSE)</f>
        <v>0</v>
      </c>
      <c r="AI14" s="418">
        <f>VLOOKUP('Physical Effects'!BP18,Lookup!$B$4:$C$14,2,FALSE)</f>
        <v>2</v>
      </c>
      <c r="AJ14" s="418">
        <f>VLOOKUP('Physical Effects'!BR18,Lookup!$B$4:$C$14,2,FALSE)</f>
        <v>0</v>
      </c>
      <c r="AK14" s="418">
        <f>VLOOKUP('Physical Effects'!BT18,Lookup!$B$4:$C$14,2,FALSE)</f>
        <v>-1</v>
      </c>
      <c r="AL14" s="418">
        <f>VLOOKUP('Physical Effects'!BV18,Lookup!$B$4:$C$14,2,FALSE)</f>
        <v>0</v>
      </c>
      <c r="AM14" s="418">
        <f>VLOOKUP('Physical Effects'!BX18,Lookup!$B$4:$C$14,2,FALSE)</f>
        <v>0</v>
      </c>
      <c r="AN14" s="418">
        <f>VLOOKUP('Physical Effects'!BZ18,Lookup!$B$4:$C$14,2,FALSE)</f>
        <v>0</v>
      </c>
      <c r="AO14" s="418">
        <f>VLOOKUP('Physical Effects'!CB18,Lookup!$B$4:$C$14,2,FALSE)</f>
        <v>0</v>
      </c>
      <c r="AP14" s="418">
        <f>VLOOKUP('Physical Effects'!CD18,Lookup!$B$4:$C$14,2,FALSE)</f>
        <v>0</v>
      </c>
      <c r="AQ14" s="418">
        <f>VLOOKUP('Physical Effects'!CF18,Lookup!$B$4:$C$14,2,FALSE)</f>
        <v>0</v>
      </c>
      <c r="AR14" s="418">
        <f>VLOOKUP('Physical Effects'!CH18,Lookup!$B$4:$C$14,2,FALSE)</f>
        <v>0</v>
      </c>
      <c r="AS14" s="418">
        <f>VLOOKUP('Physical Effects'!CJ18,Lookup!$B$4:$C$14,2,FALSE)</f>
        <v>0</v>
      </c>
      <c r="AT14" s="418">
        <f>VLOOKUP('Physical Effects'!CL18,Lookup!$B$4:$C$14,2,FALSE)</f>
        <v>0</v>
      </c>
      <c r="AU14" s="418">
        <f>VLOOKUP('Physical Effects'!CN18,Lookup!$B$4:$C$14,2,FALSE)</f>
        <v>0</v>
      </c>
      <c r="AV14" s="28"/>
      <c r="AW14" s="23"/>
      <c r="AX14" s="23"/>
      <c r="AY14" s="23"/>
      <c r="AZ14" s="23"/>
      <c r="BA14" s="23"/>
      <c r="BB14" s="23"/>
      <c r="BC14" s="23"/>
      <c r="BD14" s="23"/>
      <c r="BE14" s="23"/>
      <c r="BF14" s="23"/>
    </row>
    <row r="15" spans="1:58" s="5" customFormat="1" ht="13.5" thickBot="1" x14ac:dyDescent="0.25">
      <c r="A15" s="123">
        <f t="shared" si="0"/>
        <v>14</v>
      </c>
      <c r="B15" s="19" t="str">
        <f>+'Physical Effects'!B19</f>
        <v>Bivalve Aquaculture Gear and Biofouling Control</v>
      </c>
      <c r="C15" s="32">
        <f>+'Physical Effects'!D19</f>
        <v>400</v>
      </c>
      <c r="D15" s="418">
        <f>VLOOKUP('Physical Effects'!F19,Lookup!$B$4:$C$14,2,FALSE)</f>
        <v>0</v>
      </c>
      <c r="E15" s="418">
        <f>VLOOKUP('Physical Effects'!H19,Lookup!$B$4:$C$14,2,FALSE)</f>
        <v>0</v>
      </c>
      <c r="F15" s="418">
        <f>VLOOKUP('Physical Effects'!J19,Lookup!$B$4:$C$14,2,FALSE)</f>
        <v>0</v>
      </c>
      <c r="G15" s="418">
        <f>VLOOKUP('Physical Effects'!L19,Lookup!$B$4:$C$14,2,FALSE)</f>
        <v>0</v>
      </c>
      <c r="H15" s="418">
        <f>VLOOKUP('Physical Effects'!N19,Lookup!$B$4:$C$14,2,FALSE)</f>
        <v>0</v>
      </c>
      <c r="I15" s="418">
        <f>VLOOKUP('Physical Effects'!P19,Lookup!$B$4:$C$14,2,FALSE)</f>
        <v>0</v>
      </c>
      <c r="J15" s="418">
        <f>VLOOKUP('Physical Effects'!R19,Lookup!$B$4:$C$14,2,FALSE)</f>
        <v>0</v>
      </c>
      <c r="K15" s="418">
        <f>VLOOKUP('Physical Effects'!T19,Lookup!$B$4:$C$14,2,FALSE)</f>
        <v>0</v>
      </c>
      <c r="L15" s="418">
        <f>VLOOKUP('Physical Effects'!V19,Lookup!$B$4:$C$14,2,FALSE)</f>
        <v>0</v>
      </c>
      <c r="M15" s="418">
        <f>VLOOKUP('Physical Effects'!X19,Lookup!$B$4:$C$14,2,FALSE)</f>
        <v>0</v>
      </c>
      <c r="N15" s="418">
        <f>VLOOKUP('Physical Effects'!Z19,Lookup!$B$4:$C$14,2,FALSE)</f>
        <v>0</v>
      </c>
      <c r="O15" s="418">
        <f>VLOOKUP('Physical Effects'!AB19,Lookup!$B$4:$C$14,2,FALSE)</f>
        <v>0</v>
      </c>
      <c r="P15" s="418">
        <f>VLOOKUP('Physical Effects'!AD19,Lookup!$B$4:$C$14,2,FALSE)</f>
        <v>0</v>
      </c>
      <c r="Q15" s="418">
        <f>VLOOKUP('Physical Effects'!AF19,Lookup!$B$4:$C$14,2,FALSE)</f>
        <v>0</v>
      </c>
      <c r="R15" s="418">
        <f>VLOOKUP('Physical Effects'!AH19,Lookup!$B$4:$C$14,2,FALSE)</f>
        <v>0</v>
      </c>
      <c r="S15" s="418">
        <f>VLOOKUP('Physical Effects'!AJ19,Lookup!$B$4:$C$14,2,FALSE)</f>
        <v>0</v>
      </c>
      <c r="T15" s="418">
        <f>VLOOKUP('Physical Effects'!AL19,Lookup!$B$4:$C$14,2,FALSE)</f>
        <v>0</v>
      </c>
      <c r="U15" s="418">
        <f>VLOOKUP('Physical Effects'!AN19,Lookup!$B$4:$C$14,2,FALSE)</f>
        <v>2</v>
      </c>
      <c r="V15" s="418">
        <f>VLOOKUP('Physical Effects'!AP19,Lookup!$B$4:$C$14,2,FALSE)</f>
        <v>0</v>
      </c>
      <c r="W15" s="418">
        <f>VLOOKUP('Physical Effects'!AR19,Lookup!$B$4:$C$14,2,FALSE)</f>
        <v>0</v>
      </c>
      <c r="X15" s="418">
        <f>VLOOKUP('Physical Effects'!AT19,Lookup!$B$4:$C$14,2,FALSE)</f>
        <v>0</v>
      </c>
      <c r="Y15" s="418">
        <f>VLOOKUP('Physical Effects'!AV19,Lookup!$B$4:$C$14,2,FALSE)</f>
        <v>2</v>
      </c>
      <c r="Z15" s="418">
        <f>VLOOKUP('Physical Effects'!AX19,Lookup!$B$4:$C$14,2,FALSE)</f>
        <v>0</v>
      </c>
      <c r="AA15" s="418">
        <f>VLOOKUP('Physical Effects'!AZ19,Lookup!$B$4:$C$14,2,FALSE)</f>
        <v>0</v>
      </c>
      <c r="AB15" s="418">
        <f>VLOOKUP('Physical Effects'!BB19,Lookup!$B$4:$C$14,2,FALSE)</f>
        <v>0</v>
      </c>
      <c r="AC15" s="418">
        <f>VLOOKUP('Physical Effects'!BD19,Lookup!$B$4:$C$14,2,FALSE)</f>
        <v>0</v>
      </c>
      <c r="AD15" s="418">
        <f>VLOOKUP('Physical Effects'!BF19,Lookup!$B$4:$C$14,2,FALSE)</f>
        <v>0</v>
      </c>
      <c r="AE15" s="418">
        <f>VLOOKUP('Physical Effects'!BH19,Lookup!$B$4:$C$14,2,FALSE)</f>
        <v>0</v>
      </c>
      <c r="AF15" s="418">
        <f>VLOOKUP('Physical Effects'!BJ19,Lookup!$B$4:$C$14,2,FALSE)</f>
        <v>0</v>
      </c>
      <c r="AG15" s="418">
        <f>VLOOKUP('Physical Effects'!BL19,Lookup!$B$4:$C$14,2,FALSE)</f>
        <v>0</v>
      </c>
      <c r="AH15" s="418">
        <f>VLOOKUP('Physical Effects'!BN19,Lookup!$B$4:$C$14,2,FALSE)</f>
        <v>0</v>
      </c>
      <c r="AI15" s="418">
        <f>VLOOKUP('Physical Effects'!BP19,Lookup!$B$4:$C$14,2,FALSE)</f>
        <v>0</v>
      </c>
      <c r="AJ15" s="418">
        <f>VLOOKUP('Physical Effects'!BR19,Lookup!$B$4:$C$14,2,FALSE)</f>
        <v>0</v>
      </c>
      <c r="AK15" s="418">
        <f>VLOOKUP('Physical Effects'!BT19,Lookup!$B$4:$C$14,2,FALSE)</f>
        <v>0</v>
      </c>
      <c r="AL15" s="418">
        <f>VLOOKUP('Physical Effects'!BV19,Lookup!$B$4:$C$14,2,FALSE)</f>
        <v>0</v>
      </c>
      <c r="AM15" s="418">
        <f>VLOOKUP('Physical Effects'!BX19,Lookup!$B$4:$C$14,2,FALSE)</f>
        <v>0</v>
      </c>
      <c r="AN15" s="418">
        <f>VLOOKUP('Physical Effects'!BZ19,Lookup!$B$4:$C$14,2,FALSE)</f>
        <v>0</v>
      </c>
      <c r="AO15" s="418">
        <f>VLOOKUP('Physical Effects'!CB19,Lookup!$B$4:$C$14,2,FALSE)</f>
        <v>2</v>
      </c>
      <c r="AP15" s="418">
        <f>VLOOKUP('Physical Effects'!CD19,Lookup!$B$4:$C$14,2,FALSE)</f>
        <v>0</v>
      </c>
      <c r="AQ15" s="418">
        <f>VLOOKUP('Physical Effects'!CF19,Lookup!$B$4:$C$14,2,FALSE)</f>
        <v>0</v>
      </c>
      <c r="AR15" s="418">
        <f>VLOOKUP('Physical Effects'!CH19,Lookup!$B$4:$C$14,2,FALSE)</f>
        <v>0</v>
      </c>
      <c r="AS15" s="418">
        <f>VLOOKUP('Physical Effects'!CJ19,Lookup!$B$4:$C$14,2,FALSE)</f>
        <v>0</v>
      </c>
      <c r="AT15" s="418">
        <f>VLOOKUP('Physical Effects'!CL19,Lookup!$B$4:$C$14,2,FALSE)</f>
        <v>0</v>
      </c>
      <c r="AU15" s="418">
        <f>VLOOKUP('Physical Effects'!CN19,Lookup!$B$4:$C$14,2,FALSE)</f>
        <v>0</v>
      </c>
      <c r="AV15" s="28"/>
      <c r="AW15" s="23"/>
      <c r="AX15" s="23"/>
      <c r="AY15" s="23"/>
      <c r="AZ15" s="23"/>
      <c r="BA15" s="23"/>
      <c r="BB15" s="23"/>
      <c r="BC15" s="23"/>
      <c r="BD15" s="23"/>
      <c r="BE15" s="23"/>
      <c r="BF15" s="23"/>
    </row>
    <row r="16" spans="1:58" s="5" customFormat="1" ht="13.5" thickBot="1" x14ac:dyDescent="0.25">
      <c r="A16" s="123">
        <f t="shared" si="0"/>
        <v>15</v>
      </c>
      <c r="B16" s="19" t="str">
        <f>+'Physical Effects'!B20</f>
        <v>Brush Management</v>
      </c>
      <c r="C16" s="32">
        <f>+'Physical Effects'!D20</f>
        <v>314</v>
      </c>
      <c r="D16" s="418">
        <f>VLOOKUP('Physical Effects'!F20,Lookup!$B$4:$C$14,2,FALSE)</f>
        <v>1</v>
      </c>
      <c r="E16" s="418">
        <f>VLOOKUP('Physical Effects'!H20,Lookup!$B$4:$C$14,2,FALSE)</f>
        <v>1</v>
      </c>
      <c r="F16" s="418">
        <f>VLOOKUP('Physical Effects'!J20,Lookup!$B$4:$C$14,2,FALSE)</f>
        <v>1</v>
      </c>
      <c r="G16" s="418">
        <f>VLOOKUP('Physical Effects'!L20,Lookup!$B$4:$C$14,2,FALSE)</f>
        <v>1</v>
      </c>
      <c r="H16" s="418">
        <f>VLOOKUP('Physical Effects'!N20,Lookup!$B$4:$C$14,2,FALSE)</f>
        <v>0</v>
      </c>
      <c r="I16" s="418">
        <f>VLOOKUP('Physical Effects'!P20,Lookup!$B$4:$C$14,2,FALSE)</f>
        <v>0</v>
      </c>
      <c r="J16" s="418">
        <f>VLOOKUP('Physical Effects'!R20,Lookup!$B$4:$C$14,2,FALSE)</f>
        <v>0</v>
      </c>
      <c r="K16" s="418">
        <f>VLOOKUP('Physical Effects'!T20,Lookup!$B$4:$C$14,2,FALSE)</f>
        <v>0</v>
      </c>
      <c r="L16" s="418">
        <f>VLOOKUP('Physical Effects'!V20,Lookup!$B$4:$C$14,2,FALSE)</f>
        <v>0</v>
      </c>
      <c r="M16" s="418">
        <f>VLOOKUP('Physical Effects'!X20,Lookup!$B$4:$C$14,2,FALSE)</f>
        <v>0</v>
      </c>
      <c r="N16" s="418">
        <f>VLOOKUP('Physical Effects'!Z20,Lookup!$B$4:$C$14,2,FALSE)</f>
        <v>1</v>
      </c>
      <c r="O16" s="418">
        <f>VLOOKUP('Physical Effects'!AB20,Lookup!$B$4:$C$14,2,FALSE)</f>
        <v>0</v>
      </c>
      <c r="P16" s="418">
        <f>VLOOKUP('Physical Effects'!AD20,Lookup!$B$4:$C$14,2,FALSE)</f>
        <v>0</v>
      </c>
      <c r="Q16" s="418">
        <f>VLOOKUP('Physical Effects'!AF20,Lookup!$B$4:$C$14,2,FALSE)</f>
        <v>0</v>
      </c>
      <c r="R16" s="418">
        <f>VLOOKUP('Physical Effects'!AH20,Lookup!$B$4:$C$14,2,FALSE)</f>
        <v>2</v>
      </c>
      <c r="S16" s="418">
        <f>VLOOKUP('Physical Effects'!AJ20,Lookup!$B$4:$C$14,2,FALSE)</f>
        <v>-1</v>
      </c>
      <c r="T16" s="418">
        <f>VLOOKUP('Physical Effects'!AL20,Lookup!$B$4:$C$14,2,FALSE)</f>
        <v>0</v>
      </c>
      <c r="U16" s="418">
        <f>VLOOKUP('Physical Effects'!AN20,Lookup!$B$4:$C$14,2,FALSE)</f>
        <v>0</v>
      </c>
      <c r="V16" s="418">
        <f>VLOOKUP('Physical Effects'!AP20,Lookup!$B$4:$C$14,2,FALSE)</f>
        <v>0</v>
      </c>
      <c r="W16" s="418">
        <f>VLOOKUP('Physical Effects'!AR20,Lookup!$B$4:$C$14,2,FALSE)</f>
        <v>0</v>
      </c>
      <c r="X16" s="418">
        <f>VLOOKUP('Physical Effects'!AT20,Lookup!$B$4:$C$14,2,FALSE)</f>
        <v>0</v>
      </c>
      <c r="Y16" s="418">
        <f>VLOOKUP('Physical Effects'!AV20,Lookup!$B$4:$C$14,2,FALSE)</f>
        <v>0</v>
      </c>
      <c r="Z16" s="418">
        <f>VLOOKUP('Physical Effects'!AX20,Lookup!$B$4:$C$14,2,FALSE)</f>
        <v>0</v>
      </c>
      <c r="AA16" s="418">
        <f>VLOOKUP('Physical Effects'!AZ20,Lookup!$B$4:$C$14,2,FALSE)</f>
        <v>2</v>
      </c>
      <c r="AB16" s="418">
        <f>VLOOKUP('Physical Effects'!BB20,Lookup!$B$4:$C$14,2,FALSE)</f>
        <v>0</v>
      </c>
      <c r="AC16" s="418">
        <f>VLOOKUP('Physical Effects'!BD20,Lookup!$B$4:$C$14,2,FALSE)</f>
        <v>0</v>
      </c>
      <c r="AD16" s="418">
        <f>VLOOKUP('Physical Effects'!BF20,Lookup!$B$4:$C$14,2,FALSE)</f>
        <v>0</v>
      </c>
      <c r="AE16" s="418">
        <f>VLOOKUP('Physical Effects'!BH20,Lookup!$B$4:$C$14,2,FALSE)</f>
        <v>0</v>
      </c>
      <c r="AF16" s="418">
        <f>VLOOKUP('Physical Effects'!BJ20,Lookup!$B$4:$C$14,2,FALSE)</f>
        <v>0</v>
      </c>
      <c r="AG16" s="418">
        <f>VLOOKUP('Physical Effects'!BL20,Lookup!$B$4:$C$14,2,FALSE)</f>
        <v>1</v>
      </c>
      <c r="AH16" s="418">
        <f>VLOOKUP('Physical Effects'!BN20,Lookup!$B$4:$C$14,2,FALSE)</f>
        <v>0</v>
      </c>
      <c r="AI16" s="418">
        <f>VLOOKUP('Physical Effects'!BP20,Lookup!$B$4:$C$14,2,FALSE)</f>
        <v>2</v>
      </c>
      <c r="AJ16" s="418">
        <f>VLOOKUP('Physical Effects'!BR20,Lookup!$B$4:$C$14,2,FALSE)</f>
        <v>4</v>
      </c>
      <c r="AK16" s="418">
        <f>VLOOKUP('Physical Effects'!BT20,Lookup!$B$4:$C$14,2,FALSE)</f>
        <v>4</v>
      </c>
      <c r="AL16" s="418">
        <f>VLOOKUP('Physical Effects'!BV20,Lookup!$B$4:$C$14,2,FALSE)</f>
        <v>4</v>
      </c>
      <c r="AM16" s="418">
        <f>VLOOKUP('Physical Effects'!BX20,Lookup!$B$4:$C$14,2,FALSE)</f>
        <v>2</v>
      </c>
      <c r="AN16" s="418">
        <f>VLOOKUP('Physical Effects'!BZ20,Lookup!$B$4:$C$14,2,FALSE)</f>
        <v>2</v>
      </c>
      <c r="AO16" s="418">
        <f>VLOOKUP('Physical Effects'!CB20,Lookup!$B$4:$C$14,2,FALSE)</f>
        <v>0</v>
      </c>
      <c r="AP16" s="418">
        <f>VLOOKUP('Physical Effects'!CD20,Lookup!$B$4:$C$14,2,FALSE)</f>
        <v>1</v>
      </c>
      <c r="AQ16" s="418">
        <f>VLOOKUP('Physical Effects'!CF20,Lookup!$B$4:$C$14,2,FALSE)</f>
        <v>4</v>
      </c>
      <c r="AR16" s="418">
        <f>VLOOKUP('Physical Effects'!CH20,Lookup!$B$4:$C$14,2,FALSE)</f>
        <v>0</v>
      </c>
      <c r="AS16" s="418">
        <f>VLOOKUP('Physical Effects'!CJ20,Lookup!$B$4:$C$14,2,FALSE)</f>
        <v>0</v>
      </c>
      <c r="AT16" s="418">
        <f>VLOOKUP('Physical Effects'!CL20,Lookup!$B$4:$C$14,2,FALSE)</f>
        <v>0</v>
      </c>
      <c r="AU16" s="418">
        <f>VLOOKUP('Physical Effects'!CN20,Lookup!$B$4:$C$14,2,FALSE)</f>
        <v>0</v>
      </c>
      <c r="AV16" s="28"/>
      <c r="AW16" s="23"/>
      <c r="AX16" s="23"/>
      <c r="AY16" s="23"/>
      <c r="AZ16" s="23"/>
      <c r="BA16" s="23"/>
      <c r="BB16" s="23"/>
      <c r="BC16" s="23"/>
      <c r="BD16" s="23"/>
      <c r="BE16" s="23"/>
      <c r="BF16" s="23"/>
    </row>
    <row r="17" spans="1:58" s="5" customFormat="1" ht="13.5" thickBot="1" x14ac:dyDescent="0.25">
      <c r="A17" s="123">
        <f t="shared" si="0"/>
        <v>16</v>
      </c>
      <c r="B17" s="19" t="str">
        <f>+'Physical Effects'!B21</f>
        <v>Building Envelope Improvement</v>
      </c>
      <c r="C17" s="32" t="str">
        <f>+'Physical Effects'!D21</f>
        <v>672</v>
      </c>
      <c r="D17" s="418">
        <f>VLOOKUP('Physical Effects'!F21,Lookup!$B$4:$C$14,2,FALSE)</f>
        <v>0</v>
      </c>
      <c r="E17" s="418">
        <f>VLOOKUP('Physical Effects'!H21,Lookup!$B$4:$C$14,2,FALSE)</f>
        <v>0</v>
      </c>
      <c r="F17" s="418">
        <f>VLOOKUP('Physical Effects'!J21,Lookup!$B$4:$C$14,2,FALSE)</f>
        <v>0</v>
      </c>
      <c r="G17" s="418">
        <f>VLOOKUP('Physical Effects'!L21,Lookup!$B$4:$C$14,2,FALSE)</f>
        <v>0</v>
      </c>
      <c r="H17" s="418">
        <f>VLOOKUP('Physical Effects'!N21,Lookup!$B$4:$C$14,2,FALSE)</f>
        <v>0</v>
      </c>
      <c r="I17" s="418">
        <f>VLOOKUP('Physical Effects'!P21,Lookup!$B$4:$C$14,2,FALSE)</f>
        <v>0</v>
      </c>
      <c r="J17" s="418">
        <f>VLOOKUP('Physical Effects'!R21,Lookup!$B$4:$C$14,2,FALSE)</f>
        <v>0</v>
      </c>
      <c r="K17" s="418">
        <f>VLOOKUP('Physical Effects'!T21,Lookup!$B$4:$C$14,2,FALSE)</f>
        <v>0</v>
      </c>
      <c r="L17" s="418">
        <f>VLOOKUP('Physical Effects'!V21,Lookup!$B$4:$C$14,2,FALSE)</f>
        <v>0</v>
      </c>
      <c r="M17" s="418">
        <f>VLOOKUP('Physical Effects'!X21,Lookup!$B$4:$C$14,2,FALSE)</f>
        <v>0</v>
      </c>
      <c r="N17" s="418">
        <f>VLOOKUP('Physical Effects'!Z21,Lookup!$B$4:$C$14,2,FALSE)</f>
        <v>0</v>
      </c>
      <c r="O17" s="418">
        <f>VLOOKUP('Physical Effects'!AB21,Lookup!$B$4:$C$14,2,FALSE)</f>
        <v>0</v>
      </c>
      <c r="P17" s="418">
        <f>VLOOKUP('Physical Effects'!AD21,Lookup!$B$4:$C$14,2,FALSE)</f>
        <v>0</v>
      </c>
      <c r="Q17" s="418">
        <f>VLOOKUP('Physical Effects'!AF21,Lookup!$B$4:$C$14,2,FALSE)</f>
        <v>0</v>
      </c>
      <c r="R17" s="418">
        <f>VLOOKUP('Physical Effects'!AH21,Lookup!$B$4:$C$14,2,FALSE)</f>
        <v>0</v>
      </c>
      <c r="S17" s="418">
        <f>VLOOKUP('Physical Effects'!AJ21,Lookup!$B$4:$C$14,2,FALSE)</f>
        <v>0</v>
      </c>
      <c r="T17" s="418">
        <f>VLOOKUP('Physical Effects'!AL21,Lookup!$B$4:$C$14,2,FALSE)</f>
        <v>0</v>
      </c>
      <c r="U17" s="418">
        <f>VLOOKUP('Physical Effects'!AN21,Lookup!$B$4:$C$14,2,FALSE)</f>
        <v>0</v>
      </c>
      <c r="V17" s="418">
        <f>VLOOKUP('Physical Effects'!AP21,Lookup!$B$4:$C$14,2,FALSE)</f>
        <v>0</v>
      </c>
      <c r="W17" s="418">
        <f>VLOOKUP('Physical Effects'!AR21,Lookup!$B$4:$C$14,2,FALSE)</f>
        <v>0</v>
      </c>
      <c r="X17" s="418">
        <f>VLOOKUP('Physical Effects'!AT21,Lookup!$B$4:$C$14,2,FALSE)</f>
        <v>0</v>
      </c>
      <c r="Y17" s="418">
        <f>VLOOKUP('Physical Effects'!AV21,Lookup!$B$4:$C$14,2,FALSE)</f>
        <v>0</v>
      </c>
      <c r="Z17" s="418">
        <f>VLOOKUP('Physical Effects'!AX21,Lookup!$B$4:$C$14,2,FALSE)</f>
        <v>0</v>
      </c>
      <c r="AA17" s="418">
        <f>VLOOKUP('Physical Effects'!AZ21,Lookup!$B$4:$C$14,2,FALSE)</f>
        <v>0</v>
      </c>
      <c r="AB17" s="418">
        <f>VLOOKUP('Physical Effects'!BB21,Lookup!$B$4:$C$14,2,FALSE)</f>
        <v>0</v>
      </c>
      <c r="AC17" s="418">
        <f>VLOOKUP('Physical Effects'!BD21,Lookup!$B$4:$C$14,2,FALSE)</f>
        <v>0</v>
      </c>
      <c r="AD17" s="418">
        <f>VLOOKUP('Physical Effects'!BF21,Lookup!$B$4:$C$14,2,FALSE)</f>
        <v>0</v>
      </c>
      <c r="AE17" s="418">
        <f>VLOOKUP('Physical Effects'!BH21,Lookup!$B$4:$C$14,2,FALSE)</f>
        <v>2</v>
      </c>
      <c r="AF17" s="418">
        <f>VLOOKUP('Physical Effects'!BJ21,Lookup!$B$4:$C$14,2,FALSE)</f>
        <v>2</v>
      </c>
      <c r="AG17" s="418">
        <f>VLOOKUP('Physical Effects'!BL21,Lookup!$B$4:$C$14,2,FALSE)</f>
        <v>2</v>
      </c>
      <c r="AH17" s="418">
        <f>VLOOKUP('Physical Effects'!BN21,Lookup!$B$4:$C$14,2,FALSE)</f>
        <v>0</v>
      </c>
      <c r="AI17" s="418">
        <f>VLOOKUP('Physical Effects'!BP21,Lookup!$B$4:$C$14,2,FALSE)</f>
        <v>0</v>
      </c>
      <c r="AJ17" s="418">
        <f>VLOOKUP('Physical Effects'!BR21,Lookup!$B$4:$C$14,2,FALSE)</f>
        <v>0</v>
      </c>
      <c r="AK17" s="418">
        <f>VLOOKUP('Physical Effects'!BT21,Lookup!$B$4:$C$14,2,FALSE)</f>
        <v>0</v>
      </c>
      <c r="AL17" s="418">
        <f>VLOOKUP('Physical Effects'!BV21,Lookup!$B$4:$C$14,2,FALSE)</f>
        <v>0</v>
      </c>
      <c r="AM17" s="418">
        <f>VLOOKUP('Physical Effects'!BX21,Lookup!$B$4:$C$14,2,FALSE)</f>
        <v>0</v>
      </c>
      <c r="AN17" s="418">
        <f>VLOOKUP('Physical Effects'!BZ21,Lookup!$B$4:$C$14,2,FALSE)</f>
        <v>0</v>
      </c>
      <c r="AO17" s="418">
        <f>VLOOKUP('Physical Effects'!CB21,Lookup!$B$4:$C$14,2,FALSE)</f>
        <v>0</v>
      </c>
      <c r="AP17" s="418">
        <f>VLOOKUP('Physical Effects'!CD21,Lookup!$B$4:$C$14,2,FALSE)</f>
        <v>0</v>
      </c>
      <c r="AQ17" s="418">
        <f>VLOOKUP('Physical Effects'!CF21,Lookup!$B$4:$C$14,2,FALSE)</f>
        <v>0</v>
      </c>
      <c r="AR17" s="418">
        <f>VLOOKUP('Physical Effects'!CH21,Lookup!$B$4:$C$14,2,FALSE)</f>
        <v>0</v>
      </c>
      <c r="AS17" s="418">
        <f>VLOOKUP('Physical Effects'!CJ21,Lookup!$B$4:$C$14,2,FALSE)</f>
        <v>0</v>
      </c>
      <c r="AT17" s="418">
        <f>VLOOKUP('Physical Effects'!CL21,Lookup!$B$4:$C$14,2,FALSE)</f>
        <v>4</v>
      </c>
      <c r="AU17" s="418">
        <f>VLOOKUP('Physical Effects'!CN21,Lookup!$B$4:$C$14,2,FALSE)</f>
        <v>0</v>
      </c>
      <c r="AV17" s="28"/>
      <c r="AW17" s="23"/>
      <c r="AX17" s="23"/>
      <c r="AY17" s="23"/>
      <c r="AZ17" s="23"/>
      <c r="BA17" s="23"/>
      <c r="BB17" s="23"/>
      <c r="BC17" s="23"/>
      <c r="BD17" s="23"/>
      <c r="BE17" s="23"/>
      <c r="BF17" s="23"/>
    </row>
    <row r="18" spans="1:58" s="5" customFormat="1" ht="13.5" thickBot="1" x14ac:dyDescent="0.25">
      <c r="A18" s="123">
        <f t="shared" si="0"/>
        <v>17</v>
      </c>
      <c r="B18" s="19" t="str">
        <f>+'Physical Effects'!B22</f>
        <v>Channel Bed Stabilization</v>
      </c>
      <c r="C18" s="32">
        <f>+'Physical Effects'!D22</f>
        <v>584</v>
      </c>
      <c r="D18" s="418">
        <f>VLOOKUP('Physical Effects'!F22,Lookup!$B$4:$C$14,2,FALSE)</f>
        <v>0</v>
      </c>
      <c r="E18" s="418">
        <f>VLOOKUP('Physical Effects'!H22,Lookup!$B$4:$C$14,2,FALSE)</f>
        <v>0</v>
      </c>
      <c r="F18" s="418">
        <f>VLOOKUP('Physical Effects'!J22,Lookup!$B$4:$C$14,2,FALSE)</f>
        <v>0</v>
      </c>
      <c r="G18" s="418">
        <f>VLOOKUP('Physical Effects'!L22,Lookup!$B$4:$C$14,2,FALSE)</f>
        <v>2</v>
      </c>
      <c r="H18" s="418">
        <f>VLOOKUP('Physical Effects'!N22,Lookup!$B$4:$C$14,2,FALSE)</f>
        <v>2</v>
      </c>
      <c r="I18" s="418">
        <f>VLOOKUP('Physical Effects'!P22,Lookup!$B$4:$C$14,2,FALSE)</f>
        <v>0</v>
      </c>
      <c r="J18" s="418">
        <f>VLOOKUP('Physical Effects'!R22,Lookup!$B$4:$C$14,2,FALSE)</f>
        <v>0</v>
      </c>
      <c r="K18" s="418">
        <f>VLOOKUP('Physical Effects'!T22,Lookup!$B$4:$C$14,2,FALSE)</f>
        <v>0</v>
      </c>
      <c r="L18" s="418">
        <f>VLOOKUP('Physical Effects'!V22,Lookup!$B$4:$C$14,2,FALSE)</f>
        <v>0</v>
      </c>
      <c r="M18" s="418">
        <f>VLOOKUP('Physical Effects'!X22,Lookup!$B$4:$C$14,2,FALSE)</f>
        <v>2</v>
      </c>
      <c r="N18" s="418">
        <f>VLOOKUP('Physical Effects'!Z22,Lookup!$B$4:$C$14,2,FALSE)</f>
        <v>2</v>
      </c>
      <c r="O18" s="418">
        <f>VLOOKUP('Physical Effects'!AB22,Lookup!$B$4:$C$14,2,FALSE)</f>
        <v>0</v>
      </c>
      <c r="P18" s="418">
        <f>VLOOKUP('Physical Effects'!AD22,Lookup!$B$4:$C$14,2,FALSE)</f>
        <v>0</v>
      </c>
      <c r="Q18" s="418">
        <f>VLOOKUP('Physical Effects'!AF22,Lookup!$B$4:$C$14,2,FALSE)</f>
        <v>0</v>
      </c>
      <c r="R18" s="418">
        <f>VLOOKUP('Physical Effects'!AH22,Lookup!$B$4:$C$14,2,FALSE)</f>
        <v>0</v>
      </c>
      <c r="S18" s="418">
        <f>VLOOKUP('Physical Effects'!AJ22,Lookup!$B$4:$C$14,2,FALSE)</f>
        <v>0</v>
      </c>
      <c r="T18" s="418">
        <f>VLOOKUP('Physical Effects'!AL22,Lookup!$B$4:$C$14,2,FALSE)</f>
        <v>0</v>
      </c>
      <c r="U18" s="418">
        <f>VLOOKUP('Physical Effects'!AN22,Lookup!$B$4:$C$14,2,FALSE)</f>
        <v>0</v>
      </c>
      <c r="V18" s="418">
        <f>VLOOKUP('Physical Effects'!AP22,Lookup!$B$4:$C$14,2,FALSE)</f>
        <v>0</v>
      </c>
      <c r="W18" s="418">
        <f>VLOOKUP('Physical Effects'!AR22,Lookup!$B$4:$C$14,2,FALSE)</f>
        <v>0</v>
      </c>
      <c r="X18" s="418">
        <f>VLOOKUP('Physical Effects'!AT22,Lookup!$B$4:$C$14,2,FALSE)</f>
        <v>0</v>
      </c>
      <c r="Y18" s="418">
        <f>VLOOKUP('Physical Effects'!AV22,Lookup!$B$4:$C$14,2,FALSE)</f>
        <v>0</v>
      </c>
      <c r="Z18" s="418">
        <f>VLOOKUP('Physical Effects'!AX22,Lookup!$B$4:$C$14,2,FALSE)</f>
        <v>0</v>
      </c>
      <c r="AA18" s="418">
        <f>VLOOKUP('Physical Effects'!AZ22,Lookup!$B$4:$C$14,2,FALSE)</f>
        <v>1</v>
      </c>
      <c r="AB18" s="418">
        <f>VLOOKUP('Physical Effects'!BB22,Lookup!$B$4:$C$14,2,FALSE)</f>
        <v>1</v>
      </c>
      <c r="AC18" s="418">
        <f>VLOOKUP('Physical Effects'!BD22,Lookup!$B$4:$C$14,2,FALSE)</f>
        <v>0</v>
      </c>
      <c r="AD18" s="418">
        <f>VLOOKUP('Physical Effects'!BF22,Lookup!$B$4:$C$14,2,FALSE)</f>
        <v>0</v>
      </c>
      <c r="AE18" s="418">
        <f>VLOOKUP('Physical Effects'!BH22,Lookup!$B$4:$C$14,2,FALSE)</f>
        <v>0</v>
      </c>
      <c r="AF18" s="418">
        <f>VLOOKUP('Physical Effects'!BJ22,Lookup!$B$4:$C$14,2,FALSE)</f>
        <v>0</v>
      </c>
      <c r="AG18" s="418">
        <f>VLOOKUP('Physical Effects'!BL22,Lookup!$B$4:$C$14,2,FALSE)</f>
        <v>0</v>
      </c>
      <c r="AH18" s="418">
        <f>VLOOKUP('Physical Effects'!BN22,Lookup!$B$4:$C$14,2,FALSE)</f>
        <v>0</v>
      </c>
      <c r="AI18" s="418">
        <f>VLOOKUP('Physical Effects'!BP22,Lookup!$B$4:$C$14,2,FALSE)</f>
        <v>2</v>
      </c>
      <c r="AJ18" s="418">
        <f>VLOOKUP('Physical Effects'!BR22,Lookup!$B$4:$C$14,2,FALSE)</f>
        <v>4</v>
      </c>
      <c r="AK18" s="418">
        <f>VLOOKUP('Physical Effects'!BT22,Lookup!$B$4:$C$14,2,FALSE)</f>
        <v>4</v>
      </c>
      <c r="AL18" s="418">
        <f>VLOOKUP('Physical Effects'!BV22,Lookup!$B$4:$C$14,2,FALSE)</f>
        <v>0</v>
      </c>
      <c r="AM18" s="418">
        <f>VLOOKUP('Physical Effects'!BX22,Lookup!$B$4:$C$14,2,FALSE)</f>
        <v>1</v>
      </c>
      <c r="AN18" s="418">
        <f>VLOOKUP('Physical Effects'!BZ22,Lookup!$B$4:$C$14,2,FALSE)</f>
        <v>1</v>
      </c>
      <c r="AO18" s="418">
        <f>VLOOKUP('Physical Effects'!CB22,Lookup!$B$4:$C$14,2,FALSE)</f>
        <v>1</v>
      </c>
      <c r="AP18" s="418">
        <f>VLOOKUP('Physical Effects'!CD22,Lookup!$B$4:$C$14,2,FALSE)</f>
        <v>2</v>
      </c>
      <c r="AQ18" s="418">
        <f>VLOOKUP('Physical Effects'!CF22,Lookup!$B$4:$C$14,2,FALSE)</f>
        <v>0</v>
      </c>
      <c r="AR18" s="418">
        <f>VLOOKUP('Physical Effects'!CH22,Lookup!$B$4:$C$14,2,FALSE)</f>
        <v>0</v>
      </c>
      <c r="AS18" s="418">
        <f>VLOOKUP('Physical Effects'!CJ22,Lookup!$B$4:$C$14,2,FALSE)</f>
        <v>0</v>
      </c>
      <c r="AT18" s="418">
        <f>VLOOKUP('Physical Effects'!CL22,Lookup!$B$4:$C$14,2,FALSE)</f>
        <v>0</v>
      </c>
      <c r="AU18" s="418">
        <f>VLOOKUP('Physical Effects'!CN22,Lookup!$B$4:$C$14,2,FALSE)</f>
        <v>0</v>
      </c>
      <c r="AV18" s="28"/>
      <c r="AW18" s="23"/>
      <c r="AX18" s="23"/>
      <c r="AY18" s="23"/>
      <c r="AZ18" s="23"/>
      <c r="BA18" s="23"/>
      <c r="BB18" s="23"/>
      <c r="BC18" s="23"/>
      <c r="BD18" s="23"/>
      <c r="BE18" s="23"/>
      <c r="BF18" s="23"/>
    </row>
    <row r="19" spans="1:58" s="5" customFormat="1" ht="13.5" thickBot="1" x14ac:dyDescent="0.25">
      <c r="A19" s="123">
        <f t="shared" si="0"/>
        <v>18</v>
      </c>
      <c r="B19" s="19" t="str">
        <f>+'Physical Effects'!B23</f>
        <v>Clearing &amp; Snagging</v>
      </c>
      <c r="C19" s="32">
        <f>+'Physical Effects'!D23</f>
        <v>326</v>
      </c>
      <c r="D19" s="418">
        <f>VLOOKUP('Physical Effects'!F23,Lookup!$B$4:$C$14,2,FALSE)</f>
        <v>0</v>
      </c>
      <c r="E19" s="418">
        <f>VLOOKUP('Physical Effects'!H23,Lookup!$B$4:$C$14,2,FALSE)</f>
        <v>0</v>
      </c>
      <c r="F19" s="418">
        <f>VLOOKUP('Physical Effects'!J23,Lookup!$B$4:$C$14,2,FALSE)</f>
        <v>0</v>
      </c>
      <c r="G19" s="418">
        <f>VLOOKUP('Physical Effects'!L23,Lookup!$B$4:$C$14,2,FALSE)</f>
        <v>0</v>
      </c>
      <c r="H19" s="418">
        <f>VLOOKUP('Physical Effects'!N23,Lookup!$B$4:$C$14,2,FALSE)</f>
        <v>2</v>
      </c>
      <c r="I19" s="418">
        <f>VLOOKUP('Physical Effects'!P23,Lookup!$B$4:$C$14,2,FALSE)</f>
        <v>0</v>
      </c>
      <c r="J19" s="418">
        <f>VLOOKUP('Physical Effects'!R23,Lookup!$B$4:$C$14,2,FALSE)</f>
        <v>0</v>
      </c>
      <c r="K19" s="418">
        <f>VLOOKUP('Physical Effects'!T23,Lookup!$B$4:$C$14,2,FALSE)</f>
        <v>0</v>
      </c>
      <c r="L19" s="418">
        <f>VLOOKUP('Physical Effects'!V23,Lookup!$B$4:$C$14,2,FALSE)</f>
        <v>0</v>
      </c>
      <c r="M19" s="418">
        <f>VLOOKUP('Physical Effects'!X23,Lookup!$B$4:$C$14,2,FALSE)</f>
        <v>0</v>
      </c>
      <c r="N19" s="418">
        <f>VLOOKUP('Physical Effects'!Z23,Lookup!$B$4:$C$14,2,FALSE)</f>
        <v>2</v>
      </c>
      <c r="O19" s="418">
        <f>VLOOKUP('Physical Effects'!AB23,Lookup!$B$4:$C$14,2,FALSE)</f>
        <v>0</v>
      </c>
      <c r="P19" s="418">
        <f>VLOOKUP('Physical Effects'!AD23,Lookup!$B$4:$C$14,2,FALSE)</f>
        <v>0</v>
      </c>
      <c r="Q19" s="418">
        <f>VLOOKUP('Physical Effects'!AF23,Lookup!$B$4:$C$14,2,FALSE)</f>
        <v>0</v>
      </c>
      <c r="R19" s="418">
        <f>VLOOKUP('Physical Effects'!AH23,Lookup!$B$4:$C$14,2,FALSE)</f>
        <v>0</v>
      </c>
      <c r="S19" s="418">
        <f>VLOOKUP('Physical Effects'!AJ23,Lookup!$B$4:$C$14,2,FALSE)</f>
        <v>0</v>
      </c>
      <c r="T19" s="418">
        <f>VLOOKUP('Physical Effects'!AL23,Lookup!$B$4:$C$14,2,FALSE)</f>
        <v>0</v>
      </c>
      <c r="U19" s="418">
        <f>VLOOKUP('Physical Effects'!AN23,Lookup!$B$4:$C$14,2,FALSE)</f>
        <v>0</v>
      </c>
      <c r="V19" s="418">
        <f>VLOOKUP('Physical Effects'!AP23,Lookup!$B$4:$C$14,2,FALSE)</f>
        <v>0</v>
      </c>
      <c r="W19" s="418">
        <f>VLOOKUP('Physical Effects'!AR23,Lookup!$B$4:$C$14,2,FALSE)</f>
        <v>0</v>
      </c>
      <c r="X19" s="418">
        <f>VLOOKUP('Physical Effects'!AT23,Lookup!$B$4:$C$14,2,FALSE)</f>
        <v>0</v>
      </c>
      <c r="Y19" s="418">
        <f>VLOOKUP('Physical Effects'!AV23,Lookup!$B$4:$C$14,2,FALSE)</f>
        <v>0</v>
      </c>
      <c r="Z19" s="418">
        <f>VLOOKUP('Physical Effects'!AX23,Lookup!$B$4:$C$14,2,FALSE)</f>
        <v>0</v>
      </c>
      <c r="AA19" s="418">
        <f>VLOOKUP('Physical Effects'!AZ23,Lookup!$B$4:$C$14,2,FALSE)</f>
        <v>-2</v>
      </c>
      <c r="AB19" s="418">
        <f>VLOOKUP('Physical Effects'!BB23,Lookup!$B$4:$C$14,2,FALSE)</f>
        <v>-1</v>
      </c>
      <c r="AC19" s="418">
        <f>VLOOKUP('Physical Effects'!BD23,Lookup!$B$4:$C$14,2,FALSE)</f>
        <v>0</v>
      </c>
      <c r="AD19" s="418">
        <f>VLOOKUP('Physical Effects'!BF23,Lookup!$B$4:$C$14,2,FALSE)</f>
        <v>0</v>
      </c>
      <c r="AE19" s="418">
        <f>VLOOKUP('Physical Effects'!BH23,Lookup!$B$4:$C$14,2,FALSE)</f>
        <v>0</v>
      </c>
      <c r="AF19" s="418">
        <f>VLOOKUP('Physical Effects'!BJ23,Lookup!$B$4:$C$14,2,FALSE)</f>
        <v>0</v>
      </c>
      <c r="AG19" s="418">
        <f>VLOOKUP('Physical Effects'!BL23,Lookup!$B$4:$C$14,2,FALSE)</f>
        <v>0</v>
      </c>
      <c r="AH19" s="418">
        <f>VLOOKUP('Physical Effects'!BN23,Lookup!$B$4:$C$14,2,FALSE)</f>
        <v>0</v>
      </c>
      <c r="AI19" s="418">
        <f>VLOOKUP('Physical Effects'!BP23,Lookup!$B$4:$C$14,2,FALSE)</f>
        <v>0</v>
      </c>
      <c r="AJ19" s="418">
        <f>VLOOKUP('Physical Effects'!BR23,Lookup!$B$4:$C$14,2,FALSE)</f>
        <v>0</v>
      </c>
      <c r="AK19" s="418">
        <f>VLOOKUP('Physical Effects'!BT23,Lookup!$B$4:$C$14,2,FALSE)</f>
        <v>1</v>
      </c>
      <c r="AL19" s="418">
        <f>VLOOKUP('Physical Effects'!BV23,Lookup!$B$4:$C$14,2,FALSE)</f>
        <v>0</v>
      </c>
      <c r="AM19" s="418">
        <f>VLOOKUP('Physical Effects'!BX23,Lookup!$B$4:$C$14,2,FALSE)</f>
        <v>-2</v>
      </c>
      <c r="AN19" s="418">
        <f>VLOOKUP('Physical Effects'!BZ23,Lookup!$B$4:$C$14,2,FALSE)</f>
        <v>-2</v>
      </c>
      <c r="AO19" s="418">
        <f>VLOOKUP('Physical Effects'!CB23,Lookup!$B$4:$C$14,2,FALSE)</f>
        <v>-1</v>
      </c>
      <c r="AP19" s="418">
        <f>VLOOKUP('Physical Effects'!CD23,Lookup!$B$4:$C$14,2,FALSE)</f>
        <v>-2</v>
      </c>
      <c r="AQ19" s="418">
        <f>VLOOKUP('Physical Effects'!CF23,Lookup!$B$4:$C$14,2,FALSE)</f>
        <v>0</v>
      </c>
      <c r="AR19" s="418">
        <f>VLOOKUP('Physical Effects'!CH23,Lookup!$B$4:$C$14,2,FALSE)</f>
        <v>0</v>
      </c>
      <c r="AS19" s="418">
        <f>VLOOKUP('Physical Effects'!CJ23,Lookup!$B$4:$C$14,2,FALSE)</f>
        <v>0</v>
      </c>
      <c r="AT19" s="418">
        <f>VLOOKUP('Physical Effects'!CL23,Lookup!$B$4:$C$14,2,FALSE)</f>
        <v>0</v>
      </c>
      <c r="AU19" s="418">
        <f>VLOOKUP('Physical Effects'!CN23,Lookup!$B$4:$C$14,2,FALSE)</f>
        <v>0</v>
      </c>
      <c r="AV19" s="28"/>
      <c r="AW19" s="23"/>
      <c r="AX19" s="23"/>
      <c r="AY19" s="23"/>
      <c r="AZ19" s="23"/>
      <c r="BA19" s="23"/>
      <c r="BB19" s="23"/>
      <c r="BC19" s="23"/>
      <c r="BD19" s="23"/>
      <c r="BE19" s="23"/>
      <c r="BF19" s="23"/>
    </row>
    <row r="20" spans="1:58" s="5" customFormat="1" ht="13.5" thickBot="1" x14ac:dyDescent="0.25">
      <c r="A20" s="123">
        <f t="shared" si="0"/>
        <v>19</v>
      </c>
      <c r="B20" s="19" t="str">
        <f>+'Physical Effects'!B24</f>
        <v>Combustion System Improvement</v>
      </c>
      <c r="C20" s="32">
        <f>+'Physical Effects'!D24</f>
        <v>372</v>
      </c>
      <c r="D20" s="418">
        <f>VLOOKUP('Physical Effects'!F24,Lookup!$B$4:$C$14,2,FALSE)</f>
        <v>0</v>
      </c>
      <c r="E20" s="418">
        <f>VLOOKUP('Physical Effects'!H24,Lookup!$B$4:$C$14,2,FALSE)</f>
        <v>0</v>
      </c>
      <c r="F20" s="418">
        <f>VLOOKUP('Physical Effects'!J24,Lookup!$B$4:$C$14,2,FALSE)</f>
        <v>0</v>
      </c>
      <c r="G20" s="418">
        <f>VLOOKUP('Physical Effects'!L24,Lookup!$B$4:$C$14,2,FALSE)</f>
        <v>0</v>
      </c>
      <c r="H20" s="418">
        <f>VLOOKUP('Physical Effects'!N24,Lookup!$B$4:$C$14,2,FALSE)</f>
        <v>0</v>
      </c>
      <c r="I20" s="418">
        <f>VLOOKUP('Physical Effects'!P24,Lookup!$B$4:$C$14,2,FALSE)</f>
        <v>0</v>
      </c>
      <c r="J20" s="418">
        <f>VLOOKUP('Physical Effects'!R24,Lookup!$B$4:$C$14,2,FALSE)</f>
        <v>0</v>
      </c>
      <c r="K20" s="418">
        <f>VLOOKUP('Physical Effects'!T24,Lookup!$B$4:$C$14,2,FALSE)</f>
        <v>0</v>
      </c>
      <c r="L20" s="418">
        <f>VLOOKUP('Physical Effects'!V24,Lookup!$B$4:$C$14,2,FALSE)</f>
        <v>0</v>
      </c>
      <c r="M20" s="418">
        <f>VLOOKUP('Physical Effects'!X24,Lookup!$B$4:$C$14,2,FALSE)</f>
        <v>0</v>
      </c>
      <c r="N20" s="418">
        <f>VLOOKUP('Physical Effects'!Z24,Lookup!$B$4:$C$14,2,FALSE)</f>
        <v>0</v>
      </c>
      <c r="O20" s="418">
        <f>VLOOKUP('Physical Effects'!AB24,Lookup!$B$4:$C$14,2,FALSE)</f>
        <v>0</v>
      </c>
      <c r="P20" s="418">
        <f>VLOOKUP('Physical Effects'!AD24,Lookup!$B$4:$C$14,2,FALSE)</f>
        <v>0</v>
      </c>
      <c r="Q20" s="418">
        <f>VLOOKUP('Physical Effects'!AF24,Lookup!$B$4:$C$14,2,FALSE)</f>
        <v>0</v>
      </c>
      <c r="R20" s="418">
        <f>VLOOKUP('Physical Effects'!AH24,Lookup!$B$4:$C$14,2,FALSE)</f>
        <v>0</v>
      </c>
      <c r="S20" s="418">
        <f>VLOOKUP('Physical Effects'!AJ24,Lookup!$B$4:$C$14,2,FALSE)</f>
        <v>0</v>
      </c>
      <c r="T20" s="418">
        <f>VLOOKUP('Physical Effects'!AL24,Lookup!$B$4:$C$14,2,FALSE)</f>
        <v>0</v>
      </c>
      <c r="U20" s="418">
        <f>VLOOKUP('Physical Effects'!AN24,Lookup!$B$4:$C$14,2,FALSE)</f>
        <v>0</v>
      </c>
      <c r="V20" s="418">
        <f>VLOOKUP('Physical Effects'!AP24,Lookup!$B$4:$C$14,2,FALSE)</f>
        <v>0</v>
      </c>
      <c r="W20" s="418">
        <f>VLOOKUP('Physical Effects'!AR24,Lookup!$B$4:$C$14,2,FALSE)</f>
        <v>0</v>
      </c>
      <c r="X20" s="418">
        <f>VLOOKUP('Physical Effects'!AT24,Lookup!$B$4:$C$14,2,FALSE)</f>
        <v>0</v>
      </c>
      <c r="Y20" s="418">
        <f>VLOOKUP('Physical Effects'!AV24,Lookup!$B$4:$C$14,2,FALSE)</f>
        <v>0</v>
      </c>
      <c r="Z20" s="418">
        <f>VLOOKUP('Physical Effects'!AX24,Lookup!$B$4:$C$14,2,FALSE)</f>
        <v>0</v>
      </c>
      <c r="AA20" s="418">
        <f>VLOOKUP('Physical Effects'!AZ24,Lookup!$B$4:$C$14,2,FALSE)</f>
        <v>0</v>
      </c>
      <c r="AB20" s="418">
        <f>VLOOKUP('Physical Effects'!BB24,Lookup!$B$4:$C$14,2,FALSE)</f>
        <v>0</v>
      </c>
      <c r="AC20" s="418">
        <f>VLOOKUP('Physical Effects'!BD24,Lookup!$B$4:$C$14,2,FALSE)</f>
        <v>0</v>
      </c>
      <c r="AD20" s="418">
        <f>VLOOKUP('Physical Effects'!BF24,Lookup!$B$4:$C$14,2,FALSE)</f>
        <v>0</v>
      </c>
      <c r="AE20" s="418">
        <f>VLOOKUP('Physical Effects'!BH24,Lookup!$B$4:$C$14,2,FALSE)</f>
        <v>4</v>
      </c>
      <c r="AF20" s="418">
        <f>VLOOKUP('Physical Effects'!BJ24,Lookup!$B$4:$C$14,2,FALSE)</f>
        <v>4</v>
      </c>
      <c r="AG20" s="418">
        <f>VLOOKUP('Physical Effects'!BL24,Lookup!$B$4:$C$14,2,FALSE)</f>
        <v>2</v>
      </c>
      <c r="AH20" s="418">
        <f>VLOOKUP('Physical Effects'!BN24,Lookup!$B$4:$C$14,2,FALSE)</f>
        <v>0</v>
      </c>
      <c r="AI20" s="418">
        <f>VLOOKUP('Physical Effects'!BP24,Lookup!$B$4:$C$14,2,FALSE)</f>
        <v>0</v>
      </c>
      <c r="AJ20" s="418">
        <f>VLOOKUP('Physical Effects'!BR24,Lookup!$B$4:$C$14,2,FALSE)</f>
        <v>0</v>
      </c>
      <c r="AK20" s="418">
        <f>VLOOKUP('Physical Effects'!BT24,Lookup!$B$4:$C$14,2,FALSE)</f>
        <v>0</v>
      </c>
      <c r="AL20" s="418">
        <f>VLOOKUP('Physical Effects'!BV24,Lookup!$B$4:$C$14,2,FALSE)</f>
        <v>0</v>
      </c>
      <c r="AM20" s="418">
        <f>VLOOKUP('Physical Effects'!BX24,Lookup!$B$4:$C$14,2,FALSE)</f>
        <v>0</v>
      </c>
      <c r="AN20" s="418">
        <f>VLOOKUP('Physical Effects'!BZ24,Lookup!$B$4:$C$14,2,FALSE)</f>
        <v>0</v>
      </c>
      <c r="AO20" s="418">
        <f>VLOOKUP('Physical Effects'!CB24,Lookup!$B$4:$C$14,2,FALSE)</f>
        <v>0</v>
      </c>
      <c r="AP20" s="418">
        <f>VLOOKUP('Physical Effects'!CD24,Lookup!$B$4:$C$14,2,FALSE)</f>
        <v>0</v>
      </c>
      <c r="AQ20" s="418">
        <f>VLOOKUP('Physical Effects'!CF24,Lookup!$B$4:$C$14,2,FALSE)</f>
        <v>0</v>
      </c>
      <c r="AR20" s="418">
        <f>VLOOKUP('Physical Effects'!CH24,Lookup!$B$4:$C$14,2,FALSE)</f>
        <v>0</v>
      </c>
      <c r="AS20" s="418">
        <f>VLOOKUP('Physical Effects'!CJ24,Lookup!$B$4:$C$14,2,FALSE)</f>
        <v>0</v>
      </c>
      <c r="AT20" s="418">
        <f>VLOOKUP('Physical Effects'!CL24,Lookup!$B$4:$C$14,2,FALSE)</f>
        <v>2</v>
      </c>
      <c r="AU20" s="418">
        <f>VLOOKUP('Physical Effects'!CN24,Lookup!$B$4:$C$14,2,FALSE)</f>
        <v>0</v>
      </c>
      <c r="AV20" s="28"/>
      <c r="AW20" s="23"/>
      <c r="AX20" s="23"/>
      <c r="AY20" s="23"/>
      <c r="AZ20" s="23"/>
      <c r="BA20" s="23"/>
      <c r="BB20" s="23"/>
      <c r="BC20" s="23"/>
      <c r="BD20" s="23"/>
      <c r="BE20" s="23"/>
      <c r="BF20" s="23"/>
    </row>
    <row r="21" spans="1:58" s="5" customFormat="1" ht="13.5" thickBot="1" x14ac:dyDescent="0.25">
      <c r="A21" s="123">
        <f t="shared" si="0"/>
        <v>20</v>
      </c>
      <c r="B21" s="19" t="str">
        <f>+'Physical Effects'!B25</f>
        <v>Composting Facility</v>
      </c>
      <c r="C21" s="32">
        <f>+'Physical Effects'!D25</f>
        <v>317</v>
      </c>
      <c r="D21" s="418">
        <f>VLOOKUP('Physical Effects'!F25,Lookup!$B$4:$C$14,2,FALSE)</f>
        <v>0</v>
      </c>
      <c r="E21" s="418">
        <f>VLOOKUP('Physical Effects'!H25,Lookup!$B$4:$C$14,2,FALSE)</f>
        <v>0</v>
      </c>
      <c r="F21" s="418">
        <f>VLOOKUP('Physical Effects'!J25,Lookup!$B$4:$C$14,2,FALSE)</f>
        <v>0</v>
      </c>
      <c r="G21" s="418">
        <f>VLOOKUP('Physical Effects'!L25,Lookup!$B$4:$C$14,2,FALSE)</f>
        <v>0</v>
      </c>
      <c r="H21" s="418">
        <f>VLOOKUP('Physical Effects'!N25,Lookup!$B$4:$C$14,2,FALSE)</f>
        <v>0</v>
      </c>
      <c r="I21" s="418">
        <f>VLOOKUP('Physical Effects'!P25,Lookup!$B$4:$C$14,2,FALSE)</f>
        <v>0</v>
      </c>
      <c r="J21" s="418">
        <f>VLOOKUP('Physical Effects'!R25,Lookup!$B$4:$C$14,2,FALSE)</f>
        <v>0</v>
      </c>
      <c r="K21" s="418">
        <f>VLOOKUP('Physical Effects'!T25,Lookup!$B$4:$C$14,2,FALSE)</f>
        <v>0</v>
      </c>
      <c r="L21" s="418">
        <f>VLOOKUP('Physical Effects'!V25,Lookup!$B$4:$C$14,2,FALSE)</f>
        <v>0</v>
      </c>
      <c r="M21" s="418">
        <f>VLOOKUP('Physical Effects'!X25,Lookup!$B$4:$C$14,2,FALSE)</f>
        <v>0</v>
      </c>
      <c r="N21" s="418">
        <f>VLOOKUP('Physical Effects'!Z25,Lookup!$B$4:$C$14,2,FALSE)</f>
        <v>0</v>
      </c>
      <c r="O21" s="418">
        <f>VLOOKUP('Physical Effects'!AB25,Lookup!$B$4:$C$14,2,FALSE)</f>
        <v>0</v>
      </c>
      <c r="P21" s="418">
        <f>VLOOKUP('Physical Effects'!AD25,Lookup!$B$4:$C$14,2,FALSE)</f>
        <v>0</v>
      </c>
      <c r="Q21" s="418">
        <f>VLOOKUP('Physical Effects'!AF25,Lookup!$B$4:$C$14,2,FALSE)</f>
        <v>0</v>
      </c>
      <c r="R21" s="418">
        <f>VLOOKUP('Physical Effects'!AH25,Lookup!$B$4:$C$14,2,FALSE)</f>
        <v>0</v>
      </c>
      <c r="S21" s="418">
        <f>VLOOKUP('Physical Effects'!AJ25,Lookup!$B$4:$C$14,2,FALSE)</f>
        <v>0</v>
      </c>
      <c r="T21" s="418">
        <f>VLOOKUP('Physical Effects'!AL25,Lookup!$B$4:$C$14,2,FALSE)</f>
        <v>0</v>
      </c>
      <c r="U21" s="418">
        <f>VLOOKUP('Physical Effects'!AN25,Lookup!$B$4:$C$14,2,FALSE)</f>
        <v>2</v>
      </c>
      <c r="V21" s="418">
        <f>VLOOKUP('Physical Effects'!AP25,Lookup!$B$4:$C$14,2,FALSE)</f>
        <v>2</v>
      </c>
      <c r="W21" s="418">
        <f>VLOOKUP('Physical Effects'!AR25,Lookup!$B$4:$C$14,2,FALSE)</f>
        <v>0</v>
      </c>
      <c r="X21" s="418">
        <f>VLOOKUP('Physical Effects'!AT25,Lookup!$B$4:$C$14,2,FALSE)</f>
        <v>0</v>
      </c>
      <c r="Y21" s="418">
        <f>VLOOKUP('Physical Effects'!AV25,Lookup!$B$4:$C$14,2,FALSE)</f>
        <v>2</v>
      </c>
      <c r="Z21" s="418">
        <f>VLOOKUP('Physical Effects'!AX25,Lookup!$B$4:$C$14,2,FALSE)</f>
        <v>2</v>
      </c>
      <c r="AA21" s="418">
        <f>VLOOKUP('Physical Effects'!AZ25,Lookup!$B$4:$C$14,2,FALSE)</f>
        <v>0</v>
      </c>
      <c r="AB21" s="418">
        <f>VLOOKUP('Physical Effects'!BB25,Lookup!$B$4:$C$14,2,FALSE)</f>
        <v>0</v>
      </c>
      <c r="AC21" s="418">
        <f>VLOOKUP('Physical Effects'!BD25,Lookup!$B$4:$C$14,2,FALSE)</f>
        <v>0</v>
      </c>
      <c r="AD21" s="418">
        <f>VLOOKUP('Physical Effects'!BF25,Lookup!$B$4:$C$14,2,FALSE)</f>
        <v>0</v>
      </c>
      <c r="AE21" s="418">
        <f>VLOOKUP('Physical Effects'!BH25,Lookup!$B$4:$C$14,2,FALSE)</f>
        <v>1</v>
      </c>
      <c r="AF21" s="418">
        <f>VLOOKUP('Physical Effects'!BJ25,Lookup!$B$4:$C$14,2,FALSE)</f>
        <v>1</v>
      </c>
      <c r="AG21" s="418">
        <f>VLOOKUP('Physical Effects'!BL25,Lookup!$B$4:$C$14,2,FALSE)</f>
        <v>1</v>
      </c>
      <c r="AH21" s="418">
        <f>VLOOKUP('Physical Effects'!BN25,Lookup!$B$4:$C$14,2,FALSE)</f>
        <v>3</v>
      </c>
      <c r="AI21" s="418">
        <f>VLOOKUP('Physical Effects'!BP25,Lookup!$B$4:$C$14,2,FALSE)</f>
        <v>0</v>
      </c>
      <c r="AJ21" s="418">
        <f>VLOOKUP('Physical Effects'!BR25,Lookup!$B$4:$C$14,2,FALSE)</f>
        <v>0</v>
      </c>
      <c r="AK21" s="418">
        <f>VLOOKUP('Physical Effects'!BT25,Lookup!$B$4:$C$14,2,FALSE)</f>
        <v>1</v>
      </c>
      <c r="AL21" s="418">
        <f>VLOOKUP('Physical Effects'!BV25,Lookup!$B$4:$C$14,2,FALSE)</f>
        <v>0</v>
      </c>
      <c r="AM21" s="418">
        <f>VLOOKUP('Physical Effects'!BX25,Lookup!$B$4:$C$14,2,FALSE)</f>
        <v>0</v>
      </c>
      <c r="AN21" s="418">
        <f>VLOOKUP('Physical Effects'!BZ25,Lookup!$B$4:$C$14,2,FALSE)</f>
        <v>0</v>
      </c>
      <c r="AO21" s="418">
        <f>VLOOKUP('Physical Effects'!CB25,Lookup!$B$4:$C$14,2,FALSE)</f>
        <v>0</v>
      </c>
      <c r="AP21" s="418">
        <f>VLOOKUP('Physical Effects'!CD25,Lookup!$B$4:$C$14,2,FALSE)</f>
        <v>0</v>
      </c>
      <c r="AQ21" s="418">
        <f>VLOOKUP('Physical Effects'!CF25,Lookup!$B$4:$C$14,2,FALSE)</f>
        <v>0</v>
      </c>
      <c r="AR21" s="418">
        <f>VLOOKUP('Physical Effects'!CH25,Lookup!$B$4:$C$14,2,FALSE)</f>
        <v>0</v>
      </c>
      <c r="AS21" s="418">
        <f>VLOOKUP('Physical Effects'!CJ25,Lookup!$B$4:$C$14,2,FALSE)</f>
        <v>0</v>
      </c>
      <c r="AT21" s="418">
        <f>VLOOKUP('Physical Effects'!CL25,Lookup!$B$4:$C$14,2,FALSE)</f>
        <v>1</v>
      </c>
      <c r="AU21" s="418">
        <f>VLOOKUP('Physical Effects'!CN25,Lookup!$B$4:$C$14,2,FALSE)</f>
        <v>2</v>
      </c>
      <c r="AV21" s="28"/>
      <c r="AW21" s="23"/>
      <c r="AX21" s="23"/>
      <c r="AY21" s="23"/>
      <c r="AZ21" s="23"/>
      <c r="BA21" s="23"/>
      <c r="BB21" s="23"/>
      <c r="BC21" s="23"/>
      <c r="BD21" s="23"/>
      <c r="BE21" s="23"/>
      <c r="BF21" s="23"/>
    </row>
    <row r="22" spans="1:58" s="5" customFormat="1" ht="13.5" thickBot="1" x14ac:dyDescent="0.25">
      <c r="A22" s="123">
        <f t="shared" si="0"/>
        <v>21</v>
      </c>
      <c r="B22" s="19" t="str">
        <f>+'Physical Effects'!B26</f>
        <v>Conservation Cover</v>
      </c>
      <c r="C22" s="32">
        <f>+'Physical Effects'!D26</f>
        <v>327</v>
      </c>
      <c r="D22" s="418">
        <f>VLOOKUP('Physical Effects'!F26,Lookup!$B$4:$C$14,2,FALSE)</f>
        <v>4</v>
      </c>
      <c r="E22" s="418">
        <f>VLOOKUP('Physical Effects'!H26,Lookup!$B$4:$C$14,2,FALSE)</f>
        <v>4</v>
      </c>
      <c r="F22" s="418">
        <f>VLOOKUP('Physical Effects'!J26,Lookup!$B$4:$C$14,2,FALSE)</f>
        <v>1</v>
      </c>
      <c r="G22" s="418">
        <f>VLOOKUP('Physical Effects'!L26,Lookup!$B$4:$C$14,2,FALSE)</f>
        <v>1</v>
      </c>
      <c r="H22" s="418">
        <f>VLOOKUP('Physical Effects'!N26,Lookup!$B$4:$C$14,2,FALSE)</f>
        <v>1</v>
      </c>
      <c r="I22" s="418">
        <f>VLOOKUP('Physical Effects'!P26,Lookup!$B$4:$C$14,2,FALSE)</f>
        <v>5</v>
      </c>
      <c r="J22" s="418">
        <f>VLOOKUP('Physical Effects'!R26,Lookup!$B$4:$C$14,2,FALSE)</f>
        <v>3</v>
      </c>
      <c r="K22" s="418">
        <f>VLOOKUP('Physical Effects'!T26,Lookup!$B$4:$C$14,2,FALSE)</f>
        <v>0</v>
      </c>
      <c r="L22" s="418">
        <f>VLOOKUP('Physical Effects'!V26,Lookup!$B$4:$C$14,2,FALSE)</f>
        <v>2</v>
      </c>
      <c r="M22" s="418">
        <f>VLOOKUP('Physical Effects'!X26,Lookup!$B$4:$C$14,2,FALSE)</f>
        <v>1</v>
      </c>
      <c r="N22" s="418">
        <f>VLOOKUP('Physical Effects'!Z26,Lookup!$B$4:$C$14,2,FALSE)</f>
        <v>2</v>
      </c>
      <c r="O22" s="418">
        <f>VLOOKUP('Physical Effects'!AB26,Lookup!$B$4:$C$14,2,FALSE)</f>
        <v>1</v>
      </c>
      <c r="P22" s="418">
        <f>VLOOKUP('Physical Effects'!AD26,Lookup!$B$4:$C$14,2,FALSE)</f>
        <v>1</v>
      </c>
      <c r="Q22" s="418">
        <f>VLOOKUP('Physical Effects'!AF26,Lookup!$B$4:$C$14,2,FALSE)</f>
        <v>0</v>
      </c>
      <c r="R22" s="418">
        <f>VLOOKUP('Physical Effects'!AH26,Lookup!$B$4:$C$14,2,FALSE)</f>
        <v>0</v>
      </c>
      <c r="S22" s="418">
        <f>VLOOKUP('Physical Effects'!AJ26,Lookup!$B$4:$C$14,2,FALSE)</f>
        <v>2</v>
      </c>
      <c r="T22" s="418">
        <f>VLOOKUP('Physical Effects'!AL26,Lookup!$B$4:$C$14,2,FALSE)</f>
        <v>2</v>
      </c>
      <c r="U22" s="418">
        <f>VLOOKUP('Physical Effects'!AN26,Lookup!$B$4:$C$14,2,FALSE)</f>
        <v>4</v>
      </c>
      <c r="V22" s="418">
        <f>VLOOKUP('Physical Effects'!AP26,Lookup!$B$4:$C$14,2,FALSE)</f>
        <v>4</v>
      </c>
      <c r="W22" s="418">
        <f>VLOOKUP('Physical Effects'!AR26,Lookup!$B$4:$C$14,2,FALSE)</f>
        <v>5</v>
      </c>
      <c r="X22" s="418">
        <f>VLOOKUP('Physical Effects'!AT26,Lookup!$B$4:$C$14,2,FALSE)</f>
        <v>2</v>
      </c>
      <c r="Y22" s="418">
        <f>VLOOKUP('Physical Effects'!AV26,Lookup!$B$4:$C$14,2,FALSE)</f>
        <v>1</v>
      </c>
      <c r="Z22" s="418">
        <f>VLOOKUP('Physical Effects'!AX26,Lookup!$B$4:$C$14,2,FALSE)</f>
        <v>2</v>
      </c>
      <c r="AA22" s="418">
        <f>VLOOKUP('Physical Effects'!AZ26,Lookup!$B$4:$C$14,2,FALSE)</f>
        <v>4</v>
      </c>
      <c r="AB22" s="418">
        <f>VLOOKUP('Physical Effects'!BB26,Lookup!$B$4:$C$14,2,FALSE)</f>
        <v>0</v>
      </c>
      <c r="AC22" s="418">
        <f>VLOOKUP('Physical Effects'!BD26,Lookup!$B$4:$C$14,2,FALSE)</f>
        <v>0</v>
      </c>
      <c r="AD22" s="418">
        <f>VLOOKUP('Physical Effects'!BF26,Lookup!$B$4:$C$14,2,FALSE)</f>
        <v>0</v>
      </c>
      <c r="AE22" s="418">
        <f>VLOOKUP('Physical Effects'!BH26,Lookup!$B$4:$C$14,2,FALSE)</f>
        <v>2</v>
      </c>
      <c r="AF22" s="418">
        <f>VLOOKUP('Physical Effects'!BJ26,Lookup!$B$4:$C$14,2,FALSE)</f>
        <v>1</v>
      </c>
      <c r="AG22" s="418">
        <f>VLOOKUP('Physical Effects'!BL26,Lookup!$B$4:$C$14,2,FALSE)</f>
        <v>4</v>
      </c>
      <c r="AH22" s="418">
        <f>VLOOKUP('Physical Effects'!BN26,Lookup!$B$4:$C$14,2,FALSE)</f>
        <v>0</v>
      </c>
      <c r="AI22" s="418">
        <f>VLOOKUP('Physical Effects'!BP26,Lookup!$B$4:$C$14,2,FALSE)</f>
        <v>4</v>
      </c>
      <c r="AJ22" s="418">
        <f>VLOOKUP('Physical Effects'!BR26,Lookup!$B$4:$C$14,2,FALSE)</f>
        <v>4</v>
      </c>
      <c r="AK22" s="418">
        <f>VLOOKUP('Physical Effects'!BT26,Lookup!$B$4:$C$14,2,FALSE)</f>
        <v>4</v>
      </c>
      <c r="AL22" s="418">
        <f>VLOOKUP('Physical Effects'!BV26,Lookup!$B$4:$C$14,2,FALSE)</f>
        <v>0</v>
      </c>
      <c r="AM22" s="418">
        <f>VLOOKUP('Physical Effects'!BX26,Lookup!$B$4:$C$14,2,FALSE)</f>
        <v>4</v>
      </c>
      <c r="AN22" s="418">
        <f>VLOOKUP('Physical Effects'!BZ26,Lookup!$B$4:$C$14,2,FALSE)</f>
        <v>4</v>
      </c>
      <c r="AO22" s="418">
        <f>VLOOKUP('Physical Effects'!CB26,Lookup!$B$4:$C$14,2,FALSE)</f>
        <v>0</v>
      </c>
      <c r="AP22" s="418">
        <f>VLOOKUP('Physical Effects'!CD26,Lookup!$B$4:$C$14,2,FALSE)</f>
        <v>2</v>
      </c>
      <c r="AQ22" s="418">
        <f>VLOOKUP('Physical Effects'!CF26,Lookup!$B$4:$C$14,2,FALSE)</f>
        <v>0</v>
      </c>
      <c r="AR22" s="418">
        <f>VLOOKUP('Physical Effects'!CH26,Lookup!$B$4:$C$14,2,FALSE)</f>
        <v>0</v>
      </c>
      <c r="AS22" s="418">
        <f>VLOOKUP('Physical Effects'!CJ26,Lookup!$B$4:$C$14,2,FALSE)</f>
        <v>0</v>
      </c>
      <c r="AT22" s="418">
        <f>VLOOKUP('Physical Effects'!CL26,Lookup!$B$4:$C$14,2,FALSE)</f>
        <v>0</v>
      </c>
      <c r="AU22" s="418">
        <f>VLOOKUP('Physical Effects'!CN26,Lookup!$B$4:$C$14,2,FALSE)</f>
        <v>0</v>
      </c>
      <c r="AV22" s="28"/>
      <c r="AW22" s="23"/>
      <c r="AX22" s="23"/>
      <c r="AY22" s="23"/>
      <c r="AZ22" s="23"/>
      <c r="BA22" s="23"/>
      <c r="BB22" s="23"/>
      <c r="BC22" s="23"/>
      <c r="BD22" s="23"/>
      <c r="BE22" s="23"/>
      <c r="BF22" s="23"/>
    </row>
    <row r="23" spans="1:58" s="5" customFormat="1" ht="13.5" thickBot="1" x14ac:dyDescent="0.25">
      <c r="A23" s="123">
        <f t="shared" si="0"/>
        <v>22</v>
      </c>
      <c r="B23" s="19" t="str">
        <f>+'Physical Effects'!B27</f>
        <v>Conservation Crop Rotation</v>
      </c>
      <c r="C23" s="32">
        <f>+'Physical Effects'!D27</f>
        <v>328</v>
      </c>
      <c r="D23" s="418">
        <f>VLOOKUP('Physical Effects'!F27,Lookup!$B$4:$C$14,2,FALSE)</f>
        <v>4</v>
      </c>
      <c r="E23" s="418">
        <f>VLOOKUP('Physical Effects'!H27,Lookup!$B$4:$C$14,2,FALSE)</f>
        <v>4</v>
      </c>
      <c r="F23" s="418">
        <f>VLOOKUP('Physical Effects'!J27,Lookup!$B$4:$C$14,2,FALSE)</f>
        <v>0</v>
      </c>
      <c r="G23" s="418">
        <f>VLOOKUP('Physical Effects'!L27,Lookup!$B$4:$C$14,2,FALSE)</f>
        <v>0</v>
      </c>
      <c r="H23" s="418">
        <f>VLOOKUP('Physical Effects'!N27,Lookup!$B$4:$C$14,2,FALSE)</f>
        <v>0</v>
      </c>
      <c r="I23" s="418">
        <f>VLOOKUP('Physical Effects'!P27,Lookup!$B$4:$C$14,2,FALSE)</f>
        <v>4</v>
      </c>
      <c r="J23" s="418">
        <f>VLOOKUP('Physical Effects'!R27,Lookup!$B$4:$C$14,2,FALSE)</f>
        <v>1</v>
      </c>
      <c r="K23" s="418">
        <f>VLOOKUP('Physical Effects'!T27,Lookup!$B$4:$C$14,2,FALSE)</f>
        <v>0</v>
      </c>
      <c r="L23" s="418">
        <f>VLOOKUP('Physical Effects'!V27,Lookup!$B$4:$C$14,2,FALSE)</f>
        <v>2</v>
      </c>
      <c r="M23" s="418">
        <f>VLOOKUP('Physical Effects'!X27,Lookup!$B$4:$C$14,2,FALSE)</f>
        <v>1</v>
      </c>
      <c r="N23" s="418">
        <f>VLOOKUP('Physical Effects'!Z27,Lookup!$B$4:$C$14,2,FALSE)</f>
        <v>2</v>
      </c>
      <c r="O23" s="418">
        <f>VLOOKUP('Physical Effects'!AB27,Lookup!$B$4:$C$14,2,FALSE)</f>
        <v>1</v>
      </c>
      <c r="P23" s="418">
        <f>VLOOKUP('Physical Effects'!AD27,Lookup!$B$4:$C$14,2,FALSE)</f>
        <v>0</v>
      </c>
      <c r="Q23" s="418">
        <f>VLOOKUP('Physical Effects'!AF27,Lookup!$B$4:$C$14,2,FALSE)</f>
        <v>2</v>
      </c>
      <c r="R23" s="418">
        <f>VLOOKUP('Physical Effects'!AH27,Lookup!$B$4:$C$14,2,FALSE)</f>
        <v>2</v>
      </c>
      <c r="S23" s="418">
        <f>VLOOKUP('Physical Effects'!AJ27,Lookup!$B$4:$C$14,2,FALSE)</f>
        <v>2</v>
      </c>
      <c r="T23" s="418">
        <f>VLOOKUP('Physical Effects'!AL27,Lookup!$B$4:$C$14,2,FALSE)</f>
        <v>2</v>
      </c>
      <c r="U23" s="418">
        <f>VLOOKUP('Physical Effects'!AN27,Lookup!$B$4:$C$14,2,FALSE)</f>
        <v>2</v>
      </c>
      <c r="V23" s="418">
        <f>VLOOKUP('Physical Effects'!AP27,Lookup!$B$4:$C$14,2,FALSE)</f>
        <v>2</v>
      </c>
      <c r="W23" s="418">
        <f>VLOOKUP('Physical Effects'!AR27,Lookup!$B$4:$C$14,2,FALSE)</f>
        <v>1</v>
      </c>
      <c r="X23" s="418">
        <f>VLOOKUP('Physical Effects'!AT27,Lookup!$B$4:$C$14,2,FALSE)</f>
        <v>2</v>
      </c>
      <c r="Y23" s="418">
        <f>VLOOKUP('Physical Effects'!AV27,Lookup!$B$4:$C$14,2,FALSE)</f>
        <v>1</v>
      </c>
      <c r="Z23" s="418">
        <f>VLOOKUP('Physical Effects'!AX27,Lookup!$B$4:$C$14,2,FALSE)</f>
        <v>0</v>
      </c>
      <c r="AA23" s="418">
        <f>VLOOKUP('Physical Effects'!AZ27,Lookup!$B$4:$C$14,2,FALSE)</f>
        <v>2</v>
      </c>
      <c r="AB23" s="418">
        <f>VLOOKUP('Physical Effects'!BB27,Lookup!$B$4:$C$14,2,FALSE)</f>
        <v>0</v>
      </c>
      <c r="AC23" s="418">
        <f>VLOOKUP('Physical Effects'!BD27,Lookup!$B$4:$C$14,2,FALSE)</f>
        <v>0</v>
      </c>
      <c r="AD23" s="418">
        <f>VLOOKUP('Physical Effects'!BF27,Lookup!$B$4:$C$14,2,FALSE)</f>
        <v>0</v>
      </c>
      <c r="AE23" s="418">
        <f>VLOOKUP('Physical Effects'!BH27,Lookup!$B$4:$C$14,2,FALSE)</f>
        <v>1</v>
      </c>
      <c r="AF23" s="418">
        <f>VLOOKUP('Physical Effects'!BJ27,Lookup!$B$4:$C$14,2,FALSE)</f>
        <v>0</v>
      </c>
      <c r="AG23" s="418">
        <f>VLOOKUP('Physical Effects'!BL27,Lookup!$B$4:$C$14,2,FALSE)</f>
        <v>1</v>
      </c>
      <c r="AH23" s="418">
        <f>VLOOKUP('Physical Effects'!BN27,Lookup!$B$4:$C$14,2,FALSE)</f>
        <v>0</v>
      </c>
      <c r="AI23" s="418">
        <f>VLOOKUP('Physical Effects'!BP27,Lookup!$B$4:$C$14,2,FALSE)</f>
        <v>4</v>
      </c>
      <c r="AJ23" s="418">
        <f>VLOOKUP('Physical Effects'!BR27,Lookup!$B$4:$C$14,2,FALSE)</f>
        <v>4</v>
      </c>
      <c r="AK23" s="418">
        <f>VLOOKUP('Physical Effects'!BT27,Lookup!$B$4:$C$14,2,FALSE)</f>
        <v>2</v>
      </c>
      <c r="AL23" s="418">
        <f>VLOOKUP('Physical Effects'!BV27,Lookup!$B$4:$C$14,2,FALSE)</f>
        <v>0</v>
      </c>
      <c r="AM23" s="418">
        <f>VLOOKUP('Physical Effects'!BX27,Lookup!$B$4:$C$14,2,FALSE)</f>
        <v>2</v>
      </c>
      <c r="AN23" s="418">
        <f>VLOOKUP('Physical Effects'!BZ27,Lookup!$B$4:$C$14,2,FALSE)</f>
        <v>2</v>
      </c>
      <c r="AO23" s="418">
        <f>VLOOKUP('Physical Effects'!CB27,Lookup!$B$4:$C$14,2,FALSE)</f>
        <v>0</v>
      </c>
      <c r="AP23" s="418">
        <f>VLOOKUP('Physical Effects'!CD27,Lookup!$B$4:$C$14,2,FALSE)</f>
        <v>2</v>
      </c>
      <c r="AQ23" s="418">
        <f>VLOOKUP('Physical Effects'!CF27,Lookup!$B$4:$C$14,2,FALSE)</f>
        <v>2</v>
      </c>
      <c r="AR23" s="418">
        <f>VLOOKUP('Physical Effects'!CH27,Lookup!$B$4:$C$14,2,FALSE)</f>
        <v>0</v>
      </c>
      <c r="AS23" s="418">
        <f>VLOOKUP('Physical Effects'!CJ27,Lookup!$B$4:$C$14,2,FALSE)</f>
        <v>0</v>
      </c>
      <c r="AT23" s="418">
        <f>VLOOKUP('Physical Effects'!CL27,Lookup!$B$4:$C$14,2,FALSE)</f>
        <v>0</v>
      </c>
      <c r="AU23" s="418">
        <f>VLOOKUP('Physical Effects'!CN27,Lookup!$B$4:$C$14,2,FALSE)</f>
        <v>1</v>
      </c>
      <c r="AV23" s="28"/>
      <c r="AW23" s="23"/>
      <c r="AX23" s="23"/>
      <c r="AY23" s="23"/>
      <c r="AZ23" s="23"/>
      <c r="BA23" s="23"/>
      <c r="BB23" s="23"/>
      <c r="BC23" s="23"/>
      <c r="BD23" s="23"/>
      <c r="BE23" s="23"/>
      <c r="BF23" s="23"/>
    </row>
    <row r="24" spans="1:58" s="6" customFormat="1" ht="13.5" thickBot="1" x14ac:dyDescent="0.25">
      <c r="A24" s="123">
        <f t="shared" si="0"/>
        <v>23</v>
      </c>
      <c r="B24" s="19" t="str">
        <f>+'Physical Effects'!B28</f>
        <v>Constructed Wetland</v>
      </c>
      <c r="C24" s="32">
        <f>+'Physical Effects'!D28</f>
        <v>656</v>
      </c>
      <c r="D24" s="418">
        <f>VLOOKUP('Physical Effects'!F28,Lookup!$B$4:$C$14,2,FALSE)</f>
        <v>0</v>
      </c>
      <c r="E24" s="418">
        <f>VLOOKUP('Physical Effects'!H28,Lookup!$B$4:$C$14,2,FALSE)</f>
        <v>0</v>
      </c>
      <c r="F24" s="418">
        <f>VLOOKUP('Physical Effects'!J28,Lookup!$B$4:$C$14,2,FALSE)</f>
        <v>0</v>
      </c>
      <c r="G24" s="418">
        <f>VLOOKUP('Physical Effects'!L28,Lookup!$B$4:$C$14,2,FALSE)</f>
        <v>0</v>
      </c>
      <c r="H24" s="418">
        <f>VLOOKUP('Physical Effects'!N28,Lookup!$B$4:$C$14,2,FALSE)</f>
        <v>0</v>
      </c>
      <c r="I24" s="418">
        <f>VLOOKUP('Physical Effects'!P28,Lookup!$B$4:$C$14,2,FALSE)</f>
        <v>0</v>
      </c>
      <c r="J24" s="418">
        <f>VLOOKUP('Physical Effects'!R28,Lookup!$B$4:$C$14,2,FALSE)</f>
        <v>0</v>
      </c>
      <c r="K24" s="418">
        <f>VLOOKUP('Physical Effects'!T28,Lookup!$B$4:$C$14,2,FALSE)</f>
        <v>0</v>
      </c>
      <c r="L24" s="418">
        <f>VLOOKUP('Physical Effects'!V28,Lookup!$B$4:$C$14,2,FALSE)</f>
        <v>0</v>
      </c>
      <c r="M24" s="418">
        <f>VLOOKUP('Physical Effects'!X28,Lookup!$B$4:$C$14,2,FALSE)</f>
        <v>0</v>
      </c>
      <c r="N24" s="418">
        <f>VLOOKUP('Physical Effects'!Z28,Lookup!$B$4:$C$14,2,FALSE)</f>
        <v>2</v>
      </c>
      <c r="O24" s="418">
        <f>VLOOKUP('Physical Effects'!AB28,Lookup!$B$4:$C$14,2,FALSE)</f>
        <v>0</v>
      </c>
      <c r="P24" s="418">
        <f>VLOOKUP('Physical Effects'!AD28,Lookup!$B$4:$C$14,2,FALSE)</f>
        <v>0</v>
      </c>
      <c r="Q24" s="418">
        <f>VLOOKUP('Physical Effects'!AF28,Lookup!$B$4:$C$14,2,FALSE)</f>
        <v>0</v>
      </c>
      <c r="R24" s="418">
        <f>VLOOKUP('Physical Effects'!AH28,Lookup!$B$4:$C$14,2,FALSE)</f>
        <v>0</v>
      </c>
      <c r="S24" s="418">
        <f>VLOOKUP('Physical Effects'!AJ28,Lookup!$B$4:$C$14,2,FALSE)</f>
        <v>2</v>
      </c>
      <c r="T24" s="418">
        <f>VLOOKUP('Physical Effects'!AL28,Lookup!$B$4:$C$14,2,FALSE)</f>
        <v>1</v>
      </c>
      <c r="U24" s="418">
        <f>VLOOKUP('Physical Effects'!AN28,Lookup!$B$4:$C$14,2,FALSE)</f>
        <v>4</v>
      </c>
      <c r="V24" s="418">
        <f>VLOOKUP('Physical Effects'!AP28,Lookup!$B$4:$C$14,2,FALSE)</f>
        <v>1</v>
      </c>
      <c r="W24" s="418">
        <f>VLOOKUP('Physical Effects'!AR28,Lookup!$B$4:$C$14,2,FALSE)</f>
        <v>1</v>
      </c>
      <c r="X24" s="418">
        <f>VLOOKUP('Physical Effects'!AT28,Lookup!$B$4:$C$14,2,FALSE)</f>
        <v>1</v>
      </c>
      <c r="Y24" s="418">
        <f>VLOOKUP('Physical Effects'!AV28,Lookup!$B$4:$C$14,2,FALSE)</f>
        <v>4</v>
      </c>
      <c r="Z24" s="418">
        <f>VLOOKUP('Physical Effects'!AX28,Lookup!$B$4:$C$14,2,FALSE)</f>
        <v>3</v>
      </c>
      <c r="AA24" s="418">
        <f>VLOOKUP('Physical Effects'!AZ28,Lookup!$B$4:$C$14,2,FALSE)</f>
        <v>5</v>
      </c>
      <c r="AB24" s="418">
        <f>VLOOKUP('Physical Effects'!BB28,Lookup!$B$4:$C$14,2,FALSE)</f>
        <v>0</v>
      </c>
      <c r="AC24" s="418">
        <f>VLOOKUP('Physical Effects'!BD28,Lookup!$B$4:$C$14,2,FALSE)</f>
        <v>4</v>
      </c>
      <c r="AD24" s="418">
        <f>VLOOKUP('Physical Effects'!BF28,Lookup!$B$4:$C$14,2,FALSE)</f>
        <v>1</v>
      </c>
      <c r="AE24" s="418">
        <f>VLOOKUP('Physical Effects'!BH28,Lookup!$B$4:$C$14,2,FALSE)</f>
        <v>0</v>
      </c>
      <c r="AF24" s="418">
        <f>VLOOKUP('Physical Effects'!BJ28,Lookup!$B$4:$C$14,2,FALSE)</f>
        <v>0</v>
      </c>
      <c r="AG24" s="418">
        <f>VLOOKUP('Physical Effects'!BL28,Lookup!$B$4:$C$14,2,FALSE)</f>
        <v>1</v>
      </c>
      <c r="AH24" s="418">
        <f>VLOOKUP('Physical Effects'!BN28,Lookup!$B$4:$C$14,2,FALSE)</f>
        <v>-1</v>
      </c>
      <c r="AI24" s="418">
        <f>VLOOKUP('Physical Effects'!BP28,Lookup!$B$4:$C$14,2,FALSE)</f>
        <v>0</v>
      </c>
      <c r="AJ24" s="418">
        <f>VLOOKUP('Physical Effects'!BR28,Lookup!$B$4:$C$14,2,FALSE)</f>
        <v>4</v>
      </c>
      <c r="AK24" s="418">
        <f>VLOOKUP('Physical Effects'!BT28,Lookup!$B$4:$C$14,2,FALSE)</f>
        <v>-2</v>
      </c>
      <c r="AL24" s="418">
        <f>VLOOKUP('Physical Effects'!BV28,Lookup!$B$4:$C$14,2,FALSE)</f>
        <v>0</v>
      </c>
      <c r="AM24" s="418">
        <f>VLOOKUP('Physical Effects'!BX28,Lookup!$B$4:$C$14,2,FALSE)</f>
        <v>3</v>
      </c>
      <c r="AN24" s="418">
        <f>VLOOKUP('Physical Effects'!BZ28,Lookup!$B$4:$C$14,2,FALSE)</f>
        <v>3</v>
      </c>
      <c r="AO24" s="418">
        <f>VLOOKUP('Physical Effects'!CB28,Lookup!$B$4:$C$14,2,FALSE)</f>
        <v>0</v>
      </c>
      <c r="AP24" s="418">
        <f>VLOOKUP('Physical Effects'!CD28,Lookup!$B$4:$C$14,2,FALSE)</f>
        <v>2</v>
      </c>
      <c r="AQ24" s="418">
        <f>VLOOKUP('Physical Effects'!CF28,Lookup!$B$4:$C$14,2,FALSE)</f>
        <v>0</v>
      </c>
      <c r="AR24" s="418">
        <f>VLOOKUP('Physical Effects'!CH28,Lookup!$B$4:$C$14,2,FALSE)</f>
        <v>0</v>
      </c>
      <c r="AS24" s="418">
        <f>VLOOKUP('Physical Effects'!CJ28,Lookup!$B$4:$C$14,2,FALSE)</f>
        <v>0</v>
      </c>
      <c r="AT24" s="418">
        <f>VLOOKUP('Physical Effects'!CL28,Lookup!$B$4:$C$14,2,FALSE)</f>
        <v>0</v>
      </c>
      <c r="AU24" s="418">
        <f>VLOOKUP('Physical Effects'!CN28,Lookup!$B$4:$C$14,2,FALSE)</f>
        <v>0</v>
      </c>
      <c r="AV24" s="28"/>
      <c r="AW24" s="25"/>
      <c r="AX24" s="25"/>
      <c r="AY24" s="25"/>
      <c r="AZ24" s="25"/>
      <c r="BA24" s="25"/>
      <c r="BB24" s="25"/>
      <c r="BC24" s="25"/>
      <c r="BD24" s="25"/>
      <c r="BE24" s="25"/>
      <c r="BF24" s="25"/>
    </row>
    <row r="25" spans="1:58" s="5" customFormat="1" ht="13.5" thickBot="1" x14ac:dyDescent="0.25">
      <c r="A25" s="123">
        <f t="shared" si="0"/>
        <v>24</v>
      </c>
      <c r="B25" s="19" t="str">
        <f>+'Physical Effects'!B29</f>
        <v>Contour Buffer Strips</v>
      </c>
      <c r="C25" s="32">
        <f>+'Physical Effects'!D29</f>
        <v>332</v>
      </c>
      <c r="D25" s="418">
        <f>VLOOKUP('Physical Effects'!F29,Lookup!$B$4:$C$14,2,FALSE)</f>
        <v>3</v>
      </c>
      <c r="E25" s="418">
        <f>VLOOKUP('Physical Effects'!H29,Lookup!$B$4:$C$14,2,FALSE)</f>
        <v>0</v>
      </c>
      <c r="F25" s="418">
        <f>VLOOKUP('Physical Effects'!J29,Lookup!$B$4:$C$14,2,FALSE)</f>
        <v>0</v>
      </c>
      <c r="G25" s="418">
        <f>VLOOKUP('Physical Effects'!L29,Lookup!$B$4:$C$14,2,FALSE)</f>
        <v>0</v>
      </c>
      <c r="H25" s="418">
        <f>VLOOKUP('Physical Effects'!N29,Lookup!$B$4:$C$14,2,FALSE)</f>
        <v>0</v>
      </c>
      <c r="I25" s="418">
        <f>VLOOKUP('Physical Effects'!P29,Lookup!$B$4:$C$14,2,FALSE)</f>
        <v>2</v>
      </c>
      <c r="J25" s="418">
        <f>VLOOKUP('Physical Effects'!R29,Lookup!$B$4:$C$14,2,FALSE)</f>
        <v>0</v>
      </c>
      <c r="K25" s="418">
        <f>VLOOKUP('Physical Effects'!T29,Lookup!$B$4:$C$14,2,FALSE)</f>
        <v>0</v>
      </c>
      <c r="L25" s="418">
        <f>VLOOKUP('Physical Effects'!V29,Lookup!$B$4:$C$14,2,FALSE)</f>
        <v>0</v>
      </c>
      <c r="M25" s="418">
        <f>VLOOKUP('Physical Effects'!X29,Lookup!$B$4:$C$14,2,FALSE)</f>
        <v>-2</v>
      </c>
      <c r="N25" s="418">
        <f>VLOOKUP('Physical Effects'!Z29,Lookup!$B$4:$C$14,2,FALSE)</f>
        <v>1</v>
      </c>
      <c r="O25" s="418">
        <f>VLOOKUP('Physical Effects'!AB29,Lookup!$B$4:$C$14,2,FALSE)</f>
        <v>-1</v>
      </c>
      <c r="P25" s="418">
        <f>VLOOKUP('Physical Effects'!AD29,Lookup!$B$4:$C$14,2,FALSE)</f>
        <v>0</v>
      </c>
      <c r="Q25" s="418">
        <f>VLOOKUP('Physical Effects'!AF29,Lookup!$B$4:$C$14,2,FALSE)</f>
        <v>0</v>
      </c>
      <c r="R25" s="418">
        <f>VLOOKUP('Physical Effects'!AH29,Lookup!$B$4:$C$14,2,FALSE)</f>
        <v>0</v>
      </c>
      <c r="S25" s="418">
        <f>VLOOKUP('Physical Effects'!AJ29,Lookup!$B$4:$C$14,2,FALSE)</f>
        <v>2</v>
      </c>
      <c r="T25" s="418">
        <f>VLOOKUP('Physical Effects'!AL29,Lookup!$B$4:$C$14,2,FALSE)</f>
        <v>0</v>
      </c>
      <c r="U25" s="418">
        <f>VLOOKUP('Physical Effects'!AN29,Lookup!$B$4:$C$14,2,FALSE)</f>
        <v>2</v>
      </c>
      <c r="V25" s="418">
        <f>VLOOKUP('Physical Effects'!AP29,Lookup!$B$4:$C$14,2,FALSE)</f>
        <v>-1</v>
      </c>
      <c r="W25" s="418">
        <f>VLOOKUP('Physical Effects'!AR29,Lookup!$B$4:$C$14,2,FALSE)</f>
        <v>1</v>
      </c>
      <c r="X25" s="418">
        <f>VLOOKUP('Physical Effects'!AT29,Lookup!$B$4:$C$14,2,FALSE)</f>
        <v>-1</v>
      </c>
      <c r="Y25" s="418">
        <f>VLOOKUP('Physical Effects'!AV29,Lookup!$B$4:$C$14,2,FALSE)</f>
        <v>1</v>
      </c>
      <c r="Z25" s="418">
        <f>VLOOKUP('Physical Effects'!AX29,Lookup!$B$4:$C$14,2,FALSE)</f>
        <v>-1</v>
      </c>
      <c r="AA25" s="418">
        <f>VLOOKUP('Physical Effects'!AZ29,Lookup!$B$4:$C$14,2,FALSE)</f>
        <v>2</v>
      </c>
      <c r="AB25" s="418">
        <f>VLOOKUP('Physical Effects'!BB29,Lookup!$B$4:$C$14,2,FALSE)</f>
        <v>0</v>
      </c>
      <c r="AC25" s="418">
        <f>VLOOKUP('Physical Effects'!BD29,Lookup!$B$4:$C$14,2,FALSE)</f>
        <v>0</v>
      </c>
      <c r="AD25" s="418">
        <f>VLOOKUP('Physical Effects'!BF29,Lookup!$B$4:$C$14,2,FALSE)</f>
        <v>0</v>
      </c>
      <c r="AE25" s="418">
        <f>VLOOKUP('Physical Effects'!BH29,Lookup!$B$4:$C$14,2,FALSE)</f>
        <v>1</v>
      </c>
      <c r="AF25" s="418">
        <f>VLOOKUP('Physical Effects'!BJ29,Lookup!$B$4:$C$14,2,FALSE)</f>
        <v>0</v>
      </c>
      <c r="AG25" s="418">
        <f>VLOOKUP('Physical Effects'!BL29,Lookup!$B$4:$C$14,2,FALSE)</f>
        <v>1</v>
      </c>
      <c r="AH25" s="418">
        <f>VLOOKUP('Physical Effects'!BN29,Lookup!$B$4:$C$14,2,FALSE)</f>
        <v>0</v>
      </c>
      <c r="AI25" s="418">
        <f>VLOOKUP('Physical Effects'!BP29,Lookup!$B$4:$C$14,2,FALSE)</f>
        <v>2</v>
      </c>
      <c r="AJ25" s="418">
        <f>VLOOKUP('Physical Effects'!BR29,Lookup!$B$4:$C$14,2,FALSE)</f>
        <v>5</v>
      </c>
      <c r="AK25" s="418">
        <f>VLOOKUP('Physical Effects'!BT29,Lookup!$B$4:$C$14,2,FALSE)</f>
        <v>4</v>
      </c>
      <c r="AL25" s="418">
        <f>VLOOKUP('Physical Effects'!BV29,Lookup!$B$4:$C$14,2,FALSE)</f>
        <v>0</v>
      </c>
      <c r="AM25" s="418">
        <f>VLOOKUP('Physical Effects'!BX29,Lookup!$B$4:$C$14,2,FALSE)</f>
        <v>2</v>
      </c>
      <c r="AN25" s="418">
        <f>VLOOKUP('Physical Effects'!BZ29,Lookup!$B$4:$C$14,2,FALSE)</f>
        <v>2</v>
      </c>
      <c r="AO25" s="418">
        <f>VLOOKUP('Physical Effects'!CB29,Lookup!$B$4:$C$14,2,FALSE)</f>
        <v>0</v>
      </c>
      <c r="AP25" s="418">
        <f>VLOOKUP('Physical Effects'!CD29,Lookup!$B$4:$C$14,2,FALSE)</f>
        <v>2</v>
      </c>
      <c r="AQ25" s="418">
        <f>VLOOKUP('Physical Effects'!CF29,Lookup!$B$4:$C$14,2,FALSE)</f>
        <v>1</v>
      </c>
      <c r="AR25" s="418">
        <f>VLOOKUP('Physical Effects'!CH29,Lookup!$B$4:$C$14,2,FALSE)</f>
        <v>0</v>
      </c>
      <c r="AS25" s="418">
        <f>VLOOKUP('Physical Effects'!CJ29,Lookup!$B$4:$C$14,2,FALSE)</f>
        <v>0</v>
      </c>
      <c r="AT25" s="418">
        <f>VLOOKUP('Physical Effects'!CL29,Lookup!$B$4:$C$14,2,FALSE)</f>
        <v>1</v>
      </c>
      <c r="AU25" s="418">
        <f>VLOOKUP('Physical Effects'!CN29,Lookup!$B$4:$C$14,2,FALSE)</f>
        <v>1</v>
      </c>
      <c r="AV25" s="28"/>
      <c r="AW25" s="25"/>
      <c r="AX25" s="25"/>
      <c r="AY25" s="25"/>
      <c r="AZ25" s="25"/>
      <c r="BA25" s="25"/>
      <c r="BB25" s="25"/>
      <c r="BC25" s="25"/>
      <c r="BD25" s="25"/>
      <c r="BE25" s="25"/>
      <c r="BF25" s="25"/>
    </row>
    <row r="26" spans="1:58" s="5" customFormat="1" ht="13.5" thickBot="1" x14ac:dyDescent="0.25">
      <c r="A26" s="123">
        <f t="shared" si="0"/>
        <v>25</v>
      </c>
      <c r="B26" s="19" t="str">
        <f>+'Physical Effects'!B30</f>
        <v>Contour Farming</v>
      </c>
      <c r="C26" s="32">
        <f>+'Physical Effects'!D30</f>
        <v>330</v>
      </c>
      <c r="D26" s="418">
        <f>VLOOKUP('Physical Effects'!F30,Lookup!$B$4:$C$14,2,FALSE)</f>
        <v>2</v>
      </c>
      <c r="E26" s="418">
        <f>VLOOKUP('Physical Effects'!H30,Lookup!$B$4:$C$14,2,FALSE)</f>
        <v>0</v>
      </c>
      <c r="F26" s="418">
        <f>VLOOKUP('Physical Effects'!J30,Lookup!$B$4:$C$14,2,FALSE)</f>
        <v>0</v>
      </c>
      <c r="G26" s="418">
        <f>VLOOKUP('Physical Effects'!L30,Lookup!$B$4:$C$14,2,FALSE)</f>
        <v>0</v>
      </c>
      <c r="H26" s="418">
        <f>VLOOKUP('Physical Effects'!N30,Lookup!$B$4:$C$14,2,FALSE)</f>
        <v>0</v>
      </c>
      <c r="I26" s="418">
        <f>VLOOKUP('Physical Effects'!P30,Lookup!$B$4:$C$14,2,FALSE)</f>
        <v>1</v>
      </c>
      <c r="J26" s="418">
        <f>VLOOKUP('Physical Effects'!R30,Lookup!$B$4:$C$14,2,FALSE)</f>
        <v>0</v>
      </c>
      <c r="K26" s="418">
        <f>VLOOKUP('Physical Effects'!T30,Lookup!$B$4:$C$14,2,FALSE)</f>
        <v>0</v>
      </c>
      <c r="L26" s="418">
        <f>VLOOKUP('Physical Effects'!V30,Lookup!$B$4:$C$14,2,FALSE)</f>
        <v>0</v>
      </c>
      <c r="M26" s="418">
        <f>VLOOKUP('Physical Effects'!X30,Lookup!$B$4:$C$14,2,FALSE)</f>
        <v>-2</v>
      </c>
      <c r="N26" s="418">
        <f>VLOOKUP('Physical Effects'!Z30,Lookup!$B$4:$C$14,2,FALSE)</f>
        <v>1</v>
      </c>
      <c r="O26" s="418">
        <f>VLOOKUP('Physical Effects'!AB30,Lookup!$B$4:$C$14,2,FALSE)</f>
        <v>-1</v>
      </c>
      <c r="P26" s="418">
        <f>VLOOKUP('Physical Effects'!AD30,Lookup!$B$4:$C$14,2,FALSE)</f>
        <v>0</v>
      </c>
      <c r="Q26" s="418">
        <f>VLOOKUP('Physical Effects'!AF30,Lookup!$B$4:$C$14,2,FALSE)</f>
        <v>0</v>
      </c>
      <c r="R26" s="418">
        <f>VLOOKUP('Physical Effects'!AH30,Lookup!$B$4:$C$14,2,FALSE)</f>
        <v>1</v>
      </c>
      <c r="S26" s="418">
        <f>VLOOKUP('Physical Effects'!AJ30,Lookup!$B$4:$C$14,2,FALSE)</f>
        <v>1</v>
      </c>
      <c r="T26" s="418">
        <f>VLOOKUP('Physical Effects'!AL30,Lookup!$B$4:$C$14,2,FALSE)</f>
        <v>-1</v>
      </c>
      <c r="U26" s="418">
        <f>VLOOKUP('Physical Effects'!AN30,Lookup!$B$4:$C$14,2,FALSE)</f>
        <v>2</v>
      </c>
      <c r="V26" s="418">
        <f>VLOOKUP('Physical Effects'!AP30,Lookup!$B$4:$C$14,2,FALSE)</f>
        <v>-1</v>
      </c>
      <c r="W26" s="418">
        <f>VLOOKUP('Physical Effects'!AR30,Lookup!$B$4:$C$14,2,FALSE)</f>
        <v>1</v>
      </c>
      <c r="X26" s="418">
        <f>VLOOKUP('Physical Effects'!AT30,Lookup!$B$4:$C$14,2,FALSE)</f>
        <v>-1</v>
      </c>
      <c r="Y26" s="418">
        <f>VLOOKUP('Physical Effects'!AV30,Lookup!$B$4:$C$14,2,FALSE)</f>
        <v>1</v>
      </c>
      <c r="Z26" s="418">
        <f>VLOOKUP('Physical Effects'!AX30,Lookup!$B$4:$C$14,2,FALSE)</f>
        <v>0</v>
      </c>
      <c r="AA26" s="418">
        <f>VLOOKUP('Physical Effects'!AZ30,Lookup!$B$4:$C$14,2,FALSE)</f>
        <v>2</v>
      </c>
      <c r="AB26" s="418">
        <f>VLOOKUP('Physical Effects'!BB30,Lookup!$B$4:$C$14,2,FALSE)</f>
        <v>0</v>
      </c>
      <c r="AC26" s="418">
        <f>VLOOKUP('Physical Effects'!BD30,Lookup!$B$4:$C$14,2,FALSE)</f>
        <v>0</v>
      </c>
      <c r="AD26" s="418">
        <f>VLOOKUP('Physical Effects'!BF30,Lookup!$B$4:$C$14,2,FALSE)</f>
        <v>0</v>
      </c>
      <c r="AE26" s="418">
        <f>VLOOKUP('Physical Effects'!BH30,Lookup!$B$4:$C$14,2,FALSE)</f>
        <v>0</v>
      </c>
      <c r="AF26" s="418">
        <f>VLOOKUP('Physical Effects'!BJ30,Lookup!$B$4:$C$14,2,FALSE)</f>
        <v>0</v>
      </c>
      <c r="AG26" s="418">
        <f>VLOOKUP('Physical Effects'!BL30,Lookup!$B$4:$C$14,2,FALSE)</f>
        <v>0</v>
      </c>
      <c r="AH26" s="418">
        <f>VLOOKUP('Physical Effects'!BN30,Lookup!$B$4:$C$14,2,FALSE)</f>
        <v>0</v>
      </c>
      <c r="AI26" s="418">
        <f>VLOOKUP('Physical Effects'!BP30,Lookup!$B$4:$C$14,2,FALSE)</f>
        <v>1</v>
      </c>
      <c r="AJ26" s="418">
        <f>VLOOKUP('Physical Effects'!BR30,Lookup!$B$4:$C$14,2,FALSE)</f>
        <v>0</v>
      </c>
      <c r="AK26" s="418">
        <f>VLOOKUP('Physical Effects'!BT30,Lookup!$B$4:$C$14,2,FALSE)</f>
        <v>0</v>
      </c>
      <c r="AL26" s="418">
        <f>VLOOKUP('Physical Effects'!BV30,Lookup!$B$4:$C$14,2,FALSE)</f>
        <v>0</v>
      </c>
      <c r="AM26" s="418">
        <f>VLOOKUP('Physical Effects'!BX30,Lookup!$B$4:$C$14,2,FALSE)</f>
        <v>0</v>
      </c>
      <c r="AN26" s="418">
        <f>VLOOKUP('Physical Effects'!BZ30,Lookup!$B$4:$C$14,2,FALSE)</f>
        <v>0</v>
      </c>
      <c r="AO26" s="418">
        <f>VLOOKUP('Physical Effects'!CB30,Lookup!$B$4:$C$14,2,FALSE)</f>
        <v>0</v>
      </c>
      <c r="AP26" s="418">
        <f>VLOOKUP('Physical Effects'!CD30,Lookup!$B$4:$C$14,2,FALSE)</f>
        <v>0</v>
      </c>
      <c r="AQ26" s="418">
        <f>VLOOKUP('Physical Effects'!CF30,Lookup!$B$4:$C$14,2,FALSE)</f>
        <v>0</v>
      </c>
      <c r="AR26" s="418">
        <f>VLOOKUP('Physical Effects'!CH30,Lookup!$B$4:$C$14,2,FALSE)</f>
        <v>0</v>
      </c>
      <c r="AS26" s="418">
        <f>VLOOKUP('Physical Effects'!CJ30,Lookup!$B$4:$C$14,2,FALSE)</f>
        <v>0</v>
      </c>
      <c r="AT26" s="418">
        <f>VLOOKUP('Physical Effects'!CL30,Lookup!$B$4:$C$14,2,FALSE)</f>
        <v>1</v>
      </c>
      <c r="AU26" s="418">
        <f>VLOOKUP('Physical Effects'!CN30,Lookup!$B$4:$C$14,2,FALSE)</f>
        <v>1</v>
      </c>
      <c r="AV26" s="28"/>
      <c r="AW26" s="23"/>
      <c r="AX26" s="23"/>
      <c r="AY26" s="23"/>
      <c r="AZ26" s="23"/>
      <c r="BA26" s="23"/>
      <c r="BB26" s="23"/>
      <c r="BC26" s="23"/>
      <c r="BD26" s="23"/>
      <c r="BE26" s="23"/>
      <c r="BF26" s="23"/>
    </row>
    <row r="27" spans="1:58" s="5" customFormat="1" ht="13.5" thickBot="1" x14ac:dyDescent="0.25">
      <c r="A27" s="123">
        <f t="shared" si="0"/>
        <v>26</v>
      </c>
      <c r="B27" s="19" t="str">
        <f>+'Physical Effects'!B31</f>
        <v>Contour Orchard and Other Perennial Crops</v>
      </c>
      <c r="C27" s="32">
        <f>+'Physical Effects'!D31</f>
        <v>331</v>
      </c>
      <c r="D27" s="418">
        <f>VLOOKUP('Physical Effects'!F31,Lookup!$B$4:$C$14,2,FALSE)</f>
        <v>4</v>
      </c>
      <c r="E27" s="418">
        <f>VLOOKUP('Physical Effects'!H31,Lookup!$B$4:$C$14,2,FALSE)</f>
        <v>0</v>
      </c>
      <c r="F27" s="418">
        <f>VLOOKUP('Physical Effects'!J31,Lookup!$B$4:$C$14,2,FALSE)</f>
        <v>1</v>
      </c>
      <c r="G27" s="418">
        <f>VLOOKUP('Physical Effects'!L31,Lookup!$B$4:$C$14,2,FALSE)</f>
        <v>0</v>
      </c>
      <c r="H27" s="418">
        <f>VLOOKUP('Physical Effects'!N31,Lookup!$B$4:$C$14,2,FALSE)</f>
        <v>0</v>
      </c>
      <c r="I27" s="418">
        <f>VLOOKUP('Physical Effects'!P31,Lookup!$B$4:$C$14,2,FALSE)</f>
        <v>2</v>
      </c>
      <c r="J27" s="418">
        <f>VLOOKUP('Physical Effects'!R31,Lookup!$B$4:$C$14,2,FALSE)</f>
        <v>0</v>
      </c>
      <c r="K27" s="418">
        <f>VLOOKUP('Physical Effects'!T31,Lookup!$B$4:$C$14,2,FALSE)</f>
        <v>0</v>
      </c>
      <c r="L27" s="418">
        <f>VLOOKUP('Physical Effects'!V31,Lookup!$B$4:$C$14,2,FALSE)</f>
        <v>0</v>
      </c>
      <c r="M27" s="418">
        <f>VLOOKUP('Physical Effects'!X31,Lookup!$B$4:$C$14,2,FALSE)</f>
        <v>-2</v>
      </c>
      <c r="N27" s="418">
        <f>VLOOKUP('Physical Effects'!Z31,Lookup!$B$4:$C$14,2,FALSE)</f>
        <v>1</v>
      </c>
      <c r="O27" s="418">
        <f>VLOOKUP('Physical Effects'!AB31,Lookup!$B$4:$C$14,2,FALSE)</f>
        <v>-1</v>
      </c>
      <c r="P27" s="418">
        <f>VLOOKUP('Physical Effects'!AD31,Lookup!$B$4:$C$14,2,FALSE)</f>
        <v>0</v>
      </c>
      <c r="Q27" s="418">
        <f>VLOOKUP('Physical Effects'!AF31,Lookup!$B$4:$C$14,2,FALSE)</f>
        <v>1</v>
      </c>
      <c r="R27" s="418">
        <f>VLOOKUP('Physical Effects'!AH31,Lookup!$B$4:$C$14,2,FALSE)</f>
        <v>2</v>
      </c>
      <c r="S27" s="418">
        <f>VLOOKUP('Physical Effects'!AJ31,Lookup!$B$4:$C$14,2,FALSE)</f>
        <v>1</v>
      </c>
      <c r="T27" s="418">
        <f>VLOOKUP('Physical Effects'!AL31,Lookup!$B$4:$C$14,2,FALSE)</f>
        <v>-1</v>
      </c>
      <c r="U27" s="418">
        <f>VLOOKUP('Physical Effects'!AN31,Lookup!$B$4:$C$14,2,FALSE)</f>
        <v>2</v>
      </c>
      <c r="V27" s="418">
        <f>VLOOKUP('Physical Effects'!AP31,Lookup!$B$4:$C$14,2,FALSE)</f>
        <v>-1</v>
      </c>
      <c r="W27" s="418">
        <f>VLOOKUP('Physical Effects'!AR31,Lookup!$B$4:$C$14,2,FALSE)</f>
        <v>1</v>
      </c>
      <c r="X27" s="418">
        <f>VLOOKUP('Physical Effects'!AT31,Lookup!$B$4:$C$14,2,FALSE)</f>
        <v>-1</v>
      </c>
      <c r="Y27" s="418">
        <f>VLOOKUP('Physical Effects'!AV31,Lookup!$B$4:$C$14,2,FALSE)</f>
        <v>0</v>
      </c>
      <c r="Z27" s="418">
        <f>VLOOKUP('Physical Effects'!AX31,Lookup!$B$4:$C$14,2,FALSE)</f>
        <v>0</v>
      </c>
      <c r="AA27" s="418">
        <f>VLOOKUP('Physical Effects'!AZ31,Lookup!$B$4:$C$14,2,FALSE)</f>
        <v>2</v>
      </c>
      <c r="AB27" s="418">
        <f>VLOOKUP('Physical Effects'!BB31,Lookup!$B$4:$C$14,2,FALSE)</f>
        <v>0</v>
      </c>
      <c r="AC27" s="418">
        <f>VLOOKUP('Physical Effects'!BD31,Lookup!$B$4:$C$14,2,FALSE)</f>
        <v>0</v>
      </c>
      <c r="AD27" s="418">
        <f>VLOOKUP('Physical Effects'!BF31,Lookup!$B$4:$C$14,2,FALSE)</f>
        <v>0</v>
      </c>
      <c r="AE27" s="418">
        <f>VLOOKUP('Physical Effects'!BH31,Lookup!$B$4:$C$14,2,FALSE)</f>
        <v>0</v>
      </c>
      <c r="AF27" s="418">
        <f>VLOOKUP('Physical Effects'!BJ31,Lookup!$B$4:$C$14,2,FALSE)</f>
        <v>0</v>
      </c>
      <c r="AG27" s="418">
        <f>VLOOKUP('Physical Effects'!BL31,Lookup!$B$4:$C$14,2,FALSE)</f>
        <v>1</v>
      </c>
      <c r="AH27" s="418">
        <f>VLOOKUP('Physical Effects'!BN31,Lookup!$B$4:$C$14,2,FALSE)</f>
        <v>0</v>
      </c>
      <c r="AI27" s="418">
        <f>VLOOKUP('Physical Effects'!BP31,Lookup!$B$4:$C$14,2,FALSE)</f>
        <v>1</v>
      </c>
      <c r="AJ27" s="418">
        <f>VLOOKUP('Physical Effects'!BR31,Lookup!$B$4:$C$14,2,FALSE)</f>
        <v>0</v>
      </c>
      <c r="AK27" s="418">
        <f>VLOOKUP('Physical Effects'!BT31,Lookup!$B$4:$C$14,2,FALSE)</f>
        <v>4</v>
      </c>
      <c r="AL27" s="418">
        <f>VLOOKUP('Physical Effects'!BV31,Lookup!$B$4:$C$14,2,FALSE)</f>
        <v>0</v>
      </c>
      <c r="AM27" s="418">
        <f>VLOOKUP('Physical Effects'!BX31,Lookup!$B$4:$C$14,2,FALSE)</f>
        <v>0</v>
      </c>
      <c r="AN27" s="418">
        <f>VLOOKUP('Physical Effects'!BZ31,Lookup!$B$4:$C$14,2,FALSE)</f>
        <v>0</v>
      </c>
      <c r="AO27" s="418">
        <f>VLOOKUP('Physical Effects'!CB31,Lookup!$B$4:$C$14,2,FALSE)</f>
        <v>0</v>
      </c>
      <c r="AP27" s="418">
        <f>VLOOKUP('Physical Effects'!CD31,Lookup!$B$4:$C$14,2,FALSE)</f>
        <v>0</v>
      </c>
      <c r="AQ27" s="418">
        <f>VLOOKUP('Physical Effects'!CF31,Lookup!$B$4:$C$14,2,FALSE)</f>
        <v>0</v>
      </c>
      <c r="AR27" s="418">
        <f>VLOOKUP('Physical Effects'!CH31,Lookup!$B$4:$C$14,2,FALSE)</f>
        <v>0</v>
      </c>
      <c r="AS27" s="418">
        <f>VLOOKUP('Physical Effects'!CJ31,Lookup!$B$4:$C$14,2,FALSE)</f>
        <v>0</v>
      </c>
      <c r="AT27" s="418">
        <f>VLOOKUP('Physical Effects'!CL31,Lookup!$B$4:$C$14,2,FALSE)</f>
        <v>1</v>
      </c>
      <c r="AU27" s="418">
        <f>VLOOKUP('Physical Effects'!CN31,Lookup!$B$4:$C$14,2,FALSE)</f>
        <v>1</v>
      </c>
      <c r="AV27" s="28"/>
      <c r="AW27" s="23"/>
      <c r="AX27" s="23"/>
      <c r="AY27" s="23"/>
      <c r="AZ27" s="23"/>
      <c r="BA27" s="23"/>
      <c r="BB27" s="23"/>
      <c r="BC27" s="23"/>
      <c r="BD27" s="23"/>
      <c r="BE27" s="23"/>
      <c r="BF27" s="23"/>
    </row>
    <row r="28" spans="1:58" s="5" customFormat="1" ht="13.5" thickBot="1" x14ac:dyDescent="0.25">
      <c r="A28" s="123">
        <f t="shared" si="0"/>
        <v>27</v>
      </c>
      <c r="B28" s="19" t="str">
        <f>+'Physical Effects'!B32</f>
        <v>Controlled Traffic Farming</v>
      </c>
      <c r="C28" s="32">
        <f>+'Physical Effects'!D32</f>
        <v>334</v>
      </c>
      <c r="D28" s="418">
        <f>VLOOKUP('Physical Effects'!F32,Lookup!$B$4:$C$14,2,FALSE)</f>
        <v>0</v>
      </c>
      <c r="E28" s="418">
        <f>VLOOKUP('Physical Effects'!H32,Lookup!$B$4:$C$14,2,FALSE)</f>
        <v>0</v>
      </c>
      <c r="F28" s="418">
        <f>VLOOKUP('Physical Effects'!J32,Lookup!$B$4:$C$14,2,FALSE)</f>
        <v>0</v>
      </c>
      <c r="G28" s="418">
        <f>VLOOKUP('Physical Effects'!L32,Lookup!$B$4:$C$14,2,FALSE)</f>
        <v>0</v>
      </c>
      <c r="H28" s="418">
        <f>VLOOKUP('Physical Effects'!N32,Lookup!$B$4:$C$14,2,FALSE)</f>
        <v>0</v>
      </c>
      <c r="I28" s="418">
        <f>VLOOKUP('Physical Effects'!P32,Lookup!$B$4:$C$14,2,FALSE)</f>
        <v>0</v>
      </c>
      <c r="J28" s="418">
        <f>VLOOKUP('Physical Effects'!R32,Lookup!$B$4:$C$14,2,FALSE)</f>
        <v>4</v>
      </c>
      <c r="K28" s="418">
        <f>VLOOKUP('Physical Effects'!T32,Lookup!$B$4:$C$14,2,FALSE)</f>
        <v>0</v>
      </c>
      <c r="L28" s="418">
        <f>VLOOKUP('Physical Effects'!V32,Lookup!$B$4:$C$14,2,FALSE)</f>
        <v>0</v>
      </c>
      <c r="M28" s="418">
        <f>VLOOKUP('Physical Effects'!X32,Lookup!$B$4:$C$14,2,FALSE)</f>
        <v>0</v>
      </c>
      <c r="N28" s="418">
        <f>VLOOKUP('Physical Effects'!Z32,Lookup!$B$4:$C$14,2,FALSE)</f>
        <v>0</v>
      </c>
      <c r="O28" s="418">
        <f>VLOOKUP('Physical Effects'!AB32,Lookup!$B$4:$C$14,2,FALSE)</f>
        <v>0</v>
      </c>
      <c r="P28" s="418">
        <f>VLOOKUP('Physical Effects'!AD32,Lookup!$B$4:$C$14,2,FALSE)</f>
        <v>0</v>
      </c>
      <c r="Q28" s="418">
        <f>VLOOKUP('Physical Effects'!AF32,Lookup!$B$4:$C$14,2,FALSE)</f>
        <v>1</v>
      </c>
      <c r="R28" s="418">
        <f>VLOOKUP('Physical Effects'!AH32,Lookup!$B$4:$C$14,2,FALSE)</f>
        <v>1</v>
      </c>
      <c r="S28" s="418">
        <f>VLOOKUP('Physical Effects'!AJ32,Lookup!$B$4:$C$14,2,FALSE)</f>
        <v>0</v>
      </c>
      <c r="T28" s="418">
        <f>VLOOKUP('Physical Effects'!AL32,Lookup!$B$4:$C$14,2,FALSE)</f>
        <v>0</v>
      </c>
      <c r="U28" s="418">
        <f>VLOOKUP('Physical Effects'!AN32,Lookup!$B$4:$C$14,2,FALSE)</f>
        <v>0</v>
      </c>
      <c r="V28" s="418">
        <f>VLOOKUP('Physical Effects'!AP32,Lookup!$B$4:$C$14,2,FALSE)</f>
        <v>0</v>
      </c>
      <c r="W28" s="418">
        <f>VLOOKUP('Physical Effects'!AR32,Lookup!$B$4:$C$14,2,FALSE)</f>
        <v>0</v>
      </c>
      <c r="X28" s="418">
        <f>VLOOKUP('Physical Effects'!AT32,Lookup!$B$4:$C$14,2,FALSE)</f>
        <v>0</v>
      </c>
      <c r="Y28" s="418">
        <f>VLOOKUP('Physical Effects'!AV32,Lookup!$B$4:$C$14,2,FALSE)</f>
        <v>0</v>
      </c>
      <c r="Z28" s="418">
        <f>VLOOKUP('Physical Effects'!AX32,Lookup!$B$4:$C$14,2,FALSE)</f>
        <v>0</v>
      </c>
      <c r="AA28" s="418">
        <f>VLOOKUP('Physical Effects'!AZ32,Lookup!$B$4:$C$14,2,FALSE)</f>
        <v>0</v>
      </c>
      <c r="AB28" s="418">
        <f>VLOOKUP('Physical Effects'!BB32,Lookup!$B$4:$C$14,2,FALSE)</f>
        <v>0</v>
      </c>
      <c r="AC28" s="418">
        <f>VLOOKUP('Physical Effects'!BD32,Lookup!$B$4:$C$14,2,FALSE)</f>
        <v>0</v>
      </c>
      <c r="AD28" s="418">
        <f>VLOOKUP('Physical Effects'!BF32,Lookup!$B$4:$C$14,2,FALSE)</f>
        <v>0</v>
      </c>
      <c r="AE28" s="418">
        <f>VLOOKUP('Physical Effects'!BH32,Lookup!$B$4:$C$14,2,FALSE)</f>
        <v>0</v>
      </c>
      <c r="AF28" s="418">
        <f>VLOOKUP('Physical Effects'!BJ32,Lookup!$B$4:$C$14,2,FALSE)</f>
        <v>0</v>
      </c>
      <c r="AG28" s="418">
        <f>VLOOKUP('Physical Effects'!BL32,Lookup!$B$4:$C$14,2,FALSE)</f>
        <v>0</v>
      </c>
      <c r="AH28" s="418">
        <f>VLOOKUP('Physical Effects'!BN32,Lookup!$B$4:$C$14,2,FALSE)</f>
        <v>0</v>
      </c>
      <c r="AI28" s="418">
        <f>VLOOKUP('Physical Effects'!BP32,Lookup!$B$4:$C$14,2,FALSE)</f>
        <v>1</v>
      </c>
      <c r="AJ28" s="418">
        <f>VLOOKUP('Physical Effects'!BR32,Lookup!$B$4:$C$14,2,FALSE)</f>
        <v>2</v>
      </c>
      <c r="AK28" s="418">
        <f>VLOOKUP('Physical Effects'!BT32,Lookup!$B$4:$C$14,2,FALSE)</f>
        <v>0</v>
      </c>
      <c r="AL28" s="418">
        <f>VLOOKUP('Physical Effects'!BV32,Lookup!$B$4:$C$14,2,FALSE)</f>
        <v>0</v>
      </c>
      <c r="AM28" s="418">
        <f>VLOOKUP('Physical Effects'!BX32,Lookup!$B$4:$C$14,2,FALSE)</f>
        <v>0</v>
      </c>
      <c r="AN28" s="418">
        <f>VLOOKUP('Physical Effects'!BZ32,Lookup!$B$4:$C$14,2,FALSE)</f>
        <v>0</v>
      </c>
      <c r="AO28" s="418">
        <f>VLOOKUP('Physical Effects'!CB32,Lookup!$B$4:$C$14,2,FALSE)</f>
        <v>0</v>
      </c>
      <c r="AP28" s="418">
        <f>VLOOKUP('Physical Effects'!CD32,Lookup!$B$4:$C$14,2,FALSE)</f>
        <v>0</v>
      </c>
      <c r="AQ28" s="418">
        <f>VLOOKUP('Physical Effects'!CF32,Lookup!$B$4:$C$14,2,FALSE)</f>
        <v>0</v>
      </c>
      <c r="AR28" s="418">
        <f>VLOOKUP('Physical Effects'!CH32,Lookup!$B$4:$C$14,2,FALSE)</f>
        <v>0</v>
      </c>
      <c r="AS28" s="418">
        <f>VLOOKUP('Physical Effects'!CJ32,Lookup!$B$4:$C$14,2,FALSE)</f>
        <v>0</v>
      </c>
      <c r="AT28" s="418">
        <f>VLOOKUP('Physical Effects'!CL32,Lookup!$B$4:$C$14,2,FALSE)</f>
        <v>0</v>
      </c>
      <c r="AU28" s="418">
        <f>VLOOKUP('Physical Effects'!CN32,Lookup!$B$4:$C$14,2,FALSE)</f>
        <v>0</v>
      </c>
      <c r="AV28" s="28"/>
      <c r="AW28" s="23"/>
      <c r="AX28" s="23"/>
      <c r="AY28" s="23"/>
      <c r="AZ28" s="23"/>
      <c r="BA28" s="23"/>
      <c r="BB28" s="23"/>
      <c r="BC28" s="23"/>
      <c r="BD28" s="23"/>
      <c r="BE28" s="23"/>
      <c r="BF28" s="23"/>
    </row>
    <row r="29" spans="1:58" s="5" customFormat="1" ht="13.5" thickBot="1" x14ac:dyDescent="0.25">
      <c r="A29" s="123">
        <f t="shared" si="0"/>
        <v>28</v>
      </c>
      <c r="B29" s="19" t="str">
        <f>+'Physical Effects'!B33</f>
        <v>Cover Crop</v>
      </c>
      <c r="C29" s="32">
        <f>+'Physical Effects'!D33</f>
        <v>340</v>
      </c>
      <c r="D29" s="418">
        <f>VLOOKUP('Physical Effects'!F33,Lookup!$B$4:$C$14,2,FALSE)</f>
        <v>4</v>
      </c>
      <c r="E29" s="418">
        <f>VLOOKUP('Physical Effects'!H33,Lookup!$B$4:$C$14,2,FALSE)</f>
        <v>4</v>
      </c>
      <c r="F29" s="418">
        <f>VLOOKUP('Physical Effects'!J33,Lookup!$B$4:$C$14,2,FALSE)</f>
        <v>3</v>
      </c>
      <c r="G29" s="418">
        <f>VLOOKUP('Physical Effects'!L33,Lookup!$B$4:$C$14,2,FALSE)</f>
        <v>0</v>
      </c>
      <c r="H29" s="418">
        <f>VLOOKUP('Physical Effects'!N33,Lookup!$B$4:$C$14,2,FALSE)</f>
        <v>0</v>
      </c>
      <c r="I29" s="418">
        <f>VLOOKUP('Physical Effects'!P33,Lookup!$B$4:$C$14,2,FALSE)</f>
        <v>2</v>
      </c>
      <c r="J29" s="418">
        <f>VLOOKUP('Physical Effects'!R33,Lookup!$B$4:$C$14,2,FALSE)</f>
        <v>2</v>
      </c>
      <c r="K29" s="418">
        <f>VLOOKUP('Physical Effects'!T33,Lookup!$B$4:$C$14,2,FALSE)</f>
        <v>0</v>
      </c>
      <c r="L29" s="418">
        <f>VLOOKUP('Physical Effects'!V33,Lookup!$B$4:$C$14,2,FALSE)</f>
        <v>1</v>
      </c>
      <c r="M29" s="418">
        <f>VLOOKUP('Physical Effects'!X33,Lookup!$B$4:$C$14,2,FALSE)</f>
        <v>1</v>
      </c>
      <c r="N29" s="418">
        <f>VLOOKUP('Physical Effects'!Z33,Lookup!$B$4:$C$14,2,FALSE)</f>
        <v>2</v>
      </c>
      <c r="O29" s="418">
        <f>VLOOKUP('Physical Effects'!AB33,Lookup!$B$4:$C$14,2,FALSE)</f>
        <v>1</v>
      </c>
      <c r="P29" s="418">
        <f>VLOOKUP('Physical Effects'!AD33,Lookup!$B$4:$C$14,2,FALSE)</f>
        <v>0</v>
      </c>
      <c r="Q29" s="418">
        <f>VLOOKUP('Physical Effects'!AF33,Lookup!$B$4:$C$14,2,FALSE)</f>
        <v>1</v>
      </c>
      <c r="R29" s="418">
        <f>VLOOKUP('Physical Effects'!AH33,Lookup!$B$4:$C$14,2,FALSE)</f>
        <v>2</v>
      </c>
      <c r="S29" s="418">
        <f>VLOOKUP('Physical Effects'!AJ33,Lookup!$B$4:$C$14,2,FALSE)</f>
        <v>2</v>
      </c>
      <c r="T29" s="418">
        <f>VLOOKUP('Physical Effects'!AL33,Lookup!$B$4:$C$14,2,FALSE)</f>
        <v>2</v>
      </c>
      <c r="U29" s="418">
        <f>VLOOKUP('Physical Effects'!AN33,Lookup!$B$4:$C$14,2,FALSE)</f>
        <v>2</v>
      </c>
      <c r="V29" s="418">
        <f>VLOOKUP('Physical Effects'!AP33,Lookup!$B$4:$C$14,2,FALSE)</f>
        <v>2</v>
      </c>
      <c r="W29" s="418">
        <f>VLOOKUP('Physical Effects'!AR33,Lookup!$B$4:$C$14,2,FALSE)</f>
        <v>0</v>
      </c>
      <c r="X29" s="418">
        <f>VLOOKUP('Physical Effects'!AT33,Lookup!$B$4:$C$14,2,FALSE)</f>
        <v>1</v>
      </c>
      <c r="Y29" s="418">
        <f>VLOOKUP('Physical Effects'!AV33,Lookup!$B$4:$C$14,2,FALSE)</f>
        <v>1</v>
      </c>
      <c r="Z29" s="418">
        <f>VLOOKUP('Physical Effects'!AX33,Lookup!$B$4:$C$14,2,FALSE)</f>
        <v>2</v>
      </c>
      <c r="AA29" s="418">
        <f>VLOOKUP('Physical Effects'!AZ33,Lookup!$B$4:$C$14,2,FALSE)</f>
        <v>2</v>
      </c>
      <c r="AB29" s="418">
        <f>VLOOKUP('Physical Effects'!BB33,Lookup!$B$4:$C$14,2,FALSE)</f>
        <v>0</v>
      </c>
      <c r="AC29" s="418">
        <f>VLOOKUP('Physical Effects'!BD33,Lookup!$B$4:$C$14,2,FALSE)</f>
        <v>0</v>
      </c>
      <c r="AD29" s="418">
        <f>VLOOKUP('Physical Effects'!BF33,Lookup!$B$4:$C$14,2,FALSE)</f>
        <v>0</v>
      </c>
      <c r="AE29" s="418">
        <f>VLOOKUP('Physical Effects'!BH33,Lookup!$B$4:$C$14,2,FALSE)</f>
        <v>3</v>
      </c>
      <c r="AF29" s="418">
        <f>VLOOKUP('Physical Effects'!BJ33,Lookup!$B$4:$C$14,2,FALSE)</f>
        <v>0</v>
      </c>
      <c r="AG29" s="418">
        <f>VLOOKUP('Physical Effects'!BL33,Lookup!$B$4:$C$14,2,FALSE)</f>
        <v>4</v>
      </c>
      <c r="AH29" s="418">
        <f>VLOOKUP('Physical Effects'!BN33,Lookup!$B$4:$C$14,2,FALSE)</f>
        <v>0</v>
      </c>
      <c r="AI29" s="418">
        <f>VLOOKUP('Physical Effects'!BP33,Lookup!$B$4:$C$14,2,FALSE)</f>
        <v>2</v>
      </c>
      <c r="AJ29" s="418">
        <f>VLOOKUP('Physical Effects'!BR33,Lookup!$B$4:$C$14,2,FALSE)</f>
        <v>5</v>
      </c>
      <c r="AK29" s="418">
        <f>VLOOKUP('Physical Effects'!BT33,Lookup!$B$4:$C$14,2,FALSE)</f>
        <v>4</v>
      </c>
      <c r="AL29" s="418">
        <f>VLOOKUP('Physical Effects'!BV33,Lookup!$B$4:$C$14,2,FALSE)</f>
        <v>0</v>
      </c>
      <c r="AM29" s="418">
        <f>VLOOKUP('Physical Effects'!BX33,Lookup!$B$4:$C$14,2,FALSE)</f>
        <v>2</v>
      </c>
      <c r="AN29" s="418">
        <f>VLOOKUP('Physical Effects'!BZ33,Lookup!$B$4:$C$14,2,FALSE)</f>
        <v>2</v>
      </c>
      <c r="AO29" s="418">
        <f>VLOOKUP('Physical Effects'!CB33,Lookup!$B$4:$C$14,2,FALSE)</f>
        <v>0</v>
      </c>
      <c r="AP29" s="418">
        <f>VLOOKUP('Physical Effects'!CD33,Lookup!$B$4:$C$14,2,FALSE)</f>
        <v>2</v>
      </c>
      <c r="AQ29" s="418">
        <f>VLOOKUP('Physical Effects'!CF33,Lookup!$B$4:$C$14,2,FALSE)</f>
        <v>2</v>
      </c>
      <c r="AR29" s="418">
        <f>VLOOKUP('Physical Effects'!CH33,Lookup!$B$4:$C$14,2,FALSE)</f>
        <v>0</v>
      </c>
      <c r="AS29" s="418">
        <f>VLOOKUP('Physical Effects'!CJ33,Lookup!$B$4:$C$14,2,FALSE)</f>
        <v>0</v>
      </c>
      <c r="AT29" s="418">
        <f>VLOOKUP('Physical Effects'!CL33,Lookup!$B$4:$C$14,2,FALSE)</f>
        <v>0</v>
      </c>
      <c r="AU29" s="418">
        <f>VLOOKUP('Physical Effects'!CN33,Lookup!$B$4:$C$14,2,FALSE)</f>
        <v>2</v>
      </c>
      <c r="AV29" s="28"/>
      <c r="AW29" s="23"/>
      <c r="AX29" s="23"/>
      <c r="AY29" s="23"/>
      <c r="AZ29" s="23"/>
      <c r="BA29" s="23"/>
      <c r="BB29" s="23"/>
      <c r="BC29" s="23"/>
      <c r="BD29" s="23"/>
      <c r="BE29" s="23"/>
      <c r="BF29" s="23"/>
    </row>
    <row r="30" spans="1:58" s="5" customFormat="1" ht="13.5" thickBot="1" x14ac:dyDescent="0.25">
      <c r="A30" s="123">
        <f t="shared" si="0"/>
        <v>29</v>
      </c>
      <c r="B30" s="19" t="str">
        <f>+'Physical Effects'!B34</f>
        <v>Critical Area Planting</v>
      </c>
      <c r="C30" s="32">
        <f>+'Physical Effects'!D34</f>
        <v>342</v>
      </c>
      <c r="D30" s="418">
        <f>VLOOKUP('Physical Effects'!F34,Lookup!$B$4:$C$14,2,FALSE)</f>
        <v>5</v>
      </c>
      <c r="E30" s="418">
        <f>VLOOKUP('Physical Effects'!H34,Lookup!$B$4:$C$14,2,FALSE)</f>
        <v>5</v>
      </c>
      <c r="F30" s="418">
        <f>VLOOKUP('Physical Effects'!J34,Lookup!$B$4:$C$14,2,FALSE)</f>
        <v>5</v>
      </c>
      <c r="G30" s="418">
        <f>VLOOKUP('Physical Effects'!L34,Lookup!$B$4:$C$14,2,FALSE)</f>
        <v>4</v>
      </c>
      <c r="H30" s="418">
        <f>VLOOKUP('Physical Effects'!N34,Lookup!$B$4:$C$14,2,FALSE)</f>
        <v>4</v>
      </c>
      <c r="I30" s="418">
        <f>VLOOKUP('Physical Effects'!P34,Lookup!$B$4:$C$14,2,FALSE)</f>
        <v>5</v>
      </c>
      <c r="J30" s="418">
        <f>VLOOKUP('Physical Effects'!R34,Lookup!$B$4:$C$14,2,FALSE)</f>
        <v>2</v>
      </c>
      <c r="K30" s="418">
        <f>VLOOKUP('Physical Effects'!T34,Lookup!$B$4:$C$14,2,FALSE)</f>
        <v>0</v>
      </c>
      <c r="L30" s="418">
        <f>VLOOKUP('Physical Effects'!V34,Lookup!$B$4:$C$14,2,FALSE)</f>
        <v>1</v>
      </c>
      <c r="M30" s="418">
        <f>VLOOKUP('Physical Effects'!X34,Lookup!$B$4:$C$14,2,FALSE)</f>
        <v>0</v>
      </c>
      <c r="N30" s="418">
        <f>VLOOKUP('Physical Effects'!Z34,Lookup!$B$4:$C$14,2,FALSE)</f>
        <v>0</v>
      </c>
      <c r="O30" s="418">
        <f>VLOOKUP('Physical Effects'!AB34,Lookup!$B$4:$C$14,2,FALSE)</f>
        <v>0</v>
      </c>
      <c r="P30" s="418">
        <f>VLOOKUP('Physical Effects'!AD34,Lookup!$B$4:$C$14,2,FALSE)</f>
        <v>0</v>
      </c>
      <c r="Q30" s="418">
        <f>VLOOKUP('Physical Effects'!AF34,Lookup!$B$4:$C$14,2,FALSE)</f>
        <v>0</v>
      </c>
      <c r="R30" s="418">
        <f>VLOOKUP('Physical Effects'!AH34,Lookup!$B$4:$C$14,2,FALSE)</f>
        <v>0</v>
      </c>
      <c r="S30" s="418">
        <f>VLOOKUP('Physical Effects'!AJ34,Lookup!$B$4:$C$14,2,FALSE)</f>
        <v>0</v>
      </c>
      <c r="T30" s="418">
        <f>VLOOKUP('Physical Effects'!AL34,Lookup!$B$4:$C$14,2,FALSE)</f>
        <v>0</v>
      </c>
      <c r="U30" s="418">
        <f>VLOOKUP('Physical Effects'!AN34,Lookup!$B$4:$C$14,2,FALSE)</f>
        <v>2</v>
      </c>
      <c r="V30" s="418">
        <f>VLOOKUP('Physical Effects'!AP34,Lookup!$B$4:$C$14,2,FALSE)</f>
        <v>1</v>
      </c>
      <c r="W30" s="418">
        <f>VLOOKUP('Physical Effects'!AR34,Lookup!$B$4:$C$14,2,FALSE)</f>
        <v>0</v>
      </c>
      <c r="X30" s="418">
        <f>VLOOKUP('Physical Effects'!AT34,Lookup!$B$4:$C$14,2,FALSE)</f>
        <v>0</v>
      </c>
      <c r="Y30" s="418">
        <f>VLOOKUP('Physical Effects'!AV34,Lookup!$B$4:$C$14,2,FALSE)</f>
        <v>0</v>
      </c>
      <c r="Z30" s="418">
        <f>VLOOKUP('Physical Effects'!AX34,Lookup!$B$4:$C$14,2,FALSE)</f>
        <v>0</v>
      </c>
      <c r="AA30" s="418">
        <f>VLOOKUP('Physical Effects'!AZ34,Lookup!$B$4:$C$14,2,FALSE)</f>
        <v>4</v>
      </c>
      <c r="AB30" s="418">
        <f>VLOOKUP('Physical Effects'!BB34,Lookup!$B$4:$C$14,2,FALSE)</f>
        <v>0</v>
      </c>
      <c r="AC30" s="418">
        <f>VLOOKUP('Physical Effects'!BD34,Lookup!$B$4:$C$14,2,FALSE)</f>
        <v>0</v>
      </c>
      <c r="AD30" s="418">
        <f>VLOOKUP('Physical Effects'!BF34,Lookup!$B$4:$C$14,2,FALSE)</f>
        <v>0</v>
      </c>
      <c r="AE30" s="418">
        <f>VLOOKUP('Physical Effects'!BH34,Lookup!$B$4:$C$14,2,FALSE)</f>
        <v>2</v>
      </c>
      <c r="AF30" s="418">
        <f>VLOOKUP('Physical Effects'!BJ34,Lookup!$B$4:$C$14,2,FALSE)</f>
        <v>0</v>
      </c>
      <c r="AG30" s="418">
        <f>VLOOKUP('Physical Effects'!BL34,Lookup!$B$4:$C$14,2,FALSE)</f>
        <v>1</v>
      </c>
      <c r="AH30" s="418">
        <f>VLOOKUP('Physical Effects'!BN34,Lookup!$B$4:$C$14,2,FALSE)</f>
        <v>0</v>
      </c>
      <c r="AI30" s="418">
        <f>VLOOKUP('Physical Effects'!BP34,Lookup!$B$4:$C$14,2,FALSE)</f>
        <v>5</v>
      </c>
      <c r="AJ30" s="418">
        <f>VLOOKUP('Physical Effects'!BR34,Lookup!$B$4:$C$14,2,FALSE)</f>
        <v>5</v>
      </c>
      <c r="AK30" s="418">
        <f>VLOOKUP('Physical Effects'!BT34,Lookup!$B$4:$C$14,2,FALSE)</f>
        <v>4</v>
      </c>
      <c r="AL30" s="418">
        <f>VLOOKUP('Physical Effects'!BV34,Lookup!$B$4:$C$14,2,FALSE)</f>
        <v>0</v>
      </c>
      <c r="AM30" s="418">
        <f>VLOOKUP('Physical Effects'!BX34,Lookup!$B$4:$C$14,2,FALSE)</f>
        <v>2</v>
      </c>
      <c r="AN30" s="418">
        <f>VLOOKUP('Physical Effects'!BZ34,Lookup!$B$4:$C$14,2,FALSE)</f>
        <v>2</v>
      </c>
      <c r="AO30" s="418">
        <f>VLOOKUP('Physical Effects'!CB34,Lookup!$B$4:$C$14,2,FALSE)</f>
        <v>0</v>
      </c>
      <c r="AP30" s="418">
        <f>VLOOKUP('Physical Effects'!CD34,Lookup!$B$4:$C$14,2,FALSE)</f>
        <v>2</v>
      </c>
      <c r="AQ30" s="418">
        <f>VLOOKUP('Physical Effects'!CF34,Lookup!$B$4:$C$14,2,FALSE)</f>
        <v>0</v>
      </c>
      <c r="AR30" s="418">
        <f>VLOOKUP('Physical Effects'!CH34,Lookup!$B$4:$C$14,2,FALSE)</f>
        <v>0</v>
      </c>
      <c r="AS30" s="418">
        <f>VLOOKUP('Physical Effects'!CJ34,Lookup!$B$4:$C$14,2,FALSE)</f>
        <v>0</v>
      </c>
      <c r="AT30" s="418">
        <f>VLOOKUP('Physical Effects'!CL34,Lookup!$B$4:$C$14,2,FALSE)</f>
        <v>0</v>
      </c>
      <c r="AU30" s="418">
        <f>VLOOKUP('Physical Effects'!CN34,Lookup!$B$4:$C$14,2,FALSE)</f>
        <v>0</v>
      </c>
      <c r="AV30" s="28"/>
      <c r="AW30" s="23"/>
      <c r="AX30" s="23"/>
      <c r="AY30" s="23"/>
      <c r="AZ30" s="23"/>
      <c r="BA30" s="23"/>
      <c r="BB30" s="23"/>
      <c r="BC30" s="23"/>
      <c r="BD30" s="23"/>
      <c r="BE30" s="23"/>
      <c r="BF30" s="23"/>
    </row>
    <row r="31" spans="1:58" s="5" customFormat="1" ht="13.5" thickBot="1" x14ac:dyDescent="0.25">
      <c r="A31" s="123">
        <f t="shared" si="0"/>
        <v>30</v>
      </c>
      <c r="B31" s="19" t="str">
        <f>+'Physical Effects'!B35</f>
        <v>Cross Wind Ridges</v>
      </c>
      <c r="C31" s="32" t="str">
        <f>+'Physical Effects'!D35</f>
        <v>588</v>
      </c>
      <c r="D31" s="418">
        <f>VLOOKUP('Physical Effects'!F35,Lookup!$B$4:$C$14,2,FALSE)</f>
        <v>0</v>
      </c>
      <c r="E31" s="418">
        <f>VLOOKUP('Physical Effects'!H35,Lookup!$B$4:$C$14,2,FALSE)</f>
        <v>4</v>
      </c>
      <c r="F31" s="418">
        <f>VLOOKUP('Physical Effects'!J35,Lookup!$B$4:$C$14,2,FALSE)</f>
        <v>0</v>
      </c>
      <c r="G31" s="418">
        <f>VLOOKUP('Physical Effects'!L35,Lookup!$B$4:$C$14,2,FALSE)</f>
        <v>0</v>
      </c>
      <c r="H31" s="418">
        <f>VLOOKUP('Physical Effects'!N35,Lookup!$B$4:$C$14,2,FALSE)</f>
        <v>0</v>
      </c>
      <c r="I31" s="418">
        <f>VLOOKUP('Physical Effects'!P35,Lookup!$B$4:$C$14,2,FALSE)</f>
        <v>1</v>
      </c>
      <c r="J31" s="418">
        <f>VLOOKUP('Physical Effects'!R35,Lookup!$B$4:$C$14,2,FALSE)</f>
        <v>0</v>
      </c>
      <c r="K31" s="418">
        <f>VLOOKUP('Physical Effects'!T35,Lookup!$B$4:$C$14,2,FALSE)</f>
        <v>0</v>
      </c>
      <c r="L31" s="418">
        <f>VLOOKUP('Physical Effects'!V35,Lookup!$B$4:$C$14,2,FALSE)</f>
        <v>0</v>
      </c>
      <c r="M31" s="418">
        <f>VLOOKUP('Physical Effects'!X35,Lookup!$B$4:$C$14,2,FALSE)</f>
        <v>0</v>
      </c>
      <c r="N31" s="418">
        <f>VLOOKUP('Physical Effects'!Z35,Lookup!$B$4:$C$14,2,FALSE)</f>
        <v>0</v>
      </c>
      <c r="O31" s="418">
        <f>VLOOKUP('Physical Effects'!AB35,Lookup!$B$4:$C$14,2,FALSE)</f>
        <v>0</v>
      </c>
      <c r="P31" s="418">
        <f>VLOOKUP('Physical Effects'!AD35,Lookup!$B$4:$C$14,2,FALSE)</f>
        <v>0</v>
      </c>
      <c r="Q31" s="418">
        <f>VLOOKUP('Physical Effects'!AF35,Lookup!$B$4:$C$14,2,FALSE)</f>
        <v>0</v>
      </c>
      <c r="R31" s="418">
        <f>VLOOKUP('Physical Effects'!AH35,Lookup!$B$4:$C$14,2,FALSE)</f>
        <v>0</v>
      </c>
      <c r="S31" s="418">
        <f>VLOOKUP('Physical Effects'!AJ35,Lookup!$B$4:$C$14,2,FALSE)</f>
        <v>1</v>
      </c>
      <c r="T31" s="418">
        <f>VLOOKUP('Physical Effects'!AL35,Lookup!$B$4:$C$14,2,FALSE)</f>
        <v>0</v>
      </c>
      <c r="U31" s="418">
        <f>VLOOKUP('Physical Effects'!AN35,Lookup!$B$4:$C$14,2,FALSE)</f>
        <v>1</v>
      </c>
      <c r="V31" s="418">
        <f>VLOOKUP('Physical Effects'!AP35,Lookup!$B$4:$C$14,2,FALSE)</f>
        <v>0</v>
      </c>
      <c r="W31" s="418">
        <f>VLOOKUP('Physical Effects'!AR35,Lookup!$B$4:$C$14,2,FALSE)</f>
        <v>1</v>
      </c>
      <c r="X31" s="418">
        <f>VLOOKUP('Physical Effects'!AT35,Lookup!$B$4:$C$14,2,FALSE)</f>
        <v>0</v>
      </c>
      <c r="Y31" s="418">
        <f>VLOOKUP('Physical Effects'!AV35,Lookup!$B$4:$C$14,2,FALSE)</f>
        <v>0</v>
      </c>
      <c r="Z31" s="418">
        <f>VLOOKUP('Physical Effects'!AX35,Lookup!$B$4:$C$14,2,FALSE)</f>
        <v>0</v>
      </c>
      <c r="AA31" s="418">
        <f>VLOOKUP('Physical Effects'!AZ35,Lookup!$B$4:$C$14,2,FALSE)</f>
        <v>1</v>
      </c>
      <c r="AB31" s="418">
        <f>VLOOKUP('Physical Effects'!BB35,Lookup!$B$4:$C$14,2,FALSE)</f>
        <v>0</v>
      </c>
      <c r="AC31" s="418">
        <f>VLOOKUP('Physical Effects'!BD35,Lookup!$B$4:$C$14,2,FALSE)</f>
        <v>0</v>
      </c>
      <c r="AD31" s="418">
        <f>VLOOKUP('Physical Effects'!BF35,Lookup!$B$4:$C$14,2,FALSE)</f>
        <v>0</v>
      </c>
      <c r="AE31" s="418">
        <f>VLOOKUP('Physical Effects'!BH35,Lookup!$B$4:$C$14,2,FALSE)</f>
        <v>2</v>
      </c>
      <c r="AF31" s="418">
        <f>VLOOKUP('Physical Effects'!BJ35,Lookup!$B$4:$C$14,2,FALSE)</f>
        <v>0</v>
      </c>
      <c r="AG31" s="418">
        <f>VLOOKUP('Physical Effects'!BL35,Lookup!$B$4:$C$14,2,FALSE)</f>
        <v>0</v>
      </c>
      <c r="AH31" s="418">
        <f>VLOOKUP('Physical Effects'!BN35,Lookup!$B$4:$C$14,2,FALSE)</f>
        <v>0</v>
      </c>
      <c r="AI31" s="418">
        <f>VLOOKUP('Physical Effects'!BP35,Lookup!$B$4:$C$14,2,FALSE)</f>
        <v>2</v>
      </c>
      <c r="AJ31" s="418">
        <f>VLOOKUP('Physical Effects'!BR35,Lookup!$B$4:$C$14,2,FALSE)</f>
        <v>0</v>
      </c>
      <c r="AK31" s="418">
        <f>VLOOKUP('Physical Effects'!BT35,Lookup!$B$4:$C$14,2,FALSE)</f>
        <v>0</v>
      </c>
      <c r="AL31" s="418">
        <f>VLOOKUP('Physical Effects'!BV35,Lookup!$B$4:$C$14,2,FALSE)</f>
        <v>0</v>
      </c>
      <c r="AM31" s="418">
        <f>VLOOKUP('Physical Effects'!BX35,Lookup!$B$4:$C$14,2,FALSE)</f>
        <v>0</v>
      </c>
      <c r="AN31" s="418">
        <f>VLOOKUP('Physical Effects'!BZ35,Lookup!$B$4:$C$14,2,FALSE)</f>
        <v>0</v>
      </c>
      <c r="AO31" s="418">
        <f>VLOOKUP('Physical Effects'!CB35,Lookup!$B$4:$C$14,2,FALSE)</f>
        <v>0</v>
      </c>
      <c r="AP31" s="418">
        <f>VLOOKUP('Physical Effects'!CD35,Lookup!$B$4:$C$14,2,FALSE)</f>
        <v>0</v>
      </c>
      <c r="AQ31" s="418">
        <f>VLOOKUP('Physical Effects'!CF35,Lookup!$B$4:$C$14,2,FALSE)</f>
        <v>0</v>
      </c>
      <c r="AR31" s="418">
        <f>VLOOKUP('Physical Effects'!CH35,Lookup!$B$4:$C$14,2,FALSE)</f>
        <v>0</v>
      </c>
      <c r="AS31" s="418">
        <f>VLOOKUP('Physical Effects'!CJ35,Lookup!$B$4:$C$14,2,FALSE)</f>
        <v>0</v>
      </c>
      <c r="AT31" s="418">
        <f>VLOOKUP('Physical Effects'!CL35,Lookup!$B$4:$C$14,2,FALSE)</f>
        <v>0</v>
      </c>
      <c r="AU31" s="418">
        <f>VLOOKUP('Physical Effects'!CN35,Lookup!$B$4:$C$14,2,FALSE)</f>
        <v>0</v>
      </c>
      <c r="AV31" s="28"/>
      <c r="AW31" s="23"/>
      <c r="AX31" s="23"/>
      <c r="AY31" s="23"/>
      <c r="AZ31" s="23"/>
      <c r="BA31" s="23"/>
      <c r="BB31" s="23"/>
      <c r="BC31" s="23"/>
      <c r="BD31" s="23"/>
      <c r="BE31" s="23"/>
      <c r="BF31" s="23"/>
    </row>
    <row r="32" spans="1:58" s="5" customFormat="1" ht="13.5" thickBot="1" x14ac:dyDescent="0.25">
      <c r="A32" s="123">
        <f t="shared" si="0"/>
        <v>31</v>
      </c>
      <c r="B32" s="19" t="str">
        <f>+'Physical Effects'!B36</f>
        <v>Cross Wind Trap Strips</v>
      </c>
      <c r="C32" s="32" t="str">
        <f>+'Physical Effects'!D36</f>
        <v>589C</v>
      </c>
      <c r="D32" s="418">
        <f>VLOOKUP('Physical Effects'!F36,Lookup!$B$4:$C$14,2,FALSE)</f>
        <v>0</v>
      </c>
      <c r="E32" s="418">
        <f>VLOOKUP('Physical Effects'!H36,Lookup!$B$4:$C$14,2,FALSE)</f>
        <v>4</v>
      </c>
      <c r="F32" s="418">
        <f>VLOOKUP('Physical Effects'!J36,Lookup!$B$4:$C$14,2,FALSE)</f>
        <v>0</v>
      </c>
      <c r="G32" s="418">
        <f>VLOOKUP('Physical Effects'!L36,Lookup!$B$4:$C$14,2,FALSE)</f>
        <v>0</v>
      </c>
      <c r="H32" s="418">
        <f>VLOOKUP('Physical Effects'!N36,Lookup!$B$4:$C$14,2,FALSE)</f>
        <v>0</v>
      </c>
      <c r="I32" s="418">
        <f>VLOOKUP('Physical Effects'!P36,Lookup!$B$4:$C$14,2,FALSE)</f>
        <v>2</v>
      </c>
      <c r="J32" s="418">
        <f>VLOOKUP('Physical Effects'!R36,Lookup!$B$4:$C$14,2,FALSE)</f>
        <v>0</v>
      </c>
      <c r="K32" s="418">
        <f>VLOOKUP('Physical Effects'!T36,Lookup!$B$4:$C$14,2,FALSE)</f>
        <v>0</v>
      </c>
      <c r="L32" s="418">
        <f>VLOOKUP('Physical Effects'!V36,Lookup!$B$4:$C$14,2,FALSE)</f>
        <v>0</v>
      </c>
      <c r="M32" s="418">
        <f>VLOOKUP('Physical Effects'!X36,Lookup!$B$4:$C$14,2,FALSE)</f>
        <v>0</v>
      </c>
      <c r="N32" s="418">
        <f>VLOOKUP('Physical Effects'!Z36,Lookup!$B$4:$C$14,2,FALSE)</f>
        <v>0</v>
      </c>
      <c r="O32" s="418">
        <f>VLOOKUP('Physical Effects'!AB36,Lookup!$B$4:$C$14,2,FALSE)</f>
        <v>0</v>
      </c>
      <c r="P32" s="418">
        <f>VLOOKUP('Physical Effects'!AD36,Lookup!$B$4:$C$14,2,FALSE)</f>
        <v>0</v>
      </c>
      <c r="Q32" s="418">
        <f>VLOOKUP('Physical Effects'!AF36,Lookup!$B$4:$C$14,2,FALSE)</f>
        <v>0</v>
      </c>
      <c r="R32" s="418">
        <f>VLOOKUP('Physical Effects'!AH36,Lookup!$B$4:$C$14,2,FALSE)</f>
        <v>0</v>
      </c>
      <c r="S32" s="418">
        <f>VLOOKUP('Physical Effects'!AJ36,Lookup!$B$4:$C$14,2,FALSE)</f>
        <v>2</v>
      </c>
      <c r="T32" s="418">
        <f>VLOOKUP('Physical Effects'!AL36,Lookup!$B$4:$C$14,2,FALSE)</f>
        <v>0</v>
      </c>
      <c r="U32" s="418">
        <f>VLOOKUP('Physical Effects'!AN36,Lookup!$B$4:$C$14,2,FALSE)</f>
        <v>2</v>
      </c>
      <c r="V32" s="418">
        <f>VLOOKUP('Physical Effects'!AP36,Lookup!$B$4:$C$14,2,FALSE)</f>
        <v>0</v>
      </c>
      <c r="W32" s="418">
        <f>VLOOKUP('Physical Effects'!AR36,Lookup!$B$4:$C$14,2,FALSE)</f>
        <v>1</v>
      </c>
      <c r="X32" s="418">
        <f>VLOOKUP('Physical Effects'!AT36,Lookup!$B$4:$C$14,2,FALSE)</f>
        <v>0</v>
      </c>
      <c r="Y32" s="418">
        <f>VLOOKUP('Physical Effects'!AV36,Lookup!$B$4:$C$14,2,FALSE)</f>
        <v>0</v>
      </c>
      <c r="Z32" s="418">
        <f>VLOOKUP('Physical Effects'!AX36,Lookup!$B$4:$C$14,2,FALSE)</f>
        <v>0</v>
      </c>
      <c r="AA32" s="418">
        <f>VLOOKUP('Physical Effects'!AZ36,Lookup!$B$4:$C$14,2,FALSE)</f>
        <v>1</v>
      </c>
      <c r="AB32" s="418">
        <f>VLOOKUP('Physical Effects'!BB36,Lookup!$B$4:$C$14,2,FALSE)</f>
        <v>0</v>
      </c>
      <c r="AC32" s="418">
        <f>VLOOKUP('Physical Effects'!BD36,Lookup!$B$4:$C$14,2,FALSE)</f>
        <v>0</v>
      </c>
      <c r="AD32" s="418">
        <f>VLOOKUP('Physical Effects'!BF36,Lookup!$B$4:$C$14,2,FALSE)</f>
        <v>0</v>
      </c>
      <c r="AE32" s="418">
        <f>VLOOKUP('Physical Effects'!BH36,Lookup!$B$4:$C$14,2,FALSE)</f>
        <v>2</v>
      </c>
      <c r="AF32" s="418">
        <f>VLOOKUP('Physical Effects'!BJ36,Lookup!$B$4:$C$14,2,FALSE)</f>
        <v>0</v>
      </c>
      <c r="AG32" s="418">
        <f>VLOOKUP('Physical Effects'!BL36,Lookup!$B$4:$C$14,2,FALSE)</f>
        <v>1</v>
      </c>
      <c r="AH32" s="418">
        <f>VLOOKUP('Physical Effects'!BN36,Lookup!$B$4:$C$14,2,FALSE)</f>
        <v>0</v>
      </c>
      <c r="AI32" s="418">
        <f>VLOOKUP('Physical Effects'!BP36,Lookup!$B$4:$C$14,2,FALSE)</f>
        <v>3</v>
      </c>
      <c r="AJ32" s="418">
        <f>VLOOKUP('Physical Effects'!BR36,Lookup!$B$4:$C$14,2,FALSE)</f>
        <v>5</v>
      </c>
      <c r="AK32" s="418">
        <f>VLOOKUP('Physical Effects'!BT36,Lookup!$B$4:$C$14,2,FALSE)</f>
        <v>0</v>
      </c>
      <c r="AL32" s="418">
        <f>VLOOKUP('Physical Effects'!BV36,Lookup!$B$4:$C$14,2,FALSE)</f>
        <v>0</v>
      </c>
      <c r="AM32" s="418">
        <f>VLOOKUP('Physical Effects'!BX36,Lookup!$B$4:$C$14,2,FALSE)</f>
        <v>0</v>
      </c>
      <c r="AN32" s="418">
        <f>VLOOKUP('Physical Effects'!BZ36,Lookup!$B$4:$C$14,2,FALSE)</f>
        <v>2</v>
      </c>
      <c r="AO32" s="418">
        <f>VLOOKUP('Physical Effects'!CB36,Lookup!$B$4:$C$14,2,FALSE)</f>
        <v>0</v>
      </c>
      <c r="AP32" s="418">
        <f>VLOOKUP('Physical Effects'!CD36,Lookup!$B$4:$C$14,2,FALSE)</f>
        <v>2</v>
      </c>
      <c r="AQ32" s="418">
        <f>VLOOKUP('Physical Effects'!CF36,Lookup!$B$4:$C$14,2,FALSE)</f>
        <v>1</v>
      </c>
      <c r="AR32" s="418">
        <f>VLOOKUP('Physical Effects'!CH36,Lookup!$B$4:$C$14,2,FALSE)</f>
        <v>0</v>
      </c>
      <c r="AS32" s="418">
        <f>VLOOKUP('Physical Effects'!CJ36,Lookup!$B$4:$C$14,2,FALSE)</f>
        <v>0</v>
      </c>
      <c r="AT32" s="418">
        <f>VLOOKUP('Physical Effects'!CL36,Lookup!$B$4:$C$14,2,FALSE)</f>
        <v>0</v>
      </c>
      <c r="AU32" s="418">
        <f>VLOOKUP('Physical Effects'!CN36,Lookup!$B$4:$C$14,2,FALSE)</f>
        <v>0</v>
      </c>
      <c r="AV32" s="28"/>
      <c r="AW32" s="25"/>
      <c r="AX32" s="23"/>
      <c r="AY32" s="23"/>
      <c r="AZ32" s="23"/>
      <c r="BA32" s="23"/>
      <c r="BB32" s="23"/>
      <c r="BC32" s="23"/>
      <c r="BD32" s="23"/>
      <c r="BE32" s="23"/>
      <c r="BF32" s="23"/>
    </row>
    <row r="33" spans="1:58" s="5" customFormat="1" ht="13.5" thickBot="1" x14ac:dyDescent="0.25">
      <c r="A33" s="123">
        <f t="shared" si="0"/>
        <v>32</v>
      </c>
      <c r="B33" s="19" t="str">
        <f>+'Physical Effects'!B37</f>
        <v>Dam</v>
      </c>
      <c r="C33" s="32">
        <f>+'Physical Effects'!D37</f>
        <v>402</v>
      </c>
      <c r="D33" s="418">
        <f>VLOOKUP('Physical Effects'!F37,Lookup!$B$4:$C$14,2,FALSE)</f>
        <v>0</v>
      </c>
      <c r="E33" s="418">
        <f>VLOOKUP('Physical Effects'!H37,Lookup!$B$4:$C$14,2,FALSE)</f>
        <v>0</v>
      </c>
      <c r="F33" s="418">
        <f>VLOOKUP('Physical Effects'!J37,Lookup!$B$4:$C$14,2,FALSE)</f>
        <v>0</v>
      </c>
      <c r="G33" s="418">
        <f>VLOOKUP('Physical Effects'!L37,Lookup!$B$4:$C$14,2,FALSE)</f>
        <v>2</v>
      </c>
      <c r="H33" s="418">
        <f>VLOOKUP('Physical Effects'!N37,Lookup!$B$4:$C$14,2,FALSE)</f>
        <v>1</v>
      </c>
      <c r="I33" s="418">
        <f>VLOOKUP('Physical Effects'!P37,Lookup!$B$4:$C$14,2,FALSE)</f>
        <v>0</v>
      </c>
      <c r="J33" s="418">
        <f>VLOOKUP('Physical Effects'!R37,Lookup!$B$4:$C$14,2,FALSE)</f>
        <v>0</v>
      </c>
      <c r="K33" s="418">
        <f>VLOOKUP('Physical Effects'!T37,Lookup!$B$4:$C$14,2,FALSE)</f>
        <v>0</v>
      </c>
      <c r="L33" s="418">
        <f>VLOOKUP('Physical Effects'!V37,Lookup!$B$4:$C$14,2,FALSE)</f>
        <v>-1</v>
      </c>
      <c r="M33" s="418">
        <f>VLOOKUP('Physical Effects'!X37,Lookup!$B$4:$C$14,2,FALSE)</f>
        <v>-2</v>
      </c>
      <c r="N33" s="418">
        <f>VLOOKUP('Physical Effects'!Z37,Lookup!$B$4:$C$14,2,FALSE)</f>
        <v>2</v>
      </c>
      <c r="O33" s="418">
        <f>VLOOKUP('Physical Effects'!AB37,Lookup!$B$4:$C$14,2,FALSE)</f>
        <v>-1</v>
      </c>
      <c r="P33" s="418">
        <f>VLOOKUP('Physical Effects'!AD37,Lookup!$B$4:$C$14,2,FALSE)</f>
        <v>0</v>
      </c>
      <c r="Q33" s="418">
        <f>VLOOKUP('Physical Effects'!AF37,Lookup!$B$4:$C$14,2,FALSE)</f>
        <v>2</v>
      </c>
      <c r="R33" s="418">
        <f>VLOOKUP('Physical Effects'!AH37,Lookup!$B$4:$C$14,2,FALSE)</f>
        <v>0</v>
      </c>
      <c r="S33" s="418">
        <f>VLOOKUP('Physical Effects'!AJ37,Lookup!$B$4:$C$14,2,FALSE)</f>
        <v>0</v>
      </c>
      <c r="T33" s="418">
        <f>VLOOKUP('Physical Effects'!AL37,Lookup!$B$4:$C$14,2,FALSE)</f>
        <v>0</v>
      </c>
      <c r="U33" s="418">
        <f>VLOOKUP('Physical Effects'!AN37,Lookup!$B$4:$C$14,2,FALSE)</f>
        <v>0</v>
      </c>
      <c r="V33" s="418">
        <f>VLOOKUP('Physical Effects'!AP37,Lookup!$B$4:$C$14,2,FALSE)</f>
        <v>-1</v>
      </c>
      <c r="W33" s="418">
        <f>VLOOKUP('Physical Effects'!AR37,Lookup!$B$4:$C$14,2,FALSE)</f>
        <v>0</v>
      </c>
      <c r="X33" s="418">
        <f>VLOOKUP('Physical Effects'!AT37,Lookup!$B$4:$C$14,2,FALSE)</f>
        <v>0</v>
      </c>
      <c r="Y33" s="418">
        <f>VLOOKUP('Physical Effects'!AV37,Lookup!$B$4:$C$14,2,FALSE)</f>
        <v>-2</v>
      </c>
      <c r="Z33" s="418">
        <f>VLOOKUP('Physical Effects'!AX37,Lookup!$B$4:$C$14,2,FALSE)</f>
        <v>0</v>
      </c>
      <c r="AA33" s="418">
        <f>VLOOKUP('Physical Effects'!AZ37,Lookup!$B$4:$C$14,2,FALSE)</f>
        <v>2</v>
      </c>
      <c r="AB33" s="418">
        <f>VLOOKUP('Physical Effects'!BB37,Lookup!$B$4:$C$14,2,FALSE)</f>
        <v>0</v>
      </c>
      <c r="AC33" s="418">
        <f>VLOOKUP('Physical Effects'!BD37,Lookup!$B$4:$C$14,2,FALSE)</f>
        <v>0</v>
      </c>
      <c r="AD33" s="418">
        <f>VLOOKUP('Physical Effects'!BF37,Lookup!$B$4:$C$14,2,FALSE)</f>
        <v>0</v>
      </c>
      <c r="AE33" s="418">
        <f>VLOOKUP('Physical Effects'!BH37,Lookup!$B$4:$C$14,2,FALSE)</f>
        <v>0</v>
      </c>
      <c r="AF33" s="418">
        <f>VLOOKUP('Physical Effects'!BJ37,Lookup!$B$4:$C$14,2,FALSE)</f>
        <v>0</v>
      </c>
      <c r="AG33" s="418">
        <f>VLOOKUP('Physical Effects'!BL37,Lookup!$B$4:$C$14,2,FALSE)</f>
        <v>0</v>
      </c>
      <c r="AH33" s="418">
        <f>VLOOKUP('Physical Effects'!BN37,Lookup!$B$4:$C$14,2,FALSE)</f>
        <v>0</v>
      </c>
      <c r="AI33" s="418">
        <f>VLOOKUP('Physical Effects'!BP37,Lookup!$B$4:$C$14,2,FALSE)</f>
        <v>0</v>
      </c>
      <c r="AJ33" s="418">
        <f>VLOOKUP('Physical Effects'!BR37,Lookup!$B$4:$C$14,2,FALSE)</f>
        <v>0</v>
      </c>
      <c r="AK33" s="418">
        <f>VLOOKUP('Physical Effects'!BT37,Lookup!$B$4:$C$14,2,FALSE)</f>
        <v>0</v>
      </c>
      <c r="AL33" s="418">
        <f>VLOOKUP('Physical Effects'!BV37,Lookup!$B$4:$C$14,2,FALSE)</f>
        <v>0</v>
      </c>
      <c r="AM33" s="418">
        <f>VLOOKUP('Physical Effects'!BX37,Lookup!$B$4:$C$14,2,FALSE)</f>
        <v>2</v>
      </c>
      <c r="AN33" s="418">
        <f>VLOOKUP('Physical Effects'!BZ37,Lookup!$B$4:$C$14,2,FALSE)</f>
        <v>2</v>
      </c>
      <c r="AO33" s="418">
        <f>VLOOKUP('Physical Effects'!CB37,Lookup!$B$4:$C$14,2,FALSE)</f>
        <v>1</v>
      </c>
      <c r="AP33" s="418">
        <f>VLOOKUP('Physical Effects'!CD37,Lookup!$B$4:$C$14,2,FALSE)</f>
        <v>2</v>
      </c>
      <c r="AQ33" s="418">
        <f>VLOOKUP('Physical Effects'!CF37,Lookup!$B$4:$C$14,2,FALSE)</f>
        <v>0</v>
      </c>
      <c r="AR33" s="418">
        <f>VLOOKUP('Physical Effects'!CH37,Lookup!$B$4:$C$14,2,FALSE)</f>
        <v>0</v>
      </c>
      <c r="AS33" s="418">
        <f>VLOOKUP('Physical Effects'!CJ37,Lookup!$B$4:$C$14,2,FALSE)</f>
        <v>4</v>
      </c>
      <c r="AT33" s="418">
        <f>VLOOKUP('Physical Effects'!CL37,Lookup!$B$4:$C$14,2,FALSE)</f>
        <v>0</v>
      </c>
      <c r="AU33" s="418">
        <f>VLOOKUP('Physical Effects'!CN37,Lookup!$B$4:$C$14,2,FALSE)</f>
        <v>0</v>
      </c>
      <c r="AV33" s="28"/>
      <c r="AW33" s="23"/>
      <c r="AX33" s="23"/>
      <c r="AY33" s="23"/>
      <c r="AZ33" s="23"/>
      <c r="BA33" s="23"/>
      <c r="BB33" s="23"/>
      <c r="BC33" s="23"/>
      <c r="BD33" s="23"/>
      <c r="BE33" s="23"/>
      <c r="BF33" s="23"/>
    </row>
    <row r="34" spans="1:58" s="5" customFormat="1" ht="13.5" thickBot="1" x14ac:dyDescent="0.25">
      <c r="A34" s="123">
        <f t="shared" si="0"/>
        <v>33</v>
      </c>
      <c r="B34" s="19" t="str">
        <f>+'Physical Effects'!B38</f>
        <v>Dam, Diversion</v>
      </c>
      <c r="C34" s="32">
        <f>+'Physical Effects'!D38</f>
        <v>348</v>
      </c>
      <c r="D34" s="418">
        <f>VLOOKUP('Physical Effects'!F38,Lookup!$B$4:$C$14,2,FALSE)</f>
        <v>0</v>
      </c>
      <c r="E34" s="418">
        <f>VLOOKUP('Physical Effects'!H38,Lookup!$B$4:$C$14,2,FALSE)</f>
        <v>0</v>
      </c>
      <c r="F34" s="418">
        <f>VLOOKUP('Physical Effects'!J38,Lookup!$B$4:$C$14,2,FALSE)</f>
        <v>0</v>
      </c>
      <c r="G34" s="418">
        <f>VLOOKUP('Physical Effects'!L38,Lookup!$B$4:$C$14,2,FALSE)</f>
        <v>0</v>
      </c>
      <c r="H34" s="418">
        <f>VLOOKUP('Physical Effects'!N38,Lookup!$B$4:$C$14,2,FALSE)</f>
        <v>-1</v>
      </c>
      <c r="I34" s="418">
        <f>VLOOKUP('Physical Effects'!P38,Lookup!$B$4:$C$14,2,FALSE)</f>
        <v>0</v>
      </c>
      <c r="J34" s="418">
        <f>VLOOKUP('Physical Effects'!R38,Lookup!$B$4:$C$14,2,FALSE)</f>
        <v>0</v>
      </c>
      <c r="K34" s="418">
        <f>VLOOKUP('Physical Effects'!T38,Lookup!$B$4:$C$14,2,FALSE)</f>
        <v>0</v>
      </c>
      <c r="L34" s="418">
        <f>VLOOKUP('Physical Effects'!V38,Lookup!$B$4:$C$14,2,FALSE)</f>
        <v>0</v>
      </c>
      <c r="M34" s="418">
        <f>VLOOKUP('Physical Effects'!X38,Lookup!$B$4:$C$14,2,FALSE)</f>
        <v>0</v>
      </c>
      <c r="N34" s="418">
        <f>VLOOKUP('Physical Effects'!Z38,Lookup!$B$4:$C$14,2,FALSE)</f>
        <v>2</v>
      </c>
      <c r="O34" s="418">
        <f>VLOOKUP('Physical Effects'!AB38,Lookup!$B$4:$C$14,2,FALSE)</f>
        <v>0</v>
      </c>
      <c r="P34" s="418">
        <f>VLOOKUP('Physical Effects'!AD38,Lookup!$B$4:$C$14,2,FALSE)</f>
        <v>0</v>
      </c>
      <c r="Q34" s="418">
        <f>VLOOKUP('Physical Effects'!AF38,Lookup!$B$4:$C$14,2,FALSE)</f>
        <v>2</v>
      </c>
      <c r="R34" s="418">
        <f>VLOOKUP('Physical Effects'!AH38,Lookup!$B$4:$C$14,2,FALSE)</f>
        <v>2</v>
      </c>
      <c r="S34" s="418">
        <f>VLOOKUP('Physical Effects'!AJ38,Lookup!$B$4:$C$14,2,FALSE)</f>
        <v>0</v>
      </c>
      <c r="T34" s="418">
        <f>VLOOKUP('Physical Effects'!AL38,Lookup!$B$4:$C$14,2,FALSE)</f>
        <v>0</v>
      </c>
      <c r="U34" s="418">
        <f>VLOOKUP('Physical Effects'!AN38,Lookup!$B$4:$C$14,2,FALSE)</f>
        <v>0</v>
      </c>
      <c r="V34" s="418">
        <f>VLOOKUP('Physical Effects'!AP38,Lookup!$B$4:$C$14,2,FALSE)</f>
        <v>0</v>
      </c>
      <c r="W34" s="418">
        <f>VLOOKUP('Physical Effects'!AR38,Lookup!$B$4:$C$14,2,FALSE)</f>
        <v>0</v>
      </c>
      <c r="X34" s="418">
        <f>VLOOKUP('Physical Effects'!AT38,Lookup!$B$4:$C$14,2,FALSE)</f>
        <v>0</v>
      </c>
      <c r="Y34" s="418">
        <f>VLOOKUP('Physical Effects'!AV38,Lookup!$B$4:$C$14,2,FALSE)</f>
        <v>0</v>
      </c>
      <c r="Z34" s="418">
        <f>VLOOKUP('Physical Effects'!AX38,Lookup!$B$4:$C$14,2,FALSE)</f>
        <v>0</v>
      </c>
      <c r="AA34" s="418">
        <f>VLOOKUP('Physical Effects'!AZ38,Lookup!$B$4:$C$14,2,FALSE)</f>
        <v>0</v>
      </c>
      <c r="AB34" s="418">
        <f>VLOOKUP('Physical Effects'!BB38,Lookup!$B$4:$C$14,2,FALSE)</f>
        <v>-2</v>
      </c>
      <c r="AC34" s="418">
        <f>VLOOKUP('Physical Effects'!BD38,Lookup!$B$4:$C$14,2,FALSE)</f>
        <v>0</v>
      </c>
      <c r="AD34" s="418">
        <f>VLOOKUP('Physical Effects'!BF38,Lookup!$B$4:$C$14,2,FALSE)</f>
        <v>0</v>
      </c>
      <c r="AE34" s="418">
        <f>VLOOKUP('Physical Effects'!BH38,Lookup!$B$4:$C$14,2,FALSE)</f>
        <v>0</v>
      </c>
      <c r="AF34" s="418">
        <f>VLOOKUP('Physical Effects'!BJ38,Lookup!$B$4:$C$14,2,FALSE)</f>
        <v>0</v>
      </c>
      <c r="AG34" s="418">
        <f>VLOOKUP('Physical Effects'!BL38,Lookup!$B$4:$C$14,2,FALSE)</f>
        <v>0</v>
      </c>
      <c r="AH34" s="418">
        <f>VLOOKUP('Physical Effects'!BN38,Lookup!$B$4:$C$14,2,FALSE)</f>
        <v>0</v>
      </c>
      <c r="AI34" s="418">
        <f>VLOOKUP('Physical Effects'!BP38,Lookup!$B$4:$C$14,2,FALSE)</f>
        <v>0</v>
      </c>
      <c r="AJ34" s="418">
        <f>VLOOKUP('Physical Effects'!BR38,Lookup!$B$4:$C$14,2,FALSE)</f>
        <v>0</v>
      </c>
      <c r="AK34" s="418">
        <f>VLOOKUP('Physical Effects'!BT38,Lookup!$B$4:$C$14,2,FALSE)</f>
        <v>0</v>
      </c>
      <c r="AL34" s="418">
        <f>VLOOKUP('Physical Effects'!BV38,Lookup!$B$4:$C$14,2,FALSE)</f>
        <v>0</v>
      </c>
      <c r="AM34" s="418">
        <f>VLOOKUP('Physical Effects'!BX38,Lookup!$B$4:$C$14,2,FALSE)</f>
        <v>-2</v>
      </c>
      <c r="AN34" s="418">
        <f>VLOOKUP('Physical Effects'!BZ38,Lookup!$B$4:$C$14,2,FALSE)</f>
        <v>-2</v>
      </c>
      <c r="AO34" s="418">
        <f>VLOOKUP('Physical Effects'!CB38,Lookup!$B$4:$C$14,2,FALSE)</f>
        <v>-2</v>
      </c>
      <c r="AP34" s="418">
        <f>VLOOKUP('Physical Effects'!CD38,Lookup!$B$4:$C$14,2,FALSE)</f>
        <v>-2</v>
      </c>
      <c r="AQ34" s="418">
        <f>VLOOKUP('Physical Effects'!CF38,Lookup!$B$4:$C$14,2,FALSE)</f>
        <v>0</v>
      </c>
      <c r="AR34" s="418">
        <f>VLOOKUP('Physical Effects'!CH38,Lookup!$B$4:$C$14,2,FALSE)</f>
        <v>0</v>
      </c>
      <c r="AS34" s="418">
        <f>VLOOKUP('Physical Effects'!CJ38,Lookup!$B$4:$C$14,2,FALSE)</f>
        <v>4</v>
      </c>
      <c r="AT34" s="418">
        <f>VLOOKUP('Physical Effects'!CL38,Lookup!$B$4:$C$14,2,FALSE)</f>
        <v>0</v>
      </c>
      <c r="AU34" s="418">
        <f>VLOOKUP('Physical Effects'!CN38,Lookup!$B$4:$C$14,2,FALSE)</f>
        <v>0</v>
      </c>
      <c r="AV34" s="28"/>
      <c r="AW34" s="23"/>
      <c r="AX34" s="23"/>
      <c r="AY34" s="23"/>
      <c r="AZ34" s="23"/>
      <c r="BA34" s="23"/>
      <c r="BB34" s="23"/>
      <c r="BC34" s="23"/>
      <c r="BD34" s="23"/>
      <c r="BE34" s="23"/>
      <c r="BF34" s="23"/>
    </row>
    <row r="35" spans="1:58" s="5" customFormat="1" ht="13.5" thickBot="1" x14ac:dyDescent="0.25">
      <c r="A35" s="123">
        <f t="shared" si="0"/>
        <v>34</v>
      </c>
      <c r="B35" s="19" t="str">
        <f>+'Physical Effects'!B39</f>
        <v>Deep Tillage</v>
      </c>
      <c r="C35" s="32">
        <f>+'Physical Effects'!D39</f>
        <v>324</v>
      </c>
      <c r="D35" s="418">
        <f>VLOOKUP('Physical Effects'!F39,Lookup!$B$4:$C$14,2,FALSE)</f>
        <v>0</v>
      </c>
      <c r="E35" s="418">
        <f>VLOOKUP('Physical Effects'!H39,Lookup!$B$4:$C$14,2,FALSE)</f>
        <v>0</v>
      </c>
      <c r="F35" s="418">
        <f>VLOOKUP('Physical Effects'!J39,Lookup!$B$4:$C$14,2,FALSE)</f>
        <v>0</v>
      </c>
      <c r="G35" s="418">
        <f>VLOOKUP('Physical Effects'!L39,Lookup!$B$4:$C$14,2,FALSE)</f>
        <v>0</v>
      </c>
      <c r="H35" s="418">
        <f>VLOOKUP('Physical Effects'!N39,Lookup!$B$4:$C$14,2,FALSE)</f>
        <v>0</v>
      </c>
      <c r="I35" s="418">
        <f>VLOOKUP('Physical Effects'!P39,Lookup!$B$4:$C$14,2,FALSE)</f>
        <v>-4</v>
      </c>
      <c r="J35" s="418">
        <f>VLOOKUP('Physical Effects'!R39,Lookup!$B$4:$C$14,2,FALSE)</f>
        <v>5</v>
      </c>
      <c r="K35" s="418">
        <f>VLOOKUP('Physical Effects'!T39,Lookup!$B$4:$C$14,2,FALSE)</f>
        <v>-1</v>
      </c>
      <c r="L35" s="418">
        <f>VLOOKUP('Physical Effects'!V39,Lookup!$B$4:$C$14,2,FALSE)</f>
        <v>2</v>
      </c>
      <c r="M35" s="418">
        <f>VLOOKUP('Physical Effects'!X39,Lookup!$B$4:$C$14,2,FALSE)</f>
        <v>-2</v>
      </c>
      <c r="N35" s="418">
        <f>VLOOKUP('Physical Effects'!Z39,Lookup!$B$4:$C$14,2,FALSE)</f>
        <v>0</v>
      </c>
      <c r="O35" s="418">
        <f>VLOOKUP('Physical Effects'!AB39,Lookup!$B$4:$C$14,2,FALSE)</f>
        <v>2</v>
      </c>
      <c r="P35" s="418">
        <f>VLOOKUP('Physical Effects'!AD39,Lookup!$B$4:$C$14,2,FALSE)</f>
        <v>0</v>
      </c>
      <c r="Q35" s="418">
        <f>VLOOKUP('Physical Effects'!AF39,Lookup!$B$4:$C$14,2,FALSE)</f>
        <v>2</v>
      </c>
      <c r="R35" s="418">
        <f>VLOOKUP('Physical Effects'!AH39,Lookup!$B$4:$C$14,2,FALSE)</f>
        <v>2</v>
      </c>
      <c r="S35" s="418">
        <f>VLOOKUP('Physical Effects'!AJ39,Lookup!$B$4:$C$14,2,FALSE)</f>
        <v>0</v>
      </c>
      <c r="T35" s="418">
        <f>VLOOKUP('Physical Effects'!AL39,Lookup!$B$4:$C$14,2,FALSE)</f>
        <v>0</v>
      </c>
      <c r="U35" s="418">
        <f>VLOOKUP('Physical Effects'!AN39,Lookup!$B$4:$C$14,2,FALSE)</f>
        <v>1</v>
      </c>
      <c r="V35" s="418">
        <f>VLOOKUP('Physical Effects'!AP39,Lookup!$B$4:$C$14,2,FALSE)</f>
        <v>-2</v>
      </c>
      <c r="W35" s="418">
        <f>VLOOKUP('Physical Effects'!AR39,Lookup!$B$4:$C$14,2,FALSE)</f>
        <v>1</v>
      </c>
      <c r="X35" s="418">
        <f>VLOOKUP('Physical Effects'!AT39,Lookup!$B$4:$C$14,2,FALSE)</f>
        <v>0</v>
      </c>
      <c r="Y35" s="418">
        <f>VLOOKUP('Physical Effects'!AV39,Lookup!$B$4:$C$14,2,FALSE)</f>
        <v>0</v>
      </c>
      <c r="Z35" s="418">
        <f>VLOOKUP('Physical Effects'!AX39,Lookup!$B$4:$C$14,2,FALSE)</f>
        <v>0</v>
      </c>
      <c r="AA35" s="418">
        <f>VLOOKUP('Physical Effects'!AZ39,Lookup!$B$4:$C$14,2,FALSE)</f>
        <v>0</v>
      </c>
      <c r="AB35" s="418">
        <f>VLOOKUP('Physical Effects'!BB39,Lookup!$B$4:$C$14,2,FALSE)</f>
        <v>0</v>
      </c>
      <c r="AC35" s="418">
        <f>VLOOKUP('Physical Effects'!BD39,Lookup!$B$4:$C$14,2,FALSE)</f>
        <v>0</v>
      </c>
      <c r="AD35" s="418">
        <f>VLOOKUP('Physical Effects'!BF39,Lookup!$B$4:$C$14,2,FALSE)</f>
        <v>0</v>
      </c>
      <c r="AE35" s="418">
        <f>VLOOKUP('Physical Effects'!BH39,Lookup!$B$4:$C$14,2,FALSE)</f>
        <v>-2</v>
      </c>
      <c r="AF35" s="418">
        <f>VLOOKUP('Physical Effects'!BJ39,Lookup!$B$4:$C$14,2,FALSE)</f>
        <v>-1</v>
      </c>
      <c r="AG35" s="418">
        <f>VLOOKUP('Physical Effects'!BL39,Lookup!$B$4:$C$14,2,FALSE)</f>
        <v>-1</v>
      </c>
      <c r="AH35" s="418">
        <f>VLOOKUP('Physical Effects'!BN39,Lookup!$B$4:$C$14,2,FALSE)</f>
        <v>0</v>
      </c>
      <c r="AI35" s="418">
        <f>VLOOKUP('Physical Effects'!BP39,Lookup!$B$4:$C$14,2,FALSE)</f>
        <v>2</v>
      </c>
      <c r="AJ35" s="418">
        <f>VLOOKUP('Physical Effects'!BR39,Lookup!$B$4:$C$14,2,FALSE)</f>
        <v>0</v>
      </c>
      <c r="AK35" s="418">
        <f>VLOOKUP('Physical Effects'!BT39,Lookup!$B$4:$C$14,2,FALSE)</f>
        <v>0</v>
      </c>
      <c r="AL35" s="418">
        <f>VLOOKUP('Physical Effects'!BV39,Lookup!$B$4:$C$14,2,FALSE)</f>
        <v>0</v>
      </c>
      <c r="AM35" s="418">
        <f>VLOOKUP('Physical Effects'!BX39,Lookup!$B$4:$C$14,2,FALSE)</f>
        <v>0</v>
      </c>
      <c r="AN35" s="418">
        <f>VLOOKUP('Physical Effects'!BZ39,Lookup!$B$4:$C$14,2,FALSE)</f>
        <v>0</v>
      </c>
      <c r="AO35" s="418">
        <f>VLOOKUP('Physical Effects'!CB39,Lookup!$B$4:$C$14,2,FALSE)</f>
        <v>0</v>
      </c>
      <c r="AP35" s="418">
        <f>VLOOKUP('Physical Effects'!CD39,Lookup!$B$4:$C$14,2,FALSE)</f>
        <v>0</v>
      </c>
      <c r="AQ35" s="418">
        <f>VLOOKUP('Physical Effects'!CF39,Lookup!$B$4:$C$14,2,FALSE)</f>
        <v>2</v>
      </c>
      <c r="AR35" s="418">
        <f>VLOOKUP('Physical Effects'!CH39,Lookup!$B$4:$C$14,2,FALSE)</f>
        <v>0</v>
      </c>
      <c r="AS35" s="418">
        <f>VLOOKUP('Physical Effects'!CJ39,Lookup!$B$4:$C$14,2,FALSE)</f>
        <v>0</v>
      </c>
      <c r="AT35" s="418">
        <f>VLOOKUP('Physical Effects'!CL39,Lookup!$B$4:$C$14,2,FALSE)</f>
        <v>0</v>
      </c>
      <c r="AU35" s="418">
        <f>VLOOKUP('Physical Effects'!CN39,Lookup!$B$4:$C$14,2,FALSE)</f>
        <v>0</v>
      </c>
      <c r="AV35" s="28"/>
      <c r="AW35" s="23"/>
      <c r="AX35" s="23"/>
      <c r="AY35" s="23"/>
      <c r="AZ35" s="23"/>
      <c r="BA35" s="23"/>
      <c r="BB35" s="23"/>
      <c r="BC35" s="23"/>
      <c r="BD35" s="23"/>
      <c r="BE35" s="23"/>
      <c r="BF35" s="23"/>
    </row>
    <row r="36" spans="1:58" s="20" customFormat="1" ht="13.5" thickBot="1" x14ac:dyDescent="0.25">
      <c r="A36" s="123">
        <f t="shared" si="0"/>
        <v>35</v>
      </c>
      <c r="B36" s="19" t="str">
        <f>+'Physical Effects'!B40</f>
        <v>Denitrifying Bioreactor</v>
      </c>
      <c r="C36" s="32">
        <f>+'Physical Effects'!D40</f>
        <v>605</v>
      </c>
      <c r="D36" s="418">
        <f>VLOOKUP('Physical Effects'!F40,Lookup!$B$4:$C$14,2,FALSE)</f>
        <v>0</v>
      </c>
      <c r="E36" s="418">
        <f>VLOOKUP('Physical Effects'!H40,Lookup!$B$4:$C$14,2,FALSE)</f>
        <v>0</v>
      </c>
      <c r="F36" s="418">
        <f>VLOOKUP('Physical Effects'!J40,Lookup!$B$4:$C$14,2,FALSE)</f>
        <v>0</v>
      </c>
      <c r="G36" s="418">
        <f>VLOOKUP('Physical Effects'!L40,Lookup!$B$4:$C$14,2,FALSE)</f>
        <v>0</v>
      </c>
      <c r="H36" s="418">
        <f>VLOOKUP('Physical Effects'!N40,Lookup!$B$4:$C$14,2,FALSE)</f>
        <v>0</v>
      </c>
      <c r="I36" s="418">
        <f>VLOOKUP('Physical Effects'!P40,Lookup!$B$4:$C$14,2,FALSE)</f>
        <v>0</v>
      </c>
      <c r="J36" s="418">
        <f>VLOOKUP('Physical Effects'!R40,Lookup!$B$4:$C$14,2,FALSE)</f>
        <v>0</v>
      </c>
      <c r="K36" s="418">
        <f>VLOOKUP('Physical Effects'!T40,Lookup!$B$4:$C$14,2,FALSE)</f>
        <v>0</v>
      </c>
      <c r="L36" s="418">
        <f>VLOOKUP('Physical Effects'!V40,Lookup!$B$4:$C$14,2,FALSE)</f>
        <v>0</v>
      </c>
      <c r="M36" s="418">
        <f>VLOOKUP('Physical Effects'!X40,Lookup!$B$4:$C$14,2,FALSE)</f>
        <v>0</v>
      </c>
      <c r="N36" s="418">
        <f>VLOOKUP('Physical Effects'!Z40,Lookup!$B$4:$C$14,2,FALSE)</f>
        <v>0</v>
      </c>
      <c r="O36" s="418">
        <f>VLOOKUP('Physical Effects'!AB40,Lookup!$B$4:$C$14,2,FALSE)</f>
        <v>0</v>
      </c>
      <c r="P36" s="418">
        <f>VLOOKUP('Physical Effects'!AD40,Lookup!$B$4:$C$14,2,FALSE)</f>
        <v>0</v>
      </c>
      <c r="Q36" s="418">
        <f>VLOOKUP('Physical Effects'!AF40,Lookup!$B$4:$C$14,2,FALSE)</f>
        <v>0</v>
      </c>
      <c r="R36" s="418">
        <f>VLOOKUP('Physical Effects'!AH40,Lookup!$B$4:$C$14,2,FALSE)</f>
        <v>0</v>
      </c>
      <c r="S36" s="418">
        <f>VLOOKUP('Physical Effects'!AJ40,Lookup!$B$4:$C$14,2,FALSE)</f>
        <v>0</v>
      </c>
      <c r="T36" s="418">
        <f>VLOOKUP('Physical Effects'!AL40,Lookup!$B$4:$C$14,2,FALSE)</f>
        <v>0</v>
      </c>
      <c r="U36" s="418">
        <f>VLOOKUP('Physical Effects'!AN40,Lookup!$B$4:$C$14,2,FALSE)</f>
        <v>3</v>
      </c>
      <c r="V36" s="418">
        <f>VLOOKUP('Physical Effects'!AP40,Lookup!$B$4:$C$14,2,FALSE)</f>
        <v>1</v>
      </c>
      <c r="W36" s="418">
        <f>VLOOKUP('Physical Effects'!AR40,Lookup!$B$4:$C$14,2,FALSE)</f>
        <v>0</v>
      </c>
      <c r="X36" s="418">
        <f>VLOOKUP('Physical Effects'!AT40,Lookup!$B$4:$C$14,2,FALSE)</f>
        <v>0</v>
      </c>
      <c r="Y36" s="418">
        <f>VLOOKUP('Physical Effects'!AV40,Lookup!$B$4:$C$14,2,FALSE)</f>
        <v>0</v>
      </c>
      <c r="Z36" s="418">
        <f>VLOOKUP('Physical Effects'!AX40,Lookup!$B$4:$C$14,2,FALSE)</f>
        <v>0</v>
      </c>
      <c r="AA36" s="418">
        <f>VLOOKUP('Physical Effects'!AZ40,Lookup!$B$4:$C$14,2,FALSE)</f>
        <v>0</v>
      </c>
      <c r="AB36" s="418">
        <f>VLOOKUP('Physical Effects'!BB40,Lookup!$B$4:$C$14,2,FALSE)</f>
        <v>0</v>
      </c>
      <c r="AC36" s="418">
        <f>VLOOKUP('Physical Effects'!BD40,Lookup!$B$4:$C$14,2,FALSE)</f>
        <v>0</v>
      </c>
      <c r="AD36" s="418">
        <f>VLOOKUP('Physical Effects'!BF40,Lookup!$B$4:$C$14,2,FALSE)</f>
        <v>0</v>
      </c>
      <c r="AE36" s="418">
        <f>VLOOKUP('Physical Effects'!BH40,Lookup!$B$4:$C$14,2,FALSE)</f>
        <v>0</v>
      </c>
      <c r="AF36" s="418">
        <f>VLOOKUP('Physical Effects'!BJ40,Lookup!$B$4:$C$14,2,FALSE)</f>
        <v>0</v>
      </c>
      <c r="AG36" s="418">
        <f>VLOOKUP('Physical Effects'!BL40,Lookup!$B$4:$C$14,2,FALSE)</f>
        <v>-1</v>
      </c>
      <c r="AH36" s="418">
        <f>VLOOKUP('Physical Effects'!BN40,Lookup!$B$4:$C$14,2,FALSE)</f>
        <v>0</v>
      </c>
      <c r="AI36" s="418">
        <f>VLOOKUP('Physical Effects'!BP40,Lookup!$B$4:$C$14,2,FALSE)</f>
        <v>0</v>
      </c>
      <c r="AJ36" s="418">
        <f>VLOOKUP('Physical Effects'!BR40,Lookup!$B$4:$C$14,2,FALSE)</f>
        <v>0</v>
      </c>
      <c r="AK36" s="418">
        <f>VLOOKUP('Physical Effects'!BT40,Lookup!$B$4:$C$14,2,FALSE)</f>
        <v>0</v>
      </c>
      <c r="AL36" s="418">
        <f>VLOOKUP('Physical Effects'!BV40,Lookup!$B$4:$C$14,2,FALSE)</f>
        <v>0</v>
      </c>
      <c r="AM36" s="418">
        <f>VLOOKUP('Physical Effects'!BX40,Lookup!$B$4:$C$14,2,FALSE)</f>
        <v>0</v>
      </c>
      <c r="AN36" s="418">
        <f>VLOOKUP('Physical Effects'!BZ40,Lookup!$B$4:$C$14,2,FALSE)</f>
        <v>0</v>
      </c>
      <c r="AO36" s="418">
        <f>VLOOKUP('Physical Effects'!CB40,Lookup!$B$4:$C$14,2,FALSE)</f>
        <v>0</v>
      </c>
      <c r="AP36" s="418">
        <f>VLOOKUP('Physical Effects'!CD40,Lookup!$B$4:$C$14,2,FALSE)</f>
        <v>0</v>
      </c>
      <c r="AQ36" s="418">
        <f>VLOOKUP('Physical Effects'!CF40,Lookup!$B$4:$C$14,2,FALSE)</f>
        <v>0</v>
      </c>
      <c r="AR36" s="418">
        <f>VLOOKUP('Physical Effects'!CH40,Lookup!$B$4:$C$14,2,FALSE)</f>
        <v>0</v>
      </c>
      <c r="AS36" s="418">
        <f>VLOOKUP('Physical Effects'!CJ40,Lookup!$B$4:$C$14,2,FALSE)</f>
        <v>0</v>
      </c>
      <c r="AT36" s="418">
        <f>VLOOKUP('Physical Effects'!CL40,Lookup!$B$4:$C$14,2,FALSE)</f>
        <v>0</v>
      </c>
      <c r="AU36" s="418">
        <f>VLOOKUP('Physical Effects'!CN40,Lookup!$B$4:$C$14,2,FALSE)</f>
        <v>0</v>
      </c>
      <c r="AV36" s="28"/>
      <c r="AW36" s="24"/>
      <c r="AX36" s="24"/>
      <c r="AY36" s="24"/>
      <c r="AZ36" s="24"/>
      <c r="BA36" s="24"/>
      <c r="BB36" s="24"/>
      <c r="BC36" s="24"/>
      <c r="BD36" s="24"/>
      <c r="BE36" s="24"/>
      <c r="BF36" s="24"/>
    </row>
    <row r="37" spans="1:58" s="5" customFormat="1" ht="13.5" thickBot="1" x14ac:dyDescent="0.25">
      <c r="A37" s="123">
        <f t="shared" si="0"/>
        <v>36</v>
      </c>
      <c r="B37" s="19" t="str">
        <f>+'Physical Effects'!B41</f>
        <v>Dike</v>
      </c>
      <c r="C37" s="32">
        <f>+'Physical Effects'!D41</f>
        <v>356</v>
      </c>
      <c r="D37" s="418">
        <f>VLOOKUP('Physical Effects'!F41,Lookup!$B$4:$C$14,2,FALSE)</f>
        <v>0</v>
      </c>
      <c r="E37" s="418">
        <f>VLOOKUP('Physical Effects'!H41,Lookup!$B$4:$C$14,2,FALSE)</f>
        <v>0</v>
      </c>
      <c r="F37" s="418">
        <f>VLOOKUP('Physical Effects'!J41,Lookup!$B$4:$C$14,2,FALSE)</f>
        <v>0</v>
      </c>
      <c r="G37" s="418">
        <f>VLOOKUP('Physical Effects'!L41,Lookup!$B$4:$C$14,2,FALSE)</f>
        <v>1</v>
      </c>
      <c r="H37" s="418">
        <f>VLOOKUP('Physical Effects'!N41,Lookup!$B$4:$C$14,2,FALSE)</f>
        <v>-2</v>
      </c>
      <c r="I37" s="418">
        <f>VLOOKUP('Physical Effects'!P41,Lookup!$B$4:$C$14,2,FALSE)</f>
        <v>0</v>
      </c>
      <c r="J37" s="418">
        <f>VLOOKUP('Physical Effects'!R41,Lookup!$B$4:$C$14,2,FALSE)</f>
        <v>0</v>
      </c>
      <c r="K37" s="418">
        <f>VLOOKUP('Physical Effects'!T41,Lookup!$B$4:$C$14,2,FALSE)</f>
        <v>0</v>
      </c>
      <c r="L37" s="418">
        <f>VLOOKUP('Physical Effects'!V41,Lookup!$B$4:$C$14,2,FALSE)</f>
        <v>0</v>
      </c>
      <c r="M37" s="418">
        <f>VLOOKUP('Physical Effects'!X41,Lookup!$B$4:$C$14,2,FALSE)</f>
        <v>-1</v>
      </c>
      <c r="N37" s="418">
        <f>VLOOKUP('Physical Effects'!Z41,Lookup!$B$4:$C$14,2,FALSE)</f>
        <v>2</v>
      </c>
      <c r="O37" s="418">
        <f>VLOOKUP('Physical Effects'!AB41,Lookup!$B$4:$C$14,2,FALSE)</f>
        <v>-1</v>
      </c>
      <c r="P37" s="418">
        <f>VLOOKUP('Physical Effects'!AD41,Lookup!$B$4:$C$14,2,FALSE)</f>
        <v>0</v>
      </c>
      <c r="Q37" s="418">
        <f>VLOOKUP('Physical Effects'!AF41,Lookup!$B$4:$C$14,2,FALSE)</f>
        <v>0</v>
      </c>
      <c r="R37" s="418">
        <f>VLOOKUP('Physical Effects'!AH41,Lookup!$B$4:$C$14,2,FALSE)</f>
        <v>0</v>
      </c>
      <c r="S37" s="418">
        <f>VLOOKUP('Physical Effects'!AJ41,Lookup!$B$4:$C$14,2,FALSE)</f>
        <v>2</v>
      </c>
      <c r="T37" s="418">
        <f>VLOOKUP('Physical Effects'!AL41,Lookup!$B$4:$C$14,2,FALSE)</f>
        <v>2</v>
      </c>
      <c r="U37" s="418">
        <f>VLOOKUP('Physical Effects'!AN41,Lookup!$B$4:$C$14,2,FALSE)</f>
        <v>0</v>
      </c>
      <c r="V37" s="418">
        <f>VLOOKUP('Physical Effects'!AP41,Lookup!$B$4:$C$14,2,FALSE)</f>
        <v>0</v>
      </c>
      <c r="W37" s="418">
        <f>VLOOKUP('Physical Effects'!AR41,Lookup!$B$4:$C$14,2,FALSE)</f>
        <v>0</v>
      </c>
      <c r="X37" s="418">
        <f>VLOOKUP('Physical Effects'!AT41,Lookup!$B$4:$C$14,2,FALSE)</f>
        <v>0</v>
      </c>
      <c r="Y37" s="418">
        <f>VLOOKUP('Physical Effects'!AV41,Lookup!$B$4:$C$14,2,FALSE)</f>
        <v>0</v>
      </c>
      <c r="Z37" s="418">
        <f>VLOOKUP('Physical Effects'!AX41,Lookup!$B$4:$C$14,2,FALSE)</f>
        <v>0</v>
      </c>
      <c r="AA37" s="418">
        <f>VLOOKUP('Physical Effects'!AZ41,Lookup!$B$4:$C$14,2,FALSE)</f>
        <v>0</v>
      </c>
      <c r="AB37" s="418">
        <f>VLOOKUP('Physical Effects'!BB41,Lookup!$B$4:$C$14,2,FALSE)</f>
        <v>0</v>
      </c>
      <c r="AC37" s="418">
        <f>VLOOKUP('Physical Effects'!BD41,Lookup!$B$4:$C$14,2,FALSE)</f>
        <v>0</v>
      </c>
      <c r="AD37" s="418">
        <f>VLOOKUP('Physical Effects'!BF41,Lookup!$B$4:$C$14,2,FALSE)</f>
        <v>0</v>
      </c>
      <c r="AE37" s="418">
        <f>VLOOKUP('Physical Effects'!BH41,Lookup!$B$4:$C$14,2,FALSE)</f>
        <v>0</v>
      </c>
      <c r="AF37" s="418">
        <f>VLOOKUP('Physical Effects'!BJ41,Lookup!$B$4:$C$14,2,FALSE)</f>
        <v>0</v>
      </c>
      <c r="AG37" s="418">
        <f>VLOOKUP('Physical Effects'!BL41,Lookup!$B$4:$C$14,2,FALSE)</f>
        <v>0</v>
      </c>
      <c r="AH37" s="418">
        <f>VLOOKUP('Physical Effects'!BN41,Lookup!$B$4:$C$14,2,FALSE)</f>
        <v>0</v>
      </c>
      <c r="AI37" s="418">
        <f>VLOOKUP('Physical Effects'!BP41,Lookup!$B$4:$C$14,2,FALSE)</f>
        <v>0</v>
      </c>
      <c r="AJ37" s="418">
        <f>VLOOKUP('Physical Effects'!BR41,Lookup!$B$4:$C$14,2,FALSE)</f>
        <v>0</v>
      </c>
      <c r="AK37" s="418">
        <f>VLOOKUP('Physical Effects'!BT41,Lookup!$B$4:$C$14,2,FALSE)</f>
        <v>0</v>
      </c>
      <c r="AL37" s="418">
        <f>VLOOKUP('Physical Effects'!BV41,Lookup!$B$4:$C$14,2,FALSE)</f>
        <v>0</v>
      </c>
      <c r="AM37" s="418">
        <f>VLOOKUP('Physical Effects'!BX41,Lookup!$B$4:$C$14,2,FALSE)</f>
        <v>-2</v>
      </c>
      <c r="AN37" s="418">
        <f>VLOOKUP('Physical Effects'!BZ41,Lookup!$B$4:$C$14,2,FALSE)</f>
        <v>-2</v>
      </c>
      <c r="AO37" s="418">
        <f>VLOOKUP('Physical Effects'!CB41,Lookup!$B$4:$C$14,2,FALSE)</f>
        <v>1</v>
      </c>
      <c r="AP37" s="418">
        <f>VLOOKUP('Physical Effects'!CD41,Lookup!$B$4:$C$14,2,FALSE)</f>
        <v>1</v>
      </c>
      <c r="AQ37" s="418">
        <f>VLOOKUP('Physical Effects'!CF41,Lookup!$B$4:$C$14,2,FALSE)</f>
        <v>0</v>
      </c>
      <c r="AR37" s="418">
        <f>VLOOKUP('Physical Effects'!CH41,Lookup!$B$4:$C$14,2,FALSE)</f>
        <v>0</v>
      </c>
      <c r="AS37" s="418">
        <f>VLOOKUP('Physical Effects'!CJ41,Lookup!$B$4:$C$14,2,FALSE)</f>
        <v>0</v>
      </c>
      <c r="AT37" s="418">
        <f>VLOOKUP('Physical Effects'!CL41,Lookup!$B$4:$C$14,2,FALSE)</f>
        <v>0</v>
      </c>
      <c r="AU37" s="418">
        <f>VLOOKUP('Physical Effects'!CN41,Lookup!$B$4:$C$14,2,FALSE)</f>
        <v>0</v>
      </c>
      <c r="AV37" s="28"/>
      <c r="AW37" s="23"/>
      <c r="AX37" s="23"/>
      <c r="AY37" s="23"/>
      <c r="AZ37" s="23"/>
      <c r="BA37" s="23"/>
      <c r="BB37" s="23"/>
      <c r="BC37" s="23"/>
      <c r="BD37" s="23"/>
      <c r="BE37" s="23"/>
      <c r="BF37" s="23"/>
    </row>
    <row r="38" spans="1:58" s="5" customFormat="1" ht="13.5" thickBot="1" x14ac:dyDescent="0.25">
      <c r="A38" s="123">
        <f t="shared" si="0"/>
        <v>37</v>
      </c>
      <c r="B38" s="19" t="str">
        <f>+'Physical Effects'!B42</f>
        <v>Diversion</v>
      </c>
      <c r="C38" s="32">
        <f>+'Physical Effects'!D42</f>
        <v>362</v>
      </c>
      <c r="D38" s="418">
        <f>VLOOKUP('Physical Effects'!F42,Lookup!$B$4:$C$14,2,FALSE)</f>
        <v>1</v>
      </c>
      <c r="E38" s="418">
        <f>VLOOKUP('Physical Effects'!H42,Lookup!$B$4:$C$14,2,FALSE)</f>
        <v>0</v>
      </c>
      <c r="F38" s="418">
        <f>VLOOKUP('Physical Effects'!J42,Lookup!$B$4:$C$14,2,FALSE)</f>
        <v>2</v>
      </c>
      <c r="G38" s="418">
        <f>VLOOKUP('Physical Effects'!L42,Lookup!$B$4:$C$14,2,FALSE)</f>
        <v>2</v>
      </c>
      <c r="H38" s="418">
        <f>VLOOKUP('Physical Effects'!N42,Lookup!$B$4:$C$14,2,FALSE)</f>
        <v>1</v>
      </c>
      <c r="I38" s="418">
        <f>VLOOKUP('Physical Effects'!P42,Lookup!$B$4:$C$14,2,FALSE)</f>
        <v>0</v>
      </c>
      <c r="J38" s="418">
        <f>VLOOKUP('Physical Effects'!R42,Lookup!$B$4:$C$14,2,FALSE)</f>
        <v>0</v>
      </c>
      <c r="K38" s="418">
        <f>VLOOKUP('Physical Effects'!T42,Lookup!$B$4:$C$14,2,FALSE)</f>
        <v>0</v>
      </c>
      <c r="L38" s="418">
        <f>VLOOKUP('Physical Effects'!V42,Lookup!$B$4:$C$14,2,FALSE)</f>
        <v>0</v>
      </c>
      <c r="M38" s="418">
        <f>VLOOKUP('Physical Effects'!X42,Lookup!$B$4:$C$14,2,FALSE)</f>
        <v>-1</v>
      </c>
      <c r="N38" s="418">
        <f>VLOOKUP('Physical Effects'!Z42,Lookup!$B$4:$C$14,2,FALSE)</f>
        <v>2</v>
      </c>
      <c r="O38" s="418">
        <f>VLOOKUP('Physical Effects'!AB42,Lookup!$B$4:$C$14,2,FALSE)</f>
        <v>2</v>
      </c>
      <c r="P38" s="418">
        <f>VLOOKUP('Physical Effects'!AD42,Lookup!$B$4:$C$14,2,FALSE)</f>
        <v>0</v>
      </c>
      <c r="Q38" s="418">
        <f>VLOOKUP('Physical Effects'!AF42,Lookup!$B$4:$C$14,2,FALSE)</f>
        <v>2</v>
      </c>
      <c r="R38" s="418">
        <f>VLOOKUP('Physical Effects'!AH42,Lookup!$B$4:$C$14,2,FALSE)</f>
        <v>2</v>
      </c>
      <c r="S38" s="418">
        <f>VLOOKUP('Physical Effects'!AJ42,Lookup!$B$4:$C$14,2,FALSE)</f>
        <v>1</v>
      </c>
      <c r="T38" s="418">
        <f>VLOOKUP('Physical Effects'!AL42,Lookup!$B$4:$C$14,2,FALSE)</f>
        <v>1</v>
      </c>
      <c r="U38" s="418">
        <f>VLOOKUP('Physical Effects'!AN42,Lookup!$B$4:$C$14,2,FALSE)</f>
        <v>0</v>
      </c>
      <c r="V38" s="418">
        <f>VLOOKUP('Physical Effects'!AP42,Lookup!$B$4:$C$14,2,FALSE)</f>
        <v>-1</v>
      </c>
      <c r="W38" s="418">
        <f>VLOOKUP('Physical Effects'!AR42,Lookup!$B$4:$C$14,2,FALSE)</f>
        <v>0</v>
      </c>
      <c r="X38" s="418">
        <f>VLOOKUP('Physical Effects'!AT42,Lookup!$B$4:$C$14,2,FALSE)</f>
        <v>0</v>
      </c>
      <c r="Y38" s="418">
        <f>VLOOKUP('Physical Effects'!AV42,Lookup!$B$4:$C$14,2,FALSE)</f>
        <v>1</v>
      </c>
      <c r="Z38" s="418">
        <f>VLOOKUP('Physical Effects'!AX42,Lookup!$B$4:$C$14,2,FALSE)</f>
        <v>0</v>
      </c>
      <c r="AA38" s="418">
        <f>VLOOKUP('Physical Effects'!AZ42,Lookup!$B$4:$C$14,2,FALSE)</f>
        <v>2</v>
      </c>
      <c r="AB38" s="418">
        <f>VLOOKUP('Physical Effects'!BB42,Lookup!$B$4:$C$14,2,FALSE)</f>
        <v>0</v>
      </c>
      <c r="AC38" s="418">
        <f>VLOOKUP('Physical Effects'!BD42,Lookup!$B$4:$C$14,2,FALSE)</f>
        <v>1</v>
      </c>
      <c r="AD38" s="418">
        <f>VLOOKUP('Physical Effects'!BF42,Lookup!$B$4:$C$14,2,FALSE)</f>
        <v>0</v>
      </c>
      <c r="AE38" s="418">
        <f>VLOOKUP('Physical Effects'!BH42,Lookup!$B$4:$C$14,2,FALSE)</f>
        <v>0</v>
      </c>
      <c r="AF38" s="418">
        <f>VLOOKUP('Physical Effects'!BJ42,Lookup!$B$4:$C$14,2,FALSE)</f>
        <v>0</v>
      </c>
      <c r="AG38" s="418">
        <f>VLOOKUP('Physical Effects'!BL42,Lookup!$B$4:$C$14,2,FALSE)</f>
        <v>0</v>
      </c>
      <c r="AH38" s="418">
        <f>VLOOKUP('Physical Effects'!BN42,Lookup!$B$4:$C$14,2,FALSE)</f>
        <v>0</v>
      </c>
      <c r="AI38" s="418">
        <f>VLOOKUP('Physical Effects'!BP42,Lookup!$B$4:$C$14,2,FALSE)</f>
        <v>2</v>
      </c>
      <c r="AJ38" s="418">
        <f>VLOOKUP('Physical Effects'!BR42,Lookup!$B$4:$C$14,2,FALSE)</f>
        <v>0</v>
      </c>
      <c r="AK38" s="418">
        <f>VLOOKUP('Physical Effects'!BT42,Lookup!$B$4:$C$14,2,FALSE)</f>
        <v>0</v>
      </c>
      <c r="AL38" s="418">
        <f>VLOOKUP('Physical Effects'!BV42,Lookup!$B$4:$C$14,2,FALSE)</f>
        <v>0</v>
      </c>
      <c r="AM38" s="418">
        <f>VLOOKUP('Physical Effects'!BX42,Lookup!$B$4:$C$14,2,FALSE)</f>
        <v>0</v>
      </c>
      <c r="AN38" s="418">
        <f>VLOOKUP('Physical Effects'!BZ42,Lookup!$B$4:$C$14,2,FALSE)</f>
        <v>0</v>
      </c>
      <c r="AO38" s="418">
        <f>VLOOKUP('Physical Effects'!CB42,Lookup!$B$4:$C$14,2,FALSE)</f>
        <v>0</v>
      </c>
      <c r="AP38" s="418">
        <f>VLOOKUP('Physical Effects'!CD42,Lookup!$B$4:$C$14,2,FALSE)</f>
        <v>0</v>
      </c>
      <c r="AQ38" s="418">
        <f>VLOOKUP('Physical Effects'!CF42,Lookup!$B$4:$C$14,2,FALSE)</f>
        <v>0</v>
      </c>
      <c r="AR38" s="418">
        <f>VLOOKUP('Physical Effects'!CH42,Lookup!$B$4:$C$14,2,FALSE)</f>
        <v>0</v>
      </c>
      <c r="AS38" s="418">
        <f>VLOOKUP('Physical Effects'!CJ42,Lookup!$B$4:$C$14,2,FALSE)</f>
        <v>0</v>
      </c>
      <c r="AT38" s="418">
        <f>VLOOKUP('Physical Effects'!CL42,Lookup!$B$4:$C$14,2,FALSE)</f>
        <v>0</v>
      </c>
      <c r="AU38" s="418">
        <f>VLOOKUP('Physical Effects'!CN42,Lookup!$B$4:$C$14,2,FALSE)</f>
        <v>0</v>
      </c>
      <c r="AV38" s="28"/>
      <c r="AW38" s="23"/>
      <c r="AX38" s="23"/>
      <c r="AY38" s="23"/>
      <c r="AZ38" s="23"/>
      <c r="BA38" s="23"/>
      <c r="BB38" s="23"/>
      <c r="BC38" s="23"/>
      <c r="BD38" s="23"/>
      <c r="BE38" s="23"/>
      <c r="BF38" s="23"/>
    </row>
    <row r="39" spans="1:58" s="5" customFormat="1" ht="13.5" thickBot="1" x14ac:dyDescent="0.25">
      <c r="A39" s="123">
        <f t="shared" si="0"/>
        <v>38</v>
      </c>
      <c r="B39" s="19" t="str">
        <f>+'Physical Effects'!B43</f>
        <v>Drainage Water Management</v>
      </c>
      <c r="C39" s="32">
        <f>+'Physical Effects'!D43</f>
        <v>554</v>
      </c>
      <c r="D39" s="418">
        <f>VLOOKUP('Physical Effects'!F43,Lookup!$B$4:$C$14,2,FALSE)</f>
        <v>0</v>
      </c>
      <c r="E39" s="418">
        <f>VLOOKUP('Physical Effects'!H43,Lookup!$B$4:$C$14,2,FALSE)</f>
        <v>2</v>
      </c>
      <c r="F39" s="418">
        <f>VLOOKUP('Physical Effects'!J43,Lookup!$B$4:$C$14,2,FALSE)</f>
        <v>0</v>
      </c>
      <c r="G39" s="418">
        <f>VLOOKUP('Physical Effects'!L43,Lookup!$B$4:$C$14,2,FALSE)</f>
        <v>0</v>
      </c>
      <c r="H39" s="418">
        <f>VLOOKUP('Physical Effects'!N43,Lookup!$B$4:$C$14,2,FALSE)</f>
        <v>0</v>
      </c>
      <c r="I39" s="418">
        <f>VLOOKUP('Physical Effects'!P43,Lookup!$B$4:$C$14,2,FALSE)</f>
        <v>2</v>
      </c>
      <c r="J39" s="418">
        <f>VLOOKUP('Physical Effects'!R43,Lookup!$B$4:$C$14,2,FALSE)</f>
        <v>-1</v>
      </c>
      <c r="K39" s="418">
        <f>VLOOKUP('Physical Effects'!T43,Lookup!$B$4:$C$14,2,FALSE)</f>
        <v>2</v>
      </c>
      <c r="L39" s="418">
        <f>VLOOKUP('Physical Effects'!V43,Lookup!$B$4:$C$14,2,FALSE)</f>
        <v>0</v>
      </c>
      <c r="M39" s="418">
        <f>VLOOKUP('Physical Effects'!X43,Lookup!$B$4:$C$14,2,FALSE)</f>
        <v>1</v>
      </c>
      <c r="N39" s="418">
        <f>VLOOKUP('Physical Effects'!Z43,Lookup!$B$4:$C$14,2,FALSE)</f>
        <v>-2</v>
      </c>
      <c r="O39" s="418">
        <f>VLOOKUP('Physical Effects'!AB43,Lookup!$B$4:$C$14,2,FALSE)</f>
        <v>2</v>
      </c>
      <c r="P39" s="418">
        <f>VLOOKUP('Physical Effects'!AD43,Lookup!$B$4:$C$14,2,FALSE)</f>
        <v>0</v>
      </c>
      <c r="Q39" s="418">
        <f>VLOOKUP('Physical Effects'!AF43,Lookup!$B$4:$C$14,2,FALSE)</f>
        <v>0</v>
      </c>
      <c r="R39" s="418">
        <f>VLOOKUP('Physical Effects'!AH43,Lookup!$B$4:$C$14,2,FALSE)</f>
        <v>0</v>
      </c>
      <c r="S39" s="418">
        <f>VLOOKUP('Physical Effects'!AJ43,Lookup!$B$4:$C$14,2,FALSE)</f>
        <v>2</v>
      </c>
      <c r="T39" s="418">
        <f>VLOOKUP('Physical Effects'!AL43,Lookup!$B$4:$C$14,2,FALSE)</f>
        <v>2</v>
      </c>
      <c r="U39" s="418">
        <f>VLOOKUP('Physical Effects'!AN43,Lookup!$B$4:$C$14,2,FALSE)</f>
        <v>1</v>
      </c>
      <c r="V39" s="418">
        <f>VLOOKUP('Physical Effects'!AP43,Lookup!$B$4:$C$14,2,FALSE)</f>
        <v>-1</v>
      </c>
      <c r="W39" s="418">
        <f>VLOOKUP('Physical Effects'!AR43,Lookup!$B$4:$C$14,2,FALSE)</f>
        <v>0</v>
      </c>
      <c r="X39" s="418">
        <f>VLOOKUP('Physical Effects'!AT43,Lookup!$B$4:$C$14,2,FALSE)</f>
        <v>0</v>
      </c>
      <c r="Y39" s="418">
        <f>VLOOKUP('Physical Effects'!AV43,Lookup!$B$4:$C$14,2,FALSE)</f>
        <v>1</v>
      </c>
      <c r="Z39" s="418">
        <f>VLOOKUP('Physical Effects'!AX43,Lookup!$B$4:$C$14,2,FALSE)</f>
        <v>1</v>
      </c>
      <c r="AA39" s="418">
        <f>VLOOKUP('Physical Effects'!AZ43,Lookup!$B$4:$C$14,2,FALSE)</f>
        <v>0</v>
      </c>
      <c r="AB39" s="418">
        <f>VLOOKUP('Physical Effects'!BB43,Lookup!$B$4:$C$14,2,FALSE)</f>
        <v>0</v>
      </c>
      <c r="AC39" s="418">
        <f>VLOOKUP('Physical Effects'!BD43,Lookup!$B$4:$C$14,2,FALSE)</f>
        <v>2</v>
      </c>
      <c r="AD39" s="418">
        <f>VLOOKUP('Physical Effects'!BF43,Lookup!$B$4:$C$14,2,FALSE)</f>
        <v>0</v>
      </c>
      <c r="AE39" s="418">
        <f>VLOOKUP('Physical Effects'!BH43,Lookup!$B$4:$C$14,2,FALSE)</f>
        <v>2</v>
      </c>
      <c r="AF39" s="418">
        <f>VLOOKUP('Physical Effects'!BJ43,Lookup!$B$4:$C$14,2,FALSE)</f>
        <v>0</v>
      </c>
      <c r="AG39" s="418">
        <f>VLOOKUP('Physical Effects'!BL43,Lookup!$B$4:$C$14,2,FALSE)</f>
        <v>1</v>
      </c>
      <c r="AH39" s="418">
        <f>VLOOKUP('Physical Effects'!BN43,Lookup!$B$4:$C$14,2,FALSE)</f>
        <v>0</v>
      </c>
      <c r="AI39" s="418">
        <f>VLOOKUP('Physical Effects'!BP43,Lookup!$B$4:$C$14,2,FALSE)</f>
        <v>2</v>
      </c>
      <c r="AJ39" s="418">
        <f>VLOOKUP('Physical Effects'!BR43,Lookup!$B$4:$C$14,2,FALSE)</f>
        <v>0</v>
      </c>
      <c r="AK39" s="418">
        <f>VLOOKUP('Physical Effects'!BT43,Lookup!$B$4:$C$14,2,FALSE)</f>
        <v>0</v>
      </c>
      <c r="AL39" s="418">
        <f>VLOOKUP('Physical Effects'!BV43,Lookup!$B$4:$C$14,2,FALSE)</f>
        <v>0</v>
      </c>
      <c r="AM39" s="418">
        <f>VLOOKUP('Physical Effects'!BX43,Lookup!$B$4:$C$14,2,FALSE)</f>
        <v>0</v>
      </c>
      <c r="AN39" s="418">
        <f>VLOOKUP('Physical Effects'!BZ43,Lookup!$B$4:$C$14,2,FALSE)</f>
        <v>0</v>
      </c>
      <c r="AO39" s="418">
        <f>VLOOKUP('Physical Effects'!CB43,Lookup!$B$4:$C$14,2,FALSE)</f>
        <v>2</v>
      </c>
      <c r="AP39" s="418">
        <f>VLOOKUP('Physical Effects'!CD43,Lookup!$B$4:$C$14,2,FALSE)</f>
        <v>2</v>
      </c>
      <c r="AQ39" s="418">
        <f>VLOOKUP('Physical Effects'!CF43,Lookup!$B$4:$C$14,2,FALSE)</f>
        <v>4</v>
      </c>
      <c r="AR39" s="418">
        <f>VLOOKUP('Physical Effects'!CH43,Lookup!$B$4:$C$14,2,FALSE)</f>
        <v>0</v>
      </c>
      <c r="AS39" s="418">
        <f>VLOOKUP('Physical Effects'!CJ43,Lookup!$B$4:$C$14,2,FALSE)</f>
        <v>0</v>
      </c>
      <c r="AT39" s="418">
        <f>VLOOKUP('Physical Effects'!CL43,Lookup!$B$4:$C$14,2,FALSE)</f>
        <v>0</v>
      </c>
      <c r="AU39" s="418">
        <f>VLOOKUP('Physical Effects'!CN43,Lookup!$B$4:$C$14,2,FALSE)</f>
        <v>0</v>
      </c>
      <c r="AV39" s="28"/>
      <c r="AW39" s="23"/>
      <c r="AX39" s="23"/>
      <c r="AY39" s="23"/>
      <c r="AZ39" s="23"/>
      <c r="BA39" s="23"/>
      <c r="BB39" s="23"/>
      <c r="BC39" s="23"/>
      <c r="BD39" s="23"/>
      <c r="BE39" s="23"/>
      <c r="BF39" s="23"/>
    </row>
    <row r="40" spans="1:58" s="5" customFormat="1" ht="13.5" thickBot="1" x14ac:dyDescent="0.25">
      <c r="A40" s="123">
        <f t="shared" si="0"/>
        <v>39</v>
      </c>
      <c r="B40" s="19" t="str">
        <f>+'Physical Effects'!B44</f>
        <v>Dry Hydrant</v>
      </c>
      <c r="C40" s="32">
        <f>+'Physical Effects'!D44</f>
        <v>432</v>
      </c>
      <c r="D40" s="418">
        <f>VLOOKUP('Physical Effects'!F44,Lookup!$B$4:$C$14,2,FALSE)</f>
        <v>0</v>
      </c>
      <c r="E40" s="418">
        <f>VLOOKUP('Physical Effects'!H44,Lookup!$B$4:$C$14,2,FALSE)</f>
        <v>0</v>
      </c>
      <c r="F40" s="418">
        <f>VLOOKUP('Physical Effects'!J44,Lookup!$B$4:$C$14,2,FALSE)</f>
        <v>0</v>
      </c>
      <c r="G40" s="418">
        <f>VLOOKUP('Physical Effects'!L44,Lookup!$B$4:$C$14,2,FALSE)</f>
        <v>0</v>
      </c>
      <c r="H40" s="418">
        <f>VLOOKUP('Physical Effects'!N44,Lookup!$B$4:$C$14,2,FALSE)</f>
        <v>0</v>
      </c>
      <c r="I40" s="418">
        <f>VLOOKUP('Physical Effects'!P44,Lookup!$B$4:$C$14,2,FALSE)</f>
        <v>0</v>
      </c>
      <c r="J40" s="418">
        <f>VLOOKUP('Physical Effects'!R44,Lookup!$B$4:$C$14,2,FALSE)</f>
        <v>0</v>
      </c>
      <c r="K40" s="418">
        <f>VLOOKUP('Physical Effects'!T44,Lookup!$B$4:$C$14,2,FALSE)</f>
        <v>0</v>
      </c>
      <c r="L40" s="418">
        <f>VLOOKUP('Physical Effects'!V44,Lookup!$B$4:$C$14,2,FALSE)</f>
        <v>0</v>
      </c>
      <c r="M40" s="418">
        <f>VLOOKUP('Physical Effects'!X44,Lookup!$B$4:$C$14,2,FALSE)</f>
        <v>0</v>
      </c>
      <c r="N40" s="418">
        <f>VLOOKUP('Physical Effects'!Z44,Lookup!$B$4:$C$14,2,FALSE)</f>
        <v>0</v>
      </c>
      <c r="O40" s="418">
        <f>VLOOKUP('Physical Effects'!AB44,Lookup!$B$4:$C$14,2,FALSE)</f>
        <v>0</v>
      </c>
      <c r="P40" s="418">
        <f>VLOOKUP('Physical Effects'!AD44,Lookup!$B$4:$C$14,2,FALSE)</f>
        <v>0</v>
      </c>
      <c r="Q40" s="418">
        <f>VLOOKUP('Physical Effects'!AF44,Lookup!$B$4:$C$14,2,FALSE)</f>
        <v>-1</v>
      </c>
      <c r="R40" s="418">
        <f>VLOOKUP('Physical Effects'!AH44,Lookup!$B$4:$C$14,2,FALSE)</f>
        <v>-1</v>
      </c>
      <c r="S40" s="418">
        <f>VLOOKUP('Physical Effects'!AJ44,Lookup!$B$4:$C$14,2,FALSE)</f>
        <v>0</v>
      </c>
      <c r="T40" s="418">
        <f>VLOOKUP('Physical Effects'!AL44,Lookup!$B$4:$C$14,2,FALSE)</f>
        <v>0</v>
      </c>
      <c r="U40" s="418">
        <f>VLOOKUP('Physical Effects'!AN44,Lookup!$B$4:$C$14,2,FALSE)</f>
        <v>0</v>
      </c>
      <c r="V40" s="418">
        <f>VLOOKUP('Physical Effects'!AP44,Lookup!$B$4:$C$14,2,FALSE)</f>
        <v>0</v>
      </c>
      <c r="W40" s="418">
        <f>VLOOKUP('Physical Effects'!AR44,Lookup!$B$4:$C$14,2,FALSE)</f>
        <v>0</v>
      </c>
      <c r="X40" s="418">
        <f>VLOOKUP('Physical Effects'!AT44,Lookup!$B$4:$C$14,2,FALSE)</f>
        <v>0</v>
      </c>
      <c r="Y40" s="418">
        <f>VLOOKUP('Physical Effects'!AV44,Lookup!$B$4:$C$14,2,FALSE)</f>
        <v>0</v>
      </c>
      <c r="Z40" s="418">
        <f>VLOOKUP('Physical Effects'!AX44,Lookup!$B$4:$C$14,2,FALSE)</f>
        <v>0</v>
      </c>
      <c r="AA40" s="418">
        <f>VLOOKUP('Physical Effects'!AZ44,Lookup!$B$4:$C$14,2,FALSE)</f>
        <v>0</v>
      </c>
      <c r="AB40" s="418">
        <f>VLOOKUP('Physical Effects'!BB44,Lookup!$B$4:$C$14,2,FALSE)</f>
        <v>0</v>
      </c>
      <c r="AC40" s="418">
        <f>VLOOKUP('Physical Effects'!BD44,Lookup!$B$4:$C$14,2,FALSE)</f>
        <v>0</v>
      </c>
      <c r="AD40" s="418">
        <f>VLOOKUP('Physical Effects'!BF44,Lookup!$B$4:$C$14,2,FALSE)</f>
        <v>0</v>
      </c>
      <c r="AE40" s="418">
        <f>VLOOKUP('Physical Effects'!BH44,Lookup!$B$4:$C$14,2,FALSE)</f>
        <v>0</v>
      </c>
      <c r="AF40" s="418">
        <f>VLOOKUP('Physical Effects'!BJ44,Lookup!$B$4:$C$14,2,FALSE)</f>
        <v>0</v>
      </c>
      <c r="AG40" s="418">
        <f>VLOOKUP('Physical Effects'!BL44,Lookup!$B$4:$C$14,2,FALSE)</f>
        <v>0</v>
      </c>
      <c r="AH40" s="418">
        <f>VLOOKUP('Physical Effects'!BN44,Lookup!$B$4:$C$14,2,FALSE)</f>
        <v>0</v>
      </c>
      <c r="AI40" s="418">
        <f>VLOOKUP('Physical Effects'!BP44,Lookup!$B$4:$C$14,2,FALSE)</f>
        <v>0</v>
      </c>
      <c r="AJ40" s="418">
        <f>VLOOKUP('Physical Effects'!BR44,Lookup!$B$4:$C$14,2,FALSE)</f>
        <v>0</v>
      </c>
      <c r="AK40" s="418">
        <f>VLOOKUP('Physical Effects'!BT44,Lookup!$B$4:$C$14,2,FALSE)</f>
        <v>0</v>
      </c>
      <c r="AL40" s="418">
        <f>VLOOKUP('Physical Effects'!BV44,Lookup!$B$4:$C$14,2,FALSE)</f>
        <v>2</v>
      </c>
      <c r="AM40" s="418">
        <f>VLOOKUP('Physical Effects'!BX44,Lookup!$B$4:$C$14,2,FALSE)</f>
        <v>0</v>
      </c>
      <c r="AN40" s="418">
        <f>VLOOKUP('Physical Effects'!BZ44,Lookup!$B$4:$C$14,2,FALSE)</f>
        <v>0</v>
      </c>
      <c r="AO40" s="418">
        <f>VLOOKUP('Physical Effects'!CB44,Lookup!$B$4:$C$14,2,FALSE)</f>
        <v>0</v>
      </c>
      <c r="AP40" s="418">
        <f>VLOOKUP('Physical Effects'!CD44,Lookup!$B$4:$C$14,2,FALSE)</f>
        <v>0</v>
      </c>
      <c r="AQ40" s="418">
        <f>VLOOKUP('Physical Effects'!CF44,Lookup!$B$4:$C$14,2,FALSE)</f>
        <v>0</v>
      </c>
      <c r="AR40" s="418">
        <f>VLOOKUP('Physical Effects'!CH44,Lookup!$B$4:$C$14,2,FALSE)</f>
        <v>0</v>
      </c>
      <c r="AS40" s="418">
        <f>VLOOKUP('Physical Effects'!CJ44,Lookup!$B$4:$C$14,2,FALSE)</f>
        <v>0</v>
      </c>
      <c r="AT40" s="418">
        <f>VLOOKUP('Physical Effects'!CL44,Lookup!$B$4:$C$14,2,FALSE)</f>
        <v>0</v>
      </c>
      <c r="AU40" s="418">
        <f>VLOOKUP('Physical Effects'!CN44,Lookup!$B$4:$C$14,2,FALSE)</f>
        <v>0</v>
      </c>
      <c r="AV40" s="28"/>
      <c r="AW40" s="23"/>
      <c r="AX40" s="23"/>
      <c r="AY40" s="23"/>
      <c r="AZ40" s="23"/>
      <c r="BA40" s="23"/>
      <c r="BB40" s="23"/>
      <c r="BC40" s="23"/>
      <c r="BD40" s="23"/>
      <c r="BE40" s="23"/>
      <c r="BF40" s="23"/>
    </row>
    <row r="41" spans="1:58" s="5" customFormat="1" ht="13.5" thickBot="1" x14ac:dyDescent="0.25">
      <c r="A41" s="123">
        <f t="shared" si="0"/>
        <v>40</v>
      </c>
      <c r="B41" s="19" t="str">
        <f>+'Physical Effects'!B45</f>
        <v>Dust Control from Animal Activity on Open Lot Surfaces</v>
      </c>
      <c r="C41" s="32">
        <f>+'Physical Effects'!D45</f>
        <v>375</v>
      </c>
      <c r="D41" s="418">
        <f>VLOOKUP('Physical Effects'!F45,Lookup!$B$4:$C$14,2,FALSE)</f>
        <v>0</v>
      </c>
      <c r="E41" s="418">
        <f>VLOOKUP('Physical Effects'!H45,Lookup!$B$4:$C$14,2,FALSE)</f>
        <v>2</v>
      </c>
      <c r="F41" s="418">
        <f>VLOOKUP('Physical Effects'!J45,Lookup!$B$4:$C$14,2,FALSE)</f>
        <v>0</v>
      </c>
      <c r="G41" s="418">
        <f>VLOOKUP('Physical Effects'!L45,Lookup!$B$4:$C$14,2,FALSE)</f>
        <v>0</v>
      </c>
      <c r="H41" s="418">
        <f>VLOOKUP('Physical Effects'!N45,Lookup!$B$4:$C$14,2,FALSE)</f>
        <v>0</v>
      </c>
      <c r="I41" s="418">
        <f>VLOOKUP('Physical Effects'!P45,Lookup!$B$4:$C$14,2,FALSE)</f>
        <v>0</v>
      </c>
      <c r="J41" s="418">
        <f>VLOOKUP('Physical Effects'!R45,Lookup!$B$4:$C$14,2,FALSE)</f>
        <v>0</v>
      </c>
      <c r="K41" s="418">
        <f>VLOOKUP('Physical Effects'!T45,Lookup!$B$4:$C$14,2,FALSE)</f>
        <v>0</v>
      </c>
      <c r="L41" s="418">
        <f>VLOOKUP('Physical Effects'!V45,Lookup!$B$4:$C$14,2,FALSE)</f>
        <v>0</v>
      </c>
      <c r="M41" s="418">
        <f>VLOOKUP('Physical Effects'!X45,Lookup!$B$4:$C$14,2,FALSE)</f>
        <v>0</v>
      </c>
      <c r="N41" s="418">
        <f>VLOOKUP('Physical Effects'!Z45,Lookup!$B$4:$C$14,2,FALSE)</f>
        <v>0</v>
      </c>
      <c r="O41" s="418">
        <f>VLOOKUP('Physical Effects'!AB45,Lookup!$B$4:$C$14,2,FALSE)</f>
        <v>0</v>
      </c>
      <c r="P41" s="418">
        <f>VLOOKUP('Physical Effects'!AD45,Lookup!$B$4:$C$14,2,FALSE)</f>
        <v>0</v>
      </c>
      <c r="Q41" s="418">
        <f>VLOOKUP('Physical Effects'!AF45,Lookup!$B$4:$C$14,2,FALSE)</f>
        <v>0</v>
      </c>
      <c r="R41" s="418">
        <f>VLOOKUP('Physical Effects'!AH45,Lookup!$B$4:$C$14,2,FALSE)</f>
        <v>0</v>
      </c>
      <c r="S41" s="418">
        <f>VLOOKUP('Physical Effects'!AJ45,Lookup!$B$4:$C$14,2,FALSE)</f>
        <v>0</v>
      </c>
      <c r="T41" s="418">
        <f>VLOOKUP('Physical Effects'!AL45,Lookup!$B$4:$C$14,2,FALSE)</f>
        <v>0</v>
      </c>
      <c r="U41" s="418">
        <f>VLOOKUP('Physical Effects'!AN45,Lookup!$B$4:$C$14,2,FALSE)</f>
        <v>1</v>
      </c>
      <c r="V41" s="418">
        <f>VLOOKUP('Physical Effects'!AP45,Lookup!$B$4:$C$14,2,FALSE)</f>
        <v>0</v>
      </c>
      <c r="W41" s="418">
        <f>VLOOKUP('Physical Effects'!AR45,Lookup!$B$4:$C$14,2,FALSE)</f>
        <v>1</v>
      </c>
      <c r="X41" s="418">
        <f>VLOOKUP('Physical Effects'!AT45,Lookup!$B$4:$C$14,2,FALSE)</f>
        <v>0</v>
      </c>
      <c r="Y41" s="418">
        <f>VLOOKUP('Physical Effects'!AV45,Lookup!$B$4:$C$14,2,FALSE)</f>
        <v>1</v>
      </c>
      <c r="Z41" s="418">
        <f>VLOOKUP('Physical Effects'!AX45,Lookup!$B$4:$C$14,2,FALSE)</f>
        <v>0</v>
      </c>
      <c r="AA41" s="418">
        <f>VLOOKUP('Physical Effects'!AZ45,Lookup!$B$4:$C$14,2,FALSE)</f>
        <v>0</v>
      </c>
      <c r="AB41" s="418">
        <f>VLOOKUP('Physical Effects'!BB45,Lookup!$B$4:$C$14,2,FALSE)</f>
        <v>0</v>
      </c>
      <c r="AC41" s="418">
        <f>VLOOKUP('Physical Effects'!BD45,Lookup!$B$4:$C$14,2,FALSE)</f>
        <v>0</v>
      </c>
      <c r="AD41" s="418">
        <f>VLOOKUP('Physical Effects'!BF45,Lookup!$B$4:$C$14,2,FALSE)</f>
        <v>0</v>
      </c>
      <c r="AE41" s="418">
        <f>VLOOKUP('Physical Effects'!BH45,Lookup!$B$4:$C$14,2,FALSE)</f>
        <v>4</v>
      </c>
      <c r="AF41" s="418">
        <f>VLOOKUP('Physical Effects'!BJ45,Lookup!$B$4:$C$14,2,FALSE)</f>
        <v>0</v>
      </c>
      <c r="AG41" s="418">
        <f>VLOOKUP('Physical Effects'!BL45,Lookup!$B$4:$C$14,2,FALSE)</f>
        <v>0</v>
      </c>
      <c r="AH41" s="418">
        <f>VLOOKUP('Physical Effects'!BN45,Lookup!$B$4:$C$14,2,FALSE)</f>
        <v>1</v>
      </c>
      <c r="AI41" s="418">
        <f>VLOOKUP('Physical Effects'!BP45,Lookup!$B$4:$C$14,2,FALSE)</f>
        <v>0</v>
      </c>
      <c r="AJ41" s="418">
        <f>VLOOKUP('Physical Effects'!BR45,Lookup!$B$4:$C$14,2,FALSE)</f>
        <v>0</v>
      </c>
      <c r="AK41" s="418">
        <f>VLOOKUP('Physical Effects'!BT45,Lookup!$B$4:$C$14,2,FALSE)</f>
        <v>0</v>
      </c>
      <c r="AL41" s="418">
        <f>VLOOKUP('Physical Effects'!BV45,Lookup!$B$4:$C$14,2,FALSE)</f>
        <v>0</v>
      </c>
      <c r="AM41" s="418">
        <f>VLOOKUP('Physical Effects'!BX45,Lookup!$B$4:$C$14,2,FALSE)</f>
        <v>0</v>
      </c>
      <c r="AN41" s="418">
        <f>VLOOKUP('Physical Effects'!BZ45,Lookup!$B$4:$C$14,2,FALSE)</f>
        <v>0</v>
      </c>
      <c r="AO41" s="418">
        <f>VLOOKUP('Physical Effects'!CB45,Lookup!$B$4:$C$14,2,FALSE)</f>
        <v>0</v>
      </c>
      <c r="AP41" s="418">
        <f>VLOOKUP('Physical Effects'!CD45,Lookup!$B$4:$C$14,2,FALSE)</f>
        <v>0</v>
      </c>
      <c r="AQ41" s="418">
        <f>VLOOKUP('Physical Effects'!CF45,Lookup!$B$4:$C$14,2,FALSE)</f>
        <v>0</v>
      </c>
      <c r="AR41" s="418">
        <f>VLOOKUP('Physical Effects'!CH45,Lookup!$B$4:$C$14,2,FALSE)</f>
        <v>0</v>
      </c>
      <c r="AS41" s="418">
        <f>VLOOKUP('Physical Effects'!CJ45,Lookup!$B$4:$C$14,2,FALSE)</f>
        <v>0</v>
      </c>
      <c r="AT41" s="418">
        <f>VLOOKUP('Physical Effects'!CL45,Lookup!$B$4:$C$14,2,FALSE)</f>
        <v>0</v>
      </c>
      <c r="AU41" s="418">
        <f>VLOOKUP('Physical Effects'!CN45,Lookup!$B$4:$C$14,2,FALSE)</f>
        <v>0</v>
      </c>
      <c r="AV41" s="28"/>
      <c r="AW41" s="23"/>
      <c r="AX41" s="23"/>
      <c r="AY41" s="23"/>
      <c r="AZ41" s="23"/>
      <c r="BA41" s="23"/>
      <c r="BB41" s="23"/>
      <c r="BC41" s="23"/>
      <c r="BD41" s="23"/>
      <c r="BE41" s="23"/>
      <c r="BF41" s="23"/>
    </row>
    <row r="42" spans="1:58" s="5" customFormat="1" ht="13.5" thickBot="1" x14ac:dyDescent="0.25">
      <c r="A42" s="123">
        <f t="shared" si="0"/>
        <v>41</v>
      </c>
      <c r="B42" s="19" t="str">
        <f>+'Physical Effects'!B46</f>
        <v>Dust Control on Unpaved Roads and Surfaces</v>
      </c>
      <c r="C42" s="32">
        <f>+'Physical Effects'!D46</f>
        <v>373</v>
      </c>
      <c r="D42" s="418">
        <f>VLOOKUP('Physical Effects'!F46,Lookup!$B$4:$C$14,2,FALSE)</f>
        <v>1</v>
      </c>
      <c r="E42" s="418">
        <f>VLOOKUP('Physical Effects'!H46,Lookup!$B$4:$C$14,2,FALSE)</f>
        <v>2</v>
      </c>
      <c r="F42" s="418">
        <f>VLOOKUP('Physical Effects'!J46,Lookup!$B$4:$C$14,2,FALSE)</f>
        <v>0</v>
      </c>
      <c r="G42" s="418">
        <f>VLOOKUP('Physical Effects'!L46,Lookup!$B$4:$C$14,2,FALSE)</f>
        <v>0</v>
      </c>
      <c r="H42" s="418">
        <f>VLOOKUP('Physical Effects'!N46,Lookup!$B$4:$C$14,2,FALSE)</f>
        <v>0</v>
      </c>
      <c r="I42" s="418">
        <f>VLOOKUP('Physical Effects'!P46,Lookup!$B$4:$C$14,2,FALSE)</f>
        <v>0</v>
      </c>
      <c r="J42" s="418">
        <f>VLOOKUP('Physical Effects'!R46,Lookup!$B$4:$C$14,2,FALSE)</f>
        <v>0</v>
      </c>
      <c r="K42" s="418">
        <f>VLOOKUP('Physical Effects'!T46,Lookup!$B$4:$C$14,2,FALSE)</f>
        <v>0</v>
      </c>
      <c r="L42" s="418">
        <f>VLOOKUP('Physical Effects'!V46,Lookup!$B$4:$C$14,2,FALSE)</f>
        <v>-1</v>
      </c>
      <c r="M42" s="418">
        <f>VLOOKUP('Physical Effects'!X46,Lookup!$B$4:$C$14,2,FALSE)</f>
        <v>0</v>
      </c>
      <c r="N42" s="418">
        <f>VLOOKUP('Physical Effects'!Z46,Lookup!$B$4:$C$14,2,FALSE)</f>
        <v>0</v>
      </c>
      <c r="O42" s="418">
        <f>VLOOKUP('Physical Effects'!AB46,Lookup!$B$4:$C$14,2,FALSE)</f>
        <v>0</v>
      </c>
      <c r="P42" s="418">
        <f>VLOOKUP('Physical Effects'!AD46,Lookup!$B$4:$C$14,2,FALSE)</f>
        <v>0</v>
      </c>
      <c r="Q42" s="418">
        <f>VLOOKUP('Physical Effects'!AF46,Lookup!$B$4:$C$14,2,FALSE)</f>
        <v>0</v>
      </c>
      <c r="R42" s="418">
        <f>VLOOKUP('Physical Effects'!AH46,Lookup!$B$4:$C$14,2,FALSE)</f>
        <v>0</v>
      </c>
      <c r="S42" s="418">
        <f>VLOOKUP('Physical Effects'!AJ46,Lookup!$B$4:$C$14,2,FALSE)</f>
        <v>0</v>
      </c>
      <c r="T42" s="418">
        <f>VLOOKUP('Physical Effects'!AL46,Lookup!$B$4:$C$14,2,FALSE)</f>
        <v>0</v>
      </c>
      <c r="U42" s="418">
        <f>VLOOKUP('Physical Effects'!AN46,Lookup!$B$4:$C$14,2,FALSE)</f>
        <v>-1</v>
      </c>
      <c r="V42" s="418">
        <f>VLOOKUP('Physical Effects'!AP46,Lookup!$B$4:$C$14,2,FALSE)</f>
        <v>0</v>
      </c>
      <c r="W42" s="418">
        <f>VLOOKUP('Physical Effects'!AR46,Lookup!$B$4:$C$14,2,FALSE)</f>
        <v>-1</v>
      </c>
      <c r="X42" s="418">
        <f>VLOOKUP('Physical Effects'!AT46,Lookup!$B$4:$C$14,2,FALSE)</f>
        <v>0</v>
      </c>
      <c r="Y42" s="418">
        <f>VLOOKUP('Physical Effects'!AV46,Lookup!$B$4:$C$14,2,FALSE)</f>
        <v>0</v>
      </c>
      <c r="Z42" s="418">
        <f>VLOOKUP('Physical Effects'!AX46,Lookup!$B$4:$C$14,2,FALSE)</f>
        <v>0</v>
      </c>
      <c r="AA42" s="418">
        <f>VLOOKUP('Physical Effects'!AZ46,Lookup!$B$4:$C$14,2,FALSE)</f>
        <v>1</v>
      </c>
      <c r="AB42" s="418">
        <f>VLOOKUP('Physical Effects'!BB46,Lookup!$B$4:$C$14,2,FALSE)</f>
        <v>0</v>
      </c>
      <c r="AC42" s="418">
        <f>VLOOKUP('Physical Effects'!BD46,Lookup!$B$4:$C$14,2,FALSE)</f>
        <v>-1</v>
      </c>
      <c r="AD42" s="418">
        <f>VLOOKUP('Physical Effects'!BF46,Lookup!$B$4:$C$14,2,FALSE)</f>
        <v>0</v>
      </c>
      <c r="AE42" s="418">
        <f>VLOOKUP('Physical Effects'!BH46,Lookup!$B$4:$C$14,2,FALSE)</f>
        <v>4</v>
      </c>
      <c r="AF42" s="418">
        <f>VLOOKUP('Physical Effects'!BJ46,Lookup!$B$4:$C$14,2,FALSE)</f>
        <v>0</v>
      </c>
      <c r="AG42" s="418">
        <f>VLOOKUP('Physical Effects'!BL46,Lookup!$B$4:$C$14,2,FALSE)</f>
        <v>0</v>
      </c>
      <c r="AH42" s="418">
        <f>VLOOKUP('Physical Effects'!BN46,Lookup!$B$4:$C$14,2,FALSE)</f>
        <v>0</v>
      </c>
      <c r="AI42" s="418">
        <f>VLOOKUP('Physical Effects'!BP46,Lookup!$B$4:$C$14,2,FALSE)</f>
        <v>0</v>
      </c>
      <c r="AJ42" s="418">
        <f>VLOOKUP('Physical Effects'!BR46,Lookup!$B$4:$C$14,2,FALSE)</f>
        <v>0</v>
      </c>
      <c r="AK42" s="418">
        <f>VLOOKUP('Physical Effects'!BT46,Lookup!$B$4:$C$14,2,FALSE)</f>
        <v>0</v>
      </c>
      <c r="AL42" s="418">
        <f>VLOOKUP('Physical Effects'!BV46,Lookup!$B$4:$C$14,2,FALSE)</f>
        <v>0</v>
      </c>
      <c r="AM42" s="418">
        <f>VLOOKUP('Physical Effects'!BX46,Lookup!$B$4:$C$14,2,FALSE)</f>
        <v>0</v>
      </c>
      <c r="AN42" s="418">
        <f>VLOOKUP('Physical Effects'!BZ46,Lookup!$B$4:$C$14,2,FALSE)</f>
        <v>0</v>
      </c>
      <c r="AO42" s="418">
        <f>VLOOKUP('Physical Effects'!CB46,Lookup!$B$4:$C$14,2,FALSE)</f>
        <v>0</v>
      </c>
      <c r="AP42" s="418">
        <f>VLOOKUP('Physical Effects'!CD46,Lookup!$B$4:$C$14,2,FALSE)</f>
        <v>0</v>
      </c>
      <c r="AQ42" s="418">
        <f>VLOOKUP('Physical Effects'!CF46,Lookup!$B$4:$C$14,2,FALSE)</f>
        <v>0</v>
      </c>
      <c r="AR42" s="418">
        <f>VLOOKUP('Physical Effects'!CH46,Lookup!$B$4:$C$14,2,FALSE)</f>
        <v>0</v>
      </c>
      <c r="AS42" s="418">
        <f>VLOOKUP('Physical Effects'!CJ46,Lookup!$B$4:$C$14,2,FALSE)</f>
        <v>0</v>
      </c>
      <c r="AT42" s="418">
        <f>VLOOKUP('Physical Effects'!CL46,Lookup!$B$4:$C$14,2,FALSE)</f>
        <v>0</v>
      </c>
      <c r="AU42" s="418">
        <f>VLOOKUP('Physical Effects'!CN46,Lookup!$B$4:$C$14,2,FALSE)</f>
        <v>0</v>
      </c>
      <c r="AV42" s="28"/>
      <c r="AW42" s="23"/>
      <c r="AX42" s="23"/>
      <c r="AY42" s="23"/>
      <c r="AZ42" s="23"/>
      <c r="BA42" s="23"/>
      <c r="BB42" s="23"/>
      <c r="BC42" s="23"/>
      <c r="BD42" s="23"/>
      <c r="BE42" s="23"/>
      <c r="BF42" s="23"/>
    </row>
    <row r="43" spans="1:58" s="5" customFormat="1" ht="13.5" thickBot="1" x14ac:dyDescent="0.25">
      <c r="A43" s="123">
        <f t="shared" si="0"/>
        <v>42</v>
      </c>
      <c r="B43" s="19" t="str">
        <f>+'Physical Effects'!B47</f>
        <v>Early Successional Habitat Development/Mgt.</v>
      </c>
      <c r="C43" s="32">
        <f>+'Physical Effects'!D47</f>
        <v>647</v>
      </c>
      <c r="D43" s="418">
        <f>VLOOKUP('Physical Effects'!F47,Lookup!$B$4:$C$14,2,FALSE)</f>
        <v>0</v>
      </c>
      <c r="E43" s="418">
        <f>VLOOKUP('Physical Effects'!H47,Lookup!$B$4:$C$14,2,FALSE)</f>
        <v>0</v>
      </c>
      <c r="F43" s="418">
        <f>VLOOKUP('Physical Effects'!J47,Lookup!$B$4:$C$14,2,FALSE)</f>
        <v>0</v>
      </c>
      <c r="G43" s="418">
        <f>VLOOKUP('Physical Effects'!L47,Lookup!$B$4:$C$14,2,FALSE)</f>
        <v>0</v>
      </c>
      <c r="H43" s="418">
        <f>VLOOKUP('Physical Effects'!N47,Lookup!$B$4:$C$14,2,FALSE)</f>
        <v>0</v>
      </c>
      <c r="I43" s="418">
        <f>VLOOKUP('Physical Effects'!P47,Lookup!$B$4:$C$14,2,FALSE)</f>
        <v>0</v>
      </c>
      <c r="J43" s="418">
        <f>VLOOKUP('Physical Effects'!R47,Lookup!$B$4:$C$14,2,FALSE)</f>
        <v>0</v>
      </c>
      <c r="K43" s="418">
        <f>VLOOKUP('Physical Effects'!T47,Lookup!$B$4:$C$14,2,FALSE)</f>
        <v>0</v>
      </c>
      <c r="L43" s="418">
        <f>VLOOKUP('Physical Effects'!V47,Lookup!$B$4:$C$14,2,FALSE)</f>
        <v>0</v>
      </c>
      <c r="M43" s="418">
        <f>VLOOKUP('Physical Effects'!X47,Lookup!$B$4:$C$14,2,FALSE)</f>
        <v>0</v>
      </c>
      <c r="N43" s="418">
        <f>VLOOKUP('Physical Effects'!Z47,Lookup!$B$4:$C$14,2,FALSE)</f>
        <v>0</v>
      </c>
      <c r="O43" s="418">
        <f>VLOOKUP('Physical Effects'!AB47,Lookup!$B$4:$C$14,2,FALSE)</f>
        <v>0</v>
      </c>
      <c r="P43" s="418">
        <f>VLOOKUP('Physical Effects'!AD47,Lookup!$B$4:$C$14,2,FALSE)</f>
        <v>0</v>
      </c>
      <c r="Q43" s="418">
        <f>VLOOKUP('Physical Effects'!AF47,Lookup!$B$4:$C$14,2,FALSE)</f>
        <v>0</v>
      </c>
      <c r="R43" s="418">
        <f>VLOOKUP('Physical Effects'!AH47,Lookup!$B$4:$C$14,2,FALSE)</f>
        <v>0</v>
      </c>
      <c r="S43" s="418">
        <f>VLOOKUP('Physical Effects'!AJ47,Lookup!$B$4:$C$14,2,FALSE)</f>
        <v>0</v>
      </c>
      <c r="T43" s="418">
        <f>VLOOKUP('Physical Effects'!AL47,Lookup!$B$4:$C$14,2,FALSE)</f>
        <v>0</v>
      </c>
      <c r="U43" s="418">
        <f>VLOOKUP('Physical Effects'!AN47,Lookup!$B$4:$C$14,2,FALSE)</f>
        <v>0</v>
      </c>
      <c r="V43" s="418">
        <f>VLOOKUP('Physical Effects'!AP47,Lookup!$B$4:$C$14,2,FALSE)</f>
        <v>0</v>
      </c>
      <c r="W43" s="418">
        <f>VLOOKUP('Physical Effects'!AR47,Lookup!$B$4:$C$14,2,FALSE)</f>
        <v>0</v>
      </c>
      <c r="X43" s="418">
        <f>VLOOKUP('Physical Effects'!AT47,Lookup!$B$4:$C$14,2,FALSE)</f>
        <v>0</v>
      </c>
      <c r="Y43" s="418">
        <f>VLOOKUP('Physical Effects'!AV47,Lookup!$B$4:$C$14,2,FALSE)</f>
        <v>0</v>
      </c>
      <c r="Z43" s="418">
        <f>VLOOKUP('Physical Effects'!AX47,Lookup!$B$4:$C$14,2,FALSE)</f>
        <v>0</v>
      </c>
      <c r="AA43" s="418">
        <f>VLOOKUP('Physical Effects'!AZ47,Lookup!$B$4:$C$14,2,FALSE)</f>
        <v>0</v>
      </c>
      <c r="AB43" s="418">
        <f>VLOOKUP('Physical Effects'!BB47,Lookup!$B$4:$C$14,2,FALSE)</f>
        <v>-2</v>
      </c>
      <c r="AC43" s="418">
        <f>VLOOKUP('Physical Effects'!BD47,Lookup!$B$4:$C$14,2,FALSE)</f>
        <v>0</v>
      </c>
      <c r="AD43" s="418">
        <f>VLOOKUP('Physical Effects'!BF47,Lookup!$B$4:$C$14,2,FALSE)</f>
        <v>0</v>
      </c>
      <c r="AE43" s="418">
        <f>VLOOKUP('Physical Effects'!BH47,Lookup!$B$4:$C$14,2,FALSE)</f>
        <v>0</v>
      </c>
      <c r="AF43" s="418">
        <f>VLOOKUP('Physical Effects'!BJ47,Lookup!$B$4:$C$14,2,FALSE)</f>
        <v>0</v>
      </c>
      <c r="AG43" s="418">
        <f>VLOOKUP('Physical Effects'!BL47,Lookup!$B$4:$C$14,2,FALSE)</f>
        <v>0</v>
      </c>
      <c r="AH43" s="418">
        <f>VLOOKUP('Physical Effects'!BN47,Lookup!$B$4:$C$14,2,FALSE)</f>
        <v>0</v>
      </c>
      <c r="AI43" s="418">
        <f>VLOOKUP('Physical Effects'!BP47,Lookup!$B$4:$C$14,2,FALSE)</f>
        <v>4</v>
      </c>
      <c r="AJ43" s="418">
        <f>VLOOKUP('Physical Effects'!BR47,Lookup!$B$4:$C$14,2,FALSE)</f>
        <v>4</v>
      </c>
      <c r="AK43" s="418">
        <f>VLOOKUP('Physical Effects'!BT47,Lookup!$B$4:$C$14,2,FALSE)</f>
        <v>4</v>
      </c>
      <c r="AL43" s="418">
        <f>VLOOKUP('Physical Effects'!BV47,Lookup!$B$4:$C$14,2,FALSE)</f>
        <v>0</v>
      </c>
      <c r="AM43" s="418">
        <f>VLOOKUP('Physical Effects'!BX47,Lookup!$B$4:$C$14,2,FALSE)</f>
        <v>4</v>
      </c>
      <c r="AN43" s="418">
        <f>VLOOKUP('Physical Effects'!BZ47,Lookup!$B$4:$C$14,2,FALSE)</f>
        <v>4</v>
      </c>
      <c r="AO43" s="418">
        <f>VLOOKUP('Physical Effects'!CB47,Lookup!$B$4:$C$14,2,FALSE)</f>
        <v>0</v>
      </c>
      <c r="AP43" s="418">
        <f>VLOOKUP('Physical Effects'!CD47,Lookup!$B$4:$C$14,2,FALSE)</f>
        <v>4</v>
      </c>
      <c r="AQ43" s="418">
        <f>VLOOKUP('Physical Effects'!CF47,Lookup!$B$4:$C$14,2,FALSE)</f>
        <v>1</v>
      </c>
      <c r="AR43" s="418">
        <f>VLOOKUP('Physical Effects'!CH47,Lookup!$B$4:$C$14,2,FALSE)</f>
        <v>0</v>
      </c>
      <c r="AS43" s="418">
        <f>VLOOKUP('Physical Effects'!CJ47,Lookup!$B$4:$C$14,2,FALSE)</f>
        <v>0</v>
      </c>
      <c r="AT43" s="418">
        <f>VLOOKUP('Physical Effects'!CL47,Lookup!$B$4:$C$14,2,FALSE)</f>
        <v>0</v>
      </c>
      <c r="AU43" s="418">
        <f>VLOOKUP('Physical Effects'!CN47,Lookup!$B$4:$C$14,2,FALSE)</f>
        <v>0</v>
      </c>
      <c r="AV43" s="28"/>
      <c r="AW43" s="23"/>
      <c r="AX43" s="23"/>
      <c r="AY43" s="23"/>
      <c r="AZ43" s="23"/>
      <c r="BA43" s="23"/>
      <c r="BB43" s="23"/>
      <c r="BC43" s="23"/>
      <c r="BD43" s="23"/>
      <c r="BE43" s="23"/>
      <c r="BF43" s="23"/>
    </row>
    <row r="44" spans="1:58" s="5" customFormat="1" ht="13.5" thickBot="1" x14ac:dyDescent="0.25">
      <c r="A44" s="123">
        <f t="shared" si="0"/>
        <v>43</v>
      </c>
      <c r="B44" s="19" t="str">
        <f>+'Physical Effects'!B48</f>
        <v>Emergency Animal Mortality Management</v>
      </c>
      <c r="C44" s="32">
        <f>+'Physical Effects'!D48</f>
        <v>368</v>
      </c>
      <c r="D44" s="418">
        <f>VLOOKUP('Physical Effects'!F48,Lookup!$B$4:$C$14,2,FALSE)</f>
        <v>0</v>
      </c>
      <c r="E44" s="418">
        <f>VLOOKUP('Physical Effects'!H48,Lookup!$B$4:$C$14,2,FALSE)</f>
        <v>0</v>
      </c>
      <c r="F44" s="418">
        <f>VLOOKUP('Physical Effects'!J48,Lookup!$B$4:$C$14,2,FALSE)</f>
        <v>0</v>
      </c>
      <c r="G44" s="418">
        <f>VLOOKUP('Physical Effects'!L48,Lookup!$B$4:$C$14,2,FALSE)</f>
        <v>0</v>
      </c>
      <c r="H44" s="418">
        <f>VLOOKUP('Physical Effects'!N48,Lookup!$B$4:$C$14,2,FALSE)</f>
        <v>0</v>
      </c>
      <c r="I44" s="418">
        <f>VLOOKUP('Physical Effects'!P48,Lookup!$B$4:$C$14,2,FALSE)</f>
        <v>0</v>
      </c>
      <c r="J44" s="418">
        <f>VLOOKUP('Physical Effects'!R48,Lookup!$B$4:$C$14,2,FALSE)</f>
        <v>0</v>
      </c>
      <c r="K44" s="418">
        <f>VLOOKUP('Physical Effects'!T48,Lookup!$B$4:$C$14,2,FALSE)</f>
        <v>0</v>
      </c>
      <c r="L44" s="418">
        <f>VLOOKUP('Physical Effects'!V48,Lookup!$B$4:$C$14,2,FALSE)</f>
        <v>0</v>
      </c>
      <c r="M44" s="418">
        <f>VLOOKUP('Physical Effects'!X48,Lookup!$B$4:$C$14,2,FALSE)</f>
        <v>0</v>
      </c>
      <c r="N44" s="418">
        <f>VLOOKUP('Physical Effects'!Z48,Lookup!$B$4:$C$14,2,FALSE)</f>
        <v>0</v>
      </c>
      <c r="O44" s="418">
        <f>VLOOKUP('Physical Effects'!AB48,Lookup!$B$4:$C$14,2,FALSE)</f>
        <v>0</v>
      </c>
      <c r="P44" s="418">
        <f>VLOOKUP('Physical Effects'!AD48,Lookup!$B$4:$C$14,2,FALSE)</f>
        <v>0</v>
      </c>
      <c r="Q44" s="418">
        <f>VLOOKUP('Physical Effects'!AF48,Lookup!$B$4:$C$14,2,FALSE)</f>
        <v>0</v>
      </c>
      <c r="R44" s="418">
        <f>VLOOKUP('Physical Effects'!AH48,Lookup!$B$4:$C$14,2,FALSE)</f>
        <v>0</v>
      </c>
      <c r="S44" s="418">
        <f>VLOOKUP('Physical Effects'!AJ48,Lookup!$B$4:$C$14,2,FALSE)</f>
        <v>0</v>
      </c>
      <c r="T44" s="418">
        <f>VLOOKUP('Physical Effects'!AL48,Lookup!$B$4:$C$14,2,FALSE)</f>
        <v>0</v>
      </c>
      <c r="U44" s="418">
        <f>VLOOKUP('Physical Effects'!AN48,Lookup!$B$4:$C$14,2,FALSE)</f>
        <v>2</v>
      </c>
      <c r="V44" s="418">
        <f>VLOOKUP('Physical Effects'!AP48,Lookup!$B$4:$C$14,2,FALSE)</f>
        <v>2</v>
      </c>
      <c r="W44" s="418">
        <f>VLOOKUP('Physical Effects'!AR48,Lookup!$B$4:$C$14,2,FALSE)</f>
        <v>0</v>
      </c>
      <c r="X44" s="418">
        <f>VLOOKUP('Physical Effects'!AT48,Lookup!$B$4:$C$14,2,FALSE)</f>
        <v>0</v>
      </c>
      <c r="Y44" s="418">
        <f>VLOOKUP('Physical Effects'!AV48,Lookup!$B$4:$C$14,2,FALSE)</f>
        <v>2</v>
      </c>
      <c r="Z44" s="418">
        <f>VLOOKUP('Physical Effects'!AX48,Lookup!$B$4:$C$14,2,FALSE)</f>
        <v>2</v>
      </c>
      <c r="AA44" s="418">
        <f>VLOOKUP('Physical Effects'!AZ48,Lookup!$B$4:$C$14,2,FALSE)</f>
        <v>0</v>
      </c>
      <c r="AB44" s="418">
        <f>VLOOKUP('Physical Effects'!BB48,Lookup!$B$4:$C$14,2,FALSE)</f>
        <v>0</v>
      </c>
      <c r="AC44" s="418">
        <f>VLOOKUP('Physical Effects'!BD48,Lookup!$B$4:$C$14,2,FALSE)</f>
        <v>0</v>
      </c>
      <c r="AD44" s="418">
        <f>VLOOKUP('Physical Effects'!BF48,Lookup!$B$4:$C$14,2,FALSE)</f>
        <v>0</v>
      </c>
      <c r="AE44" s="418">
        <f>VLOOKUP('Physical Effects'!BH48,Lookup!$B$4:$C$14,2,FALSE)</f>
        <v>0</v>
      </c>
      <c r="AF44" s="418">
        <f>VLOOKUP('Physical Effects'!BJ48,Lookup!$B$4:$C$14,2,FALSE)</f>
        <v>-1</v>
      </c>
      <c r="AG44" s="418">
        <f>VLOOKUP('Physical Effects'!BL48,Lookup!$B$4:$C$14,2,FALSE)</f>
        <v>1</v>
      </c>
      <c r="AH44" s="418">
        <f>VLOOKUP('Physical Effects'!BN48,Lookup!$B$4:$C$14,2,FALSE)</f>
        <v>3</v>
      </c>
      <c r="AI44" s="418">
        <f>VLOOKUP('Physical Effects'!BP48,Lookup!$B$4:$C$14,2,FALSE)</f>
        <v>0</v>
      </c>
      <c r="AJ44" s="418">
        <f>VLOOKUP('Physical Effects'!BR48,Lookup!$B$4:$C$14,2,FALSE)</f>
        <v>0</v>
      </c>
      <c r="AK44" s="418">
        <f>VLOOKUP('Physical Effects'!BT48,Lookup!$B$4:$C$14,2,FALSE)</f>
        <v>0</v>
      </c>
      <c r="AL44" s="418">
        <f>VLOOKUP('Physical Effects'!BV48,Lookup!$B$4:$C$14,2,FALSE)</f>
        <v>0</v>
      </c>
      <c r="AM44" s="418">
        <f>VLOOKUP('Physical Effects'!BX48,Lookup!$B$4:$C$14,2,FALSE)</f>
        <v>0</v>
      </c>
      <c r="AN44" s="418">
        <f>VLOOKUP('Physical Effects'!BZ48,Lookup!$B$4:$C$14,2,FALSE)</f>
        <v>0</v>
      </c>
      <c r="AO44" s="418">
        <f>VLOOKUP('Physical Effects'!CB48,Lookup!$B$4:$C$14,2,FALSE)</f>
        <v>0</v>
      </c>
      <c r="AP44" s="418">
        <f>VLOOKUP('Physical Effects'!CD48,Lookup!$B$4:$C$14,2,FALSE)</f>
        <v>0</v>
      </c>
      <c r="AQ44" s="418">
        <f>VLOOKUP('Physical Effects'!CF48,Lookup!$B$4:$C$14,2,FALSE)</f>
        <v>0</v>
      </c>
      <c r="AR44" s="418">
        <f>VLOOKUP('Physical Effects'!CH48,Lookup!$B$4:$C$14,2,FALSE)</f>
        <v>0</v>
      </c>
      <c r="AS44" s="418">
        <f>VLOOKUP('Physical Effects'!CJ48,Lookup!$B$4:$C$14,2,FALSE)</f>
        <v>0</v>
      </c>
      <c r="AT44" s="418">
        <f>VLOOKUP('Physical Effects'!CL48,Lookup!$B$4:$C$14,2,FALSE)</f>
        <v>0</v>
      </c>
      <c r="AU44" s="418">
        <f>VLOOKUP('Physical Effects'!CN48,Lookup!$B$4:$C$14,2,FALSE)</f>
        <v>0</v>
      </c>
      <c r="AV44" s="28"/>
      <c r="AW44" s="23"/>
      <c r="AX44" s="23"/>
      <c r="AY44" s="23"/>
      <c r="AZ44" s="23"/>
      <c r="BA44" s="23"/>
      <c r="BB44" s="23"/>
      <c r="BC44" s="23"/>
      <c r="BD44" s="23"/>
      <c r="BE44" s="23"/>
      <c r="BF44" s="23"/>
    </row>
    <row r="45" spans="1:58" s="5" customFormat="1" ht="13.5" thickBot="1" x14ac:dyDescent="0.25">
      <c r="A45" s="123">
        <f t="shared" si="0"/>
        <v>44</v>
      </c>
      <c r="B45" s="19" t="str">
        <f>+'Physical Effects'!B49</f>
        <v>Farmstead Energy Improvement</v>
      </c>
      <c r="C45" s="32">
        <f>+'Physical Effects'!D49</f>
        <v>374</v>
      </c>
      <c r="D45" s="418">
        <f>VLOOKUP('Physical Effects'!F49,Lookup!$B$4:$C$14,2,FALSE)</f>
        <v>0</v>
      </c>
      <c r="E45" s="418">
        <f>VLOOKUP('Physical Effects'!H49,Lookup!$B$4:$C$14,2,FALSE)</f>
        <v>0</v>
      </c>
      <c r="F45" s="418">
        <f>VLOOKUP('Physical Effects'!J49,Lookup!$B$4:$C$14,2,FALSE)</f>
        <v>0</v>
      </c>
      <c r="G45" s="418">
        <f>VLOOKUP('Physical Effects'!L49,Lookup!$B$4:$C$14,2,FALSE)</f>
        <v>0</v>
      </c>
      <c r="H45" s="418">
        <f>VLOOKUP('Physical Effects'!N49,Lookup!$B$4:$C$14,2,FALSE)</f>
        <v>0</v>
      </c>
      <c r="I45" s="418">
        <f>VLOOKUP('Physical Effects'!P49,Lookup!$B$4:$C$14,2,FALSE)</f>
        <v>0</v>
      </c>
      <c r="J45" s="418">
        <f>VLOOKUP('Physical Effects'!R49,Lookup!$B$4:$C$14,2,FALSE)</f>
        <v>0</v>
      </c>
      <c r="K45" s="418">
        <f>VLOOKUP('Physical Effects'!T49,Lookup!$B$4:$C$14,2,FALSE)</f>
        <v>0</v>
      </c>
      <c r="L45" s="418">
        <f>VLOOKUP('Physical Effects'!V49,Lookup!$B$4:$C$14,2,FALSE)</f>
        <v>0</v>
      </c>
      <c r="M45" s="418">
        <f>VLOOKUP('Physical Effects'!X49,Lookup!$B$4:$C$14,2,FALSE)</f>
        <v>0</v>
      </c>
      <c r="N45" s="418">
        <f>VLOOKUP('Physical Effects'!Z49,Lookup!$B$4:$C$14,2,FALSE)</f>
        <v>0</v>
      </c>
      <c r="O45" s="418">
        <f>VLOOKUP('Physical Effects'!AB49,Lookup!$B$4:$C$14,2,FALSE)</f>
        <v>0</v>
      </c>
      <c r="P45" s="418">
        <f>VLOOKUP('Physical Effects'!AD49,Lookup!$B$4:$C$14,2,FALSE)</f>
        <v>0</v>
      </c>
      <c r="Q45" s="418">
        <f>VLOOKUP('Physical Effects'!AF49,Lookup!$B$4:$C$14,2,FALSE)</f>
        <v>0</v>
      </c>
      <c r="R45" s="418">
        <f>VLOOKUP('Physical Effects'!AH49,Lookup!$B$4:$C$14,2,FALSE)</f>
        <v>0</v>
      </c>
      <c r="S45" s="418">
        <f>VLOOKUP('Physical Effects'!AJ49,Lookup!$B$4:$C$14,2,FALSE)</f>
        <v>0</v>
      </c>
      <c r="T45" s="418">
        <f>VLOOKUP('Physical Effects'!AL49,Lookup!$B$4:$C$14,2,FALSE)</f>
        <v>0</v>
      </c>
      <c r="U45" s="418">
        <f>VLOOKUP('Physical Effects'!AN49,Lookup!$B$4:$C$14,2,FALSE)</f>
        <v>0</v>
      </c>
      <c r="V45" s="418">
        <f>VLOOKUP('Physical Effects'!AP49,Lookup!$B$4:$C$14,2,FALSE)</f>
        <v>0</v>
      </c>
      <c r="W45" s="418">
        <f>VLOOKUP('Physical Effects'!AR49,Lookup!$B$4:$C$14,2,FALSE)</f>
        <v>0</v>
      </c>
      <c r="X45" s="418">
        <f>VLOOKUP('Physical Effects'!AT49,Lookup!$B$4:$C$14,2,FALSE)</f>
        <v>0</v>
      </c>
      <c r="Y45" s="418">
        <f>VLOOKUP('Physical Effects'!AV49,Lookup!$B$4:$C$14,2,FALSE)</f>
        <v>0</v>
      </c>
      <c r="Z45" s="418">
        <f>VLOOKUP('Physical Effects'!AX49,Lookup!$B$4:$C$14,2,FALSE)</f>
        <v>0</v>
      </c>
      <c r="AA45" s="418">
        <f>VLOOKUP('Physical Effects'!AZ49,Lookup!$B$4:$C$14,2,FALSE)</f>
        <v>0</v>
      </c>
      <c r="AB45" s="418">
        <f>VLOOKUP('Physical Effects'!BB49,Lookup!$B$4:$C$14,2,FALSE)</f>
        <v>-2</v>
      </c>
      <c r="AC45" s="418">
        <f>VLOOKUP('Physical Effects'!BD49,Lookup!$B$4:$C$14,2,FALSE)</f>
        <v>0</v>
      </c>
      <c r="AD45" s="418">
        <f>VLOOKUP('Physical Effects'!BF49,Lookup!$B$4:$C$14,2,FALSE)</f>
        <v>0</v>
      </c>
      <c r="AE45" s="418">
        <f>VLOOKUP('Physical Effects'!BH49,Lookup!$B$4:$C$14,2,FALSE)</f>
        <v>2</v>
      </c>
      <c r="AF45" s="418">
        <f>VLOOKUP('Physical Effects'!BJ49,Lookup!$B$4:$C$14,2,FALSE)</f>
        <v>2</v>
      </c>
      <c r="AG45" s="418">
        <f>VLOOKUP('Physical Effects'!BL49,Lookup!$B$4:$C$14,2,FALSE)</f>
        <v>2</v>
      </c>
      <c r="AH45" s="418">
        <f>VLOOKUP('Physical Effects'!BN49,Lookup!$B$4:$C$14,2,FALSE)</f>
        <v>0</v>
      </c>
      <c r="AI45" s="418">
        <f>VLOOKUP('Physical Effects'!BP49,Lookup!$B$4:$C$14,2,FALSE)</f>
        <v>0</v>
      </c>
      <c r="AJ45" s="418">
        <f>VLOOKUP('Physical Effects'!BR49,Lookup!$B$4:$C$14,2,FALSE)</f>
        <v>0</v>
      </c>
      <c r="AK45" s="418">
        <f>VLOOKUP('Physical Effects'!BT49,Lookup!$B$4:$C$14,2,FALSE)</f>
        <v>0</v>
      </c>
      <c r="AL45" s="418">
        <f>VLOOKUP('Physical Effects'!BV49,Lookup!$B$4:$C$14,2,FALSE)</f>
        <v>0</v>
      </c>
      <c r="AM45" s="418">
        <f>VLOOKUP('Physical Effects'!BX49,Lookup!$B$4:$C$14,2,FALSE)</f>
        <v>0</v>
      </c>
      <c r="AN45" s="418">
        <f>VLOOKUP('Physical Effects'!BZ49,Lookup!$B$4:$C$14,2,FALSE)</f>
        <v>0</v>
      </c>
      <c r="AO45" s="418">
        <f>VLOOKUP('Physical Effects'!CB49,Lookup!$B$4:$C$14,2,FALSE)</f>
        <v>0</v>
      </c>
      <c r="AP45" s="418">
        <f>VLOOKUP('Physical Effects'!CD49,Lookup!$B$4:$C$14,2,FALSE)</f>
        <v>0</v>
      </c>
      <c r="AQ45" s="418">
        <f>VLOOKUP('Physical Effects'!CF49,Lookup!$B$4:$C$14,2,FALSE)</f>
        <v>0</v>
      </c>
      <c r="AR45" s="418">
        <f>VLOOKUP('Physical Effects'!CH49,Lookup!$B$4:$C$14,2,FALSE)</f>
        <v>0</v>
      </c>
      <c r="AS45" s="418">
        <f>VLOOKUP('Physical Effects'!CJ49,Lookup!$B$4:$C$14,2,FALSE)</f>
        <v>0</v>
      </c>
      <c r="AT45" s="418">
        <f>VLOOKUP('Physical Effects'!CL49,Lookup!$B$4:$C$14,2,FALSE)</f>
        <v>4</v>
      </c>
      <c r="AU45" s="418">
        <f>VLOOKUP('Physical Effects'!CN49,Lookup!$B$4:$C$14,2,FALSE)</f>
        <v>0</v>
      </c>
      <c r="AV45" s="28"/>
      <c r="AW45" s="23"/>
      <c r="AX45" s="23"/>
      <c r="AY45" s="23"/>
      <c r="AZ45" s="23"/>
      <c r="BA45" s="23"/>
      <c r="BB45" s="23"/>
      <c r="BC45" s="23"/>
      <c r="BD45" s="23"/>
      <c r="BE45" s="23"/>
      <c r="BF45" s="23"/>
    </row>
    <row r="46" spans="1:58" s="5" customFormat="1" ht="13.5" thickBot="1" x14ac:dyDescent="0.25">
      <c r="A46" s="123">
        <f t="shared" si="0"/>
        <v>45</v>
      </c>
      <c r="B46" s="19" t="str">
        <f>+'Physical Effects'!B50</f>
        <v>Feed Management</v>
      </c>
      <c r="C46" s="32">
        <f>+'Physical Effects'!D50</f>
        <v>592</v>
      </c>
      <c r="D46" s="418">
        <f>VLOOKUP('Physical Effects'!F50,Lookup!$B$4:$C$14,2,FALSE)</f>
        <v>0</v>
      </c>
      <c r="E46" s="418">
        <f>VLOOKUP('Physical Effects'!H50,Lookup!$B$4:$C$14,2,FALSE)</f>
        <v>0</v>
      </c>
      <c r="F46" s="418">
        <f>VLOOKUP('Physical Effects'!J50,Lookup!$B$4:$C$14,2,FALSE)</f>
        <v>0</v>
      </c>
      <c r="G46" s="418">
        <f>VLOOKUP('Physical Effects'!L50,Lookup!$B$4:$C$14,2,FALSE)</f>
        <v>0</v>
      </c>
      <c r="H46" s="418">
        <f>VLOOKUP('Physical Effects'!N50,Lookup!$B$4:$C$14,2,FALSE)</f>
        <v>0</v>
      </c>
      <c r="I46" s="418">
        <f>VLOOKUP('Physical Effects'!P50,Lookup!$B$4:$C$14,2,FALSE)</f>
        <v>0</v>
      </c>
      <c r="J46" s="418">
        <f>VLOOKUP('Physical Effects'!R50,Lookup!$B$4:$C$14,2,FALSE)</f>
        <v>0</v>
      </c>
      <c r="K46" s="418">
        <f>VLOOKUP('Physical Effects'!T50,Lookup!$B$4:$C$14,2,FALSE)</f>
        <v>0</v>
      </c>
      <c r="L46" s="418">
        <f>VLOOKUP('Physical Effects'!V50,Lookup!$B$4:$C$14,2,FALSE)</f>
        <v>0</v>
      </c>
      <c r="M46" s="418">
        <f>VLOOKUP('Physical Effects'!X50,Lookup!$B$4:$C$14,2,FALSE)</f>
        <v>0</v>
      </c>
      <c r="N46" s="418">
        <f>VLOOKUP('Physical Effects'!Z50,Lookup!$B$4:$C$14,2,FALSE)</f>
        <v>0</v>
      </c>
      <c r="O46" s="418">
        <f>VLOOKUP('Physical Effects'!AB50,Lookup!$B$4:$C$14,2,FALSE)</f>
        <v>0</v>
      </c>
      <c r="P46" s="418">
        <f>VLOOKUP('Physical Effects'!AD50,Lookup!$B$4:$C$14,2,FALSE)</f>
        <v>0</v>
      </c>
      <c r="Q46" s="418">
        <f>VLOOKUP('Physical Effects'!AF50,Lookup!$B$4:$C$14,2,FALSE)</f>
        <v>0</v>
      </c>
      <c r="R46" s="418">
        <f>VLOOKUP('Physical Effects'!AH50,Lookup!$B$4:$C$14,2,FALSE)</f>
        <v>0</v>
      </c>
      <c r="S46" s="418">
        <f>VLOOKUP('Physical Effects'!AJ50,Lookup!$B$4:$C$14,2,FALSE)</f>
        <v>0</v>
      </c>
      <c r="T46" s="418">
        <f>VLOOKUP('Physical Effects'!AL50,Lookup!$B$4:$C$14,2,FALSE)</f>
        <v>0</v>
      </c>
      <c r="U46" s="418">
        <f>VLOOKUP('Physical Effects'!AN50,Lookup!$B$4:$C$14,2,FALSE)</f>
        <v>2</v>
      </c>
      <c r="V46" s="418">
        <f>VLOOKUP('Physical Effects'!AP50,Lookup!$B$4:$C$14,2,FALSE)</f>
        <v>2</v>
      </c>
      <c r="W46" s="418">
        <f>VLOOKUP('Physical Effects'!AR50,Lookup!$B$4:$C$14,2,FALSE)</f>
        <v>1</v>
      </c>
      <c r="X46" s="418">
        <f>VLOOKUP('Physical Effects'!AT50,Lookup!$B$4:$C$14,2,FALSE)</f>
        <v>0</v>
      </c>
      <c r="Y46" s="418">
        <f>VLOOKUP('Physical Effects'!AV50,Lookup!$B$4:$C$14,2,FALSE)</f>
        <v>1</v>
      </c>
      <c r="Z46" s="418">
        <f>VLOOKUP('Physical Effects'!AX50,Lookup!$B$4:$C$14,2,FALSE)</f>
        <v>1</v>
      </c>
      <c r="AA46" s="418">
        <f>VLOOKUP('Physical Effects'!AZ50,Lookup!$B$4:$C$14,2,FALSE)</f>
        <v>0</v>
      </c>
      <c r="AB46" s="418">
        <f>VLOOKUP('Physical Effects'!BB50,Lookup!$B$4:$C$14,2,FALSE)</f>
        <v>0</v>
      </c>
      <c r="AC46" s="418">
        <f>VLOOKUP('Physical Effects'!BD50,Lookup!$B$4:$C$14,2,FALSE)</f>
        <v>0</v>
      </c>
      <c r="AD46" s="418">
        <f>VLOOKUP('Physical Effects'!BF50,Lookup!$B$4:$C$14,2,FALSE)</f>
        <v>0</v>
      </c>
      <c r="AE46" s="418">
        <f>VLOOKUP('Physical Effects'!BH50,Lookup!$B$4:$C$14,2,FALSE)</f>
        <v>4</v>
      </c>
      <c r="AF46" s="418">
        <f>VLOOKUP('Physical Effects'!BJ50,Lookup!$B$4:$C$14,2,FALSE)</f>
        <v>1</v>
      </c>
      <c r="AG46" s="418">
        <f>VLOOKUP('Physical Effects'!BL50,Lookup!$B$4:$C$14,2,FALSE)</f>
        <v>4</v>
      </c>
      <c r="AH46" s="418">
        <f>VLOOKUP('Physical Effects'!BN50,Lookup!$B$4:$C$14,2,FALSE)</f>
        <v>4</v>
      </c>
      <c r="AI46" s="418">
        <f>VLOOKUP('Physical Effects'!BP50,Lookup!$B$4:$C$14,2,FALSE)</f>
        <v>0</v>
      </c>
      <c r="AJ46" s="418">
        <f>VLOOKUP('Physical Effects'!BR50,Lookup!$B$4:$C$14,2,FALSE)</f>
        <v>0</v>
      </c>
      <c r="AK46" s="418">
        <f>VLOOKUP('Physical Effects'!BT50,Lookup!$B$4:$C$14,2,FALSE)</f>
        <v>0</v>
      </c>
      <c r="AL46" s="418">
        <f>VLOOKUP('Physical Effects'!BV50,Lookup!$B$4:$C$14,2,FALSE)</f>
        <v>0</v>
      </c>
      <c r="AM46" s="418">
        <f>VLOOKUP('Physical Effects'!BX50,Lookup!$B$4:$C$14,2,FALSE)</f>
        <v>0</v>
      </c>
      <c r="AN46" s="418">
        <f>VLOOKUP('Physical Effects'!BZ50,Lookup!$B$4:$C$14,2,FALSE)</f>
        <v>0</v>
      </c>
      <c r="AO46" s="418">
        <f>VLOOKUP('Physical Effects'!CB50,Lookup!$B$4:$C$14,2,FALSE)</f>
        <v>0</v>
      </c>
      <c r="AP46" s="418">
        <f>VLOOKUP('Physical Effects'!CD50,Lookup!$B$4:$C$14,2,FALSE)</f>
        <v>0</v>
      </c>
      <c r="AQ46" s="418">
        <f>VLOOKUP('Physical Effects'!CF50,Lookup!$B$4:$C$14,2,FALSE)</f>
        <v>5</v>
      </c>
      <c r="AR46" s="418">
        <f>VLOOKUP('Physical Effects'!CH50,Lookup!$B$4:$C$14,2,FALSE)</f>
        <v>0</v>
      </c>
      <c r="AS46" s="418">
        <f>VLOOKUP('Physical Effects'!CJ50,Lookup!$B$4:$C$14,2,FALSE)</f>
        <v>0</v>
      </c>
      <c r="AT46" s="418">
        <f>VLOOKUP('Physical Effects'!CL50,Lookup!$B$4:$C$14,2,FALSE)</f>
        <v>0</v>
      </c>
      <c r="AU46" s="418">
        <f>VLOOKUP('Physical Effects'!CN50,Lookup!$B$4:$C$14,2,FALSE)</f>
        <v>1</v>
      </c>
      <c r="AV46" s="28"/>
      <c r="AW46" s="23"/>
      <c r="AX46" s="23"/>
      <c r="AY46" s="23"/>
      <c r="AZ46" s="23"/>
      <c r="BA46" s="23"/>
      <c r="BB46" s="23"/>
      <c r="BC46" s="23"/>
      <c r="BD46" s="23"/>
      <c r="BE46" s="23"/>
      <c r="BF46" s="23"/>
    </row>
    <row r="47" spans="1:58" s="5" customFormat="1" ht="13.5" thickBot="1" x14ac:dyDescent="0.25">
      <c r="A47" s="123">
        <f t="shared" si="0"/>
        <v>46</v>
      </c>
      <c r="B47" s="19" t="str">
        <f>+'Physical Effects'!B51</f>
        <v>Fence</v>
      </c>
      <c r="C47" s="32">
        <f>+'Physical Effects'!D51</f>
        <v>382</v>
      </c>
      <c r="D47" s="418">
        <f>VLOOKUP('Physical Effects'!F51,Lookup!$B$4:$C$14,2,FALSE)</f>
        <v>1</v>
      </c>
      <c r="E47" s="418">
        <f>VLOOKUP('Physical Effects'!H51,Lookup!$B$4:$C$14,2,FALSE)</f>
        <v>0</v>
      </c>
      <c r="F47" s="418">
        <f>VLOOKUP('Physical Effects'!J51,Lookup!$B$4:$C$14,2,FALSE)</f>
        <v>0</v>
      </c>
      <c r="G47" s="418">
        <f>VLOOKUP('Physical Effects'!L51,Lookup!$B$4:$C$14,2,FALSE)</f>
        <v>0</v>
      </c>
      <c r="H47" s="418">
        <f>VLOOKUP('Physical Effects'!N51,Lookup!$B$4:$C$14,2,FALSE)</f>
        <v>0</v>
      </c>
      <c r="I47" s="418">
        <f>VLOOKUP('Physical Effects'!P51,Lookup!$B$4:$C$14,2,FALSE)</f>
        <v>0</v>
      </c>
      <c r="J47" s="418">
        <f>VLOOKUP('Physical Effects'!R51,Lookup!$B$4:$C$14,2,FALSE)</f>
        <v>1</v>
      </c>
      <c r="K47" s="418">
        <f>VLOOKUP('Physical Effects'!T51,Lookup!$B$4:$C$14,2,FALSE)</f>
        <v>0</v>
      </c>
      <c r="L47" s="418">
        <f>VLOOKUP('Physical Effects'!V51,Lookup!$B$4:$C$14,2,FALSE)</f>
        <v>0</v>
      </c>
      <c r="M47" s="418">
        <f>VLOOKUP('Physical Effects'!X51,Lookup!$B$4:$C$14,2,FALSE)</f>
        <v>0</v>
      </c>
      <c r="N47" s="418">
        <f>VLOOKUP('Physical Effects'!Z51,Lookup!$B$4:$C$14,2,FALSE)</f>
        <v>0</v>
      </c>
      <c r="O47" s="418">
        <f>VLOOKUP('Physical Effects'!AB51,Lookup!$B$4:$C$14,2,FALSE)</f>
        <v>0</v>
      </c>
      <c r="P47" s="418">
        <f>VLOOKUP('Physical Effects'!AD51,Lookup!$B$4:$C$14,2,FALSE)</f>
        <v>0</v>
      </c>
      <c r="Q47" s="418">
        <f>VLOOKUP('Physical Effects'!AF51,Lookup!$B$4:$C$14,2,FALSE)</f>
        <v>0</v>
      </c>
      <c r="R47" s="418">
        <f>VLOOKUP('Physical Effects'!AH51,Lookup!$B$4:$C$14,2,FALSE)</f>
        <v>0</v>
      </c>
      <c r="S47" s="418">
        <f>VLOOKUP('Physical Effects'!AJ51,Lookup!$B$4:$C$14,2,FALSE)</f>
        <v>0</v>
      </c>
      <c r="T47" s="418">
        <f>VLOOKUP('Physical Effects'!AL51,Lookup!$B$4:$C$14,2,FALSE)</f>
        <v>0</v>
      </c>
      <c r="U47" s="418">
        <f>VLOOKUP('Physical Effects'!AN51,Lookup!$B$4:$C$14,2,FALSE)</f>
        <v>0</v>
      </c>
      <c r="V47" s="418">
        <f>VLOOKUP('Physical Effects'!AP51,Lookup!$B$4:$C$14,2,FALSE)</f>
        <v>0</v>
      </c>
      <c r="W47" s="418">
        <f>VLOOKUP('Physical Effects'!AR51,Lookup!$B$4:$C$14,2,FALSE)</f>
        <v>0</v>
      </c>
      <c r="X47" s="418">
        <f>VLOOKUP('Physical Effects'!AT51,Lookup!$B$4:$C$14,2,FALSE)</f>
        <v>0</v>
      </c>
      <c r="Y47" s="418">
        <f>VLOOKUP('Physical Effects'!AV51,Lookup!$B$4:$C$14,2,FALSE)</f>
        <v>2</v>
      </c>
      <c r="Z47" s="418">
        <f>VLOOKUP('Physical Effects'!AX51,Lookup!$B$4:$C$14,2,FALSE)</f>
        <v>0</v>
      </c>
      <c r="AA47" s="418">
        <f>VLOOKUP('Physical Effects'!AZ51,Lookup!$B$4:$C$14,2,FALSE)</f>
        <v>0</v>
      </c>
      <c r="AB47" s="418">
        <f>VLOOKUP('Physical Effects'!BB51,Lookup!$B$4:$C$14,2,FALSE)</f>
        <v>0</v>
      </c>
      <c r="AC47" s="418">
        <f>VLOOKUP('Physical Effects'!BD51,Lookup!$B$4:$C$14,2,FALSE)</f>
        <v>0</v>
      </c>
      <c r="AD47" s="418">
        <f>VLOOKUP('Physical Effects'!BF51,Lookup!$B$4:$C$14,2,FALSE)</f>
        <v>0</v>
      </c>
      <c r="AE47" s="418">
        <f>VLOOKUP('Physical Effects'!BH51,Lookup!$B$4:$C$14,2,FALSE)</f>
        <v>0</v>
      </c>
      <c r="AF47" s="418">
        <f>VLOOKUP('Physical Effects'!BJ51,Lookup!$B$4:$C$14,2,FALSE)</f>
        <v>0</v>
      </c>
      <c r="AG47" s="418">
        <f>VLOOKUP('Physical Effects'!BL51,Lookup!$B$4:$C$14,2,FALSE)</f>
        <v>1</v>
      </c>
      <c r="AH47" s="418">
        <f>VLOOKUP('Physical Effects'!BN51,Lookup!$B$4:$C$14,2,FALSE)</f>
        <v>0</v>
      </c>
      <c r="AI47" s="418">
        <f>VLOOKUP('Physical Effects'!BP51,Lookup!$B$4:$C$14,2,FALSE)</f>
        <v>2</v>
      </c>
      <c r="AJ47" s="418">
        <f>VLOOKUP('Physical Effects'!BR51,Lookup!$B$4:$C$14,2,FALSE)</f>
        <v>0</v>
      </c>
      <c r="AK47" s="418">
        <f>VLOOKUP('Physical Effects'!BT51,Lookup!$B$4:$C$14,2,FALSE)</f>
        <v>0</v>
      </c>
      <c r="AL47" s="418">
        <f>VLOOKUP('Physical Effects'!BV51,Lookup!$B$4:$C$14,2,FALSE)</f>
        <v>0</v>
      </c>
      <c r="AM47" s="418">
        <f>VLOOKUP('Physical Effects'!BX51,Lookup!$B$4:$C$14,2,FALSE)</f>
        <v>0</v>
      </c>
      <c r="AN47" s="418">
        <f>VLOOKUP('Physical Effects'!BZ51,Lookup!$B$4:$C$14,2,FALSE)</f>
        <v>0</v>
      </c>
      <c r="AO47" s="418">
        <f>VLOOKUP('Physical Effects'!CB51,Lookup!$B$4:$C$14,2,FALSE)</f>
        <v>0</v>
      </c>
      <c r="AP47" s="418">
        <f>VLOOKUP('Physical Effects'!CD51,Lookup!$B$4:$C$14,2,FALSE)</f>
        <v>0</v>
      </c>
      <c r="AQ47" s="418">
        <f>VLOOKUP('Physical Effects'!CF51,Lookup!$B$4:$C$14,2,FALSE)</f>
        <v>3</v>
      </c>
      <c r="AR47" s="418">
        <f>VLOOKUP('Physical Effects'!CH51,Lookup!$B$4:$C$14,2,FALSE)</f>
        <v>0</v>
      </c>
      <c r="AS47" s="418">
        <f>VLOOKUP('Physical Effects'!CJ51,Lookup!$B$4:$C$14,2,FALSE)</f>
        <v>0</v>
      </c>
      <c r="AT47" s="418">
        <f>VLOOKUP('Physical Effects'!CL51,Lookup!$B$4:$C$14,2,FALSE)</f>
        <v>0</v>
      </c>
      <c r="AU47" s="418">
        <f>VLOOKUP('Physical Effects'!CN51,Lookup!$B$4:$C$14,2,FALSE)</f>
        <v>0</v>
      </c>
      <c r="AV47" s="28"/>
      <c r="AW47" s="25"/>
      <c r="AX47" s="23"/>
      <c r="AY47" s="23"/>
      <c r="AZ47" s="23"/>
      <c r="BA47" s="23"/>
      <c r="BB47" s="23"/>
      <c r="BC47" s="23"/>
      <c r="BD47" s="23"/>
      <c r="BE47" s="23"/>
      <c r="BF47" s="23"/>
    </row>
    <row r="48" spans="1:58" s="5" customFormat="1" ht="13.5" thickBot="1" x14ac:dyDescent="0.25">
      <c r="A48" s="123">
        <f t="shared" si="0"/>
        <v>47</v>
      </c>
      <c r="B48" s="19" t="str">
        <f>+'Physical Effects'!B52</f>
        <v>Field Border</v>
      </c>
      <c r="C48" s="32">
        <f>+'Physical Effects'!D52</f>
        <v>386</v>
      </c>
      <c r="D48" s="418">
        <f>VLOOKUP('Physical Effects'!F52,Lookup!$B$4:$C$14,2,FALSE)</f>
        <v>4</v>
      </c>
      <c r="E48" s="418">
        <f>VLOOKUP('Physical Effects'!H52,Lookup!$B$4:$C$14,2,FALSE)</f>
        <v>4</v>
      </c>
      <c r="F48" s="418">
        <f>VLOOKUP('Physical Effects'!J52,Lookup!$B$4:$C$14,2,FALSE)</f>
        <v>1</v>
      </c>
      <c r="G48" s="418">
        <f>VLOOKUP('Physical Effects'!L52,Lookup!$B$4:$C$14,2,FALSE)</f>
        <v>0</v>
      </c>
      <c r="H48" s="418">
        <f>VLOOKUP('Physical Effects'!N52,Lookup!$B$4:$C$14,2,FALSE)</f>
        <v>1</v>
      </c>
      <c r="I48" s="418">
        <f>VLOOKUP('Physical Effects'!P52,Lookup!$B$4:$C$14,2,FALSE)</f>
        <v>4</v>
      </c>
      <c r="J48" s="418">
        <f>VLOOKUP('Physical Effects'!R52,Lookup!$B$4:$C$14,2,FALSE)</f>
        <v>2</v>
      </c>
      <c r="K48" s="418">
        <f>VLOOKUP('Physical Effects'!T52,Lookup!$B$4:$C$14,2,FALSE)</f>
        <v>0</v>
      </c>
      <c r="L48" s="418">
        <f>VLOOKUP('Physical Effects'!V52,Lookup!$B$4:$C$14,2,FALSE)</f>
        <v>0</v>
      </c>
      <c r="M48" s="418">
        <f>VLOOKUP('Physical Effects'!X52,Lookup!$B$4:$C$14,2,FALSE)</f>
        <v>0</v>
      </c>
      <c r="N48" s="418">
        <f>VLOOKUP('Physical Effects'!Z52,Lookup!$B$4:$C$14,2,FALSE)</f>
        <v>1</v>
      </c>
      <c r="O48" s="418">
        <f>VLOOKUP('Physical Effects'!AB52,Lookup!$B$4:$C$14,2,FALSE)</f>
        <v>0</v>
      </c>
      <c r="P48" s="418">
        <f>VLOOKUP('Physical Effects'!AD52,Lookup!$B$4:$C$14,2,FALSE)</f>
        <v>0</v>
      </c>
      <c r="Q48" s="418">
        <f>VLOOKUP('Physical Effects'!AF52,Lookup!$B$4:$C$14,2,FALSE)</f>
        <v>0</v>
      </c>
      <c r="R48" s="418">
        <f>VLOOKUP('Physical Effects'!AH52,Lookup!$B$4:$C$14,2,FALSE)</f>
        <v>0</v>
      </c>
      <c r="S48" s="418">
        <f>VLOOKUP('Physical Effects'!AJ52,Lookup!$B$4:$C$14,2,FALSE)</f>
        <v>2</v>
      </c>
      <c r="T48" s="418">
        <f>VLOOKUP('Physical Effects'!AL52,Lookup!$B$4:$C$14,2,FALSE)</f>
        <v>2</v>
      </c>
      <c r="U48" s="418">
        <f>VLOOKUP('Physical Effects'!AN52,Lookup!$B$4:$C$14,2,FALSE)</f>
        <v>1</v>
      </c>
      <c r="V48" s="418">
        <f>VLOOKUP('Physical Effects'!AP52,Lookup!$B$4:$C$14,2,FALSE)</f>
        <v>1</v>
      </c>
      <c r="W48" s="418">
        <f>VLOOKUP('Physical Effects'!AR52,Lookup!$B$4:$C$14,2,FALSE)</f>
        <v>0</v>
      </c>
      <c r="X48" s="418">
        <f>VLOOKUP('Physical Effects'!AT52,Lookup!$B$4:$C$14,2,FALSE)</f>
        <v>1</v>
      </c>
      <c r="Y48" s="418">
        <f>VLOOKUP('Physical Effects'!AV52,Lookup!$B$4:$C$14,2,FALSE)</f>
        <v>1</v>
      </c>
      <c r="Z48" s="418">
        <f>VLOOKUP('Physical Effects'!AX52,Lookup!$B$4:$C$14,2,FALSE)</f>
        <v>0</v>
      </c>
      <c r="AA48" s="418">
        <f>VLOOKUP('Physical Effects'!AZ52,Lookup!$B$4:$C$14,2,FALSE)</f>
        <v>2</v>
      </c>
      <c r="AB48" s="418">
        <f>VLOOKUP('Physical Effects'!BB52,Lookup!$B$4:$C$14,2,FALSE)</f>
        <v>0</v>
      </c>
      <c r="AC48" s="418">
        <f>VLOOKUP('Physical Effects'!BD52,Lookup!$B$4:$C$14,2,FALSE)</f>
        <v>0</v>
      </c>
      <c r="AD48" s="418">
        <f>VLOOKUP('Physical Effects'!BF52,Lookup!$B$4:$C$14,2,FALSE)</f>
        <v>0</v>
      </c>
      <c r="AE48" s="418">
        <f>VLOOKUP('Physical Effects'!BH52,Lookup!$B$4:$C$14,2,FALSE)</f>
        <v>1</v>
      </c>
      <c r="AF48" s="418">
        <f>VLOOKUP('Physical Effects'!BJ52,Lookup!$B$4:$C$14,2,FALSE)</f>
        <v>0</v>
      </c>
      <c r="AG48" s="418">
        <f>VLOOKUP('Physical Effects'!BL52,Lookup!$B$4:$C$14,2,FALSE)</f>
        <v>1</v>
      </c>
      <c r="AH48" s="418">
        <f>VLOOKUP('Physical Effects'!BN52,Lookup!$B$4:$C$14,2,FALSE)</f>
        <v>0</v>
      </c>
      <c r="AI48" s="418">
        <f>VLOOKUP('Physical Effects'!BP52,Lookup!$B$4:$C$14,2,FALSE)</f>
        <v>5</v>
      </c>
      <c r="AJ48" s="418">
        <f>VLOOKUP('Physical Effects'!BR52,Lookup!$B$4:$C$14,2,FALSE)</f>
        <v>5</v>
      </c>
      <c r="AK48" s="418">
        <f>VLOOKUP('Physical Effects'!BT52,Lookup!$B$4:$C$14,2,FALSE)</f>
        <v>0</v>
      </c>
      <c r="AL48" s="418">
        <f>VLOOKUP('Physical Effects'!BV52,Lookup!$B$4:$C$14,2,FALSE)</f>
        <v>0</v>
      </c>
      <c r="AM48" s="418">
        <f>VLOOKUP('Physical Effects'!BX52,Lookup!$B$4:$C$14,2,FALSE)</f>
        <v>2</v>
      </c>
      <c r="AN48" s="418">
        <f>VLOOKUP('Physical Effects'!BZ52,Lookup!$B$4:$C$14,2,FALSE)</f>
        <v>2</v>
      </c>
      <c r="AO48" s="418">
        <f>VLOOKUP('Physical Effects'!CB52,Lookup!$B$4:$C$14,2,FALSE)</f>
        <v>0</v>
      </c>
      <c r="AP48" s="418">
        <f>VLOOKUP('Physical Effects'!CD52,Lookup!$B$4:$C$14,2,FALSE)</f>
        <v>2</v>
      </c>
      <c r="AQ48" s="418">
        <f>VLOOKUP('Physical Effects'!CF52,Lookup!$B$4:$C$14,2,FALSE)</f>
        <v>0</v>
      </c>
      <c r="AR48" s="418">
        <f>VLOOKUP('Physical Effects'!CH52,Lookup!$B$4:$C$14,2,FALSE)</f>
        <v>0</v>
      </c>
      <c r="AS48" s="418">
        <f>VLOOKUP('Physical Effects'!CJ52,Lookup!$B$4:$C$14,2,FALSE)</f>
        <v>0</v>
      </c>
      <c r="AT48" s="418">
        <f>VLOOKUP('Physical Effects'!CL52,Lookup!$B$4:$C$14,2,FALSE)</f>
        <v>0</v>
      </c>
      <c r="AU48" s="418">
        <f>VLOOKUP('Physical Effects'!CN52,Lookup!$B$4:$C$14,2,FALSE)</f>
        <v>0</v>
      </c>
      <c r="AV48" s="28"/>
      <c r="AW48" s="23"/>
      <c r="AX48" s="23"/>
      <c r="AY48" s="23"/>
      <c r="AZ48" s="23"/>
      <c r="BA48" s="23"/>
      <c r="BB48" s="23"/>
      <c r="BC48" s="23"/>
      <c r="BD48" s="23"/>
      <c r="BE48" s="23"/>
      <c r="BF48" s="23"/>
    </row>
    <row r="49" spans="1:58" s="5" customFormat="1" ht="13.5" thickBot="1" x14ac:dyDescent="0.25">
      <c r="A49" s="123">
        <f t="shared" si="0"/>
        <v>48</v>
      </c>
      <c r="B49" s="19" t="str">
        <f>+'Physical Effects'!B53</f>
        <v>Field Operations Emissions Reduction</v>
      </c>
      <c r="C49" s="32">
        <f>+'Physical Effects'!D53</f>
        <v>376</v>
      </c>
      <c r="D49" s="418">
        <f>VLOOKUP('Physical Effects'!F53,Lookup!$B$4:$C$14,2,FALSE)</f>
        <v>1</v>
      </c>
      <c r="E49" s="418">
        <f>VLOOKUP('Physical Effects'!H53,Lookup!$B$4:$C$14,2,FALSE)</f>
        <v>3</v>
      </c>
      <c r="F49" s="418">
        <f>VLOOKUP('Physical Effects'!J53,Lookup!$B$4:$C$14,2,FALSE)</f>
        <v>0</v>
      </c>
      <c r="G49" s="418">
        <f>VLOOKUP('Physical Effects'!L53,Lookup!$B$4:$C$14,2,FALSE)</f>
        <v>0</v>
      </c>
      <c r="H49" s="418">
        <f>VLOOKUP('Physical Effects'!N53,Lookup!$B$4:$C$14,2,FALSE)</f>
        <v>0</v>
      </c>
      <c r="I49" s="418">
        <f>VLOOKUP('Physical Effects'!P53,Lookup!$B$4:$C$14,2,FALSE)</f>
        <v>0</v>
      </c>
      <c r="J49" s="418">
        <f>VLOOKUP('Physical Effects'!R53,Lookup!$B$4:$C$14,2,FALSE)</f>
        <v>0</v>
      </c>
      <c r="K49" s="418">
        <f>VLOOKUP('Physical Effects'!T53,Lookup!$B$4:$C$14,2,FALSE)</f>
        <v>0</v>
      </c>
      <c r="L49" s="418">
        <f>VLOOKUP('Physical Effects'!V53,Lookup!$B$4:$C$14,2,FALSE)</f>
        <v>0</v>
      </c>
      <c r="M49" s="418">
        <f>VLOOKUP('Physical Effects'!X53,Lookup!$B$4:$C$14,2,FALSE)</f>
        <v>0</v>
      </c>
      <c r="N49" s="418">
        <f>VLOOKUP('Physical Effects'!Z53,Lookup!$B$4:$C$14,2,FALSE)</f>
        <v>0</v>
      </c>
      <c r="O49" s="418">
        <f>VLOOKUP('Physical Effects'!AB53,Lookup!$B$4:$C$14,2,FALSE)</f>
        <v>0</v>
      </c>
      <c r="P49" s="418">
        <f>VLOOKUP('Physical Effects'!AD53,Lookup!$B$4:$C$14,2,FALSE)</f>
        <v>0</v>
      </c>
      <c r="Q49" s="418">
        <f>VLOOKUP('Physical Effects'!AF53,Lookup!$B$4:$C$14,2,FALSE)</f>
        <v>0</v>
      </c>
      <c r="R49" s="418">
        <f>VLOOKUP('Physical Effects'!AH53,Lookup!$B$4:$C$14,2,FALSE)</f>
        <v>0</v>
      </c>
      <c r="S49" s="418">
        <f>VLOOKUP('Physical Effects'!AJ53,Lookup!$B$4:$C$14,2,FALSE)</f>
        <v>0</v>
      </c>
      <c r="T49" s="418">
        <f>VLOOKUP('Physical Effects'!AL53,Lookup!$B$4:$C$14,2,FALSE)</f>
        <v>0</v>
      </c>
      <c r="U49" s="418">
        <f>VLOOKUP('Physical Effects'!AN53,Lookup!$B$4:$C$14,2,FALSE)</f>
        <v>0</v>
      </c>
      <c r="V49" s="418">
        <f>VLOOKUP('Physical Effects'!AP53,Lookup!$B$4:$C$14,2,FALSE)</f>
        <v>0</v>
      </c>
      <c r="W49" s="418">
        <f>VLOOKUP('Physical Effects'!AR53,Lookup!$B$4:$C$14,2,FALSE)</f>
        <v>0</v>
      </c>
      <c r="X49" s="418">
        <f>VLOOKUP('Physical Effects'!AT53,Lookup!$B$4:$C$14,2,FALSE)</f>
        <v>0</v>
      </c>
      <c r="Y49" s="418">
        <f>VLOOKUP('Physical Effects'!AV53,Lookup!$B$4:$C$14,2,FALSE)</f>
        <v>0</v>
      </c>
      <c r="Z49" s="418">
        <f>VLOOKUP('Physical Effects'!AX53,Lookup!$B$4:$C$14,2,FALSE)</f>
        <v>0</v>
      </c>
      <c r="AA49" s="418">
        <f>VLOOKUP('Physical Effects'!AZ53,Lookup!$B$4:$C$14,2,FALSE)</f>
        <v>0</v>
      </c>
      <c r="AB49" s="418">
        <f>VLOOKUP('Physical Effects'!BB53,Lookup!$B$4:$C$14,2,FALSE)</f>
        <v>0</v>
      </c>
      <c r="AC49" s="418">
        <f>VLOOKUP('Physical Effects'!BD53,Lookup!$B$4:$C$14,2,FALSE)</f>
        <v>0</v>
      </c>
      <c r="AD49" s="418">
        <f>VLOOKUP('Physical Effects'!BF53,Lookup!$B$4:$C$14,2,FALSE)</f>
        <v>0</v>
      </c>
      <c r="AE49" s="418">
        <f>VLOOKUP('Physical Effects'!BH53,Lookup!$B$4:$C$14,2,FALSE)</f>
        <v>5</v>
      </c>
      <c r="AF49" s="418">
        <f>VLOOKUP('Physical Effects'!BJ53,Lookup!$B$4:$C$14,2,FALSE)</f>
        <v>0</v>
      </c>
      <c r="AG49" s="418">
        <f>VLOOKUP('Physical Effects'!BL53,Lookup!$B$4:$C$14,2,FALSE)</f>
        <v>1</v>
      </c>
      <c r="AH49" s="418">
        <f>VLOOKUP('Physical Effects'!BN53,Lookup!$B$4:$C$14,2,FALSE)</f>
        <v>0</v>
      </c>
      <c r="AI49" s="418">
        <f>VLOOKUP('Physical Effects'!BP53,Lookup!$B$4:$C$14,2,FALSE)</f>
        <v>0</v>
      </c>
      <c r="AJ49" s="418">
        <f>VLOOKUP('Physical Effects'!BR53,Lookup!$B$4:$C$14,2,FALSE)</f>
        <v>0</v>
      </c>
      <c r="AK49" s="418">
        <f>VLOOKUP('Physical Effects'!BT53,Lookup!$B$4:$C$14,2,FALSE)</f>
        <v>0</v>
      </c>
      <c r="AL49" s="418">
        <f>VLOOKUP('Physical Effects'!BV53,Lookup!$B$4:$C$14,2,FALSE)</f>
        <v>0</v>
      </c>
      <c r="AM49" s="418">
        <f>VLOOKUP('Physical Effects'!BX53,Lookup!$B$4:$C$14,2,FALSE)</f>
        <v>0</v>
      </c>
      <c r="AN49" s="418">
        <f>VLOOKUP('Physical Effects'!BZ53,Lookup!$B$4:$C$14,2,FALSE)</f>
        <v>0</v>
      </c>
      <c r="AO49" s="418">
        <f>VLOOKUP('Physical Effects'!CB53,Lookup!$B$4:$C$14,2,FALSE)</f>
        <v>0</v>
      </c>
      <c r="AP49" s="418">
        <f>VLOOKUP('Physical Effects'!CD53,Lookup!$B$4:$C$14,2,FALSE)</f>
        <v>0</v>
      </c>
      <c r="AQ49" s="418">
        <f>VLOOKUP('Physical Effects'!CF53,Lookup!$B$4:$C$14,2,FALSE)</f>
        <v>0</v>
      </c>
      <c r="AR49" s="418">
        <f>VLOOKUP('Physical Effects'!CH53,Lookup!$B$4:$C$14,2,FALSE)</f>
        <v>0</v>
      </c>
      <c r="AS49" s="418">
        <f>VLOOKUP('Physical Effects'!CJ53,Lookup!$B$4:$C$14,2,FALSE)</f>
        <v>0</v>
      </c>
      <c r="AT49" s="418">
        <f>VLOOKUP('Physical Effects'!CL53,Lookup!$B$4:$C$14,2,FALSE)</f>
        <v>0</v>
      </c>
      <c r="AU49" s="418">
        <f>VLOOKUP('Physical Effects'!CN53,Lookup!$B$4:$C$14,2,FALSE)</f>
        <v>0</v>
      </c>
      <c r="AV49" s="28"/>
      <c r="AW49" s="23"/>
      <c r="AX49" s="23"/>
      <c r="AY49" s="23"/>
      <c r="AZ49" s="23"/>
      <c r="BA49" s="23"/>
      <c r="BB49" s="23"/>
      <c r="BC49" s="23"/>
      <c r="BD49" s="23"/>
      <c r="BE49" s="23"/>
      <c r="BF49" s="23"/>
    </row>
    <row r="50" spans="1:58" s="17" customFormat="1" ht="13.5" thickBot="1" x14ac:dyDescent="0.25">
      <c r="A50" s="123">
        <f t="shared" si="0"/>
        <v>49</v>
      </c>
      <c r="B50" s="19" t="str">
        <f>+'Physical Effects'!B54</f>
        <v>Filter Strip</v>
      </c>
      <c r="C50" s="32">
        <f>+'Physical Effects'!D54</f>
        <v>393</v>
      </c>
      <c r="D50" s="418">
        <f>VLOOKUP('Physical Effects'!F54,Lookup!$B$4:$C$14,2,FALSE)</f>
        <v>0</v>
      </c>
      <c r="E50" s="418">
        <f>VLOOKUP('Physical Effects'!H54,Lookup!$B$4:$C$14,2,FALSE)</f>
        <v>0</v>
      </c>
      <c r="F50" s="418">
        <f>VLOOKUP('Physical Effects'!J54,Lookup!$B$4:$C$14,2,FALSE)</f>
        <v>0</v>
      </c>
      <c r="G50" s="418">
        <f>VLOOKUP('Physical Effects'!L54,Lookup!$B$4:$C$14,2,FALSE)</f>
        <v>0</v>
      </c>
      <c r="H50" s="418">
        <f>VLOOKUP('Physical Effects'!N54,Lookup!$B$4:$C$14,2,FALSE)</f>
        <v>0</v>
      </c>
      <c r="I50" s="418">
        <f>VLOOKUP('Physical Effects'!P54,Lookup!$B$4:$C$14,2,FALSE)</f>
        <v>5</v>
      </c>
      <c r="J50" s="418">
        <f>VLOOKUP('Physical Effects'!R54,Lookup!$B$4:$C$14,2,FALSE)</f>
        <v>0</v>
      </c>
      <c r="K50" s="418">
        <f>VLOOKUP('Physical Effects'!T54,Lookup!$B$4:$C$14,2,FALSE)</f>
        <v>0</v>
      </c>
      <c r="L50" s="418">
        <f>VLOOKUP('Physical Effects'!V54,Lookup!$B$4:$C$14,2,FALSE)</f>
        <v>0</v>
      </c>
      <c r="M50" s="418">
        <f>VLOOKUP('Physical Effects'!X54,Lookup!$B$4:$C$14,2,FALSE)</f>
        <v>0</v>
      </c>
      <c r="N50" s="418">
        <f>VLOOKUP('Physical Effects'!Z54,Lookup!$B$4:$C$14,2,FALSE)</f>
        <v>0</v>
      </c>
      <c r="O50" s="418">
        <f>VLOOKUP('Physical Effects'!AB54,Lookup!$B$4:$C$14,2,FALSE)</f>
        <v>0</v>
      </c>
      <c r="P50" s="418">
        <f>VLOOKUP('Physical Effects'!AD54,Lookup!$B$4:$C$14,2,FALSE)</f>
        <v>0</v>
      </c>
      <c r="Q50" s="418">
        <f>VLOOKUP('Physical Effects'!AF54,Lookup!$B$4:$C$14,2,FALSE)</f>
        <v>0</v>
      </c>
      <c r="R50" s="418">
        <f>VLOOKUP('Physical Effects'!AH54,Lookup!$B$4:$C$14,2,FALSE)</f>
        <v>0</v>
      </c>
      <c r="S50" s="418">
        <f>VLOOKUP('Physical Effects'!AJ54,Lookup!$B$4:$C$14,2,FALSE)</f>
        <v>2</v>
      </c>
      <c r="T50" s="418">
        <f>VLOOKUP('Physical Effects'!AL54,Lookup!$B$4:$C$14,2,FALSE)</f>
        <v>1</v>
      </c>
      <c r="U50" s="418">
        <f>VLOOKUP('Physical Effects'!AN54,Lookup!$B$4:$C$14,2,FALSE)</f>
        <v>5</v>
      </c>
      <c r="V50" s="418">
        <f>VLOOKUP('Physical Effects'!AP54,Lookup!$B$4:$C$14,2,FALSE)</f>
        <v>2</v>
      </c>
      <c r="W50" s="418">
        <f>VLOOKUP('Physical Effects'!AR54,Lookup!$B$4:$C$14,2,FALSE)</f>
        <v>1</v>
      </c>
      <c r="X50" s="418">
        <f>VLOOKUP('Physical Effects'!AT54,Lookup!$B$4:$C$14,2,FALSE)</f>
        <v>1</v>
      </c>
      <c r="Y50" s="418">
        <f>VLOOKUP('Physical Effects'!AV54,Lookup!$B$4:$C$14,2,FALSE)</f>
        <v>3</v>
      </c>
      <c r="Z50" s="418">
        <f>VLOOKUP('Physical Effects'!AX54,Lookup!$B$4:$C$14,2,FALSE)</f>
        <v>1</v>
      </c>
      <c r="AA50" s="418">
        <f>VLOOKUP('Physical Effects'!AZ54,Lookup!$B$4:$C$14,2,FALSE)</f>
        <v>5</v>
      </c>
      <c r="AB50" s="418">
        <f>VLOOKUP('Physical Effects'!BB54,Lookup!$B$4:$C$14,2,FALSE)</f>
        <v>0</v>
      </c>
      <c r="AC50" s="418">
        <f>VLOOKUP('Physical Effects'!BD54,Lookup!$B$4:$C$14,2,FALSE)</f>
        <v>4</v>
      </c>
      <c r="AD50" s="418">
        <f>VLOOKUP('Physical Effects'!BF54,Lookup!$B$4:$C$14,2,FALSE)</f>
        <v>1</v>
      </c>
      <c r="AE50" s="418">
        <f>VLOOKUP('Physical Effects'!BH54,Lookup!$B$4:$C$14,2,FALSE)</f>
        <v>1</v>
      </c>
      <c r="AF50" s="418">
        <f>VLOOKUP('Physical Effects'!BJ54,Lookup!$B$4:$C$14,2,FALSE)</f>
        <v>0</v>
      </c>
      <c r="AG50" s="418">
        <f>VLOOKUP('Physical Effects'!BL54,Lookup!$B$4:$C$14,2,FALSE)</f>
        <v>1</v>
      </c>
      <c r="AH50" s="418">
        <f>VLOOKUP('Physical Effects'!BN54,Lookup!$B$4:$C$14,2,FALSE)</f>
        <v>0</v>
      </c>
      <c r="AI50" s="418">
        <f>VLOOKUP('Physical Effects'!BP54,Lookup!$B$4:$C$14,2,FALSE)</f>
        <v>5</v>
      </c>
      <c r="AJ50" s="418">
        <f>VLOOKUP('Physical Effects'!BR54,Lookup!$B$4:$C$14,2,FALSE)</f>
        <v>5</v>
      </c>
      <c r="AK50" s="418">
        <f>VLOOKUP('Physical Effects'!BT54,Lookup!$B$4:$C$14,2,FALSE)</f>
        <v>0</v>
      </c>
      <c r="AL50" s="418">
        <f>VLOOKUP('Physical Effects'!BV54,Lookup!$B$4:$C$14,2,FALSE)</f>
        <v>0</v>
      </c>
      <c r="AM50" s="418">
        <f>VLOOKUP('Physical Effects'!BX54,Lookup!$B$4:$C$14,2,FALSE)</f>
        <v>2</v>
      </c>
      <c r="AN50" s="418">
        <f>VLOOKUP('Physical Effects'!BZ54,Lookup!$B$4:$C$14,2,FALSE)</f>
        <v>2</v>
      </c>
      <c r="AO50" s="418">
        <f>VLOOKUP('Physical Effects'!CB54,Lookup!$B$4:$C$14,2,FALSE)</f>
        <v>0</v>
      </c>
      <c r="AP50" s="418">
        <f>VLOOKUP('Physical Effects'!CD54,Lookup!$B$4:$C$14,2,FALSE)</f>
        <v>2</v>
      </c>
      <c r="AQ50" s="418">
        <f>VLOOKUP('Physical Effects'!CF54,Lookup!$B$4:$C$14,2,FALSE)</f>
        <v>0</v>
      </c>
      <c r="AR50" s="418">
        <f>VLOOKUP('Physical Effects'!CH54,Lookup!$B$4:$C$14,2,FALSE)</f>
        <v>0</v>
      </c>
      <c r="AS50" s="418">
        <f>VLOOKUP('Physical Effects'!CJ54,Lookup!$B$4:$C$14,2,FALSE)</f>
        <v>0</v>
      </c>
      <c r="AT50" s="418">
        <f>VLOOKUP('Physical Effects'!CL54,Lookup!$B$4:$C$14,2,FALSE)</f>
        <v>0</v>
      </c>
      <c r="AU50" s="418">
        <f>VLOOKUP('Physical Effects'!CN54,Lookup!$B$4:$C$14,2,FALSE)</f>
        <v>0</v>
      </c>
      <c r="AV50" s="28"/>
      <c r="AW50" s="21"/>
      <c r="AX50" s="21"/>
      <c r="AY50" s="21"/>
      <c r="AZ50" s="21"/>
      <c r="BA50" s="21"/>
      <c r="BB50" s="21"/>
      <c r="BC50" s="21"/>
      <c r="BD50" s="21"/>
      <c r="BE50" s="21"/>
      <c r="BF50" s="21"/>
    </row>
    <row r="51" spans="1:58" s="5" customFormat="1" ht="13.5" thickBot="1" x14ac:dyDescent="0.25">
      <c r="A51" s="123">
        <f t="shared" si="0"/>
        <v>50</v>
      </c>
      <c r="B51" s="19" t="str">
        <f>+'Physical Effects'!B55</f>
        <v>Firebreak</v>
      </c>
      <c r="C51" s="32">
        <f>+'Physical Effects'!D55</f>
        <v>394</v>
      </c>
      <c r="D51" s="418">
        <f>VLOOKUP('Physical Effects'!F55,Lookup!$B$4:$C$14,2,FALSE)</f>
        <v>-1</v>
      </c>
      <c r="E51" s="418">
        <f>VLOOKUP('Physical Effects'!H55,Lookup!$B$4:$C$14,2,FALSE)</f>
        <v>-1</v>
      </c>
      <c r="F51" s="418">
        <f>VLOOKUP('Physical Effects'!J55,Lookup!$B$4:$C$14,2,FALSE)</f>
        <v>-1</v>
      </c>
      <c r="G51" s="418">
        <f>VLOOKUP('Physical Effects'!L55,Lookup!$B$4:$C$14,2,FALSE)</f>
        <v>-1</v>
      </c>
      <c r="H51" s="418">
        <f>VLOOKUP('Physical Effects'!N55,Lookup!$B$4:$C$14,2,FALSE)</f>
        <v>0</v>
      </c>
      <c r="I51" s="418">
        <f>VLOOKUP('Physical Effects'!P55,Lookup!$B$4:$C$14,2,FALSE)</f>
        <v>-2</v>
      </c>
      <c r="J51" s="418">
        <f>VLOOKUP('Physical Effects'!R55,Lookup!$B$4:$C$14,2,FALSE)</f>
        <v>-2</v>
      </c>
      <c r="K51" s="418">
        <f>VLOOKUP('Physical Effects'!T55,Lookup!$B$4:$C$14,2,FALSE)</f>
        <v>0</v>
      </c>
      <c r="L51" s="418">
        <f>VLOOKUP('Physical Effects'!V55,Lookup!$B$4:$C$14,2,FALSE)</f>
        <v>0</v>
      </c>
      <c r="M51" s="418">
        <f>VLOOKUP('Physical Effects'!X55,Lookup!$B$4:$C$14,2,FALSE)</f>
        <v>0</v>
      </c>
      <c r="N51" s="418">
        <f>VLOOKUP('Physical Effects'!Z55,Lookup!$B$4:$C$14,2,FALSE)</f>
        <v>0</v>
      </c>
      <c r="O51" s="418">
        <f>VLOOKUP('Physical Effects'!AB55,Lookup!$B$4:$C$14,2,FALSE)</f>
        <v>0</v>
      </c>
      <c r="P51" s="418">
        <f>VLOOKUP('Physical Effects'!AD55,Lookup!$B$4:$C$14,2,FALSE)</f>
        <v>0</v>
      </c>
      <c r="Q51" s="418">
        <f>VLOOKUP('Physical Effects'!AF55,Lookup!$B$4:$C$14,2,FALSE)</f>
        <v>0</v>
      </c>
      <c r="R51" s="418">
        <f>VLOOKUP('Physical Effects'!AH55,Lookup!$B$4:$C$14,2,FALSE)</f>
        <v>0</v>
      </c>
      <c r="S51" s="418">
        <f>VLOOKUP('Physical Effects'!AJ55,Lookup!$B$4:$C$14,2,FALSE)</f>
        <v>0</v>
      </c>
      <c r="T51" s="418">
        <f>VLOOKUP('Physical Effects'!AL55,Lookup!$B$4:$C$14,2,FALSE)</f>
        <v>0</v>
      </c>
      <c r="U51" s="418">
        <f>VLOOKUP('Physical Effects'!AN55,Lookup!$B$4:$C$14,2,FALSE)</f>
        <v>0</v>
      </c>
      <c r="V51" s="418">
        <f>VLOOKUP('Physical Effects'!AP55,Lookup!$B$4:$C$14,2,FALSE)</f>
        <v>0</v>
      </c>
      <c r="W51" s="418">
        <f>VLOOKUP('Physical Effects'!AR55,Lookup!$B$4:$C$14,2,FALSE)</f>
        <v>0</v>
      </c>
      <c r="X51" s="418">
        <f>VLOOKUP('Physical Effects'!AT55,Lookup!$B$4:$C$14,2,FALSE)</f>
        <v>0</v>
      </c>
      <c r="Y51" s="418">
        <f>VLOOKUP('Physical Effects'!AV55,Lookup!$B$4:$C$14,2,FALSE)</f>
        <v>0</v>
      </c>
      <c r="Z51" s="418">
        <f>VLOOKUP('Physical Effects'!AX55,Lookup!$B$4:$C$14,2,FALSE)</f>
        <v>0</v>
      </c>
      <c r="AA51" s="418">
        <f>VLOOKUP('Physical Effects'!AZ55,Lookup!$B$4:$C$14,2,FALSE)</f>
        <v>-1</v>
      </c>
      <c r="AB51" s="418">
        <f>VLOOKUP('Physical Effects'!BB55,Lookup!$B$4:$C$14,2,FALSE)</f>
        <v>0</v>
      </c>
      <c r="AC51" s="418">
        <f>VLOOKUP('Physical Effects'!BD55,Lookup!$B$4:$C$14,2,FALSE)</f>
        <v>0</v>
      </c>
      <c r="AD51" s="418">
        <f>VLOOKUP('Physical Effects'!BF55,Lookup!$B$4:$C$14,2,FALSE)</f>
        <v>0</v>
      </c>
      <c r="AE51" s="418">
        <f>VLOOKUP('Physical Effects'!BH55,Lookup!$B$4:$C$14,2,FALSE)</f>
        <v>1</v>
      </c>
      <c r="AF51" s="418">
        <f>VLOOKUP('Physical Effects'!BJ55,Lookup!$B$4:$C$14,2,FALSE)</f>
        <v>1</v>
      </c>
      <c r="AG51" s="418">
        <f>VLOOKUP('Physical Effects'!BL55,Lookup!$B$4:$C$14,2,FALSE)</f>
        <v>1</v>
      </c>
      <c r="AH51" s="418">
        <f>VLOOKUP('Physical Effects'!BN55,Lookup!$B$4:$C$14,2,FALSE)</f>
        <v>0</v>
      </c>
      <c r="AI51" s="418">
        <f>VLOOKUP('Physical Effects'!BP55,Lookup!$B$4:$C$14,2,FALSE)</f>
        <v>3</v>
      </c>
      <c r="AJ51" s="418">
        <f>VLOOKUP('Physical Effects'!BR55,Lookup!$B$4:$C$14,2,FALSE)</f>
        <v>0</v>
      </c>
      <c r="AK51" s="418">
        <f>VLOOKUP('Physical Effects'!BT55,Lookup!$B$4:$C$14,2,FALSE)</f>
        <v>-1</v>
      </c>
      <c r="AL51" s="418">
        <f>VLOOKUP('Physical Effects'!BV55,Lookup!$B$4:$C$14,2,FALSE)</f>
        <v>5</v>
      </c>
      <c r="AM51" s="418">
        <f>VLOOKUP('Physical Effects'!BX55,Lookup!$B$4:$C$14,2,FALSE)</f>
        <v>0</v>
      </c>
      <c r="AN51" s="418">
        <f>VLOOKUP('Physical Effects'!BZ55,Lookup!$B$4:$C$14,2,FALSE)</f>
        <v>0</v>
      </c>
      <c r="AO51" s="418">
        <f>VLOOKUP('Physical Effects'!CB55,Lookup!$B$4:$C$14,2,FALSE)</f>
        <v>0</v>
      </c>
      <c r="AP51" s="418">
        <f>VLOOKUP('Physical Effects'!CD55,Lookup!$B$4:$C$14,2,FALSE)</f>
        <v>-1</v>
      </c>
      <c r="AQ51" s="418">
        <f>VLOOKUP('Physical Effects'!CF55,Lookup!$B$4:$C$14,2,FALSE)</f>
        <v>0</v>
      </c>
      <c r="AR51" s="418">
        <f>VLOOKUP('Physical Effects'!CH55,Lookup!$B$4:$C$14,2,FALSE)</f>
        <v>0</v>
      </c>
      <c r="AS51" s="418">
        <f>VLOOKUP('Physical Effects'!CJ55,Lookup!$B$4:$C$14,2,FALSE)</f>
        <v>0</v>
      </c>
      <c r="AT51" s="418">
        <f>VLOOKUP('Physical Effects'!CL55,Lookup!$B$4:$C$14,2,FALSE)</f>
        <v>2</v>
      </c>
      <c r="AU51" s="418">
        <f>VLOOKUP('Physical Effects'!CN55,Lookup!$B$4:$C$14,2,FALSE)</f>
        <v>0</v>
      </c>
      <c r="AV51" s="28"/>
      <c r="AW51" s="23"/>
      <c r="AX51" s="23"/>
      <c r="AY51" s="23"/>
      <c r="AZ51" s="23"/>
      <c r="BA51" s="23"/>
      <c r="BB51" s="23"/>
      <c r="BC51" s="23"/>
      <c r="BD51" s="23"/>
      <c r="BE51" s="23"/>
      <c r="BF51" s="23"/>
    </row>
    <row r="52" spans="1:58" s="5" customFormat="1" ht="13.5" thickBot="1" x14ac:dyDescent="0.25">
      <c r="A52" s="123">
        <f t="shared" si="0"/>
        <v>51</v>
      </c>
      <c r="B52" s="19" t="str">
        <f>+'Physical Effects'!B56</f>
        <v>Fish Raceway or Tank</v>
      </c>
      <c r="C52" s="32">
        <f>+'Physical Effects'!D56</f>
        <v>398</v>
      </c>
      <c r="D52" s="418">
        <f>VLOOKUP('Physical Effects'!F56,Lookup!$B$4:$C$14,2,FALSE)</f>
        <v>0</v>
      </c>
      <c r="E52" s="418">
        <f>VLOOKUP('Physical Effects'!H56,Lookup!$B$4:$C$14,2,FALSE)</f>
        <v>0</v>
      </c>
      <c r="F52" s="418">
        <f>VLOOKUP('Physical Effects'!J56,Lookup!$B$4:$C$14,2,FALSE)</f>
        <v>0</v>
      </c>
      <c r="G52" s="418">
        <f>VLOOKUP('Physical Effects'!L56,Lookup!$B$4:$C$14,2,FALSE)</f>
        <v>0</v>
      </c>
      <c r="H52" s="418">
        <f>VLOOKUP('Physical Effects'!N56,Lookup!$B$4:$C$14,2,FALSE)</f>
        <v>0</v>
      </c>
      <c r="I52" s="418">
        <f>VLOOKUP('Physical Effects'!P56,Lookup!$B$4:$C$14,2,FALSE)</f>
        <v>0</v>
      </c>
      <c r="J52" s="418">
        <f>VLOOKUP('Physical Effects'!R56,Lookup!$B$4:$C$14,2,FALSE)</f>
        <v>0</v>
      </c>
      <c r="K52" s="418">
        <f>VLOOKUP('Physical Effects'!T56,Lookup!$B$4:$C$14,2,FALSE)</f>
        <v>0</v>
      </c>
      <c r="L52" s="418">
        <f>VLOOKUP('Physical Effects'!V56,Lookup!$B$4:$C$14,2,FALSE)</f>
        <v>0</v>
      </c>
      <c r="M52" s="418">
        <f>VLOOKUP('Physical Effects'!X56,Lookup!$B$4:$C$14,2,FALSE)</f>
        <v>0</v>
      </c>
      <c r="N52" s="418">
        <f>VLOOKUP('Physical Effects'!Z56,Lookup!$B$4:$C$14,2,FALSE)</f>
        <v>0</v>
      </c>
      <c r="O52" s="418">
        <f>VLOOKUP('Physical Effects'!AB56,Lookup!$B$4:$C$14,2,FALSE)</f>
        <v>0</v>
      </c>
      <c r="P52" s="418">
        <f>VLOOKUP('Physical Effects'!AD56,Lookup!$B$4:$C$14,2,FALSE)</f>
        <v>0</v>
      </c>
      <c r="Q52" s="418">
        <f>VLOOKUP('Physical Effects'!AF56,Lookup!$B$4:$C$14,2,FALSE)</f>
        <v>0</v>
      </c>
      <c r="R52" s="418">
        <f>VLOOKUP('Physical Effects'!AH56,Lookup!$B$4:$C$14,2,FALSE)</f>
        <v>0</v>
      </c>
      <c r="S52" s="418">
        <f>VLOOKUP('Physical Effects'!AJ56,Lookup!$B$4:$C$14,2,FALSE)</f>
        <v>0</v>
      </c>
      <c r="T52" s="418">
        <f>VLOOKUP('Physical Effects'!AL56,Lookup!$B$4:$C$14,2,FALSE)</f>
        <v>0</v>
      </c>
      <c r="U52" s="418">
        <f>VLOOKUP('Physical Effects'!AN56,Lookup!$B$4:$C$14,2,FALSE)</f>
        <v>-1</v>
      </c>
      <c r="V52" s="418">
        <f>VLOOKUP('Physical Effects'!AP56,Lookup!$B$4:$C$14,2,FALSE)</f>
        <v>-1</v>
      </c>
      <c r="W52" s="418">
        <f>VLOOKUP('Physical Effects'!AR56,Lookup!$B$4:$C$14,2,FALSE)</f>
        <v>-1</v>
      </c>
      <c r="X52" s="418">
        <f>VLOOKUP('Physical Effects'!AT56,Lookup!$B$4:$C$14,2,FALSE)</f>
        <v>0</v>
      </c>
      <c r="Y52" s="418">
        <f>VLOOKUP('Physical Effects'!AV56,Lookup!$B$4:$C$14,2,FALSE)</f>
        <v>-1</v>
      </c>
      <c r="Z52" s="418">
        <f>VLOOKUP('Physical Effects'!AX56,Lookup!$B$4:$C$14,2,FALSE)</f>
        <v>-1</v>
      </c>
      <c r="AA52" s="418">
        <f>VLOOKUP('Physical Effects'!AZ56,Lookup!$B$4:$C$14,2,FALSE)</f>
        <v>0</v>
      </c>
      <c r="AB52" s="418">
        <f>VLOOKUP('Physical Effects'!BB56,Lookup!$B$4:$C$14,2,FALSE)</f>
        <v>-1</v>
      </c>
      <c r="AC52" s="418">
        <f>VLOOKUP('Physical Effects'!BD56,Lookup!$B$4:$C$14,2,FALSE)</f>
        <v>0</v>
      </c>
      <c r="AD52" s="418">
        <f>VLOOKUP('Physical Effects'!BF56,Lookup!$B$4:$C$14,2,FALSE)</f>
        <v>0</v>
      </c>
      <c r="AE52" s="418">
        <f>VLOOKUP('Physical Effects'!BH56,Lookup!$B$4:$C$14,2,FALSE)</f>
        <v>0</v>
      </c>
      <c r="AF52" s="418">
        <f>VLOOKUP('Physical Effects'!BJ56,Lookup!$B$4:$C$14,2,FALSE)</f>
        <v>0</v>
      </c>
      <c r="AG52" s="418">
        <f>VLOOKUP('Physical Effects'!BL56,Lookup!$B$4:$C$14,2,FALSE)</f>
        <v>0</v>
      </c>
      <c r="AH52" s="418">
        <f>VLOOKUP('Physical Effects'!BN56,Lookup!$B$4:$C$14,2,FALSE)</f>
        <v>0</v>
      </c>
      <c r="AI52" s="418">
        <f>VLOOKUP('Physical Effects'!BP56,Lookup!$B$4:$C$14,2,FALSE)</f>
        <v>0</v>
      </c>
      <c r="AJ52" s="418">
        <f>VLOOKUP('Physical Effects'!BR56,Lookup!$B$4:$C$14,2,FALSE)</f>
        <v>0</v>
      </c>
      <c r="AK52" s="418">
        <f>VLOOKUP('Physical Effects'!BT56,Lookup!$B$4:$C$14,2,FALSE)</f>
        <v>0</v>
      </c>
      <c r="AL52" s="418">
        <f>VLOOKUP('Physical Effects'!BV56,Lookup!$B$4:$C$14,2,FALSE)</f>
        <v>0</v>
      </c>
      <c r="AM52" s="418">
        <f>VLOOKUP('Physical Effects'!BX56,Lookup!$B$4:$C$14,2,FALSE)</f>
        <v>0</v>
      </c>
      <c r="AN52" s="418">
        <f>VLOOKUP('Physical Effects'!BZ56,Lookup!$B$4:$C$14,2,FALSE)</f>
        <v>0</v>
      </c>
      <c r="AO52" s="418">
        <f>VLOOKUP('Physical Effects'!CB56,Lookup!$B$4:$C$14,2,FALSE)</f>
        <v>0</v>
      </c>
      <c r="AP52" s="418">
        <f>VLOOKUP('Physical Effects'!CD56,Lookup!$B$4:$C$14,2,FALSE)</f>
        <v>0</v>
      </c>
      <c r="AQ52" s="418">
        <f>VLOOKUP('Physical Effects'!CF56,Lookup!$B$4:$C$14,2,FALSE)</f>
        <v>5</v>
      </c>
      <c r="AR52" s="418">
        <f>VLOOKUP('Physical Effects'!CH56,Lookup!$B$4:$C$14,2,FALSE)</f>
        <v>5</v>
      </c>
      <c r="AS52" s="418">
        <f>VLOOKUP('Physical Effects'!CJ56,Lookup!$B$4:$C$14,2,FALSE)</f>
        <v>0</v>
      </c>
      <c r="AT52" s="418">
        <f>VLOOKUP('Physical Effects'!CL56,Lookup!$B$4:$C$14,2,FALSE)</f>
        <v>0</v>
      </c>
      <c r="AU52" s="418">
        <f>VLOOKUP('Physical Effects'!CN56,Lookup!$B$4:$C$14,2,FALSE)</f>
        <v>0</v>
      </c>
      <c r="AV52" s="28"/>
      <c r="AW52" s="23"/>
      <c r="AX52" s="23"/>
      <c r="AY52" s="23"/>
      <c r="AZ52" s="23"/>
      <c r="BA52" s="23"/>
      <c r="BB52" s="23"/>
      <c r="BC52" s="23"/>
      <c r="BD52" s="23"/>
      <c r="BE52" s="23"/>
      <c r="BF52" s="23"/>
    </row>
    <row r="53" spans="1:58" s="6" customFormat="1" ht="13.5" thickBot="1" x14ac:dyDescent="0.25">
      <c r="A53" s="123">
        <f t="shared" si="0"/>
        <v>52</v>
      </c>
      <c r="B53" s="19" t="str">
        <f>+'Physical Effects'!B57</f>
        <v>Fishpond Management</v>
      </c>
      <c r="C53" s="32">
        <f>+'Physical Effects'!D57</f>
        <v>399</v>
      </c>
      <c r="D53" s="418">
        <f>VLOOKUP('Physical Effects'!F57,Lookup!$B$4:$C$14,2,FALSE)</f>
        <v>0</v>
      </c>
      <c r="E53" s="418">
        <f>VLOOKUP('Physical Effects'!H57,Lookup!$B$4:$C$14,2,FALSE)</f>
        <v>0</v>
      </c>
      <c r="F53" s="418">
        <f>VLOOKUP('Physical Effects'!J57,Lookup!$B$4:$C$14,2,FALSE)</f>
        <v>0</v>
      </c>
      <c r="G53" s="418">
        <f>VLOOKUP('Physical Effects'!L57,Lookup!$B$4:$C$14,2,FALSE)</f>
        <v>0</v>
      </c>
      <c r="H53" s="418">
        <f>VLOOKUP('Physical Effects'!N57,Lookup!$B$4:$C$14,2,FALSE)</f>
        <v>0</v>
      </c>
      <c r="I53" s="418">
        <f>VLOOKUP('Physical Effects'!P57,Lookup!$B$4:$C$14,2,FALSE)</f>
        <v>0</v>
      </c>
      <c r="J53" s="418">
        <f>VLOOKUP('Physical Effects'!R57,Lookup!$B$4:$C$14,2,FALSE)</f>
        <v>0</v>
      </c>
      <c r="K53" s="418">
        <f>VLOOKUP('Physical Effects'!T57,Lookup!$B$4:$C$14,2,FALSE)</f>
        <v>0</v>
      </c>
      <c r="L53" s="418">
        <f>VLOOKUP('Physical Effects'!V57,Lookup!$B$4:$C$14,2,FALSE)</f>
        <v>0</v>
      </c>
      <c r="M53" s="418">
        <f>VLOOKUP('Physical Effects'!X57,Lookup!$B$4:$C$14,2,FALSE)</f>
        <v>0</v>
      </c>
      <c r="N53" s="418">
        <f>VLOOKUP('Physical Effects'!Z57,Lookup!$B$4:$C$14,2,FALSE)</f>
        <v>0</v>
      </c>
      <c r="O53" s="418">
        <f>VLOOKUP('Physical Effects'!AB57,Lookup!$B$4:$C$14,2,FALSE)</f>
        <v>0</v>
      </c>
      <c r="P53" s="418">
        <f>VLOOKUP('Physical Effects'!AD57,Lookup!$B$4:$C$14,2,FALSE)</f>
        <v>0</v>
      </c>
      <c r="Q53" s="418">
        <f>VLOOKUP('Physical Effects'!AF57,Lookup!$B$4:$C$14,2,FALSE)</f>
        <v>0</v>
      </c>
      <c r="R53" s="418">
        <f>VLOOKUP('Physical Effects'!AH57,Lookup!$B$4:$C$14,2,FALSE)</f>
        <v>0</v>
      </c>
      <c r="S53" s="418">
        <f>VLOOKUP('Physical Effects'!AJ57,Lookup!$B$4:$C$14,2,FALSE)</f>
        <v>0</v>
      </c>
      <c r="T53" s="418">
        <f>VLOOKUP('Physical Effects'!AL57,Lookup!$B$4:$C$14,2,FALSE)</f>
        <v>0</v>
      </c>
      <c r="U53" s="418">
        <f>VLOOKUP('Physical Effects'!AN57,Lookup!$B$4:$C$14,2,FALSE)</f>
        <v>0</v>
      </c>
      <c r="V53" s="418">
        <f>VLOOKUP('Physical Effects'!AP57,Lookup!$B$4:$C$14,2,FALSE)</f>
        <v>-2</v>
      </c>
      <c r="W53" s="418">
        <f>VLOOKUP('Physical Effects'!AR57,Lookup!$B$4:$C$14,2,FALSE)</f>
        <v>0</v>
      </c>
      <c r="X53" s="418">
        <f>VLOOKUP('Physical Effects'!AT57,Lookup!$B$4:$C$14,2,FALSE)</f>
        <v>0</v>
      </c>
      <c r="Y53" s="418">
        <f>VLOOKUP('Physical Effects'!AV57,Lookup!$B$4:$C$14,2,FALSE)</f>
        <v>0</v>
      </c>
      <c r="Z53" s="418">
        <f>VLOOKUP('Physical Effects'!AX57,Lookup!$B$4:$C$14,2,FALSE)</f>
        <v>0</v>
      </c>
      <c r="AA53" s="418">
        <f>VLOOKUP('Physical Effects'!AZ57,Lookup!$B$4:$C$14,2,FALSE)</f>
        <v>0</v>
      </c>
      <c r="AB53" s="418">
        <f>VLOOKUP('Physical Effects'!BB57,Lookup!$B$4:$C$14,2,FALSE)</f>
        <v>0</v>
      </c>
      <c r="AC53" s="418">
        <f>VLOOKUP('Physical Effects'!BD57,Lookup!$B$4:$C$14,2,FALSE)</f>
        <v>0</v>
      </c>
      <c r="AD53" s="418">
        <f>VLOOKUP('Physical Effects'!BF57,Lookup!$B$4:$C$14,2,FALSE)</f>
        <v>0</v>
      </c>
      <c r="AE53" s="418">
        <f>VLOOKUP('Physical Effects'!BH57,Lookup!$B$4:$C$14,2,FALSE)</f>
        <v>0</v>
      </c>
      <c r="AF53" s="418">
        <f>VLOOKUP('Physical Effects'!BJ57,Lookup!$B$4:$C$14,2,FALSE)</f>
        <v>0</v>
      </c>
      <c r="AG53" s="418">
        <f>VLOOKUP('Physical Effects'!BL57,Lookup!$B$4:$C$14,2,FALSE)</f>
        <v>0</v>
      </c>
      <c r="AH53" s="418">
        <f>VLOOKUP('Physical Effects'!BN57,Lookup!$B$4:$C$14,2,FALSE)</f>
        <v>0</v>
      </c>
      <c r="AI53" s="418">
        <f>VLOOKUP('Physical Effects'!BP57,Lookup!$B$4:$C$14,2,FALSE)</f>
        <v>4</v>
      </c>
      <c r="AJ53" s="418">
        <f>VLOOKUP('Physical Effects'!BR57,Lookup!$B$4:$C$14,2,FALSE)</f>
        <v>4</v>
      </c>
      <c r="AK53" s="418">
        <f>VLOOKUP('Physical Effects'!BT57,Lookup!$B$4:$C$14,2,FALSE)</f>
        <v>4</v>
      </c>
      <c r="AL53" s="418">
        <f>VLOOKUP('Physical Effects'!BV57,Lookup!$B$4:$C$14,2,FALSE)</f>
        <v>0</v>
      </c>
      <c r="AM53" s="418">
        <f>VLOOKUP('Physical Effects'!BX57,Lookup!$B$4:$C$14,2,FALSE)</f>
        <v>4</v>
      </c>
      <c r="AN53" s="418">
        <f>VLOOKUP('Physical Effects'!BZ57,Lookup!$B$4:$C$14,2,FALSE)</f>
        <v>4</v>
      </c>
      <c r="AO53" s="418">
        <f>VLOOKUP('Physical Effects'!CB57,Lookup!$B$4:$C$14,2,FALSE)</f>
        <v>2</v>
      </c>
      <c r="AP53" s="418">
        <f>VLOOKUP('Physical Effects'!CD57,Lookup!$B$4:$C$14,2,FALSE)</f>
        <v>4</v>
      </c>
      <c r="AQ53" s="418">
        <f>VLOOKUP('Physical Effects'!CF57,Lookup!$B$4:$C$14,2,FALSE)</f>
        <v>0</v>
      </c>
      <c r="AR53" s="418">
        <f>VLOOKUP('Physical Effects'!CH57,Lookup!$B$4:$C$14,2,FALSE)</f>
        <v>0</v>
      </c>
      <c r="AS53" s="418">
        <f>VLOOKUP('Physical Effects'!CJ57,Lookup!$B$4:$C$14,2,FALSE)</f>
        <v>0</v>
      </c>
      <c r="AT53" s="418">
        <f>VLOOKUP('Physical Effects'!CL57,Lookup!$B$4:$C$14,2,FALSE)</f>
        <v>0</v>
      </c>
      <c r="AU53" s="418">
        <f>VLOOKUP('Physical Effects'!CN57,Lookup!$B$4:$C$14,2,FALSE)</f>
        <v>0</v>
      </c>
      <c r="AV53" s="28"/>
      <c r="AW53" s="25"/>
      <c r="AX53" s="25"/>
      <c r="AY53" s="25"/>
      <c r="AZ53" s="25"/>
      <c r="BA53" s="25"/>
      <c r="BB53" s="25"/>
      <c r="BC53" s="25"/>
      <c r="BD53" s="25"/>
      <c r="BE53" s="25"/>
      <c r="BF53" s="25"/>
    </row>
    <row r="54" spans="1:58" s="5" customFormat="1" ht="13.5" thickBot="1" x14ac:dyDescent="0.25">
      <c r="A54" s="123">
        <f t="shared" si="0"/>
        <v>53</v>
      </c>
      <c r="B54" s="19" t="str">
        <f>+'Physical Effects'!B58</f>
        <v>Forage and Biomass Planting</v>
      </c>
      <c r="C54" s="32">
        <f>+'Physical Effects'!D58</f>
        <v>512</v>
      </c>
      <c r="D54" s="418">
        <f>VLOOKUP('Physical Effects'!F58,Lookup!$B$4:$C$14,2,FALSE)</f>
        <v>1</v>
      </c>
      <c r="E54" s="418">
        <f>VLOOKUP('Physical Effects'!H58,Lookup!$B$4:$C$14,2,FALSE)</f>
        <v>1</v>
      </c>
      <c r="F54" s="418">
        <f>VLOOKUP('Physical Effects'!J58,Lookup!$B$4:$C$14,2,FALSE)</f>
        <v>0</v>
      </c>
      <c r="G54" s="418">
        <f>VLOOKUP('Physical Effects'!L58,Lookup!$B$4:$C$14,2,FALSE)</f>
        <v>0</v>
      </c>
      <c r="H54" s="418">
        <f>VLOOKUP('Physical Effects'!N58,Lookup!$B$4:$C$14,2,FALSE)</f>
        <v>0</v>
      </c>
      <c r="I54" s="418">
        <f>VLOOKUP('Physical Effects'!P58,Lookup!$B$4:$C$14,2,FALSE)</f>
        <v>1</v>
      </c>
      <c r="J54" s="418">
        <f>VLOOKUP('Physical Effects'!R58,Lookup!$B$4:$C$14,2,FALSE)</f>
        <v>2</v>
      </c>
      <c r="K54" s="418">
        <f>VLOOKUP('Physical Effects'!T58,Lookup!$B$4:$C$14,2,FALSE)</f>
        <v>0</v>
      </c>
      <c r="L54" s="418">
        <f>VLOOKUP('Physical Effects'!V58,Lookup!$B$4:$C$14,2,FALSE)</f>
        <v>0</v>
      </c>
      <c r="M54" s="418">
        <f>VLOOKUP('Physical Effects'!X58,Lookup!$B$4:$C$14,2,FALSE)</f>
        <v>0</v>
      </c>
      <c r="N54" s="418">
        <f>VLOOKUP('Physical Effects'!Z58,Lookup!$B$4:$C$14,2,FALSE)</f>
        <v>1</v>
      </c>
      <c r="O54" s="418">
        <f>VLOOKUP('Physical Effects'!AB58,Lookup!$B$4:$C$14,2,FALSE)</f>
        <v>0</v>
      </c>
      <c r="P54" s="418">
        <f>VLOOKUP('Physical Effects'!AD58,Lookup!$B$4:$C$14,2,FALSE)</f>
        <v>0</v>
      </c>
      <c r="Q54" s="418">
        <f>VLOOKUP('Physical Effects'!AF58,Lookup!$B$4:$C$14,2,FALSE)</f>
        <v>0</v>
      </c>
      <c r="R54" s="418">
        <f>VLOOKUP('Physical Effects'!AH58,Lookup!$B$4:$C$14,2,FALSE)</f>
        <v>0</v>
      </c>
      <c r="S54" s="418">
        <f>VLOOKUP('Physical Effects'!AJ58,Lookup!$B$4:$C$14,2,FALSE)</f>
        <v>1</v>
      </c>
      <c r="T54" s="418">
        <f>VLOOKUP('Physical Effects'!AL58,Lookup!$B$4:$C$14,2,FALSE)</f>
        <v>0</v>
      </c>
      <c r="U54" s="418">
        <f>VLOOKUP('Physical Effects'!AN58,Lookup!$B$4:$C$14,2,FALSE)</f>
        <v>1</v>
      </c>
      <c r="V54" s="418">
        <f>VLOOKUP('Physical Effects'!AP58,Lookup!$B$4:$C$14,2,FALSE)</f>
        <v>0</v>
      </c>
      <c r="W54" s="418">
        <f>VLOOKUP('Physical Effects'!AR58,Lookup!$B$4:$C$14,2,FALSE)</f>
        <v>0</v>
      </c>
      <c r="X54" s="418">
        <f>VLOOKUP('Physical Effects'!AT58,Lookup!$B$4:$C$14,2,FALSE)</f>
        <v>0</v>
      </c>
      <c r="Y54" s="418">
        <f>VLOOKUP('Physical Effects'!AV58,Lookup!$B$4:$C$14,2,FALSE)</f>
        <v>1</v>
      </c>
      <c r="Z54" s="418">
        <f>VLOOKUP('Physical Effects'!AX58,Lookup!$B$4:$C$14,2,FALSE)</f>
        <v>0</v>
      </c>
      <c r="AA54" s="418">
        <f>VLOOKUP('Physical Effects'!AZ58,Lookup!$B$4:$C$14,2,FALSE)</f>
        <v>1</v>
      </c>
      <c r="AB54" s="418">
        <f>VLOOKUP('Physical Effects'!BB58,Lookup!$B$4:$C$14,2,FALSE)</f>
        <v>0</v>
      </c>
      <c r="AC54" s="418">
        <f>VLOOKUP('Physical Effects'!BD58,Lookup!$B$4:$C$14,2,FALSE)</f>
        <v>1</v>
      </c>
      <c r="AD54" s="418">
        <f>VLOOKUP('Physical Effects'!BF58,Lookup!$B$4:$C$14,2,FALSE)</f>
        <v>0</v>
      </c>
      <c r="AE54" s="418">
        <f>VLOOKUP('Physical Effects'!BH58,Lookup!$B$4:$C$14,2,FALSE)</f>
        <v>1</v>
      </c>
      <c r="AF54" s="418">
        <f>VLOOKUP('Physical Effects'!BJ58,Lookup!$B$4:$C$14,2,FALSE)</f>
        <v>0</v>
      </c>
      <c r="AG54" s="418">
        <f>VLOOKUP('Physical Effects'!BL58,Lookup!$B$4:$C$14,2,FALSE)</f>
        <v>4</v>
      </c>
      <c r="AH54" s="418">
        <f>VLOOKUP('Physical Effects'!BN58,Lookup!$B$4:$C$14,2,FALSE)</f>
        <v>0</v>
      </c>
      <c r="AI54" s="418">
        <f>VLOOKUP('Physical Effects'!BP58,Lookup!$B$4:$C$14,2,FALSE)</f>
        <v>1</v>
      </c>
      <c r="AJ54" s="418">
        <f>VLOOKUP('Physical Effects'!BR58,Lookup!$B$4:$C$14,2,FALSE)</f>
        <v>1</v>
      </c>
      <c r="AK54" s="418">
        <f>VLOOKUP('Physical Effects'!BT58,Lookup!$B$4:$C$14,2,FALSE)</f>
        <v>0</v>
      </c>
      <c r="AL54" s="418">
        <f>VLOOKUP('Physical Effects'!BV58,Lookup!$B$4:$C$14,2,FALSE)</f>
        <v>0</v>
      </c>
      <c r="AM54" s="418">
        <f>VLOOKUP('Physical Effects'!BX58,Lookup!$B$4:$C$14,2,FALSE)</f>
        <v>1</v>
      </c>
      <c r="AN54" s="418">
        <f>VLOOKUP('Physical Effects'!BZ58,Lookup!$B$4:$C$14,2,FALSE)</f>
        <v>1</v>
      </c>
      <c r="AO54" s="418">
        <f>VLOOKUP('Physical Effects'!CB58,Lookup!$B$4:$C$14,2,FALSE)</f>
        <v>0</v>
      </c>
      <c r="AP54" s="418">
        <f>VLOOKUP('Physical Effects'!CD58,Lookup!$B$4:$C$14,2,FALSE)</f>
        <v>0</v>
      </c>
      <c r="AQ54" s="418">
        <f>VLOOKUP('Physical Effects'!CF58,Lookup!$B$4:$C$14,2,FALSE)</f>
        <v>5</v>
      </c>
      <c r="AR54" s="418">
        <f>VLOOKUP('Physical Effects'!CH58,Lookup!$B$4:$C$14,2,FALSE)</f>
        <v>0</v>
      </c>
      <c r="AS54" s="418">
        <f>VLOOKUP('Physical Effects'!CJ58,Lookup!$B$4:$C$14,2,FALSE)</f>
        <v>0</v>
      </c>
      <c r="AT54" s="418">
        <f>VLOOKUP('Physical Effects'!CL58,Lookup!$B$4:$C$14,2,FALSE)</f>
        <v>0</v>
      </c>
      <c r="AU54" s="418">
        <f>VLOOKUP('Physical Effects'!CN58,Lookup!$B$4:$C$14,2,FALSE)</f>
        <v>0</v>
      </c>
      <c r="AV54" s="28"/>
      <c r="AW54" s="23"/>
      <c r="AX54" s="23"/>
      <c r="AY54" s="23"/>
      <c r="AZ54" s="23"/>
      <c r="BA54" s="23"/>
      <c r="BB54" s="23"/>
      <c r="BC54" s="23"/>
      <c r="BD54" s="23"/>
      <c r="BE54" s="23"/>
      <c r="BF54" s="23"/>
    </row>
    <row r="55" spans="1:58" s="5" customFormat="1" ht="13.5" thickBot="1" x14ac:dyDescent="0.25">
      <c r="A55" s="123">
        <f t="shared" si="0"/>
        <v>54</v>
      </c>
      <c r="B55" s="19" t="str">
        <f>+'Physical Effects'!B59</f>
        <v>Forage Harvest Management</v>
      </c>
      <c r="C55" s="32">
        <f>+'Physical Effects'!D59</f>
        <v>511</v>
      </c>
      <c r="D55" s="418">
        <f>VLOOKUP('Physical Effects'!F59,Lookup!$B$4:$C$14,2,FALSE)</f>
        <v>1</v>
      </c>
      <c r="E55" s="418">
        <f>VLOOKUP('Physical Effects'!H59,Lookup!$B$4:$C$14,2,FALSE)</f>
        <v>1</v>
      </c>
      <c r="F55" s="418">
        <f>VLOOKUP('Physical Effects'!J59,Lookup!$B$4:$C$14,2,FALSE)</f>
        <v>0</v>
      </c>
      <c r="G55" s="418">
        <f>VLOOKUP('Physical Effects'!L59,Lookup!$B$4:$C$14,2,FALSE)</f>
        <v>0</v>
      </c>
      <c r="H55" s="418">
        <f>VLOOKUP('Physical Effects'!N59,Lookup!$B$4:$C$14,2,FALSE)</f>
        <v>0</v>
      </c>
      <c r="I55" s="418">
        <f>VLOOKUP('Physical Effects'!P59,Lookup!$B$4:$C$14,2,FALSE)</f>
        <v>1</v>
      </c>
      <c r="J55" s="418">
        <f>VLOOKUP('Physical Effects'!R59,Lookup!$B$4:$C$14,2,FALSE)</f>
        <v>3</v>
      </c>
      <c r="K55" s="418">
        <f>VLOOKUP('Physical Effects'!T59,Lookup!$B$4:$C$14,2,FALSE)</f>
        <v>0</v>
      </c>
      <c r="L55" s="418">
        <f>VLOOKUP('Physical Effects'!V59,Lookup!$B$4:$C$14,2,FALSE)</f>
        <v>0</v>
      </c>
      <c r="M55" s="418">
        <f>VLOOKUP('Physical Effects'!X59,Lookup!$B$4:$C$14,2,FALSE)</f>
        <v>0</v>
      </c>
      <c r="N55" s="418">
        <f>VLOOKUP('Physical Effects'!Z59,Lookup!$B$4:$C$14,2,FALSE)</f>
        <v>0</v>
      </c>
      <c r="O55" s="418">
        <f>VLOOKUP('Physical Effects'!AB59,Lookup!$B$4:$C$14,2,FALSE)</f>
        <v>0</v>
      </c>
      <c r="P55" s="418">
        <f>VLOOKUP('Physical Effects'!AD59,Lookup!$B$4:$C$14,2,FALSE)</f>
        <v>0</v>
      </c>
      <c r="Q55" s="418">
        <f>VLOOKUP('Physical Effects'!AF59,Lookup!$B$4:$C$14,2,FALSE)</f>
        <v>1</v>
      </c>
      <c r="R55" s="418">
        <f>VLOOKUP('Physical Effects'!AH59,Lookup!$B$4:$C$14,2,FALSE)</f>
        <v>1</v>
      </c>
      <c r="S55" s="418">
        <f>VLOOKUP('Physical Effects'!AJ59,Lookup!$B$4:$C$14,2,FALSE)</f>
        <v>2</v>
      </c>
      <c r="T55" s="418">
        <f>VLOOKUP('Physical Effects'!AL59,Lookup!$B$4:$C$14,2,FALSE)</f>
        <v>0</v>
      </c>
      <c r="U55" s="418">
        <f>VLOOKUP('Physical Effects'!AN59,Lookup!$B$4:$C$14,2,FALSE)</f>
        <v>1</v>
      </c>
      <c r="V55" s="418">
        <f>VLOOKUP('Physical Effects'!AP59,Lookup!$B$4:$C$14,2,FALSE)</f>
        <v>0</v>
      </c>
      <c r="W55" s="418">
        <f>VLOOKUP('Physical Effects'!AR59,Lookup!$B$4:$C$14,2,FALSE)</f>
        <v>0</v>
      </c>
      <c r="X55" s="418">
        <f>VLOOKUP('Physical Effects'!AT59,Lookup!$B$4:$C$14,2,FALSE)</f>
        <v>0</v>
      </c>
      <c r="Y55" s="418">
        <f>VLOOKUP('Physical Effects'!AV59,Lookup!$B$4:$C$14,2,FALSE)</f>
        <v>1</v>
      </c>
      <c r="Z55" s="418">
        <f>VLOOKUP('Physical Effects'!AX59,Lookup!$B$4:$C$14,2,FALSE)</f>
        <v>0</v>
      </c>
      <c r="AA55" s="418">
        <f>VLOOKUP('Physical Effects'!AZ59,Lookup!$B$4:$C$14,2,FALSE)</f>
        <v>0</v>
      </c>
      <c r="AB55" s="418">
        <f>VLOOKUP('Physical Effects'!BB59,Lookup!$B$4:$C$14,2,FALSE)</f>
        <v>0</v>
      </c>
      <c r="AC55" s="418">
        <f>VLOOKUP('Physical Effects'!BD59,Lookup!$B$4:$C$14,2,FALSE)</f>
        <v>1</v>
      </c>
      <c r="AD55" s="418">
        <f>VLOOKUP('Physical Effects'!BF59,Lookup!$B$4:$C$14,2,FALSE)</f>
        <v>0</v>
      </c>
      <c r="AE55" s="418">
        <f>VLOOKUP('Physical Effects'!BH59,Lookup!$B$4:$C$14,2,FALSE)</f>
        <v>0</v>
      </c>
      <c r="AF55" s="418">
        <f>VLOOKUP('Physical Effects'!BJ59,Lookup!$B$4:$C$14,2,FALSE)</f>
        <v>0</v>
      </c>
      <c r="AG55" s="418">
        <f>VLOOKUP('Physical Effects'!BL59,Lookup!$B$4:$C$14,2,FALSE)</f>
        <v>0</v>
      </c>
      <c r="AH55" s="418">
        <f>VLOOKUP('Physical Effects'!BN59,Lookup!$B$4:$C$14,2,FALSE)</f>
        <v>0</v>
      </c>
      <c r="AI55" s="418">
        <f>VLOOKUP('Physical Effects'!BP59,Lookup!$B$4:$C$14,2,FALSE)</f>
        <v>1</v>
      </c>
      <c r="AJ55" s="418">
        <f>VLOOKUP('Physical Effects'!BR59,Lookup!$B$4:$C$14,2,FALSE)</f>
        <v>1</v>
      </c>
      <c r="AK55" s="418">
        <f>VLOOKUP('Physical Effects'!BT59,Lookup!$B$4:$C$14,2,FALSE)</f>
        <v>0</v>
      </c>
      <c r="AL55" s="418">
        <f>VLOOKUP('Physical Effects'!BV59,Lookup!$B$4:$C$14,2,FALSE)</f>
        <v>0</v>
      </c>
      <c r="AM55" s="418">
        <f>VLOOKUP('Physical Effects'!BX59,Lookup!$B$4:$C$14,2,FALSE)</f>
        <v>1</v>
      </c>
      <c r="AN55" s="418">
        <f>VLOOKUP('Physical Effects'!BZ59,Lookup!$B$4:$C$14,2,FALSE)</f>
        <v>1</v>
      </c>
      <c r="AO55" s="418">
        <f>VLOOKUP('Physical Effects'!CB59,Lookup!$B$4:$C$14,2,FALSE)</f>
        <v>0</v>
      </c>
      <c r="AP55" s="418">
        <f>VLOOKUP('Physical Effects'!CD59,Lookup!$B$4:$C$14,2,FALSE)</f>
        <v>0</v>
      </c>
      <c r="AQ55" s="418">
        <f>VLOOKUP('Physical Effects'!CF59,Lookup!$B$4:$C$14,2,FALSE)</f>
        <v>2</v>
      </c>
      <c r="AR55" s="418">
        <f>VLOOKUP('Physical Effects'!CH59,Lookup!$B$4:$C$14,2,FALSE)</f>
        <v>0</v>
      </c>
      <c r="AS55" s="418">
        <f>VLOOKUP('Physical Effects'!CJ59,Lookup!$B$4:$C$14,2,FALSE)</f>
        <v>0</v>
      </c>
      <c r="AT55" s="418">
        <f>VLOOKUP('Physical Effects'!CL59,Lookup!$B$4:$C$14,2,FALSE)</f>
        <v>0</v>
      </c>
      <c r="AU55" s="418">
        <f>VLOOKUP('Physical Effects'!CN59,Lookup!$B$4:$C$14,2,FALSE)</f>
        <v>0</v>
      </c>
      <c r="AV55" s="28"/>
      <c r="AW55" s="23"/>
      <c r="AX55" s="23"/>
      <c r="AY55" s="23"/>
      <c r="AZ55" s="23"/>
      <c r="BA55" s="23"/>
      <c r="BB55" s="23"/>
      <c r="BC55" s="23"/>
      <c r="BD55" s="23"/>
      <c r="BE55" s="23"/>
      <c r="BF55" s="23"/>
    </row>
    <row r="56" spans="1:58" s="15" customFormat="1" ht="13.5" thickBot="1" x14ac:dyDescent="0.25">
      <c r="A56" s="123">
        <f t="shared" si="0"/>
        <v>55</v>
      </c>
      <c r="B56" s="19" t="str">
        <f>+'Physical Effects'!B60</f>
        <v>Forest Stand Improvement</v>
      </c>
      <c r="C56" s="32">
        <f>+'Physical Effects'!D60</f>
        <v>666</v>
      </c>
      <c r="D56" s="418">
        <f>VLOOKUP('Physical Effects'!F60,Lookup!$B$4:$C$14,2,FALSE)</f>
        <v>1</v>
      </c>
      <c r="E56" s="418">
        <f>VLOOKUP('Physical Effects'!H60,Lookup!$B$4:$C$14,2,FALSE)</f>
        <v>0</v>
      </c>
      <c r="F56" s="418">
        <f>VLOOKUP('Physical Effects'!J60,Lookup!$B$4:$C$14,2,FALSE)</f>
        <v>1</v>
      </c>
      <c r="G56" s="418">
        <f>VLOOKUP('Physical Effects'!L60,Lookup!$B$4:$C$14,2,FALSE)</f>
        <v>1</v>
      </c>
      <c r="H56" s="418">
        <f>VLOOKUP('Physical Effects'!N60,Lookup!$B$4:$C$14,2,FALSE)</f>
        <v>0</v>
      </c>
      <c r="I56" s="418">
        <f>VLOOKUP('Physical Effects'!P60,Lookup!$B$4:$C$14,2,FALSE)</f>
        <v>1</v>
      </c>
      <c r="J56" s="418">
        <f>VLOOKUP('Physical Effects'!R60,Lookup!$B$4:$C$14,2,FALSE)</f>
        <v>-1</v>
      </c>
      <c r="K56" s="418">
        <f>VLOOKUP('Physical Effects'!T60,Lookup!$B$4:$C$14,2,FALSE)</f>
        <v>0</v>
      </c>
      <c r="L56" s="418">
        <f>VLOOKUP('Physical Effects'!V60,Lookup!$B$4:$C$14,2,FALSE)</f>
        <v>0</v>
      </c>
      <c r="M56" s="418">
        <f>VLOOKUP('Physical Effects'!X60,Lookup!$B$4:$C$14,2,FALSE)</f>
        <v>0</v>
      </c>
      <c r="N56" s="418">
        <f>VLOOKUP('Physical Effects'!Z60,Lookup!$B$4:$C$14,2,FALSE)</f>
        <v>0</v>
      </c>
      <c r="O56" s="418">
        <f>VLOOKUP('Physical Effects'!AB60,Lookup!$B$4:$C$14,2,FALSE)</f>
        <v>0</v>
      </c>
      <c r="P56" s="418">
        <f>VLOOKUP('Physical Effects'!AD60,Lookup!$B$4:$C$14,2,FALSE)</f>
        <v>0</v>
      </c>
      <c r="Q56" s="418">
        <f>VLOOKUP('Physical Effects'!AF60,Lookup!$B$4:$C$14,2,FALSE)</f>
        <v>0</v>
      </c>
      <c r="R56" s="418">
        <f>VLOOKUP('Physical Effects'!AH60,Lookup!$B$4:$C$14,2,FALSE)</f>
        <v>3</v>
      </c>
      <c r="S56" s="418">
        <f>VLOOKUP('Physical Effects'!AJ60,Lookup!$B$4:$C$14,2,FALSE)</f>
        <v>0</v>
      </c>
      <c r="T56" s="418">
        <f>VLOOKUP('Physical Effects'!AL60,Lookup!$B$4:$C$14,2,FALSE)</f>
        <v>0</v>
      </c>
      <c r="U56" s="418">
        <f>VLOOKUP('Physical Effects'!AN60,Lookup!$B$4:$C$14,2,FALSE)</f>
        <v>1</v>
      </c>
      <c r="V56" s="418">
        <f>VLOOKUP('Physical Effects'!AP60,Lookup!$B$4:$C$14,2,FALSE)</f>
        <v>2</v>
      </c>
      <c r="W56" s="418">
        <f>VLOOKUP('Physical Effects'!AR60,Lookup!$B$4:$C$14,2,FALSE)</f>
        <v>1</v>
      </c>
      <c r="X56" s="418">
        <f>VLOOKUP('Physical Effects'!AT60,Lookup!$B$4:$C$14,2,FALSE)</f>
        <v>0</v>
      </c>
      <c r="Y56" s="418">
        <f>VLOOKUP('Physical Effects'!AV60,Lookup!$B$4:$C$14,2,FALSE)</f>
        <v>1</v>
      </c>
      <c r="Z56" s="418">
        <f>VLOOKUP('Physical Effects'!AX60,Lookup!$B$4:$C$14,2,FALSE)</f>
        <v>1</v>
      </c>
      <c r="AA56" s="418">
        <f>VLOOKUP('Physical Effects'!AZ60,Lookup!$B$4:$C$14,2,FALSE)</f>
        <v>0</v>
      </c>
      <c r="AB56" s="418">
        <f>VLOOKUP('Physical Effects'!BB60,Lookup!$B$4:$C$14,2,FALSE)</f>
        <v>1</v>
      </c>
      <c r="AC56" s="418">
        <f>VLOOKUP('Physical Effects'!BD60,Lookup!$B$4:$C$14,2,FALSE)</f>
        <v>1</v>
      </c>
      <c r="AD56" s="418">
        <f>VLOOKUP('Physical Effects'!BF60,Lookup!$B$4:$C$14,2,FALSE)</f>
        <v>1</v>
      </c>
      <c r="AE56" s="418">
        <f>VLOOKUP('Physical Effects'!BH60,Lookup!$B$4:$C$14,2,FALSE)</f>
        <v>1</v>
      </c>
      <c r="AF56" s="418">
        <f>VLOOKUP('Physical Effects'!BJ60,Lookup!$B$4:$C$14,2,FALSE)</f>
        <v>1</v>
      </c>
      <c r="AG56" s="418">
        <f>VLOOKUP('Physical Effects'!BL60,Lookup!$B$4:$C$14,2,FALSE)</f>
        <v>2</v>
      </c>
      <c r="AH56" s="418">
        <f>VLOOKUP('Physical Effects'!BN60,Lookup!$B$4:$C$14,2,FALSE)</f>
        <v>0</v>
      </c>
      <c r="AI56" s="418">
        <f>VLOOKUP('Physical Effects'!BP60,Lookup!$B$4:$C$14,2,FALSE)</f>
        <v>5</v>
      </c>
      <c r="AJ56" s="418">
        <f>VLOOKUP('Physical Effects'!BR60,Lookup!$B$4:$C$14,2,FALSE)</f>
        <v>5</v>
      </c>
      <c r="AK56" s="418">
        <f>VLOOKUP('Physical Effects'!BT60,Lookup!$B$4:$C$14,2,FALSE)</f>
        <v>3</v>
      </c>
      <c r="AL56" s="418">
        <f>VLOOKUP('Physical Effects'!BV60,Lookup!$B$4:$C$14,2,FALSE)</f>
        <v>5</v>
      </c>
      <c r="AM56" s="418">
        <f>VLOOKUP('Physical Effects'!BX60,Lookup!$B$4:$C$14,2,FALSE)</f>
        <v>3</v>
      </c>
      <c r="AN56" s="418">
        <f>VLOOKUP('Physical Effects'!BZ60,Lookup!$B$4:$C$14,2,FALSE)</f>
        <v>1</v>
      </c>
      <c r="AO56" s="418">
        <f>VLOOKUP('Physical Effects'!CB60,Lookup!$B$4:$C$14,2,FALSE)</f>
        <v>0</v>
      </c>
      <c r="AP56" s="418">
        <f>VLOOKUP('Physical Effects'!CD60,Lookup!$B$4:$C$14,2,FALSE)</f>
        <v>3</v>
      </c>
      <c r="AQ56" s="418">
        <f>VLOOKUP('Physical Effects'!CF60,Lookup!$B$4:$C$14,2,FALSE)</f>
        <v>2</v>
      </c>
      <c r="AR56" s="418">
        <f>VLOOKUP('Physical Effects'!CH60,Lookup!$B$4:$C$14,2,FALSE)</f>
        <v>0</v>
      </c>
      <c r="AS56" s="418">
        <f>VLOOKUP('Physical Effects'!CJ60,Lookup!$B$4:$C$14,2,FALSE)</f>
        <v>0</v>
      </c>
      <c r="AT56" s="418">
        <f>VLOOKUP('Physical Effects'!CL60,Lookup!$B$4:$C$14,2,FALSE)</f>
        <v>1</v>
      </c>
      <c r="AU56" s="418">
        <f>VLOOKUP('Physical Effects'!CN60,Lookup!$B$4:$C$14,2,FALSE)</f>
        <v>1</v>
      </c>
      <c r="AV56" s="28"/>
      <c r="AW56" s="25"/>
      <c r="AX56" s="25"/>
      <c r="AY56" s="25"/>
      <c r="AZ56" s="25"/>
      <c r="BA56" s="25"/>
      <c r="BB56" s="25"/>
      <c r="BC56" s="25"/>
      <c r="BD56" s="25"/>
      <c r="BE56" s="25"/>
      <c r="BF56" s="25"/>
    </row>
    <row r="57" spans="1:58" s="5" customFormat="1" ht="13.5" thickBot="1" x14ac:dyDescent="0.25">
      <c r="A57" s="123">
        <f t="shared" si="0"/>
        <v>56</v>
      </c>
      <c r="B57" s="19" t="str">
        <f>+'Physical Effects'!B61</f>
        <v>Forest Trails and Landings</v>
      </c>
      <c r="C57" s="32">
        <f>+'Physical Effects'!D61</f>
        <v>655</v>
      </c>
      <c r="D57" s="418">
        <f>VLOOKUP('Physical Effects'!F61,Lookup!$B$4:$C$14,2,FALSE)</f>
        <v>-1</v>
      </c>
      <c r="E57" s="418">
        <f>VLOOKUP('Physical Effects'!H61,Lookup!$B$4:$C$14,2,FALSE)</f>
        <v>0</v>
      </c>
      <c r="F57" s="418">
        <f>VLOOKUP('Physical Effects'!J61,Lookup!$B$4:$C$14,2,FALSE)</f>
        <v>-1</v>
      </c>
      <c r="G57" s="418">
        <f>VLOOKUP('Physical Effects'!L61,Lookup!$B$4:$C$14,2,FALSE)</f>
        <v>-1</v>
      </c>
      <c r="H57" s="418">
        <f>VLOOKUP('Physical Effects'!N61,Lookup!$B$4:$C$14,2,FALSE)</f>
        <v>0</v>
      </c>
      <c r="I57" s="418">
        <f>VLOOKUP('Physical Effects'!P61,Lookup!$B$4:$C$14,2,FALSE)</f>
        <v>-1</v>
      </c>
      <c r="J57" s="418">
        <f>VLOOKUP('Physical Effects'!R61,Lookup!$B$4:$C$14,2,FALSE)</f>
        <v>1</v>
      </c>
      <c r="K57" s="418">
        <f>VLOOKUP('Physical Effects'!T61,Lookup!$B$4:$C$14,2,FALSE)</f>
        <v>0</v>
      </c>
      <c r="L57" s="418">
        <f>VLOOKUP('Physical Effects'!V61,Lookup!$B$4:$C$14,2,FALSE)</f>
        <v>0</v>
      </c>
      <c r="M57" s="418">
        <f>VLOOKUP('Physical Effects'!X61,Lookup!$B$4:$C$14,2,FALSE)</f>
        <v>0</v>
      </c>
      <c r="N57" s="418">
        <f>VLOOKUP('Physical Effects'!Z61,Lookup!$B$4:$C$14,2,FALSE)</f>
        <v>0</v>
      </c>
      <c r="O57" s="418">
        <f>VLOOKUP('Physical Effects'!AB61,Lookup!$B$4:$C$14,2,FALSE)</f>
        <v>0</v>
      </c>
      <c r="P57" s="418">
        <f>VLOOKUP('Physical Effects'!AD61,Lookup!$B$4:$C$14,2,FALSE)</f>
        <v>0</v>
      </c>
      <c r="Q57" s="418">
        <f>VLOOKUP('Physical Effects'!AF61,Lookup!$B$4:$C$14,2,FALSE)</f>
        <v>0</v>
      </c>
      <c r="R57" s="418">
        <f>VLOOKUP('Physical Effects'!AH61,Lookup!$B$4:$C$14,2,FALSE)</f>
        <v>0</v>
      </c>
      <c r="S57" s="418">
        <f>VLOOKUP('Physical Effects'!AJ61,Lookup!$B$4:$C$14,2,FALSE)</f>
        <v>0</v>
      </c>
      <c r="T57" s="418">
        <f>VLOOKUP('Physical Effects'!AL61,Lookup!$B$4:$C$14,2,FALSE)</f>
        <v>0</v>
      </c>
      <c r="U57" s="418">
        <f>VLOOKUP('Physical Effects'!AN61,Lookup!$B$4:$C$14,2,FALSE)</f>
        <v>1</v>
      </c>
      <c r="V57" s="418">
        <f>VLOOKUP('Physical Effects'!AP61,Lookup!$B$4:$C$14,2,FALSE)</f>
        <v>0</v>
      </c>
      <c r="W57" s="418">
        <f>VLOOKUP('Physical Effects'!AR61,Lookup!$B$4:$C$14,2,FALSE)</f>
        <v>0</v>
      </c>
      <c r="X57" s="418">
        <f>VLOOKUP('Physical Effects'!AT61,Lookup!$B$4:$C$14,2,FALSE)</f>
        <v>0</v>
      </c>
      <c r="Y57" s="418">
        <f>VLOOKUP('Physical Effects'!AV61,Lookup!$B$4:$C$14,2,FALSE)</f>
        <v>0</v>
      </c>
      <c r="Z57" s="418">
        <f>VLOOKUP('Physical Effects'!AX61,Lookup!$B$4:$C$14,2,FALSE)</f>
        <v>0</v>
      </c>
      <c r="AA57" s="418">
        <f>VLOOKUP('Physical Effects'!AZ61,Lookup!$B$4:$C$14,2,FALSE)</f>
        <v>0</v>
      </c>
      <c r="AB57" s="418">
        <f>VLOOKUP('Physical Effects'!BB61,Lookup!$B$4:$C$14,2,FALSE)</f>
        <v>0</v>
      </c>
      <c r="AC57" s="418">
        <f>VLOOKUP('Physical Effects'!BD61,Lookup!$B$4:$C$14,2,FALSE)</f>
        <v>0</v>
      </c>
      <c r="AD57" s="418">
        <f>VLOOKUP('Physical Effects'!BF61,Lookup!$B$4:$C$14,2,FALSE)</f>
        <v>0</v>
      </c>
      <c r="AE57" s="418">
        <f>VLOOKUP('Physical Effects'!BH61,Lookup!$B$4:$C$14,2,FALSE)</f>
        <v>0</v>
      </c>
      <c r="AF57" s="418">
        <f>VLOOKUP('Physical Effects'!BJ61,Lookup!$B$4:$C$14,2,FALSE)</f>
        <v>0</v>
      </c>
      <c r="AG57" s="418">
        <f>VLOOKUP('Physical Effects'!BL61,Lookup!$B$4:$C$14,2,FALSE)</f>
        <v>0</v>
      </c>
      <c r="AH57" s="418">
        <f>VLOOKUP('Physical Effects'!BN61,Lookup!$B$4:$C$14,2,FALSE)</f>
        <v>0</v>
      </c>
      <c r="AI57" s="418">
        <f>VLOOKUP('Physical Effects'!BP61,Lookup!$B$4:$C$14,2,FALSE)</f>
        <v>1</v>
      </c>
      <c r="AJ57" s="418">
        <f>VLOOKUP('Physical Effects'!BR61,Lookup!$B$4:$C$14,2,FALSE)</f>
        <v>0</v>
      </c>
      <c r="AK57" s="418">
        <f>VLOOKUP('Physical Effects'!BT61,Lookup!$B$4:$C$14,2,FALSE)</f>
        <v>1</v>
      </c>
      <c r="AL57" s="418">
        <f>VLOOKUP('Physical Effects'!BV61,Lookup!$B$4:$C$14,2,FALSE)</f>
        <v>3</v>
      </c>
      <c r="AM57" s="418">
        <f>VLOOKUP('Physical Effects'!BX61,Lookup!$B$4:$C$14,2,FALSE)</f>
        <v>1</v>
      </c>
      <c r="AN57" s="418">
        <f>VLOOKUP('Physical Effects'!BZ61,Lookup!$B$4:$C$14,2,FALSE)</f>
        <v>1</v>
      </c>
      <c r="AO57" s="418">
        <f>VLOOKUP('Physical Effects'!CB61,Lookup!$B$4:$C$14,2,FALSE)</f>
        <v>0</v>
      </c>
      <c r="AP57" s="418">
        <f>VLOOKUP('Physical Effects'!CD61,Lookup!$B$4:$C$14,2,FALSE)</f>
        <v>-1</v>
      </c>
      <c r="AQ57" s="418">
        <f>VLOOKUP('Physical Effects'!CF61,Lookup!$B$4:$C$14,2,FALSE)</f>
        <v>1</v>
      </c>
      <c r="AR57" s="418">
        <f>VLOOKUP('Physical Effects'!CH61,Lookup!$B$4:$C$14,2,FALSE)</f>
        <v>0</v>
      </c>
      <c r="AS57" s="418">
        <f>VLOOKUP('Physical Effects'!CJ61,Lookup!$B$4:$C$14,2,FALSE)</f>
        <v>0</v>
      </c>
      <c r="AT57" s="418">
        <f>VLOOKUP('Physical Effects'!CL61,Lookup!$B$4:$C$14,2,FALSE)</f>
        <v>0</v>
      </c>
      <c r="AU57" s="418">
        <f>VLOOKUP('Physical Effects'!CN61,Lookup!$B$4:$C$14,2,FALSE)</f>
        <v>1</v>
      </c>
      <c r="AV57" s="28"/>
      <c r="AW57" s="23"/>
      <c r="AX57" s="23"/>
      <c r="AY57" s="23"/>
      <c r="AZ57" s="23"/>
      <c r="BA57" s="23"/>
      <c r="BB57" s="23"/>
      <c r="BC57" s="23"/>
      <c r="BD57" s="23"/>
      <c r="BE57" s="23"/>
      <c r="BF57" s="23"/>
    </row>
    <row r="58" spans="1:58" s="5" customFormat="1" ht="13.5" thickBot="1" x14ac:dyDescent="0.25">
      <c r="A58" s="123">
        <f t="shared" si="0"/>
        <v>57</v>
      </c>
      <c r="B58" s="19" t="str">
        <f>+'Physical Effects'!B62</f>
        <v>Fuel Break</v>
      </c>
      <c r="C58" s="32">
        <f>+'Physical Effects'!D62</f>
        <v>383</v>
      </c>
      <c r="D58" s="418">
        <f>VLOOKUP('Physical Effects'!F62,Lookup!$B$4:$C$14,2,FALSE)</f>
        <v>-1</v>
      </c>
      <c r="E58" s="418">
        <f>VLOOKUP('Physical Effects'!H62,Lookup!$B$4:$C$14,2,FALSE)</f>
        <v>-1</v>
      </c>
      <c r="F58" s="418">
        <f>VLOOKUP('Physical Effects'!J62,Lookup!$B$4:$C$14,2,FALSE)</f>
        <v>-1</v>
      </c>
      <c r="G58" s="418">
        <f>VLOOKUP('Physical Effects'!L62,Lookup!$B$4:$C$14,2,FALSE)</f>
        <v>-1</v>
      </c>
      <c r="H58" s="418">
        <f>VLOOKUP('Physical Effects'!N62,Lookup!$B$4:$C$14,2,FALSE)</f>
        <v>0</v>
      </c>
      <c r="I58" s="418">
        <f>VLOOKUP('Physical Effects'!P62,Lookup!$B$4:$C$14,2,FALSE)</f>
        <v>-3</v>
      </c>
      <c r="J58" s="418">
        <f>VLOOKUP('Physical Effects'!R62,Lookup!$B$4:$C$14,2,FALSE)</f>
        <v>-1</v>
      </c>
      <c r="K58" s="418">
        <f>VLOOKUP('Physical Effects'!T62,Lookup!$B$4:$C$14,2,FALSE)</f>
        <v>0</v>
      </c>
      <c r="L58" s="418">
        <f>VLOOKUP('Physical Effects'!V62,Lookup!$B$4:$C$14,2,FALSE)</f>
        <v>0</v>
      </c>
      <c r="M58" s="418">
        <f>VLOOKUP('Physical Effects'!X62,Lookup!$B$4:$C$14,2,FALSE)</f>
        <v>0</v>
      </c>
      <c r="N58" s="418">
        <f>VLOOKUP('Physical Effects'!Z62,Lookup!$B$4:$C$14,2,FALSE)</f>
        <v>0</v>
      </c>
      <c r="O58" s="418">
        <f>VLOOKUP('Physical Effects'!AB62,Lookup!$B$4:$C$14,2,FALSE)</f>
        <v>-1</v>
      </c>
      <c r="P58" s="418">
        <f>VLOOKUP('Physical Effects'!AD62,Lookup!$B$4:$C$14,2,FALSE)</f>
        <v>0</v>
      </c>
      <c r="Q58" s="418">
        <f>VLOOKUP('Physical Effects'!AF62,Lookup!$B$4:$C$14,2,FALSE)</f>
        <v>0</v>
      </c>
      <c r="R58" s="418">
        <f>VLOOKUP('Physical Effects'!AH62,Lookup!$B$4:$C$14,2,FALSE)</f>
        <v>0</v>
      </c>
      <c r="S58" s="418">
        <f>VLOOKUP('Physical Effects'!AJ62,Lookup!$B$4:$C$14,2,FALSE)</f>
        <v>-1</v>
      </c>
      <c r="T58" s="418">
        <f>VLOOKUP('Physical Effects'!AL62,Lookup!$B$4:$C$14,2,FALSE)</f>
        <v>-1</v>
      </c>
      <c r="U58" s="418">
        <f>VLOOKUP('Physical Effects'!AN62,Lookup!$B$4:$C$14,2,FALSE)</f>
        <v>0</v>
      </c>
      <c r="V58" s="418">
        <f>VLOOKUP('Physical Effects'!AP62,Lookup!$B$4:$C$14,2,FALSE)</f>
        <v>0</v>
      </c>
      <c r="W58" s="418">
        <f>VLOOKUP('Physical Effects'!AR62,Lookup!$B$4:$C$14,2,FALSE)</f>
        <v>0</v>
      </c>
      <c r="X58" s="418">
        <f>VLOOKUP('Physical Effects'!AT62,Lookup!$B$4:$C$14,2,FALSE)</f>
        <v>0</v>
      </c>
      <c r="Y58" s="418">
        <f>VLOOKUP('Physical Effects'!AV62,Lookup!$B$4:$C$14,2,FALSE)</f>
        <v>0</v>
      </c>
      <c r="Z58" s="418">
        <f>VLOOKUP('Physical Effects'!AX62,Lookup!$B$4:$C$14,2,FALSE)</f>
        <v>0</v>
      </c>
      <c r="AA58" s="418">
        <f>VLOOKUP('Physical Effects'!AZ62,Lookup!$B$4:$C$14,2,FALSE)</f>
        <v>-1</v>
      </c>
      <c r="AB58" s="418">
        <f>VLOOKUP('Physical Effects'!BB62,Lookup!$B$4:$C$14,2,FALSE)</f>
        <v>0</v>
      </c>
      <c r="AC58" s="418">
        <f>VLOOKUP('Physical Effects'!BD62,Lookup!$B$4:$C$14,2,FALSE)</f>
        <v>0</v>
      </c>
      <c r="AD58" s="418">
        <f>VLOOKUP('Physical Effects'!BF62,Lookup!$B$4:$C$14,2,FALSE)</f>
        <v>0</v>
      </c>
      <c r="AE58" s="418">
        <f>VLOOKUP('Physical Effects'!BH62,Lookup!$B$4:$C$14,2,FALSE)</f>
        <v>1</v>
      </c>
      <c r="AF58" s="418">
        <f>VLOOKUP('Physical Effects'!BJ62,Lookup!$B$4:$C$14,2,FALSE)</f>
        <v>1</v>
      </c>
      <c r="AG58" s="418">
        <f>VLOOKUP('Physical Effects'!BL62,Lookup!$B$4:$C$14,2,FALSE)</f>
        <v>1</v>
      </c>
      <c r="AH58" s="418">
        <f>VLOOKUP('Physical Effects'!BN62,Lookup!$B$4:$C$14,2,FALSE)</f>
        <v>0</v>
      </c>
      <c r="AI58" s="418">
        <f>VLOOKUP('Physical Effects'!BP62,Lookup!$B$4:$C$14,2,FALSE)</f>
        <v>1</v>
      </c>
      <c r="AJ58" s="418">
        <f>VLOOKUP('Physical Effects'!BR62,Lookup!$B$4:$C$14,2,FALSE)</f>
        <v>0</v>
      </c>
      <c r="AK58" s="418">
        <f>VLOOKUP('Physical Effects'!BT62,Lookup!$B$4:$C$14,2,FALSE)</f>
        <v>-1</v>
      </c>
      <c r="AL58" s="418">
        <f>VLOOKUP('Physical Effects'!BV62,Lookup!$B$4:$C$14,2,FALSE)</f>
        <v>5</v>
      </c>
      <c r="AM58" s="418">
        <f>VLOOKUP('Physical Effects'!BX62,Lookup!$B$4:$C$14,2,FALSE)</f>
        <v>1</v>
      </c>
      <c r="AN58" s="418">
        <f>VLOOKUP('Physical Effects'!BZ62,Lookup!$B$4:$C$14,2,FALSE)</f>
        <v>-1</v>
      </c>
      <c r="AO58" s="418">
        <f>VLOOKUP('Physical Effects'!CB62,Lookup!$B$4:$C$14,2,FALSE)</f>
        <v>0</v>
      </c>
      <c r="AP58" s="418">
        <f>VLOOKUP('Physical Effects'!CD62,Lookup!$B$4:$C$14,2,FALSE)</f>
        <v>0</v>
      </c>
      <c r="AQ58" s="418">
        <f>VLOOKUP('Physical Effects'!CF62,Lookup!$B$4:$C$14,2,FALSE)</f>
        <v>1</v>
      </c>
      <c r="AR58" s="418">
        <f>VLOOKUP('Physical Effects'!CH62,Lookup!$B$4:$C$14,2,FALSE)</f>
        <v>-1</v>
      </c>
      <c r="AS58" s="418">
        <f>VLOOKUP('Physical Effects'!CJ62,Lookup!$B$4:$C$14,2,FALSE)</f>
        <v>0</v>
      </c>
      <c r="AT58" s="418">
        <f>VLOOKUP('Physical Effects'!CL62,Lookup!$B$4:$C$14,2,FALSE)</f>
        <v>1</v>
      </c>
      <c r="AU58" s="418">
        <f>VLOOKUP('Physical Effects'!CN62,Lookup!$B$4:$C$14,2,FALSE)</f>
        <v>0</v>
      </c>
      <c r="AV58" s="28"/>
      <c r="AW58" s="23"/>
      <c r="AX58" s="23"/>
      <c r="AY58" s="23"/>
      <c r="AZ58" s="23"/>
      <c r="BA58" s="23"/>
      <c r="BB58" s="23"/>
      <c r="BC58" s="23"/>
      <c r="BD58" s="23"/>
      <c r="BE58" s="23"/>
      <c r="BF58" s="23"/>
    </row>
    <row r="59" spans="1:58" s="5" customFormat="1" ht="13.5" thickBot="1" x14ac:dyDescent="0.25">
      <c r="A59" s="123">
        <f t="shared" si="0"/>
        <v>58</v>
      </c>
      <c r="B59" s="19" t="str">
        <f>+'Physical Effects'!B63</f>
        <v>Grade Stabilization Structure</v>
      </c>
      <c r="C59" s="32">
        <f>+'Physical Effects'!D63</f>
        <v>410</v>
      </c>
      <c r="D59" s="418">
        <f>VLOOKUP('Physical Effects'!F63,Lookup!$B$4:$C$14,2,FALSE)</f>
        <v>0</v>
      </c>
      <c r="E59" s="418">
        <f>VLOOKUP('Physical Effects'!H63,Lookup!$B$4:$C$14,2,FALSE)</f>
        <v>0</v>
      </c>
      <c r="F59" s="418">
        <f>VLOOKUP('Physical Effects'!J63,Lookup!$B$4:$C$14,2,FALSE)</f>
        <v>0</v>
      </c>
      <c r="G59" s="418">
        <f>VLOOKUP('Physical Effects'!L63,Lookup!$B$4:$C$14,2,FALSE)</f>
        <v>2</v>
      </c>
      <c r="H59" s="418">
        <f>VLOOKUP('Physical Effects'!N63,Lookup!$B$4:$C$14,2,FALSE)</f>
        <v>2</v>
      </c>
      <c r="I59" s="418">
        <f>VLOOKUP('Physical Effects'!P63,Lookup!$B$4:$C$14,2,FALSE)</f>
        <v>0</v>
      </c>
      <c r="J59" s="418">
        <f>VLOOKUP('Physical Effects'!R63,Lookup!$B$4:$C$14,2,FALSE)</f>
        <v>0</v>
      </c>
      <c r="K59" s="418">
        <f>VLOOKUP('Physical Effects'!T63,Lookup!$B$4:$C$14,2,FALSE)</f>
        <v>0</v>
      </c>
      <c r="L59" s="418">
        <f>VLOOKUP('Physical Effects'!V63,Lookup!$B$4:$C$14,2,FALSE)</f>
        <v>0</v>
      </c>
      <c r="M59" s="418">
        <f>VLOOKUP('Physical Effects'!X63,Lookup!$B$4:$C$14,2,FALSE)</f>
        <v>0</v>
      </c>
      <c r="N59" s="418">
        <f>VLOOKUP('Physical Effects'!Z63,Lookup!$B$4:$C$14,2,FALSE)</f>
        <v>0</v>
      </c>
      <c r="O59" s="418">
        <f>VLOOKUP('Physical Effects'!AB63,Lookup!$B$4:$C$14,2,FALSE)</f>
        <v>0</v>
      </c>
      <c r="P59" s="418">
        <f>VLOOKUP('Physical Effects'!AD63,Lookup!$B$4:$C$14,2,FALSE)</f>
        <v>0</v>
      </c>
      <c r="Q59" s="418">
        <f>VLOOKUP('Physical Effects'!AF63,Lookup!$B$4:$C$14,2,FALSE)</f>
        <v>0</v>
      </c>
      <c r="R59" s="418">
        <f>VLOOKUP('Physical Effects'!AH63,Lookup!$B$4:$C$14,2,FALSE)</f>
        <v>0</v>
      </c>
      <c r="S59" s="418">
        <f>VLOOKUP('Physical Effects'!AJ63,Lookup!$B$4:$C$14,2,FALSE)</f>
        <v>0</v>
      </c>
      <c r="T59" s="418">
        <f>VLOOKUP('Physical Effects'!AL63,Lookup!$B$4:$C$14,2,FALSE)</f>
        <v>0</v>
      </c>
      <c r="U59" s="418">
        <f>VLOOKUP('Physical Effects'!AN63,Lookup!$B$4:$C$14,2,FALSE)</f>
        <v>0</v>
      </c>
      <c r="V59" s="418">
        <f>VLOOKUP('Physical Effects'!AP63,Lookup!$B$4:$C$14,2,FALSE)</f>
        <v>0</v>
      </c>
      <c r="W59" s="418">
        <f>VLOOKUP('Physical Effects'!AR63,Lookup!$B$4:$C$14,2,FALSE)</f>
        <v>0</v>
      </c>
      <c r="X59" s="418">
        <f>VLOOKUP('Physical Effects'!AT63,Lookup!$B$4:$C$14,2,FALSE)</f>
        <v>0</v>
      </c>
      <c r="Y59" s="418">
        <f>VLOOKUP('Physical Effects'!AV63,Lookup!$B$4:$C$14,2,FALSE)</f>
        <v>0</v>
      </c>
      <c r="Z59" s="418">
        <f>VLOOKUP('Physical Effects'!AX63,Lookup!$B$4:$C$14,2,FALSE)</f>
        <v>0</v>
      </c>
      <c r="AA59" s="418">
        <f>VLOOKUP('Physical Effects'!AZ63,Lookup!$B$4:$C$14,2,FALSE)</f>
        <v>2</v>
      </c>
      <c r="AB59" s="418">
        <f>VLOOKUP('Physical Effects'!BB63,Lookup!$B$4:$C$14,2,FALSE)</f>
        <v>0</v>
      </c>
      <c r="AC59" s="418">
        <f>VLOOKUP('Physical Effects'!BD63,Lookup!$B$4:$C$14,2,FALSE)</f>
        <v>0</v>
      </c>
      <c r="AD59" s="418">
        <f>VLOOKUP('Physical Effects'!BF63,Lookup!$B$4:$C$14,2,FALSE)</f>
        <v>0</v>
      </c>
      <c r="AE59" s="418">
        <f>VLOOKUP('Physical Effects'!BH63,Lookup!$B$4:$C$14,2,FALSE)</f>
        <v>0</v>
      </c>
      <c r="AF59" s="418">
        <f>VLOOKUP('Physical Effects'!BJ63,Lookup!$B$4:$C$14,2,FALSE)</f>
        <v>0</v>
      </c>
      <c r="AG59" s="418">
        <f>VLOOKUP('Physical Effects'!BL63,Lookup!$B$4:$C$14,2,FALSE)</f>
        <v>0</v>
      </c>
      <c r="AH59" s="418">
        <f>VLOOKUP('Physical Effects'!BN63,Lookup!$B$4:$C$14,2,FALSE)</f>
        <v>0</v>
      </c>
      <c r="AI59" s="418">
        <f>VLOOKUP('Physical Effects'!BP63,Lookup!$B$4:$C$14,2,FALSE)</f>
        <v>0</v>
      </c>
      <c r="AJ59" s="418">
        <f>VLOOKUP('Physical Effects'!BR63,Lookup!$B$4:$C$14,2,FALSE)</f>
        <v>0</v>
      </c>
      <c r="AK59" s="418">
        <f>VLOOKUP('Physical Effects'!BT63,Lookup!$B$4:$C$14,2,FALSE)</f>
        <v>0</v>
      </c>
      <c r="AL59" s="418">
        <f>VLOOKUP('Physical Effects'!BV63,Lookup!$B$4:$C$14,2,FALSE)</f>
        <v>0</v>
      </c>
      <c r="AM59" s="418">
        <f>VLOOKUP('Physical Effects'!BX63,Lookup!$B$4:$C$14,2,FALSE)</f>
        <v>2</v>
      </c>
      <c r="AN59" s="418">
        <f>VLOOKUP('Physical Effects'!BZ63,Lookup!$B$4:$C$14,2,FALSE)</f>
        <v>2</v>
      </c>
      <c r="AO59" s="418">
        <f>VLOOKUP('Physical Effects'!CB63,Lookup!$B$4:$C$14,2,FALSE)</f>
        <v>1</v>
      </c>
      <c r="AP59" s="418">
        <f>VLOOKUP('Physical Effects'!CD63,Lookup!$B$4:$C$14,2,FALSE)</f>
        <v>0</v>
      </c>
      <c r="AQ59" s="418">
        <f>VLOOKUP('Physical Effects'!CF63,Lookup!$B$4:$C$14,2,FALSE)</f>
        <v>0</v>
      </c>
      <c r="AR59" s="418">
        <f>VLOOKUP('Physical Effects'!CH63,Lookup!$B$4:$C$14,2,FALSE)</f>
        <v>0</v>
      </c>
      <c r="AS59" s="418">
        <f>VLOOKUP('Physical Effects'!CJ63,Lookup!$B$4:$C$14,2,FALSE)</f>
        <v>0</v>
      </c>
      <c r="AT59" s="418">
        <f>VLOOKUP('Physical Effects'!CL63,Lookup!$B$4:$C$14,2,FALSE)</f>
        <v>0</v>
      </c>
      <c r="AU59" s="418">
        <f>VLOOKUP('Physical Effects'!CN63,Lookup!$B$4:$C$14,2,FALSE)</f>
        <v>0</v>
      </c>
      <c r="AV59" s="28"/>
      <c r="AW59" s="23"/>
      <c r="AX59" s="23"/>
      <c r="AY59" s="23"/>
      <c r="AZ59" s="23"/>
      <c r="BA59" s="23"/>
      <c r="BB59" s="23"/>
      <c r="BC59" s="23"/>
      <c r="BD59" s="23"/>
      <c r="BE59" s="23"/>
      <c r="BF59" s="23"/>
    </row>
    <row r="60" spans="1:58" s="5" customFormat="1" ht="13.5" thickBot="1" x14ac:dyDescent="0.25">
      <c r="A60" s="123">
        <f t="shared" si="0"/>
        <v>59</v>
      </c>
      <c r="B60" s="19" t="str">
        <f>+'Physical Effects'!B64</f>
        <v>Grassed Waterway</v>
      </c>
      <c r="C60" s="32">
        <f>+'Physical Effects'!D64</f>
        <v>412</v>
      </c>
      <c r="D60" s="418">
        <f>VLOOKUP('Physical Effects'!F64,Lookup!$B$4:$C$14,2,FALSE)</f>
        <v>0</v>
      </c>
      <c r="E60" s="418">
        <f>VLOOKUP('Physical Effects'!H64,Lookup!$B$4:$C$14,2,FALSE)</f>
        <v>0</v>
      </c>
      <c r="F60" s="418">
        <f>VLOOKUP('Physical Effects'!J64,Lookup!$B$4:$C$14,2,FALSE)</f>
        <v>5</v>
      </c>
      <c r="G60" s="418">
        <f>VLOOKUP('Physical Effects'!L64,Lookup!$B$4:$C$14,2,FALSE)</f>
        <v>4</v>
      </c>
      <c r="H60" s="418">
        <f>VLOOKUP('Physical Effects'!N64,Lookup!$B$4:$C$14,2,FALSE)</f>
        <v>1</v>
      </c>
      <c r="I60" s="418">
        <f>VLOOKUP('Physical Effects'!P64,Lookup!$B$4:$C$14,2,FALSE)</f>
        <v>3</v>
      </c>
      <c r="J60" s="418">
        <f>VLOOKUP('Physical Effects'!R64,Lookup!$B$4:$C$14,2,FALSE)</f>
        <v>0</v>
      </c>
      <c r="K60" s="418">
        <f>VLOOKUP('Physical Effects'!T64,Lookup!$B$4:$C$14,2,FALSE)</f>
        <v>0</v>
      </c>
      <c r="L60" s="418">
        <f>VLOOKUP('Physical Effects'!V64,Lookup!$B$4:$C$14,2,FALSE)</f>
        <v>-1</v>
      </c>
      <c r="M60" s="418">
        <f>VLOOKUP('Physical Effects'!X64,Lookup!$B$4:$C$14,2,FALSE)</f>
        <v>0</v>
      </c>
      <c r="N60" s="418">
        <f>VLOOKUP('Physical Effects'!Z64,Lookup!$B$4:$C$14,2,FALSE)</f>
        <v>3</v>
      </c>
      <c r="O60" s="418">
        <f>VLOOKUP('Physical Effects'!AB64,Lookup!$B$4:$C$14,2,FALSE)</f>
        <v>2</v>
      </c>
      <c r="P60" s="418">
        <f>VLOOKUP('Physical Effects'!AD64,Lookup!$B$4:$C$14,2,FALSE)</f>
        <v>0</v>
      </c>
      <c r="Q60" s="418">
        <f>VLOOKUP('Physical Effects'!AF64,Lookup!$B$4:$C$14,2,FALSE)</f>
        <v>0</v>
      </c>
      <c r="R60" s="418">
        <f>VLOOKUP('Physical Effects'!AH64,Lookup!$B$4:$C$14,2,FALSE)</f>
        <v>0</v>
      </c>
      <c r="S60" s="418">
        <f>VLOOKUP('Physical Effects'!AJ64,Lookup!$B$4:$C$14,2,FALSE)</f>
        <v>2</v>
      </c>
      <c r="T60" s="418">
        <f>VLOOKUP('Physical Effects'!AL64,Lookup!$B$4:$C$14,2,FALSE)</f>
        <v>0</v>
      </c>
      <c r="U60" s="418">
        <f>VLOOKUP('Physical Effects'!AN64,Lookup!$B$4:$C$14,2,FALSE)</f>
        <v>2</v>
      </c>
      <c r="V60" s="418">
        <f>VLOOKUP('Physical Effects'!AP64,Lookup!$B$4:$C$14,2,FALSE)</f>
        <v>0</v>
      </c>
      <c r="W60" s="418">
        <f>VLOOKUP('Physical Effects'!AR64,Lookup!$B$4:$C$14,2,FALSE)</f>
        <v>0</v>
      </c>
      <c r="X60" s="418">
        <f>VLOOKUP('Physical Effects'!AT64,Lookup!$B$4:$C$14,2,FALSE)</f>
        <v>0</v>
      </c>
      <c r="Y60" s="418">
        <f>VLOOKUP('Physical Effects'!AV64,Lookup!$B$4:$C$14,2,FALSE)</f>
        <v>1</v>
      </c>
      <c r="Z60" s="418">
        <f>VLOOKUP('Physical Effects'!AX64,Lookup!$B$4:$C$14,2,FALSE)</f>
        <v>0</v>
      </c>
      <c r="AA60" s="418">
        <f>VLOOKUP('Physical Effects'!AZ64,Lookup!$B$4:$C$14,2,FALSE)</f>
        <v>2</v>
      </c>
      <c r="AB60" s="418">
        <f>VLOOKUP('Physical Effects'!BB64,Lookup!$B$4:$C$14,2,FALSE)</f>
        <v>0</v>
      </c>
      <c r="AC60" s="418">
        <f>VLOOKUP('Physical Effects'!BD64,Lookup!$B$4:$C$14,2,FALSE)</f>
        <v>1</v>
      </c>
      <c r="AD60" s="418">
        <f>VLOOKUP('Physical Effects'!BF64,Lookup!$B$4:$C$14,2,FALSE)</f>
        <v>0</v>
      </c>
      <c r="AE60" s="418">
        <f>VLOOKUP('Physical Effects'!BH64,Lookup!$B$4:$C$14,2,FALSE)</f>
        <v>0</v>
      </c>
      <c r="AF60" s="418">
        <f>VLOOKUP('Physical Effects'!BJ64,Lookup!$B$4:$C$14,2,FALSE)</f>
        <v>0</v>
      </c>
      <c r="AG60" s="418">
        <f>VLOOKUP('Physical Effects'!BL64,Lookup!$B$4:$C$14,2,FALSE)</f>
        <v>1</v>
      </c>
      <c r="AH60" s="418">
        <f>VLOOKUP('Physical Effects'!BN64,Lookup!$B$4:$C$14,2,FALSE)</f>
        <v>0</v>
      </c>
      <c r="AI60" s="418">
        <f>VLOOKUP('Physical Effects'!BP64,Lookup!$B$4:$C$14,2,FALSE)</f>
        <v>5</v>
      </c>
      <c r="AJ60" s="418">
        <f>VLOOKUP('Physical Effects'!BR64,Lookup!$B$4:$C$14,2,FALSE)</f>
        <v>4</v>
      </c>
      <c r="AK60" s="418">
        <f>VLOOKUP('Physical Effects'!BT64,Lookup!$B$4:$C$14,2,FALSE)</f>
        <v>4</v>
      </c>
      <c r="AL60" s="418">
        <f>VLOOKUP('Physical Effects'!BV64,Lookup!$B$4:$C$14,2,FALSE)</f>
        <v>0</v>
      </c>
      <c r="AM60" s="418">
        <f>VLOOKUP('Physical Effects'!BX64,Lookup!$B$4:$C$14,2,FALSE)</f>
        <v>1</v>
      </c>
      <c r="AN60" s="418">
        <f>VLOOKUP('Physical Effects'!BZ64,Lookup!$B$4:$C$14,2,FALSE)</f>
        <v>1</v>
      </c>
      <c r="AO60" s="418">
        <f>VLOOKUP('Physical Effects'!CB64,Lookup!$B$4:$C$14,2,FALSE)</f>
        <v>1</v>
      </c>
      <c r="AP60" s="418">
        <f>VLOOKUP('Physical Effects'!CD64,Lookup!$B$4:$C$14,2,FALSE)</f>
        <v>1</v>
      </c>
      <c r="AQ60" s="418">
        <f>VLOOKUP('Physical Effects'!CF64,Lookup!$B$4:$C$14,2,FALSE)</f>
        <v>1</v>
      </c>
      <c r="AR60" s="418">
        <f>VLOOKUP('Physical Effects'!CH64,Lookup!$B$4:$C$14,2,FALSE)</f>
        <v>0</v>
      </c>
      <c r="AS60" s="418">
        <f>VLOOKUP('Physical Effects'!CJ64,Lookup!$B$4:$C$14,2,FALSE)</f>
        <v>0</v>
      </c>
      <c r="AT60" s="418">
        <f>VLOOKUP('Physical Effects'!CL64,Lookup!$B$4:$C$14,2,FALSE)</f>
        <v>1</v>
      </c>
      <c r="AU60" s="418">
        <f>VLOOKUP('Physical Effects'!CN64,Lookup!$B$4:$C$14,2,FALSE)</f>
        <v>1</v>
      </c>
      <c r="AV60" s="28"/>
      <c r="AW60" s="23"/>
      <c r="AX60" s="23"/>
      <c r="AY60" s="23"/>
      <c r="AZ60" s="23"/>
      <c r="BA60" s="23"/>
      <c r="BB60" s="23"/>
      <c r="BC60" s="23"/>
      <c r="BD60" s="23"/>
      <c r="BE60" s="23"/>
      <c r="BF60" s="23"/>
    </row>
    <row r="61" spans="1:58" s="5" customFormat="1" ht="13.5" thickBot="1" x14ac:dyDescent="0.25">
      <c r="A61" s="123">
        <f t="shared" si="0"/>
        <v>60</v>
      </c>
      <c r="B61" s="19" t="str">
        <f>+'Physical Effects'!B65</f>
        <v>Grazing Land Mechanical Treatment</v>
      </c>
      <c r="C61" s="32">
        <f>+'Physical Effects'!D65</f>
        <v>548</v>
      </c>
      <c r="D61" s="418">
        <f>VLOOKUP('Physical Effects'!F65,Lookup!$B$4:$C$14,2,FALSE)</f>
        <v>1</v>
      </c>
      <c r="E61" s="418">
        <f>VLOOKUP('Physical Effects'!H65,Lookup!$B$4:$C$14,2,FALSE)</f>
        <v>1</v>
      </c>
      <c r="F61" s="418">
        <f>VLOOKUP('Physical Effects'!J65,Lookup!$B$4:$C$14,2,FALSE)</f>
        <v>0</v>
      </c>
      <c r="G61" s="418">
        <f>VLOOKUP('Physical Effects'!L65,Lookup!$B$4:$C$14,2,FALSE)</f>
        <v>0</v>
      </c>
      <c r="H61" s="418">
        <f>VLOOKUP('Physical Effects'!N65,Lookup!$B$4:$C$14,2,FALSE)</f>
        <v>0</v>
      </c>
      <c r="I61" s="418">
        <f>VLOOKUP('Physical Effects'!P65,Lookup!$B$4:$C$14,2,FALSE)</f>
        <v>1</v>
      </c>
      <c r="J61" s="418">
        <f>VLOOKUP('Physical Effects'!R65,Lookup!$B$4:$C$14,2,FALSE)</f>
        <v>0</v>
      </c>
      <c r="K61" s="418">
        <f>VLOOKUP('Physical Effects'!T65,Lookup!$B$4:$C$14,2,FALSE)</f>
        <v>0</v>
      </c>
      <c r="L61" s="418">
        <f>VLOOKUP('Physical Effects'!V65,Lookup!$B$4:$C$14,2,FALSE)</f>
        <v>0</v>
      </c>
      <c r="M61" s="418">
        <f>VLOOKUP('Physical Effects'!X65,Lookup!$B$4:$C$14,2,FALSE)</f>
        <v>0</v>
      </c>
      <c r="N61" s="418">
        <f>VLOOKUP('Physical Effects'!Z65,Lookup!$B$4:$C$14,2,FALSE)</f>
        <v>2</v>
      </c>
      <c r="O61" s="418">
        <f>VLOOKUP('Physical Effects'!AB65,Lookup!$B$4:$C$14,2,FALSE)</f>
        <v>0</v>
      </c>
      <c r="P61" s="418">
        <f>VLOOKUP('Physical Effects'!AD65,Lookup!$B$4:$C$14,2,FALSE)</f>
        <v>0</v>
      </c>
      <c r="Q61" s="418">
        <f>VLOOKUP('Physical Effects'!AF65,Lookup!$B$4:$C$14,2,FALSE)</f>
        <v>0</v>
      </c>
      <c r="R61" s="418">
        <f>VLOOKUP('Physical Effects'!AH65,Lookup!$B$4:$C$14,2,FALSE)</f>
        <v>2</v>
      </c>
      <c r="S61" s="418">
        <f>VLOOKUP('Physical Effects'!AJ65,Lookup!$B$4:$C$14,2,FALSE)</f>
        <v>0</v>
      </c>
      <c r="T61" s="418">
        <f>VLOOKUP('Physical Effects'!AL65,Lookup!$B$4:$C$14,2,FALSE)</f>
        <v>0</v>
      </c>
      <c r="U61" s="418">
        <f>VLOOKUP('Physical Effects'!AN65,Lookup!$B$4:$C$14,2,FALSE)</f>
        <v>1</v>
      </c>
      <c r="V61" s="418">
        <f>VLOOKUP('Physical Effects'!AP65,Lookup!$B$4:$C$14,2,FALSE)</f>
        <v>0</v>
      </c>
      <c r="W61" s="418">
        <f>VLOOKUP('Physical Effects'!AR65,Lookup!$B$4:$C$14,2,FALSE)</f>
        <v>0</v>
      </c>
      <c r="X61" s="418">
        <f>VLOOKUP('Physical Effects'!AT65,Lookup!$B$4:$C$14,2,FALSE)</f>
        <v>0</v>
      </c>
      <c r="Y61" s="418">
        <f>VLOOKUP('Physical Effects'!AV65,Lookup!$B$4:$C$14,2,FALSE)</f>
        <v>1</v>
      </c>
      <c r="Z61" s="418">
        <f>VLOOKUP('Physical Effects'!AX65,Lookup!$B$4:$C$14,2,FALSE)</f>
        <v>0</v>
      </c>
      <c r="AA61" s="418">
        <f>VLOOKUP('Physical Effects'!AZ65,Lookup!$B$4:$C$14,2,FALSE)</f>
        <v>5</v>
      </c>
      <c r="AB61" s="418">
        <f>VLOOKUP('Physical Effects'!BB65,Lookup!$B$4:$C$14,2,FALSE)</f>
        <v>0</v>
      </c>
      <c r="AC61" s="418">
        <f>VLOOKUP('Physical Effects'!BD65,Lookup!$B$4:$C$14,2,FALSE)</f>
        <v>0</v>
      </c>
      <c r="AD61" s="418">
        <f>VLOOKUP('Physical Effects'!BF65,Lookup!$B$4:$C$14,2,FALSE)</f>
        <v>0</v>
      </c>
      <c r="AE61" s="418">
        <f>VLOOKUP('Physical Effects'!BH65,Lookup!$B$4:$C$14,2,FALSE)</f>
        <v>1</v>
      </c>
      <c r="AF61" s="418">
        <f>VLOOKUP('Physical Effects'!BJ65,Lookup!$B$4:$C$14,2,FALSE)</f>
        <v>0</v>
      </c>
      <c r="AG61" s="418">
        <f>VLOOKUP('Physical Effects'!BL65,Lookup!$B$4:$C$14,2,FALSE)</f>
        <v>2</v>
      </c>
      <c r="AH61" s="418">
        <f>VLOOKUP('Physical Effects'!BN65,Lookup!$B$4:$C$14,2,FALSE)</f>
        <v>0</v>
      </c>
      <c r="AI61" s="418">
        <f>VLOOKUP('Physical Effects'!BP65,Lookup!$B$4:$C$14,2,FALSE)</f>
        <v>4</v>
      </c>
      <c r="AJ61" s="418">
        <f>VLOOKUP('Physical Effects'!BR65,Lookup!$B$4:$C$14,2,FALSE)</f>
        <v>2</v>
      </c>
      <c r="AK61" s="418">
        <f>VLOOKUP('Physical Effects'!BT65,Lookup!$B$4:$C$14,2,FALSE)</f>
        <v>-1</v>
      </c>
      <c r="AL61" s="418">
        <f>VLOOKUP('Physical Effects'!BV65,Lookup!$B$4:$C$14,2,FALSE)</f>
        <v>0</v>
      </c>
      <c r="AM61" s="418">
        <f>VLOOKUP('Physical Effects'!BX65,Lookup!$B$4:$C$14,2,FALSE)</f>
        <v>0</v>
      </c>
      <c r="AN61" s="418">
        <f>VLOOKUP('Physical Effects'!BZ65,Lookup!$B$4:$C$14,2,FALSE)</f>
        <v>0</v>
      </c>
      <c r="AO61" s="418">
        <f>VLOOKUP('Physical Effects'!CB65,Lookup!$B$4:$C$14,2,FALSE)</f>
        <v>0</v>
      </c>
      <c r="AP61" s="418">
        <f>VLOOKUP('Physical Effects'!CD65,Lookup!$B$4:$C$14,2,FALSE)</f>
        <v>0</v>
      </c>
      <c r="AQ61" s="418">
        <f>VLOOKUP('Physical Effects'!CF65,Lookup!$B$4:$C$14,2,FALSE)</f>
        <v>1</v>
      </c>
      <c r="AR61" s="418">
        <f>VLOOKUP('Physical Effects'!CH65,Lookup!$B$4:$C$14,2,FALSE)</f>
        <v>0</v>
      </c>
      <c r="AS61" s="418">
        <f>VLOOKUP('Physical Effects'!CJ65,Lookup!$B$4:$C$14,2,FALSE)</f>
        <v>0</v>
      </c>
      <c r="AT61" s="418">
        <f>VLOOKUP('Physical Effects'!CL65,Lookup!$B$4:$C$14,2,FALSE)</f>
        <v>0</v>
      </c>
      <c r="AU61" s="418">
        <f>VLOOKUP('Physical Effects'!CN65,Lookup!$B$4:$C$14,2,FALSE)</f>
        <v>0</v>
      </c>
      <c r="AV61" s="28"/>
      <c r="AW61" s="23"/>
      <c r="AX61" s="23"/>
      <c r="AY61" s="23"/>
      <c r="AZ61" s="23"/>
      <c r="BA61" s="23"/>
      <c r="BB61" s="23"/>
      <c r="BC61" s="23"/>
      <c r="BD61" s="23"/>
      <c r="BE61" s="23"/>
      <c r="BF61" s="23"/>
    </row>
    <row r="62" spans="1:58" s="5" customFormat="1" ht="13.5" thickBot="1" x14ac:dyDescent="0.25">
      <c r="A62" s="123">
        <f t="shared" si="0"/>
        <v>61</v>
      </c>
      <c r="B62" s="19" t="str">
        <f>+'Physical Effects'!B66</f>
        <v>Groundwater Testing</v>
      </c>
      <c r="C62" s="32">
        <f>+'Physical Effects'!D66</f>
        <v>355</v>
      </c>
      <c r="D62" s="418">
        <f>VLOOKUP('Physical Effects'!F66,Lookup!$B$4:$C$14,2,FALSE)</f>
        <v>0</v>
      </c>
      <c r="E62" s="418">
        <f>VLOOKUP('Physical Effects'!H66,Lookup!$B$4:$C$14,2,FALSE)</f>
        <v>0</v>
      </c>
      <c r="F62" s="418">
        <f>VLOOKUP('Physical Effects'!J66,Lookup!$B$4:$C$14,2,FALSE)</f>
        <v>0</v>
      </c>
      <c r="G62" s="418">
        <f>VLOOKUP('Physical Effects'!L66,Lookup!$B$4:$C$14,2,FALSE)</f>
        <v>0</v>
      </c>
      <c r="H62" s="418">
        <f>VLOOKUP('Physical Effects'!N66,Lookup!$B$4:$C$14,2,FALSE)</f>
        <v>0</v>
      </c>
      <c r="I62" s="418">
        <f>VLOOKUP('Physical Effects'!P66,Lookup!$B$4:$C$14,2,FALSE)</f>
        <v>0</v>
      </c>
      <c r="J62" s="418">
        <f>VLOOKUP('Physical Effects'!R66,Lookup!$B$4:$C$14,2,FALSE)</f>
        <v>0</v>
      </c>
      <c r="K62" s="418">
        <f>VLOOKUP('Physical Effects'!T66,Lookup!$B$4:$C$14,2,FALSE)</f>
        <v>0</v>
      </c>
      <c r="L62" s="418">
        <f>VLOOKUP('Physical Effects'!V66,Lookup!$B$4:$C$14,2,FALSE)</f>
        <v>0</v>
      </c>
      <c r="M62" s="418">
        <f>VLOOKUP('Physical Effects'!X66,Lookup!$B$4:$C$14,2,FALSE)</f>
        <v>0</v>
      </c>
      <c r="N62" s="418">
        <f>VLOOKUP('Physical Effects'!Z66,Lookup!$B$4:$C$14,2,FALSE)</f>
        <v>0</v>
      </c>
      <c r="O62" s="418">
        <f>VLOOKUP('Physical Effects'!AB66,Lookup!$B$4:$C$14,2,FALSE)</f>
        <v>0</v>
      </c>
      <c r="P62" s="418">
        <f>VLOOKUP('Physical Effects'!AD66,Lookup!$B$4:$C$14,2,FALSE)</f>
        <v>0</v>
      </c>
      <c r="Q62" s="418">
        <f>VLOOKUP('Physical Effects'!AF66,Lookup!$B$4:$C$14,2,FALSE)</f>
        <v>0</v>
      </c>
      <c r="R62" s="418">
        <f>VLOOKUP('Physical Effects'!AH66,Lookup!$B$4:$C$14,2,FALSE)</f>
        <v>0</v>
      </c>
      <c r="S62" s="418">
        <f>VLOOKUP('Physical Effects'!AJ66,Lookup!$B$4:$C$14,2,FALSE)</f>
        <v>0</v>
      </c>
      <c r="T62" s="418">
        <f>VLOOKUP('Physical Effects'!AL66,Lookup!$B$4:$C$14,2,FALSE)</f>
        <v>0</v>
      </c>
      <c r="U62" s="418">
        <f>VLOOKUP('Physical Effects'!AN66,Lookup!$B$4:$C$14,2,FALSE)</f>
        <v>0</v>
      </c>
      <c r="V62" s="418">
        <f>VLOOKUP('Physical Effects'!AP66,Lookup!$B$4:$C$14,2,FALSE)</f>
        <v>0</v>
      </c>
      <c r="W62" s="418">
        <f>VLOOKUP('Physical Effects'!AR66,Lookup!$B$4:$C$14,2,FALSE)</f>
        <v>0</v>
      </c>
      <c r="X62" s="418">
        <f>VLOOKUP('Physical Effects'!AT66,Lookup!$B$4:$C$14,2,FALSE)</f>
        <v>0</v>
      </c>
      <c r="Y62" s="418">
        <f>VLOOKUP('Physical Effects'!AV66,Lookup!$B$4:$C$14,2,FALSE)</f>
        <v>0</v>
      </c>
      <c r="Z62" s="418">
        <f>VLOOKUP('Physical Effects'!AX66,Lookup!$B$4:$C$14,2,FALSE)</f>
        <v>0</v>
      </c>
      <c r="AA62" s="418">
        <f>VLOOKUP('Physical Effects'!AZ66,Lookup!$B$4:$C$14,2,FALSE)</f>
        <v>0</v>
      </c>
      <c r="AB62" s="418">
        <f>VLOOKUP('Physical Effects'!BB66,Lookup!$B$4:$C$14,2,FALSE)</f>
        <v>0</v>
      </c>
      <c r="AC62" s="418">
        <f>VLOOKUP('Physical Effects'!BD66,Lookup!$B$4:$C$14,2,FALSE)</f>
        <v>0</v>
      </c>
      <c r="AD62" s="418">
        <f>VLOOKUP('Physical Effects'!BF66,Lookup!$B$4:$C$14,2,FALSE)</f>
        <v>0</v>
      </c>
      <c r="AE62" s="418">
        <f>VLOOKUP('Physical Effects'!BH66,Lookup!$B$4:$C$14,2,FALSE)</f>
        <v>0</v>
      </c>
      <c r="AF62" s="418">
        <f>VLOOKUP('Physical Effects'!BJ66,Lookup!$B$4:$C$14,2,FALSE)</f>
        <v>0</v>
      </c>
      <c r="AG62" s="418">
        <f>VLOOKUP('Physical Effects'!BL66,Lookup!$B$4:$C$14,2,FALSE)</f>
        <v>0</v>
      </c>
      <c r="AH62" s="418">
        <f>VLOOKUP('Physical Effects'!BN66,Lookup!$B$4:$C$14,2,FALSE)</f>
        <v>0</v>
      </c>
      <c r="AI62" s="418">
        <f>VLOOKUP('Physical Effects'!BP66,Lookup!$B$4:$C$14,2,FALSE)</f>
        <v>0</v>
      </c>
      <c r="AJ62" s="418">
        <f>VLOOKUP('Physical Effects'!BR66,Lookup!$B$4:$C$14,2,FALSE)</f>
        <v>0</v>
      </c>
      <c r="AK62" s="418">
        <f>VLOOKUP('Physical Effects'!BT66,Lookup!$B$4:$C$14,2,FALSE)</f>
        <v>0</v>
      </c>
      <c r="AL62" s="418">
        <f>VLOOKUP('Physical Effects'!BV66,Lookup!$B$4:$C$14,2,FALSE)</f>
        <v>0</v>
      </c>
      <c r="AM62" s="418">
        <f>VLOOKUP('Physical Effects'!BX66,Lookup!$B$4:$C$14,2,FALSE)</f>
        <v>0</v>
      </c>
      <c r="AN62" s="418">
        <f>VLOOKUP('Physical Effects'!BZ66,Lookup!$B$4:$C$14,2,FALSE)</f>
        <v>0</v>
      </c>
      <c r="AO62" s="418">
        <f>VLOOKUP('Physical Effects'!CB66,Lookup!$B$4:$C$14,2,FALSE)</f>
        <v>0</v>
      </c>
      <c r="AP62" s="418">
        <f>VLOOKUP('Physical Effects'!CD66,Lookup!$B$4:$C$14,2,FALSE)</f>
        <v>0</v>
      </c>
      <c r="AQ62" s="418">
        <f>VLOOKUP('Physical Effects'!CF66,Lookup!$B$4:$C$14,2,FALSE)</f>
        <v>0</v>
      </c>
      <c r="AR62" s="418">
        <f>VLOOKUP('Physical Effects'!CH66,Lookup!$B$4:$C$14,2,FALSE)</f>
        <v>0</v>
      </c>
      <c r="AS62" s="418">
        <f>VLOOKUP('Physical Effects'!CJ66,Lookup!$B$4:$C$14,2,FALSE)</f>
        <v>0</v>
      </c>
      <c r="AT62" s="418">
        <f>VLOOKUP('Physical Effects'!CL66,Lookup!$B$4:$C$14,2,FALSE)</f>
        <v>0</v>
      </c>
      <c r="AU62" s="418">
        <f>VLOOKUP('Physical Effects'!CN66,Lookup!$B$4:$C$14,2,FALSE)</f>
        <v>0</v>
      </c>
      <c r="AV62" s="28"/>
      <c r="AW62" s="23"/>
      <c r="AX62" s="23"/>
      <c r="AY62" s="23"/>
      <c r="AZ62" s="23"/>
      <c r="BA62" s="23"/>
      <c r="BB62" s="23"/>
      <c r="BC62" s="23"/>
      <c r="BD62" s="23"/>
      <c r="BE62" s="23"/>
      <c r="BF62" s="23"/>
    </row>
    <row r="63" spans="1:58" s="5" customFormat="1" ht="13.5" thickBot="1" x14ac:dyDescent="0.25">
      <c r="A63" s="123">
        <f t="shared" si="0"/>
        <v>62</v>
      </c>
      <c r="B63" s="19" t="str">
        <f>+'Physical Effects'!B67</f>
        <v>Heavy Use Area Protection</v>
      </c>
      <c r="C63" s="32">
        <f>+'Physical Effects'!D67</f>
        <v>561</v>
      </c>
      <c r="D63" s="418">
        <f>VLOOKUP('Physical Effects'!F67,Lookup!$B$4:$C$14,2,FALSE)</f>
        <v>2</v>
      </c>
      <c r="E63" s="418">
        <f>VLOOKUP('Physical Effects'!H67,Lookup!$B$4:$C$14,2,FALSE)</f>
        <v>2</v>
      </c>
      <c r="F63" s="418">
        <f>VLOOKUP('Physical Effects'!J67,Lookup!$B$4:$C$14,2,FALSE)</f>
        <v>2</v>
      </c>
      <c r="G63" s="418">
        <f>VLOOKUP('Physical Effects'!L67,Lookup!$B$4:$C$14,2,FALSE)</f>
        <v>2</v>
      </c>
      <c r="H63" s="418">
        <f>VLOOKUP('Physical Effects'!N67,Lookup!$B$4:$C$14,2,FALSE)</f>
        <v>0</v>
      </c>
      <c r="I63" s="418">
        <f>VLOOKUP('Physical Effects'!P67,Lookup!$B$4:$C$14,2,FALSE)</f>
        <v>0</v>
      </c>
      <c r="J63" s="418">
        <f>VLOOKUP('Physical Effects'!R67,Lookup!$B$4:$C$14,2,FALSE)</f>
        <v>1</v>
      </c>
      <c r="K63" s="418">
        <f>VLOOKUP('Physical Effects'!T67,Lookup!$B$4:$C$14,2,FALSE)</f>
        <v>0</v>
      </c>
      <c r="L63" s="418">
        <f>VLOOKUP('Physical Effects'!V67,Lookup!$B$4:$C$14,2,FALSE)</f>
        <v>0</v>
      </c>
      <c r="M63" s="418">
        <f>VLOOKUP('Physical Effects'!X67,Lookup!$B$4:$C$14,2,FALSE)</f>
        <v>0</v>
      </c>
      <c r="N63" s="418">
        <f>VLOOKUP('Physical Effects'!Z67,Lookup!$B$4:$C$14,2,FALSE)</f>
        <v>-1</v>
      </c>
      <c r="O63" s="418">
        <f>VLOOKUP('Physical Effects'!AB67,Lookup!$B$4:$C$14,2,FALSE)</f>
        <v>0</v>
      </c>
      <c r="P63" s="418">
        <f>VLOOKUP('Physical Effects'!AD67,Lookup!$B$4:$C$14,2,FALSE)</f>
        <v>0</v>
      </c>
      <c r="Q63" s="418">
        <f>VLOOKUP('Physical Effects'!AF67,Lookup!$B$4:$C$14,2,FALSE)</f>
        <v>0</v>
      </c>
      <c r="R63" s="418">
        <f>VLOOKUP('Physical Effects'!AH67,Lookup!$B$4:$C$14,2,FALSE)</f>
        <v>0</v>
      </c>
      <c r="S63" s="418">
        <f>VLOOKUP('Physical Effects'!AJ67,Lookup!$B$4:$C$14,2,FALSE)</f>
        <v>0</v>
      </c>
      <c r="T63" s="418">
        <f>VLOOKUP('Physical Effects'!AL67,Lookup!$B$4:$C$14,2,FALSE)</f>
        <v>0</v>
      </c>
      <c r="U63" s="418">
        <f>VLOOKUP('Physical Effects'!AN67,Lookup!$B$4:$C$14,2,FALSE)</f>
        <v>1</v>
      </c>
      <c r="V63" s="418">
        <f>VLOOKUP('Physical Effects'!AP67,Lookup!$B$4:$C$14,2,FALSE)</f>
        <v>0</v>
      </c>
      <c r="W63" s="418">
        <f>VLOOKUP('Physical Effects'!AR67,Lookup!$B$4:$C$14,2,FALSE)</f>
        <v>0</v>
      </c>
      <c r="X63" s="418">
        <f>VLOOKUP('Physical Effects'!AT67,Lookup!$B$4:$C$14,2,FALSE)</f>
        <v>0</v>
      </c>
      <c r="Y63" s="418">
        <f>VLOOKUP('Physical Effects'!AV67,Lookup!$B$4:$C$14,2,FALSE)</f>
        <v>2</v>
      </c>
      <c r="Z63" s="418">
        <f>VLOOKUP('Physical Effects'!AX67,Lookup!$B$4:$C$14,2,FALSE)</f>
        <v>0</v>
      </c>
      <c r="AA63" s="418">
        <f>VLOOKUP('Physical Effects'!AZ67,Lookup!$B$4:$C$14,2,FALSE)</f>
        <v>2</v>
      </c>
      <c r="AB63" s="418">
        <f>VLOOKUP('Physical Effects'!BB67,Lookup!$B$4:$C$14,2,FALSE)</f>
        <v>0</v>
      </c>
      <c r="AC63" s="418">
        <f>VLOOKUP('Physical Effects'!BD67,Lookup!$B$4:$C$14,2,FALSE)</f>
        <v>0</v>
      </c>
      <c r="AD63" s="418">
        <f>VLOOKUP('Physical Effects'!BF67,Lookup!$B$4:$C$14,2,FALSE)</f>
        <v>0</v>
      </c>
      <c r="AE63" s="418">
        <f>VLOOKUP('Physical Effects'!BH67,Lookup!$B$4:$C$14,2,FALSE)</f>
        <v>2</v>
      </c>
      <c r="AF63" s="418">
        <f>VLOOKUP('Physical Effects'!BJ67,Lookup!$B$4:$C$14,2,FALSE)</f>
        <v>0</v>
      </c>
      <c r="AG63" s="418">
        <f>VLOOKUP('Physical Effects'!BL67,Lookup!$B$4:$C$14,2,FALSE)</f>
        <v>0</v>
      </c>
      <c r="AH63" s="418">
        <f>VLOOKUP('Physical Effects'!BN67,Lookup!$B$4:$C$14,2,FALSE)</f>
        <v>0</v>
      </c>
      <c r="AI63" s="418">
        <f>VLOOKUP('Physical Effects'!BP67,Lookup!$B$4:$C$14,2,FALSE)</f>
        <v>0</v>
      </c>
      <c r="AJ63" s="418">
        <f>VLOOKUP('Physical Effects'!BR67,Lookup!$B$4:$C$14,2,FALSE)</f>
        <v>0</v>
      </c>
      <c r="AK63" s="418">
        <f>VLOOKUP('Physical Effects'!BT67,Lookup!$B$4:$C$14,2,FALSE)</f>
        <v>0</v>
      </c>
      <c r="AL63" s="418">
        <f>VLOOKUP('Physical Effects'!BV67,Lookup!$B$4:$C$14,2,FALSE)</f>
        <v>0</v>
      </c>
      <c r="AM63" s="418">
        <f>VLOOKUP('Physical Effects'!BX67,Lookup!$B$4:$C$14,2,FALSE)</f>
        <v>0</v>
      </c>
      <c r="AN63" s="418">
        <f>VLOOKUP('Physical Effects'!BZ67,Lookup!$B$4:$C$14,2,FALSE)</f>
        <v>0</v>
      </c>
      <c r="AO63" s="418">
        <f>VLOOKUP('Physical Effects'!CB67,Lookup!$B$4:$C$14,2,FALSE)</f>
        <v>0</v>
      </c>
      <c r="AP63" s="418">
        <f>VLOOKUP('Physical Effects'!CD67,Lookup!$B$4:$C$14,2,FALSE)</f>
        <v>0</v>
      </c>
      <c r="AQ63" s="418">
        <f>VLOOKUP('Physical Effects'!CF67,Lookup!$B$4:$C$14,2,FALSE)</f>
        <v>0</v>
      </c>
      <c r="AR63" s="418">
        <f>VLOOKUP('Physical Effects'!CH67,Lookup!$B$4:$C$14,2,FALSE)</f>
        <v>0</v>
      </c>
      <c r="AS63" s="418">
        <f>VLOOKUP('Physical Effects'!CJ67,Lookup!$B$4:$C$14,2,FALSE)</f>
        <v>0</v>
      </c>
      <c r="AT63" s="418">
        <f>VLOOKUP('Physical Effects'!CL67,Lookup!$B$4:$C$14,2,FALSE)</f>
        <v>0</v>
      </c>
      <c r="AU63" s="418">
        <f>VLOOKUP('Physical Effects'!CN67,Lookup!$B$4:$C$14,2,FALSE)</f>
        <v>0</v>
      </c>
      <c r="AV63" s="28"/>
      <c r="AW63" s="23"/>
      <c r="AX63" s="23"/>
      <c r="AY63" s="23"/>
      <c r="AZ63" s="23"/>
      <c r="BA63" s="23"/>
      <c r="BB63" s="23"/>
      <c r="BC63" s="23"/>
      <c r="BD63" s="23"/>
      <c r="BE63" s="23"/>
      <c r="BF63" s="23"/>
    </row>
    <row r="64" spans="1:58" s="17" customFormat="1" ht="13.5" thickBot="1" x14ac:dyDescent="0.25">
      <c r="A64" s="123">
        <f t="shared" si="0"/>
        <v>63</v>
      </c>
      <c r="B64" s="19" t="str">
        <f>+'Physical Effects'!B68</f>
        <v>Hedgerow Planting</v>
      </c>
      <c r="C64" s="32">
        <f>+'Physical Effects'!D68</f>
        <v>422</v>
      </c>
      <c r="D64" s="418">
        <f>VLOOKUP('Physical Effects'!F68,Lookup!$B$4:$C$14,2,FALSE)</f>
        <v>0</v>
      </c>
      <c r="E64" s="418">
        <f>VLOOKUP('Physical Effects'!H68,Lookup!$B$4:$C$14,2,FALSE)</f>
        <v>1</v>
      </c>
      <c r="F64" s="418">
        <f>VLOOKUP('Physical Effects'!J68,Lookup!$B$4:$C$14,2,FALSE)</f>
        <v>0</v>
      </c>
      <c r="G64" s="418">
        <f>VLOOKUP('Physical Effects'!L68,Lookup!$B$4:$C$14,2,FALSE)</f>
        <v>0</v>
      </c>
      <c r="H64" s="418">
        <f>VLOOKUP('Physical Effects'!N68,Lookup!$B$4:$C$14,2,FALSE)</f>
        <v>0</v>
      </c>
      <c r="I64" s="418">
        <f>VLOOKUP('Physical Effects'!P68,Lookup!$B$4:$C$14,2,FALSE)</f>
        <v>2</v>
      </c>
      <c r="J64" s="418">
        <f>VLOOKUP('Physical Effects'!R68,Lookup!$B$4:$C$14,2,FALSE)</f>
        <v>1</v>
      </c>
      <c r="K64" s="418">
        <f>VLOOKUP('Physical Effects'!T68,Lookup!$B$4:$C$14,2,FALSE)</f>
        <v>0</v>
      </c>
      <c r="L64" s="418">
        <f>VLOOKUP('Physical Effects'!V68,Lookup!$B$4:$C$14,2,FALSE)</f>
        <v>0</v>
      </c>
      <c r="M64" s="418">
        <f>VLOOKUP('Physical Effects'!X68,Lookup!$B$4:$C$14,2,FALSE)</f>
        <v>0</v>
      </c>
      <c r="N64" s="418">
        <f>VLOOKUP('Physical Effects'!Z68,Lookup!$B$4:$C$14,2,FALSE)</f>
        <v>0</v>
      </c>
      <c r="O64" s="418">
        <f>VLOOKUP('Physical Effects'!AB68,Lookup!$B$4:$C$14,2,FALSE)</f>
        <v>0</v>
      </c>
      <c r="P64" s="418">
        <f>VLOOKUP('Physical Effects'!AD68,Lookup!$B$4:$C$14,2,FALSE)</f>
        <v>2</v>
      </c>
      <c r="Q64" s="418">
        <f>VLOOKUP('Physical Effects'!AF68,Lookup!$B$4:$C$14,2,FALSE)</f>
        <v>0</v>
      </c>
      <c r="R64" s="418">
        <f>VLOOKUP('Physical Effects'!AH68,Lookup!$B$4:$C$14,2,FALSE)</f>
        <v>0</v>
      </c>
      <c r="S64" s="418">
        <f>VLOOKUP('Physical Effects'!AJ68,Lookup!$B$4:$C$14,2,FALSE)</f>
        <v>1</v>
      </c>
      <c r="T64" s="418">
        <f>VLOOKUP('Physical Effects'!AL68,Lookup!$B$4:$C$14,2,FALSE)</f>
        <v>0</v>
      </c>
      <c r="U64" s="418">
        <f>VLOOKUP('Physical Effects'!AN68,Lookup!$B$4:$C$14,2,FALSE)</f>
        <v>2</v>
      </c>
      <c r="V64" s="418">
        <f>VLOOKUP('Physical Effects'!AP68,Lookup!$B$4:$C$14,2,FALSE)</f>
        <v>0</v>
      </c>
      <c r="W64" s="418">
        <f>VLOOKUP('Physical Effects'!AR68,Lookup!$B$4:$C$14,2,FALSE)</f>
        <v>0</v>
      </c>
      <c r="X64" s="418">
        <f>VLOOKUP('Physical Effects'!AT68,Lookup!$B$4:$C$14,2,FALSE)</f>
        <v>0</v>
      </c>
      <c r="Y64" s="418">
        <f>VLOOKUP('Physical Effects'!AV68,Lookup!$B$4:$C$14,2,FALSE)</f>
        <v>0</v>
      </c>
      <c r="Z64" s="418">
        <f>VLOOKUP('Physical Effects'!AX68,Lookup!$B$4:$C$14,2,FALSE)</f>
        <v>0</v>
      </c>
      <c r="AA64" s="418">
        <f>VLOOKUP('Physical Effects'!AZ68,Lookup!$B$4:$C$14,2,FALSE)</f>
        <v>0</v>
      </c>
      <c r="AB64" s="418">
        <f>VLOOKUP('Physical Effects'!BB68,Lookup!$B$4:$C$14,2,FALSE)</f>
        <v>1</v>
      </c>
      <c r="AC64" s="418">
        <f>VLOOKUP('Physical Effects'!BD68,Lookup!$B$4:$C$14,2,FALSE)</f>
        <v>0</v>
      </c>
      <c r="AD64" s="418">
        <f>VLOOKUP('Physical Effects'!BF68,Lookup!$B$4:$C$14,2,FALSE)</f>
        <v>0</v>
      </c>
      <c r="AE64" s="418">
        <f>VLOOKUP('Physical Effects'!BH68,Lookup!$B$4:$C$14,2,FALSE)</f>
        <v>2</v>
      </c>
      <c r="AF64" s="418">
        <f>VLOOKUP('Physical Effects'!BJ68,Lookup!$B$4:$C$14,2,FALSE)</f>
        <v>0</v>
      </c>
      <c r="AG64" s="418">
        <f>VLOOKUP('Physical Effects'!BL68,Lookup!$B$4:$C$14,2,FALSE)</f>
        <v>1</v>
      </c>
      <c r="AH64" s="418">
        <f>VLOOKUP('Physical Effects'!BN68,Lookup!$B$4:$C$14,2,FALSE)</f>
        <v>2</v>
      </c>
      <c r="AI64" s="418">
        <f>VLOOKUP('Physical Effects'!BP68,Lookup!$B$4:$C$14,2,FALSE)</f>
        <v>2</v>
      </c>
      <c r="AJ64" s="418">
        <f>VLOOKUP('Physical Effects'!BR68,Lookup!$B$4:$C$14,2,FALSE)</f>
        <v>5</v>
      </c>
      <c r="AK64" s="418">
        <f>VLOOKUP('Physical Effects'!BT68,Lookup!$B$4:$C$14,2,FALSE)</f>
        <v>4</v>
      </c>
      <c r="AL64" s="418">
        <f>VLOOKUP('Physical Effects'!BV68,Lookup!$B$4:$C$14,2,FALSE)</f>
        <v>0</v>
      </c>
      <c r="AM64" s="418">
        <f>VLOOKUP('Physical Effects'!BX68,Lookup!$B$4:$C$14,2,FALSE)</f>
        <v>4</v>
      </c>
      <c r="AN64" s="418">
        <f>VLOOKUP('Physical Effects'!BZ68,Lookup!$B$4:$C$14,2,FALSE)</f>
        <v>4</v>
      </c>
      <c r="AO64" s="418">
        <f>VLOOKUP('Physical Effects'!CB68,Lookup!$B$4:$C$14,2,FALSE)</f>
        <v>0</v>
      </c>
      <c r="AP64" s="418">
        <f>VLOOKUP('Physical Effects'!CD68,Lookup!$B$4:$C$14,2,FALSE)</f>
        <v>4</v>
      </c>
      <c r="AQ64" s="418">
        <f>VLOOKUP('Physical Effects'!CF68,Lookup!$B$4:$C$14,2,FALSE)</f>
        <v>0</v>
      </c>
      <c r="AR64" s="418">
        <f>VLOOKUP('Physical Effects'!CH68,Lookup!$B$4:$C$14,2,FALSE)</f>
        <v>1</v>
      </c>
      <c r="AS64" s="418">
        <f>VLOOKUP('Physical Effects'!CJ68,Lookup!$B$4:$C$14,2,FALSE)</f>
        <v>0</v>
      </c>
      <c r="AT64" s="418">
        <f>VLOOKUP('Physical Effects'!CL68,Lookup!$B$4:$C$14,2,FALSE)</f>
        <v>0</v>
      </c>
      <c r="AU64" s="418">
        <f>VLOOKUP('Physical Effects'!CN68,Lookup!$B$4:$C$14,2,FALSE)</f>
        <v>0</v>
      </c>
      <c r="AV64" s="28"/>
      <c r="AW64" s="21"/>
      <c r="AX64" s="21"/>
      <c r="AY64" s="21"/>
      <c r="AZ64" s="21"/>
      <c r="BA64" s="21"/>
      <c r="BB64" s="21"/>
      <c r="BC64" s="21"/>
      <c r="BD64" s="21"/>
      <c r="BE64" s="21"/>
      <c r="BF64" s="21"/>
    </row>
    <row r="65" spans="1:58" s="17" customFormat="1" ht="13.5" thickBot="1" x14ac:dyDescent="0.25">
      <c r="A65" s="123">
        <f t="shared" si="0"/>
        <v>64</v>
      </c>
      <c r="B65" s="19" t="str">
        <f>+'Physical Effects'!B69</f>
        <v>Herbaceous Weed Control</v>
      </c>
      <c r="C65" s="32">
        <f>+'Physical Effects'!D69</f>
        <v>315</v>
      </c>
      <c r="D65" s="418">
        <f>VLOOKUP('Physical Effects'!F69,Lookup!$B$4:$C$14,2,FALSE)</f>
        <v>4</v>
      </c>
      <c r="E65" s="418">
        <f>VLOOKUP('Physical Effects'!H69,Lookup!$B$4:$C$14,2,FALSE)</f>
        <v>4</v>
      </c>
      <c r="F65" s="418">
        <f>VLOOKUP('Physical Effects'!J69,Lookup!$B$4:$C$14,2,FALSE)</f>
        <v>2</v>
      </c>
      <c r="G65" s="418">
        <f>VLOOKUP('Physical Effects'!L69,Lookup!$B$4:$C$14,2,FALSE)</f>
        <v>2</v>
      </c>
      <c r="H65" s="418">
        <f>VLOOKUP('Physical Effects'!N69,Lookup!$B$4:$C$14,2,FALSE)</f>
        <v>4</v>
      </c>
      <c r="I65" s="418">
        <f>VLOOKUP('Physical Effects'!P69,Lookup!$B$4:$C$14,2,FALSE)</f>
        <v>0</v>
      </c>
      <c r="J65" s="418">
        <f>VLOOKUP('Physical Effects'!R69,Lookup!$B$4:$C$14,2,FALSE)</f>
        <v>0</v>
      </c>
      <c r="K65" s="418">
        <f>VLOOKUP('Physical Effects'!T69,Lookup!$B$4:$C$14,2,FALSE)</f>
        <v>0</v>
      </c>
      <c r="L65" s="418">
        <f>VLOOKUP('Physical Effects'!V69,Lookup!$B$4:$C$14,2,FALSE)</f>
        <v>0</v>
      </c>
      <c r="M65" s="418">
        <f>VLOOKUP('Physical Effects'!X69,Lookup!$B$4:$C$14,2,FALSE)</f>
        <v>0</v>
      </c>
      <c r="N65" s="418">
        <f>VLOOKUP('Physical Effects'!Z69,Lookup!$B$4:$C$14,2,FALSE)</f>
        <v>0</v>
      </c>
      <c r="O65" s="418">
        <f>VLOOKUP('Physical Effects'!AB69,Lookup!$B$4:$C$14,2,FALSE)</f>
        <v>0</v>
      </c>
      <c r="P65" s="418">
        <f>VLOOKUP('Physical Effects'!AD69,Lookup!$B$4:$C$14,2,FALSE)</f>
        <v>0</v>
      </c>
      <c r="Q65" s="418">
        <f>VLOOKUP('Physical Effects'!AF69,Lookup!$B$4:$C$14,2,FALSE)</f>
        <v>2</v>
      </c>
      <c r="R65" s="418">
        <f>VLOOKUP('Physical Effects'!AH69,Lookup!$B$4:$C$14,2,FALSE)</f>
        <v>0</v>
      </c>
      <c r="S65" s="418">
        <f>VLOOKUP('Physical Effects'!AJ69,Lookup!$B$4:$C$14,2,FALSE)</f>
        <v>-1</v>
      </c>
      <c r="T65" s="418">
        <f>VLOOKUP('Physical Effects'!AL69,Lookup!$B$4:$C$14,2,FALSE)</f>
        <v>0</v>
      </c>
      <c r="U65" s="418">
        <f>VLOOKUP('Physical Effects'!AN69,Lookup!$B$4:$C$14,2,FALSE)</f>
        <v>0</v>
      </c>
      <c r="V65" s="418">
        <f>VLOOKUP('Physical Effects'!AP69,Lookup!$B$4:$C$14,2,FALSE)</f>
        <v>0</v>
      </c>
      <c r="W65" s="418">
        <f>VLOOKUP('Physical Effects'!AR69,Lookup!$B$4:$C$14,2,FALSE)</f>
        <v>0</v>
      </c>
      <c r="X65" s="418">
        <f>VLOOKUP('Physical Effects'!AT69,Lookup!$B$4:$C$14,2,FALSE)</f>
        <v>0</v>
      </c>
      <c r="Y65" s="418">
        <f>VLOOKUP('Physical Effects'!AV69,Lookup!$B$4:$C$14,2,FALSE)</f>
        <v>0</v>
      </c>
      <c r="Z65" s="418">
        <f>VLOOKUP('Physical Effects'!AX69,Lookup!$B$4:$C$14,2,FALSE)</f>
        <v>0</v>
      </c>
      <c r="AA65" s="418">
        <f>VLOOKUP('Physical Effects'!AZ69,Lookup!$B$4:$C$14,2,FALSE)</f>
        <v>0</v>
      </c>
      <c r="AB65" s="418">
        <f>VLOOKUP('Physical Effects'!BB69,Lookup!$B$4:$C$14,2,FALSE)</f>
        <v>0</v>
      </c>
      <c r="AC65" s="418">
        <f>VLOOKUP('Physical Effects'!BD69,Lookup!$B$4:$C$14,2,FALSE)</f>
        <v>0</v>
      </c>
      <c r="AD65" s="418">
        <f>VLOOKUP('Physical Effects'!BF69,Lookup!$B$4:$C$14,2,FALSE)</f>
        <v>0</v>
      </c>
      <c r="AE65" s="418">
        <f>VLOOKUP('Physical Effects'!BH69,Lookup!$B$4:$C$14,2,FALSE)</f>
        <v>0</v>
      </c>
      <c r="AF65" s="418">
        <f>VLOOKUP('Physical Effects'!BJ69,Lookup!$B$4:$C$14,2,FALSE)</f>
        <v>0</v>
      </c>
      <c r="AG65" s="418">
        <f>VLOOKUP('Physical Effects'!BL69,Lookup!$B$4:$C$14,2,FALSE)</f>
        <v>1</v>
      </c>
      <c r="AH65" s="418">
        <f>VLOOKUP('Physical Effects'!BN69,Lookup!$B$4:$C$14,2,FALSE)</f>
        <v>0</v>
      </c>
      <c r="AI65" s="418">
        <f>VLOOKUP('Physical Effects'!BP69,Lookup!$B$4:$C$14,2,FALSE)</f>
        <v>2</v>
      </c>
      <c r="AJ65" s="418">
        <f>VLOOKUP('Physical Effects'!BR69,Lookup!$B$4:$C$14,2,FALSE)</f>
        <v>4</v>
      </c>
      <c r="AK65" s="418">
        <f>VLOOKUP('Physical Effects'!BT69,Lookup!$B$4:$C$14,2,FALSE)</f>
        <v>4</v>
      </c>
      <c r="AL65" s="418">
        <f>VLOOKUP('Physical Effects'!BV69,Lookup!$B$4:$C$14,2,FALSE)</f>
        <v>1</v>
      </c>
      <c r="AM65" s="418">
        <f>VLOOKUP('Physical Effects'!BX69,Lookup!$B$4:$C$14,2,FALSE)</f>
        <v>2</v>
      </c>
      <c r="AN65" s="418">
        <f>VLOOKUP('Physical Effects'!BZ69,Lookup!$B$4:$C$14,2,FALSE)</f>
        <v>2</v>
      </c>
      <c r="AO65" s="418">
        <f>VLOOKUP('Physical Effects'!CB69,Lookup!$B$4:$C$14,2,FALSE)</f>
        <v>0</v>
      </c>
      <c r="AP65" s="418">
        <f>VLOOKUP('Physical Effects'!CD69,Lookup!$B$4:$C$14,2,FALSE)</f>
        <v>1</v>
      </c>
      <c r="AQ65" s="418">
        <f>VLOOKUP('Physical Effects'!CF69,Lookup!$B$4:$C$14,2,FALSE)</f>
        <v>4</v>
      </c>
      <c r="AR65" s="418">
        <f>VLOOKUP('Physical Effects'!CH69,Lookup!$B$4:$C$14,2,FALSE)</f>
        <v>0</v>
      </c>
      <c r="AS65" s="418">
        <f>VLOOKUP('Physical Effects'!CJ69,Lookup!$B$4:$C$14,2,FALSE)</f>
        <v>0</v>
      </c>
      <c r="AT65" s="418">
        <f>VLOOKUP('Physical Effects'!CL69,Lookup!$B$4:$C$14,2,FALSE)</f>
        <v>0</v>
      </c>
      <c r="AU65" s="418">
        <f>VLOOKUP('Physical Effects'!CN69,Lookup!$B$4:$C$14,2,FALSE)</f>
        <v>0</v>
      </c>
      <c r="AV65" s="28"/>
      <c r="AW65" s="21"/>
      <c r="AX65" s="21"/>
      <c r="AY65" s="21"/>
      <c r="AZ65" s="21"/>
      <c r="BA65" s="21"/>
      <c r="BB65" s="21"/>
      <c r="BC65" s="21"/>
      <c r="BD65" s="21"/>
      <c r="BE65" s="21"/>
      <c r="BF65" s="21"/>
    </row>
    <row r="66" spans="1:58" s="17" customFormat="1" ht="13.5" thickBot="1" x14ac:dyDescent="0.25">
      <c r="A66" s="123">
        <f t="shared" si="0"/>
        <v>65</v>
      </c>
      <c r="B66" s="19" t="str">
        <f>+'Physical Effects'!B70</f>
        <v>Herbaceous Wind Barriers</v>
      </c>
      <c r="C66" s="32">
        <f>+'Physical Effects'!D70</f>
        <v>603</v>
      </c>
      <c r="D66" s="418">
        <f>VLOOKUP('Physical Effects'!F70,Lookup!$B$4:$C$14,2,FALSE)</f>
        <v>0</v>
      </c>
      <c r="E66" s="418">
        <f>VLOOKUP('Physical Effects'!H70,Lookup!$B$4:$C$14,2,FALSE)</f>
        <v>4</v>
      </c>
      <c r="F66" s="418">
        <f>VLOOKUP('Physical Effects'!J70,Lookup!$B$4:$C$14,2,FALSE)</f>
        <v>0</v>
      </c>
      <c r="G66" s="418">
        <f>VLOOKUP('Physical Effects'!L70,Lookup!$B$4:$C$14,2,FALSE)</f>
        <v>0</v>
      </c>
      <c r="H66" s="418">
        <f>VLOOKUP('Physical Effects'!N70,Lookup!$B$4:$C$14,2,FALSE)</f>
        <v>0</v>
      </c>
      <c r="I66" s="418">
        <f>VLOOKUP('Physical Effects'!P70,Lookup!$B$4:$C$14,2,FALSE)</f>
        <v>2</v>
      </c>
      <c r="J66" s="418">
        <f>VLOOKUP('Physical Effects'!R70,Lookup!$B$4:$C$14,2,FALSE)</f>
        <v>0</v>
      </c>
      <c r="K66" s="418">
        <f>VLOOKUP('Physical Effects'!T70,Lookup!$B$4:$C$14,2,FALSE)</f>
        <v>0</v>
      </c>
      <c r="L66" s="418">
        <f>VLOOKUP('Physical Effects'!V70,Lookup!$B$4:$C$14,2,FALSE)</f>
        <v>0</v>
      </c>
      <c r="M66" s="418">
        <f>VLOOKUP('Physical Effects'!X70,Lookup!$B$4:$C$14,2,FALSE)</f>
        <v>0</v>
      </c>
      <c r="N66" s="418">
        <f>VLOOKUP('Physical Effects'!Z70,Lookup!$B$4:$C$14,2,FALSE)</f>
        <v>0</v>
      </c>
      <c r="O66" s="418">
        <f>VLOOKUP('Physical Effects'!AB70,Lookup!$B$4:$C$14,2,FALSE)</f>
        <v>0</v>
      </c>
      <c r="P66" s="418">
        <f>VLOOKUP('Physical Effects'!AD70,Lookup!$B$4:$C$14,2,FALSE)</f>
        <v>0</v>
      </c>
      <c r="Q66" s="418">
        <f>VLOOKUP('Physical Effects'!AF70,Lookup!$B$4:$C$14,2,FALSE)</f>
        <v>0</v>
      </c>
      <c r="R66" s="418">
        <f>VLOOKUP('Physical Effects'!AH70,Lookup!$B$4:$C$14,2,FALSE)</f>
        <v>3</v>
      </c>
      <c r="S66" s="418">
        <f>VLOOKUP('Physical Effects'!AJ70,Lookup!$B$4:$C$14,2,FALSE)</f>
        <v>1</v>
      </c>
      <c r="T66" s="418">
        <f>VLOOKUP('Physical Effects'!AL70,Lookup!$B$4:$C$14,2,FALSE)</f>
        <v>0</v>
      </c>
      <c r="U66" s="418">
        <f>VLOOKUP('Physical Effects'!AN70,Lookup!$B$4:$C$14,2,FALSE)</f>
        <v>1</v>
      </c>
      <c r="V66" s="418">
        <f>VLOOKUP('Physical Effects'!AP70,Lookup!$B$4:$C$14,2,FALSE)</f>
        <v>0</v>
      </c>
      <c r="W66" s="418">
        <f>VLOOKUP('Physical Effects'!AR70,Lookup!$B$4:$C$14,2,FALSE)</f>
        <v>0</v>
      </c>
      <c r="X66" s="418">
        <f>VLOOKUP('Physical Effects'!AT70,Lookup!$B$4:$C$14,2,FALSE)</f>
        <v>0</v>
      </c>
      <c r="Y66" s="418">
        <f>VLOOKUP('Physical Effects'!AV70,Lookup!$B$4:$C$14,2,FALSE)</f>
        <v>0</v>
      </c>
      <c r="Z66" s="418">
        <f>VLOOKUP('Physical Effects'!AX70,Lookup!$B$4:$C$14,2,FALSE)</f>
        <v>0</v>
      </c>
      <c r="AA66" s="418">
        <f>VLOOKUP('Physical Effects'!AZ70,Lookup!$B$4:$C$14,2,FALSE)</f>
        <v>1</v>
      </c>
      <c r="AB66" s="418">
        <f>VLOOKUP('Physical Effects'!BB70,Lookup!$B$4:$C$14,2,FALSE)</f>
        <v>0</v>
      </c>
      <c r="AC66" s="418">
        <f>VLOOKUP('Physical Effects'!BD70,Lookup!$B$4:$C$14,2,FALSE)</f>
        <v>0</v>
      </c>
      <c r="AD66" s="418">
        <f>VLOOKUP('Physical Effects'!BF70,Lookup!$B$4:$C$14,2,FALSE)</f>
        <v>0</v>
      </c>
      <c r="AE66" s="418">
        <f>VLOOKUP('Physical Effects'!BH70,Lookup!$B$4:$C$14,2,FALSE)</f>
        <v>2</v>
      </c>
      <c r="AF66" s="418">
        <f>VLOOKUP('Physical Effects'!BJ70,Lookup!$B$4:$C$14,2,FALSE)</f>
        <v>0</v>
      </c>
      <c r="AG66" s="418">
        <f>VLOOKUP('Physical Effects'!BL70,Lookup!$B$4:$C$14,2,FALSE)</f>
        <v>2</v>
      </c>
      <c r="AH66" s="418">
        <f>VLOOKUP('Physical Effects'!BN70,Lookup!$B$4:$C$14,2,FALSE)</f>
        <v>0</v>
      </c>
      <c r="AI66" s="418">
        <f>VLOOKUP('Physical Effects'!BP70,Lookup!$B$4:$C$14,2,FALSE)</f>
        <v>2</v>
      </c>
      <c r="AJ66" s="418">
        <f>VLOOKUP('Physical Effects'!BR70,Lookup!$B$4:$C$14,2,FALSE)</f>
        <v>5</v>
      </c>
      <c r="AK66" s="418">
        <f>VLOOKUP('Physical Effects'!BT70,Lookup!$B$4:$C$14,2,FALSE)</f>
        <v>4</v>
      </c>
      <c r="AL66" s="418">
        <f>VLOOKUP('Physical Effects'!BV70,Lookup!$B$4:$C$14,2,FALSE)</f>
        <v>0</v>
      </c>
      <c r="AM66" s="418">
        <f>VLOOKUP('Physical Effects'!BX70,Lookup!$B$4:$C$14,2,FALSE)</f>
        <v>2</v>
      </c>
      <c r="AN66" s="418">
        <f>VLOOKUP('Physical Effects'!BZ70,Lookup!$B$4:$C$14,2,FALSE)</f>
        <v>2</v>
      </c>
      <c r="AO66" s="418">
        <f>VLOOKUP('Physical Effects'!CB70,Lookup!$B$4:$C$14,2,FALSE)</f>
        <v>0</v>
      </c>
      <c r="AP66" s="418">
        <f>VLOOKUP('Physical Effects'!CD70,Lookup!$B$4:$C$14,2,FALSE)</f>
        <v>2</v>
      </c>
      <c r="AQ66" s="418">
        <f>VLOOKUP('Physical Effects'!CF70,Lookup!$B$4:$C$14,2,FALSE)</f>
        <v>0</v>
      </c>
      <c r="AR66" s="418">
        <f>VLOOKUP('Physical Effects'!CH70,Lookup!$B$4:$C$14,2,FALSE)</f>
        <v>0</v>
      </c>
      <c r="AS66" s="418">
        <f>VLOOKUP('Physical Effects'!CJ70,Lookup!$B$4:$C$14,2,FALSE)</f>
        <v>0</v>
      </c>
      <c r="AT66" s="418">
        <f>VLOOKUP('Physical Effects'!CL70,Lookup!$B$4:$C$14,2,FALSE)</f>
        <v>0</v>
      </c>
      <c r="AU66" s="418">
        <f>VLOOKUP('Physical Effects'!CN70,Lookup!$B$4:$C$14,2,FALSE)</f>
        <v>0</v>
      </c>
      <c r="AV66" s="28"/>
      <c r="AW66" s="21"/>
      <c r="AX66" s="21"/>
      <c r="AY66" s="21"/>
      <c r="AZ66" s="21"/>
      <c r="BA66" s="21"/>
      <c r="BB66" s="21"/>
      <c r="BC66" s="21"/>
      <c r="BD66" s="21"/>
      <c r="BE66" s="21"/>
      <c r="BF66" s="21"/>
    </row>
    <row r="67" spans="1:58" s="5" customFormat="1" ht="13.5" thickBot="1" x14ac:dyDescent="0.25">
      <c r="A67" s="123">
        <f t="shared" si="0"/>
        <v>66</v>
      </c>
      <c r="B67" s="19" t="str">
        <f>+'Physical Effects'!B71</f>
        <v>High Tunnel System</v>
      </c>
      <c r="C67" s="32">
        <f>+'Physical Effects'!D71</f>
        <v>325</v>
      </c>
      <c r="D67" s="418">
        <f>VLOOKUP('Physical Effects'!F71,Lookup!$B$4:$C$14,2,FALSE)</f>
        <v>0</v>
      </c>
      <c r="E67" s="418">
        <f>VLOOKUP('Physical Effects'!H71,Lookup!$B$4:$C$14,2,FALSE)</f>
        <v>0</v>
      </c>
      <c r="F67" s="418">
        <f>VLOOKUP('Physical Effects'!J71,Lookup!$B$4:$C$14,2,FALSE)</f>
        <v>-1</v>
      </c>
      <c r="G67" s="418">
        <f>VLOOKUP('Physical Effects'!L71,Lookup!$B$4:$C$14,2,FALSE)</f>
        <v>0</v>
      </c>
      <c r="H67" s="418">
        <f>VLOOKUP('Physical Effects'!N71,Lookup!$B$4:$C$14,2,FALSE)</f>
        <v>0</v>
      </c>
      <c r="I67" s="418">
        <f>VLOOKUP('Physical Effects'!P71,Lookup!$B$4:$C$14,2,FALSE)</f>
        <v>1</v>
      </c>
      <c r="J67" s="418">
        <f>VLOOKUP('Physical Effects'!R71,Lookup!$B$4:$C$14,2,FALSE)</f>
        <v>0</v>
      </c>
      <c r="K67" s="418">
        <f>VLOOKUP('Physical Effects'!T71,Lookup!$B$4:$C$14,2,FALSE)</f>
        <v>0</v>
      </c>
      <c r="L67" s="418">
        <f>VLOOKUP('Physical Effects'!V71,Lookup!$B$4:$C$14,2,FALSE)</f>
        <v>0</v>
      </c>
      <c r="M67" s="418">
        <f>VLOOKUP('Physical Effects'!X71,Lookup!$B$4:$C$14,2,FALSE)</f>
        <v>0</v>
      </c>
      <c r="N67" s="418">
        <f>VLOOKUP('Physical Effects'!Z71,Lookup!$B$4:$C$14,2,FALSE)</f>
        <v>-3</v>
      </c>
      <c r="O67" s="418">
        <f>VLOOKUP('Physical Effects'!AB71,Lookup!$B$4:$C$14,2,FALSE)</f>
        <v>0</v>
      </c>
      <c r="P67" s="418">
        <f>VLOOKUP('Physical Effects'!AD71,Lookup!$B$4:$C$14,2,FALSE)</f>
        <v>0</v>
      </c>
      <c r="Q67" s="418">
        <f>VLOOKUP('Physical Effects'!AF71,Lookup!$B$4:$C$14,2,FALSE)</f>
        <v>0</v>
      </c>
      <c r="R67" s="418">
        <f>VLOOKUP('Physical Effects'!AH71,Lookup!$B$4:$C$14,2,FALSE)</f>
        <v>-1</v>
      </c>
      <c r="S67" s="418">
        <f>VLOOKUP('Physical Effects'!AJ71,Lookup!$B$4:$C$14,2,FALSE)</f>
        <v>0</v>
      </c>
      <c r="T67" s="418">
        <f>VLOOKUP('Physical Effects'!AL71,Lookup!$B$4:$C$14,2,FALSE)</f>
        <v>0</v>
      </c>
      <c r="U67" s="418">
        <f>VLOOKUP('Physical Effects'!AN71,Lookup!$B$4:$C$14,2,FALSE)</f>
        <v>0</v>
      </c>
      <c r="V67" s="418">
        <f>VLOOKUP('Physical Effects'!AP71,Lookup!$B$4:$C$14,2,FALSE)</f>
        <v>0</v>
      </c>
      <c r="W67" s="418">
        <f>VLOOKUP('Physical Effects'!AR71,Lookup!$B$4:$C$14,2,FALSE)</f>
        <v>0</v>
      </c>
      <c r="X67" s="418">
        <f>VLOOKUP('Physical Effects'!AT71,Lookup!$B$4:$C$14,2,FALSE)</f>
        <v>0</v>
      </c>
      <c r="Y67" s="418">
        <f>VLOOKUP('Physical Effects'!AV71,Lookup!$B$4:$C$14,2,FALSE)</f>
        <v>0</v>
      </c>
      <c r="Z67" s="418">
        <f>VLOOKUP('Physical Effects'!AX71,Lookup!$B$4:$C$14,2,FALSE)</f>
        <v>0</v>
      </c>
      <c r="AA67" s="418">
        <f>VLOOKUP('Physical Effects'!AZ71,Lookup!$B$4:$C$14,2,FALSE)</f>
        <v>-1</v>
      </c>
      <c r="AB67" s="418">
        <f>VLOOKUP('Physical Effects'!BB71,Lookup!$B$4:$C$14,2,FALSE)</f>
        <v>0</v>
      </c>
      <c r="AC67" s="418">
        <f>VLOOKUP('Physical Effects'!BD71,Lookup!$B$4:$C$14,2,FALSE)</f>
        <v>0</v>
      </c>
      <c r="AD67" s="418">
        <f>VLOOKUP('Physical Effects'!BF71,Lookup!$B$4:$C$14,2,FALSE)</f>
        <v>0</v>
      </c>
      <c r="AE67" s="418">
        <f>VLOOKUP('Physical Effects'!BH71,Lookup!$B$4:$C$14,2,FALSE)</f>
        <v>0</v>
      </c>
      <c r="AF67" s="418">
        <f>VLOOKUP('Physical Effects'!BJ71,Lookup!$B$4:$C$14,2,FALSE)</f>
        <v>0</v>
      </c>
      <c r="AG67" s="418">
        <f>VLOOKUP('Physical Effects'!BL71,Lookup!$B$4:$C$14,2,FALSE)</f>
        <v>0</v>
      </c>
      <c r="AH67" s="418">
        <f>VLOOKUP('Physical Effects'!BN71,Lookup!$B$4:$C$14,2,FALSE)</f>
        <v>0</v>
      </c>
      <c r="AI67" s="418">
        <f>VLOOKUP('Physical Effects'!BP71,Lookup!$B$4:$C$14,2,FALSE)</f>
        <v>2</v>
      </c>
      <c r="AJ67" s="418">
        <f>VLOOKUP('Physical Effects'!BR71,Lookup!$B$4:$C$14,2,FALSE)</f>
        <v>0</v>
      </c>
      <c r="AK67" s="418">
        <f>VLOOKUP('Physical Effects'!BT71,Lookup!$B$4:$C$14,2,FALSE)</f>
        <v>0</v>
      </c>
      <c r="AL67" s="418">
        <f>VLOOKUP('Physical Effects'!BV71,Lookup!$B$4:$C$14,2,FALSE)</f>
        <v>0</v>
      </c>
      <c r="AM67" s="418">
        <f>VLOOKUP('Physical Effects'!BX71,Lookup!$B$4:$C$14,2,FALSE)</f>
        <v>0</v>
      </c>
      <c r="AN67" s="418">
        <f>VLOOKUP('Physical Effects'!BZ71,Lookup!$B$4:$C$14,2,FALSE)</f>
        <v>0</v>
      </c>
      <c r="AO67" s="418">
        <f>VLOOKUP('Physical Effects'!CB71,Lookup!$B$4:$C$14,2,FALSE)</f>
        <v>0</v>
      </c>
      <c r="AP67" s="418">
        <f>VLOOKUP('Physical Effects'!CD71,Lookup!$B$4:$C$14,2,FALSE)</f>
        <v>0</v>
      </c>
      <c r="AQ67" s="418">
        <f>VLOOKUP('Physical Effects'!CF71,Lookup!$B$4:$C$14,2,FALSE)</f>
        <v>0</v>
      </c>
      <c r="AR67" s="418">
        <f>VLOOKUP('Physical Effects'!CH71,Lookup!$B$4:$C$14,2,FALSE)</f>
        <v>0</v>
      </c>
      <c r="AS67" s="418">
        <f>VLOOKUP('Physical Effects'!CJ71,Lookup!$B$4:$C$14,2,FALSE)</f>
        <v>0</v>
      </c>
      <c r="AT67" s="418">
        <f>VLOOKUP('Physical Effects'!CL71,Lookup!$B$4:$C$14,2,FALSE)</f>
        <v>0</v>
      </c>
      <c r="AU67" s="418">
        <f>VLOOKUP('Physical Effects'!CN71,Lookup!$B$4:$C$14,2,FALSE)</f>
        <v>0</v>
      </c>
      <c r="AV67" s="28"/>
      <c r="AW67" s="23"/>
      <c r="AX67" s="23"/>
      <c r="AY67" s="23"/>
      <c r="AZ67" s="23"/>
      <c r="BA67" s="23"/>
      <c r="BB67" s="23"/>
      <c r="BC67" s="23"/>
      <c r="BD67" s="23"/>
      <c r="BE67" s="23"/>
      <c r="BF67" s="23"/>
    </row>
    <row r="68" spans="1:58" s="17" customFormat="1" ht="13.5" thickBot="1" x14ac:dyDescent="0.25">
      <c r="A68" s="123">
        <f t="shared" ref="A68:A131" si="1">+A67+1</f>
        <v>67</v>
      </c>
      <c r="B68" s="19" t="str">
        <f>+'Physical Effects'!B72</f>
        <v>Hillside Ditch</v>
      </c>
      <c r="C68" s="32">
        <f>+'Physical Effects'!D72</f>
        <v>423</v>
      </c>
      <c r="D68" s="418">
        <f>VLOOKUP('Physical Effects'!F72,Lookup!$B$4:$C$14,2,FALSE)</f>
        <v>2</v>
      </c>
      <c r="E68" s="418">
        <f>VLOOKUP('Physical Effects'!H72,Lookup!$B$4:$C$14,2,FALSE)</f>
        <v>0</v>
      </c>
      <c r="F68" s="418">
        <f>VLOOKUP('Physical Effects'!J72,Lookup!$B$4:$C$14,2,FALSE)</f>
        <v>2</v>
      </c>
      <c r="G68" s="418">
        <f>VLOOKUP('Physical Effects'!L72,Lookup!$B$4:$C$14,2,FALSE)</f>
        <v>2</v>
      </c>
      <c r="H68" s="418">
        <f>VLOOKUP('Physical Effects'!N72,Lookup!$B$4:$C$14,2,FALSE)</f>
        <v>1</v>
      </c>
      <c r="I68" s="418">
        <f>VLOOKUP('Physical Effects'!P72,Lookup!$B$4:$C$14,2,FALSE)</f>
        <v>0</v>
      </c>
      <c r="J68" s="418">
        <f>VLOOKUP('Physical Effects'!R72,Lookup!$B$4:$C$14,2,FALSE)</f>
        <v>0</v>
      </c>
      <c r="K68" s="418">
        <f>VLOOKUP('Physical Effects'!T72,Lookup!$B$4:$C$14,2,FALSE)</f>
        <v>0</v>
      </c>
      <c r="L68" s="418">
        <f>VLOOKUP('Physical Effects'!V72,Lookup!$B$4:$C$14,2,FALSE)</f>
        <v>0</v>
      </c>
      <c r="M68" s="418">
        <f>VLOOKUP('Physical Effects'!X72,Lookup!$B$4:$C$14,2,FALSE)</f>
        <v>0</v>
      </c>
      <c r="N68" s="418">
        <f>VLOOKUP('Physical Effects'!Z72,Lookup!$B$4:$C$14,2,FALSE)</f>
        <v>4</v>
      </c>
      <c r="O68" s="418">
        <f>VLOOKUP('Physical Effects'!AB72,Lookup!$B$4:$C$14,2,FALSE)</f>
        <v>0</v>
      </c>
      <c r="P68" s="418">
        <f>VLOOKUP('Physical Effects'!AD72,Lookup!$B$4:$C$14,2,FALSE)</f>
        <v>0</v>
      </c>
      <c r="Q68" s="418">
        <f>VLOOKUP('Physical Effects'!AF72,Lookup!$B$4:$C$14,2,FALSE)</f>
        <v>0</v>
      </c>
      <c r="R68" s="418">
        <f>VLOOKUP('Physical Effects'!AH72,Lookup!$B$4:$C$14,2,FALSE)</f>
        <v>1</v>
      </c>
      <c r="S68" s="418">
        <f>VLOOKUP('Physical Effects'!AJ72,Lookup!$B$4:$C$14,2,FALSE)</f>
        <v>1</v>
      </c>
      <c r="T68" s="418">
        <f>VLOOKUP('Physical Effects'!AL72,Lookup!$B$4:$C$14,2,FALSE)</f>
        <v>0</v>
      </c>
      <c r="U68" s="418">
        <f>VLOOKUP('Physical Effects'!AN72,Lookup!$B$4:$C$14,2,FALSE)</f>
        <v>-1</v>
      </c>
      <c r="V68" s="418">
        <f>VLOOKUP('Physical Effects'!AP72,Lookup!$B$4:$C$14,2,FALSE)</f>
        <v>-1</v>
      </c>
      <c r="W68" s="418">
        <f>VLOOKUP('Physical Effects'!AR72,Lookup!$B$4:$C$14,2,FALSE)</f>
        <v>0</v>
      </c>
      <c r="X68" s="418">
        <f>VLOOKUP('Physical Effects'!AT72,Lookup!$B$4:$C$14,2,FALSE)</f>
        <v>0</v>
      </c>
      <c r="Y68" s="418">
        <f>VLOOKUP('Physical Effects'!AV72,Lookup!$B$4:$C$14,2,FALSE)</f>
        <v>-2</v>
      </c>
      <c r="Z68" s="418">
        <f>VLOOKUP('Physical Effects'!AX72,Lookup!$B$4:$C$14,2,FALSE)</f>
        <v>0</v>
      </c>
      <c r="AA68" s="418">
        <f>VLOOKUP('Physical Effects'!AZ72,Lookup!$B$4:$C$14,2,FALSE)</f>
        <v>2</v>
      </c>
      <c r="AB68" s="418">
        <f>VLOOKUP('Physical Effects'!BB72,Lookup!$B$4:$C$14,2,FALSE)</f>
        <v>0</v>
      </c>
      <c r="AC68" s="418">
        <f>VLOOKUP('Physical Effects'!BD72,Lookup!$B$4:$C$14,2,FALSE)</f>
        <v>-1</v>
      </c>
      <c r="AD68" s="418">
        <f>VLOOKUP('Physical Effects'!BF72,Lookup!$B$4:$C$14,2,FALSE)</f>
        <v>0</v>
      </c>
      <c r="AE68" s="418">
        <f>VLOOKUP('Physical Effects'!BH72,Lookup!$B$4:$C$14,2,FALSE)</f>
        <v>0</v>
      </c>
      <c r="AF68" s="418">
        <f>VLOOKUP('Physical Effects'!BJ72,Lookup!$B$4:$C$14,2,FALSE)</f>
        <v>0</v>
      </c>
      <c r="AG68" s="418">
        <f>VLOOKUP('Physical Effects'!BL72,Lookup!$B$4:$C$14,2,FALSE)</f>
        <v>0</v>
      </c>
      <c r="AH68" s="418">
        <f>VLOOKUP('Physical Effects'!BN72,Lookup!$B$4:$C$14,2,FALSE)</f>
        <v>0</v>
      </c>
      <c r="AI68" s="418">
        <f>VLOOKUP('Physical Effects'!BP72,Lookup!$B$4:$C$14,2,FALSE)</f>
        <v>1</v>
      </c>
      <c r="AJ68" s="418">
        <f>VLOOKUP('Physical Effects'!BR72,Lookup!$B$4:$C$14,2,FALSE)</f>
        <v>0</v>
      </c>
      <c r="AK68" s="418">
        <f>VLOOKUP('Physical Effects'!BT72,Lookup!$B$4:$C$14,2,FALSE)</f>
        <v>0</v>
      </c>
      <c r="AL68" s="418">
        <f>VLOOKUP('Physical Effects'!BV72,Lookup!$B$4:$C$14,2,FALSE)</f>
        <v>0</v>
      </c>
      <c r="AM68" s="418">
        <f>VLOOKUP('Physical Effects'!BX72,Lookup!$B$4:$C$14,2,FALSE)</f>
        <v>0</v>
      </c>
      <c r="AN68" s="418">
        <f>VLOOKUP('Physical Effects'!BZ72,Lookup!$B$4:$C$14,2,FALSE)</f>
        <v>0</v>
      </c>
      <c r="AO68" s="418">
        <f>VLOOKUP('Physical Effects'!CB72,Lookup!$B$4:$C$14,2,FALSE)</f>
        <v>1</v>
      </c>
      <c r="AP68" s="418">
        <f>VLOOKUP('Physical Effects'!CD72,Lookup!$B$4:$C$14,2,FALSE)</f>
        <v>0</v>
      </c>
      <c r="AQ68" s="418">
        <f>VLOOKUP('Physical Effects'!CF72,Lookup!$B$4:$C$14,2,FALSE)</f>
        <v>0</v>
      </c>
      <c r="AR68" s="418">
        <f>VLOOKUP('Physical Effects'!CH72,Lookup!$B$4:$C$14,2,FALSE)</f>
        <v>0</v>
      </c>
      <c r="AS68" s="418">
        <f>VLOOKUP('Physical Effects'!CJ72,Lookup!$B$4:$C$14,2,FALSE)</f>
        <v>0</v>
      </c>
      <c r="AT68" s="418">
        <f>VLOOKUP('Physical Effects'!CL72,Lookup!$B$4:$C$14,2,FALSE)</f>
        <v>0</v>
      </c>
      <c r="AU68" s="418">
        <f>VLOOKUP('Physical Effects'!CN72,Lookup!$B$4:$C$14,2,FALSE)</f>
        <v>0</v>
      </c>
      <c r="AV68" s="28"/>
      <c r="AW68" s="21"/>
      <c r="AX68" s="21"/>
      <c r="AY68" s="21"/>
      <c r="AZ68" s="21"/>
      <c r="BA68" s="21"/>
      <c r="BB68" s="21"/>
      <c r="BC68" s="21"/>
      <c r="BD68" s="21"/>
      <c r="BE68" s="21"/>
      <c r="BF68" s="21"/>
    </row>
    <row r="69" spans="1:58" s="5" customFormat="1" ht="13.5" thickBot="1" x14ac:dyDescent="0.25">
      <c r="A69" s="123">
        <f t="shared" si="1"/>
        <v>68</v>
      </c>
      <c r="B69" s="19" t="str">
        <f>+'Physical Effects'!B73</f>
        <v>Integrated Pest Management</v>
      </c>
      <c r="C69" s="32">
        <f>+'Physical Effects'!D73</f>
        <v>595</v>
      </c>
      <c r="D69" s="418">
        <f>VLOOKUP('Physical Effects'!F73,Lookup!$B$4:$C$14,2,FALSE)</f>
        <v>2</v>
      </c>
      <c r="E69" s="418">
        <f>VLOOKUP('Physical Effects'!H73,Lookup!$B$4:$C$14,2,FALSE)</f>
        <v>2</v>
      </c>
      <c r="F69" s="418">
        <f>VLOOKUP('Physical Effects'!J73,Lookup!$B$4:$C$14,2,FALSE)</f>
        <v>2</v>
      </c>
      <c r="G69" s="418">
        <f>VLOOKUP('Physical Effects'!L73,Lookup!$B$4:$C$14,2,FALSE)</f>
        <v>2</v>
      </c>
      <c r="H69" s="418">
        <f>VLOOKUP('Physical Effects'!N73,Lookup!$B$4:$C$14,2,FALSE)</f>
        <v>0</v>
      </c>
      <c r="I69" s="418">
        <f>VLOOKUP('Physical Effects'!P73,Lookup!$B$4:$C$14,2,FALSE)</f>
        <v>2</v>
      </c>
      <c r="J69" s="418">
        <f>VLOOKUP('Physical Effects'!R73,Lookup!$B$4:$C$14,2,FALSE)</f>
        <v>2</v>
      </c>
      <c r="K69" s="418">
        <f>VLOOKUP('Physical Effects'!T73,Lookup!$B$4:$C$14,2,FALSE)</f>
        <v>0</v>
      </c>
      <c r="L69" s="418">
        <f>VLOOKUP('Physical Effects'!V73,Lookup!$B$4:$C$14,2,FALSE)</f>
        <v>0</v>
      </c>
      <c r="M69" s="418">
        <f>VLOOKUP('Physical Effects'!X73,Lookup!$B$4:$C$14,2,FALSE)</f>
        <v>0</v>
      </c>
      <c r="N69" s="418">
        <f>VLOOKUP('Physical Effects'!Z73,Lookup!$B$4:$C$14,2,FALSE)</f>
        <v>0</v>
      </c>
      <c r="O69" s="418">
        <f>VLOOKUP('Physical Effects'!AB73,Lookup!$B$4:$C$14,2,FALSE)</f>
        <v>0</v>
      </c>
      <c r="P69" s="418">
        <f>VLOOKUP('Physical Effects'!AD73,Lookup!$B$4:$C$14,2,FALSE)</f>
        <v>0</v>
      </c>
      <c r="Q69" s="418">
        <f>VLOOKUP('Physical Effects'!AF73,Lookup!$B$4:$C$14,2,FALSE)</f>
        <v>0</v>
      </c>
      <c r="R69" s="418">
        <f>VLOOKUP('Physical Effects'!AH73,Lookup!$B$4:$C$14,2,FALSE)</f>
        <v>0</v>
      </c>
      <c r="S69" s="418">
        <f>VLOOKUP('Physical Effects'!AJ73,Lookup!$B$4:$C$14,2,FALSE)</f>
        <v>5</v>
      </c>
      <c r="T69" s="418">
        <f>VLOOKUP('Physical Effects'!AL73,Lookup!$B$4:$C$14,2,FALSE)</f>
        <v>5</v>
      </c>
      <c r="U69" s="418">
        <f>VLOOKUP('Physical Effects'!AN73,Lookup!$B$4:$C$14,2,FALSE)</f>
        <v>0</v>
      </c>
      <c r="V69" s="418">
        <f>VLOOKUP('Physical Effects'!AP73,Lookup!$B$4:$C$14,2,FALSE)</f>
        <v>0</v>
      </c>
      <c r="W69" s="418">
        <f>VLOOKUP('Physical Effects'!AR73,Lookup!$B$4:$C$14,2,FALSE)</f>
        <v>0</v>
      </c>
      <c r="X69" s="418">
        <f>VLOOKUP('Physical Effects'!AT73,Lookup!$B$4:$C$14,2,FALSE)</f>
        <v>0</v>
      </c>
      <c r="Y69" s="418">
        <f>VLOOKUP('Physical Effects'!AV73,Lookup!$B$4:$C$14,2,FALSE)</f>
        <v>0</v>
      </c>
      <c r="Z69" s="418">
        <f>VLOOKUP('Physical Effects'!AX73,Lookup!$B$4:$C$14,2,FALSE)</f>
        <v>0</v>
      </c>
      <c r="AA69" s="418">
        <f>VLOOKUP('Physical Effects'!AZ73,Lookup!$B$4:$C$14,2,FALSE)</f>
        <v>2</v>
      </c>
      <c r="AB69" s="418">
        <f>VLOOKUP('Physical Effects'!BB73,Lookup!$B$4:$C$14,2,FALSE)</f>
        <v>0</v>
      </c>
      <c r="AC69" s="418">
        <f>VLOOKUP('Physical Effects'!BD73,Lookup!$B$4:$C$14,2,FALSE)</f>
        <v>0</v>
      </c>
      <c r="AD69" s="418">
        <f>VLOOKUP('Physical Effects'!BF73,Lookup!$B$4:$C$14,2,FALSE)</f>
        <v>0</v>
      </c>
      <c r="AE69" s="418">
        <f>VLOOKUP('Physical Effects'!BH73,Lookup!$B$4:$C$14,2,FALSE)</f>
        <v>2</v>
      </c>
      <c r="AF69" s="418">
        <f>VLOOKUP('Physical Effects'!BJ73,Lookup!$B$4:$C$14,2,FALSE)</f>
        <v>2</v>
      </c>
      <c r="AG69" s="418">
        <f>VLOOKUP('Physical Effects'!BL73,Lookup!$B$4:$C$14,2,FALSE)</f>
        <v>0</v>
      </c>
      <c r="AH69" s="418">
        <f>VLOOKUP('Physical Effects'!BN73,Lookup!$B$4:$C$14,2,FALSE)</f>
        <v>1</v>
      </c>
      <c r="AI69" s="418">
        <f>VLOOKUP('Physical Effects'!BP73,Lookup!$B$4:$C$14,2,FALSE)</f>
        <v>0</v>
      </c>
      <c r="AJ69" s="418">
        <f>VLOOKUP('Physical Effects'!BR73,Lookup!$B$4:$C$14,2,FALSE)</f>
        <v>0</v>
      </c>
      <c r="AK69" s="418">
        <f>VLOOKUP('Physical Effects'!BT73,Lookup!$B$4:$C$14,2,FALSE)</f>
        <v>0</v>
      </c>
      <c r="AL69" s="418">
        <f>VLOOKUP('Physical Effects'!BV73,Lookup!$B$4:$C$14,2,FALSE)</f>
        <v>0</v>
      </c>
      <c r="AM69" s="418">
        <f>VLOOKUP('Physical Effects'!BX73,Lookup!$B$4:$C$14,2,FALSE)</f>
        <v>2</v>
      </c>
      <c r="AN69" s="418">
        <f>VLOOKUP('Physical Effects'!BZ73,Lookup!$B$4:$C$14,2,FALSE)</f>
        <v>0</v>
      </c>
      <c r="AO69" s="418">
        <f>VLOOKUP('Physical Effects'!CB73,Lookup!$B$4:$C$14,2,FALSE)</f>
        <v>2</v>
      </c>
      <c r="AP69" s="418">
        <f>VLOOKUP('Physical Effects'!CD73,Lookup!$B$4:$C$14,2,FALSE)</f>
        <v>0</v>
      </c>
      <c r="AQ69" s="418">
        <f>VLOOKUP('Physical Effects'!CF73,Lookup!$B$4:$C$14,2,FALSE)</f>
        <v>0</v>
      </c>
      <c r="AR69" s="418">
        <f>VLOOKUP('Physical Effects'!CH73,Lookup!$B$4:$C$14,2,FALSE)</f>
        <v>0</v>
      </c>
      <c r="AS69" s="418">
        <f>VLOOKUP('Physical Effects'!CJ73,Lookup!$B$4:$C$14,2,FALSE)</f>
        <v>2</v>
      </c>
      <c r="AT69" s="418">
        <f>VLOOKUP('Physical Effects'!CL73,Lookup!$B$4:$C$14,2,FALSE)</f>
        <v>0</v>
      </c>
      <c r="AU69" s="418">
        <f>VLOOKUP('Physical Effects'!CN73,Lookup!$B$4:$C$14,2,FALSE)</f>
        <v>2</v>
      </c>
      <c r="AV69" s="28"/>
      <c r="AW69" s="23"/>
      <c r="AX69" s="23"/>
      <c r="AY69" s="23"/>
      <c r="AZ69" s="23"/>
      <c r="BA69" s="23"/>
      <c r="BB69" s="23"/>
      <c r="BC69" s="23"/>
      <c r="BD69" s="23"/>
      <c r="BE69" s="23"/>
      <c r="BF69" s="23"/>
    </row>
    <row r="70" spans="1:58" s="5" customFormat="1" ht="13.5" thickBot="1" x14ac:dyDescent="0.25">
      <c r="A70" s="123">
        <f t="shared" si="1"/>
        <v>69</v>
      </c>
      <c r="B70" s="19" t="str">
        <f>+'Physical Effects'!B74</f>
        <v>Irrigation Canal or Lateral</v>
      </c>
      <c r="C70" s="32">
        <f>+'Physical Effects'!D74</f>
        <v>320</v>
      </c>
      <c r="D70" s="418">
        <f>VLOOKUP('Physical Effects'!F74,Lookup!$B$4:$C$14,2,FALSE)</f>
        <v>0</v>
      </c>
      <c r="E70" s="418">
        <f>VLOOKUP('Physical Effects'!H74,Lookup!$B$4:$C$14,2,FALSE)</f>
        <v>0</v>
      </c>
      <c r="F70" s="418">
        <f>VLOOKUP('Physical Effects'!J74,Lookup!$B$4:$C$14,2,FALSE)</f>
        <v>0</v>
      </c>
      <c r="G70" s="418">
        <f>VLOOKUP('Physical Effects'!L74,Lookup!$B$4:$C$14,2,FALSE)</f>
        <v>0</v>
      </c>
      <c r="H70" s="418">
        <f>VLOOKUP('Physical Effects'!N74,Lookup!$B$4:$C$14,2,FALSE)</f>
        <v>0</v>
      </c>
      <c r="I70" s="418">
        <f>VLOOKUP('Physical Effects'!P74,Lookup!$B$4:$C$14,2,FALSE)</f>
        <v>0</v>
      </c>
      <c r="J70" s="418">
        <f>VLOOKUP('Physical Effects'!R74,Lookup!$B$4:$C$14,2,FALSE)</f>
        <v>0</v>
      </c>
      <c r="K70" s="418">
        <f>VLOOKUP('Physical Effects'!T74,Lookup!$B$4:$C$14,2,FALSE)</f>
        <v>0</v>
      </c>
      <c r="L70" s="418">
        <f>VLOOKUP('Physical Effects'!V74,Lookup!$B$4:$C$14,2,FALSE)</f>
        <v>0</v>
      </c>
      <c r="M70" s="418">
        <f>VLOOKUP('Physical Effects'!X74,Lookup!$B$4:$C$14,2,FALSE)</f>
        <v>0</v>
      </c>
      <c r="N70" s="418">
        <f>VLOOKUP('Physical Effects'!Z74,Lookup!$B$4:$C$14,2,FALSE)</f>
        <v>2</v>
      </c>
      <c r="O70" s="418">
        <f>VLOOKUP('Physical Effects'!AB74,Lookup!$B$4:$C$14,2,FALSE)</f>
        <v>-2</v>
      </c>
      <c r="P70" s="418">
        <f>VLOOKUP('Physical Effects'!AD74,Lookup!$B$4:$C$14,2,FALSE)</f>
        <v>0</v>
      </c>
      <c r="Q70" s="418">
        <f>VLOOKUP('Physical Effects'!AF74,Lookup!$B$4:$C$14,2,FALSE)</f>
        <v>5</v>
      </c>
      <c r="R70" s="418">
        <f>VLOOKUP('Physical Effects'!AH74,Lookup!$B$4:$C$14,2,FALSE)</f>
        <v>0</v>
      </c>
      <c r="S70" s="418">
        <f>VLOOKUP('Physical Effects'!AJ74,Lookup!$B$4:$C$14,2,FALSE)</f>
        <v>0</v>
      </c>
      <c r="T70" s="418">
        <f>VLOOKUP('Physical Effects'!AL74,Lookup!$B$4:$C$14,2,FALSE)</f>
        <v>0</v>
      </c>
      <c r="U70" s="418">
        <f>VLOOKUP('Physical Effects'!AN74,Lookup!$B$4:$C$14,2,FALSE)</f>
        <v>-2</v>
      </c>
      <c r="V70" s="418">
        <f>VLOOKUP('Physical Effects'!AP74,Lookup!$B$4:$C$14,2,FALSE)</f>
        <v>0</v>
      </c>
      <c r="W70" s="418">
        <f>VLOOKUP('Physical Effects'!AR74,Lookup!$B$4:$C$14,2,FALSE)</f>
        <v>0</v>
      </c>
      <c r="X70" s="418">
        <f>VLOOKUP('Physical Effects'!AT74,Lookup!$B$4:$C$14,2,FALSE)</f>
        <v>0</v>
      </c>
      <c r="Y70" s="418">
        <f>VLOOKUP('Physical Effects'!AV74,Lookup!$B$4:$C$14,2,FALSE)</f>
        <v>-2</v>
      </c>
      <c r="Z70" s="418">
        <f>VLOOKUP('Physical Effects'!AX74,Lookup!$B$4:$C$14,2,FALSE)</f>
        <v>0</v>
      </c>
      <c r="AA70" s="418">
        <f>VLOOKUP('Physical Effects'!AZ74,Lookup!$B$4:$C$14,2,FALSE)</f>
        <v>0</v>
      </c>
      <c r="AB70" s="418">
        <f>VLOOKUP('Physical Effects'!BB74,Lookup!$B$4:$C$14,2,FALSE)</f>
        <v>0</v>
      </c>
      <c r="AC70" s="418">
        <f>VLOOKUP('Physical Effects'!BD74,Lookup!$B$4:$C$14,2,FALSE)</f>
        <v>0</v>
      </c>
      <c r="AD70" s="418">
        <f>VLOOKUP('Physical Effects'!BF74,Lookup!$B$4:$C$14,2,FALSE)</f>
        <v>0</v>
      </c>
      <c r="AE70" s="418">
        <f>VLOOKUP('Physical Effects'!BH74,Lookup!$B$4:$C$14,2,FALSE)</f>
        <v>0</v>
      </c>
      <c r="AF70" s="418">
        <f>VLOOKUP('Physical Effects'!BJ74,Lookup!$B$4:$C$14,2,FALSE)</f>
        <v>0</v>
      </c>
      <c r="AG70" s="418">
        <f>VLOOKUP('Physical Effects'!BL74,Lookup!$B$4:$C$14,2,FALSE)</f>
        <v>0</v>
      </c>
      <c r="AH70" s="418">
        <f>VLOOKUP('Physical Effects'!BN74,Lookup!$B$4:$C$14,2,FALSE)</f>
        <v>0</v>
      </c>
      <c r="AI70" s="418">
        <f>VLOOKUP('Physical Effects'!BP74,Lookup!$B$4:$C$14,2,FALSE)</f>
        <v>2</v>
      </c>
      <c r="AJ70" s="418">
        <f>VLOOKUP('Physical Effects'!BR74,Lookup!$B$4:$C$14,2,FALSE)</f>
        <v>0</v>
      </c>
      <c r="AK70" s="418">
        <f>VLOOKUP('Physical Effects'!BT74,Lookup!$B$4:$C$14,2,FALSE)</f>
        <v>0</v>
      </c>
      <c r="AL70" s="418">
        <f>VLOOKUP('Physical Effects'!BV74,Lookup!$B$4:$C$14,2,FALSE)</f>
        <v>0</v>
      </c>
      <c r="AM70" s="418">
        <f>VLOOKUP('Physical Effects'!BX74,Lookup!$B$4:$C$14,2,FALSE)</f>
        <v>0</v>
      </c>
      <c r="AN70" s="418">
        <f>VLOOKUP('Physical Effects'!BZ74,Lookup!$B$4:$C$14,2,FALSE)</f>
        <v>0</v>
      </c>
      <c r="AO70" s="418">
        <f>VLOOKUP('Physical Effects'!CB74,Lookup!$B$4:$C$14,2,FALSE)</f>
        <v>1</v>
      </c>
      <c r="AP70" s="418">
        <f>VLOOKUP('Physical Effects'!CD74,Lookup!$B$4:$C$14,2,FALSE)</f>
        <v>0</v>
      </c>
      <c r="AQ70" s="418">
        <f>VLOOKUP('Physical Effects'!CF74,Lookup!$B$4:$C$14,2,FALSE)</f>
        <v>0</v>
      </c>
      <c r="AR70" s="418">
        <f>VLOOKUP('Physical Effects'!CH74,Lookup!$B$4:$C$14,2,FALSE)</f>
        <v>0</v>
      </c>
      <c r="AS70" s="418">
        <f>VLOOKUP('Physical Effects'!CJ74,Lookup!$B$4:$C$14,2,FALSE)</f>
        <v>0</v>
      </c>
      <c r="AT70" s="418">
        <f>VLOOKUP('Physical Effects'!CL74,Lookup!$B$4:$C$14,2,FALSE)</f>
        <v>0</v>
      </c>
      <c r="AU70" s="418">
        <f>VLOOKUP('Physical Effects'!CN74,Lookup!$B$4:$C$14,2,FALSE)</f>
        <v>0</v>
      </c>
      <c r="AV70" s="28"/>
      <c r="AW70" s="23"/>
      <c r="AX70" s="23"/>
      <c r="AY70" s="23"/>
      <c r="AZ70" s="23"/>
      <c r="BA70" s="23"/>
      <c r="BB70" s="23"/>
      <c r="BC70" s="23"/>
      <c r="BD70" s="23"/>
      <c r="BE70" s="23"/>
      <c r="BF70" s="23"/>
    </row>
    <row r="71" spans="1:58" s="17" customFormat="1" ht="13.5" thickBot="1" x14ac:dyDescent="0.25">
      <c r="A71" s="123">
        <f t="shared" si="1"/>
        <v>70</v>
      </c>
      <c r="B71" s="19" t="str">
        <f>+'Physical Effects'!B75</f>
        <v>Irrigation Ditch Lining</v>
      </c>
      <c r="C71" s="32">
        <f>+'Physical Effects'!D75</f>
        <v>428</v>
      </c>
      <c r="D71" s="418">
        <f>VLOOKUP('Physical Effects'!F75,Lookup!$B$4:$C$14,2,FALSE)</f>
        <v>0</v>
      </c>
      <c r="E71" s="418">
        <f>VLOOKUP('Physical Effects'!H75,Lookup!$B$4:$C$14,2,FALSE)</f>
        <v>0</v>
      </c>
      <c r="F71" s="418">
        <f>VLOOKUP('Physical Effects'!J75,Lookup!$B$4:$C$14,2,FALSE)</f>
        <v>0</v>
      </c>
      <c r="G71" s="418">
        <f>VLOOKUP('Physical Effects'!L75,Lookup!$B$4:$C$14,2,FALSE)</f>
        <v>0</v>
      </c>
      <c r="H71" s="418">
        <f>VLOOKUP('Physical Effects'!N75,Lookup!$B$4:$C$14,2,FALSE)</f>
        <v>0</v>
      </c>
      <c r="I71" s="418">
        <f>VLOOKUP('Physical Effects'!P75,Lookup!$B$4:$C$14,2,FALSE)</f>
        <v>0</v>
      </c>
      <c r="J71" s="418">
        <f>VLOOKUP('Physical Effects'!R75,Lookup!$B$4:$C$14,2,FALSE)</f>
        <v>0</v>
      </c>
      <c r="K71" s="418">
        <f>VLOOKUP('Physical Effects'!T75,Lookup!$B$4:$C$14,2,FALSE)</f>
        <v>0</v>
      </c>
      <c r="L71" s="418">
        <f>VLOOKUP('Physical Effects'!V75,Lookup!$B$4:$C$14,2,FALSE)</f>
        <v>0</v>
      </c>
      <c r="M71" s="418">
        <f>VLOOKUP('Physical Effects'!X75,Lookup!$B$4:$C$14,2,FALSE)</f>
        <v>1</v>
      </c>
      <c r="N71" s="418">
        <f>VLOOKUP('Physical Effects'!Z75,Lookup!$B$4:$C$14,2,FALSE)</f>
        <v>0</v>
      </c>
      <c r="O71" s="418">
        <f>VLOOKUP('Physical Effects'!AB75,Lookup!$B$4:$C$14,2,FALSE)</f>
        <v>-1</v>
      </c>
      <c r="P71" s="418">
        <f>VLOOKUP('Physical Effects'!AD75,Lookup!$B$4:$C$14,2,FALSE)</f>
        <v>0</v>
      </c>
      <c r="Q71" s="418">
        <f>VLOOKUP('Physical Effects'!AF75,Lookup!$B$4:$C$14,2,FALSE)</f>
        <v>5</v>
      </c>
      <c r="R71" s="418">
        <f>VLOOKUP('Physical Effects'!AH75,Lookup!$B$4:$C$14,2,FALSE)</f>
        <v>0</v>
      </c>
      <c r="S71" s="418">
        <f>VLOOKUP('Physical Effects'!AJ75,Lookup!$B$4:$C$14,2,FALSE)</f>
        <v>0</v>
      </c>
      <c r="T71" s="418">
        <f>VLOOKUP('Physical Effects'!AL75,Lookup!$B$4:$C$14,2,FALSE)</f>
        <v>0</v>
      </c>
      <c r="U71" s="418">
        <f>VLOOKUP('Physical Effects'!AN75,Lookup!$B$4:$C$14,2,FALSE)</f>
        <v>1</v>
      </c>
      <c r="V71" s="418">
        <f>VLOOKUP('Physical Effects'!AP75,Lookup!$B$4:$C$14,2,FALSE)</f>
        <v>1</v>
      </c>
      <c r="W71" s="418">
        <f>VLOOKUP('Physical Effects'!AR75,Lookup!$B$4:$C$14,2,FALSE)</f>
        <v>1</v>
      </c>
      <c r="X71" s="418">
        <f>VLOOKUP('Physical Effects'!AT75,Lookup!$B$4:$C$14,2,FALSE)</f>
        <v>2</v>
      </c>
      <c r="Y71" s="418">
        <f>VLOOKUP('Physical Effects'!AV75,Lookup!$B$4:$C$14,2,FALSE)</f>
        <v>-1</v>
      </c>
      <c r="Z71" s="418">
        <f>VLOOKUP('Physical Effects'!AX75,Lookup!$B$4:$C$14,2,FALSE)</f>
        <v>1</v>
      </c>
      <c r="AA71" s="418">
        <f>VLOOKUP('Physical Effects'!AZ75,Lookup!$B$4:$C$14,2,FALSE)</f>
        <v>1</v>
      </c>
      <c r="AB71" s="418">
        <f>VLOOKUP('Physical Effects'!BB75,Lookup!$B$4:$C$14,2,FALSE)</f>
        <v>0</v>
      </c>
      <c r="AC71" s="418">
        <f>VLOOKUP('Physical Effects'!BD75,Lookup!$B$4:$C$14,2,FALSE)</f>
        <v>-1</v>
      </c>
      <c r="AD71" s="418">
        <f>VLOOKUP('Physical Effects'!BF75,Lookup!$B$4:$C$14,2,FALSE)</f>
        <v>1</v>
      </c>
      <c r="AE71" s="418">
        <f>VLOOKUP('Physical Effects'!BH75,Lookup!$B$4:$C$14,2,FALSE)</f>
        <v>0</v>
      </c>
      <c r="AF71" s="418">
        <f>VLOOKUP('Physical Effects'!BJ75,Lookup!$B$4:$C$14,2,FALSE)</f>
        <v>0</v>
      </c>
      <c r="AG71" s="418">
        <f>VLOOKUP('Physical Effects'!BL75,Lookup!$B$4:$C$14,2,FALSE)</f>
        <v>0</v>
      </c>
      <c r="AH71" s="418">
        <f>VLOOKUP('Physical Effects'!BN75,Lookup!$B$4:$C$14,2,FALSE)</f>
        <v>0</v>
      </c>
      <c r="AI71" s="418">
        <f>VLOOKUP('Physical Effects'!BP75,Lookup!$B$4:$C$14,2,FALSE)</f>
        <v>2</v>
      </c>
      <c r="AJ71" s="418">
        <f>VLOOKUP('Physical Effects'!BR75,Lookup!$B$4:$C$14,2,FALSE)</f>
        <v>0</v>
      </c>
      <c r="AK71" s="418">
        <f>VLOOKUP('Physical Effects'!BT75,Lookup!$B$4:$C$14,2,FALSE)</f>
        <v>0</v>
      </c>
      <c r="AL71" s="418">
        <f>VLOOKUP('Physical Effects'!BV75,Lookup!$B$4:$C$14,2,FALSE)</f>
        <v>0</v>
      </c>
      <c r="AM71" s="418">
        <f>VLOOKUP('Physical Effects'!BX75,Lookup!$B$4:$C$14,2,FALSE)</f>
        <v>0</v>
      </c>
      <c r="AN71" s="418">
        <f>VLOOKUP('Physical Effects'!BZ75,Lookup!$B$4:$C$14,2,FALSE)</f>
        <v>0</v>
      </c>
      <c r="AO71" s="418">
        <f>VLOOKUP('Physical Effects'!CB75,Lookup!$B$4:$C$14,2,FALSE)</f>
        <v>1</v>
      </c>
      <c r="AP71" s="418">
        <f>VLOOKUP('Physical Effects'!CD75,Lookup!$B$4:$C$14,2,FALSE)</f>
        <v>0</v>
      </c>
      <c r="AQ71" s="418">
        <f>VLOOKUP('Physical Effects'!CF75,Lookup!$B$4:$C$14,2,FALSE)</f>
        <v>0</v>
      </c>
      <c r="AR71" s="418">
        <f>VLOOKUP('Physical Effects'!CH75,Lookup!$B$4:$C$14,2,FALSE)</f>
        <v>0</v>
      </c>
      <c r="AS71" s="418">
        <f>VLOOKUP('Physical Effects'!CJ75,Lookup!$B$4:$C$14,2,FALSE)</f>
        <v>0</v>
      </c>
      <c r="AT71" s="418">
        <f>VLOOKUP('Physical Effects'!CL75,Lookup!$B$4:$C$14,2,FALSE)</f>
        <v>0</v>
      </c>
      <c r="AU71" s="418">
        <f>VLOOKUP('Physical Effects'!CN75,Lookup!$B$4:$C$14,2,FALSE)</f>
        <v>2</v>
      </c>
      <c r="AV71" s="28"/>
      <c r="AW71" s="21"/>
      <c r="AX71" s="21"/>
      <c r="AY71" s="21"/>
      <c r="AZ71" s="21"/>
      <c r="BA71" s="21"/>
      <c r="BB71" s="21"/>
      <c r="BC71" s="21"/>
      <c r="BD71" s="21"/>
      <c r="BE71" s="21"/>
      <c r="BF71" s="21"/>
    </row>
    <row r="72" spans="1:58" s="5" customFormat="1" ht="13.5" thickBot="1" x14ac:dyDescent="0.25">
      <c r="A72" s="123">
        <f t="shared" si="1"/>
        <v>71</v>
      </c>
      <c r="B72" s="19" t="str">
        <f>+'Physical Effects'!B76</f>
        <v>Irrigation Field Ditch</v>
      </c>
      <c r="C72" s="32">
        <f>+'Physical Effects'!D76</f>
        <v>388</v>
      </c>
      <c r="D72" s="418">
        <f>VLOOKUP('Physical Effects'!F76,Lookup!$B$4:$C$14,2,FALSE)</f>
        <v>0</v>
      </c>
      <c r="E72" s="418">
        <f>VLOOKUP('Physical Effects'!H76,Lookup!$B$4:$C$14,2,FALSE)</f>
        <v>0</v>
      </c>
      <c r="F72" s="418">
        <f>VLOOKUP('Physical Effects'!J76,Lookup!$B$4:$C$14,2,FALSE)</f>
        <v>0</v>
      </c>
      <c r="G72" s="418">
        <f>VLOOKUP('Physical Effects'!L76,Lookup!$B$4:$C$14,2,FALSE)</f>
        <v>0</v>
      </c>
      <c r="H72" s="418">
        <f>VLOOKUP('Physical Effects'!N76,Lookup!$B$4:$C$14,2,FALSE)</f>
        <v>0</v>
      </c>
      <c r="I72" s="418">
        <f>VLOOKUP('Physical Effects'!P76,Lookup!$B$4:$C$14,2,FALSE)</f>
        <v>0</v>
      </c>
      <c r="J72" s="418">
        <f>VLOOKUP('Physical Effects'!R76,Lookup!$B$4:$C$14,2,FALSE)</f>
        <v>0</v>
      </c>
      <c r="K72" s="418">
        <f>VLOOKUP('Physical Effects'!T76,Lookup!$B$4:$C$14,2,FALSE)</f>
        <v>0</v>
      </c>
      <c r="L72" s="418">
        <f>VLOOKUP('Physical Effects'!V76,Lookup!$B$4:$C$14,2,FALSE)</f>
        <v>0</v>
      </c>
      <c r="M72" s="418">
        <f>VLOOKUP('Physical Effects'!X76,Lookup!$B$4:$C$14,2,FALSE)</f>
        <v>0</v>
      </c>
      <c r="N72" s="418">
        <f>VLOOKUP('Physical Effects'!Z76,Lookup!$B$4:$C$14,2,FALSE)</f>
        <v>1</v>
      </c>
      <c r="O72" s="418">
        <f>VLOOKUP('Physical Effects'!AB76,Lookup!$B$4:$C$14,2,FALSE)</f>
        <v>-1</v>
      </c>
      <c r="P72" s="418">
        <f>VLOOKUP('Physical Effects'!AD76,Lookup!$B$4:$C$14,2,FALSE)</f>
        <v>0</v>
      </c>
      <c r="Q72" s="418">
        <f>VLOOKUP('Physical Effects'!AF76,Lookup!$B$4:$C$14,2,FALSE)</f>
        <v>5</v>
      </c>
      <c r="R72" s="418">
        <f>VLOOKUP('Physical Effects'!AH76,Lookup!$B$4:$C$14,2,FALSE)</f>
        <v>0</v>
      </c>
      <c r="S72" s="418">
        <f>VLOOKUP('Physical Effects'!AJ76,Lookup!$B$4:$C$14,2,FALSE)</f>
        <v>0</v>
      </c>
      <c r="T72" s="418">
        <f>VLOOKUP('Physical Effects'!AL76,Lookup!$B$4:$C$14,2,FALSE)</f>
        <v>0</v>
      </c>
      <c r="U72" s="418">
        <f>VLOOKUP('Physical Effects'!AN76,Lookup!$B$4:$C$14,2,FALSE)</f>
        <v>0</v>
      </c>
      <c r="V72" s="418">
        <f>VLOOKUP('Physical Effects'!AP76,Lookup!$B$4:$C$14,2,FALSE)</f>
        <v>0</v>
      </c>
      <c r="W72" s="418">
        <f>VLOOKUP('Physical Effects'!AR76,Lookup!$B$4:$C$14,2,FALSE)</f>
        <v>0</v>
      </c>
      <c r="X72" s="418">
        <f>VLOOKUP('Physical Effects'!AT76,Lookup!$B$4:$C$14,2,FALSE)</f>
        <v>0</v>
      </c>
      <c r="Y72" s="418">
        <f>VLOOKUP('Physical Effects'!AV76,Lookup!$B$4:$C$14,2,FALSE)</f>
        <v>-1</v>
      </c>
      <c r="Z72" s="418">
        <f>VLOOKUP('Physical Effects'!AX76,Lookup!$B$4:$C$14,2,FALSE)</f>
        <v>0</v>
      </c>
      <c r="AA72" s="418">
        <f>VLOOKUP('Physical Effects'!AZ76,Lookup!$B$4:$C$14,2,FALSE)</f>
        <v>0</v>
      </c>
      <c r="AB72" s="418">
        <f>VLOOKUP('Physical Effects'!BB76,Lookup!$B$4:$C$14,2,FALSE)</f>
        <v>0</v>
      </c>
      <c r="AC72" s="418">
        <f>VLOOKUP('Physical Effects'!BD76,Lookup!$B$4:$C$14,2,FALSE)</f>
        <v>1</v>
      </c>
      <c r="AD72" s="418">
        <f>VLOOKUP('Physical Effects'!BF76,Lookup!$B$4:$C$14,2,FALSE)</f>
        <v>0</v>
      </c>
      <c r="AE72" s="418">
        <f>VLOOKUP('Physical Effects'!BH76,Lookup!$B$4:$C$14,2,FALSE)</f>
        <v>0</v>
      </c>
      <c r="AF72" s="418">
        <f>VLOOKUP('Physical Effects'!BJ76,Lookup!$B$4:$C$14,2,FALSE)</f>
        <v>0</v>
      </c>
      <c r="AG72" s="418">
        <f>VLOOKUP('Physical Effects'!BL76,Lookup!$B$4:$C$14,2,FALSE)</f>
        <v>0</v>
      </c>
      <c r="AH72" s="418">
        <f>VLOOKUP('Physical Effects'!BN76,Lookup!$B$4:$C$14,2,FALSE)</f>
        <v>0</v>
      </c>
      <c r="AI72" s="418">
        <f>VLOOKUP('Physical Effects'!BP76,Lookup!$B$4:$C$14,2,FALSE)</f>
        <v>2</v>
      </c>
      <c r="AJ72" s="418">
        <f>VLOOKUP('Physical Effects'!BR76,Lookup!$B$4:$C$14,2,FALSE)</f>
        <v>0</v>
      </c>
      <c r="AK72" s="418">
        <f>VLOOKUP('Physical Effects'!BT76,Lookup!$B$4:$C$14,2,FALSE)</f>
        <v>0</v>
      </c>
      <c r="AL72" s="418">
        <f>VLOOKUP('Physical Effects'!BV76,Lookup!$B$4:$C$14,2,FALSE)</f>
        <v>0</v>
      </c>
      <c r="AM72" s="418">
        <f>VLOOKUP('Physical Effects'!BX76,Lookup!$B$4:$C$14,2,FALSE)</f>
        <v>0</v>
      </c>
      <c r="AN72" s="418">
        <f>VLOOKUP('Physical Effects'!BZ76,Lookup!$B$4:$C$14,2,FALSE)</f>
        <v>0</v>
      </c>
      <c r="AO72" s="418">
        <f>VLOOKUP('Physical Effects'!CB76,Lookup!$B$4:$C$14,2,FALSE)</f>
        <v>1</v>
      </c>
      <c r="AP72" s="418">
        <f>VLOOKUP('Physical Effects'!CD76,Lookup!$B$4:$C$14,2,FALSE)</f>
        <v>0</v>
      </c>
      <c r="AQ72" s="418">
        <f>VLOOKUP('Physical Effects'!CF76,Lookup!$B$4:$C$14,2,FALSE)</f>
        <v>0</v>
      </c>
      <c r="AR72" s="418">
        <f>VLOOKUP('Physical Effects'!CH76,Lookup!$B$4:$C$14,2,FALSE)</f>
        <v>0</v>
      </c>
      <c r="AS72" s="418">
        <f>VLOOKUP('Physical Effects'!CJ76,Lookup!$B$4:$C$14,2,FALSE)</f>
        <v>0</v>
      </c>
      <c r="AT72" s="418">
        <f>VLOOKUP('Physical Effects'!CL76,Lookup!$B$4:$C$14,2,FALSE)</f>
        <v>0</v>
      </c>
      <c r="AU72" s="418">
        <f>VLOOKUP('Physical Effects'!CN76,Lookup!$B$4:$C$14,2,FALSE)</f>
        <v>0</v>
      </c>
      <c r="AV72" s="28"/>
      <c r="AW72" s="23"/>
      <c r="AX72" s="23"/>
      <c r="AY72" s="23"/>
      <c r="AZ72" s="23"/>
      <c r="BA72" s="23"/>
      <c r="BB72" s="23"/>
      <c r="BC72" s="23"/>
      <c r="BD72" s="23"/>
      <c r="BE72" s="23"/>
      <c r="BF72" s="23"/>
    </row>
    <row r="73" spans="1:58" s="17" customFormat="1" ht="13.5" thickBot="1" x14ac:dyDescent="0.25">
      <c r="A73" s="123">
        <f t="shared" si="1"/>
        <v>72</v>
      </c>
      <c r="B73" s="19" t="str">
        <f>+'Physical Effects'!B77</f>
        <v>Irrigation Land Leveling</v>
      </c>
      <c r="C73" s="32">
        <f>+'Physical Effects'!D77</f>
        <v>464</v>
      </c>
      <c r="D73" s="418">
        <f>VLOOKUP('Physical Effects'!F77,Lookup!$B$4:$C$14,2,FALSE)</f>
        <v>1</v>
      </c>
      <c r="E73" s="418">
        <f>VLOOKUP('Physical Effects'!H77,Lookup!$B$4:$C$14,2,FALSE)</f>
        <v>0</v>
      </c>
      <c r="F73" s="418">
        <f>VLOOKUP('Physical Effects'!J77,Lookup!$B$4:$C$14,2,FALSE)</f>
        <v>1</v>
      </c>
      <c r="G73" s="418">
        <f>VLOOKUP('Physical Effects'!L77,Lookup!$B$4:$C$14,2,FALSE)</f>
        <v>0</v>
      </c>
      <c r="H73" s="418">
        <f>VLOOKUP('Physical Effects'!N77,Lookup!$B$4:$C$14,2,FALSE)</f>
        <v>0</v>
      </c>
      <c r="I73" s="418">
        <f>VLOOKUP('Physical Effects'!P77,Lookup!$B$4:$C$14,2,FALSE)</f>
        <v>-2</v>
      </c>
      <c r="J73" s="418">
        <f>VLOOKUP('Physical Effects'!R77,Lookup!$B$4:$C$14,2,FALSE)</f>
        <v>-2</v>
      </c>
      <c r="K73" s="418">
        <f>VLOOKUP('Physical Effects'!T77,Lookup!$B$4:$C$14,2,FALSE)</f>
        <v>0</v>
      </c>
      <c r="L73" s="418">
        <f>VLOOKUP('Physical Effects'!V77,Lookup!$B$4:$C$14,2,FALSE)</f>
        <v>-1</v>
      </c>
      <c r="M73" s="418">
        <f>VLOOKUP('Physical Effects'!X77,Lookup!$B$4:$C$14,2,FALSE)</f>
        <v>0</v>
      </c>
      <c r="N73" s="418">
        <f>VLOOKUP('Physical Effects'!Z77,Lookup!$B$4:$C$14,2,FALSE)</f>
        <v>1</v>
      </c>
      <c r="O73" s="418">
        <f>VLOOKUP('Physical Effects'!AB77,Lookup!$B$4:$C$14,2,FALSE)</f>
        <v>2</v>
      </c>
      <c r="P73" s="418">
        <f>VLOOKUP('Physical Effects'!AD77,Lookup!$B$4:$C$14,2,FALSE)</f>
        <v>0</v>
      </c>
      <c r="Q73" s="418">
        <f>VLOOKUP('Physical Effects'!AF77,Lookup!$B$4:$C$14,2,FALSE)</f>
        <v>4</v>
      </c>
      <c r="R73" s="418">
        <f>VLOOKUP('Physical Effects'!AH77,Lookup!$B$4:$C$14,2,FALSE)</f>
        <v>0</v>
      </c>
      <c r="S73" s="418">
        <f>VLOOKUP('Physical Effects'!AJ77,Lookup!$B$4:$C$14,2,FALSE)</f>
        <v>2</v>
      </c>
      <c r="T73" s="418">
        <f>VLOOKUP('Physical Effects'!AL77,Lookup!$B$4:$C$14,2,FALSE)</f>
        <v>2</v>
      </c>
      <c r="U73" s="418">
        <f>VLOOKUP('Physical Effects'!AN77,Lookup!$B$4:$C$14,2,FALSE)</f>
        <v>2</v>
      </c>
      <c r="V73" s="418">
        <f>VLOOKUP('Physical Effects'!AP77,Lookup!$B$4:$C$14,2,FALSE)</f>
        <v>2</v>
      </c>
      <c r="W73" s="418">
        <f>VLOOKUP('Physical Effects'!AR77,Lookup!$B$4:$C$14,2,FALSE)</f>
        <v>0</v>
      </c>
      <c r="X73" s="418">
        <f>VLOOKUP('Physical Effects'!AT77,Lookup!$B$4:$C$14,2,FALSE)</f>
        <v>2</v>
      </c>
      <c r="Y73" s="418">
        <f>VLOOKUP('Physical Effects'!AV77,Lookup!$B$4:$C$14,2,FALSE)</f>
        <v>2</v>
      </c>
      <c r="Z73" s="418">
        <f>VLOOKUP('Physical Effects'!AX77,Lookup!$B$4:$C$14,2,FALSE)</f>
        <v>2</v>
      </c>
      <c r="AA73" s="418">
        <f>VLOOKUP('Physical Effects'!AZ77,Lookup!$B$4:$C$14,2,FALSE)</f>
        <v>1</v>
      </c>
      <c r="AB73" s="418">
        <f>VLOOKUP('Physical Effects'!BB77,Lookup!$B$4:$C$14,2,FALSE)</f>
        <v>0</v>
      </c>
      <c r="AC73" s="418">
        <f>VLOOKUP('Physical Effects'!BD77,Lookup!$B$4:$C$14,2,FALSE)</f>
        <v>1</v>
      </c>
      <c r="AD73" s="418">
        <f>VLOOKUP('Physical Effects'!BF77,Lookup!$B$4:$C$14,2,FALSE)</f>
        <v>1</v>
      </c>
      <c r="AE73" s="418">
        <f>VLOOKUP('Physical Effects'!BH77,Lookup!$B$4:$C$14,2,FALSE)</f>
        <v>0</v>
      </c>
      <c r="AF73" s="418">
        <f>VLOOKUP('Physical Effects'!BJ77,Lookup!$B$4:$C$14,2,FALSE)</f>
        <v>0</v>
      </c>
      <c r="AG73" s="418">
        <f>VLOOKUP('Physical Effects'!BL77,Lookup!$B$4:$C$14,2,FALSE)</f>
        <v>0</v>
      </c>
      <c r="AH73" s="418">
        <f>VLOOKUP('Physical Effects'!BN77,Lookup!$B$4:$C$14,2,FALSE)</f>
        <v>0</v>
      </c>
      <c r="AI73" s="418">
        <f>VLOOKUP('Physical Effects'!BP77,Lookup!$B$4:$C$14,2,FALSE)</f>
        <v>2</v>
      </c>
      <c r="AJ73" s="418">
        <f>VLOOKUP('Physical Effects'!BR77,Lookup!$B$4:$C$14,2,FALSE)</f>
        <v>0</v>
      </c>
      <c r="AK73" s="418">
        <f>VLOOKUP('Physical Effects'!BT77,Lookup!$B$4:$C$14,2,FALSE)</f>
        <v>1</v>
      </c>
      <c r="AL73" s="418">
        <f>VLOOKUP('Physical Effects'!BV77,Lookup!$B$4:$C$14,2,FALSE)</f>
        <v>0</v>
      </c>
      <c r="AM73" s="418">
        <f>VLOOKUP('Physical Effects'!BX77,Lookup!$B$4:$C$14,2,FALSE)</f>
        <v>0</v>
      </c>
      <c r="AN73" s="418">
        <f>VLOOKUP('Physical Effects'!BZ77,Lookup!$B$4:$C$14,2,FALSE)</f>
        <v>0</v>
      </c>
      <c r="AO73" s="418">
        <f>VLOOKUP('Physical Effects'!CB77,Lookup!$B$4:$C$14,2,FALSE)</f>
        <v>0</v>
      </c>
      <c r="AP73" s="418">
        <f>VLOOKUP('Physical Effects'!CD77,Lookup!$B$4:$C$14,2,FALSE)</f>
        <v>0</v>
      </c>
      <c r="AQ73" s="418">
        <f>VLOOKUP('Physical Effects'!CF77,Lookup!$B$4:$C$14,2,FALSE)</f>
        <v>0</v>
      </c>
      <c r="AR73" s="418">
        <f>VLOOKUP('Physical Effects'!CH77,Lookup!$B$4:$C$14,2,FALSE)</f>
        <v>0</v>
      </c>
      <c r="AS73" s="418">
        <f>VLOOKUP('Physical Effects'!CJ77,Lookup!$B$4:$C$14,2,FALSE)</f>
        <v>0</v>
      </c>
      <c r="AT73" s="418">
        <f>VLOOKUP('Physical Effects'!CL77,Lookup!$B$4:$C$14,2,FALSE)</f>
        <v>0</v>
      </c>
      <c r="AU73" s="418">
        <f>VLOOKUP('Physical Effects'!CN77,Lookup!$B$4:$C$14,2,FALSE)</f>
        <v>2</v>
      </c>
      <c r="AV73" s="28"/>
      <c r="AW73" s="21"/>
      <c r="AX73" s="21"/>
      <c r="AY73" s="21"/>
      <c r="AZ73" s="21"/>
      <c r="BA73" s="21"/>
      <c r="BB73" s="21"/>
      <c r="BC73" s="21"/>
      <c r="BD73" s="21"/>
      <c r="BE73" s="21"/>
      <c r="BF73" s="21"/>
    </row>
    <row r="74" spans="1:58" s="17" customFormat="1" ht="13.5" thickBot="1" x14ac:dyDescent="0.25">
      <c r="A74" s="123">
        <f t="shared" si="1"/>
        <v>73</v>
      </c>
      <c r="B74" s="19" t="str">
        <f>+'Physical Effects'!B78</f>
        <v>Irrigation Pipeline</v>
      </c>
      <c r="C74" s="32">
        <f>+'Physical Effects'!D78</f>
        <v>430</v>
      </c>
      <c r="D74" s="418">
        <f>VLOOKUP('Physical Effects'!F78,Lookup!$B$4:$C$14,2,FALSE)</f>
        <v>0</v>
      </c>
      <c r="E74" s="418">
        <f>VLOOKUP('Physical Effects'!H78,Lookup!$B$4:$C$14,2,FALSE)</f>
        <v>0</v>
      </c>
      <c r="F74" s="418">
        <f>VLOOKUP('Physical Effects'!J78,Lookup!$B$4:$C$14,2,FALSE)</f>
        <v>0</v>
      </c>
      <c r="G74" s="418">
        <f>VLOOKUP('Physical Effects'!L78,Lookup!$B$4:$C$14,2,FALSE)</f>
        <v>2</v>
      </c>
      <c r="H74" s="418">
        <f>VLOOKUP('Physical Effects'!N78,Lookup!$B$4:$C$14,2,FALSE)</f>
        <v>0</v>
      </c>
      <c r="I74" s="418">
        <f>VLOOKUP('Physical Effects'!P78,Lookup!$B$4:$C$14,2,FALSE)</f>
        <v>0</v>
      </c>
      <c r="J74" s="418">
        <f>VLOOKUP('Physical Effects'!R78,Lookup!$B$4:$C$14,2,FALSE)</f>
        <v>0</v>
      </c>
      <c r="K74" s="418">
        <f>VLOOKUP('Physical Effects'!T78,Lookup!$B$4:$C$14,2,FALSE)</f>
        <v>0</v>
      </c>
      <c r="L74" s="418">
        <f>VLOOKUP('Physical Effects'!V78,Lookup!$B$4:$C$14,2,FALSE)</f>
        <v>0</v>
      </c>
      <c r="M74" s="418">
        <f>VLOOKUP('Physical Effects'!X78,Lookup!$B$4:$C$14,2,FALSE)</f>
        <v>1</v>
      </c>
      <c r="N74" s="418">
        <f>VLOOKUP('Physical Effects'!Z78,Lookup!$B$4:$C$14,2,FALSE)</f>
        <v>0</v>
      </c>
      <c r="O74" s="418">
        <f>VLOOKUP('Physical Effects'!AB78,Lookup!$B$4:$C$14,2,FALSE)</f>
        <v>1</v>
      </c>
      <c r="P74" s="418">
        <f>VLOOKUP('Physical Effects'!AD78,Lookup!$B$4:$C$14,2,FALSE)</f>
        <v>0</v>
      </c>
      <c r="Q74" s="418">
        <f>VLOOKUP('Physical Effects'!AF78,Lookup!$B$4:$C$14,2,FALSE)</f>
        <v>2</v>
      </c>
      <c r="R74" s="418">
        <f>VLOOKUP('Physical Effects'!AH78,Lookup!$B$4:$C$14,2,FALSE)</f>
        <v>0</v>
      </c>
      <c r="S74" s="418">
        <f>VLOOKUP('Physical Effects'!AJ78,Lookup!$B$4:$C$14,2,FALSE)</f>
        <v>0</v>
      </c>
      <c r="T74" s="418">
        <f>VLOOKUP('Physical Effects'!AL78,Lookup!$B$4:$C$14,2,FALSE)</f>
        <v>0</v>
      </c>
      <c r="U74" s="418">
        <f>VLOOKUP('Physical Effects'!AN78,Lookup!$B$4:$C$14,2,FALSE)</f>
        <v>1</v>
      </c>
      <c r="V74" s="418">
        <f>VLOOKUP('Physical Effects'!AP78,Lookup!$B$4:$C$14,2,FALSE)</f>
        <v>0</v>
      </c>
      <c r="W74" s="418">
        <f>VLOOKUP('Physical Effects'!AR78,Lookup!$B$4:$C$14,2,FALSE)</f>
        <v>1</v>
      </c>
      <c r="X74" s="418">
        <f>VLOOKUP('Physical Effects'!AT78,Lookup!$B$4:$C$14,2,FALSE)</f>
        <v>2</v>
      </c>
      <c r="Y74" s="418">
        <f>VLOOKUP('Physical Effects'!AV78,Lookup!$B$4:$C$14,2,FALSE)</f>
        <v>1</v>
      </c>
      <c r="Z74" s="418">
        <f>VLOOKUP('Physical Effects'!AX78,Lookup!$B$4:$C$14,2,FALSE)</f>
        <v>1</v>
      </c>
      <c r="AA74" s="418">
        <f>VLOOKUP('Physical Effects'!AZ78,Lookup!$B$4:$C$14,2,FALSE)</f>
        <v>1</v>
      </c>
      <c r="AB74" s="418">
        <f>VLOOKUP('Physical Effects'!BB78,Lookup!$B$4:$C$14,2,FALSE)</f>
        <v>0</v>
      </c>
      <c r="AC74" s="418">
        <f>VLOOKUP('Physical Effects'!BD78,Lookup!$B$4:$C$14,2,FALSE)</f>
        <v>0</v>
      </c>
      <c r="AD74" s="418">
        <f>VLOOKUP('Physical Effects'!BF78,Lookup!$B$4:$C$14,2,FALSE)</f>
        <v>1</v>
      </c>
      <c r="AE74" s="418">
        <f>VLOOKUP('Physical Effects'!BH78,Lookup!$B$4:$C$14,2,FALSE)</f>
        <v>0</v>
      </c>
      <c r="AF74" s="418">
        <f>VLOOKUP('Physical Effects'!BJ78,Lookup!$B$4:$C$14,2,FALSE)</f>
        <v>0</v>
      </c>
      <c r="AG74" s="418">
        <f>VLOOKUP('Physical Effects'!BL78,Lookup!$B$4:$C$14,2,FALSE)</f>
        <v>0</v>
      </c>
      <c r="AH74" s="418">
        <f>VLOOKUP('Physical Effects'!BN78,Lookup!$B$4:$C$14,2,FALSE)</f>
        <v>0</v>
      </c>
      <c r="AI74" s="418">
        <f>VLOOKUP('Physical Effects'!BP78,Lookup!$B$4:$C$14,2,FALSE)</f>
        <v>2</v>
      </c>
      <c r="AJ74" s="418">
        <f>VLOOKUP('Physical Effects'!BR78,Lookup!$B$4:$C$14,2,FALSE)</f>
        <v>0</v>
      </c>
      <c r="AK74" s="418">
        <f>VLOOKUP('Physical Effects'!BT78,Lookup!$B$4:$C$14,2,FALSE)</f>
        <v>0</v>
      </c>
      <c r="AL74" s="418">
        <f>VLOOKUP('Physical Effects'!BV78,Lookup!$B$4:$C$14,2,FALSE)</f>
        <v>0</v>
      </c>
      <c r="AM74" s="418">
        <f>VLOOKUP('Physical Effects'!BX78,Lookup!$B$4:$C$14,2,FALSE)</f>
        <v>0</v>
      </c>
      <c r="AN74" s="418">
        <f>VLOOKUP('Physical Effects'!BZ78,Lookup!$B$4:$C$14,2,FALSE)</f>
        <v>0</v>
      </c>
      <c r="AO74" s="418">
        <f>VLOOKUP('Physical Effects'!CB78,Lookup!$B$4:$C$14,2,FALSE)</f>
        <v>0</v>
      </c>
      <c r="AP74" s="418">
        <f>VLOOKUP('Physical Effects'!CD78,Lookup!$B$4:$C$14,2,FALSE)</f>
        <v>0</v>
      </c>
      <c r="AQ74" s="418">
        <f>VLOOKUP('Physical Effects'!CF78,Lookup!$B$4:$C$14,2,FALSE)</f>
        <v>0</v>
      </c>
      <c r="AR74" s="418">
        <f>VLOOKUP('Physical Effects'!CH78,Lookup!$B$4:$C$14,2,FALSE)</f>
        <v>0</v>
      </c>
      <c r="AS74" s="418">
        <f>VLOOKUP('Physical Effects'!CJ78,Lookup!$B$4:$C$14,2,FALSE)</f>
        <v>0</v>
      </c>
      <c r="AT74" s="418">
        <f>VLOOKUP('Physical Effects'!CL78,Lookup!$B$4:$C$14,2,FALSE)</f>
        <v>0</v>
      </c>
      <c r="AU74" s="418">
        <f>VLOOKUP('Physical Effects'!CN78,Lookup!$B$4:$C$14,2,FALSE)</f>
        <v>2</v>
      </c>
      <c r="AV74" s="28"/>
      <c r="AW74" s="21"/>
      <c r="AX74" s="21"/>
      <c r="AY74" s="21"/>
      <c r="AZ74" s="21"/>
      <c r="BA74" s="21"/>
      <c r="BB74" s="21"/>
      <c r="BC74" s="21"/>
      <c r="BD74" s="21"/>
      <c r="BE74" s="21"/>
      <c r="BF74" s="21"/>
    </row>
    <row r="75" spans="1:58" s="5" customFormat="1" ht="13.5" thickBot="1" x14ac:dyDescent="0.25">
      <c r="A75" s="123">
        <f t="shared" si="1"/>
        <v>74</v>
      </c>
      <c r="B75" s="19" t="str">
        <f>+'Physical Effects'!B79</f>
        <v>Irrigation Reservoir</v>
      </c>
      <c r="C75" s="32">
        <f>+'Physical Effects'!D79</f>
        <v>436</v>
      </c>
      <c r="D75" s="418">
        <f>VLOOKUP('Physical Effects'!F79,Lookup!$B$4:$C$14,2,FALSE)</f>
        <v>0</v>
      </c>
      <c r="E75" s="418">
        <f>VLOOKUP('Physical Effects'!H79,Lookup!$B$4:$C$14,2,FALSE)</f>
        <v>0</v>
      </c>
      <c r="F75" s="418">
        <f>VLOOKUP('Physical Effects'!J79,Lookup!$B$4:$C$14,2,FALSE)</f>
        <v>0</v>
      </c>
      <c r="G75" s="418">
        <f>VLOOKUP('Physical Effects'!L79,Lookup!$B$4:$C$14,2,FALSE)</f>
        <v>2</v>
      </c>
      <c r="H75" s="418">
        <f>VLOOKUP('Physical Effects'!N79,Lookup!$B$4:$C$14,2,FALSE)</f>
        <v>1</v>
      </c>
      <c r="I75" s="418">
        <f>VLOOKUP('Physical Effects'!P79,Lookup!$B$4:$C$14,2,FALSE)</f>
        <v>0</v>
      </c>
      <c r="J75" s="418">
        <f>VLOOKUP('Physical Effects'!R79,Lookup!$B$4:$C$14,2,FALSE)</f>
        <v>0</v>
      </c>
      <c r="K75" s="418">
        <f>VLOOKUP('Physical Effects'!T79,Lookup!$B$4:$C$14,2,FALSE)</f>
        <v>0</v>
      </c>
      <c r="L75" s="418">
        <f>VLOOKUP('Physical Effects'!V79,Lookup!$B$4:$C$14,2,FALSE)</f>
        <v>0</v>
      </c>
      <c r="M75" s="418">
        <f>VLOOKUP('Physical Effects'!X79,Lookup!$B$4:$C$14,2,FALSE)</f>
        <v>-1</v>
      </c>
      <c r="N75" s="418">
        <f>VLOOKUP('Physical Effects'!Z79,Lookup!$B$4:$C$14,2,FALSE)</f>
        <v>2</v>
      </c>
      <c r="O75" s="418">
        <f>VLOOKUP('Physical Effects'!AB79,Lookup!$B$4:$C$14,2,FALSE)</f>
        <v>-1</v>
      </c>
      <c r="P75" s="418">
        <f>VLOOKUP('Physical Effects'!AD79,Lookup!$B$4:$C$14,2,FALSE)</f>
        <v>0</v>
      </c>
      <c r="Q75" s="418">
        <f>VLOOKUP('Physical Effects'!AF79,Lookup!$B$4:$C$14,2,FALSE)</f>
        <v>2</v>
      </c>
      <c r="R75" s="418">
        <f>VLOOKUP('Physical Effects'!AH79,Lookup!$B$4:$C$14,2,FALSE)</f>
        <v>0</v>
      </c>
      <c r="S75" s="418">
        <f>VLOOKUP('Physical Effects'!AJ79,Lookup!$B$4:$C$14,2,FALSE)</f>
        <v>0</v>
      </c>
      <c r="T75" s="418">
        <f>VLOOKUP('Physical Effects'!AL79,Lookup!$B$4:$C$14,2,FALSE)</f>
        <v>0</v>
      </c>
      <c r="U75" s="418">
        <f>VLOOKUP('Physical Effects'!AN79,Lookup!$B$4:$C$14,2,FALSE)</f>
        <v>0</v>
      </c>
      <c r="V75" s="418">
        <f>VLOOKUP('Physical Effects'!AP79,Lookup!$B$4:$C$14,2,FALSE)</f>
        <v>-1</v>
      </c>
      <c r="W75" s="418">
        <f>VLOOKUP('Physical Effects'!AR79,Lookup!$B$4:$C$14,2,FALSE)</f>
        <v>0</v>
      </c>
      <c r="X75" s="418">
        <f>VLOOKUP('Physical Effects'!AT79,Lookup!$B$4:$C$14,2,FALSE)</f>
        <v>0</v>
      </c>
      <c r="Y75" s="418">
        <f>VLOOKUP('Physical Effects'!AV79,Lookup!$B$4:$C$14,2,FALSE)</f>
        <v>0</v>
      </c>
      <c r="Z75" s="418">
        <f>VLOOKUP('Physical Effects'!AX79,Lookup!$B$4:$C$14,2,FALSE)</f>
        <v>0</v>
      </c>
      <c r="AA75" s="418">
        <f>VLOOKUP('Physical Effects'!AZ79,Lookup!$B$4:$C$14,2,FALSE)</f>
        <v>2</v>
      </c>
      <c r="AB75" s="418">
        <f>VLOOKUP('Physical Effects'!BB79,Lookup!$B$4:$C$14,2,FALSE)</f>
        <v>0</v>
      </c>
      <c r="AC75" s="418">
        <f>VLOOKUP('Physical Effects'!BD79,Lookup!$B$4:$C$14,2,FALSE)</f>
        <v>0</v>
      </c>
      <c r="AD75" s="418">
        <f>VLOOKUP('Physical Effects'!BF79,Lookup!$B$4:$C$14,2,FALSE)</f>
        <v>0</v>
      </c>
      <c r="AE75" s="418">
        <f>VLOOKUP('Physical Effects'!BH79,Lookup!$B$4:$C$14,2,FALSE)</f>
        <v>0</v>
      </c>
      <c r="AF75" s="418">
        <f>VLOOKUP('Physical Effects'!BJ79,Lookup!$B$4:$C$14,2,FALSE)</f>
        <v>0</v>
      </c>
      <c r="AG75" s="418">
        <f>VLOOKUP('Physical Effects'!BL79,Lookup!$B$4:$C$14,2,FALSE)</f>
        <v>0</v>
      </c>
      <c r="AH75" s="418">
        <f>VLOOKUP('Physical Effects'!BN79,Lookup!$B$4:$C$14,2,FALSE)</f>
        <v>0</v>
      </c>
      <c r="AI75" s="418">
        <f>VLOOKUP('Physical Effects'!BP79,Lookup!$B$4:$C$14,2,FALSE)</f>
        <v>2</v>
      </c>
      <c r="AJ75" s="418">
        <f>VLOOKUP('Physical Effects'!BR79,Lookup!$B$4:$C$14,2,FALSE)</f>
        <v>0</v>
      </c>
      <c r="AK75" s="418">
        <f>VLOOKUP('Physical Effects'!BT79,Lookup!$B$4:$C$14,2,FALSE)</f>
        <v>0</v>
      </c>
      <c r="AL75" s="418">
        <f>VLOOKUP('Physical Effects'!BV79,Lookup!$B$4:$C$14,2,FALSE)</f>
        <v>0</v>
      </c>
      <c r="AM75" s="418">
        <f>VLOOKUP('Physical Effects'!BX79,Lookup!$B$4:$C$14,2,FALSE)</f>
        <v>2</v>
      </c>
      <c r="AN75" s="418">
        <f>VLOOKUP('Physical Effects'!BZ79,Lookup!$B$4:$C$14,2,FALSE)</f>
        <v>-1</v>
      </c>
      <c r="AO75" s="418">
        <f>VLOOKUP('Physical Effects'!CB79,Lookup!$B$4:$C$14,2,FALSE)</f>
        <v>2</v>
      </c>
      <c r="AP75" s="418">
        <f>VLOOKUP('Physical Effects'!CD79,Lookup!$B$4:$C$14,2,FALSE)</f>
        <v>-1</v>
      </c>
      <c r="AQ75" s="418">
        <f>VLOOKUP('Physical Effects'!CF79,Lookup!$B$4:$C$14,2,FALSE)</f>
        <v>0</v>
      </c>
      <c r="AR75" s="418">
        <f>VLOOKUP('Physical Effects'!CH79,Lookup!$B$4:$C$14,2,FALSE)</f>
        <v>0</v>
      </c>
      <c r="AS75" s="418">
        <f>VLOOKUP('Physical Effects'!CJ79,Lookup!$B$4:$C$14,2,FALSE)</f>
        <v>4</v>
      </c>
      <c r="AT75" s="418">
        <f>VLOOKUP('Physical Effects'!CL79,Lookup!$B$4:$C$14,2,FALSE)</f>
        <v>0</v>
      </c>
      <c r="AU75" s="418">
        <f>VLOOKUP('Physical Effects'!CN79,Lookup!$B$4:$C$14,2,FALSE)</f>
        <v>2</v>
      </c>
      <c r="AV75" s="28"/>
      <c r="AW75" s="23"/>
      <c r="AX75" s="23"/>
      <c r="AY75" s="23"/>
      <c r="AZ75" s="23"/>
      <c r="BA75" s="23"/>
      <c r="BB75" s="23"/>
      <c r="BC75" s="23"/>
      <c r="BD75" s="23"/>
      <c r="BE75" s="23"/>
      <c r="BF75" s="23"/>
    </row>
    <row r="76" spans="1:58" s="5" customFormat="1" ht="13.5" thickBot="1" x14ac:dyDescent="0.25">
      <c r="A76" s="123">
        <f t="shared" si="1"/>
        <v>75</v>
      </c>
      <c r="B76" s="19" t="str">
        <f>+'Physical Effects'!B80</f>
        <v>Irrigation System, Microirrigation</v>
      </c>
      <c r="C76" s="32">
        <f>+'Physical Effects'!D80</f>
        <v>441</v>
      </c>
      <c r="D76" s="418">
        <f>VLOOKUP('Physical Effects'!F80,Lookup!$B$4:$C$14,2,FALSE)</f>
        <v>0</v>
      </c>
      <c r="E76" s="418">
        <f>VLOOKUP('Physical Effects'!H80,Lookup!$B$4:$C$14,2,FALSE)</f>
        <v>0</v>
      </c>
      <c r="F76" s="418">
        <f>VLOOKUP('Physical Effects'!J80,Lookup!$B$4:$C$14,2,FALSE)</f>
        <v>0</v>
      </c>
      <c r="G76" s="418">
        <f>VLOOKUP('Physical Effects'!L80,Lookup!$B$4:$C$14,2,FALSE)</f>
        <v>0</v>
      </c>
      <c r="H76" s="418">
        <f>VLOOKUP('Physical Effects'!N80,Lookup!$B$4:$C$14,2,FALSE)</f>
        <v>0</v>
      </c>
      <c r="I76" s="418">
        <f>VLOOKUP('Physical Effects'!P80,Lookup!$B$4:$C$14,2,FALSE)</f>
        <v>0</v>
      </c>
      <c r="J76" s="418">
        <f>VLOOKUP('Physical Effects'!R80,Lookup!$B$4:$C$14,2,FALSE)</f>
        <v>0</v>
      </c>
      <c r="K76" s="418">
        <f>VLOOKUP('Physical Effects'!T80,Lookup!$B$4:$C$14,2,FALSE)</f>
        <v>0</v>
      </c>
      <c r="L76" s="418">
        <f>VLOOKUP('Physical Effects'!V80,Lookup!$B$4:$C$14,2,FALSE)</f>
        <v>1</v>
      </c>
      <c r="M76" s="418">
        <f>VLOOKUP('Physical Effects'!X80,Lookup!$B$4:$C$14,2,FALSE)</f>
        <v>2</v>
      </c>
      <c r="N76" s="418">
        <f>VLOOKUP('Physical Effects'!Z80,Lookup!$B$4:$C$14,2,FALSE)</f>
        <v>2</v>
      </c>
      <c r="O76" s="418">
        <f>VLOOKUP('Physical Effects'!AB80,Lookup!$B$4:$C$14,2,FALSE)</f>
        <v>2</v>
      </c>
      <c r="P76" s="418">
        <f>VLOOKUP('Physical Effects'!AD80,Lookup!$B$4:$C$14,2,FALSE)</f>
        <v>0</v>
      </c>
      <c r="Q76" s="418">
        <f>VLOOKUP('Physical Effects'!AF80,Lookup!$B$4:$C$14,2,FALSE)</f>
        <v>2</v>
      </c>
      <c r="R76" s="418">
        <f>VLOOKUP('Physical Effects'!AH80,Lookup!$B$4:$C$14,2,FALSE)</f>
        <v>0</v>
      </c>
      <c r="S76" s="418">
        <f>VLOOKUP('Physical Effects'!AJ80,Lookup!$B$4:$C$14,2,FALSE)</f>
        <v>2</v>
      </c>
      <c r="T76" s="418">
        <f>VLOOKUP('Physical Effects'!AL80,Lookup!$B$4:$C$14,2,FALSE)</f>
        <v>2</v>
      </c>
      <c r="U76" s="418">
        <f>VLOOKUP('Physical Effects'!AN80,Lookup!$B$4:$C$14,2,FALSE)</f>
        <v>2</v>
      </c>
      <c r="V76" s="418">
        <f>VLOOKUP('Physical Effects'!AP80,Lookup!$B$4:$C$14,2,FALSE)</f>
        <v>2</v>
      </c>
      <c r="W76" s="418">
        <f>VLOOKUP('Physical Effects'!AR80,Lookup!$B$4:$C$14,2,FALSE)</f>
        <v>0</v>
      </c>
      <c r="X76" s="418">
        <f>VLOOKUP('Physical Effects'!AT80,Lookup!$B$4:$C$14,2,FALSE)</f>
        <v>2</v>
      </c>
      <c r="Y76" s="418">
        <f>VLOOKUP('Physical Effects'!AV80,Lookup!$B$4:$C$14,2,FALSE)</f>
        <v>2</v>
      </c>
      <c r="Z76" s="418">
        <f>VLOOKUP('Physical Effects'!AX80,Lookup!$B$4:$C$14,2,FALSE)</f>
        <v>1</v>
      </c>
      <c r="AA76" s="418">
        <f>VLOOKUP('Physical Effects'!AZ80,Lookup!$B$4:$C$14,2,FALSE)</f>
        <v>1</v>
      </c>
      <c r="AB76" s="418">
        <f>VLOOKUP('Physical Effects'!BB80,Lookup!$B$4:$C$14,2,FALSE)</f>
        <v>0</v>
      </c>
      <c r="AC76" s="418">
        <f>VLOOKUP('Physical Effects'!BD80,Lookup!$B$4:$C$14,2,FALSE)</f>
        <v>1</v>
      </c>
      <c r="AD76" s="418">
        <f>VLOOKUP('Physical Effects'!BF80,Lookup!$B$4:$C$14,2,FALSE)</f>
        <v>1</v>
      </c>
      <c r="AE76" s="418">
        <f>VLOOKUP('Physical Effects'!BH80,Lookup!$B$4:$C$14,2,FALSE)</f>
        <v>1</v>
      </c>
      <c r="AF76" s="418">
        <f>VLOOKUP('Physical Effects'!BJ80,Lookup!$B$4:$C$14,2,FALSE)</f>
        <v>0</v>
      </c>
      <c r="AG76" s="418">
        <f>VLOOKUP('Physical Effects'!BL80,Lookup!$B$4:$C$14,2,FALSE)</f>
        <v>1</v>
      </c>
      <c r="AH76" s="418">
        <f>VLOOKUP('Physical Effects'!BN80,Lookup!$B$4:$C$14,2,FALSE)</f>
        <v>0</v>
      </c>
      <c r="AI76" s="418">
        <f>VLOOKUP('Physical Effects'!BP80,Lookup!$B$4:$C$14,2,FALSE)</f>
        <v>2</v>
      </c>
      <c r="AJ76" s="418">
        <f>VLOOKUP('Physical Effects'!BR80,Lookup!$B$4:$C$14,2,FALSE)</f>
        <v>0</v>
      </c>
      <c r="AK76" s="418">
        <f>VLOOKUP('Physical Effects'!BT80,Lookup!$B$4:$C$14,2,FALSE)</f>
        <v>1</v>
      </c>
      <c r="AL76" s="418">
        <f>VLOOKUP('Physical Effects'!BV80,Lookup!$B$4:$C$14,2,FALSE)</f>
        <v>0</v>
      </c>
      <c r="AM76" s="418">
        <f>VLOOKUP('Physical Effects'!BX80,Lookup!$B$4:$C$14,2,FALSE)</f>
        <v>0</v>
      </c>
      <c r="AN76" s="418">
        <f>VLOOKUP('Physical Effects'!BZ80,Lookup!$B$4:$C$14,2,FALSE)</f>
        <v>0</v>
      </c>
      <c r="AO76" s="418">
        <f>VLOOKUP('Physical Effects'!CB80,Lookup!$B$4:$C$14,2,FALSE)</f>
        <v>1</v>
      </c>
      <c r="AP76" s="418">
        <f>VLOOKUP('Physical Effects'!CD80,Lookup!$B$4:$C$14,2,FALSE)</f>
        <v>0</v>
      </c>
      <c r="AQ76" s="418">
        <f>VLOOKUP('Physical Effects'!CF80,Lookup!$B$4:$C$14,2,FALSE)</f>
        <v>4</v>
      </c>
      <c r="AR76" s="418">
        <f>VLOOKUP('Physical Effects'!CH80,Lookup!$B$4:$C$14,2,FALSE)</f>
        <v>0</v>
      </c>
      <c r="AS76" s="418">
        <f>VLOOKUP('Physical Effects'!CJ80,Lookup!$B$4:$C$14,2,FALSE)</f>
        <v>0</v>
      </c>
      <c r="AT76" s="418">
        <f>VLOOKUP('Physical Effects'!CL80,Lookup!$B$4:$C$14,2,FALSE)</f>
        <v>2</v>
      </c>
      <c r="AU76" s="418">
        <f>VLOOKUP('Physical Effects'!CN80,Lookup!$B$4:$C$14,2,FALSE)</f>
        <v>2</v>
      </c>
      <c r="AV76" s="28"/>
      <c r="AW76" s="23"/>
      <c r="AX76" s="23"/>
      <c r="AY76" s="23"/>
      <c r="AZ76" s="23"/>
      <c r="BA76" s="23"/>
      <c r="BB76" s="23"/>
      <c r="BC76" s="23"/>
      <c r="BD76" s="23"/>
      <c r="BE76" s="23"/>
      <c r="BF76" s="23"/>
    </row>
    <row r="77" spans="1:58" s="5" customFormat="1" ht="13.5" thickBot="1" x14ac:dyDescent="0.25">
      <c r="A77" s="123">
        <f t="shared" si="1"/>
        <v>76</v>
      </c>
      <c r="B77" s="19" t="str">
        <f>+'Physical Effects'!B81</f>
        <v>Irrigation System, Surface &amp; Subsurface</v>
      </c>
      <c r="C77" s="32">
        <f>+'Physical Effects'!D81</f>
        <v>443</v>
      </c>
      <c r="D77" s="418">
        <f>VLOOKUP('Physical Effects'!F81,Lookup!$B$4:$C$14,2,FALSE)</f>
        <v>0</v>
      </c>
      <c r="E77" s="418">
        <f>VLOOKUP('Physical Effects'!H81,Lookup!$B$4:$C$14,2,FALSE)</f>
        <v>1</v>
      </c>
      <c r="F77" s="418">
        <f>VLOOKUP('Physical Effects'!J81,Lookup!$B$4:$C$14,2,FALSE)</f>
        <v>0</v>
      </c>
      <c r="G77" s="418">
        <f>VLOOKUP('Physical Effects'!L81,Lookup!$B$4:$C$14,2,FALSE)</f>
        <v>-1</v>
      </c>
      <c r="H77" s="418">
        <f>VLOOKUP('Physical Effects'!N81,Lookup!$B$4:$C$14,2,FALSE)</f>
        <v>-1</v>
      </c>
      <c r="I77" s="418">
        <f>VLOOKUP('Physical Effects'!P81,Lookup!$B$4:$C$14,2,FALSE)</f>
        <v>0</v>
      </c>
      <c r="J77" s="418">
        <f>VLOOKUP('Physical Effects'!R81,Lookup!$B$4:$C$14,2,FALSE)</f>
        <v>-1</v>
      </c>
      <c r="K77" s="418">
        <f>VLOOKUP('Physical Effects'!T81,Lookup!$B$4:$C$14,2,FALSE)</f>
        <v>0</v>
      </c>
      <c r="L77" s="418">
        <f>VLOOKUP('Physical Effects'!V81,Lookup!$B$4:$C$14,2,FALSE)</f>
        <v>0</v>
      </c>
      <c r="M77" s="418">
        <f>VLOOKUP('Physical Effects'!X81,Lookup!$B$4:$C$14,2,FALSE)</f>
        <v>1</v>
      </c>
      <c r="N77" s="418">
        <f>VLOOKUP('Physical Effects'!Z81,Lookup!$B$4:$C$14,2,FALSE)</f>
        <v>1</v>
      </c>
      <c r="O77" s="418">
        <f>VLOOKUP('Physical Effects'!AB81,Lookup!$B$4:$C$14,2,FALSE)</f>
        <v>1</v>
      </c>
      <c r="P77" s="418">
        <f>VLOOKUP('Physical Effects'!AD81,Lookup!$B$4:$C$14,2,FALSE)</f>
        <v>0</v>
      </c>
      <c r="Q77" s="418">
        <f>VLOOKUP('Physical Effects'!AF81,Lookup!$B$4:$C$14,2,FALSE)</f>
        <v>2</v>
      </c>
      <c r="R77" s="418">
        <f>VLOOKUP('Physical Effects'!AH81,Lookup!$B$4:$C$14,2,FALSE)</f>
        <v>0</v>
      </c>
      <c r="S77" s="418">
        <f>VLOOKUP('Physical Effects'!AJ81,Lookup!$B$4:$C$14,2,FALSE)</f>
        <v>1</v>
      </c>
      <c r="T77" s="418">
        <f>VLOOKUP('Physical Effects'!AL81,Lookup!$B$4:$C$14,2,FALSE)</f>
        <v>1</v>
      </c>
      <c r="U77" s="418">
        <f>VLOOKUP('Physical Effects'!AN81,Lookup!$B$4:$C$14,2,FALSE)</f>
        <v>1</v>
      </c>
      <c r="V77" s="418">
        <f>VLOOKUP('Physical Effects'!AP81,Lookup!$B$4:$C$14,2,FALSE)</f>
        <v>1</v>
      </c>
      <c r="W77" s="418">
        <f>VLOOKUP('Physical Effects'!AR81,Lookup!$B$4:$C$14,2,FALSE)</f>
        <v>1</v>
      </c>
      <c r="X77" s="418">
        <f>VLOOKUP('Physical Effects'!AT81,Lookup!$B$4:$C$14,2,FALSE)</f>
        <v>1</v>
      </c>
      <c r="Y77" s="418">
        <f>VLOOKUP('Physical Effects'!AV81,Lookup!$B$4:$C$14,2,FALSE)</f>
        <v>1</v>
      </c>
      <c r="Z77" s="418">
        <f>VLOOKUP('Physical Effects'!AX81,Lookup!$B$4:$C$14,2,FALSE)</f>
        <v>1</v>
      </c>
      <c r="AA77" s="418">
        <f>VLOOKUP('Physical Effects'!AZ81,Lookup!$B$4:$C$14,2,FALSE)</f>
        <v>0</v>
      </c>
      <c r="AB77" s="418">
        <f>VLOOKUP('Physical Effects'!BB81,Lookup!$B$4:$C$14,2,FALSE)</f>
        <v>0</v>
      </c>
      <c r="AC77" s="418">
        <f>VLOOKUP('Physical Effects'!BD81,Lookup!$B$4:$C$14,2,FALSE)</f>
        <v>1</v>
      </c>
      <c r="AD77" s="418">
        <f>VLOOKUP('Physical Effects'!BF81,Lookup!$B$4:$C$14,2,FALSE)</f>
        <v>1</v>
      </c>
      <c r="AE77" s="418">
        <f>VLOOKUP('Physical Effects'!BH81,Lookup!$B$4:$C$14,2,FALSE)</f>
        <v>1</v>
      </c>
      <c r="AF77" s="418">
        <f>VLOOKUP('Physical Effects'!BJ81,Lookup!$B$4:$C$14,2,FALSE)</f>
        <v>0</v>
      </c>
      <c r="AG77" s="418">
        <f>VLOOKUP('Physical Effects'!BL81,Lookup!$B$4:$C$14,2,FALSE)</f>
        <v>1</v>
      </c>
      <c r="AH77" s="418">
        <f>VLOOKUP('Physical Effects'!BN81,Lookup!$B$4:$C$14,2,FALSE)</f>
        <v>0</v>
      </c>
      <c r="AI77" s="418">
        <f>VLOOKUP('Physical Effects'!BP81,Lookup!$B$4:$C$14,2,FALSE)</f>
        <v>2</v>
      </c>
      <c r="AJ77" s="418">
        <f>VLOOKUP('Physical Effects'!BR81,Lookup!$B$4:$C$14,2,FALSE)</f>
        <v>0</v>
      </c>
      <c r="AK77" s="418">
        <f>VLOOKUP('Physical Effects'!BT81,Lookup!$B$4:$C$14,2,FALSE)</f>
        <v>1</v>
      </c>
      <c r="AL77" s="418">
        <f>VLOOKUP('Physical Effects'!BV81,Lookup!$B$4:$C$14,2,FALSE)</f>
        <v>0</v>
      </c>
      <c r="AM77" s="418">
        <f>VLOOKUP('Physical Effects'!BX81,Lookup!$B$4:$C$14,2,FALSE)</f>
        <v>0</v>
      </c>
      <c r="AN77" s="418">
        <f>VLOOKUP('Physical Effects'!BZ81,Lookup!$B$4:$C$14,2,FALSE)</f>
        <v>0</v>
      </c>
      <c r="AO77" s="418">
        <f>VLOOKUP('Physical Effects'!CB81,Lookup!$B$4:$C$14,2,FALSE)</f>
        <v>1</v>
      </c>
      <c r="AP77" s="418">
        <f>VLOOKUP('Physical Effects'!CD81,Lookup!$B$4:$C$14,2,FALSE)</f>
        <v>0</v>
      </c>
      <c r="AQ77" s="418">
        <f>VLOOKUP('Physical Effects'!CF81,Lookup!$B$4:$C$14,2,FALSE)</f>
        <v>4</v>
      </c>
      <c r="AR77" s="418">
        <f>VLOOKUP('Physical Effects'!CH81,Lookup!$B$4:$C$14,2,FALSE)</f>
        <v>0</v>
      </c>
      <c r="AS77" s="418">
        <f>VLOOKUP('Physical Effects'!CJ81,Lookup!$B$4:$C$14,2,FALSE)</f>
        <v>0</v>
      </c>
      <c r="AT77" s="418">
        <f>VLOOKUP('Physical Effects'!CL81,Lookup!$B$4:$C$14,2,FALSE)</f>
        <v>0</v>
      </c>
      <c r="AU77" s="418">
        <f>VLOOKUP('Physical Effects'!CN81,Lookup!$B$4:$C$14,2,FALSE)</f>
        <v>2</v>
      </c>
      <c r="AV77" s="28"/>
      <c r="AW77" s="23"/>
      <c r="AX77" s="23"/>
      <c r="AY77" s="23"/>
      <c r="AZ77" s="23"/>
      <c r="BA77" s="23"/>
      <c r="BB77" s="23"/>
      <c r="BC77" s="23"/>
      <c r="BD77" s="23"/>
      <c r="BE77" s="23"/>
      <c r="BF77" s="23"/>
    </row>
    <row r="78" spans="1:58" s="5" customFormat="1" ht="13.5" thickBot="1" x14ac:dyDescent="0.25">
      <c r="A78" s="123">
        <f t="shared" si="1"/>
        <v>77</v>
      </c>
      <c r="B78" s="19" t="str">
        <f>+'Physical Effects'!B82</f>
        <v>Irrigation System, Tailwater Recovery</v>
      </c>
      <c r="C78" s="32">
        <f>+'Physical Effects'!D82</f>
        <v>447</v>
      </c>
      <c r="D78" s="418">
        <f>VLOOKUP('Physical Effects'!F82,Lookup!$B$4:$C$14,2,FALSE)</f>
        <v>0</v>
      </c>
      <c r="E78" s="418">
        <f>VLOOKUP('Physical Effects'!H82,Lookup!$B$4:$C$14,2,FALSE)</f>
        <v>0</v>
      </c>
      <c r="F78" s="418">
        <f>VLOOKUP('Physical Effects'!J82,Lookup!$B$4:$C$14,2,FALSE)</f>
        <v>1</v>
      </c>
      <c r="G78" s="418">
        <f>VLOOKUP('Physical Effects'!L82,Lookup!$B$4:$C$14,2,FALSE)</f>
        <v>1</v>
      </c>
      <c r="H78" s="418">
        <f>VLOOKUP('Physical Effects'!N82,Lookup!$B$4:$C$14,2,FALSE)</f>
        <v>1</v>
      </c>
      <c r="I78" s="418">
        <f>VLOOKUP('Physical Effects'!P82,Lookup!$B$4:$C$14,2,FALSE)</f>
        <v>0</v>
      </c>
      <c r="J78" s="418">
        <f>VLOOKUP('Physical Effects'!R82,Lookup!$B$4:$C$14,2,FALSE)</f>
        <v>-1</v>
      </c>
      <c r="K78" s="418">
        <f>VLOOKUP('Physical Effects'!T82,Lookup!$B$4:$C$14,2,FALSE)</f>
        <v>0</v>
      </c>
      <c r="L78" s="418">
        <f>VLOOKUP('Physical Effects'!V82,Lookup!$B$4:$C$14,2,FALSE)</f>
        <v>-1</v>
      </c>
      <c r="M78" s="418">
        <f>VLOOKUP('Physical Effects'!X82,Lookup!$B$4:$C$14,2,FALSE)</f>
        <v>-1</v>
      </c>
      <c r="N78" s="418">
        <f>VLOOKUP('Physical Effects'!Z82,Lookup!$B$4:$C$14,2,FALSE)</f>
        <v>1</v>
      </c>
      <c r="O78" s="418">
        <f>VLOOKUP('Physical Effects'!AB82,Lookup!$B$4:$C$14,2,FALSE)</f>
        <v>-1</v>
      </c>
      <c r="P78" s="418">
        <f>VLOOKUP('Physical Effects'!AD82,Lookup!$B$4:$C$14,2,FALSE)</f>
        <v>0</v>
      </c>
      <c r="Q78" s="418">
        <f>VLOOKUP('Physical Effects'!AF82,Lookup!$B$4:$C$14,2,FALSE)</f>
        <v>2</v>
      </c>
      <c r="R78" s="418">
        <f>VLOOKUP('Physical Effects'!AH82,Lookup!$B$4:$C$14,2,FALSE)</f>
        <v>0</v>
      </c>
      <c r="S78" s="418">
        <f>VLOOKUP('Physical Effects'!AJ82,Lookup!$B$4:$C$14,2,FALSE)</f>
        <v>2</v>
      </c>
      <c r="T78" s="418">
        <f>VLOOKUP('Physical Effects'!AL82,Lookup!$B$4:$C$14,2,FALSE)</f>
        <v>2</v>
      </c>
      <c r="U78" s="418">
        <f>VLOOKUP('Physical Effects'!AN82,Lookup!$B$4:$C$14,2,FALSE)</f>
        <v>2</v>
      </c>
      <c r="V78" s="418">
        <f>VLOOKUP('Physical Effects'!AP82,Lookup!$B$4:$C$14,2,FALSE)</f>
        <v>-1</v>
      </c>
      <c r="W78" s="418">
        <f>VLOOKUP('Physical Effects'!AR82,Lookup!$B$4:$C$14,2,FALSE)</f>
        <v>1</v>
      </c>
      <c r="X78" s="418">
        <f>VLOOKUP('Physical Effects'!AT82,Lookup!$B$4:$C$14,2,FALSE)</f>
        <v>-1</v>
      </c>
      <c r="Y78" s="418">
        <f>VLOOKUP('Physical Effects'!AV82,Lookup!$B$4:$C$14,2,FALSE)</f>
        <v>1</v>
      </c>
      <c r="Z78" s="418">
        <f>VLOOKUP('Physical Effects'!AX82,Lookup!$B$4:$C$14,2,FALSE)</f>
        <v>0</v>
      </c>
      <c r="AA78" s="418">
        <f>VLOOKUP('Physical Effects'!AZ82,Lookup!$B$4:$C$14,2,FALSE)</f>
        <v>1</v>
      </c>
      <c r="AB78" s="418">
        <f>VLOOKUP('Physical Effects'!BB82,Lookup!$B$4:$C$14,2,FALSE)</f>
        <v>0</v>
      </c>
      <c r="AC78" s="418">
        <f>VLOOKUP('Physical Effects'!BD82,Lookup!$B$4:$C$14,2,FALSE)</f>
        <v>4</v>
      </c>
      <c r="AD78" s="418">
        <f>VLOOKUP('Physical Effects'!BF82,Lookup!$B$4:$C$14,2,FALSE)</f>
        <v>-1</v>
      </c>
      <c r="AE78" s="418">
        <f>VLOOKUP('Physical Effects'!BH82,Lookup!$B$4:$C$14,2,FALSE)</f>
        <v>0</v>
      </c>
      <c r="AF78" s="418">
        <f>VLOOKUP('Physical Effects'!BJ82,Lookup!$B$4:$C$14,2,FALSE)</f>
        <v>0</v>
      </c>
      <c r="AG78" s="418">
        <f>VLOOKUP('Physical Effects'!BL82,Lookup!$B$4:$C$14,2,FALSE)</f>
        <v>0</v>
      </c>
      <c r="AH78" s="418">
        <f>VLOOKUP('Physical Effects'!BN82,Lookup!$B$4:$C$14,2,FALSE)</f>
        <v>0</v>
      </c>
      <c r="AI78" s="418">
        <f>VLOOKUP('Physical Effects'!BP82,Lookup!$B$4:$C$14,2,FALSE)</f>
        <v>2</v>
      </c>
      <c r="AJ78" s="418">
        <f>VLOOKUP('Physical Effects'!BR82,Lookup!$B$4:$C$14,2,FALSE)</f>
        <v>0</v>
      </c>
      <c r="AK78" s="418">
        <f>VLOOKUP('Physical Effects'!BT82,Lookup!$B$4:$C$14,2,FALSE)</f>
        <v>0</v>
      </c>
      <c r="AL78" s="418">
        <f>VLOOKUP('Physical Effects'!BV82,Lookup!$B$4:$C$14,2,FALSE)</f>
        <v>0</v>
      </c>
      <c r="AM78" s="418">
        <f>VLOOKUP('Physical Effects'!BX82,Lookup!$B$4:$C$14,2,FALSE)</f>
        <v>0</v>
      </c>
      <c r="AN78" s="418">
        <f>VLOOKUP('Physical Effects'!BZ82,Lookup!$B$4:$C$14,2,FALSE)</f>
        <v>0</v>
      </c>
      <c r="AO78" s="418">
        <f>VLOOKUP('Physical Effects'!CB82,Lookup!$B$4:$C$14,2,FALSE)</f>
        <v>1</v>
      </c>
      <c r="AP78" s="418">
        <f>VLOOKUP('Physical Effects'!CD82,Lookup!$B$4:$C$14,2,FALSE)</f>
        <v>0</v>
      </c>
      <c r="AQ78" s="418">
        <f>VLOOKUP('Physical Effects'!CF82,Lookup!$B$4:$C$14,2,FALSE)</f>
        <v>0</v>
      </c>
      <c r="AR78" s="418">
        <f>VLOOKUP('Physical Effects'!CH82,Lookup!$B$4:$C$14,2,FALSE)</f>
        <v>0</v>
      </c>
      <c r="AS78" s="418">
        <f>VLOOKUP('Physical Effects'!CJ82,Lookup!$B$4:$C$14,2,FALSE)</f>
        <v>0</v>
      </c>
      <c r="AT78" s="418">
        <f>VLOOKUP('Physical Effects'!CL82,Lookup!$B$4:$C$14,2,FALSE)</f>
        <v>0</v>
      </c>
      <c r="AU78" s="418">
        <f>VLOOKUP('Physical Effects'!CN82,Lookup!$B$4:$C$14,2,FALSE)</f>
        <v>2</v>
      </c>
      <c r="AV78" s="28"/>
      <c r="AW78" s="23"/>
      <c r="AX78" s="23"/>
      <c r="AY78" s="23"/>
      <c r="AZ78" s="23"/>
      <c r="BA78" s="23"/>
      <c r="BB78" s="23"/>
      <c r="BC78" s="23"/>
      <c r="BD78" s="23"/>
      <c r="BE78" s="23"/>
      <c r="BF78" s="23"/>
    </row>
    <row r="79" spans="1:58" s="5" customFormat="1" ht="13.5" thickBot="1" x14ac:dyDescent="0.25">
      <c r="A79" s="123">
        <f t="shared" si="1"/>
        <v>78</v>
      </c>
      <c r="B79" s="19" t="str">
        <f>+'Physical Effects'!B83</f>
        <v>Irrigation Water Management</v>
      </c>
      <c r="C79" s="32">
        <f>+'Physical Effects'!D83</f>
        <v>449</v>
      </c>
      <c r="D79" s="418">
        <f>VLOOKUP('Physical Effects'!F83,Lookup!$B$4:$C$14,2,FALSE)</f>
        <v>0</v>
      </c>
      <c r="E79" s="418">
        <f>VLOOKUP('Physical Effects'!H83,Lookup!$B$4:$C$14,2,FALSE)</f>
        <v>2</v>
      </c>
      <c r="F79" s="418">
        <f>VLOOKUP('Physical Effects'!J83,Lookup!$B$4:$C$14,2,FALSE)</f>
        <v>0</v>
      </c>
      <c r="G79" s="418">
        <f>VLOOKUP('Physical Effects'!L83,Lookup!$B$4:$C$14,2,FALSE)</f>
        <v>0</v>
      </c>
      <c r="H79" s="418">
        <f>VLOOKUP('Physical Effects'!N83,Lookup!$B$4:$C$14,2,FALSE)</f>
        <v>0</v>
      </c>
      <c r="I79" s="418">
        <f>VLOOKUP('Physical Effects'!P83,Lookup!$B$4:$C$14,2,FALSE)</f>
        <v>1</v>
      </c>
      <c r="J79" s="418">
        <f>VLOOKUP('Physical Effects'!R83,Lookup!$B$4:$C$14,2,FALSE)</f>
        <v>0</v>
      </c>
      <c r="K79" s="418">
        <f>VLOOKUP('Physical Effects'!T83,Lookup!$B$4:$C$14,2,FALSE)</f>
        <v>0</v>
      </c>
      <c r="L79" s="418">
        <f>VLOOKUP('Physical Effects'!V83,Lookup!$B$4:$C$14,2,FALSE)</f>
        <v>2</v>
      </c>
      <c r="M79" s="418">
        <f>VLOOKUP('Physical Effects'!X83,Lookup!$B$4:$C$14,2,FALSE)</f>
        <v>0</v>
      </c>
      <c r="N79" s="418">
        <f>VLOOKUP('Physical Effects'!Z83,Lookup!$B$4:$C$14,2,FALSE)</f>
        <v>0</v>
      </c>
      <c r="O79" s="418">
        <f>VLOOKUP('Physical Effects'!AB83,Lookup!$B$4:$C$14,2,FALSE)</f>
        <v>1</v>
      </c>
      <c r="P79" s="418">
        <f>VLOOKUP('Physical Effects'!AD83,Lookup!$B$4:$C$14,2,FALSE)</f>
        <v>0</v>
      </c>
      <c r="Q79" s="418">
        <f>VLOOKUP('Physical Effects'!AF83,Lookup!$B$4:$C$14,2,FALSE)</f>
        <v>2</v>
      </c>
      <c r="R79" s="418">
        <f>VLOOKUP('Physical Effects'!AH83,Lookup!$B$4:$C$14,2,FALSE)</f>
        <v>0</v>
      </c>
      <c r="S79" s="418">
        <f>VLOOKUP('Physical Effects'!AJ83,Lookup!$B$4:$C$14,2,FALSE)</f>
        <v>2</v>
      </c>
      <c r="T79" s="418">
        <f>VLOOKUP('Physical Effects'!AL83,Lookup!$B$4:$C$14,2,FALSE)</f>
        <v>2</v>
      </c>
      <c r="U79" s="418">
        <f>VLOOKUP('Physical Effects'!AN83,Lookup!$B$4:$C$14,2,FALSE)</f>
        <v>2</v>
      </c>
      <c r="V79" s="418">
        <f>VLOOKUP('Physical Effects'!AP83,Lookup!$B$4:$C$14,2,FALSE)</f>
        <v>2</v>
      </c>
      <c r="W79" s="418">
        <f>VLOOKUP('Physical Effects'!AR83,Lookup!$B$4:$C$14,2,FALSE)</f>
        <v>2</v>
      </c>
      <c r="X79" s="418">
        <f>VLOOKUP('Physical Effects'!AT83,Lookup!$B$4:$C$14,2,FALSE)</f>
        <v>2</v>
      </c>
      <c r="Y79" s="418">
        <f>VLOOKUP('Physical Effects'!AV83,Lookup!$B$4:$C$14,2,FALSE)</f>
        <v>2</v>
      </c>
      <c r="Z79" s="418">
        <f>VLOOKUP('Physical Effects'!AX83,Lookup!$B$4:$C$14,2,FALSE)</f>
        <v>2</v>
      </c>
      <c r="AA79" s="418">
        <f>VLOOKUP('Physical Effects'!AZ83,Lookup!$B$4:$C$14,2,FALSE)</f>
        <v>2</v>
      </c>
      <c r="AB79" s="418">
        <f>VLOOKUP('Physical Effects'!BB83,Lookup!$B$4:$C$14,2,FALSE)</f>
        <v>0</v>
      </c>
      <c r="AC79" s="418">
        <f>VLOOKUP('Physical Effects'!BD83,Lookup!$B$4:$C$14,2,FALSE)</f>
        <v>2</v>
      </c>
      <c r="AD79" s="418">
        <f>VLOOKUP('Physical Effects'!BF83,Lookup!$B$4:$C$14,2,FALSE)</f>
        <v>2</v>
      </c>
      <c r="AE79" s="418">
        <f>VLOOKUP('Physical Effects'!BH83,Lookup!$B$4:$C$14,2,FALSE)</f>
        <v>2</v>
      </c>
      <c r="AF79" s="418">
        <f>VLOOKUP('Physical Effects'!BJ83,Lookup!$B$4:$C$14,2,FALSE)</f>
        <v>0</v>
      </c>
      <c r="AG79" s="418">
        <f>VLOOKUP('Physical Effects'!BL83,Lookup!$B$4:$C$14,2,FALSE)</f>
        <v>1</v>
      </c>
      <c r="AH79" s="418">
        <f>VLOOKUP('Physical Effects'!BN83,Lookup!$B$4:$C$14,2,FALSE)</f>
        <v>0</v>
      </c>
      <c r="AI79" s="418">
        <f>VLOOKUP('Physical Effects'!BP83,Lookup!$B$4:$C$14,2,FALSE)</f>
        <v>2</v>
      </c>
      <c r="AJ79" s="418">
        <f>VLOOKUP('Physical Effects'!BR83,Lookup!$B$4:$C$14,2,FALSE)</f>
        <v>0</v>
      </c>
      <c r="AK79" s="418">
        <f>VLOOKUP('Physical Effects'!BT83,Lookup!$B$4:$C$14,2,FALSE)</f>
        <v>1</v>
      </c>
      <c r="AL79" s="418">
        <f>VLOOKUP('Physical Effects'!BV83,Lookup!$B$4:$C$14,2,FALSE)</f>
        <v>0</v>
      </c>
      <c r="AM79" s="418">
        <f>VLOOKUP('Physical Effects'!BX83,Lookup!$B$4:$C$14,2,FALSE)</f>
        <v>0</v>
      </c>
      <c r="AN79" s="418">
        <f>VLOOKUP('Physical Effects'!BZ83,Lookup!$B$4:$C$14,2,FALSE)</f>
        <v>0</v>
      </c>
      <c r="AO79" s="418">
        <f>VLOOKUP('Physical Effects'!CB83,Lookup!$B$4:$C$14,2,FALSE)</f>
        <v>0</v>
      </c>
      <c r="AP79" s="418">
        <f>VLOOKUP('Physical Effects'!CD83,Lookup!$B$4:$C$14,2,FALSE)</f>
        <v>0</v>
      </c>
      <c r="AQ79" s="418">
        <f>VLOOKUP('Physical Effects'!CF83,Lookup!$B$4:$C$14,2,FALSE)</f>
        <v>4</v>
      </c>
      <c r="AR79" s="418">
        <f>VLOOKUP('Physical Effects'!CH83,Lookup!$B$4:$C$14,2,FALSE)</f>
        <v>0</v>
      </c>
      <c r="AS79" s="418">
        <f>VLOOKUP('Physical Effects'!CJ83,Lookup!$B$4:$C$14,2,FALSE)</f>
        <v>0</v>
      </c>
      <c r="AT79" s="418">
        <f>VLOOKUP('Physical Effects'!CL83,Lookup!$B$4:$C$14,2,FALSE)</f>
        <v>0</v>
      </c>
      <c r="AU79" s="418">
        <f>VLOOKUP('Physical Effects'!CN83,Lookup!$B$4:$C$14,2,FALSE)</f>
        <v>2</v>
      </c>
      <c r="AV79" s="28"/>
      <c r="AW79" s="23"/>
      <c r="AX79" s="23"/>
      <c r="AY79" s="23"/>
      <c r="AZ79" s="23"/>
      <c r="BA79" s="23"/>
      <c r="BB79" s="23"/>
      <c r="BC79" s="23"/>
      <c r="BD79" s="23"/>
      <c r="BE79" s="23"/>
      <c r="BF79" s="23"/>
    </row>
    <row r="80" spans="1:58" s="5" customFormat="1" ht="13.5" thickBot="1" x14ac:dyDescent="0.25">
      <c r="A80" s="123">
        <f t="shared" si="1"/>
        <v>79</v>
      </c>
      <c r="B80" s="19" t="str">
        <f>+'Physical Effects'!B84</f>
        <v xml:space="preserve">Karst Sinkhole Treatment </v>
      </c>
      <c r="C80" s="32">
        <f>+'Physical Effects'!D84</f>
        <v>527</v>
      </c>
      <c r="D80" s="418">
        <f>VLOOKUP('Physical Effects'!F84,Lookup!$B$4:$C$14,2,FALSE)</f>
        <v>0</v>
      </c>
      <c r="E80" s="418">
        <f>VLOOKUP('Physical Effects'!H84,Lookup!$B$4:$C$14,2,FALSE)</f>
        <v>0</v>
      </c>
      <c r="F80" s="418">
        <f>VLOOKUP('Physical Effects'!J84,Lookup!$B$4:$C$14,2,FALSE)</f>
        <v>4</v>
      </c>
      <c r="G80" s="418">
        <f>VLOOKUP('Physical Effects'!L84,Lookup!$B$4:$C$14,2,FALSE)</f>
        <v>4</v>
      </c>
      <c r="H80" s="418">
        <f>VLOOKUP('Physical Effects'!N84,Lookup!$B$4:$C$14,2,FALSE)</f>
        <v>0</v>
      </c>
      <c r="I80" s="418">
        <f>VLOOKUP('Physical Effects'!P84,Lookup!$B$4:$C$14,2,FALSE)</f>
        <v>0</v>
      </c>
      <c r="J80" s="418">
        <f>VLOOKUP('Physical Effects'!R84,Lookup!$B$4:$C$14,2,FALSE)</f>
        <v>0</v>
      </c>
      <c r="K80" s="418">
        <f>VLOOKUP('Physical Effects'!T84,Lookup!$B$4:$C$14,2,FALSE)</f>
        <v>0</v>
      </c>
      <c r="L80" s="418">
        <f>VLOOKUP('Physical Effects'!V84,Lookup!$B$4:$C$14,2,FALSE)</f>
        <v>2</v>
      </c>
      <c r="M80" s="418">
        <f>VLOOKUP('Physical Effects'!X84,Lookup!$B$4:$C$14,2,FALSE)</f>
        <v>0</v>
      </c>
      <c r="N80" s="418">
        <f>VLOOKUP('Physical Effects'!Z84,Lookup!$B$4:$C$14,2,FALSE)</f>
        <v>-2</v>
      </c>
      <c r="O80" s="418">
        <f>VLOOKUP('Physical Effects'!AB84,Lookup!$B$4:$C$14,2,FALSE)</f>
        <v>0</v>
      </c>
      <c r="P80" s="418">
        <f>VLOOKUP('Physical Effects'!AD84,Lookup!$B$4:$C$14,2,FALSE)</f>
        <v>0</v>
      </c>
      <c r="Q80" s="418">
        <f>VLOOKUP('Physical Effects'!AF84,Lookup!$B$4:$C$14,2,FALSE)</f>
        <v>0</v>
      </c>
      <c r="R80" s="418">
        <f>VLOOKUP('Physical Effects'!AH84,Lookup!$B$4:$C$14,2,FALSE)</f>
        <v>0</v>
      </c>
      <c r="S80" s="418">
        <f>VLOOKUP('Physical Effects'!AJ84,Lookup!$B$4:$C$14,2,FALSE)</f>
        <v>2</v>
      </c>
      <c r="T80" s="418">
        <f>VLOOKUP('Physical Effects'!AL84,Lookup!$B$4:$C$14,2,FALSE)</f>
        <v>2</v>
      </c>
      <c r="U80" s="418">
        <f>VLOOKUP('Physical Effects'!AN84,Lookup!$B$4:$C$14,2,FALSE)</f>
        <v>2</v>
      </c>
      <c r="V80" s="418">
        <f>VLOOKUP('Physical Effects'!AP84,Lookup!$B$4:$C$14,2,FALSE)</f>
        <v>2</v>
      </c>
      <c r="W80" s="418">
        <f>VLOOKUP('Physical Effects'!AR84,Lookup!$B$4:$C$14,2,FALSE)</f>
        <v>0</v>
      </c>
      <c r="X80" s="418">
        <f>VLOOKUP('Physical Effects'!AT84,Lookup!$B$4:$C$14,2,FALSE)</f>
        <v>2</v>
      </c>
      <c r="Y80" s="418">
        <f>VLOOKUP('Physical Effects'!AV84,Lookup!$B$4:$C$14,2,FALSE)</f>
        <v>2</v>
      </c>
      <c r="Z80" s="418">
        <f>VLOOKUP('Physical Effects'!AX84,Lookup!$B$4:$C$14,2,FALSE)</f>
        <v>2</v>
      </c>
      <c r="AA80" s="418">
        <f>VLOOKUP('Physical Effects'!AZ84,Lookup!$B$4:$C$14,2,FALSE)</f>
        <v>2</v>
      </c>
      <c r="AB80" s="418">
        <f>VLOOKUP('Physical Effects'!BB84,Lookup!$B$4:$C$14,2,FALSE)</f>
        <v>0</v>
      </c>
      <c r="AC80" s="418">
        <f>VLOOKUP('Physical Effects'!BD84,Lookup!$B$4:$C$14,2,FALSE)</f>
        <v>0</v>
      </c>
      <c r="AD80" s="418">
        <f>VLOOKUP('Physical Effects'!BF84,Lookup!$B$4:$C$14,2,FALSE)</f>
        <v>2</v>
      </c>
      <c r="AE80" s="418">
        <f>VLOOKUP('Physical Effects'!BH84,Lookup!$B$4:$C$14,2,FALSE)</f>
        <v>0</v>
      </c>
      <c r="AF80" s="418">
        <f>VLOOKUP('Physical Effects'!BJ84,Lookup!$B$4:$C$14,2,FALSE)</f>
        <v>0</v>
      </c>
      <c r="AG80" s="418">
        <f>VLOOKUP('Physical Effects'!BL84,Lookup!$B$4:$C$14,2,FALSE)</f>
        <v>0</v>
      </c>
      <c r="AH80" s="418">
        <f>VLOOKUP('Physical Effects'!BN84,Lookup!$B$4:$C$14,2,FALSE)</f>
        <v>0</v>
      </c>
      <c r="AI80" s="418">
        <f>VLOOKUP('Physical Effects'!BP84,Lookup!$B$4:$C$14,2,FALSE)</f>
        <v>0</v>
      </c>
      <c r="AJ80" s="418">
        <f>VLOOKUP('Physical Effects'!BR84,Lookup!$B$4:$C$14,2,FALSE)</f>
        <v>0</v>
      </c>
      <c r="AK80" s="418">
        <f>VLOOKUP('Physical Effects'!BT84,Lookup!$B$4:$C$14,2,FALSE)</f>
        <v>0</v>
      </c>
      <c r="AL80" s="418">
        <f>VLOOKUP('Physical Effects'!BV84,Lookup!$B$4:$C$14,2,FALSE)</f>
        <v>0</v>
      </c>
      <c r="AM80" s="418">
        <f>VLOOKUP('Physical Effects'!BX84,Lookup!$B$4:$C$14,2,FALSE)</f>
        <v>0</v>
      </c>
      <c r="AN80" s="418">
        <f>VLOOKUP('Physical Effects'!BZ84,Lookup!$B$4:$C$14,2,FALSE)</f>
        <v>0</v>
      </c>
      <c r="AO80" s="418">
        <f>VLOOKUP('Physical Effects'!CB84,Lookup!$B$4:$C$14,2,FALSE)</f>
        <v>0</v>
      </c>
      <c r="AP80" s="418">
        <f>VLOOKUP('Physical Effects'!CD84,Lookup!$B$4:$C$14,2,FALSE)</f>
        <v>0</v>
      </c>
      <c r="AQ80" s="418">
        <f>VLOOKUP('Physical Effects'!CF84,Lookup!$B$4:$C$14,2,FALSE)</f>
        <v>0</v>
      </c>
      <c r="AR80" s="418">
        <f>VLOOKUP('Physical Effects'!CH84,Lookup!$B$4:$C$14,2,FALSE)</f>
        <v>0</v>
      </c>
      <c r="AS80" s="418">
        <f>VLOOKUP('Physical Effects'!CJ84,Lookup!$B$4:$C$14,2,FALSE)</f>
        <v>0</v>
      </c>
      <c r="AT80" s="418">
        <f>VLOOKUP('Physical Effects'!CL84,Lookup!$B$4:$C$14,2,FALSE)</f>
        <v>0</v>
      </c>
      <c r="AU80" s="418">
        <f>VLOOKUP('Physical Effects'!CN84,Lookup!$B$4:$C$14,2,FALSE)</f>
        <v>0</v>
      </c>
      <c r="AV80" s="28"/>
      <c r="AW80" s="23"/>
      <c r="AX80" s="23"/>
      <c r="AY80" s="23"/>
      <c r="AZ80" s="23"/>
      <c r="BA80" s="23"/>
      <c r="BB80" s="23"/>
      <c r="BC80" s="23"/>
      <c r="BD80" s="23"/>
      <c r="BE80" s="23"/>
      <c r="BF80" s="23"/>
    </row>
    <row r="81" spans="1:58" s="5" customFormat="1" ht="13.5" thickBot="1" x14ac:dyDescent="0.25">
      <c r="A81" s="123">
        <f t="shared" si="1"/>
        <v>80</v>
      </c>
      <c r="B81" s="19" t="str">
        <f>+'Physical Effects'!B85</f>
        <v>Land Clearing</v>
      </c>
      <c r="C81" s="32">
        <f>+'Physical Effects'!D85</f>
        <v>460</v>
      </c>
      <c r="D81" s="418">
        <f>VLOOKUP('Physical Effects'!F85,Lookup!$B$4:$C$14,2,FALSE)</f>
        <v>0</v>
      </c>
      <c r="E81" s="418">
        <f>VLOOKUP('Physical Effects'!H85,Lookup!$B$4:$C$14,2,FALSE)</f>
        <v>0</v>
      </c>
      <c r="F81" s="418">
        <f>VLOOKUP('Physical Effects'!J85,Lookup!$B$4:$C$14,2,FALSE)</f>
        <v>0</v>
      </c>
      <c r="G81" s="418">
        <f>VLOOKUP('Physical Effects'!L85,Lookup!$B$4:$C$14,2,FALSE)</f>
        <v>0</v>
      </c>
      <c r="H81" s="418">
        <f>VLOOKUP('Physical Effects'!N85,Lookup!$B$4:$C$14,2,FALSE)</f>
        <v>0</v>
      </c>
      <c r="I81" s="418">
        <f>VLOOKUP('Physical Effects'!P85,Lookup!$B$4:$C$14,2,FALSE)</f>
        <v>-3</v>
      </c>
      <c r="J81" s="418">
        <f>VLOOKUP('Physical Effects'!R85,Lookup!$B$4:$C$14,2,FALSE)</f>
        <v>-1</v>
      </c>
      <c r="K81" s="418">
        <f>VLOOKUP('Physical Effects'!T85,Lookup!$B$4:$C$14,2,FALSE)</f>
        <v>0</v>
      </c>
      <c r="L81" s="418">
        <f>VLOOKUP('Physical Effects'!V85,Lookup!$B$4:$C$14,2,FALSE)</f>
        <v>0</v>
      </c>
      <c r="M81" s="418">
        <f>VLOOKUP('Physical Effects'!X85,Lookup!$B$4:$C$14,2,FALSE)</f>
        <v>0</v>
      </c>
      <c r="N81" s="418">
        <f>VLOOKUP('Physical Effects'!Z85,Lookup!$B$4:$C$14,2,FALSE)</f>
        <v>-1</v>
      </c>
      <c r="O81" s="418">
        <f>VLOOKUP('Physical Effects'!AB85,Lookup!$B$4:$C$14,2,FALSE)</f>
        <v>0</v>
      </c>
      <c r="P81" s="418">
        <f>VLOOKUP('Physical Effects'!AD85,Lookup!$B$4:$C$14,2,FALSE)</f>
        <v>0</v>
      </c>
      <c r="Q81" s="418">
        <f>VLOOKUP('Physical Effects'!AF85,Lookup!$B$4:$C$14,2,FALSE)</f>
        <v>0</v>
      </c>
      <c r="R81" s="418">
        <f>VLOOKUP('Physical Effects'!AH85,Lookup!$B$4:$C$14,2,FALSE)</f>
        <v>0</v>
      </c>
      <c r="S81" s="418">
        <f>VLOOKUP('Physical Effects'!AJ85,Lookup!$B$4:$C$14,2,FALSE)</f>
        <v>-1</v>
      </c>
      <c r="T81" s="418">
        <f>VLOOKUP('Physical Effects'!AL85,Lookup!$B$4:$C$14,2,FALSE)</f>
        <v>0</v>
      </c>
      <c r="U81" s="418">
        <f>VLOOKUP('Physical Effects'!AN85,Lookup!$B$4:$C$14,2,FALSE)</f>
        <v>-1</v>
      </c>
      <c r="V81" s="418">
        <f>VLOOKUP('Physical Effects'!AP85,Lookup!$B$4:$C$14,2,FALSE)</f>
        <v>0</v>
      </c>
      <c r="W81" s="418">
        <f>VLOOKUP('Physical Effects'!AR85,Lookup!$B$4:$C$14,2,FALSE)</f>
        <v>0</v>
      </c>
      <c r="X81" s="418">
        <f>VLOOKUP('Physical Effects'!AT85,Lookup!$B$4:$C$14,2,FALSE)</f>
        <v>0</v>
      </c>
      <c r="Y81" s="418">
        <f>VLOOKUP('Physical Effects'!AV85,Lookup!$B$4:$C$14,2,FALSE)</f>
        <v>-1</v>
      </c>
      <c r="Z81" s="418">
        <f>VLOOKUP('Physical Effects'!AX85,Lookup!$B$4:$C$14,2,FALSE)</f>
        <v>0</v>
      </c>
      <c r="AA81" s="418">
        <f>VLOOKUP('Physical Effects'!AZ85,Lookup!$B$4:$C$14,2,FALSE)</f>
        <v>-1</v>
      </c>
      <c r="AB81" s="418">
        <f>VLOOKUP('Physical Effects'!BB85,Lookup!$B$4:$C$14,2,FALSE)</f>
        <v>-2</v>
      </c>
      <c r="AC81" s="418">
        <f>VLOOKUP('Physical Effects'!BD85,Lookup!$B$4:$C$14,2,FALSE)</f>
        <v>-1</v>
      </c>
      <c r="AD81" s="418">
        <f>VLOOKUP('Physical Effects'!BF85,Lookup!$B$4:$C$14,2,FALSE)</f>
        <v>0</v>
      </c>
      <c r="AE81" s="418">
        <f>VLOOKUP('Physical Effects'!BH85,Lookup!$B$4:$C$14,2,FALSE)</f>
        <v>-1</v>
      </c>
      <c r="AF81" s="418">
        <f>VLOOKUP('Physical Effects'!BJ85,Lookup!$B$4:$C$14,2,FALSE)</f>
        <v>0</v>
      </c>
      <c r="AG81" s="418">
        <f>VLOOKUP('Physical Effects'!BL85,Lookup!$B$4:$C$14,2,FALSE)</f>
        <v>-1</v>
      </c>
      <c r="AH81" s="418">
        <f>VLOOKUP('Physical Effects'!BN85,Lookup!$B$4:$C$14,2,FALSE)</f>
        <v>0</v>
      </c>
      <c r="AI81" s="418">
        <f>VLOOKUP('Physical Effects'!BP85,Lookup!$B$4:$C$14,2,FALSE)</f>
        <v>2</v>
      </c>
      <c r="AJ81" s="418">
        <f>VLOOKUP('Physical Effects'!BR85,Lookup!$B$4:$C$14,2,FALSE)</f>
        <v>0</v>
      </c>
      <c r="AK81" s="418">
        <f>VLOOKUP('Physical Effects'!BT85,Lookup!$B$4:$C$14,2,FALSE)</f>
        <v>-2</v>
      </c>
      <c r="AL81" s="418">
        <f>VLOOKUP('Physical Effects'!BV85,Lookup!$B$4:$C$14,2,FALSE)</f>
        <v>4</v>
      </c>
      <c r="AM81" s="418">
        <f>VLOOKUP('Physical Effects'!BX85,Lookup!$B$4:$C$14,2,FALSE)</f>
        <v>-2</v>
      </c>
      <c r="AN81" s="418">
        <f>VLOOKUP('Physical Effects'!BZ85,Lookup!$B$4:$C$14,2,FALSE)</f>
        <v>-2</v>
      </c>
      <c r="AO81" s="418">
        <f>VLOOKUP('Physical Effects'!CB85,Lookup!$B$4:$C$14,2,FALSE)</f>
        <v>0</v>
      </c>
      <c r="AP81" s="418">
        <f>VLOOKUP('Physical Effects'!CD85,Lookup!$B$4:$C$14,2,FALSE)</f>
        <v>-2</v>
      </c>
      <c r="AQ81" s="418">
        <f>VLOOKUP('Physical Effects'!CF85,Lookup!$B$4:$C$14,2,FALSE)</f>
        <v>0</v>
      </c>
      <c r="AR81" s="418">
        <f>VLOOKUP('Physical Effects'!CH85,Lookup!$B$4:$C$14,2,FALSE)</f>
        <v>-2</v>
      </c>
      <c r="AS81" s="418">
        <f>VLOOKUP('Physical Effects'!CJ85,Lookup!$B$4:$C$14,2,FALSE)</f>
        <v>0</v>
      </c>
      <c r="AT81" s="418">
        <f>VLOOKUP('Physical Effects'!CL85,Lookup!$B$4:$C$14,2,FALSE)</f>
        <v>0</v>
      </c>
      <c r="AU81" s="418">
        <f>VLOOKUP('Physical Effects'!CN85,Lookup!$B$4:$C$14,2,FALSE)</f>
        <v>0</v>
      </c>
      <c r="AV81" s="28"/>
      <c r="AW81" s="23"/>
      <c r="AX81" s="23"/>
      <c r="AY81" s="23"/>
      <c r="AZ81" s="23"/>
      <c r="BA81" s="23"/>
      <c r="BB81" s="23"/>
      <c r="BC81" s="23"/>
      <c r="BD81" s="23"/>
      <c r="BE81" s="23"/>
      <c r="BF81" s="23"/>
    </row>
    <row r="82" spans="1:58" s="5" customFormat="1" ht="13.5" thickBot="1" x14ac:dyDescent="0.25">
      <c r="A82" s="123">
        <f t="shared" si="1"/>
        <v>81</v>
      </c>
      <c r="B82" s="19" t="str">
        <f>+'Physical Effects'!B86</f>
        <v>Land Reclamation, Abandoned Mined Land</v>
      </c>
      <c r="C82" s="32">
        <f>+'Physical Effects'!D86</f>
        <v>543</v>
      </c>
      <c r="D82" s="418">
        <f>VLOOKUP('Physical Effects'!F86,Lookup!$B$4:$C$14,2,FALSE)</f>
        <v>4</v>
      </c>
      <c r="E82" s="418">
        <f>VLOOKUP('Physical Effects'!H86,Lookup!$B$4:$C$14,2,FALSE)</f>
        <v>4</v>
      </c>
      <c r="F82" s="418">
        <f>VLOOKUP('Physical Effects'!J86,Lookup!$B$4:$C$14,2,FALSE)</f>
        <v>4</v>
      </c>
      <c r="G82" s="418">
        <f>VLOOKUP('Physical Effects'!L86,Lookup!$B$4:$C$14,2,FALSE)</f>
        <v>1</v>
      </c>
      <c r="H82" s="418">
        <f>VLOOKUP('Physical Effects'!N86,Lookup!$B$4:$C$14,2,FALSE)</f>
        <v>0</v>
      </c>
      <c r="I82" s="418">
        <f>VLOOKUP('Physical Effects'!P86,Lookup!$B$4:$C$14,2,FALSE)</f>
        <v>3</v>
      </c>
      <c r="J82" s="418">
        <f>VLOOKUP('Physical Effects'!R86,Lookup!$B$4:$C$14,2,FALSE)</f>
        <v>1</v>
      </c>
      <c r="K82" s="418">
        <f>VLOOKUP('Physical Effects'!T86,Lookup!$B$4:$C$14,2,FALSE)</f>
        <v>0</v>
      </c>
      <c r="L82" s="418">
        <f>VLOOKUP('Physical Effects'!V86,Lookup!$B$4:$C$14,2,FALSE)</f>
        <v>4</v>
      </c>
      <c r="M82" s="418">
        <f>VLOOKUP('Physical Effects'!X86,Lookup!$B$4:$C$14,2,FALSE)</f>
        <v>0</v>
      </c>
      <c r="N82" s="418">
        <f>VLOOKUP('Physical Effects'!Z86,Lookup!$B$4:$C$14,2,FALSE)</f>
        <v>3</v>
      </c>
      <c r="O82" s="418">
        <f>VLOOKUP('Physical Effects'!AB86,Lookup!$B$4:$C$14,2,FALSE)</f>
        <v>0</v>
      </c>
      <c r="P82" s="418">
        <f>VLOOKUP('Physical Effects'!AD86,Lookup!$B$4:$C$14,2,FALSE)</f>
        <v>0</v>
      </c>
      <c r="Q82" s="418">
        <f>VLOOKUP('Physical Effects'!AF86,Lookup!$B$4:$C$14,2,FALSE)</f>
        <v>0</v>
      </c>
      <c r="R82" s="418">
        <f>VLOOKUP('Physical Effects'!AH86,Lookup!$B$4:$C$14,2,FALSE)</f>
        <v>0</v>
      </c>
      <c r="S82" s="418">
        <f>VLOOKUP('Physical Effects'!AJ86,Lookup!$B$4:$C$14,2,FALSE)</f>
        <v>0</v>
      </c>
      <c r="T82" s="418">
        <f>VLOOKUP('Physical Effects'!AL86,Lookup!$B$4:$C$14,2,FALSE)</f>
        <v>0</v>
      </c>
      <c r="U82" s="418">
        <f>VLOOKUP('Physical Effects'!AN86,Lookup!$B$4:$C$14,2,FALSE)</f>
        <v>0</v>
      </c>
      <c r="V82" s="418">
        <f>VLOOKUP('Physical Effects'!AP86,Lookup!$B$4:$C$14,2,FALSE)</f>
        <v>0</v>
      </c>
      <c r="W82" s="418">
        <f>VLOOKUP('Physical Effects'!AR86,Lookup!$B$4:$C$14,2,FALSE)</f>
        <v>1</v>
      </c>
      <c r="X82" s="418">
        <f>VLOOKUP('Physical Effects'!AT86,Lookup!$B$4:$C$14,2,FALSE)</f>
        <v>1</v>
      </c>
      <c r="Y82" s="418">
        <f>VLOOKUP('Physical Effects'!AV86,Lookup!$B$4:$C$14,2,FALSE)</f>
        <v>3</v>
      </c>
      <c r="Z82" s="418">
        <f>VLOOKUP('Physical Effects'!AX86,Lookup!$B$4:$C$14,2,FALSE)</f>
        <v>0</v>
      </c>
      <c r="AA82" s="418">
        <f>VLOOKUP('Physical Effects'!AZ86,Lookup!$B$4:$C$14,2,FALSE)</f>
        <v>4</v>
      </c>
      <c r="AB82" s="418">
        <f>VLOOKUP('Physical Effects'!BB86,Lookup!$B$4:$C$14,2,FALSE)</f>
        <v>0</v>
      </c>
      <c r="AC82" s="418">
        <f>VLOOKUP('Physical Effects'!BD86,Lookup!$B$4:$C$14,2,FALSE)</f>
        <v>0</v>
      </c>
      <c r="AD82" s="418">
        <f>VLOOKUP('Physical Effects'!BF86,Lookup!$B$4:$C$14,2,FALSE)</f>
        <v>1</v>
      </c>
      <c r="AE82" s="418">
        <f>VLOOKUP('Physical Effects'!BH86,Lookup!$B$4:$C$14,2,FALSE)</f>
        <v>1</v>
      </c>
      <c r="AF82" s="418">
        <f>VLOOKUP('Physical Effects'!BJ86,Lookup!$B$4:$C$14,2,FALSE)</f>
        <v>0</v>
      </c>
      <c r="AG82" s="418">
        <f>VLOOKUP('Physical Effects'!BL86,Lookup!$B$4:$C$14,2,FALSE)</f>
        <v>1</v>
      </c>
      <c r="AH82" s="418">
        <f>VLOOKUP('Physical Effects'!BN86,Lookup!$B$4:$C$14,2,FALSE)</f>
        <v>0</v>
      </c>
      <c r="AI82" s="418">
        <f>VLOOKUP('Physical Effects'!BP86,Lookup!$B$4:$C$14,2,FALSE)</f>
        <v>4</v>
      </c>
      <c r="AJ82" s="418">
        <f>VLOOKUP('Physical Effects'!BR86,Lookup!$B$4:$C$14,2,FALSE)</f>
        <v>5</v>
      </c>
      <c r="AK82" s="418">
        <f>VLOOKUP('Physical Effects'!BT86,Lookup!$B$4:$C$14,2,FALSE)</f>
        <v>4</v>
      </c>
      <c r="AL82" s="418">
        <f>VLOOKUP('Physical Effects'!BV86,Lookup!$B$4:$C$14,2,FALSE)</f>
        <v>0</v>
      </c>
      <c r="AM82" s="418">
        <f>VLOOKUP('Physical Effects'!BX86,Lookup!$B$4:$C$14,2,FALSE)</f>
        <v>2</v>
      </c>
      <c r="AN82" s="418">
        <f>VLOOKUP('Physical Effects'!BZ86,Lookup!$B$4:$C$14,2,FALSE)</f>
        <v>2</v>
      </c>
      <c r="AO82" s="418">
        <f>VLOOKUP('Physical Effects'!CB86,Lookup!$B$4:$C$14,2,FALSE)</f>
        <v>0</v>
      </c>
      <c r="AP82" s="418">
        <f>VLOOKUP('Physical Effects'!CD86,Lookup!$B$4:$C$14,2,FALSE)</f>
        <v>1</v>
      </c>
      <c r="AQ82" s="418">
        <f>VLOOKUP('Physical Effects'!CF86,Lookup!$B$4:$C$14,2,FALSE)</f>
        <v>4</v>
      </c>
      <c r="AR82" s="418">
        <f>VLOOKUP('Physical Effects'!CH86,Lookup!$B$4:$C$14,2,FALSE)</f>
        <v>0</v>
      </c>
      <c r="AS82" s="418">
        <f>VLOOKUP('Physical Effects'!CJ86,Lookup!$B$4:$C$14,2,FALSE)</f>
        <v>0</v>
      </c>
      <c r="AT82" s="418">
        <f>VLOOKUP('Physical Effects'!CL86,Lookup!$B$4:$C$14,2,FALSE)</f>
        <v>0</v>
      </c>
      <c r="AU82" s="418">
        <f>VLOOKUP('Physical Effects'!CN86,Lookup!$B$4:$C$14,2,FALSE)</f>
        <v>0</v>
      </c>
      <c r="AV82" s="28"/>
      <c r="AW82" s="23"/>
      <c r="AX82" s="23"/>
      <c r="AY82" s="23"/>
      <c r="AZ82" s="23"/>
      <c r="BA82" s="23"/>
      <c r="BB82" s="23"/>
      <c r="BC82" s="23"/>
      <c r="BD82" s="23"/>
      <c r="BE82" s="23"/>
      <c r="BF82" s="23"/>
    </row>
    <row r="83" spans="1:58" s="18" customFormat="1" ht="13.5" thickBot="1" x14ac:dyDescent="0.25">
      <c r="A83" s="123">
        <f t="shared" si="1"/>
        <v>82</v>
      </c>
      <c r="B83" s="19" t="str">
        <f>+'Physical Effects'!B87</f>
        <v>Land Reclamation, Currently Mined Land</v>
      </c>
      <c r="C83" s="32">
        <f>+'Physical Effects'!D87</f>
        <v>544</v>
      </c>
      <c r="D83" s="418">
        <f>VLOOKUP('Physical Effects'!F87,Lookup!$B$4:$C$14,2,FALSE)</f>
        <v>4</v>
      </c>
      <c r="E83" s="418">
        <f>VLOOKUP('Physical Effects'!H87,Lookup!$B$4:$C$14,2,FALSE)</f>
        <v>4</v>
      </c>
      <c r="F83" s="418">
        <f>VLOOKUP('Physical Effects'!J87,Lookup!$B$4:$C$14,2,FALSE)</f>
        <v>4</v>
      </c>
      <c r="G83" s="418">
        <f>VLOOKUP('Physical Effects'!L87,Lookup!$B$4:$C$14,2,FALSE)</f>
        <v>1</v>
      </c>
      <c r="H83" s="418">
        <f>VLOOKUP('Physical Effects'!N87,Lookup!$B$4:$C$14,2,FALSE)</f>
        <v>0</v>
      </c>
      <c r="I83" s="418">
        <f>VLOOKUP('Physical Effects'!P87,Lookup!$B$4:$C$14,2,FALSE)</f>
        <v>3</v>
      </c>
      <c r="J83" s="418">
        <f>VLOOKUP('Physical Effects'!R87,Lookup!$B$4:$C$14,2,FALSE)</f>
        <v>1</v>
      </c>
      <c r="K83" s="418">
        <f>VLOOKUP('Physical Effects'!T87,Lookup!$B$4:$C$14,2,FALSE)</f>
        <v>0</v>
      </c>
      <c r="L83" s="418">
        <f>VLOOKUP('Physical Effects'!V87,Lookup!$B$4:$C$14,2,FALSE)</f>
        <v>4</v>
      </c>
      <c r="M83" s="418">
        <f>VLOOKUP('Physical Effects'!X87,Lookup!$B$4:$C$14,2,FALSE)</f>
        <v>0</v>
      </c>
      <c r="N83" s="418">
        <f>VLOOKUP('Physical Effects'!Z87,Lookup!$B$4:$C$14,2,FALSE)</f>
        <v>3</v>
      </c>
      <c r="O83" s="418">
        <f>VLOOKUP('Physical Effects'!AB87,Lookup!$B$4:$C$14,2,FALSE)</f>
        <v>0</v>
      </c>
      <c r="P83" s="418">
        <f>VLOOKUP('Physical Effects'!AD87,Lookup!$B$4:$C$14,2,FALSE)</f>
        <v>0</v>
      </c>
      <c r="Q83" s="418">
        <f>VLOOKUP('Physical Effects'!AF87,Lookup!$B$4:$C$14,2,FALSE)</f>
        <v>0</v>
      </c>
      <c r="R83" s="418">
        <f>VLOOKUP('Physical Effects'!AH87,Lookup!$B$4:$C$14,2,FALSE)</f>
        <v>0</v>
      </c>
      <c r="S83" s="418">
        <f>VLOOKUP('Physical Effects'!AJ87,Lookup!$B$4:$C$14,2,FALSE)</f>
        <v>0</v>
      </c>
      <c r="T83" s="418">
        <f>VLOOKUP('Physical Effects'!AL87,Lookup!$B$4:$C$14,2,FALSE)</f>
        <v>0</v>
      </c>
      <c r="U83" s="418">
        <f>VLOOKUP('Physical Effects'!AN87,Lookup!$B$4:$C$14,2,FALSE)</f>
        <v>0</v>
      </c>
      <c r="V83" s="418">
        <f>VLOOKUP('Physical Effects'!AP87,Lookup!$B$4:$C$14,2,FALSE)</f>
        <v>0</v>
      </c>
      <c r="W83" s="418">
        <f>VLOOKUP('Physical Effects'!AR87,Lookup!$B$4:$C$14,2,FALSE)</f>
        <v>1</v>
      </c>
      <c r="X83" s="418">
        <f>VLOOKUP('Physical Effects'!AT87,Lookup!$B$4:$C$14,2,FALSE)</f>
        <v>1</v>
      </c>
      <c r="Y83" s="418">
        <f>VLOOKUP('Physical Effects'!AV87,Lookup!$B$4:$C$14,2,FALSE)</f>
        <v>3</v>
      </c>
      <c r="Z83" s="418">
        <f>VLOOKUP('Physical Effects'!AX87,Lookup!$B$4:$C$14,2,FALSE)</f>
        <v>0</v>
      </c>
      <c r="AA83" s="418">
        <f>VLOOKUP('Physical Effects'!AZ87,Lookup!$B$4:$C$14,2,FALSE)</f>
        <v>4</v>
      </c>
      <c r="AB83" s="418">
        <f>VLOOKUP('Physical Effects'!BB87,Lookup!$B$4:$C$14,2,FALSE)</f>
        <v>0</v>
      </c>
      <c r="AC83" s="418">
        <f>VLOOKUP('Physical Effects'!BD87,Lookup!$B$4:$C$14,2,FALSE)</f>
        <v>0</v>
      </c>
      <c r="AD83" s="418">
        <f>VLOOKUP('Physical Effects'!BF87,Lookup!$B$4:$C$14,2,FALSE)</f>
        <v>1</v>
      </c>
      <c r="AE83" s="418">
        <f>VLOOKUP('Physical Effects'!BH87,Lookup!$B$4:$C$14,2,FALSE)</f>
        <v>1</v>
      </c>
      <c r="AF83" s="418">
        <f>VLOOKUP('Physical Effects'!BJ87,Lookup!$B$4:$C$14,2,FALSE)</f>
        <v>0</v>
      </c>
      <c r="AG83" s="418">
        <f>VLOOKUP('Physical Effects'!BL87,Lookup!$B$4:$C$14,2,FALSE)</f>
        <v>1</v>
      </c>
      <c r="AH83" s="418">
        <f>VLOOKUP('Physical Effects'!BN87,Lookup!$B$4:$C$14,2,FALSE)</f>
        <v>0</v>
      </c>
      <c r="AI83" s="418">
        <f>VLOOKUP('Physical Effects'!BP87,Lookup!$B$4:$C$14,2,FALSE)</f>
        <v>4</v>
      </c>
      <c r="AJ83" s="418">
        <f>VLOOKUP('Physical Effects'!BR87,Lookup!$B$4:$C$14,2,FALSE)</f>
        <v>5</v>
      </c>
      <c r="AK83" s="418">
        <f>VLOOKUP('Physical Effects'!BT87,Lookup!$B$4:$C$14,2,FALSE)</f>
        <v>4</v>
      </c>
      <c r="AL83" s="418">
        <f>VLOOKUP('Physical Effects'!BV87,Lookup!$B$4:$C$14,2,FALSE)</f>
        <v>0</v>
      </c>
      <c r="AM83" s="418">
        <f>VLOOKUP('Physical Effects'!BX87,Lookup!$B$4:$C$14,2,FALSE)</f>
        <v>2</v>
      </c>
      <c r="AN83" s="418">
        <f>VLOOKUP('Physical Effects'!BZ87,Lookup!$B$4:$C$14,2,FALSE)</f>
        <v>2</v>
      </c>
      <c r="AO83" s="418">
        <f>VLOOKUP('Physical Effects'!CB87,Lookup!$B$4:$C$14,2,FALSE)</f>
        <v>0</v>
      </c>
      <c r="AP83" s="418">
        <f>VLOOKUP('Physical Effects'!CD87,Lookup!$B$4:$C$14,2,FALSE)</f>
        <v>1</v>
      </c>
      <c r="AQ83" s="418">
        <f>VLOOKUP('Physical Effects'!CF87,Lookup!$B$4:$C$14,2,FALSE)</f>
        <v>4</v>
      </c>
      <c r="AR83" s="418">
        <f>VLOOKUP('Physical Effects'!CH87,Lookup!$B$4:$C$14,2,FALSE)</f>
        <v>0</v>
      </c>
      <c r="AS83" s="418">
        <f>VLOOKUP('Physical Effects'!CJ87,Lookup!$B$4:$C$14,2,FALSE)</f>
        <v>0</v>
      </c>
      <c r="AT83" s="418">
        <f>VLOOKUP('Physical Effects'!CL87,Lookup!$B$4:$C$14,2,FALSE)</f>
        <v>0</v>
      </c>
      <c r="AU83" s="418">
        <f>VLOOKUP('Physical Effects'!CN87,Lookup!$B$4:$C$14,2,FALSE)</f>
        <v>0</v>
      </c>
      <c r="AV83" s="38"/>
    </row>
    <row r="84" spans="1:58" s="18" customFormat="1" ht="13.5" thickBot="1" x14ac:dyDescent="0.25">
      <c r="A84" s="123">
        <f t="shared" si="1"/>
        <v>83</v>
      </c>
      <c r="B84" s="19" t="str">
        <f>+'Physical Effects'!B88</f>
        <v>Land Reclamation, Landslide Treatment</v>
      </c>
      <c r="C84" s="32">
        <f>+'Physical Effects'!D88</f>
        <v>453</v>
      </c>
      <c r="D84" s="418">
        <f>VLOOKUP('Physical Effects'!F88,Lookup!$B$4:$C$14,2,FALSE)</f>
        <v>2</v>
      </c>
      <c r="E84" s="418">
        <f>VLOOKUP('Physical Effects'!H88,Lookup!$B$4:$C$14,2,FALSE)</f>
        <v>2</v>
      </c>
      <c r="F84" s="418">
        <f>VLOOKUP('Physical Effects'!J88,Lookup!$B$4:$C$14,2,FALSE)</f>
        <v>2</v>
      </c>
      <c r="G84" s="418">
        <f>VLOOKUP('Physical Effects'!L88,Lookup!$B$4:$C$14,2,FALSE)</f>
        <v>0</v>
      </c>
      <c r="H84" s="418">
        <f>VLOOKUP('Physical Effects'!N88,Lookup!$B$4:$C$14,2,FALSE)</f>
        <v>0</v>
      </c>
      <c r="I84" s="418">
        <f>VLOOKUP('Physical Effects'!P88,Lookup!$B$4:$C$14,2,FALSE)</f>
        <v>2</v>
      </c>
      <c r="J84" s="418">
        <f>VLOOKUP('Physical Effects'!R88,Lookup!$B$4:$C$14,2,FALSE)</f>
        <v>0</v>
      </c>
      <c r="K84" s="418">
        <f>VLOOKUP('Physical Effects'!T88,Lookup!$B$4:$C$14,2,FALSE)</f>
        <v>0</v>
      </c>
      <c r="L84" s="418">
        <f>VLOOKUP('Physical Effects'!V88,Lookup!$B$4:$C$14,2,FALSE)</f>
        <v>0</v>
      </c>
      <c r="M84" s="418">
        <f>VLOOKUP('Physical Effects'!X88,Lookup!$B$4:$C$14,2,FALSE)</f>
        <v>2</v>
      </c>
      <c r="N84" s="418">
        <f>VLOOKUP('Physical Effects'!Z88,Lookup!$B$4:$C$14,2,FALSE)</f>
        <v>0</v>
      </c>
      <c r="O84" s="418">
        <f>VLOOKUP('Physical Effects'!AB88,Lookup!$B$4:$C$14,2,FALSE)</f>
        <v>2</v>
      </c>
      <c r="P84" s="418">
        <f>VLOOKUP('Physical Effects'!AD88,Lookup!$B$4:$C$14,2,FALSE)</f>
        <v>0</v>
      </c>
      <c r="Q84" s="418">
        <f>VLOOKUP('Physical Effects'!AF88,Lookup!$B$4:$C$14,2,FALSE)</f>
        <v>0</v>
      </c>
      <c r="R84" s="418">
        <f>VLOOKUP('Physical Effects'!AH88,Lookup!$B$4:$C$14,2,FALSE)</f>
        <v>0</v>
      </c>
      <c r="S84" s="418">
        <f>VLOOKUP('Physical Effects'!AJ88,Lookup!$B$4:$C$14,2,FALSE)</f>
        <v>0</v>
      </c>
      <c r="T84" s="418">
        <f>VLOOKUP('Physical Effects'!AL88,Lookup!$B$4:$C$14,2,FALSE)</f>
        <v>0</v>
      </c>
      <c r="U84" s="418">
        <f>VLOOKUP('Physical Effects'!AN88,Lookup!$B$4:$C$14,2,FALSE)</f>
        <v>0</v>
      </c>
      <c r="V84" s="418">
        <f>VLOOKUP('Physical Effects'!AP88,Lookup!$B$4:$C$14,2,FALSE)</f>
        <v>0</v>
      </c>
      <c r="W84" s="418">
        <f>VLOOKUP('Physical Effects'!AR88,Lookup!$B$4:$C$14,2,FALSE)</f>
        <v>0</v>
      </c>
      <c r="X84" s="418">
        <f>VLOOKUP('Physical Effects'!AT88,Lookup!$B$4:$C$14,2,FALSE)</f>
        <v>0</v>
      </c>
      <c r="Y84" s="418">
        <f>VLOOKUP('Physical Effects'!AV88,Lookup!$B$4:$C$14,2,FALSE)</f>
        <v>1</v>
      </c>
      <c r="Z84" s="418">
        <f>VLOOKUP('Physical Effects'!AX88,Lookup!$B$4:$C$14,2,FALSE)</f>
        <v>0</v>
      </c>
      <c r="AA84" s="418">
        <f>VLOOKUP('Physical Effects'!AZ88,Lookup!$B$4:$C$14,2,FALSE)</f>
        <v>4</v>
      </c>
      <c r="AB84" s="418">
        <f>VLOOKUP('Physical Effects'!BB88,Lookup!$B$4:$C$14,2,FALSE)</f>
        <v>0</v>
      </c>
      <c r="AC84" s="418">
        <f>VLOOKUP('Physical Effects'!BD88,Lookup!$B$4:$C$14,2,FALSE)</f>
        <v>4</v>
      </c>
      <c r="AD84" s="418">
        <f>VLOOKUP('Physical Effects'!BF88,Lookup!$B$4:$C$14,2,FALSE)</f>
        <v>0</v>
      </c>
      <c r="AE84" s="418">
        <f>VLOOKUP('Physical Effects'!BH88,Lookup!$B$4:$C$14,2,FALSE)</f>
        <v>0</v>
      </c>
      <c r="AF84" s="418">
        <f>VLOOKUP('Physical Effects'!BJ88,Lookup!$B$4:$C$14,2,FALSE)</f>
        <v>0</v>
      </c>
      <c r="AG84" s="418">
        <f>VLOOKUP('Physical Effects'!BL88,Lookup!$B$4:$C$14,2,FALSE)</f>
        <v>0</v>
      </c>
      <c r="AH84" s="418">
        <f>VLOOKUP('Physical Effects'!BN88,Lookup!$B$4:$C$14,2,FALSE)</f>
        <v>0</v>
      </c>
      <c r="AI84" s="418">
        <f>VLOOKUP('Physical Effects'!BP88,Lookup!$B$4:$C$14,2,FALSE)</f>
        <v>4</v>
      </c>
      <c r="AJ84" s="418">
        <f>VLOOKUP('Physical Effects'!BR88,Lookup!$B$4:$C$14,2,FALSE)</f>
        <v>5</v>
      </c>
      <c r="AK84" s="418">
        <f>VLOOKUP('Physical Effects'!BT88,Lookup!$B$4:$C$14,2,FALSE)</f>
        <v>4</v>
      </c>
      <c r="AL84" s="418">
        <f>VLOOKUP('Physical Effects'!BV88,Lookup!$B$4:$C$14,2,FALSE)</f>
        <v>0</v>
      </c>
      <c r="AM84" s="418">
        <f>VLOOKUP('Physical Effects'!BX88,Lookup!$B$4:$C$14,2,FALSE)</f>
        <v>2</v>
      </c>
      <c r="AN84" s="418">
        <f>VLOOKUP('Physical Effects'!BZ88,Lookup!$B$4:$C$14,2,FALSE)</f>
        <v>2</v>
      </c>
      <c r="AO84" s="418">
        <f>VLOOKUP('Physical Effects'!CB88,Lookup!$B$4:$C$14,2,FALSE)</f>
        <v>0</v>
      </c>
      <c r="AP84" s="418">
        <f>VLOOKUP('Physical Effects'!CD88,Lookup!$B$4:$C$14,2,FALSE)</f>
        <v>0</v>
      </c>
      <c r="AQ84" s="418">
        <f>VLOOKUP('Physical Effects'!CF88,Lookup!$B$4:$C$14,2,FALSE)</f>
        <v>0</v>
      </c>
      <c r="AR84" s="418">
        <f>VLOOKUP('Physical Effects'!CH88,Lookup!$B$4:$C$14,2,FALSE)</f>
        <v>0</v>
      </c>
      <c r="AS84" s="418">
        <f>VLOOKUP('Physical Effects'!CJ88,Lookup!$B$4:$C$14,2,FALSE)</f>
        <v>0</v>
      </c>
      <c r="AT84" s="418">
        <f>VLOOKUP('Physical Effects'!CL88,Lookup!$B$4:$C$14,2,FALSE)</f>
        <v>0</v>
      </c>
      <c r="AU84" s="418">
        <f>VLOOKUP('Physical Effects'!CN88,Lookup!$B$4:$C$14,2,FALSE)</f>
        <v>0</v>
      </c>
      <c r="AV84" s="38"/>
    </row>
    <row r="85" spans="1:58" s="5" customFormat="1" ht="13.5" thickBot="1" x14ac:dyDescent="0.25">
      <c r="A85" s="123">
        <f t="shared" si="1"/>
        <v>84</v>
      </c>
      <c r="B85" s="19" t="str">
        <f>+'Physical Effects'!B89</f>
        <v>Land Reclamation, Toxic Discharge Control</v>
      </c>
      <c r="C85" s="32">
        <f>+'Physical Effects'!D89</f>
        <v>455</v>
      </c>
      <c r="D85" s="418">
        <f>VLOOKUP('Physical Effects'!F89,Lookup!$B$4:$C$14,2,FALSE)</f>
        <v>2</v>
      </c>
      <c r="E85" s="418">
        <f>VLOOKUP('Physical Effects'!H89,Lookup!$B$4:$C$14,2,FALSE)</f>
        <v>2</v>
      </c>
      <c r="F85" s="418">
        <f>VLOOKUP('Physical Effects'!J89,Lookup!$B$4:$C$14,2,FALSE)</f>
        <v>2</v>
      </c>
      <c r="G85" s="418">
        <f>VLOOKUP('Physical Effects'!L89,Lookup!$B$4:$C$14,2,FALSE)</f>
        <v>0</v>
      </c>
      <c r="H85" s="418">
        <f>VLOOKUP('Physical Effects'!N89,Lookup!$B$4:$C$14,2,FALSE)</f>
        <v>0</v>
      </c>
      <c r="I85" s="418">
        <f>VLOOKUP('Physical Effects'!P89,Lookup!$B$4:$C$14,2,FALSE)</f>
        <v>0</v>
      </c>
      <c r="J85" s="418">
        <f>VLOOKUP('Physical Effects'!R89,Lookup!$B$4:$C$14,2,FALSE)</f>
        <v>0</v>
      </c>
      <c r="K85" s="418">
        <f>VLOOKUP('Physical Effects'!T89,Lookup!$B$4:$C$14,2,FALSE)</f>
        <v>0</v>
      </c>
      <c r="L85" s="418">
        <f>VLOOKUP('Physical Effects'!V89,Lookup!$B$4:$C$14,2,FALSE)</f>
        <v>2</v>
      </c>
      <c r="M85" s="418">
        <f>VLOOKUP('Physical Effects'!X89,Lookup!$B$4:$C$14,2,FALSE)</f>
        <v>2</v>
      </c>
      <c r="N85" s="418">
        <f>VLOOKUP('Physical Effects'!Z89,Lookup!$B$4:$C$14,2,FALSE)</f>
        <v>1</v>
      </c>
      <c r="O85" s="418">
        <f>VLOOKUP('Physical Effects'!AB89,Lookup!$B$4:$C$14,2,FALSE)</f>
        <v>2</v>
      </c>
      <c r="P85" s="418">
        <f>VLOOKUP('Physical Effects'!AD89,Lookup!$B$4:$C$14,2,FALSE)</f>
        <v>0</v>
      </c>
      <c r="Q85" s="418">
        <f>VLOOKUP('Physical Effects'!AF89,Lookup!$B$4:$C$14,2,FALSE)</f>
        <v>0</v>
      </c>
      <c r="R85" s="418">
        <f>VLOOKUP('Physical Effects'!AH89,Lookup!$B$4:$C$14,2,FALSE)</f>
        <v>0</v>
      </c>
      <c r="S85" s="418">
        <f>VLOOKUP('Physical Effects'!AJ89,Lookup!$B$4:$C$14,2,FALSE)</f>
        <v>0</v>
      </c>
      <c r="T85" s="418">
        <f>VLOOKUP('Physical Effects'!AL89,Lookup!$B$4:$C$14,2,FALSE)</f>
        <v>0</v>
      </c>
      <c r="U85" s="418">
        <f>VLOOKUP('Physical Effects'!AN89,Lookup!$B$4:$C$14,2,FALSE)</f>
        <v>0</v>
      </c>
      <c r="V85" s="418">
        <f>VLOOKUP('Physical Effects'!AP89,Lookup!$B$4:$C$14,2,FALSE)</f>
        <v>0</v>
      </c>
      <c r="W85" s="418">
        <f>VLOOKUP('Physical Effects'!AR89,Lookup!$B$4:$C$14,2,FALSE)</f>
        <v>0</v>
      </c>
      <c r="X85" s="418">
        <f>VLOOKUP('Physical Effects'!AT89,Lookup!$B$4:$C$14,2,FALSE)</f>
        <v>2</v>
      </c>
      <c r="Y85" s="418">
        <f>VLOOKUP('Physical Effects'!AV89,Lookup!$B$4:$C$14,2,FALSE)</f>
        <v>0</v>
      </c>
      <c r="Z85" s="418">
        <f>VLOOKUP('Physical Effects'!AX89,Lookup!$B$4:$C$14,2,FALSE)</f>
        <v>0</v>
      </c>
      <c r="AA85" s="418">
        <f>VLOOKUP('Physical Effects'!AZ89,Lookup!$B$4:$C$14,2,FALSE)</f>
        <v>0</v>
      </c>
      <c r="AB85" s="418">
        <f>VLOOKUP('Physical Effects'!BB89,Lookup!$B$4:$C$14,2,FALSE)</f>
        <v>0</v>
      </c>
      <c r="AC85" s="418">
        <f>VLOOKUP('Physical Effects'!BD89,Lookup!$B$4:$C$14,2,FALSE)</f>
        <v>4</v>
      </c>
      <c r="AD85" s="418">
        <f>VLOOKUP('Physical Effects'!BF89,Lookup!$B$4:$C$14,2,FALSE)</f>
        <v>2</v>
      </c>
      <c r="AE85" s="418">
        <f>VLOOKUP('Physical Effects'!BH89,Lookup!$B$4:$C$14,2,FALSE)</f>
        <v>0</v>
      </c>
      <c r="AF85" s="418">
        <f>VLOOKUP('Physical Effects'!BJ89,Lookup!$B$4:$C$14,2,FALSE)</f>
        <v>0</v>
      </c>
      <c r="AG85" s="418">
        <f>VLOOKUP('Physical Effects'!BL89,Lookup!$B$4:$C$14,2,FALSE)</f>
        <v>0</v>
      </c>
      <c r="AH85" s="418">
        <f>VLOOKUP('Physical Effects'!BN89,Lookup!$B$4:$C$14,2,FALSE)</f>
        <v>0</v>
      </c>
      <c r="AI85" s="418">
        <f>VLOOKUP('Physical Effects'!BP89,Lookup!$B$4:$C$14,2,FALSE)</f>
        <v>4</v>
      </c>
      <c r="AJ85" s="418">
        <f>VLOOKUP('Physical Effects'!BR89,Lookup!$B$4:$C$14,2,FALSE)</f>
        <v>5</v>
      </c>
      <c r="AK85" s="418">
        <f>VLOOKUP('Physical Effects'!BT89,Lookup!$B$4:$C$14,2,FALSE)</f>
        <v>4</v>
      </c>
      <c r="AL85" s="418">
        <f>VLOOKUP('Physical Effects'!BV89,Lookup!$B$4:$C$14,2,FALSE)</f>
        <v>0</v>
      </c>
      <c r="AM85" s="418">
        <f>VLOOKUP('Physical Effects'!BX89,Lookup!$B$4:$C$14,2,FALSE)</f>
        <v>2</v>
      </c>
      <c r="AN85" s="418">
        <f>VLOOKUP('Physical Effects'!BZ89,Lookup!$B$4:$C$14,2,FALSE)</f>
        <v>2</v>
      </c>
      <c r="AO85" s="418">
        <f>VLOOKUP('Physical Effects'!CB89,Lookup!$B$4:$C$14,2,FALSE)</f>
        <v>0</v>
      </c>
      <c r="AP85" s="418">
        <f>VLOOKUP('Physical Effects'!CD89,Lookup!$B$4:$C$14,2,FALSE)</f>
        <v>0</v>
      </c>
      <c r="AQ85" s="418">
        <f>VLOOKUP('Physical Effects'!CF89,Lookup!$B$4:$C$14,2,FALSE)</f>
        <v>0</v>
      </c>
      <c r="AR85" s="418">
        <f>VLOOKUP('Physical Effects'!CH89,Lookup!$B$4:$C$14,2,FALSE)</f>
        <v>0</v>
      </c>
      <c r="AS85" s="418">
        <f>VLOOKUP('Physical Effects'!CJ89,Lookup!$B$4:$C$14,2,FALSE)</f>
        <v>0</v>
      </c>
      <c r="AT85" s="418">
        <f>VLOOKUP('Physical Effects'!CL89,Lookup!$B$4:$C$14,2,FALSE)</f>
        <v>0</v>
      </c>
      <c r="AU85" s="418">
        <f>VLOOKUP('Physical Effects'!CN89,Lookup!$B$4:$C$14,2,FALSE)</f>
        <v>0</v>
      </c>
      <c r="AV85" s="28"/>
      <c r="AW85" s="23"/>
      <c r="AX85" s="23"/>
      <c r="AY85" s="23"/>
      <c r="AZ85" s="23"/>
      <c r="BA85" s="23"/>
      <c r="BB85" s="23"/>
      <c r="BC85" s="23"/>
      <c r="BD85" s="23"/>
      <c r="BE85" s="23"/>
      <c r="BF85" s="23"/>
    </row>
    <row r="86" spans="1:58" s="5" customFormat="1" ht="13.5" thickBot="1" x14ac:dyDescent="0.25">
      <c r="A86" s="123">
        <f t="shared" si="1"/>
        <v>85</v>
      </c>
      <c r="B86" s="19" t="str">
        <f>+'Physical Effects'!B90</f>
        <v>Land Smoothing</v>
      </c>
      <c r="C86" s="32">
        <f>+'Physical Effects'!D90</f>
        <v>466</v>
      </c>
      <c r="D86" s="418">
        <f>VLOOKUP('Physical Effects'!F90,Lookup!$B$4:$C$14,2,FALSE)</f>
        <v>0</v>
      </c>
      <c r="E86" s="418">
        <f>VLOOKUP('Physical Effects'!H90,Lookup!$B$4:$C$14,2,FALSE)</f>
        <v>0</v>
      </c>
      <c r="F86" s="418">
        <f>VLOOKUP('Physical Effects'!J90,Lookup!$B$4:$C$14,2,FALSE)</f>
        <v>1</v>
      </c>
      <c r="G86" s="418">
        <f>VLOOKUP('Physical Effects'!L90,Lookup!$B$4:$C$14,2,FALSE)</f>
        <v>0</v>
      </c>
      <c r="H86" s="418">
        <f>VLOOKUP('Physical Effects'!N90,Lookup!$B$4:$C$14,2,FALSE)</f>
        <v>0</v>
      </c>
      <c r="I86" s="418">
        <f>VLOOKUP('Physical Effects'!P90,Lookup!$B$4:$C$14,2,FALSE)</f>
        <v>-2</v>
      </c>
      <c r="J86" s="418">
        <f>VLOOKUP('Physical Effects'!R90,Lookup!$B$4:$C$14,2,FALSE)</f>
        <v>-2</v>
      </c>
      <c r="K86" s="418">
        <f>VLOOKUP('Physical Effects'!T90,Lookup!$B$4:$C$14,2,FALSE)</f>
        <v>0</v>
      </c>
      <c r="L86" s="418">
        <f>VLOOKUP('Physical Effects'!V90,Lookup!$B$4:$C$14,2,FALSE)</f>
        <v>-1</v>
      </c>
      <c r="M86" s="418">
        <f>VLOOKUP('Physical Effects'!X90,Lookup!$B$4:$C$14,2,FALSE)</f>
        <v>2</v>
      </c>
      <c r="N86" s="418">
        <f>VLOOKUP('Physical Effects'!Z90,Lookup!$B$4:$C$14,2,FALSE)</f>
        <v>2</v>
      </c>
      <c r="O86" s="418">
        <f>VLOOKUP('Physical Effects'!AB90,Lookup!$B$4:$C$14,2,FALSE)</f>
        <v>2</v>
      </c>
      <c r="P86" s="418">
        <f>VLOOKUP('Physical Effects'!AD90,Lookup!$B$4:$C$14,2,FALSE)</f>
        <v>0</v>
      </c>
      <c r="Q86" s="418">
        <f>VLOOKUP('Physical Effects'!AF90,Lookup!$B$4:$C$14,2,FALSE)</f>
        <v>2</v>
      </c>
      <c r="R86" s="418">
        <f>VLOOKUP('Physical Effects'!AH90,Lookup!$B$4:$C$14,2,FALSE)</f>
        <v>2</v>
      </c>
      <c r="S86" s="418">
        <f>VLOOKUP('Physical Effects'!AJ90,Lookup!$B$4:$C$14,2,FALSE)</f>
        <v>1</v>
      </c>
      <c r="T86" s="418">
        <f>VLOOKUP('Physical Effects'!AL90,Lookup!$B$4:$C$14,2,FALSE)</f>
        <v>1</v>
      </c>
      <c r="U86" s="418">
        <f>VLOOKUP('Physical Effects'!AN90,Lookup!$B$4:$C$14,2,FALSE)</f>
        <v>1</v>
      </c>
      <c r="V86" s="418">
        <f>VLOOKUP('Physical Effects'!AP90,Lookup!$B$4:$C$14,2,FALSE)</f>
        <v>2</v>
      </c>
      <c r="W86" s="418">
        <f>VLOOKUP('Physical Effects'!AR90,Lookup!$B$4:$C$14,2,FALSE)</f>
        <v>0</v>
      </c>
      <c r="X86" s="418">
        <f>VLOOKUP('Physical Effects'!AT90,Lookup!$B$4:$C$14,2,FALSE)</f>
        <v>0</v>
      </c>
      <c r="Y86" s="418">
        <f>VLOOKUP('Physical Effects'!AV90,Lookup!$B$4:$C$14,2,FALSE)</f>
        <v>0</v>
      </c>
      <c r="Z86" s="418">
        <f>VLOOKUP('Physical Effects'!AX90,Lookup!$B$4:$C$14,2,FALSE)</f>
        <v>0</v>
      </c>
      <c r="AA86" s="418">
        <f>VLOOKUP('Physical Effects'!AZ90,Lookup!$B$4:$C$14,2,FALSE)</f>
        <v>1</v>
      </c>
      <c r="AB86" s="418">
        <f>VLOOKUP('Physical Effects'!BB90,Lookup!$B$4:$C$14,2,FALSE)</f>
        <v>0</v>
      </c>
      <c r="AC86" s="418">
        <f>VLOOKUP('Physical Effects'!BD90,Lookup!$B$4:$C$14,2,FALSE)</f>
        <v>1</v>
      </c>
      <c r="AD86" s="418">
        <f>VLOOKUP('Physical Effects'!BF90,Lookup!$B$4:$C$14,2,FALSE)</f>
        <v>0</v>
      </c>
      <c r="AE86" s="418">
        <f>VLOOKUP('Physical Effects'!BH90,Lookup!$B$4:$C$14,2,FALSE)</f>
        <v>-1</v>
      </c>
      <c r="AF86" s="418">
        <f>VLOOKUP('Physical Effects'!BJ90,Lookup!$B$4:$C$14,2,FALSE)</f>
        <v>0</v>
      </c>
      <c r="AG86" s="418">
        <f>VLOOKUP('Physical Effects'!BL90,Lookup!$B$4:$C$14,2,FALSE)</f>
        <v>-1</v>
      </c>
      <c r="AH86" s="418">
        <f>VLOOKUP('Physical Effects'!BN90,Lookup!$B$4:$C$14,2,FALSE)</f>
        <v>0</v>
      </c>
      <c r="AI86" s="418">
        <f>VLOOKUP('Physical Effects'!BP90,Lookup!$B$4:$C$14,2,FALSE)</f>
        <v>2</v>
      </c>
      <c r="AJ86" s="418">
        <f>VLOOKUP('Physical Effects'!BR90,Lookup!$B$4:$C$14,2,FALSE)</f>
        <v>0</v>
      </c>
      <c r="AK86" s="418">
        <f>VLOOKUP('Physical Effects'!BT90,Lookup!$B$4:$C$14,2,FALSE)</f>
        <v>2</v>
      </c>
      <c r="AL86" s="418">
        <f>VLOOKUP('Physical Effects'!BV90,Lookup!$B$4:$C$14,2,FALSE)</f>
        <v>0</v>
      </c>
      <c r="AM86" s="418">
        <f>VLOOKUP('Physical Effects'!BX90,Lookup!$B$4:$C$14,2,FALSE)</f>
        <v>0</v>
      </c>
      <c r="AN86" s="418">
        <f>VLOOKUP('Physical Effects'!BZ90,Lookup!$B$4:$C$14,2,FALSE)</f>
        <v>0</v>
      </c>
      <c r="AO86" s="418">
        <f>VLOOKUP('Physical Effects'!CB90,Lookup!$B$4:$C$14,2,FALSE)</f>
        <v>0</v>
      </c>
      <c r="AP86" s="418">
        <f>VLOOKUP('Physical Effects'!CD90,Lookup!$B$4:$C$14,2,FALSE)</f>
        <v>-1</v>
      </c>
      <c r="AQ86" s="418">
        <f>VLOOKUP('Physical Effects'!CF90,Lookup!$B$4:$C$14,2,FALSE)</f>
        <v>0</v>
      </c>
      <c r="AR86" s="418">
        <f>VLOOKUP('Physical Effects'!CH90,Lookup!$B$4:$C$14,2,FALSE)</f>
        <v>0</v>
      </c>
      <c r="AS86" s="418">
        <f>VLOOKUP('Physical Effects'!CJ90,Lookup!$B$4:$C$14,2,FALSE)</f>
        <v>0</v>
      </c>
      <c r="AT86" s="418">
        <f>VLOOKUP('Physical Effects'!CL90,Lookup!$B$4:$C$14,2,FALSE)</f>
        <v>0</v>
      </c>
      <c r="AU86" s="418">
        <f>VLOOKUP('Physical Effects'!CN90,Lookup!$B$4:$C$14,2,FALSE)</f>
        <v>0</v>
      </c>
      <c r="AV86" s="28"/>
      <c r="AW86" s="23"/>
      <c r="AX86" s="23"/>
      <c r="AY86" s="23"/>
      <c r="AZ86" s="23"/>
      <c r="BA86" s="23"/>
      <c r="BB86" s="23"/>
      <c r="BC86" s="23"/>
      <c r="BD86" s="23"/>
      <c r="BE86" s="23"/>
      <c r="BF86" s="23"/>
    </row>
    <row r="87" spans="1:58" s="5" customFormat="1" ht="13.5" thickBot="1" x14ac:dyDescent="0.25">
      <c r="A87" s="123">
        <f t="shared" si="1"/>
        <v>86</v>
      </c>
      <c r="B87" s="19" t="str">
        <f>+'Physical Effects'!B91</f>
        <v>Lighting System Improvement</v>
      </c>
      <c r="C87" s="32" t="str">
        <f>+'Physical Effects'!D91</f>
        <v>670</v>
      </c>
      <c r="D87" s="418">
        <f>VLOOKUP('Physical Effects'!F91,Lookup!$B$4:$C$14,2,FALSE)</f>
        <v>0</v>
      </c>
      <c r="E87" s="418">
        <f>VLOOKUP('Physical Effects'!H91,Lookup!$B$4:$C$14,2,FALSE)</f>
        <v>0</v>
      </c>
      <c r="F87" s="418">
        <f>VLOOKUP('Physical Effects'!J91,Lookup!$B$4:$C$14,2,FALSE)</f>
        <v>0</v>
      </c>
      <c r="G87" s="418">
        <f>VLOOKUP('Physical Effects'!L91,Lookup!$B$4:$C$14,2,FALSE)</f>
        <v>0</v>
      </c>
      <c r="H87" s="418">
        <f>VLOOKUP('Physical Effects'!N91,Lookup!$B$4:$C$14,2,FALSE)</f>
        <v>0</v>
      </c>
      <c r="I87" s="418">
        <f>VLOOKUP('Physical Effects'!P91,Lookup!$B$4:$C$14,2,FALSE)</f>
        <v>0</v>
      </c>
      <c r="J87" s="418">
        <f>VLOOKUP('Physical Effects'!R91,Lookup!$B$4:$C$14,2,FALSE)</f>
        <v>0</v>
      </c>
      <c r="K87" s="418">
        <f>VLOOKUP('Physical Effects'!T91,Lookup!$B$4:$C$14,2,FALSE)</f>
        <v>0</v>
      </c>
      <c r="L87" s="418">
        <f>VLOOKUP('Physical Effects'!V91,Lookup!$B$4:$C$14,2,FALSE)</f>
        <v>0</v>
      </c>
      <c r="M87" s="418">
        <f>VLOOKUP('Physical Effects'!X91,Lookup!$B$4:$C$14,2,FALSE)</f>
        <v>0</v>
      </c>
      <c r="N87" s="418">
        <f>VLOOKUP('Physical Effects'!Z91,Lookup!$B$4:$C$14,2,FALSE)</f>
        <v>0</v>
      </c>
      <c r="O87" s="418">
        <f>VLOOKUP('Physical Effects'!AB91,Lookup!$B$4:$C$14,2,FALSE)</f>
        <v>0</v>
      </c>
      <c r="P87" s="418">
        <f>VLOOKUP('Physical Effects'!AD91,Lookup!$B$4:$C$14,2,FALSE)</f>
        <v>0</v>
      </c>
      <c r="Q87" s="418">
        <f>VLOOKUP('Physical Effects'!AF91,Lookup!$B$4:$C$14,2,FALSE)</f>
        <v>0</v>
      </c>
      <c r="R87" s="418">
        <f>VLOOKUP('Physical Effects'!AH91,Lookup!$B$4:$C$14,2,FALSE)</f>
        <v>0</v>
      </c>
      <c r="S87" s="418">
        <f>VLOOKUP('Physical Effects'!AJ91,Lookup!$B$4:$C$14,2,FALSE)</f>
        <v>0</v>
      </c>
      <c r="T87" s="418">
        <f>VLOOKUP('Physical Effects'!AL91,Lookup!$B$4:$C$14,2,FALSE)</f>
        <v>0</v>
      </c>
      <c r="U87" s="418">
        <f>VLOOKUP('Physical Effects'!AN91,Lookup!$B$4:$C$14,2,FALSE)</f>
        <v>0</v>
      </c>
      <c r="V87" s="418">
        <f>VLOOKUP('Physical Effects'!AP91,Lookup!$B$4:$C$14,2,FALSE)</f>
        <v>0</v>
      </c>
      <c r="W87" s="418">
        <f>VLOOKUP('Physical Effects'!AR91,Lookup!$B$4:$C$14,2,FALSE)</f>
        <v>0</v>
      </c>
      <c r="X87" s="418">
        <f>VLOOKUP('Physical Effects'!AT91,Lookup!$B$4:$C$14,2,FALSE)</f>
        <v>0</v>
      </c>
      <c r="Y87" s="418">
        <f>VLOOKUP('Physical Effects'!AV91,Lookup!$B$4:$C$14,2,FALSE)</f>
        <v>0</v>
      </c>
      <c r="Z87" s="418">
        <f>VLOOKUP('Physical Effects'!AX91,Lookup!$B$4:$C$14,2,FALSE)</f>
        <v>0</v>
      </c>
      <c r="AA87" s="418">
        <f>VLOOKUP('Physical Effects'!AZ91,Lookup!$B$4:$C$14,2,FALSE)</f>
        <v>0</v>
      </c>
      <c r="AB87" s="418">
        <f>VLOOKUP('Physical Effects'!BB91,Lookup!$B$4:$C$14,2,FALSE)</f>
        <v>0</v>
      </c>
      <c r="AC87" s="418">
        <f>VLOOKUP('Physical Effects'!BD91,Lookup!$B$4:$C$14,2,FALSE)</f>
        <v>0</v>
      </c>
      <c r="AD87" s="418">
        <f>VLOOKUP('Physical Effects'!BF91,Lookup!$B$4:$C$14,2,FALSE)</f>
        <v>0</v>
      </c>
      <c r="AE87" s="418">
        <f>VLOOKUP('Physical Effects'!BH91,Lookup!$B$4:$C$14,2,FALSE)</f>
        <v>0</v>
      </c>
      <c r="AF87" s="418">
        <f>VLOOKUP('Physical Effects'!BJ91,Lookup!$B$4:$C$14,2,FALSE)</f>
        <v>0</v>
      </c>
      <c r="AG87" s="418">
        <f>VLOOKUP('Physical Effects'!BL91,Lookup!$B$4:$C$14,2,FALSE)</f>
        <v>0</v>
      </c>
      <c r="AH87" s="418">
        <f>VLOOKUP('Physical Effects'!BN91,Lookup!$B$4:$C$14,2,FALSE)</f>
        <v>0</v>
      </c>
      <c r="AI87" s="418">
        <f>VLOOKUP('Physical Effects'!BP91,Lookup!$B$4:$C$14,2,FALSE)</f>
        <v>0</v>
      </c>
      <c r="AJ87" s="418">
        <f>VLOOKUP('Physical Effects'!BR91,Lookup!$B$4:$C$14,2,FALSE)</f>
        <v>0</v>
      </c>
      <c r="AK87" s="418">
        <f>VLOOKUP('Physical Effects'!BT91,Lookup!$B$4:$C$14,2,FALSE)</f>
        <v>0</v>
      </c>
      <c r="AL87" s="418">
        <f>VLOOKUP('Physical Effects'!BV91,Lookup!$B$4:$C$14,2,FALSE)</f>
        <v>0</v>
      </c>
      <c r="AM87" s="418">
        <f>VLOOKUP('Physical Effects'!BX91,Lookup!$B$4:$C$14,2,FALSE)</f>
        <v>0</v>
      </c>
      <c r="AN87" s="418">
        <f>VLOOKUP('Physical Effects'!BZ91,Lookup!$B$4:$C$14,2,FALSE)</f>
        <v>0</v>
      </c>
      <c r="AO87" s="418">
        <f>VLOOKUP('Physical Effects'!CB91,Lookup!$B$4:$C$14,2,FALSE)</f>
        <v>0</v>
      </c>
      <c r="AP87" s="418">
        <f>VLOOKUP('Physical Effects'!CD91,Lookup!$B$4:$C$14,2,FALSE)</f>
        <v>0</v>
      </c>
      <c r="AQ87" s="418">
        <f>VLOOKUP('Physical Effects'!CF91,Lookup!$B$4:$C$14,2,FALSE)</f>
        <v>0</v>
      </c>
      <c r="AR87" s="418">
        <f>VLOOKUP('Physical Effects'!CH91,Lookup!$B$4:$C$14,2,FALSE)</f>
        <v>0</v>
      </c>
      <c r="AS87" s="418">
        <f>VLOOKUP('Physical Effects'!CJ91,Lookup!$B$4:$C$14,2,FALSE)</f>
        <v>0</v>
      </c>
      <c r="AT87" s="418">
        <f>VLOOKUP('Physical Effects'!CL91,Lookup!$B$4:$C$14,2,FALSE)</f>
        <v>4</v>
      </c>
      <c r="AU87" s="418">
        <f>VLOOKUP('Physical Effects'!CN91,Lookup!$B$4:$C$14,2,FALSE)</f>
        <v>0</v>
      </c>
      <c r="AV87" s="28"/>
      <c r="AW87" s="23"/>
      <c r="AX87" s="23"/>
      <c r="AY87" s="23"/>
      <c r="AZ87" s="23"/>
      <c r="BA87" s="23"/>
      <c r="BB87" s="23"/>
      <c r="BC87" s="23"/>
      <c r="BD87" s="23"/>
      <c r="BE87" s="23"/>
      <c r="BF87" s="23"/>
    </row>
    <row r="88" spans="1:58" s="5" customFormat="1" ht="13.5" thickBot="1" x14ac:dyDescent="0.25">
      <c r="A88" s="123">
        <f t="shared" si="1"/>
        <v>87</v>
      </c>
      <c r="B88" s="19" t="str">
        <f>+'Physical Effects'!B92</f>
        <v>Lined Waterway or Outlet</v>
      </c>
      <c r="C88" s="32">
        <f>+'Physical Effects'!D92</f>
        <v>468</v>
      </c>
      <c r="D88" s="418">
        <f>VLOOKUP('Physical Effects'!F92,Lookup!$B$4:$C$14,2,FALSE)</f>
        <v>0</v>
      </c>
      <c r="E88" s="418">
        <f>VLOOKUP('Physical Effects'!H92,Lookup!$B$4:$C$14,2,FALSE)</f>
        <v>0</v>
      </c>
      <c r="F88" s="418">
        <f>VLOOKUP('Physical Effects'!J92,Lookup!$B$4:$C$14,2,FALSE)</f>
        <v>5</v>
      </c>
      <c r="G88" s="418">
        <f>VLOOKUP('Physical Effects'!L92,Lookup!$B$4:$C$14,2,FALSE)</f>
        <v>2</v>
      </c>
      <c r="H88" s="418">
        <f>VLOOKUP('Physical Effects'!N92,Lookup!$B$4:$C$14,2,FALSE)</f>
        <v>0</v>
      </c>
      <c r="I88" s="418">
        <f>VLOOKUP('Physical Effects'!P92,Lookup!$B$4:$C$14,2,FALSE)</f>
        <v>0</v>
      </c>
      <c r="J88" s="418">
        <f>VLOOKUP('Physical Effects'!R92,Lookup!$B$4:$C$14,2,FALSE)</f>
        <v>0</v>
      </c>
      <c r="K88" s="418">
        <f>VLOOKUP('Physical Effects'!T92,Lookup!$B$4:$C$14,2,FALSE)</f>
        <v>0</v>
      </c>
      <c r="L88" s="418">
        <f>VLOOKUP('Physical Effects'!V92,Lookup!$B$4:$C$14,2,FALSE)</f>
        <v>0</v>
      </c>
      <c r="M88" s="418">
        <f>VLOOKUP('Physical Effects'!X92,Lookup!$B$4:$C$14,2,FALSE)</f>
        <v>2</v>
      </c>
      <c r="N88" s="418">
        <f>VLOOKUP('Physical Effects'!Z92,Lookup!$B$4:$C$14,2,FALSE)</f>
        <v>2</v>
      </c>
      <c r="O88" s="418">
        <f>VLOOKUP('Physical Effects'!AB92,Lookup!$B$4:$C$14,2,FALSE)</f>
        <v>2</v>
      </c>
      <c r="P88" s="418">
        <f>VLOOKUP('Physical Effects'!AD92,Lookup!$B$4:$C$14,2,FALSE)</f>
        <v>0</v>
      </c>
      <c r="Q88" s="418">
        <f>VLOOKUP('Physical Effects'!AF92,Lookup!$B$4:$C$14,2,FALSE)</f>
        <v>0</v>
      </c>
      <c r="R88" s="418">
        <f>VLOOKUP('Physical Effects'!AH92,Lookup!$B$4:$C$14,2,FALSE)</f>
        <v>0</v>
      </c>
      <c r="S88" s="418">
        <f>VLOOKUP('Physical Effects'!AJ92,Lookup!$B$4:$C$14,2,FALSE)</f>
        <v>0</v>
      </c>
      <c r="T88" s="418">
        <f>VLOOKUP('Physical Effects'!AL92,Lookup!$B$4:$C$14,2,FALSE)</f>
        <v>0</v>
      </c>
      <c r="U88" s="418">
        <f>VLOOKUP('Physical Effects'!AN92,Lookup!$B$4:$C$14,2,FALSE)</f>
        <v>0</v>
      </c>
      <c r="V88" s="418">
        <f>VLOOKUP('Physical Effects'!AP92,Lookup!$B$4:$C$14,2,FALSE)</f>
        <v>2</v>
      </c>
      <c r="W88" s="418">
        <f>VLOOKUP('Physical Effects'!AR92,Lookup!$B$4:$C$14,2,FALSE)</f>
        <v>0</v>
      </c>
      <c r="X88" s="418">
        <f>VLOOKUP('Physical Effects'!AT92,Lookup!$B$4:$C$14,2,FALSE)</f>
        <v>0</v>
      </c>
      <c r="Y88" s="418">
        <f>VLOOKUP('Physical Effects'!AV92,Lookup!$B$4:$C$14,2,FALSE)</f>
        <v>0</v>
      </c>
      <c r="Z88" s="418">
        <f>VLOOKUP('Physical Effects'!AX92,Lookup!$B$4:$C$14,2,FALSE)</f>
        <v>0</v>
      </c>
      <c r="AA88" s="418">
        <f>VLOOKUP('Physical Effects'!AZ92,Lookup!$B$4:$C$14,2,FALSE)</f>
        <v>2</v>
      </c>
      <c r="AB88" s="418">
        <f>VLOOKUP('Physical Effects'!BB92,Lookup!$B$4:$C$14,2,FALSE)</f>
        <v>0</v>
      </c>
      <c r="AC88" s="418">
        <f>VLOOKUP('Physical Effects'!BD92,Lookup!$B$4:$C$14,2,FALSE)</f>
        <v>0</v>
      </c>
      <c r="AD88" s="418">
        <f>VLOOKUP('Physical Effects'!BF92,Lookup!$B$4:$C$14,2,FALSE)</f>
        <v>0</v>
      </c>
      <c r="AE88" s="418">
        <f>VLOOKUP('Physical Effects'!BH92,Lookup!$B$4:$C$14,2,FALSE)</f>
        <v>0</v>
      </c>
      <c r="AF88" s="418">
        <f>VLOOKUP('Physical Effects'!BJ92,Lookup!$B$4:$C$14,2,FALSE)</f>
        <v>0</v>
      </c>
      <c r="AG88" s="418">
        <f>VLOOKUP('Physical Effects'!BL92,Lookup!$B$4:$C$14,2,FALSE)</f>
        <v>0</v>
      </c>
      <c r="AH88" s="418">
        <f>VLOOKUP('Physical Effects'!BN92,Lookup!$B$4:$C$14,2,FALSE)</f>
        <v>0</v>
      </c>
      <c r="AI88" s="418">
        <f>VLOOKUP('Physical Effects'!BP92,Lookup!$B$4:$C$14,2,FALSE)</f>
        <v>0</v>
      </c>
      <c r="AJ88" s="418">
        <f>VLOOKUP('Physical Effects'!BR92,Lookup!$B$4:$C$14,2,FALSE)</f>
        <v>0</v>
      </c>
      <c r="AK88" s="418">
        <f>VLOOKUP('Physical Effects'!BT92,Lookup!$B$4:$C$14,2,FALSE)</f>
        <v>0</v>
      </c>
      <c r="AL88" s="418">
        <f>VLOOKUP('Physical Effects'!BV92,Lookup!$B$4:$C$14,2,FALSE)</f>
        <v>0</v>
      </c>
      <c r="AM88" s="418">
        <f>VLOOKUP('Physical Effects'!BX92,Lookup!$B$4:$C$14,2,FALSE)</f>
        <v>-2</v>
      </c>
      <c r="AN88" s="418">
        <f>VLOOKUP('Physical Effects'!BZ92,Lookup!$B$4:$C$14,2,FALSE)</f>
        <v>1</v>
      </c>
      <c r="AO88" s="418">
        <f>VLOOKUP('Physical Effects'!CB92,Lookup!$B$4:$C$14,2,FALSE)</f>
        <v>0</v>
      </c>
      <c r="AP88" s="418">
        <f>VLOOKUP('Physical Effects'!CD92,Lookup!$B$4:$C$14,2,FALSE)</f>
        <v>0</v>
      </c>
      <c r="AQ88" s="418">
        <f>VLOOKUP('Physical Effects'!CF92,Lookup!$B$4:$C$14,2,FALSE)</f>
        <v>0</v>
      </c>
      <c r="AR88" s="418">
        <f>VLOOKUP('Physical Effects'!CH92,Lookup!$B$4:$C$14,2,FALSE)</f>
        <v>0</v>
      </c>
      <c r="AS88" s="418">
        <f>VLOOKUP('Physical Effects'!CJ92,Lookup!$B$4:$C$14,2,FALSE)</f>
        <v>0</v>
      </c>
      <c r="AT88" s="418">
        <f>VLOOKUP('Physical Effects'!CL92,Lookup!$B$4:$C$14,2,FALSE)</f>
        <v>0</v>
      </c>
      <c r="AU88" s="418">
        <f>VLOOKUP('Physical Effects'!CN92,Lookup!$B$4:$C$14,2,FALSE)</f>
        <v>0</v>
      </c>
      <c r="AV88" s="28"/>
      <c r="AW88" s="23"/>
      <c r="AX88" s="23"/>
      <c r="AY88" s="23"/>
      <c r="AZ88" s="23"/>
      <c r="BA88" s="23"/>
      <c r="BB88" s="23"/>
      <c r="BC88" s="23"/>
      <c r="BD88" s="23"/>
      <c r="BE88" s="23"/>
      <c r="BF88" s="23"/>
    </row>
    <row r="89" spans="1:58" s="5" customFormat="1" ht="13.5" thickBot="1" x14ac:dyDescent="0.25">
      <c r="A89" s="123">
        <f t="shared" si="1"/>
        <v>88</v>
      </c>
      <c r="B89" s="19" t="str">
        <f>+'Physical Effects'!B93</f>
        <v>Livestock Pipeline</v>
      </c>
      <c r="C89" s="32">
        <f>+'Physical Effects'!D93</f>
        <v>516</v>
      </c>
      <c r="D89" s="418">
        <f>VLOOKUP('Physical Effects'!F93,Lookup!$B$4:$C$14,2,FALSE)</f>
        <v>0</v>
      </c>
      <c r="E89" s="418">
        <f>VLOOKUP('Physical Effects'!H93,Lookup!$B$4:$C$14,2,FALSE)</f>
        <v>0</v>
      </c>
      <c r="F89" s="418">
        <f>VLOOKUP('Physical Effects'!J93,Lookup!$B$4:$C$14,2,FALSE)</f>
        <v>0</v>
      </c>
      <c r="G89" s="418">
        <f>VLOOKUP('Physical Effects'!L93,Lookup!$B$4:$C$14,2,FALSE)</f>
        <v>0</v>
      </c>
      <c r="H89" s="418">
        <f>VLOOKUP('Physical Effects'!N93,Lookup!$B$4:$C$14,2,FALSE)</f>
        <v>0</v>
      </c>
      <c r="I89" s="418">
        <f>VLOOKUP('Physical Effects'!P93,Lookup!$B$4:$C$14,2,FALSE)</f>
        <v>0</v>
      </c>
      <c r="J89" s="418">
        <f>VLOOKUP('Physical Effects'!R93,Lookup!$B$4:$C$14,2,FALSE)</f>
        <v>0</v>
      </c>
      <c r="K89" s="418">
        <f>VLOOKUP('Physical Effects'!T93,Lookup!$B$4:$C$14,2,FALSE)</f>
        <v>0</v>
      </c>
      <c r="L89" s="418">
        <f>VLOOKUP('Physical Effects'!V93,Lookup!$B$4:$C$14,2,FALSE)</f>
        <v>0</v>
      </c>
      <c r="M89" s="418">
        <f>VLOOKUP('Physical Effects'!X93,Lookup!$B$4:$C$14,2,FALSE)</f>
        <v>0</v>
      </c>
      <c r="N89" s="418">
        <f>VLOOKUP('Physical Effects'!Z93,Lookup!$B$4:$C$14,2,FALSE)</f>
        <v>0</v>
      </c>
      <c r="O89" s="418">
        <f>VLOOKUP('Physical Effects'!AB93,Lookup!$B$4:$C$14,2,FALSE)</f>
        <v>0</v>
      </c>
      <c r="P89" s="418">
        <f>VLOOKUP('Physical Effects'!AD93,Lookup!$B$4:$C$14,2,FALSE)</f>
        <v>0</v>
      </c>
      <c r="Q89" s="418">
        <f>VLOOKUP('Physical Effects'!AF93,Lookup!$B$4:$C$14,2,FALSE)</f>
        <v>0</v>
      </c>
      <c r="R89" s="418">
        <f>VLOOKUP('Physical Effects'!AH93,Lookup!$B$4:$C$14,2,FALSE)</f>
        <v>0</v>
      </c>
      <c r="S89" s="418">
        <f>VLOOKUP('Physical Effects'!AJ93,Lookup!$B$4:$C$14,2,FALSE)</f>
        <v>0</v>
      </c>
      <c r="T89" s="418">
        <f>VLOOKUP('Physical Effects'!AL93,Lookup!$B$4:$C$14,2,FALSE)</f>
        <v>0</v>
      </c>
      <c r="U89" s="418">
        <f>VLOOKUP('Physical Effects'!AN93,Lookup!$B$4:$C$14,2,FALSE)</f>
        <v>0</v>
      </c>
      <c r="V89" s="418">
        <f>VLOOKUP('Physical Effects'!AP93,Lookup!$B$4:$C$14,2,FALSE)</f>
        <v>0</v>
      </c>
      <c r="W89" s="418">
        <f>VLOOKUP('Physical Effects'!AR93,Lookup!$B$4:$C$14,2,FALSE)</f>
        <v>0</v>
      </c>
      <c r="X89" s="418">
        <f>VLOOKUP('Physical Effects'!AT93,Lookup!$B$4:$C$14,2,FALSE)</f>
        <v>0</v>
      </c>
      <c r="Y89" s="418">
        <f>VLOOKUP('Physical Effects'!AV93,Lookup!$B$4:$C$14,2,FALSE)</f>
        <v>0</v>
      </c>
      <c r="Z89" s="418">
        <f>VLOOKUP('Physical Effects'!AX93,Lookup!$B$4:$C$14,2,FALSE)</f>
        <v>0</v>
      </c>
      <c r="AA89" s="418">
        <f>VLOOKUP('Physical Effects'!AZ93,Lookup!$B$4:$C$14,2,FALSE)</f>
        <v>0</v>
      </c>
      <c r="AB89" s="418">
        <f>VLOOKUP('Physical Effects'!BB93,Lookup!$B$4:$C$14,2,FALSE)</f>
        <v>0</v>
      </c>
      <c r="AC89" s="418">
        <f>VLOOKUP('Physical Effects'!BD93,Lookup!$B$4:$C$14,2,FALSE)</f>
        <v>0</v>
      </c>
      <c r="AD89" s="418">
        <f>VLOOKUP('Physical Effects'!BF93,Lookup!$B$4:$C$14,2,FALSE)</f>
        <v>0</v>
      </c>
      <c r="AE89" s="418">
        <f>VLOOKUP('Physical Effects'!BH93,Lookup!$B$4:$C$14,2,FALSE)</f>
        <v>0</v>
      </c>
      <c r="AF89" s="418">
        <f>VLOOKUP('Physical Effects'!BJ93,Lookup!$B$4:$C$14,2,FALSE)</f>
        <v>0</v>
      </c>
      <c r="AG89" s="418">
        <f>VLOOKUP('Physical Effects'!BL93,Lookup!$B$4:$C$14,2,FALSE)</f>
        <v>0</v>
      </c>
      <c r="AH89" s="418">
        <f>VLOOKUP('Physical Effects'!BN93,Lookup!$B$4:$C$14,2,FALSE)</f>
        <v>0</v>
      </c>
      <c r="AI89" s="418">
        <f>VLOOKUP('Physical Effects'!BP93,Lookup!$B$4:$C$14,2,FALSE)</f>
        <v>2</v>
      </c>
      <c r="AJ89" s="418">
        <f>VLOOKUP('Physical Effects'!BR93,Lookup!$B$4:$C$14,2,FALSE)</f>
        <v>0</v>
      </c>
      <c r="AK89" s="418">
        <f>VLOOKUP('Physical Effects'!BT93,Lookup!$B$4:$C$14,2,FALSE)</f>
        <v>0</v>
      </c>
      <c r="AL89" s="418">
        <f>VLOOKUP('Physical Effects'!BV93,Lookup!$B$4:$C$14,2,FALSE)</f>
        <v>0</v>
      </c>
      <c r="AM89" s="418">
        <f>VLOOKUP('Physical Effects'!BX93,Lookup!$B$4:$C$14,2,FALSE)</f>
        <v>0</v>
      </c>
      <c r="AN89" s="418">
        <f>VLOOKUP('Physical Effects'!BZ93,Lookup!$B$4:$C$14,2,FALSE)</f>
        <v>0</v>
      </c>
      <c r="AO89" s="418">
        <f>VLOOKUP('Physical Effects'!CB93,Lookup!$B$4:$C$14,2,FALSE)</f>
        <v>0</v>
      </c>
      <c r="AP89" s="418">
        <f>VLOOKUP('Physical Effects'!CD93,Lookup!$B$4:$C$14,2,FALSE)</f>
        <v>0</v>
      </c>
      <c r="AQ89" s="418">
        <f>VLOOKUP('Physical Effects'!CF93,Lookup!$B$4:$C$14,2,FALSE)</f>
        <v>0</v>
      </c>
      <c r="AR89" s="418">
        <f>VLOOKUP('Physical Effects'!CH93,Lookup!$B$4:$C$14,2,FALSE)</f>
        <v>0</v>
      </c>
      <c r="AS89" s="418">
        <f>VLOOKUP('Physical Effects'!CJ93,Lookup!$B$4:$C$14,2,FALSE)</f>
        <v>5</v>
      </c>
      <c r="AT89" s="418">
        <f>VLOOKUP('Physical Effects'!CL93,Lookup!$B$4:$C$14,2,FALSE)</f>
        <v>0</v>
      </c>
      <c r="AU89" s="418">
        <f>VLOOKUP('Physical Effects'!CN93,Lookup!$B$4:$C$14,2,FALSE)</f>
        <v>2</v>
      </c>
      <c r="AV89" s="28"/>
      <c r="AW89" s="23"/>
      <c r="AX89" s="23"/>
      <c r="AY89" s="23"/>
      <c r="AZ89" s="23"/>
      <c r="BA89" s="23"/>
      <c r="BB89" s="23"/>
      <c r="BC89" s="23"/>
      <c r="BD89" s="23"/>
      <c r="BE89" s="23"/>
      <c r="BF89" s="23"/>
    </row>
    <row r="90" spans="1:58" s="18" customFormat="1" ht="13.5" thickBot="1" x14ac:dyDescent="0.25">
      <c r="A90" s="123">
        <f t="shared" si="1"/>
        <v>89</v>
      </c>
      <c r="B90" s="19" t="str">
        <f>+'Physical Effects'!B94</f>
        <v>Livestock Shelter Structure</v>
      </c>
      <c r="C90" s="32" t="str">
        <f>+'Physical Effects'!D94</f>
        <v>576</v>
      </c>
      <c r="D90" s="418">
        <f>VLOOKUP('Physical Effects'!F94,Lookup!$B$4:$C$14,2,FALSE)</f>
        <v>0</v>
      </c>
      <c r="E90" s="418">
        <f>VLOOKUP('Physical Effects'!H94,Lookup!$B$4:$C$14,2,FALSE)</f>
        <v>0</v>
      </c>
      <c r="F90" s="418">
        <f>VLOOKUP('Physical Effects'!J94,Lookup!$B$4:$C$14,2,FALSE)</f>
        <v>0</v>
      </c>
      <c r="G90" s="418">
        <f>VLOOKUP('Physical Effects'!L94,Lookup!$B$4:$C$14,2,FALSE)</f>
        <v>0</v>
      </c>
      <c r="H90" s="418">
        <f>VLOOKUP('Physical Effects'!N94,Lookup!$B$4:$C$14,2,FALSE)</f>
        <v>3</v>
      </c>
      <c r="I90" s="418">
        <f>VLOOKUP('Physical Effects'!P94,Lookup!$B$4:$C$14,2,FALSE)</f>
        <v>0</v>
      </c>
      <c r="J90" s="418">
        <f>VLOOKUP('Physical Effects'!R94,Lookup!$B$4:$C$14,2,FALSE)</f>
        <v>0</v>
      </c>
      <c r="K90" s="418">
        <f>VLOOKUP('Physical Effects'!T94,Lookup!$B$4:$C$14,2,FALSE)</f>
        <v>0</v>
      </c>
      <c r="L90" s="418">
        <f>VLOOKUP('Physical Effects'!V94,Lookup!$B$4:$C$14,2,FALSE)</f>
        <v>0</v>
      </c>
      <c r="M90" s="418">
        <f>VLOOKUP('Physical Effects'!X94,Lookup!$B$4:$C$14,2,FALSE)</f>
        <v>0</v>
      </c>
      <c r="N90" s="418">
        <f>VLOOKUP('Physical Effects'!Z94,Lookup!$B$4:$C$14,2,FALSE)</f>
        <v>0</v>
      </c>
      <c r="O90" s="418">
        <f>VLOOKUP('Physical Effects'!AB94,Lookup!$B$4:$C$14,2,FALSE)</f>
        <v>0</v>
      </c>
      <c r="P90" s="418">
        <f>VLOOKUP('Physical Effects'!AD94,Lookup!$B$4:$C$14,2,FALSE)</f>
        <v>0</v>
      </c>
      <c r="Q90" s="418">
        <f>VLOOKUP('Physical Effects'!AF94,Lookup!$B$4:$C$14,2,FALSE)</f>
        <v>0</v>
      </c>
      <c r="R90" s="418">
        <f>VLOOKUP('Physical Effects'!AH94,Lookup!$B$4:$C$14,2,FALSE)</f>
        <v>0</v>
      </c>
      <c r="S90" s="418">
        <f>VLOOKUP('Physical Effects'!AJ94,Lookup!$B$4:$C$14,2,FALSE)</f>
        <v>0</v>
      </c>
      <c r="T90" s="418">
        <f>VLOOKUP('Physical Effects'!AL94,Lookup!$B$4:$C$14,2,FALSE)</f>
        <v>0</v>
      </c>
      <c r="U90" s="418">
        <f>VLOOKUP('Physical Effects'!AN94,Lookup!$B$4:$C$14,2,FALSE)</f>
        <v>3</v>
      </c>
      <c r="V90" s="418">
        <f>VLOOKUP('Physical Effects'!AP94,Lookup!$B$4:$C$14,2,FALSE)</f>
        <v>0</v>
      </c>
      <c r="W90" s="418">
        <f>VLOOKUP('Physical Effects'!AR94,Lookup!$B$4:$C$14,2,FALSE)</f>
        <v>0</v>
      </c>
      <c r="X90" s="418">
        <f>VLOOKUP('Physical Effects'!AT94,Lookup!$B$4:$C$14,2,FALSE)</f>
        <v>0</v>
      </c>
      <c r="Y90" s="418">
        <f>VLOOKUP('Physical Effects'!AV94,Lookup!$B$4:$C$14,2,FALSE)</f>
        <v>2</v>
      </c>
      <c r="Z90" s="418">
        <f>VLOOKUP('Physical Effects'!AX94,Lookup!$B$4:$C$14,2,FALSE)</f>
        <v>0</v>
      </c>
      <c r="AA90" s="418">
        <f>VLOOKUP('Physical Effects'!AZ94,Lookup!$B$4:$C$14,2,FALSE)</f>
        <v>2</v>
      </c>
      <c r="AB90" s="418">
        <f>VLOOKUP('Physical Effects'!BB94,Lookup!$B$4:$C$14,2,FALSE)</f>
        <v>0</v>
      </c>
      <c r="AC90" s="418">
        <f>VLOOKUP('Physical Effects'!BD94,Lookup!$B$4:$C$14,2,FALSE)</f>
        <v>0</v>
      </c>
      <c r="AD90" s="418">
        <f>VLOOKUP('Physical Effects'!BF94,Lookup!$B$4:$C$14,2,FALSE)</f>
        <v>0</v>
      </c>
      <c r="AE90" s="418">
        <f>VLOOKUP('Physical Effects'!BH94,Lookup!$B$4:$C$14,2,FALSE)</f>
        <v>0</v>
      </c>
      <c r="AF90" s="418">
        <f>VLOOKUP('Physical Effects'!BJ94,Lookup!$B$4:$C$14,2,FALSE)</f>
        <v>0</v>
      </c>
      <c r="AG90" s="418">
        <f>VLOOKUP('Physical Effects'!BL94,Lookup!$B$4:$C$14,2,FALSE)</f>
        <v>0</v>
      </c>
      <c r="AH90" s="418">
        <f>VLOOKUP('Physical Effects'!BN94,Lookup!$B$4:$C$14,2,FALSE)</f>
        <v>0</v>
      </c>
      <c r="AI90" s="418">
        <f>VLOOKUP('Physical Effects'!BP94,Lookup!$B$4:$C$14,2,FALSE)</f>
        <v>0</v>
      </c>
      <c r="AJ90" s="418">
        <f>VLOOKUP('Physical Effects'!BR94,Lookup!$B$4:$C$14,2,FALSE)</f>
        <v>0</v>
      </c>
      <c r="AK90" s="418">
        <f>VLOOKUP('Physical Effects'!BT94,Lookup!$B$4:$C$14,2,FALSE)</f>
        <v>0</v>
      </c>
      <c r="AL90" s="418">
        <f>VLOOKUP('Physical Effects'!BV94,Lookup!$B$4:$C$14,2,FALSE)</f>
        <v>0</v>
      </c>
      <c r="AM90" s="418">
        <f>VLOOKUP('Physical Effects'!BX94,Lookup!$B$4:$C$14,2,FALSE)</f>
        <v>0</v>
      </c>
      <c r="AN90" s="418">
        <f>VLOOKUP('Physical Effects'!BZ94,Lookup!$B$4:$C$14,2,FALSE)</f>
        <v>0</v>
      </c>
      <c r="AO90" s="418">
        <f>VLOOKUP('Physical Effects'!CB94,Lookup!$B$4:$C$14,2,FALSE)</f>
        <v>0</v>
      </c>
      <c r="AP90" s="418">
        <f>VLOOKUP('Physical Effects'!CD94,Lookup!$B$4:$C$14,2,FALSE)</f>
        <v>0</v>
      </c>
      <c r="AQ90" s="418">
        <f>VLOOKUP('Physical Effects'!CF94,Lookup!$B$4:$C$14,2,FALSE)</f>
        <v>3</v>
      </c>
      <c r="AR90" s="418">
        <f>VLOOKUP('Physical Effects'!CH94,Lookup!$B$4:$C$14,2,FALSE)</f>
        <v>5</v>
      </c>
      <c r="AS90" s="418">
        <f>VLOOKUP('Physical Effects'!CJ94,Lookup!$B$4:$C$14,2,FALSE)</f>
        <v>0</v>
      </c>
      <c r="AT90" s="418">
        <f>VLOOKUP('Physical Effects'!CL94,Lookup!$B$4:$C$14,2,FALSE)</f>
        <v>0</v>
      </c>
      <c r="AU90" s="418">
        <f>VLOOKUP('Physical Effects'!CN94,Lookup!$B$4:$C$14,2,FALSE)</f>
        <v>0</v>
      </c>
      <c r="AV90" s="38"/>
    </row>
    <row r="91" spans="1:58" s="5" customFormat="1" ht="13.5" thickBot="1" x14ac:dyDescent="0.25">
      <c r="A91" s="123">
        <f t="shared" si="1"/>
        <v>90</v>
      </c>
      <c r="B91" s="19" t="str">
        <f>+'Physical Effects'!B95</f>
        <v>Mine Shaft &amp; Adit Closing</v>
      </c>
      <c r="C91" s="32">
        <f>+'Physical Effects'!D95</f>
        <v>457</v>
      </c>
      <c r="D91" s="418">
        <f>VLOOKUP('Physical Effects'!F95,Lookup!$B$4:$C$14,2,FALSE)</f>
        <v>0</v>
      </c>
      <c r="E91" s="418">
        <f>VLOOKUP('Physical Effects'!H95,Lookup!$B$4:$C$14,2,FALSE)</f>
        <v>0</v>
      </c>
      <c r="F91" s="418">
        <f>VLOOKUP('Physical Effects'!J95,Lookup!$B$4:$C$14,2,FALSE)</f>
        <v>0</v>
      </c>
      <c r="G91" s="418">
        <f>VLOOKUP('Physical Effects'!L95,Lookup!$B$4:$C$14,2,FALSE)</f>
        <v>0</v>
      </c>
      <c r="H91" s="418">
        <f>VLOOKUP('Physical Effects'!N95,Lookup!$B$4:$C$14,2,FALSE)</f>
        <v>0</v>
      </c>
      <c r="I91" s="418">
        <f>VLOOKUP('Physical Effects'!P95,Lookup!$B$4:$C$14,2,FALSE)</f>
        <v>0</v>
      </c>
      <c r="J91" s="418">
        <f>VLOOKUP('Physical Effects'!R95,Lookup!$B$4:$C$14,2,FALSE)</f>
        <v>0</v>
      </c>
      <c r="K91" s="418">
        <f>VLOOKUP('Physical Effects'!T95,Lookup!$B$4:$C$14,2,FALSE)</f>
        <v>2</v>
      </c>
      <c r="L91" s="418">
        <f>VLOOKUP('Physical Effects'!V95,Lookup!$B$4:$C$14,2,FALSE)</f>
        <v>0</v>
      </c>
      <c r="M91" s="418">
        <f>VLOOKUP('Physical Effects'!X95,Lookup!$B$4:$C$14,2,FALSE)</f>
        <v>0</v>
      </c>
      <c r="N91" s="418">
        <f>VLOOKUP('Physical Effects'!Z95,Lookup!$B$4:$C$14,2,FALSE)</f>
        <v>0</v>
      </c>
      <c r="O91" s="418">
        <f>VLOOKUP('Physical Effects'!AB95,Lookup!$B$4:$C$14,2,FALSE)</f>
        <v>2</v>
      </c>
      <c r="P91" s="418">
        <f>VLOOKUP('Physical Effects'!AD95,Lookup!$B$4:$C$14,2,FALSE)</f>
        <v>0</v>
      </c>
      <c r="Q91" s="418">
        <f>VLOOKUP('Physical Effects'!AF95,Lookup!$B$4:$C$14,2,FALSE)</f>
        <v>0</v>
      </c>
      <c r="R91" s="418">
        <f>VLOOKUP('Physical Effects'!AH95,Lookup!$B$4:$C$14,2,FALSE)</f>
        <v>0</v>
      </c>
      <c r="S91" s="418">
        <f>VLOOKUP('Physical Effects'!AJ95,Lookup!$B$4:$C$14,2,FALSE)</f>
        <v>0</v>
      </c>
      <c r="T91" s="418">
        <f>VLOOKUP('Physical Effects'!AL95,Lookup!$B$4:$C$14,2,FALSE)</f>
        <v>0</v>
      </c>
      <c r="U91" s="418">
        <f>VLOOKUP('Physical Effects'!AN95,Lookup!$B$4:$C$14,2,FALSE)</f>
        <v>0</v>
      </c>
      <c r="V91" s="418">
        <f>VLOOKUP('Physical Effects'!AP95,Lookup!$B$4:$C$14,2,FALSE)</f>
        <v>0</v>
      </c>
      <c r="W91" s="418">
        <f>VLOOKUP('Physical Effects'!AR95,Lookup!$B$4:$C$14,2,FALSE)</f>
        <v>0</v>
      </c>
      <c r="X91" s="418">
        <f>VLOOKUP('Physical Effects'!AT95,Lookup!$B$4:$C$14,2,FALSE)</f>
        <v>2</v>
      </c>
      <c r="Y91" s="418">
        <f>VLOOKUP('Physical Effects'!AV95,Lookup!$B$4:$C$14,2,FALSE)</f>
        <v>0</v>
      </c>
      <c r="Z91" s="418">
        <f>VLOOKUP('Physical Effects'!AX95,Lookup!$B$4:$C$14,2,FALSE)</f>
        <v>0</v>
      </c>
      <c r="AA91" s="418">
        <f>VLOOKUP('Physical Effects'!AZ95,Lookup!$B$4:$C$14,2,FALSE)</f>
        <v>0</v>
      </c>
      <c r="AB91" s="418">
        <f>VLOOKUP('Physical Effects'!BB95,Lookup!$B$4:$C$14,2,FALSE)</f>
        <v>0</v>
      </c>
      <c r="AC91" s="418">
        <f>VLOOKUP('Physical Effects'!BD95,Lookup!$B$4:$C$14,2,FALSE)</f>
        <v>2</v>
      </c>
      <c r="AD91" s="418">
        <f>VLOOKUP('Physical Effects'!BF95,Lookup!$B$4:$C$14,2,FALSE)</f>
        <v>1</v>
      </c>
      <c r="AE91" s="418">
        <f>VLOOKUP('Physical Effects'!BH95,Lookup!$B$4:$C$14,2,FALSE)</f>
        <v>0</v>
      </c>
      <c r="AF91" s="418">
        <f>VLOOKUP('Physical Effects'!BJ95,Lookup!$B$4:$C$14,2,FALSE)</f>
        <v>0</v>
      </c>
      <c r="AG91" s="418">
        <f>VLOOKUP('Physical Effects'!BL95,Lookup!$B$4:$C$14,2,FALSE)</f>
        <v>1</v>
      </c>
      <c r="AH91" s="418">
        <f>VLOOKUP('Physical Effects'!BN95,Lookup!$B$4:$C$14,2,FALSE)</f>
        <v>1</v>
      </c>
      <c r="AI91" s="418">
        <f>VLOOKUP('Physical Effects'!BP95,Lookup!$B$4:$C$14,2,FALSE)</f>
        <v>0</v>
      </c>
      <c r="AJ91" s="418">
        <f>VLOOKUP('Physical Effects'!BR95,Lookup!$B$4:$C$14,2,FALSE)</f>
        <v>0</v>
      </c>
      <c r="AK91" s="418">
        <f>VLOOKUP('Physical Effects'!BT95,Lookup!$B$4:$C$14,2,FALSE)</f>
        <v>0</v>
      </c>
      <c r="AL91" s="418">
        <f>VLOOKUP('Physical Effects'!BV95,Lookup!$B$4:$C$14,2,FALSE)</f>
        <v>0</v>
      </c>
      <c r="AM91" s="418">
        <f>VLOOKUP('Physical Effects'!BX95,Lookup!$B$4:$C$14,2,FALSE)</f>
        <v>0</v>
      </c>
      <c r="AN91" s="418">
        <f>VLOOKUP('Physical Effects'!BZ95,Lookup!$B$4:$C$14,2,FALSE)</f>
        <v>0</v>
      </c>
      <c r="AO91" s="418">
        <f>VLOOKUP('Physical Effects'!CB95,Lookup!$B$4:$C$14,2,FALSE)</f>
        <v>0</v>
      </c>
      <c r="AP91" s="418">
        <f>VLOOKUP('Physical Effects'!CD95,Lookup!$B$4:$C$14,2,FALSE)</f>
        <v>2</v>
      </c>
      <c r="AQ91" s="418">
        <f>VLOOKUP('Physical Effects'!CF95,Lookup!$B$4:$C$14,2,FALSE)</f>
        <v>0</v>
      </c>
      <c r="AR91" s="418">
        <f>VLOOKUP('Physical Effects'!CH95,Lookup!$B$4:$C$14,2,FALSE)</f>
        <v>0</v>
      </c>
      <c r="AS91" s="418">
        <f>VLOOKUP('Physical Effects'!CJ95,Lookup!$B$4:$C$14,2,FALSE)</f>
        <v>0</v>
      </c>
      <c r="AT91" s="418">
        <f>VLOOKUP('Physical Effects'!CL95,Lookup!$B$4:$C$14,2,FALSE)</f>
        <v>0</v>
      </c>
      <c r="AU91" s="418">
        <f>VLOOKUP('Physical Effects'!CN95,Lookup!$B$4:$C$14,2,FALSE)</f>
        <v>0</v>
      </c>
      <c r="AV91" s="28"/>
      <c r="AW91" s="23"/>
      <c r="AX91" s="23"/>
      <c r="AY91" s="23"/>
      <c r="AZ91" s="23"/>
      <c r="BA91" s="23"/>
      <c r="BB91" s="23"/>
      <c r="BC91" s="23"/>
      <c r="BD91" s="23"/>
      <c r="BE91" s="23"/>
      <c r="BF91" s="23"/>
    </row>
    <row r="92" spans="1:58" s="5" customFormat="1" ht="13.5" thickBot="1" x14ac:dyDescent="0.25">
      <c r="A92" s="123">
        <f t="shared" si="1"/>
        <v>91</v>
      </c>
      <c r="B92" s="19" t="str">
        <f>+'Physical Effects'!B96</f>
        <v>Mole Drain</v>
      </c>
      <c r="C92" s="32">
        <f>+'Physical Effects'!D96</f>
        <v>482</v>
      </c>
      <c r="D92" s="418">
        <f>VLOOKUP('Physical Effects'!F96,Lookup!$B$4:$C$14,2,FALSE)</f>
        <v>1</v>
      </c>
      <c r="E92" s="418">
        <f>VLOOKUP('Physical Effects'!H96,Lookup!$B$4:$C$14,2,FALSE)</f>
        <v>0</v>
      </c>
      <c r="F92" s="418">
        <f>VLOOKUP('Physical Effects'!J96,Lookup!$B$4:$C$14,2,FALSE)</f>
        <v>1</v>
      </c>
      <c r="G92" s="418">
        <f>VLOOKUP('Physical Effects'!L96,Lookup!$B$4:$C$14,2,FALSE)</f>
        <v>0</v>
      </c>
      <c r="H92" s="418">
        <f>VLOOKUP('Physical Effects'!N96,Lookup!$B$4:$C$14,2,FALSE)</f>
        <v>-1</v>
      </c>
      <c r="I92" s="418">
        <f>VLOOKUP('Physical Effects'!P96,Lookup!$B$4:$C$14,2,FALSE)</f>
        <v>-2</v>
      </c>
      <c r="J92" s="418">
        <f>VLOOKUP('Physical Effects'!R96,Lookup!$B$4:$C$14,2,FALSE)</f>
        <v>1</v>
      </c>
      <c r="K92" s="418">
        <f>VLOOKUP('Physical Effects'!T96,Lookup!$B$4:$C$14,2,FALSE)</f>
        <v>-2</v>
      </c>
      <c r="L92" s="418">
        <f>VLOOKUP('Physical Effects'!V96,Lookup!$B$4:$C$14,2,FALSE)</f>
        <v>2</v>
      </c>
      <c r="M92" s="418">
        <f>VLOOKUP('Physical Effects'!X96,Lookup!$B$4:$C$14,2,FALSE)</f>
        <v>2</v>
      </c>
      <c r="N92" s="418">
        <f>VLOOKUP('Physical Effects'!Z96,Lookup!$B$4:$C$14,2,FALSE)</f>
        <v>2</v>
      </c>
      <c r="O92" s="418">
        <f>VLOOKUP('Physical Effects'!AB96,Lookup!$B$4:$C$14,2,FALSE)</f>
        <v>2</v>
      </c>
      <c r="P92" s="418">
        <f>VLOOKUP('Physical Effects'!AD96,Lookup!$B$4:$C$14,2,FALSE)</f>
        <v>0</v>
      </c>
      <c r="Q92" s="418">
        <f>VLOOKUP('Physical Effects'!AF96,Lookup!$B$4:$C$14,2,FALSE)</f>
        <v>0</v>
      </c>
      <c r="R92" s="418">
        <f>VLOOKUP('Physical Effects'!AH96,Lookup!$B$4:$C$14,2,FALSE)</f>
        <v>0</v>
      </c>
      <c r="S92" s="418">
        <f>VLOOKUP('Physical Effects'!AJ96,Lookup!$B$4:$C$14,2,FALSE)</f>
        <v>1</v>
      </c>
      <c r="T92" s="418">
        <f>VLOOKUP('Physical Effects'!AL96,Lookup!$B$4:$C$14,2,FALSE)</f>
        <v>1</v>
      </c>
      <c r="U92" s="418">
        <f>VLOOKUP('Physical Effects'!AN96,Lookup!$B$4:$C$14,2,FALSE)</f>
        <v>-4</v>
      </c>
      <c r="V92" s="418">
        <f>VLOOKUP('Physical Effects'!AP96,Lookup!$B$4:$C$14,2,FALSE)</f>
        <v>2</v>
      </c>
      <c r="W92" s="418">
        <f>VLOOKUP('Physical Effects'!AR96,Lookup!$B$4:$C$14,2,FALSE)</f>
        <v>-2</v>
      </c>
      <c r="X92" s="418">
        <f>VLOOKUP('Physical Effects'!AT96,Lookup!$B$4:$C$14,2,FALSE)</f>
        <v>2</v>
      </c>
      <c r="Y92" s="418">
        <f>VLOOKUP('Physical Effects'!AV96,Lookup!$B$4:$C$14,2,FALSE)</f>
        <v>0</v>
      </c>
      <c r="Z92" s="418">
        <f>VLOOKUP('Physical Effects'!AX96,Lookup!$B$4:$C$14,2,FALSE)</f>
        <v>2</v>
      </c>
      <c r="AA92" s="418">
        <f>VLOOKUP('Physical Effects'!AZ96,Lookup!$B$4:$C$14,2,FALSE)</f>
        <v>1</v>
      </c>
      <c r="AB92" s="418">
        <f>VLOOKUP('Physical Effects'!BB96,Lookup!$B$4:$C$14,2,FALSE)</f>
        <v>0</v>
      </c>
      <c r="AC92" s="418">
        <f>VLOOKUP('Physical Effects'!BD96,Lookup!$B$4:$C$14,2,FALSE)</f>
        <v>0</v>
      </c>
      <c r="AD92" s="418">
        <f>VLOOKUP('Physical Effects'!BF96,Lookup!$B$4:$C$14,2,FALSE)</f>
        <v>2</v>
      </c>
      <c r="AE92" s="418">
        <f>VLOOKUP('Physical Effects'!BH96,Lookup!$B$4:$C$14,2,FALSE)</f>
        <v>0</v>
      </c>
      <c r="AF92" s="418">
        <f>VLOOKUP('Physical Effects'!BJ96,Lookup!$B$4:$C$14,2,FALSE)</f>
        <v>0</v>
      </c>
      <c r="AG92" s="418">
        <f>VLOOKUP('Physical Effects'!BL96,Lookup!$B$4:$C$14,2,FALSE)</f>
        <v>0</v>
      </c>
      <c r="AH92" s="418">
        <f>VLOOKUP('Physical Effects'!BN96,Lookup!$B$4:$C$14,2,FALSE)</f>
        <v>0</v>
      </c>
      <c r="AI92" s="418">
        <f>VLOOKUP('Physical Effects'!BP96,Lookup!$B$4:$C$14,2,FALSE)</f>
        <v>2</v>
      </c>
      <c r="AJ92" s="418">
        <f>VLOOKUP('Physical Effects'!BR96,Lookup!$B$4:$C$14,2,FALSE)</f>
        <v>0</v>
      </c>
      <c r="AK92" s="418">
        <f>VLOOKUP('Physical Effects'!BT96,Lookup!$B$4:$C$14,2,FALSE)</f>
        <v>0</v>
      </c>
      <c r="AL92" s="418">
        <f>VLOOKUP('Physical Effects'!BV96,Lookup!$B$4:$C$14,2,FALSE)</f>
        <v>0</v>
      </c>
      <c r="AM92" s="418">
        <f>VLOOKUP('Physical Effects'!BX96,Lookup!$B$4:$C$14,2,FALSE)</f>
        <v>0</v>
      </c>
      <c r="AN92" s="418">
        <f>VLOOKUP('Physical Effects'!BZ96,Lookup!$B$4:$C$14,2,FALSE)</f>
        <v>0</v>
      </c>
      <c r="AO92" s="418">
        <f>VLOOKUP('Physical Effects'!CB96,Lookup!$B$4:$C$14,2,FALSE)</f>
        <v>0</v>
      </c>
      <c r="AP92" s="418">
        <f>VLOOKUP('Physical Effects'!CD96,Lookup!$B$4:$C$14,2,FALSE)</f>
        <v>0</v>
      </c>
      <c r="AQ92" s="418">
        <f>VLOOKUP('Physical Effects'!CF96,Lookup!$B$4:$C$14,2,FALSE)</f>
        <v>4</v>
      </c>
      <c r="AR92" s="418">
        <f>VLOOKUP('Physical Effects'!CH96,Lookup!$B$4:$C$14,2,FALSE)</f>
        <v>0</v>
      </c>
      <c r="AS92" s="418">
        <f>VLOOKUP('Physical Effects'!CJ96,Lookup!$B$4:$C$14,2,FALSE)</f>
        <v>0</v>
      </c>
      <c r="AT92" s="418">
        <f>VLOOKUP('Physical Effects'!CL96,Lookup!$B$4:$C$14,2,FALSE)</f>
        <v>0</v>
      </c>
      <c r="AU92" s="418">
        <f>VLOOKUP('Physical Effects'!CN96,Lookup!$B$4:$C$14,2,FALSE)</f>
        <v>0</v>
      </c>
      <c r="AV92" s="28"/>
      <c r="AW92" s="23"/>
      <c r="AX92" s="23"/>
      <c r="AY92" s="23"/>
      <c r="AZ92" s="23"/>
      <c r="BA92" s="23"/>
      <c r="BB92" s="23"/>
      <c r="BC92" s="23"/>
      <c r="BD92" s="23"/>
      <c r="BE92" s="23"/>
      <c r="BF92" s="23"/>
    </row>
    <row r="93" spans="1:58" s="5" customFormat="1" ht="13.5" thickBot="1" x14ac:dyDescent="0.25">
      <c r="A93" s="123">
        <f t="shared" si="1"/>
        <v>92</v>
      </c>
      <c r="B93" s="19" t="str">
        <f>+'Physical Effects'!B97</f>
        <v>Monitoring Well</v>
      </c>
      <c r="C93" s="32">
        <f>+'Physical Effects'!D97</f>
        <v>353</v>
      </c>
      <c r="D93" s="418">
        <f>VLOOKUP('Physical Effects'!F97,Lookup!$B$4:$C$14,2,FALSE)</f>
        <v>0</v>
      </c>
      <c r="E93" s="418">
        <f>VLOOKUP('Physical Effects'!H97,Lookup!$B$4:$C$14,2,FALSE)</f>
        <v>0</v>
      </c>
      <c r="F93" s="418">
        <f>VLOOKUP('Physical Effects'!J97,Lookup!$B$4:$C$14,2,FALSE)</f>
        <v>0</v>
      </c>
      <c r="G93" s="418">
        <f>VLOOKUP('Physical Effects'!L97,Lookup!$B$4:$C$14,2,FALSE)</f>
        <v>0</v>
      </c>
      <c r="H93" s="418">
        <f>VLOOKUP('Physical Effects'!N97,Lookup!$B$4:$C$14,2,FALSE)</f>
        <v>0</v>
      </c>
      <c r="I93" s="418">
        <f>VLOOKUP('Physical Effects'!P97,Lookup!$B$4:$C$14,2,FALSE)</f>
        <v>0</v>
      </c>
      <c r="J93" s="418">
        <f>VLOOKUP('Physical Effects'!R97,Lookup!$B$4:$C$14,2,FALSE)</f>
        <v>0</v>
      </c>
      <c r="K93" s="418">
        <f>VLOOKUP('Physical Effects'!T97,Lookup!$B$4:$C$14,2,FALSE)</f>
        <v>0</v>
      </c>
      <c r="L93" s="418">
        <f>VLOOKUP('Physical Effects'!V97,Lookup!$B$4:$C$14,2,FALSE)</f>
        <v>0</v>
      </c>
      <c r="M93" s="418">
        <f>VLOOKUP('Physical Effects'!X97,Lookup!$B$4:$C$14,2,FALSE)</f>
        <v>0</v>
      </c>
      <c r="N93" s="418">
        <f>VLOOKUP('Physical Effects'!Z97,Lookup!$B$4:$C$14,2,FALSE)</f>
        <v>0</v>
      </c>
      <c r="O93" s="418">
        <f>VLOOKUP('Physical Effects'!AB97,Lookup!$B$4:$C$14,2,FALSE)</f>
        <v>0</v>
      </c>
      <c r="P93" s="418">
        <f>VLOOKUP('Physical Effects'!AD97,Lookup!$B$4:$C$14,2,FALSE)</f>
        <v>0</v>
      </c>
      <c r="Q93" s="418">
        <f>VLOOKUP('Physical Effects'!AF97,Lookup!$B$4:$C$14,2,FALSE)</f>
        <v>0</v>
      </c>
      <c r="R93" s="418">
        <f>VLOOKUP('Physical Effects'!AH97,Lookup!$B$4:$C$14,2,FALSE)</f>
        <v>0</v>
      </c>
      <c r="S93" s="418">
        <f>VLOOKUP('Physical Effects'!AJ97,Lookup!$B$4:$C$14,2,FALSE)</f>
        <v>0</v>
      </c>
      <c r="T93" s="418">
        <f>VLOOKUP('Physical Effects'!AL97,Lookup!$B$4:$C$14,2,FALSE)</f>
        <v>0</v>
      </c>
      <c r="U93" s="418">
        <f>VLOOKUP('Physical Effects'!AN97,Lookup!$B$4:$C$14,2,FALSE)</f>
        <v>0</v>
      </c>
      <c r="V93" s="418">
        <f>VLOOKUP('Physical Effects'!AP97,Lookup!$B$4:$C$14,2,FALSE)</f>
        <v>0</v>
      </c>
      <c r="W93" s="418">
        <f>VLOOKUP('Physical Effects'!AR97,Lookup!$B$4:$C$14,2,FALSE)</f>
        <v>0</v>
      </c>
      <c r="X93" s="418">
        <f>VLOOKUP('Physical Effects'!AT97,Lookup!$B$4:$C$14,2,FALSE)</f>
        <v>0</v>
      </c>
      <c r="Y93" s="418">
        <f>VLOOKUP('Physical Effects'!AV97,Lookup!$B$4:$C$14,2,FALSE)</f>
        <v>0</v>
      </c>
      <c r="Z93" s="418">
        <f>VLOOKUP('Physical Effects'!AX97,Lookup!$B$4:$C$14,2,FALSE)</f>
        <v>0</v>
      </c>
      <c r="AA93" s="418">
        <f>VLOOKUP('Physical Effects'!AZ97,Lookup!$B$4:$C$14,2,FALSE)</f>
        <v>0</v>
      </c>
      <c r="AB93" s="418">
        <f>VLOOKUP('Physical Effects'!BB97,Lookup!$B$4:$C$14,2,FALSE)</f>
        <v>0</v>
      </c>
      <c r="AC93" s="418">
        <f>VLOOKUP('Physical Effects'!BD97,Lookup!$B$4:$C$14,2,FALSE)</f>
        <v>0</v>
      </c>
      <c r="AD93" s="418">
        <f>VLOOKUP('Physical Effects'!BF97,Lookup!$B$4:$C$14,2,FALSE)</f>
        <v>0</v>
      </c>
      <c r="AE93" s="418">
        <f>VLOOKUP('Physical Effects'!BH97,Lookup!$B$4:$C$14,2,FALSE)</f>
        <v>0</v>
      </c>
      <c r="AF93" s="418">
        <f>VLOOKUP('Physical Effects'!BJ97,Lookup!$B$4:$C$14,2,FALSE)</f>
        <v>0</v>
      </c>
      <c r="AG93" s="418">
        <f>VLOOKUP('Physical Effects'!BL97,Lookup!$B$4:$C$14,2,FALSE)</f>
        <v>0</v>
      </c>
      <c r="AH93" s="418">
        <f>VLOOKUP('Physical Effects'!BN97,Lookup!$B$4:$C$14,2,FALSE)</f>
        <v>0</v>
      </c>
      <c r="AI93" s="418">
        <f>VLOOKUP('Physical Effects'!BP97,Lookup!$B$4:$C$14,2,FALSE)</f>
        <v>0</v>
      </c>
      <c r="AJ93" s="418">
        <f>VLOOKUP('Physical Effects'!BR97,Lookup!$B$4:$C$14,2,FALSE)</f>
        <v>0</v>
      </c>
      <c r="AK93" s="418">
        <f>VLOOKUP('Physical Effects'!BT97,Lookup!$B$4:$C$14,2,FALSE)</f>
        <v>0</v>
      </c>
      <c r="AL93" s="418">
        <f>VLOOKUP('Physical Effects'!BV97,Lookup!$B$4:$C$14,2,FALSE)</f>
        <v>0</v>
      </c>
      <c r="AM93" s="418">
        <f>VLOOKUP('Physical Effects'!BX97,Lookup!$B$4:$C$14,2,FALSE)</f>
        <v>0</v>
      </c>
      <c r="AN93" s="418">
        <f>VLOOKUP('Physical Effects'!BZ97,Lookup!$B$4:$C$14,2,FALSE)</f>
        <v>0</v>
      </c>
      <c r="AO93" s="418">
        <f>VLOOKUP('Physical Effects'!CB97,Lookup!$B$4:$C$14,2,FALSE)</f>
        <v>0</v>
      </c>
      <c r="AP93" s="418">
        <f>VLOOKUP('Physical Effects'!CD97,Lookup!$B$4:$C$14,2,FALSE)</f>
        <v>0</v>
      </c>
      <c r="AQ93" s="418">
        <f>VLOOKUP('Physical Effects'!CF97,Lookup!$B$4:$C$14,2,FALSE)</f>
        <v>0</v>
      </c>
      <c r="AR93" s="418">
        <f>VLOOKUP('Physical Effects'!CH97,Lookup!$B$4:$C$14,2,FALSE)</f>
        <v>0</v>
      </c>
      <c r="AS93" s="418">
        <f>VLOOKUP('Physical Effects'!CJ97,Lookup!$B$4:$C$14,2,FALSE)</f>
        <v>0</v>
      </c>
      <c r="AT93" s="418">
        <f>VLOOKUP('Physical Effects'!CL97,Lookup!$B$4:$C$14,2,FALSE)</f>
        <v>0</v>
      </c>
      <c r="AU93" s="418">
        <f>VLOOKUP('Physical Effects'!CN97,Lookup!$B$4:$C$14,2,FALSE)</f>
        <v>0</v>
      </c>
      <c r="AV93" s="28"/>
      <c r="AW93" s="23"/>
      <c r="AX93" s="23"/>
      <c r="AY93" s="23"/>
      <c r="AZ93" s="23"/>
      <c r="BA93" s="23"/>
      <c r="BB93" s="23"/>
      <c r="BC93" s="23"/>
      <c r="BD93" s="23"/>
      <c r="BE93" s="23"/>
      <c r="BF93" s="23"/>
    </row>
    <row r="94" spans="1:58" s="5" customFormat="1" ht="13.5" thickBot="1" x14ac:dyDescent="0.25">
      <c r="A94" s="123">
        <f t="shared" si="1"/>
        <v>93</v>
      </c>
      <c r="B94" s="19" t="str">
        <f>+'Physical Effects'!B98</f>
        <v>Mulching</v>
      </c>
      <c r="C94" s="32">
        <f>+'Physical Effects'!D98</f>
        <v>484</v>
      </c>
      <c r="D94" s="418">
        <f>VLOOKUP('Physical Effects'!F98,Lookup!$B$4:$C$14,2,FALSE)</f>
        <v>4</v>
      </c>
      <c r="E94" s="418">
        <f>VLOOKUP('Physical Effects'!H98,Lookup!$B$4:$C$14,2,FALSE)</f>
        <v>4</v>
      </c>
      <c r="F94" s="418">
        <f>VLOOKUP('Physical Effects'!J98,Lookup!$B$4:$C$14,2,FALSE)</f>
        <v>0</v>
      </c>
      <c r="G94" s="418">
        <f>VLOOKUP('Physical Effects'!L98,Lookup!$B$4:$C$14,2,FALSE)</f>
        <v>0</v>
      </c>
      <c r="H94" s="418">
        <f>VLOOKUP('Physical Effects'!N98,Lookup!$B$4:$C$14,2,FALSE)</f>
        <v>0</v>
      </c>
      <c r="I94" s="418">
        <f>VLOOKUP('Physical Effects'!P98,Lookup!$B$4:$C$14,2,FALSE)</f>
        <v>1</v>
      </c>
      <c r="J94" s="418">
        <f>VLOOKUP('Physical Effects'!R98,Lookup!$B$4:$C$14,2,FALSE)</f>
        <v>0</v>
      </c>
      <c r="K94" s="418">
        <f>VLOOKUP('Physical Effects'!T98,Lookup!$B$4:$C$14,2,FALSE)</f>
        <v>0</v>
      </c>
      <c r="L94" s="418">
        <f>VLOOKUP('Physical Effects'!V98,Lookup!$B$4:$C$14,2,FALSE)</f>
        <v>1</v>
      </c>
      <c r="M94" s="418">
        <f>VLOOKUP('Physical Effects'!X98,Lookup!$B$4:$C$14,2,FALSE)</f>
        <v>-1</v>
      </c>
      <c r="N94" s="418">
        <f>VLOOKUP('Physical Effects'!Z98,Lookup!$B$4:$C$14,2,FALSE)</f>
        <v>1</v>
      </c>
      <c r="O94" s="418">
        <f>VLOOKUP('Physical Effects'!AB98,Lookup!$B$4:$C$14,2,FALSE)</f>
        <v>-1</v>
      </c>
      <c r="P94" s="418">
        <f>VLOOKUP('Physical Effects'!AD98,Lookup!$B$4:$C$14,2,FALSE)</f>
        <v>0</v>
      </c>
      <c r="Q94" s="418">
        <f>VLOOKUP('Physical Effects'!AF98,Lookup!$B$4:$C$14,2,FALSE)</f>
        <v>2</v>
      </c>
      <c r="R94" s="418">
        <f>VLOOKUP('Physical Effects'!AH98,Lookup!$B$4:$C$14,2,FALSE)</f>
        <v>2</v>
      </c>
      <c r="S94" s="418">
        <f>VLOOKUP('Physical Effects'!AJ98,Lookup!$B$4:$C$14,2,FALSE)</f>
        <v>2</v>
      </c>
      <c r="T94" s="418">
        <f>VLOOKUP('Physical Effects'!AL98,Lookup!$B$4:$C$14,2,FALSE)</f>
        <v>0</v>
      </c>
      <c r="U94" s="418">
        <f>VLOOKUP('Physical Effects'!AN98,Lookup!$B$4:$C$14,2,FALSE)</f>
        <v>2</v>
      </c>
      <c r="V94" s="418">
        <f>VLOOKUP('Physical Effects'!AP98,Lookup!$B$4:$C$14,2,FALSE)</f>
        <v>-1</v>
      </c>
      <c r="W94" s="418">
        <f>VLOOKUP('Physical Effects'!AR98,Lookup!$B$4:$C$14,2,FALSE)</f>
        <v>1</v>
      </c>
      <c r="X94" s="418">
        <f>VLOOKUP('Physical Effects'!AT98,Lookup!$B$4:$C$14,2,FALSE)</f>
        <v>-1</v>
      </c>
      <c r="Y94" s="418">
        <f>VLOOKUP('Physical Effects'!AV98,Lookup!$B$4:$C$14,2,FALSE)</f>
        <v>0</v>
      </c>
      <c r="Z94" s="418">
        <f>VLOOKUP('Physical Effects'!AX98,Lookup!$B$4:$C$14,2,FALSE)</f>
        <v>0</v>
      </c>
      <c r="AA94" s="418">
        <f>VLOOKUP('Physical Effects'!AZ98,Lookup!$B$4:$C$14,2,FALSE)</f>
        <v>2</v>
      </c>
      <c r="AB94" s="418">
        <f>VLOOKUP('Physical Effects'!BB98,Lookup!$B$4:$C$14,2,FALSE)</f>
        <v>0</v>
      </c>
      <c r="AC94" s="418">
        <f>VLOOKUP('Physical Effects'!BD98,Lookup!$B$4:$C$14,2,FALSE)</f>
        <v>0</v>
      </c>
      <c r="AD94" s="418">
        <f>VLOOKUP('Physical Effects'!BF98,Lookup!$B$4:$C$14,2,FALSE)</f>
        <v>0</v>
      </c>
      <c r="AE94" s="418">
        <f>VLOOKUP('Physical Effects'!BH98,Lookup!$B$4:$C$14,2,FALSE)</f>
        <v>2</v>
      </c>
      <c r="AF94" s="418">
        <f>VLOOKUP('Physical Effects'!BJ98,Lookup!$B$4:$C$14,2,FALSE)</f>
        <v>0</v>
      </c>
      <c r="AG94" s="418">
        <f>VLOOKUP('Physical Effects'!BL98,Lookup!$B$4:$C$14,2,FALSE)</f>
        <v>0</v>
      </c>
      <c r="AH94" s="418">
        <f>VLOOKUP('Physical Effects'!BN98,Lookup!$B$4:$C$14,2,FALSE)</f>
        <v>0</v>
      </c>
      <c r="AI94" s="418">
        <f>VLOOKUP('Physical Effects'!BP98,Lookup!$B$4:$C$14,2,FALSE)</f>
        <v>2</v>
      </c>
      <c r="AJ94" s="418">
        <f>VLOOKUP('Physical Effects'!BR98,Lookup!$B$4:$C$14,2,FALSE)</f>
        <v>0</v>
      </c>
      <c r="AK94" s="418">
        <f>VLOOKUP('Physical Effects'!BT98,Lookup!$B$4:$C$14,2,FALSE)</f>
        <v>2</v>
      </c>
      <c r="AL94" s="418">
        <f>VLOOKUP('Physical Effects'!BV98,Lookup!$B$4:$C$14,2,FALSE)</f>
        <v>0</v>
      </c>
      <c r="AM94" s="418">
        <f>VLOOKUP('Physical Effects'!BX98,Lookup!$B$4:$C$14,2,FALSE)</f>
        <v>1</v>
      </c>
      <c r="AN94" s="418">
        <f>VLOOKUP('Physical Effects'!BZ98,Lookup!$B$4:$C$14,2,FALSE)</f>
        <v>1</v>
      </c>
      <c r="AO94" s="418">
        <f>VLOOKUP('Physical Effects'!CB98,Lookup!$B$4:$C$14,2,FALSE)</f>
        <v>0</v>
      </c>
      <c r="AP94" s="418">
        <f>VLOOKUP('Physical Effects'!CD98,Lookup!$B$4:$C$14,2,FALSE)</f>
        <v>0</v>
      </c>
      <c r="AQ94" s="418">
        <f>VLOOKUP('Physical Effects'!CF98,Lookup!$B$4:$C$14,2,FALSE)</f>
        <v>0</v>
      </c>
      <c r="AR94" s="418">
        <f>VLOOKUP('Physical Effects'!CH98,Lookup!$B$4:$C$14,2,FALSE)</f>
        <v>0</v>
      </c>
      <c r="AS94" s="418">
        <f>VLOOKUP('Physical Effects'!CJ98,Lookup!$B$4:$C$14,2,FALSE)</f>
        <v>0</v>
      </c>
      <c r="AT94" s="418">
        <f>VLOOKUP('Physical Effects'!CL98,Lookup!$B$4:$C$14,2,FALSE)</f>
        <v>0</v>
      </c>
      <c r="AU94" s="418">
        <f>VLOOKUP('Physical Effects'!CN98,Lookup!$B$4:$C$14,2,FALSE)</f>
        <v>0</v>
      </c>
      <c r="AV94" s="28"/>
      <c r="AW94" s="23"/>
      <c r="AX94" s="23"/>
      <c r="AY94" s="23"/>
      <c r="AZ94" s="23"/>
      <c r="BA94" s="23"/>
      <c r="BB94" s="23"/>
      <c r="BC94" s="23"/>
      <c r="BD94" s="23"/>
      <c r="BE94" s="23"/>
      <c r="BF94" s="23"/>
    </row>
    <row r="95" spans="1:58" s="5" customFormat="1" ht="13.5" thickBot="1" x14ac:dyDescent="0.25">
      <c r="A95" s="123">
        <f t="shared" si="1"/>
        <v>94</v>
      </c>
      <c r="B95" s="19" t="str">
        <f>+'Physical Effects'!B99</f>
        <v>Multi-Story Cropping</v>
      </c>
      <c r="C95" s="32">
        <f>+'Physical Effects'!D99</f>
        <v>379</v>
      </c>
      <c r="D95" s="418">
        <f>VLOOKUP('Physical Effects'!F99,Lookup!$B$4:$C$14,2,FALSE)</f>
        <v>1</v>
      </c>
      <c r="E95" s="418">
        <f>VLOOKUP('Physical Effects'!H99,Lookup!$B$4:$C$14,2,FALSE)</f>
        <v>1</v>
      </c>
      <c r="F95" s="418">
        <f>VLOOKUP('Physical Effects'!J99,Lookup!$B$4:$C$14,2,FALSE)</f>
        <v>1</v>
      </c>
      <c r="G95" s="418">
        <f>VLOOKUP('Physical Effects'!L99,Lookup!$B$4:$C$14,2,FALSE)</f>
        <v>1</v>
      </c>
      <c r="H95" s="418">
        <f>VLOOKUP('Physical Effects'!N99,Lookup!$B$4:$C$14,2,FALSE)</f>
        <v>0</v>
      </c>
      <c r="I95" s="418">
        <f>VLOOKUP('Physical Effects'!P99,Lookup!$B$4:$C$14,2,FALSE)</f>
        <v>5</v>
      </c>
      <c r="J95" s="418">
        <f>VLOOKUP('Physical Effects'!R99,Lookup!$B$4:$C$14,2,FALSE)</f>
        <v>2</v>
      </c>
      <c r="K95" s="418">
        <f>VLOOKUP('Physical Effects'!T99,Lookup!$B$4:$C$14,2,FALSE)</f>
        <v>1</v>
      </c>
      <c r="L95" s="418">
        <f>VLOOKUP('Physical Effects'!V99,Lookup!$B$4:$C$14,2,FALSE)</f>
        <v>1</v>
      </c>
      <c r="M95" s="418">
        <f>VLOOKUP('Physical Effects'!X99,Lookup!$B$4:$C$14,2,FALSE)</f>
        <v>1</v>
      </c>
      <c r="N95" s="418">
        <f>VLOOKUP('Physical Effects'!Z99,Lookup!$B$4:$C$14,2,FALSE)</f>
        <v>1</v>
      </c>
      <c r="O95" s="418">
        <f>VLOOKUP('Physical Effects'!AB99,Lookup!$B$4:$C$14,2,FALSE)</f>
        <v>1</v>
      </c>
      <c r="P95" s="418">
        <f>VLOOKUP('Physical Effects'!AD99,Lookup!$B$4:$C$14,2,FALSE)</f>
        <v>0</v>
      </c>
      <c r="Q95" s="418">
        <f>VLOOKUP('Physical Effects'!AF99,Lookup!$B$4:$C$14,2,FALSE)</f>
        <v>0</v>
      </c>
      <c r="R95" s="418">
        <f>VLOOKUP('Physical Effects'!AH99,Lookup!$B$4:$C$14,2,FALSE)</f>
        <v>0</v>
      </c>
      <c r="S95" s="418">
        <f>VLOOKUP('Physical Effects'!AJ99,Lookup!$B$4:$C$14,2,FALSE)</f>
        <v>3</v>
      </c>
      <c r="T95" s="418">
        <f>VLOOKUP('Physical Effects'!AL99,Lookup!$B$4:$C$14,2,FALSE)</f>
        <v>1</v>
      </c>
      <c r="U95" s="418">
        <f>VLOOKUP('Physical Effects'!AN99,Lookup!$B$4:$C$14,2,FALSE)</f>
        <v>1</v>
      </c>
      <c r="V95" s="418">
        <f>VLOOKUP('Physical Effects'!AP99,Lookup!$B$4:$C$14,2,FALSE)</f>
        <v>0</v>
      </c>
      <c r="W95" s="418">
        <f>VLOOKUP('Physical Effects'!AR99,Lookup!$B$4:$C$14,2,FALSE)</f>
        <v>1</v>
      </c>
      <c r="X95" s="418">
        <f>VLOOKUP('Physical Effects'!AT99,Lookup!$B$4:$C$14,2,FALSE)</f>
        <v>0</v>
      </c>
      <c r="Y95" s="418">
        <f>VLOOKUP('Physical Effects'!AV99,Lookup!$B$4:$C$14,2,FALSE)</f>
        <v>1</v>
      </c>
      <c r="Z95" s="418">
        <f>VLOOKUP('Physical Effects'!AX99,Lookup!$B$4:$C$14,2,FALSE)</f>
        <v>1</v>
      </c>
      <c r="AA95" s="418">
        <f>VLOOKUP('Physical Effects'!AZ99,Lookup!$B$4:$C$14,2,FALSE)</f>
        <v>1</v>
      </c>
      <c r="AB95" s="418">
        <f>VLOOKUP('Physical Effects'!BB99,Lookup!$B$4:$C$14,2,FALSE)</f>
        <v>0</v>
      </c>
      <c r="AC95" s="418">
        <f>VLOOKUP('Physical Effects'!BD99,Lookup!$B$4:$C$14,2,FALSE)</f>
        <v>1</v>
      </c>
      <c r="AD95" s="418">
        <f>VLOOKUP('Physical Effects'!BF99,Lookup!$B$4:$C$14,2,FALSE)</f>
        <v>1</v>
      </c>
      <c r="AE95" s="418">
        <f>VLOOKUP('Physical Effects'!BH99,Lookup!$B$4:$C$14,2,FALSE)</f>
        <v>1</v>
      </c>
      <c r="AF95" s="418">
        <f>VLOOKUP('Physical Effects'!BJ99,Lookup!$B$4:$C$14,2,FALSE)</f>
        <v>0</v>
      </c>
      <c r="AG95" s="418">
        <f>VLOOKUP('Physical Effects'!BL99,Lookup!$B$4:$C$14,2,FALSE)</f>
        <v>2</v>
      </c>
      <c r="AH95" s="418">
        <f>VLOOKUP('Physical Effects'!BN99,Lookup!$B$4:$C$14,2,FALSE)</f>
        <v>0</v>
      </c>
      <c r="AI95" s="418">
        <f>VLOOKUP('Physical Effects'!BP99,Lookup!$B$4:$C$14,2,FALSE)</f>
        <v>5</v>
      </c>
      <c r="AJ95" s="418">
        <f>VLOOKUP('Physical Effects'!BR99,Lookup!$B$4:$C$14,2,FALSE)</f>
        <v>5</v>
      </c>
      <c r="AK95" s="418">
        <f>VLOOKUP('Physical Effects'!BT99,Lookup!$B$4:$C$14,2,FALSE)</f>
        <v>3</v>
      </c>
      <c r="AL95" s="418">
        <f>VLOOKUP('Physical Effects'!BV99,Lookup!$B$4:$C$14,2,FALSE)</f>
        <v>1</v>
      </c>
      <c r="AM95" s="418">
        <f>VLOOKUP('Physical Effects'!BX99,Lookup!$B$4:$C$14,2,FALSE)</f>
        <v>3</v>
      </c>
      <c r="AN95" s="418">
        <f>VLOOKUP('Physical Effects'!BZ99,Lookup!$B$4:$C$14,2,FALSE)</f>
        <v>1</v>
      </c>
      <c r="AO95" s="418">
        <f>VLOOKUP('Physical Effects'!CB99,Lookup!$B$4:$C$14,2,FALSE)</f>
        <v>0</v>
      </c>
      <c r="AP95" s="418">
        <f>VLOOKUP('Physical Effects'!CD99,Lookup!$B$4:$C$14,2,FALSE)</f>
        <v>1</v>
      </c>
      <c r="AQ95" s="418">
        <f>VLOOKUP('Physical Effects'!CF99,Lookup!$B$4:$C$14,2,FALSE)</f>
        <v>0</v>
      </c>
      <c r="AR95" s="418">
        <f>VLOOKUP('Physical Effects'!CH99,Lookup!$B$4:$C$14,2,FALSE)</f>
        <v>0</v>
      </c>
      <c r="AS95" s="418">
        <f>VLOOKUP('Physical Effects'!CJ99,Lookup!$B$4:$C$14,2,FALSE)</f>
        <v>0</v>
      </c>
      <c r="AT95" s="418">
        <f>VLOOKUP('Physical Effects'!CL99,Lookup!$B$4:$C$14,2,FALSE)</f>
        <v>0</v>
      </c>
      <c r="AU95" s="418">
        <f>VLOOKUP('Physical Effects'!CN99,Lookup!$B$4:$C$14,2,FALSE)</f>
        <v>0</v>
      </c>
      <c r="AV95" s="28"/>
      <c r="AW95" s="23"/>
      <c r="AX95" s="23"/>
      <c r="AY95" s="23"/>
      <c r="AZ95" s="23"/>
      <c r="BA95" s="23"/>
      <c r="BB95" s="23"/>
      <c r="BC95" s="23"/>
      <c r="BD95" s="23"/>
      <c r="BE95" s="23"/>
      <c r="BF95" s="23"/>
    </row>
    <row r="96" spans="1:58" s="5" customFormat="1" ht="13.5" thickBot="1" x14ac:dyDescent="0.25">
      <c r="A96" s="123">
        <f t="shared" si="1"/>
        <v>95</v>
      </c>
      <c r="B96" s="19" t="str">
        <f>+'Physical Effects'!B100</f>
        <v>Nutrient Management</v>
      </c>
      <c r="C96" s="32">
        <f>+'Physical Effects'!D100</f>
        <v>590</v>
      </c>
      <c r="D96" s="418">
        <f>VLOOKUP('Physical Effects'!F100,Lookup!$B$4:$C$14,2,FALSE)</f>
        <v>0</v>
      </c>
      <c r="E96" s="418">
        <f>VLOOKUP('Physical Effects'!H100,Lookup!$B$4:$C$14,2,FALSE)</f>
        <v>0</v>
      </c>
      <c r="F96" s="418">
        <f>VLOOKUP('Physical Effects'!J100,Lookup!$B$4:$C$14,2,FALSE)</f>
        <v>0</v>
      </c>
      <c r="G96" s="418">
        <f>VLOOKUP('Physical Effects'!L100,Lookup!$B$4:$C$14,2,FALSE)</f>
        <v>0</v>
      </c>
      <c r="H96" s="418">
        <f>VLOOKUP('Physical Effects'!N100,Lookup!$B$4:$C$14,2,FALSE)</f>
        <v>0</v>
      </c>
      <c r="I96" s="418">
        <f>VLOOKUP('Physical Effects'!P100,Lookup!$B$4:$C$14,2,FALSE)</f>
        <v>2</v>
      </c>
      <c r="J96" s="418">
        <f>VLOOKUP('Physical Effects'!R100,Lookup!$B$4:$C$14,2,FALSE)</f>
        <v>-1</v>
      </c>
      <c r="K96" s="418">
        <f>VLOOKUP('Physical Effects'!T100,Lookup!$B$4:$C$14,2,FALSE)</f>
        <v>0</v>
      </c>
      <c r="L96" s="418">
        <f>VLOOKUP('Physical Effects'!V100,Lookup!$B$4:$C$14,2,FALSE)</f>
        <v>4</v>
      </c>
      <c r="M96" s="418">
        <f>VLOOKUP('Physical Effects'!X100,Lookup!$B$4:$C$14,2,FALSE)</f>
        <v>0</v>
      </c>
      <c r="N96" s="418">
        <f>VLOOKUP('Physical Effects'!Z100,Lookup!$B$4:$C$14,2,FALSE)</f>
        <v>0</v>
      </c>
      <c r="O96" s="418">
        <f>VLOOKUP('Physical Effects'!AB100,Lookup!$B$4:$C$14,2,FALSE)</f>
        <v>0</v>
      </c>
      <c r="P96" s="418">
        <f>VLOOKUP('Physical Effects'!AD100,Lookup!$B$4:$C$14,2,FALSE)</f>
        <v>0</v>
      </c>
      <c r="Q96" s="418">
        <f>VLOOKUP('Physical Effects'!AF100,Lookup!$B$4:$C$14,2,FALSE)</f>
        <v>0</v>
      </c>
      <c r="R96" s="418">
        <f>VLOOKUP('Physical Effects'!AH100,Lookup!$B$4:$C$14,2,FALSE)</f>
        <v>0</v>
      </c>
      <c r="S96" s="418">
        <f>VLOOKUP('Physical Effects'!AJ100,Lookup!$B$4:$C$14,2,FALSE)</f>
        <v>0</v>
      </c>
      <c r="T96" s="418">
        <f>VLOOKUP('Physical Effects'!AL100,Lookup!$B$4:$C$14,2,FALSE)</f>
        <v>0</v>
      </c>
      <c r="U96" s="418">
        <f>VLOOKUP('Physical Effects'!AN100,Lookup!$B$4:$C$14,2,FALSE)</f>
        <v>5</v>
      </c>
      <c r="V96" s="418">
        <f>VLOOKUP('Physical Effects'!AP100,Lookup!$B$4:$C$14,2,FALSE)</f>
        <v>5</v>
      </c>
      <c r="W96" s="418">
        <f>VLOOKUP('Physical Effects'!AR100,Lookup!$B$4:$C$14,2,FALSE)</f>
        <v>3</v>
      </c>
      <c r="X96" s="418">
        <f>VLOOKUP('Physical Effects'!AT100,Lookup!$B$4:$C$14,2,FALSE)</f>
        <v>3</v>
      </c>
      <c r="Y96" s="418">
        <f>VLOOKUP('Physical Effects'!AV100,Lookup!$B$4:$C$14,2,FALSE)</f>
        <v>4</v>
      </c>
      <c r="Z96" s="418">
        <f>VLOOKUP('Physical Effects'!AX100,Lookup!$B$4:$C$14,2,FALSE)</f>
        <v>4</v>
      </c>
      <c r="AA96" s="418">
        <f>VLOOKUP('Physical Effects'!AZ100,Lookup!$B$4:$C$14,2,FALSE)</f>
        <v>0</v>
      </c>
      <c r="AB96" s="418">
        <f>VLOOKUP('Physical Effects'!BB100,Lookup!$B$4:$C$14,2,FALSE)</f>
        <v>0</v>
      </c>
      <c r="AC96" s="418">
        <f>VLOOKUP('Physical Effects'!BD100,Lookup!$B$4:$C$14,2,FALSE)</f>
        <v>2</v>
      </c>
      <c r="AD96" s="418">
        <f>VLOOKUP('Physical Effects'!BF100,Lookup!$B$4:$C$14,2,FALSE)</f>
        <v>2</v>
      </c>
      <c r="AE96" s="418">
        <f>VLOOKUP('Physical Effects'!BH100,Lookup!$B$4:$C$14,2,FALSE)</f>
        <v>2</v>
      </c>
      <c r="AF96" s="418">
        <f>VLOOKUP('Physical Effects'!BJ100,Lookup!$B$4:$C$14,2,FALSE)</f>
        <v>2</v>
      </c>
      <c r="AG96" s="418">
        <f>VLOOKUP('Physical Effects'!BL100,Lookup!$B$4:$C$14,2,FALSE)</f>
        <v>4</v>
      </c>
      <c r="AH96" s="418">
        <f>VLOOKUP('Physical Effects'!BN100,Lookup!$B$4:$C$14,2,FALSE)</f>
        <v>2</v>
      </c>
      <c r="AI96" s="418">
        <f>VLOOKUP('Physical Effects'!BP100,Lookup!$B$4:$C$14,2,FALSE)</f>
        <v>4</v>
      </c>
      <c r="AJ96" s="418">
        <f>VLOOKUP('Physical Effects'!BR100,Lookup!$B$4:$C$14,2,FALSE)</f>
        <v>2</v>
      </c>
      <c r="AK96" s="418">
        <f>VLOOKUP('Physical Effects'!BT100,Lookup!$B$4:$C$14,2,FALSE)</f>
        <v>0</v>
      </c>
      <c r="AL96" s="418">
        <f>VLOOKUP('Physical Effects'!BV100,Lookup!$B$4:$C$14,2,FALSE)</f>
        <v>0</v>
      </c>
      <c r="AM96" s="418">
        <f>VLOOKUP('Physical Effects'!BX100,Lookup!$B$4:$C$14,2,FALSE)</f>
        <v>0</v>
      </c>
      <c r="AN96" s="418">
        <f>VLOOKUP('Physical Effects'!BZ100,Lookup!$B$4:$C$14,2,FALSE)</f>
        <v>0</v>
      </c>
      <c r="AO96" s="418">
        <f>VLOOKUP('Physical Effects'!CB100,Lookup!$B$4:$C$14,2,FALSE)</f>
        <v>0</v>
      </c>
      <c r="AP96" s="418">
        <f>VLOOKUP('Physical Effects'!CD100,Lookup!$B$4:$C$14,2,FALSE)</f>
        <v>0</v>
      </c>
      <c r="AQ96" s="418">
        <f>VLOOKUP('Physical Effects'!CF100,Lookup!$B$4:$C$14,2,FALSE)</f>
        <v>4</v>
      </c>
      <c r="AR96" s="418">
        <f>VLOOKUP('Physical Effects'!CH100,Lookup!$B$4:$C$14,2,FALSE)</f>
        <v>0</v>
      </c>
      <c r="AS96" s="418">
        <f>VLOOKUP('Physical Effects'!CJ100,Lookup!$B$4:$C$14,2,FALSE)</f>
        <v>0</v>
      </c>
      <c r="AT96" s="418">
        <f>VLOOKUP('Physical Effects'!CL100,Lookup!$B$4:$C$14,2,FALSE)</f>
        <v>0</v>
      </c>
      <c r="AU96" s="418">
        <f>VLOOKUP('Physical Effects'!CN100,Lookup!$B$4:$C$14,2,FALSE)</f>
        <v>0</v>
      </c>
      <c r="AV96" s="28"/>
      <c r="AW96" s="23"/>
      <c r="AX96" s="23"/>
      <c r="AY96" s="23"/>
      <c r="AZ96" s="23"/>
      <c r="BA96" s="23"/>
      <c r="BB96" s="23"/>
      <c r="BC96" s="23"/>
      <c r="BD96" s="23"/>
      <c r="BE96" s="23"/>
      <c r="BF96" s="23"/>
    </row>
    <row r="97" spans="1:58" s="5" customFormat="1" ht="13.5" thickBot="1" x14ac:dyDescent="0.25">
      <c r="A97" s="123">
        <f t="shared" si="1"/>
        <v>96</v>
      </c>
      <c r="B97" s="19" t="str">
        <f>+'Physical Effects'!B101</f>
        <v>Obstruction Removal</v>
      </c>
      <c r="C97" s="32">
        <f>+'Physical Effects'!D101</f>
        <v>500</v>
      </c>
      <c r="D97" s="418">
        <f>VLOOKUP('Physical Effects'!F101,Lookup!$B$4:$C$14,2,FALSE)</f>
        <v>0</v>
      </c>
      <c r="E97" s="418">
        <f>VLOOKUP('Physical Effects'!H101,Lookup!$B$4:$C$14,2,FALSE)</f>
        <v>0</v>
      </c>
      <c r="F97" s="418">
        <f>VLOOKUP('Physical Effects'!J101,Lookup!$B$4:$C$14,2,FALSE)</f>
        <v>0</v>
      </c>
      <c r="G97" s="418">
        <f>VLOOKUP('Physical Effects'!L101,Lookup!$B$4:$C$14,2,FALSE)</f>
        <v>0</v>
      </c>
      <c r="H97" s="418">
        <f>VLOOKUP('Physical Effects'!N101,Lookup!$B$4:$C$14,2,FALSE)</f>
        <v>0</v>
      </c>
      <c r="I97" s="418">
        <f>VLOOKUP('Physical Effects'!P101,Lookup!$B$4:$C$14,2,FALSE)</f>
        <v>1</v>
      </c>
      <c r="J97" s="418">
        <f>VLOOKUP('Physical Effects'!R101,Lookup!$B$4:$C$14,2,FALSE)</f>
        <v>-1</v>
      </c>
      <c r="K97" s="418">
        <f>VLOOKUP('Physical Effects'!T101,Lookup!$B$4:$C$14,2,FALSE)</f>
        <v>0</v>
      </c>
      <c r="L97" s="418">
        <f>VLOOKUP('Physical Effects'!V101,Lookup!$B$4:$C$14,2,FALSE)</f>
        <v>0</v>
      </c>
      <c r="M97" s="418">
        <f>VLOOKUP('Physical Effects'!X101,Lookup!$B$4:$C$14,2,FALSE)</f>
        <v>0</v>
      </c>
      <c r="N97" s="418">
        <f>VLOOKUP('Physical Effects'!Z101,Lookup!$B$4:$C$14,2,FALSE)</f>
        <v>0</v>
      </c>
      <c r="O97" s="418">
        <f>VLOOKUP('Physical Effects'!AB101,Lookup!$B$4:$C$14,2,FALSE)</f>
        <v>0</v>
      </c>
      <c r="P97" s="418">
        <f>VLOOKUP('Physical Effects'!AD101,Lookup!$B$4:$C$14,2,FALSE)</f>
        <v>2</v>
      </c>
      <c r="Q97" s="418">
        <f>VLOOKUP('Physical Effects'!AF101,Lookup!$B$4:$C$14,2,FALSE)</f>
        <v>0</v>
      </c>
      <c r="R97" s="418">
        <f>VLOOKUP('Physical Effects'!AH101,Lookup!$B$4:$C$14,2,FALSE)</f>
        <v>0</v>
      </c>
      <c r="S97" s="418">
        <f>VLOOKUP('Physical Effects'!AJ101,Lookup!$B$4:$C$14,2,FALSE)</f>
        <v>0</v>
      </c>
      <c r="T97" s="418">
        <f>VLOOKUP('Physical Effects'!AL101,Lookup!$B$4:$C$14,2,FALSE)</f>
        <v>0</v>
      </c>
      <c r="U97" s="418">
        <f>VLOOKUP('Physical Effects'!AN101,Lookup!$B$4:$C$14,2,FALSE)</f>
        <v>0</v>
      </c>
      <c r="V97" s="418">
        <f>VLOOKUP('Physical Effects'!AP101,Lookup!$B$4:$C$14,2,FALSE)</f>
        <v>0</v>
      </c>
      <c r="W97" s="418">
        <f>VLOOKUP('Physical Effects'!AR101,Lookup!$B$4:$C$14,2,FALSE)</f>
        <v>0</v>
      </c>
      <c r="X97" s="418">
        <f>VLOOKUP('Physical Effects'!AT101,Lookup!$B$4:$C$14,2,FALSE)</f>
        <v>0</v>
      </c>
      <c r="Y97" s="418">
        <f>VLOOKUP('Physical Effects'!AV101,Lookup!$B$4:$C$14,2,FALSE)</f>
        <v>0</v>
      </c>
      <c r="Z97" s="418">
        <f>VLOOKUP('Physical Effects'!AX101,Lookup!$B$4:$C$14,2,FALSE)</f>
        <v>0</v>
      </c>
      <c r="AA97" s="418">
        <f>VLOOKUP('Physical Effects'!AZ101,Lookup!$B$4:$C$14,2,FALSE)</f>
        <v>0</v>
      </c>
      <c r="AB97" s="418">
        <f>VLOOKUP('Physical Effects'!BB101,Lookup!$B$4:$C$14,2,FALSE)</f>
        <v>0</v>
      </c>
      <c r="AC97" s="418">
        <f>VLOOKUP('Physical Effects'!BD101,Lookup!$B$4:$C$14,2,FALSE)</f>
        <v>0</v>
      </c>
      <c r="AD97" s="418">
        <f>VLOOKUP('Physical Effects'!BF101,Lookup!$B$4:$C$14,2,FALSE)</f>
        <v>0</v>
      </c>
      <c r="AE97" s="418">
        <f>VLOOKUP('Physical Effects'!BH101,Lookup!$B$4:$C$14,2,FALSE)</f>
        <v>0</v>
      </c>
      <c r="AF97" s="418">
        <f>VLOOKUP('Physical Effects'!BJ101,Lookup!$B$4:$C$14,2,FALSE)</f>
        <v>0</v>
      </c>
      <c r="AG97" s="418">
        <f>VLOOKUP('Physical Effects'!BL101,Lookup!$B$4:$C$14,2,FALSE)</f>
        <v>0</v>
      </c>
      <c r="AH97" s="418">
        <f>VLOOKUP('Physical Effects'!BN101,Lookup!$B$4:$C$14,2,FALSE)</f>
        <v>0</v>
      </c>
      <c r="AI97" s="418">
        <f>VLOOKUP('Physical Effects'!BP101,Lookup!$B$4:$C$14,2,FALSE)</f>
        <v>0</v>
      </c>
      <c r="AJ97" s="418">
        <f>VLOOKUP('Physical Effects'!BR101,Lookup!$B$4:$C$14,2,FALSE)</f>
        <v>0</v>
      </c>
      <c r="AK97" s="418">
        <f>VLOOKUP('Physical Effects'!BT101,Lookup!$B$4:$C$14,2,FALSE)</f>
        <v>0</v>
      </c>
      <c r="AL97" s="418">
        <f>VLOOKUP('Physical Effects'!BV101,Lookup!$B$4:$C$14,2,FALSE)</f>
        <v>0</v>
      </c>
      <c r="AM97" s="418">
        <f>VLOOKUP('Physical Effects'!BX101,Lookup!$B$4:$C$14,2,FALSE)</f>
        <v>0</v>
      </c>
      <c r="AN97" s="418">
        <f>VLOOKUP('Physical Effects'!BZ101,Lookup!$B$4:$C$14,2,FALSE)</f>
        <v>-2</v>
      </c>
      <c r="AO97" s="418">
        <f>VLOOKUP('Physical Effects'!CB101,Lookup!$B$4:$C$14,2,FALSE)</f>
        <v>0</v>
      </c>
      <c r="AP97" s="418">
        <f>VLOOKUP('Physical Effects'!CD101,Lookup!$B$4:$C$14,2,FALSE)</f>
        <v>0</v>
      </c>
      <c r="AQ97" s="418">
        <f>VLOOKUP('Physical Effects'!CF101,Lookup!$B$4:$C$14,2,FALSE)</f>
        <v>0</v>
      </c>
      <c r="AR97" s="418">
        <f>VLOOKUP('Physical Effects'!CH101,Lookup!$B$4:$C$14,2,FALSE)</f>
        <v>-1</v>
      </c>
      <c r="AS97" s="418">
        <f>VLOOKUP('Physical Effects'!CJ101,Lookup!$B$4:$C$14,2,FALSE)</f>
        <v>0</v>
      </c>
      <c r="AT97" s="418">
        <f>VLOOKUP('Physical Effects'!CL101,Lookup!$B$4:$C$14,2,FALSE)</f>
        <v>0</v>
      </c>
      <c r="AU97" s="418">
        <f>VLOOKUP('Physical Effects'!CN101,Lookup!$B$4:$C$14,2,FALSE)</f>
        <v>0</v>
      </c>
      <c r="AV97" s="28"/>
      <c r="AW97" s="23"/>
      <c r="AX97" s="23"/>
      <c r="AY97" s="23"/>
      <c r="AZ97" s="23"/>
      <c r="BA97" s="23"/>
      <c r="BB97" s="23"/>
      <c r="BC97" s="23"/>
      <c r="BD97" s="23"/>
      <c r="BE97" s="23"/>
      <c r="BF97" s="23"/>
    </row>
    <row r="98" spans="1:58" s="5" customFormat="1" ht="13.5" thickBot="1" x14ac:dyDescent="0.25">
      <c r="A98" s="123">
        <f t="shared" si="1"/>
        <v>97</v>
      </c>
      <c r="B98" s="19" t="str">
        <f>+'Physical Effects'!B102</f>
        <v>On-Farm Secondary Containment Facility</v>
      </c>
      <c r="C98" s="32" t="str">
        <f>+'Physical Effects'!D102</f>
        <v>319</v>
      </c>
      <c r="D98" s="418">
        <f>VLOOKUP('Physical Effects'!F102,Lookup!$B$4:$C$14,2,FALSE)</f>
        <v>0</v>
      </c>
      <c r="E98" s="418">
        <f>VLOOKUP('Physical Effects'!H102,Lookup!$B$4:$C$14,2,FALSE)</f>
        <v>0</v>
      </c>
      <c r="F98" s="418">
        <f>VLOOKUP('Physical Effects'!J102,Lookup!$B$4:$C$14,2,FALSE)</f>
        <v>0</v>
      </c>
      <c r="G98" s="418">
        <f>VLOOKUP('Physical Effects'!L102,Lookup!$B$4:$C$14,2,FALSE)</f>
        <v>0</v>
      </c>
      <c r="H98" s="418">
        <f>VLOOKUP('Physical Effects'!N102,Lookup!$B$4:$C$14,2,FALSE)</f>
        <v>0</v>
      </c>
      <c r="I98" s="418">
        <f>VLOOKUP('Physical Effects'!P102,Lookup!$B$4:$C$14,2,FALSE)</f>
        <v>0</v>
      </c>
      <c r="J98" s="418">
        <f>VLOOKUP('Physical Effects'!R102,Lookup!$B$4:$C$14,2,FALSE)</f>
        <v>0</v>
      </c>
      <c r="K98" s="418">
        <f>VLOOKUP('Physical Effects'!T102,Lookup!$B$4:$C$14,2,FALSE)</f>
        <v>0</v>
      </c>
      <c r="L98" s="418">
        <f>VLOOKUP('Physical Effects'!V102,Lookup!$B$4:$C$14,2,FALSE)</f>
        <v>0</v>
      </c>
      <c r="M98" s="418">
        <f>VLOOKUP('Physical Effects'!X102,Lookup!$B$4:$C$14,2,FALSE)</f>
        <v>0</v>
      </c>
      <c r="N98" s="418">
        <f>VLOOKUP('Physical Effects'!Z102,Lookup!$B$4:$C$14,2,FALSE)</f>
        <v>0</v>
      </c>
      <c r="O98" s="418">
        <f>VLOOKUP('Physical Effects'!AB102,Lookup!$B$4:$C$14,2,FALSE)</f>
        <v>0</v>
      </c>
      <c r="P98" s="418">
        <f>VLOOKUP('Physical Effects'!AD102,Lookup!$B$4:$C$14,2,FALSE)</f>
        <v>0</v>
      </c>
      <c r="Q98" s="418">
        <f>VLOOKUP('Physical Effects'!AF102,Lookup!$B$4:$C$14,2,FALSE)</f>
        <v>0</v>
      </c>
      <c r="R98" s="418">
        <f>VLOOKUP('Physical Effects'!AH102,Lookup!$B$4:$C$14,2,FALSE)</f>
        <v>0</v>
      </c>
      <c r="S98" s="418">
        <f>VLOOKUP('Physical Effects'!AJ102,Lookup!$B$4:$C$14,2,FALSE)</f>
        <v>0</v>
      </c>
      <c r="T98" s="418">
        <f>VLOOKUP('Physical Effects'!AL102,Lookup!$B$4:$C$14,2,FALSE)</f>
        <v>0</v>
      </c>
      <c r="U98" s="418">
        <f>VLOOKUP('Physical Effects'!AN102,Lookup!$B$4:$C$14,2,FALSE)</f>
        <v>0</v>
      </c>
      <c r="V98" s="418">
        <f>VLOOKUP('Physical Effects'!AP102,Lookup!$B$4:$C$14,2,FALSE)</f>
        <v>0</v>
      </c>
      <c r="W98" s="418">
        <f>VLOOKUP('Physical Effects'!AR102,Lookup!$B$4:$C$14,2,FALSE)</f>
        <v>0</v>
      </c>
      <c r="X98" s="418">
        <f>VLOOKUP('Physical Effects'!AT102,Lookup!$B$4:$C$14,2,FALSE)</f>
        <v>0</v>
      </c>
      <c r="Y98" s="418">
        <f>VLOOKUP('Physical Effects'!AV102,Lookup!$B$4:$C$14,2,FALSE)</f>
        <v>0</v>
      </c>
      <c r="Z98" s="418">
        <f>VLOOKUP('Physical Effects'!AX102,Lookup!$B$4:$C$14,2,FALSE)</f>
        <v>0</v>
      </c>
      <c r="AA98" s="418">
        <f>VLOOKUP('Physical Effects'!AZ102,Lookup!$B$4:$C$14,2,FALSE)</f>
        <v>0</v>
      </c>
      <c r="AB98" s="418">
        <f>VLOOKUP('Physical Effects'!BB102,Lookup!$B$4:$C$14,2,FALSE)</f>
        <v>0</v>
      </c>
      <c r="AC98" s="418">
        <f>VLOOKUP('Physical Effects'!BD102,Lookup!$B$4:$C$14,2,FALSE)</f>
        <v>5</v>
      </c>
      <c r="AD98" s="418">
        <f>VLOOKUP('Physical Effects'!BF102,Lookup!$B$4:$C$14,2,FALSE)</f>
        <v>5</v>
      </c>
      <c r="AE98" s="418">
        <f>VLOOKUP('Physical Effects'!BH102,Lookup!$B$4:$C$14,2,FALSE)</f>
        <v>0</v>
      </c>
      <c r="AF98" s="418">
        <f>VLOOKUP('Physical Effects'!BJ102,Lookup!$B$4:$C$14,2,FALSE)</f>
        <v>0</v>
      </c>
      <c r="AG98" s="418">
        <f>VLOOKUP('Physical Effects'!BL102,Lookup!$B$4:$C$14,2,FALSE)</f>
        <v>0</v>
      </c>
      <c r="AH98" s="418">
        <f>VLOOKUP('Physical Effects'!BN102,Lookup!$B$4:$C$14,2,FALSE)</f>
        <v>0</v>
      </c>
      <c r="AI98" s="418">
        <f>VLOOKUP('Physical Effects'!BP102,Lookup!$B$4:$C$14,2,FALSE)</f>
        <v>0</v>
      </c>
      <c r="AJ98" s="418">
        <f>VLOOKUP('Physical Effects'!BR102,Lookup!$B$4:$C$14,2,FALSE)</f>
        <v>0</v>
      </c>
      <c r="AK98" s="418">
        <f>VLOOKUP('Physical Effects'!BT102,Lookup!$B$4:$C$14,2,FALSE)</f>
        <v>0</v>
      </c>
      <c r="AL98" s="418">
        <f>VLOOKUP('Physical Effects'!BV102,Lookup!$B$4:$C$14,2,FALSE)</f>
        <v>0</v>
      </c>
      <c r="AM98" s="418">
        <f>VLOOKUP('Physical Effects'!BX102,Lookup!$B$4:$C$14,2,FALSE)</f>
        <v>0</v>
      </c>
      <c r="AN98" s="418">
        <f>VLOOKUP('Physical Effects'!BZ102,Lookup!$B$4:$C$14,2,FALSE)</f>
        <v>0</v>
      </c>
      <c r="AO98" s="418">
        <f>VLOOKUP('Physical Effects'!CB102,Lookup!$B$4:$C$14,2,FALSE)</f>
        <v>0</v>
      </c>
      <c r="AP98" s="418">
        <f>VLOOKUP('Physical Effects'!CD102,Lookup!$B$4:$C$14,2,FALSE)</f>
        <v>0</v>
      </c>
      <c r="AQ98" s="418">
        <f>VLOOKUP('Physical Effects'!CF102,Lookup!$B$4:$C$14,2,FALSE)</f>
        <v>0</v>
      </c>
      <c r="AR98" s="418">
        <f>VLOOKUP('Physical Effects'!CH102,Lookup!$B$4:$C$14,2,FALSE)</f>
        <v>0</v>
      </c>
      <c r="AS98" s="418">
        <f>VLOOKUP('Physical Effects'!CJ102,Lookup!$B$4:$C$14,2,FALSE)</f>
        <v>0</v>
      </c>
      <c r="AT98" s="418">
        <f>VLOOKUP('Physical Effects'!CL102,Lookup!$B$4:$C$14,2,FALSE)</f>
        <v>0</v>
      </c>
      <c r="AU98" s="418">
        <f>VLOOKUP('Physical Effects'!CN102,Lookup!$B$4:$C$14,2,FALSE)</f>
        <v>0</v>
      </c>
      <c r="AV98" s="28"/>
      <c r="AW98" s="23"/>
      <c r="AX98" s="23"/>
      <c r="AY98" s="23"/>
      <c r="AZ98" s="23"/>
      <c r="BA98" s="23"/>
      <c r="BB98" s="23"/>
      <c r="BC98" s="23"/>
      <c r="BD98" s="23"/>
      <c r="BE98" s="23"/>
      <c r="BF98" s="23"/>
    </row>
    <row r="99" spans="1:58" s="5" customFormat="1" ht="13.5" thickBot="1" x14ac:dyDescent="0.25">
      <c r="A99" s="123">
        <f t="shared" si="1"/>
        <v>98</v>
      </c>
      <c r="B99" s="19" t="str">
        <f>+'Physical Effects'!B103</f>
        <v>Open Channel</v>
      </c>
      <c r="C99" s="32">
        <f>+'Physical Effects'!D103</f>
        <v>582</v>
      </c>
      <c r="D99" s="418">
        <f>VLOOKUP('Physical Effects'!F103,Lookup!$B$4:$C$14,2,FALSE)</f>
        <v>0</v>
      </c>
      <c r="E99" s="418">
        <f>VLOOKUP('Physical Effects'!H103,Lookup!$B$4:$C$14,2,FALSE)</f>
        <v>0</v>
      </c>
      <c r="F99" s="418">
        <f>VLOOKUP('Physical Effects'!J103,Lookup!$B$4:$C$14,2,FALSE)</f>
        <v>0</v>
      </c>
      <c r="G99" s="418">
        <f>VLOOKUP('Physical Effects'!L103,Lookup!$B$4:$C$14,2,FALSE)</f>
        <v>0</v>
      </c>
      <c r="H99" s="418">
        <f>VLOOKUP('Physical Effects'!N103,Lookup!$B$4:$C$14,2,FALSE)</f>
        <v>2</v>
      </c>
      <c r="I99" s="418">
        <f>VLOOKUP('Physical Effects'!P103,Lookup!$B$4:$C$14,2,FALSE)</f>
        <v>0</v>
      </c>
      <c r="J99" s="418">
        <f>VLOOKUP('Physical Effects'!R103,Lookup!$B$4:$C$14,2,FALSE)</f>
        <v>0</v>
      </c>
      <c r="K99" s="418">
        <f>VLOOKUP('Physical Effects'!T103,Lookup!$B$4:$C$14,2,FALSE)</f>
        <v>0</v>
      </c>
      <c r="L99" s="418">
        <f>VLOOKUP('Physical Effects'!V103,Lookup!$B$4:$C$14,2,FALSE)</f>
        <v>0</v>
      </c>
      <c r="M99" s="418">
        <f>VLOOKUP('Physical Effects'!X103,Lookup!$B$4:$C$14,2,FALSE)</f>
        <v>1</v>
      </c>
      <c r="N99" s="418">
        <f>VLOOKUP('Physical Effects'!Z103,Lookup!$B$4:$C$14,2,FALSE)</f>
        <v>5</v>
      </c>
      <c r="O99" s="418">
        <f>VLOOKUP('Physical Effects'!AB103,Lookup!$B$4:$C$14,2,FALSE)</f>
        <v>2</v>
      </c>
      <c r="P99" s="418">
        <f>VLOOKUP('Physical Effects'!AD103,Lookup!$B$4:$C$14,2,FALSE)</f>
        <v>0</v>
      </c>
      <c r="Q99" s="418">
        <f>VLOOKUP('Physical Effects'!AF103,Lookup!$B$4:$C$14,2,FALSE)</f>
        <v>0</v>
      </c>
      <c r="R99" s="418">
        <f>VLOOKUP('Physical Effects'!AH103,Lookup!$B$4:$C$14,2,FALSE)</f>
        <v>0</v>
      </c>
      <c r="S99" s="418">
        <f>VLOOKUP('Physical Effects'!AJ103,Lookup!$B$4:$C$14,2,FALSE)</f>
        <v>0</v>
      </c>
      <c r="T99" s="418">
        <f>VLOOKUP('Physical Effects'!AL103,Lookup!$B$4:$C$14,2,FALSE)</f>
        <v>0</v>
      </c>
      <c r="U99" s="418">
        <f>VLOOKUP('Physical Effects'!AN103,Lookup!$B$4:$C$14,2,FALSE)</f>
        <v>-1</v>
      </c>
      <c r="V99" s="418">
        <f>VLOOKUP('Physical Effects'!AP103,Lookup!$B$4:$C$14,2,FALSE)</f>
        <v>0</v>
      </c>
      <c r="W99" s="418">
        <f>VLOOKUP('Physical Effects'!AR103,Lookup!$B$4:$C$14,2,FALSE)</f>
        <v>0</v>
      </c>
      <c r="X99" s="418">
        <f>VLOOKUP('Physical Effects'!AT103,Lookup!$B$4:$C$14,2,FALSE)</f>
        <v>0</v>
      </c>
      <c r="Y99" s="418">
        <f>VLOOKUP('Physical Effects'!AV103,Lookup!$B$4:$C$14,2,FALSE)</f>
        <v>0</v>
      </c>
      <c r="Z99" s="418">
        <f>VLOOKUP('Physical Effects'!AX103,Lookup!$B$4:$C$14,2,FALSE)</f>
        <v>0</v>
      </c>
      <c r="AA99" s="418">
        <f>VLOOKUP('Physical Effects'!AZ103,Lookup!$B$4:$C$14,2,FALSE)</f>
        <v>0</v>
      </c>
      <c r="AB99" s="418">
        <f>VLOOKUP('Physical Effects'!BB103,Lookup!$B$4:$C$14,2,FALSE)</f>
        <v>0</v>
      </c>
      <c r="AC99" s="418">
        <f>VLOOKUP('Physical Effects'!BD103,Lookup!$B$4:$C$14,2,FALSE)</f>
        <v>-1</v>
      </c>
      <c r="AD99" s="418">
        <f>VLOOKUP('Physical Effects'!BF103,Lookup!$B$4:$C$14,2,FALSE)</f>
        <v>0</v>
      </c>
      <c r="AE99" s="418">
        <f>VLOOKUP('Physical Effects'!BH103,Lookup!$B$4:$C$14,2,FALSE)</f>
        <v>0</v>
      </c>
      <c r="AF99" s="418">
        <f>VLOOKUP('Physical Effects'!BJ103,Lookup!$B$4:$C$14,2,FALSE)</f>
        <v>0</v>
      </c>
      <c r="AG99" s="418">
        <f>VLOOKUP('Physical Effects'!BL103,Lookup!$B$4:$C$14,2,FALSE)</f>
        <v>0</v>
      </c>
      <c r="AH99" s="418">
        <f>VLOOKUP('Physical Effects'!BN103,Lookup!$B$4:$C$14,2,FALSE)</f>
        <v>0</v>
      </c>
      <c r="AI99" s="418">
        <f>VLOOKUP('Physical Effects'!BP103,Lookup!$B$4:$C$14,2,FALSE)</f>
        <v>0</v>
      </c>
      <c r="AJ99" s="418">
        <f>VLOOKUP('Physical Effects'!BR103,Lookup!$B$4:$C$14,2,FALSE)</f>
        <v>0</v>
      </c>
      <c r="AK99" s="418">
        <f>VLOOKUP('Physical Effects'!BT103,Lookup!$B$4:$C$14,2,FALSE)</f>
        <v>0</v>
      </c>
      <c r="AL99" s="418">
        <f>VLOOKUP('Physical Effects'!BV103,Lookup!$B$4:$C$14,2,FALSE)</f>
        <v>0</v>
      </c>
      <c r="AM99" s="418">
        <f>VLOOKUP('Physical Effects'!BX103,Lookup!$B$4:$C$14,2,FALSE)</f>
        <v>0</v>
      </c>
      <c r="AN99" s="418">
        <f>VLOOKUP('Physical Effects'!BZ103,Lookup!$B$4:$C$14,2,FALSE)</f>
        <v>0</v>
      </c>
      <c r="AO99" s="418">
        <f>VLOOKUP('Physical Effects'!CB103,Lookup!$B$4:$C$14,2,FALSE)</f>
        <v>-2</v>
      </c>
      <c r="AP99" s="418">
        <f>VLOOKUP('Physical Effects'!CD103,Lookup!$B$4:$C$14,2,FALSE)</f>
        <v>0</v>
      </c>
      <c r="AQ99" s="418">
        <f>VLOOKUP('Physical Effects'!CF103,Lookup!$B$4:$C$14,2,FALSE)</f>
        <v>0</v>
      </c>
      <c r="AR99" s="418">
        <f>VLOOKUP('Physical Effects'!CH103,Lookup!$B$4:$C$14,2,FALSE)</f>
        <v>0</v>
      </c>
      <c r="AS99" s="418">
        <f>VLOOKUP('Physical Effects'!CJ103,Lookup!$B$4:$C$14,2,FALSE)</f>
        <v>0</v>
      </c>
      <c r="AT99" s="418">
        <f>VLOOKUP('Physical Effects'!CL103,Lookup!$B$4:$C$14,2,FALSE)</f>
        <v>0</v>
      </c>
      <c r="AU99" s="418">
        <f>VLOOKUP('Physical Effects'!CN103,Lookup!$B$4:$C$14,2,FALSE)</f>
        <v>0</v>
      </c>
      <c r="AV99" s="28"/>
      <c r="AW99" s="23"/>
      <c r="AX99" s="23"/>
      <c r="AY99" s="23"/>
      <c r="AZ99" s="23"/>
      <c r="BA99" s="23"/>
      <c r="BB99" s="23"/>
      <c r="BC99" s="23"/>
      <c r="BD99" s="23"/>
      <c r="BE99" s="23"/>
      <c r="BF99" s="23"/>
    </row>
    <row r="100" spans="1:58" s="5" customFormat="1" ht="13.5" thickBot="1" x14ac:dyDescent="0.25">
      <c r="A100" s="123">
        <f t="shared" si="1"/>
        <v>99</v>
      </c>
      <c r="B100" s="19" t="str">
        <f>+'Physical Effects'!B104</f>
        <v>Pond</v>
      </c>
      <c r="C100" s="32">
        <f>+'Physical Effects'!D104</f>
        <v>378</v>
      </c>
      <c r="D100" s="418">
        <f>VLOOKUP('Physical Effects'!F104,Lookup!$B$4:$C$14,2,FALSE)</f>
        <v>0</v>
      </c>
      <c r="E100" s="418">
        <f>VLOOKUP('Physical Effects'!H104,Lookup!$B$4:$C$14,2,FALSE)</f>
        <v>0</v>
      </c>
      <c r="F100" s="418">
        <f>VLOOKUP('Physical Effects'!J104,Lookup!$B$4:$C$14,2,FALSE)</f>
        <v>0</v>
      </c>
      <c r="G100" s="418">
        <f>VLOOKUP('Physical Effects'!L104,Lookup!$B$4:$C$14,2,FALSE)</f>
        <v>2</v>
      </c>
      <c r="H100" s="418">
        <f>VLOOKUP('Physical Effects'!N104,Lookup!$B$4:$C$14,2,FALSE)</f>
        <v>1</v>
      </c>
      <c r="I100" s="418">
        <f>VLOOKUP('Physical Effects'!P104,Lookup!$B$4:$C$14,2,FALSE)</f>
        <v>0</v>
      </c>
      <c r="J100" s="418">
        <f>VLOOKUP('Physical Effects'!R104,Lookup!$B$4:$C$14,2,FALSE)</f>
        <v>0</v>
      </c>
      <c r="K100" s="418">
        <f>VLOOKUP('Physical Effects'!T104,Lookup!$B$4:$C$14,2,FALSE)</f>
        <v>0</v>
      </c>
      <c r="L100" s="418">
        <f>VLOOKUP('Physical Effects'!V104,Lookup!$B$4:$C$14,2,FALSE)</f>
        <v>-1</v>
      </c>
      <c r="M100" s="418">
        <f>VLOOKUP('Physical Effects'!X104,Lookup!$B$4:$C$14,2,FALSE)</f>
        <v>-2</v>
      </c>
      <c r="N100" s="418">
        <f>VLOOKUP('Physical Effects'!Z104,Lookup!$B$4:$C$14,2,FALSE)</f>
        <v>2</v>
      </c>
      <c r="O100" s="418">
        <f>VLOOKUP('Physical Effects'!AB104,Lookup!$B$4:$C$14,2,FALSE)</f>
        <v>-1</v>
      </c>
      <c r="P100" s="418">
        <f>VLOOKUP('Physical Effects'!AD104,Lookup!$B$4:$C$14,2,FALSE)</f>
        <v>0</v>
      </c>
      <c r="Q100" s="418">
        <f>VLOOKUP('Physical Effects'!AF104,Lookup!$B$4:$C$14,2,FALSE)</f>
        <v>2</v>
      </c>
      <c r="R100" s="418">
        <f>VLOOKUP('Physical Effects'!AH104,Lookup!$B$4:$C$14,2,FALSE)</f>
        <v>2</v>
      </c>
      <c r="S100" s="418">
        <f>VLOOKUP('Physical Effects'!AJ104,Lookup!$B$4:$C$14,2,FALSE)</f>
        <v>0</v>
      </c>
      <c r="T100" s="418">
        <f>VLOOKUP('Physical Effects'!AL104,Lookup!$B$4:$C$14,2,FALSE)</f>
        <v>0</v>
      </c>
      <c r="U100" s="418">
        <f>VLOOKUP('Physical Effects'!AN104,Lookup!$B$4:$C$14,2,FALSE)</f>
        <v>2</v>
      </c>
      <c r="V100" s="418">
        <f>VLOOKUP('Physical Effects'!AP104,Lookup!$B$4:$C$14,2,FALSE)</f>
        <v>-1</v>
      </c>
      <c r="W100" s="418">
        <f>VLOOKUP('Physical Effects'!AR104,Lookup!$B$4:$C$14,2,FALSE)</f>
        <v>0</v>
      </c>
      <c r="X100" s="418">
        <f>VLOOKUP('Physical Effects'!AT104,Lookup!$B$4:$C$14,2,FALSE)</f>
        <v>0</v>
      </c>
      <c r="Y100" s="418">
        <f>VLOOKUP('Physical Effects'!AV104,Lookup!$B$4:$C$14,2,FALSE)</f>
        <v>-2</v>
      </c>
      <c r="Z100" s="418">
        <f>VLOOKUP('Physical Effects'!AX104,Lookup!$B$4:$C$14,2,FALSE)</f>
        <v>0</v>
      </c>
      <c r="AA100" s="418">
        <f>VLOOKUP('Physical Effects'!AZ104,Lookup!$B$4:$C$14,2,FALSE)</f>
        <v>2</v>
      </c>
      <c r="AB100" s="418">
        <f>VLOOKUP('Physical Effects'!BB104,Lookup!$B$4:$C$14,2,FALSE)</f>
        <v>0</v>
      </c>
      <c r="AC100" s="418">
        <f>VLOOKUP('Physical Effects'!BD104,Lookup!$B$4:$C$14,2,FALSE)</f>
        <v>0</v>
      </c>
      <c r="AD100" s="418">
        <f>VLOOKUP('Physical Effects'!BF104,Lookup!$B$4:$C$14,2,FALSE)</f>
        <v>0</v>
      </c>
      <c r="AE100" s="418">
        <f>VLOOKUP('Physical Effects'!BH104,Lookup!$B$4:$C$14,2,FALSE)</f>
        <v>0</v>
      </c>
      <c r="AF100" s="418">
        <f>VLOOKUP('Physical Effects'!BJ104,Lookup!$B$4:$C$14,2,FALSE)</f>
        <v>0</v>
      </c>
      <c r="AG100" s="418">
        <f>VLOOKUP('Physical Effects'!BL104,Lookup!$B$4:$C$14,2,FALSE)</f>
        <v>0</v>
      </c>
      <c r="AH100" s="418">
        <f>VLOOKUP('Physical Effects'!BN104,Lookup!$B$4:$C$14,2,FALSE)</f>
        <v>0</v>
      </c>
      <c r="AI100" s="418">
        <f>VLOOKUP('Physical Effects'!BP104,Lookup!$B$4:$C$14,2,FALSE)</f>
        <v>2</v>
      </c>
      <c r="AJ100" s="418">
        <f>VLOOKUP('Physical Effects'!BR104,Lookup!$B$4:$C$14,2,FALSE)</f>
        <v>0</v>
      </c>
      <c r="AK100" s="418">
        <f>VLOOKUP('Physical Effects'!BT104,Lookup!$B$4:$C$14,2,FALSE)</f>
        <v>0</v>
      </c>
      <c r="AL100" s="418">
        <f>VLOOKUP('Physical Effects'!BV104,Lookup!$B$4:$C$14,2,FALSE)</f>
        <v>0</v>
      </c>
      <c r="AM100" s="418">
        <f>VLOOKUP('Physical Effects'!BX104,Lookup!$B$4:$C$14,2,FALSE)</f>
        <v>2</v>
      </c>
      <c r="AN100" s="418">
        <f>VLOOKUP('Physical Effects'!BZ104,Lookup!$B$4:$C$14,2,FALSE)</f>
        <v>2</v>
      </c>
      <c r="AO100" s="418">
        <f>VLOOKUP('Physical Effects'!CB104,Lookup!$B$4:$C$14,2,FALSE)</f>
        <v>4</v>
      </c>
      <c r="AP100" s="418">
        <f>VLOOKUP('Physical Effects'!CD104,Lookup!$B$4:$C$14,2,FALSE)</f>
        <v>2</v>
      </c>
      <c r="AQ100" s="418">
        <f>VLOOKUP('Physical Effects'!CF104,Lookup!$B$4:$C$14,2,FALSE)</f>
        <v>0</v>
      </c>
      <c r="AR100" s="418">
        <f>VLOOKUP('Physical Effects'!CH104,Lookup!$B$4:$C$14,2,FALSE)</f>
        <v>0</v>
      </c>
      <c r="AS100" s="418">
        <f>VLOOKUP('Physical Effects'!CJ104,Lookup!$B$4:$C$14,2,FALSE)</f>
        <v>5</v>
      </c>
      <c r="AT100" s="418">
        <f>VLOOKUP('Physical Effects'!CL104,Lookup!$B$4:$C$14,2,FALSE)</f>
        <v>0</v>
      </c>
      <c r="AU100" s="418">
        <f>VLOOKUP('Physical Effects'!CN104,Lookup!$B$4:$C$14,2,FALSE)</f>
        <v>0</v>
      </c>
      <c r="AV100" s="28"/>
      <c r="AW100" s="23"/>
      <c r="AX100" s="23"/>
      <c r="AY100" s="23"/>
      <c r="AZ100" s="23"/>
      <c r="BA100" s="23"/>
      <c r="BB100" s="23"/>
      <c r="BC100" s="23"/>
      <c r="BD100" s="23"/>
      <c r="BE100" s="23"/>
      <c r="BF100" s="23"/>
    </row>
    <row r="101" spans="1:58" s="5" customFormat="1" ht="13.5" thickBot="1" x14ac:dyDescent="0.25">
      <c r="A101" s="123">
        <f t="shared" si="1"/>
        <v>100</v>
      </c>
      <c r="B101" s="19" t="str">
        <f>+'Physical Effects'!B105</f>
        <v>Pond Sealing or Lining, Concrete</v>
      </c>
      <c r="C101" s="32">
        <f>+'Physical Effects'!D105</f>
        <v>522</v>
      </c>
      <c r="D101" s="418">
        <f>VLOOKUP('Physical Effects'!F105,Lookup!$B$4:$C$14,2,FALSE)</f>
        <v>0</v>
      </c>
      <c r="E101" s="418">
        <f>VLOOKUP('Physical Effects'!H105,Lookup!$B$4:$C$14,2,FALSE)</f>
        <v>0</v>
      </c>
      <c r="F101" s="418">
        <f>VLOOKUP('Physical Effects'!J105,Lookup!$B$4:$C$14,2,FALSE)</f>
        <v>0</v>
      </c>
      <c r="G101" s="418">
        <f>VLOOKUP('Physical Effects'!L105,Lookup!$B$4:$C$14,2,FALSE)</f>
        <v>0</v>
      </c>
      <c r="H101" s="418">
        <f>VLOOKUP('Physical Effects'!N105,Lookup!$B$4:$C$14,2,FALSE)</f>
        <v>0</v>
      </c>
      <c r="I101" s="418">
        <f>VLOOKUP('Physical Effects'!P105,Lookup!$B$4:$C$14,2,FALSE)</f>
        <v>0</v>
      </c>
      <c r="J101" s="418">
        <f>VLOOKUP('Physical Effects'!R105,Lookup!$B$4:$C$14,2,FALSE)</f>
        <v>0</v>
      </c>
      <c r="K101" s="418">
        <f>VLOOKUP('Physical Effects'!T105,Lookup!$B$4:$C$14,2,FALSE)</f>
        <v>0</v>
      </c>
      <c r="L101" s="418">
        <f>VLOOKUP('Physical Effects'!V105,Lookup!$B$4:$C$14,2,FALSE)</f>
        <v>1</v>
      </c>
      <c r="M101" s="418">
        <f>VLOOKUP('Physical Effects'!X105,Lookup!$B$4:$C$14,2,FALSE)</f>
        <v>1</v>
      </c>
      <c r="N101" s="418">
        <f>VLOOKUP('Physical Effects'!Z105,Lookup!$B$4:$C$14,2,FALSE)</f>
        <v>0</v>
      </c>
      <c r="O101" s="418">
        <f>VLOOKUP('Physical Effects'!AB105,Lookup!$B$4:$C$14,2,FALSE)</f>
        <v>2</v>
      </c>
      <c r="P101" s="418">
        <f>VLOOKUP('Physical Effects'!AD105,Lookup!$B$4:$C$14,2,FALSE)</f>
        <v>0</v>
      </c>
      <c r="Q101" s="418">
        <f>VLOOKUP('Physical Effects'!AF105,Lookup!$B$4:$C$14,2,FALSE)</f>
        <v>2</v>
      </c>
      <c r="R101" s="418">
        <f>VLOOKUP('Physical Effects'!AH105,Lookup!$B$4:$C$14,2,FALSE)</f>
        <v>2</v>
      </c>
      <c r="S101" s="418">
        <f>VLOOKUP('Physical Effects'!AJ105,Lookup!$B$4:$C$14,2,FALSE)</f>
        <v>0</v>
      </c>
      <c r="T101" s="418">
        <f>VLOOKUP('Physical Effects'!AL105,Lookup!$B$4:$C$14,2,FALSE)</f>
        <v>0</v>
      </c>
      <c r="U101" s="418">
        <f>VLOOKUP('Physical Effects'!AN105,Lookup!$B$4:$C$14,2,FALSE)</f>
        <v>2</v>
      </c>
      <c r="V101" s="418">
        <f>VLOOKUP('Physical Effects'!AP105,Lookup!$B$4:$C$14,2,FALSE)</f>
        <v>2</v>
      </c>
      <c r="W101" s="418">
        <f>VLOOKUP('Physical Effects'!AR105,Lookup!$B$4:$C$14,2,FALSE)</f>
        <v>0</v>
      </c>
      <c r="X101" s="418">
        <f>VLOOKUP('Physical Effects'!AT105,Lookup!$B$4:$C$14,2,FALSE)</f>
        <v>3</v>
      </c>
      <c r="Y101" s="418">
        <f>VLOOKUP('Physical Effects'!AV105,Lookup!$B$4:$C$14,2,FALSE)</f>
        <v>0</v>
      </c>
      <c r="Z101" s="418">
        <f>VLOOKUP('Physical Effects'!AX105,Lookup!$B$4:$C$14,2,FALSE)</f>
        <v>2</v>
      </c>
      <c r="AA101" s="418">
        <f>VLOOKUP('Physical Effects'!AZ105,Lookup!$B$4:$C$14,2,FALSE)</f>
        <v>0</v>
      </c>
      <c r="AB101" s="418">
        <f>VLOOKUP('Physical Effects'!BB105,Lookup!$B$4:$C$14,2,FALSE)</f>
        <v>0</v>
      </c>
      <c r="AC101" s="418">
        <f>VLOOKUP('Physical Effects'!BD105,Lookup!$B$4:$C$14,2,FALSE)</f>
        <v>0</v>
      </c>
      <c r="AD101" s="418">
        <f>VLOOKUP('Physical Effects'!BF105,Lookup!$B$4:$C$14,2,FALSE)</f>
        <v>1</v>
      </c>
      <c r="AE101" s="418">
        <f>VLOOKUP('Physical Effects'!BH105,Lookup!$B$4:$C$14,2,FALSE)</f>
        <v>0</v>
      </c>
      <c r="AF101" s="418">
        <f>VLOOKUP('Physical Effects'!BJ105,Lookup!$B$4:$C$14,2,FALSE)</f>
        <v>0</v>
      </c>
      <c r="AG101" s="418">
        <f>VLOOKUP('Physical Effects'!BL105,Lookup!$B$4:$C$14,2,FALSE)</f>
        <v>0</v>
      </c>
      <c r="AH101" s="418">
        <f>VLOOKUP('Physical Effects'!BN105,Lookup!$B$4:$C$14,2,FALSE)</f>
        <v>0</v>
      </c>
      <c r="AI101" s="418">
        <f>VLOOKUP('Physical Effects'!BP105,Lookup!$B$4:$C$14,2,FALSE)</f>
        <v>1</v>
      </c>
      <c r="AJ101" s="418">
        <f>VLOOKUP('Physical Effects'!BR105,Lookup!$B$4:$C$14,2,FALSE)</f>
        <v>0</v>
      </c>
      <c r="AK101" s="418">
        <f>VLOOKUP('Physical Effects'!BT105,Lookup!$B$4:$C$14,2,FALSE)</f>
        <v>0</v>
      </c>
      <c r="AL101" s="418">
        <f>VLOOKUP('Physical Effects'!BV105,Lookup!$B$4:$C$14,2,FALSE)</f>
        <v>0</v>
      </c>
      <c r="AM101" s="418">
        <f>VLOOKUP('Physical Effects'!BX105,Lookup!$B$4:$C$14,2,FALSE)</f>
        <v>0</v>
      </c>
      <c r="AN101" s="418">
        <f>VLOOKUP('Physical Effects'!BZ105,Lookup!$B$4:$C$14,2,FALSE)</f>
        <v>0</v>
      </c>
      <c r="AO101" s="418">
        <f>VLOOKUP('Physical Effects'!CB105,Lookup!$B$4:$C$14,2,FALSE)</f>
        <v>1</v>
      </c>
      <c r="AP101" s="418">
        <f>VLOOKUP('Physical Effects'!CD105,Lookup!$B$4:$C$14,2,FALSE)</f>
        <v>0</v>
      </c>
      <c r="AQ101" s="418">
        <f>VLOOKUP('Physical Effects'!CF105,Lookup!$B$4:$C$14,2,FALSE)</f>
        <v>0</v>
      </c>
      <c r="AR101" s="418">
        <f>VLOOKUP('Physical Effects'!CH105,Lookup!$B$4:$C$14,2,FALSE)</f>
        <v>0</v>
      </c>
      <c r="AS101" s="418">
        <f>VLOOKUP('Physical Effects'!CJ105,Lookup!$B$4:$C$14,2,FALSE)</f>
        <v>4</v>
      </c>
      <c r="AT101" s="418">
        <f>VLOOKUP('Physical Effects'!CL105,Lookup!$B$4:$C$14,2,FALSE)</f>
        <v>0</v>
      </c>
      <c r="AU101" s="418">
        <f>VLOOKUP('Physical Effects'!CN105,Lookup!$B$4:$C$14,2,FALSE)</f>
        <v>0</v>
      </c>
      <c r="AV101" s="28"/>
      <c r="AW101" s="23"/>
      <c r="AX101" s="23"/>
      <c r="AY101" s="23"/>
      <c r="AZ101" s="23"/>
      <c r="BA101" s="23"/>
      <c r="BB101" s="23"/>
      <c r="BC101" s="23"/>
      <c r="BD101" s="23"/>
      <c r="BE101" s="23"/>
      <c r="BF101" s="23"/>
    </row>
    <row r="102" spans="1:58" s="5" customFormat="1" ht="13.5" thickBot="1" x14ac:dyDescent="0.25">
      <c r="A102" s="123">
        <f t="shared" si="1"/>
        <v>101</v>
      </c>
      <c r="B102" s="19" t="str">
        <f>+'Physical Effects'!B106</f>
        <v>Pond Sealing or Lining, Compacted Soil Treatment</v>
      </c>
      <c r="C102" s="32">
        <f>+'Physical Effects'!D106</f>
        <v>520</v>
      </c>
      <c r="D102" s="418">
        <f>VLOOKUP('Physical Effects'!F106,Lookup!$B$4:$C$14,2,FALSE)</f>
        <v>0</v>
      </c>
      <c r="E102" s="418">
        <f>VLOOKUP('Physical Effects'!H106,Lookup!$B$4:$C$14,2,FALSE)</f>
        <v>0</v>
      </c>
      <c r="F102" s="418">
        <f>VLOOKUP('Physical Effects'!J106,Lookup!$B$4:$C$14,2,FALSE)</f>
        <v>0</v>
      </c>
      <c r="G102" s="418">
        <f>VLOOKUP('Physical Effects'!L106,Lookup!$B$4:$C$14,2,FALSE)</f>
        <v>0</v>
      </c>
      <c r="H102" s="418">
        <f>VLOOKUP('Physical Effects'!N106,Lookup!$B$4:$C$14,2,FALSE)</f>
        <v>0</v>
      </c>
      <c r="I102" s="418">
        <f>VLOOKUP('Physical Effects'!P106,Lookup!$B$4:$C$14,2,FALSE)</f>
        <v>0</v>
      </c>
      <c r="J102" s="418">
        <f>VLOOKUP('Physical Effects'!R106,Lookup!$B$4:$C$14,2,FALSE)</f>
        <v>0</v>
      </c>
      <c r="K102" s="418">
        <f>VLOOKUP('Physical Effects'!T106,Lookup!$B$4:$C$14,2,FALSE)</f>
        <v>0</v>
      </c>
      <c r="L102" s="418">
        <f>VLOOKUP('Physical Effects'!V106,Lookup!$B$4:$C$14,2,FALSE)</f>
        <v>1</v>
      </c>
      <c r="M102" s="418">
        <f>VLOOKUP('Physical Effects'!X106,Lookup!$B$4:$C$14,2,FALSE)</f>
        <v>1</v>
      </c>
      <c r="N102" s="418">
        <f>VLOOKUP('Physical Effects'!Z106,Lookup!$B$4:$C$14,2,FALSE)</f>
        <v>0</v>
      </c>
      <c r="O102" s="418">
        <f>VLOOKUP('Physical Effects'!AB106,Lookup!$B$4:$C$14,2,FALSE)</f>
        <v>2</v>
      </c>
      <c r="P102" s="418">
        <f>VLOOKUP('Physical Effects'!AD106,Lookup!$B$4:$C$14,2,FALSE)</f>
        <v>0</v>
      </c>
      <c r="Q102" s="418">
        <f>VLOOKUP('Physical Effects'!AF106,Lookup!$B$4:$C$14,2,FALSE)</f>
        <v>2</v>
      </c>
      <c r="R102" s="418">
        <f>VLOOKUP('Physical Effects'!AH106,Lookup!$B$4:$C$14,2,FALSE)</f>
        <v>2</v>
      </c>
      <c r="S102" s="418">
        <f>VLOOKUP('Physical Effects'!AJ106,Lookup!$B$4:$C$14,2,FALSE)</f>
        <v>0</v>
      </c>
      <c r="T102" s="418">
        <f>VLOOKUP('Physical Effects'!AL106,Lookup!$B$4:$C$14,2,FALSE)</f>
        <v>0</v>
      </c>
      <c r="U102" s="418">
        <f>VLOOKUP('Physical Effects'!AN106,Lookup!$B$4:$C$14,2,FALSE)</f>
        <v>2</v>
      </c>
      <c r="V102" s="418">
        <f>VLOOKUP('Physical Effects'!AP106,Lookup!$B$4:$C$14,2,FALSE)</f>
        <v>2</v>
      </c>
      <c r="W102" s="418">
        <f>VLOOKUP('Physical Effects'!AR106,Lookup!$B$4:$C$14,2,FALSE)</f>
        <v>0</v>
      </c>
      <c r="X102" s="418">
        <f>VLOOKUP('Physical Effects'!AT106,Lookup!$B$4:$C$14,2,FALSE)</f>
        <v>3</v>
      </c>
      <c r="Y102" s="418">
        <f>VLOOKUP('Physical Effects'!AV106,Lookup!$B$4:$C$14,2,FALSE)</f>
        <v>0</v>
      </c>
      <c r="Z102" s="418">
        <f>VLOOKUP('Physical Effects'!AX106,Lookup!$B$4:$C$14,2,FALSE)</f>
        <v>2</v>
      </c>
      <c r="AA102" s="418">
        <f>VLOOKUP('Physical Effects'!AZ106,Lookup!$B$4:$C$14,2,FALSE)</f>
        <v>0</v>
      </c>
      <c r="AB102" s="418">
        <f>VLOOKUP('Physical Effects'!BB106,Lookup!$B$4:$C$14,2,FALSE)</f>
        <v>0</v>
      </c>
      <c r="AC102" s="418">
        <f>VLOOKUP('Physical Effects'!BD106,Lookup!$B$4:$C$14,2,FALSE)</f>
        <v>0</v>
      </c>
      <c r="AD102" s="418">
        <f>VLOOKUP('Physical Effects'!BF106,Lookup!$B$4:$C$14,2,FALSE)</f>
        <v>1</v>
      </c>
      <c r="AE102" s="418">
        <f>VLOOKUP('Physical Effects'!BH106,Lookup!$B$4:$C$14,2,FALSE)</f>
        <v>0</v>
      </c>
      <c r="AF102" s="418">
        <f>VLOOKUP('Physical Effects'!BJ106,Lookup!$B$4:$C$14,2,FALSE)</f>
        <v>0</v>
      </c>
      <c r="AG102" s="418">
        <f>VLOOKUP('Physical Effects'!BL106,Lookup!$B$4:$C$14,2,FALSE)</f>
        <v>0</v>
      </c>
      <c r="AH102" s="418">
        <f>VLOOKUP('Physical Effects'!BN106,Lookup!$B$4:$C$14,2,FALSE)</f>
        <v>0</v>
      </c>
      <c r="AI102" s="418">
        <f>VLOOKUP('Physical Effects'!BP106,Lookup!$B$4:$C$14,2,FALSE)</f>
        <v>1</v>
      </c>
      <c r="AJ102" s="418">
        <f>VLOOKUP('Physical Effects'!BR106,Lookup!$B$4:$C$14,2,FALSE)</f>
        <v>0</v>
      </c>
      <c r="AK102" s="418">
        <f>VLOOKUP('Physical Effects'!BT106,Lookup!$B$4:$C$14,2,FALSE)</f>
        <v>0</v>
      </c>
      <c r="AL102" s="418">
        <f>VLOOKUP('Physical Effects'!BV106,Lookup!$B$4:$C$14,2,FALSE)</f>
        <v>0</v>
      </c>
      <c r="AM102" s="418">
        <f>VLOOKUP('Physical Effects'!BX106,Lookup!$B$4:$C$14,2,FALSE)</f>
        <v>0</v>
      </c>
      <c r="AN102" s="418">
        <f>VLOOKUP('Physical Effects'!BZ106,Lookup!$B$4:$C$14,2,FALSE)</f>
        <v>0</v>
      </c>
      <c r="AO102" s="418">
        <f>VLOOKUP('Physical Effects'!CB106,Lookup!$B$4:$C$14,2,FALSE)</f>
        <v>1</v>
      </c>
      <c r="AP102" s="418">
        <f>VLOOKUP('Physical Effects'!CD106,Lookup!$B$4:$C$14,2,FALSE)</f>
        <v>0</v>
      </c>
      <c r="AQ102" s="418">
        <f>VLOOKUP('Physical Effects'!CF106,Lookup!$B$4:$C$14,2,FALSE)</f>
        <v>0</v>
      </c>
      <c r="AR102" s="418">
        <f>VLOOKUP('Physical Effects'!CH106,Lookup!$B$4:$C$14,2,FALSE)</f>
        <v>0</v>
      </c>
      <c r="AS102" s="418">
        <f>VLOOKUP('Physical Effects'!CJ106,Lookup!$B$4:$C$14,2,FALSE)</f>
        <v>4</v>
      </c>
      <c r="AT102" s="418">
        <f>VLOOKUP('Physical Effects'!CL106,Lookup!$B$4:$C$14,2,FALSE)</f>
        <v>0</v>
      </c>
      <c r="AU102" s="418">
        <f>VLOOKUP('Physical Effects'!CN106,Lookup!$B$4:$C$14,2,FALSE)</f>
        <v>0</v>
      </c>
      <c r="AV102" s="28"/>
      <c r="AW102" s="23"/>
      <c r="AX102" s="23"/>
      <c r="AY102" s="23"/>
      <c r="AZ102" s="23"/>
      <c r="BA102" s="23"/>
      <c r="BB102" s="23"/>
      <c r="BC102" s="23"/>
      <c r="BD102" s="23"/>
      <c r="BE102" s="23"/>
      <c r="BF102" s="23"/>
    </row>
    <row r="103" spans="1:58" s="17" customFormat="1" ht="13.5" thickBot="1" x14ac:dyDescent="0.25">
      <c r="A103" s="123">
        <f t="shared" si="1"/>
        <v>102</v>
      </c>
      <c r="B103" s="19" t="str">
        <f>+'Physical Effects'!B107</f>
        <v>Pond Sealing or Lining, Flexible Membrane</v>
      </c>
      <c r="C103" s="32" t="str">
        <f>+'Physical Effects'!D107</f>
        <v>521A</v>
      </c>
      <c r="D103" s="418">
        <f>VLOOKUP('Physical Effects'!F107,Lookup!$B$4:$C$14,2,FALSE)</f>
        <v>0</v>
      </c>
      <c r="E103" s="418">
        <f>VLOOKUP('Physical Effects'!H107,Lookup!$B$4:$C$14,2,FALSE)</f>
        <v>0</v>
      </c>
      <c r="F103" s="418">
        <f>VLOOKUP('Physical Effects'!J107,Lookup!$B$4:$C$14,2,FALSE)</f>
        <v>0</v>
      </c>
      <c r="G103" s="418">
        <f>VLOOKUP('Physical Effects'!L107,Lookup!$B$4:$C$14,2,FALSE)</f>
        <v>0</v>
      </c>
      <c r="H103" s="418">
        <f>VLOOKUP('Physical Effects'!N107,Lookup!$B$4:$C$14,2,FALSE)</f>
        <v>0</v>
      </c>
      <c r="I103" s="418">
        <f>VLOOKUP('Physical Effects'!P107,Lookup!$B$4:$C$14,2,FALSE)</f>
        <v>0</v>
      </c>
      <c r="J103" s="418">
        <f>VLOOKUP('Physical Effects'!R107,Lookup!$B$4:$C$14,2,FALSE)</f>
        <v>0</v>
      </c>
      <c r="K103" s="418">
        <f>VLOOKUP('Physical Effects'!T107,Lookup!$B$4:$C$14,2,FALSE)</f>
        <v>0</v>
      </c>
      <c r="L103" s="418">
        <f>VLOOKUP('Physical Effects'!V107,Lookup!$B$4:$C$14,2,FALSE)</f>
        <v>1</v>
      </c>
      <c r="M103" s="418">
        <f>VLOOKUP('Physical Effects'!X107,Lookup!$B$4:$C$14,2,FALSE)</f>
        <v>1</v>
      </c>
      <c r="N103" s="418">
        <f>VLOOKUP('Physical Effects'!Z107,Lookup!$B$4:$C$14,2,FALSE)</f>
        <v>0</v>
      </c>
      <c r="O103" s="418">
        <f>VLOOKUP('Physical Effects'!AB107,Lookup!$B$4:$C$14,2,FALSE)</f>
        <v>2</v>
      </c>
      <c r="P103" s="418">
        <f>VLOOKUP('Physical Effects'!AD107,Lookup!$B$4:$C$14,2,FALSE)</f>
        <v>0</v>
      </c>
      <c r="Q103" s="418">
        <f>VLOOKUP('Physical Effects'!AF107,Lookup!$B$4:$C$14,2,FALSE)</f>
        <v>2</v>
      </c>
      <c r="R103" s="418">
        <f>VLOOKUP('Physical Effects'!AH107,Lookup!$B$4:$C$14,2,FALSE)</f>
        <v>2</v>
      </c>
      <c r="S103" s="418">
        <f>VLOOKUP('Physical Effects'!AJ107,Lookup!$B$4:$C$14,2,FALSE)</f>
        <v>0</v>
      </c>
      <c r="T103" s="418">
        <f>VLOOKUP('Physical Effects'!AL107,Lookup!$B$4:$C$14,2,FALSE)</f>
        <v>0</v>
      </c>
      <c r="U103" s="418">
        <f>VLOOKUP('Physical Effects'!AN107,Lookup!$B$4:$C$14,2,FALSE)</f>
        <v>2</v>
      </c>
      <c r="V103" s="418">
        <f>VLOOKUP('Physical Effects'!AP107,Lookup!$B$4:$C$14,2,FALSE)</f>
        <v>2</v>
      </c>
      <c r="W103" s="418">
        <f>VLOOKUP('Physical Effects'!AR107,Lookup!$B$4:$C$14,2,FALSE)</f>
        <v>0</v>
      </c>
      <c r="X103" s="418">
        <f>VLOOKUP('Physical Effects'!AT107,Lookup!$B$4:$C$14,2,FALSE)</f>
        <v>3</v>
      </c>
      <c r="Y103" s="418">
        <f>VLOOKUP('Physical Effects'!AV107,Lookup!$B$4:$C$14,2,FALSE)</f>
        <v>0</v>
      </c>
      <c r="Z103" s="418">
        <f>VLOOKUP('Physical Effects'!AX107,Lookup!$B$4:$C$14,2,FALSE)</f>
        <v>2</v>
      </c>
      <c r="AA103" s="418">
        <f>VLOOKUP('Physical Effects'!AZ107,Lookup!$B$4:$C$14,2,FALSE)</f>
        <v>0</v>
      </c>
      <c r="AB103" s="418">
        <f>VLOOKUP('Physical Effects'!BB107,Lookup!$B$4:$C$14,2,FALSE)</f>
        <v>0</v>
      </c>
      <c r="AC103" s="418">
        <f>VLOOKUP('Physical Effects'!BD107,Lookup!$B$4:$C$14,2,FALSE)</f>
        <v>0</v>
      </c>
      <c r="AD103" s="418">
        <f>VLOOKUP('Physical Effects'!BF107,Lookup!$B$4:$C$14,2,FALSE)</f>
        <v>1</v>
      </c>
      <c r="AE103" s="418">
        <f>VLOOKUP('Physical Effects'!BH107,Lookup!$B$4:$C$14,2,FALSE)</f>
        <v>0</v>
      </c>
      <c r="AF103" s="418">
        <f>VLOOKUP('Physical Effects'!BJ107,Lookup!$B$4:$C$14,2,FALSE)</f>
        <v>0</v>
      </c>
      <c r="AG103" s="418">
        <f>VLOOKUP('Physical Effects'!BL107,Lookup!$B$4:$C$14,2,FALSE)</f>
        <v>0</v>
      </c>
      <c r="AH103" s="418">
        <f>VLOOKUP('Physical Effects'!BN107,Lookup!$B$4:$C$14,2,FALSE)</f>
        <v>0</v>
      </c>
      <c r="AI103" s="418">
        <f>VLOOKUP('Physical Effects'!BP107,Lookup!$B$4:$C$14,2,FALSE)</f>
        <v>1</v>
      </c>
      <c r="AJ103" s="418">
        <f>VLOOKUP('Physical Effects'!BR107,Lookup!$B$4:$C$14,2,FALSE)</f>
        <v>0</v>
      </c>
      <c r="AK103" s="418">
        <f>VLOOKUP('Physical Effects'!BT107,Lookup!$B$4:$C$14,2,FALSE)</f>
        <v>0</v>
      </c>
      <c r="AL103" s="418">
        <f>VLOOKUP('Physical Effects'!BV107,Lookup!$B$4:$C$14,2,FALSE)</f>
        <v>0</v>
      </c>
      <c r="AM103" s="418">
        <f>VLOOKUP('Physical Effects'!BX107,Lookup!$B$4:$C$14,2,FALSE)</f>
        <v>0</v>
      </c>
      <c r="AN103" s="418">
        <f>VLOOKUP('Physical Effects'!BZ107,Lookup!$B$4:$C$14,2,FALSE)</f>
        <v>0</v>
      </c>
      <c r="AO103" s="418">
        <f>VLOOKUP('Physical Effects'!CB107,Lookup!$B$4:$C$14,2,FALSE)</f>
        <v>1</v>
      </c>
      <c r="AP103" s="418">
        <f>VLOOKUP('Physical Effects'!CD107,Lookup!$B$4:$C$14,2,FALSE)</f>
        <v>0</v>
      </c>
      <c r="AQ103" s="418">
        <f>VLOOKUP('Physical Effects'!CF107,Lookup!$B$4:$C$14,2,FALSE)</f>
        <v>0</v>
      </c>
      <c r="AR103" s="418">
        <f>VLOOKUP('Physical Effects'!CH107,Lookup!$B$4:$C$14,2,FALSE)</f>
        <v>0</v>
      </c>
      <c r="AS103" s="418">
        <f>VLOOKUP('Physical Effects'!CJ107,Lookup!$B$4:$C$14,2,FALSE)</f>
        <v>4</v>
      </c>
      <c r="AT103" s="418">
        <f>VLOOKUP('Physical Effects'!CL107,Lookup!$B$4:$C$14,2,FALSE)</f>
        <v>0</v>
      </c>
      <c r="AU103" s="418">
        <f>VLOOKUP('Physical Effects'!CN107,Lookup!$B$4:$C$14,2,FALSE)</f>
        <v>0</v>
      </c>
      <c r="AV103" s="28"/>
      <c r="AW103" s="21"/>
      <c r="AX103" s="21"/>
      <c r="AY103" s="21"/>
      <c r="AZ103" s="21"/>
      <c r="BA103" s="21"/>
      <c r="BB103" s="21"/>
      <c r="BC103" s="21"/>
      <c r="BD103" s="21"/>
      <c r="BE103" s="21"/>
      <c r="BF103" s="21"/>
    </row>
    <row r="104" spans="1:58" s="5" customFormat="1" ht="13.5" thickBot="1" x14ac:dyDescent="0.25">
      <c r="A104" s="123">
        <f t="shared" si="1"/>
        <v>103</v>
      </c>
      <c r="B104" s="19" t="str">
        <f>+'Physical Effects'!B108</f>
        <v>Precision Land Forming</v>
      </c>
      <c r="C104" s="32">
        <f>+'Physical Effects'!D108</f>
        <v>462</v>
      </c>
      <c r="D104" s="418">
        <f>VLOOKUP('Physical Effects'!F108,Lookup!$B$4:$C$14,2,FALSE)</f>
        <v>0</v>
      </c>
      <c r="E104" s="418">
        <f>VLOOKUP('Physical Effects'!H108,Lookup!$B$4:$C$14,2,FALSE)</f>
        <v>0</v>
      </c>
      <c r="F104" s="418">
        <f>VLOOKUP('Physical Effects'!J108,Lookup!$B$4:$C$14,2,FALSE)</f>
        <v>2</v>
      </c>
      <c r="G104" s="418">
        <f>VLOOKUP('Physical Effects'!L108,Lookup!$B$4:$C$14,2,FALSE)</f>
        <v>4</v>
      </c>
      <c r="H104" s="418">
        <f>VLOOKUP('Physical Effects'!N108,Lookup!$B$4:$C$14,2,FALSE)</f>
        <v>0</v>
      </c>
      <c r="I104" s="418">
        <f>VLOOKUP('Physical Effects'!P108,Lookup!$B$4:$C$14,2,FALSE)</f>
        <v>-2</v>
      </c>
      <c r="J104" s="418">
        <f>VLOOKUP('Physical Effects'!R108,Lookup!$B$4:$C$14,2,FALSE)</f>
        <v>-1</v>
      </c>
      <c r="K104" s="418">
        <f>VLOOKUP('Physical Effects'!T108,Lookup!$B$4:$C$14,2,FALSE)</f>
        <v>0</v>
      </c>
      <c r="L104" s="418">
        <f>VLOOKUP('Physical Effects'!V108,Lookup!$B$4:$C$14,2,FALSE)</f>
        <v>1</v>
      </c>
      <c r="M104" s="418">
        <f>VLOOKUP('Physical Effects'!X108,Lookup!$B$4:$C$14,2,FALSE)</f>
        <v>2</v>
      </c>
      <c r="N104" s="418">
        <f>VLOOKUP('Physical Effects'!Z108,Lookup!$B$4:$C$14,2,FALSE)</f>
        <v>2</v>
      </c>
      <c r="O104" s="418">
        <f>VLOOKUP('Physical Effects'!AB108,Lookup!$B$4:$C$14,2,FALSE)</f>
        <v>2</v>
      </c>
      <c r="P104" s="418">
        <f>VLOOKUP('Physical Effects'!AD108,Lookup!$B$4:$C$14,2,FALSE)</f>
        <v>0</v>
      </c>
      <c r="Q104" s="418">
        <f>VLOOKUP('Physical Effects'!AF108,Lookup!$B$4:$C$14,2,FALSE)</f>
        <v>0</v>
      </c>
      <c r="R104" s="418">
        <f>VLOOKUP('Physical Effects'!AH108,Lookup!$B$4:$C$14,2,FALSE)</f>
        <v>2</v>
      </c>
      <c r="S104" s="418">
        <f>VLOOKUP('Physical Effects'!AJ108,Lookup!$B$4:$C$14,2,FALSE)</f>
        <v>1</v>
      </c>
      <c r="T104" s="418">
        <f>VLOOKUP('Physical Effects'!AL108,Lookup!$B$4:$C$14,2,FALSE)</f>
        <v>1</v>
      </c>
      <c r="U104" s="418">
        <f>VLOOKUP('Physical Effects'!AN108,Lookup!$B$4:$C$14,2,FALSE)</f>
        <v>1</v>
      </c>
      <c r="V104" s="418">
        <f>VLOOKUP('Physical Effects'!AP108,Lookup!$B$4:$C$14,2,FALSE)</f>
        <v>2</v>
      </c>
      <c r="W104" s="418">
        <f>VLOOKUP('Physical Effects'!AR108,Lookup!$B$4:$C$14,2,FALSE)</f>
        <v>0</v>
      </c>
      <c r="X104" s="418">
        <f>VLOOKUP('Physical Effects'!AT108,Lookup!$B$4:$C$14,2,FALSE)</f>
        <v>1</v>
      </c>
      <c r="Y104" s="418">
        <f>VLOOKUP('Physical Effects'!AV108,Lookup!$B$4:$C$14,2,FALSE)</f>
        <v>0</v>
      </c>
      <c r="Z104" s="418">
        <f>VLOOKUP('Physical Effects'!AX108,Lookup!$B$4:$C$14,2,FALSE)</f>
        <v>1</v>
      </c>
      <c r="AA104" s="418">
        <f>VLOOKUP('Physical Effects'!AZ108,Lookup!$B$4:$C$14,2,FALSE)</f>
        <v>1</v>
      </c>
      <c r="AB104" s="418">
        <f>VLOOKUP('Physical Effects'!BB108,Lookup!$B$4:$C$14,2,FALSE)</f>
        <v>0</v>
      </c>
      <c r="AC104" s="418">
        <f>VLOOKUP('Physical Effects'!BD108,Lookup!$B$4:$C$14,2,FALSE)</f>
        <v>1</v>
      </c>
      <c r="AD104" s="418">
        <f>VLOOKUP('Physical Effects'!BF108,Lookup!$B$4:$C$14,2,FALSE)</f>
        <v>1</v>
      </c>
      <c r="AE104" s="418">
        <f>VLOOKUP('Physical Effects'!BH108,Lookup!$B$4:$C$14,2,FALSE)</f>
        <v>0</v>
      </c>
      <c r="AF104" s="418">
        <f>VLOOKUP('Physical Effects'!BJ108,Lookup!$B$4:$C$14,2,FALSE)</f>
        <v>0</v>
      </c>
      <c r="AG104" s="418">
        <f>VLOOKUP('Physical Effects'!BL108,Lookup!$B$4:$C$14,2,FALSE)</f>
        <v>-1</v>
      </c>
      <c r="AH104" s="418">
        <f>VLOOKUP('Physical Effects'!BN108,Lookup!$B$4:$C$14,2,FALSE)</f>
        <v>0</v>
      </c>
      <c r="AI104" s="418">
        <f>VLOOKUP('Physical Effects'!BP108,Lookup!$B$4:$C$14,2,FALSE)</f>
        <v>4</v>
      </c>
      <c r="AJ104" s="418">
        <f>VLOOKUP('Physical Effects'!BR108,Lookup!$B$4:$C$14,2,FALSE)</f>
        <v>0</v>
      </c>
      <c r="AK104" s="418">
        <f>VLOOKUP('Physical Effects'!BT108,Lookup!$B$4:$C$14,2,FALSE)</f>
        <v>0</v>
      </c>
      <c r="AL104" s="418">
        <f>VLOOKUP('Physical Effects'!BV108,Lookup!$B$4:$C$14,2,FALSE)</f>
        <v>0</v>
      </c>
      <c r="AM104" s="418">
        <f>VLOOKUP('Physical Effects'!BX108,Lookup!$B$4:$C$14,2,FALSE)</f>
        <v>0</v>
      </c>
      <c r="AN104" s="418">
        <f>VLOOKUP('Physical Effects'!BZ108,Lookup!$B$4:$C$14,2,FALSE)</f>
        <v>0</v>
      </c>
      <c r="AO104" s="418">
        <f>VLOOKUP('Physical Effects'!CB108,Lookup!$B$4:$C$14,2,FALSE)</f>
        <v>0</v>
      </c>
      <c r="AP104" s="418">
        <f>VLOOKUP('Physical Effects'!CD108,Lookup!$B$4:$C$14,2,FALSE)</f>
        <v>0</v>
      </c>
      <c r="AQ104" s="418">
        <f>VLOOKUP('Physical Effects'!CF108,Lookup!$B$4:$C$14,2,FALSE)</f>
        <v>0</v>
      </c>
      <c r="AR104" s="418">
        <f>VLOOKUP('Physical Effects'!CH108,Lookup!$B$4:$C$14,2,FALSE)</f>
        <v>0</v>
      </c>
      <c r="AS104" s="418">
        <f>VLOOKUP('Physical Effects'!CJ108,Lookup!$B$4:$C$14,2,FALSE)</f>
        <v>0</v>
      </c>
      <c r="AT104" s="418">
        <f>VLOOKUP('Physical Effects'!CL108,Lookup!$B$4:$C$14,2,FALSE)</f>
        <v>0</v>
      </c>
      <c r="AU104" s="418">
        <f>VLOOKUP('Physical Effects'!CN108,Lookup!$B$4:$C$14,2,FALSE)</f>
        <v>0</v>
      </c>
      <c r="AV104" s="28"/>
      <c r="AW104" s="23"/>
      <c r="AX104" s="23"/>
      <c r="AY104" s="23"/>
      <c r="AZ104" s="23"/>
      <c r="BA104" s="23"/>
      <c r="BB104" s="23"/>
      <c r="BC104" s="23"/>
      <c r="BD104" s="23"/>
      <c r="BE104" s="23"/>
      <c r="BF104" s="23"/>
    </row>
    <row r="105" spans="1:58" s="5" customFormat="1" ht="13.5" thickBot="1" x14ac:dyDescent="0.25">
      <c r="A105" s="123">
        <f t="shared" si="1"/>
        <v>104</v>
      </c>
      <c r="B105" s="19" t="str">
        <f>+'Physical Effects'!B109</f>
        <v>Prescribed Burning</v>
      </c>
      <c r="C105" s="32">
        <f>+'Physical Effects'!D109</f>
        <v>338</v>
      </c>
      <c r="D105" s="418">
        <f>VLOOKUP('Physical Effects'!F109,Lookup!$B$4:$C$14,2,FALSE)</f>
        <v>2</v>
      </c>
      <c r="E105" s="418">
        <f>VLOOKUP('Physical Effects'!H109,Lookup!$B$4:$C$14,2,FALSE)</f>
        <v>2</v>
      </c>
      <c r="F105" s="418">
        <f>VLOOKUP('Physical Effects'!J109,Lookup!$B$4:$C$14,2,FALSE)</f>
        <v>1</v>
      </c>
      <c r="G105" s="418">
        <f>VLOOKUP('Physical Effects'!L109,Lookup!$B$4:$C$14,2,FALSE)</f>
        <v>1</v>
      </c>
      <c r="H105" s="418">
        <f>VLOOKUP('Physical Effects'!N109,Lookup!$B$4:$C$14,2,FALSE)</f>
        <v>1</v>
      </c>
      <c r="I105" s="418">
        <f>VLOOKUP('Physical Effects'!P109,Lookup!$B$4:$C$14,2,FALSE)</f>
        <v>1</v>
      </c>
      <c r="J105" s="418">
        <f>VLOOKUP('Physical Effects'!R109,Lookup!$B$4:$C$14,2,FALSE)</f>
        <v>0</v>
      </c>
      <c r="K105" s="418">
        <f>VLOOKUP('Physical Effects'!T109,Lookup!$B$4:$C$14,2,FALSE)</f>
        <v>-1</v>
      </c>
      <c r="L105" s="418">
        <f>VLOOKUP('Physical Effects'!V109,Lookup!$B$4:$C$14,2,FALSE)</f>
        <v>-1</v>
      </c>
      <c r="M105" s="418">
        <f>VLOOKUP('Physical Effects'!X109,Lookup!$B$4:$C$14,2,FALSE)</f>
        <v>0</v>
      </c>
      <c r="N105" s="418">
        <f>VLOOKUP('Physical Effects'!Z109,Lookup!$B$4:$C$14,2,FALSE)</f>
        <v>1</v>
      </c>
      <c r="O105" s="418">
        <f>VLOOKUP('Physical Effects'!AB109,Lookup!$B$4:$C$14,2,FALSE)</f>
        <v>0</v>
      </c>
      <c r="P105" s="418">
        <f>VLOOKUP('Physical Effects'!AD109,Lookup!$B$4:$C$14,2,FALSE)</f>
        <v>0</v>
      </c>
      <c r="Q105" s="418">
        <f>VLOOKUP('Physical Effects'!AF109,Lookup!$B$4:$C$14,2,FALSE)</f>
        <v>0</v>
      </c>
      <c r="R105" s="418">
        <f>VLOOKUP('Physical Effects'!AH109,Lookup!$B$4:$C$14,2,FALSE)</f>
        <v>0</v>
      </c>
      <c r="S105" s="418">
        <f>VLOOKUP('Physical Effects'!AJ109,Lookup!$B$4:$C$14,2,FALSE)</f>
        <v>0</v>
      </c>
      <c r="T105" s="418">
        <f>VLOOKUP('Physical Effects'!AL109,Lookup!$B$4:$C$14,2,FALSE)</f>
        <v>0</v>
      </c>
      <c r="U105" s="418">
        <f>VLOOKUP('Physical Effects'!AN109,Lookup!$B$4:$C$14,2,FALSE)</f>
        <v>2</v>
      </c>
      <c r="V105" s="418">
        <f>VLOOKUP('Physical Effects'!AP109,Lookup!$B$4:$C$14,2,FALSE)</f>
        <v>1</v>
      </c>
      <c r="W105" s="418">
        <f>VLOOKUP('Physical Effects'!AR109,Lookup!$B$4:$C$14,2,FALSE)</f>
        <v>0</v>
      </c>
      <c r="X105" s="418">
        <f>VLOOKUP('Physical Effects'!AT109,Lookup!$B$4:$C$14,2,FALSE)</f>
        <v>0</v>
      </c>
      <c r="Y105" s="418">
        <f>VLOOKUP('Physical Effects'!AV109,Lookup!$B$4:$C$14,2,FALSE)</f>
        <v>0</v>
      </c>
      <c r="Z105" s="418">
        <f>VLOOKUP('Physical Effects'!AX109,Lookup!$B$4:$C$14,2,FALSE)</f>
        <v>0</v>
      </c>
      <c r="AA105" s="418">
        <f>VLOOKUP('Physical Effects'!AZ109,Lookup!$B$4:$C$14,2,FALSE)</f>
        <v>1</v>
      </c>
      <c r="AB105" s="418">
        <f>VLOOKUP('Physical Effects'!BB109,Lookup!$B$4:$C$14,2,FALSE)</f>
        <v>0</v>
      </c>
      <c r="AC105" s="418">
        <f>VLOOKUP('Physical Effects'!BD109,Lookup!$B$4:$C$14,2,FALSE)</f>
        <v>1</v>
      </c>
      <c r="AD105" s="418">
        <f>VLOOKUP('Physical Effects'!BF109,Lookup!$B$4:$C$14,2,FALSE)</f>
        <v>0</v>
      </c>
      <c r="AE105" s="418">
        <f>VLOOKUP('Physical Effects'!BH109,Lookup!$B$4:$C$14,2,FALSE)</f>
        <v>0</v>
      </c>
      <c r="AF105" s="418">
        <f>VLOOKUP('Physical Effects'!BJ109,Lookup!$B$4:$C$14,2,FALSE)</f>
        <v>0</v>
      </c>
      <c r="AG105" s="418">
        <f>VLOOKUP('Physical Effects'!BL109,Lookup!$B$4:$C$14,2,FALSE)</f>
        <v>2</v>
      </c>
      <c r="AH105" s="418">
        <f>VLOOKUP('Physical Effects'!BN109,Lookup!$B$4:$C$14,2,FALSE)</f>
        <v>-1</v>
      </c>
      <c r="AI105" s="418">
        <f>VLOOKUP('Physical Effects'!BP109,Lookup!$B$4:$C$14,2,FALSE)</f>
        <v>5</v>
      </c>
      <c r="AJ105" s="418">
        <f>VLOOKUP('Physical Effects'!BR109,Lookup!$B$4:$C$14,2,FALSE)</f>
        <v>4</v>
      </c>
      <c r="AK105" s="418">
        <f>VLOOKUP('Physical Effects'!BT109,Lookup!$B$4:$C$14,2,FALSE)</f>
        <v>4</v>
      </c>
      <c r="AL105" s="418">
        <f>VLOOKUP('Physical Effects'!BV109,Lookup!$B$4:$C$14,2,FALSE)</f>
        <v>5</v>
      </c>
      <c r="AM105" s="418">
        <f>VLOOKUP('Physical Effects'!BX109,Lookup!$B$4:$C$14,2,FALSE)</f>
        <v>2</v>
      </c>
      <c r="AN105" s="418">
        <f>VLOOKUP('Physical Effects'!BZ109,Lookup!$B$4:$C$14,2,FALSE)</f>
        <v>2</v>
      </c>
      <c r="AO105" s="418">
        <f>VLOOKUP('Physical Effects'!CB109,Lookup!$B$4:$C$14,2,FALSE)</f>
        <v>0</v>
      </c>
      <c r="AP105" s="418">
        <f>VLOOKUP('Physical Effects'!CD109,Lookup!$B$4:$C$14,2,FALSE)</f>
        <v>4</v>
      </c>
      <c r="AQ105" s="418">
        <f>VLOOKUP('Physical Effects'!CF109,Lookup!$B$4:$C$14,2,FALSE)</f>
        <v>5</v>
      </c>
      <c r="AR105" s="418">
        <f>VLOOKUP('Physical Effects'!CH109,Lookup!$B$4:$C$14,2,FALSE)</f>
        <v>-1</v>
      </c>
      <c r="AS105" s="418">
        <f>VLOOKUP('Physical Effects'!CJ109,Lookup!$B$4:$C$14,2,FALSE)</f>
        <v>0</v>
      </c>
      <c r="AT105" s="418">
        <f>VLOOKUP('Physical Effects'!CL109,Lookup!$B$4:$C$14,2,FALSE)</f>
        <v>0</v>
      </c>
      <c r="AU105" s="418">
        <f>VLOOKUP('Physical Effects'!CN109,Lookup!$B$4:$C$14,2,FALSE)</f>
        <v>1</v>
      </c>
      <c r="AV105" s="28"/>
      <c r="AW105" s="23"/>
      <c r="AX105" s="23"/>
      <c r="AY105" s="23"/>
      <c r="AZ105" s="23"/>
      <c r="BA105" s="23"/>
      <c r="BB105" s="23"/>
      <c r="BC105" s="23"/>
      <c r="BD105" s="23"/>
      <c r="BE105" s="23"/>
      <c r="BF105" s="23"/>
    </row>
    <row r="106" spans="1:58" s="5" customFormat="1" ht="13.5" thickBot="1" x14ac:dyDescent="0.25">
      <c r="A106" s="123">
        <f t="shared" si="1"/>
        <v>105</v>
      </c>
      <c r="B106" s="19" t="str">
        <f>+'Physical Effects'!B110</f>
        <v>Prescribed Grazing</v>
      </c>
      <c r="C106" s="32">
        <f>+'Physical Effects'!D110</f>
        <v>528</v>
      </c>
      <c r="D106" s="418">
        <f>VLOOKUP('Physical Effects'!F110,Lookup!$B$4:$C$14,2,FALSE)</f>
        <v>4</v>
      </c>
      <c r="E106" s="418">
        <f>VLOOKUP('Physical Effects'!H110,Lookup!$B$4:$C$14,2,FALSE)</f>
        <v>4</v>
      </c>
      <c r="F106" s="418">
        <f>VLOOKUP('Physical Effects'!J110,Lookup!$B$4:$C$14,2,FALSE)</f>
        <v>3</v>
      </c>
      <c r="G106" s="418">
        <f>VLOOKUP('Physical Effects'!L110,Lookup!$B$4:$C$14,2,FALSE)</f>
        <v>1</v>
      </c>
      <c r="H106" s="418">
        <f>VLOOKUP('Physical Effects'!N110,Lookup!$B$4:$C$14,2,FALSE)</f>
        <v>3</v>
      </c>
      <c r="I106" s="418">
        <f>VLOOKUP('Physical Effects'!P110,Lookup!$B$4:$C$14,2,FALSE)</f>
        <v>4</v>
      </c>
      <c r="J106" s="418">
        <f>VLOOKUP('Physical Effects'!R110,Lookup!$B$4:$C$14,2,FALSE)</f>
        <v>2</v>
      </c>
      <c r="K106" s="418">
        <f>VLOOKUP('Physical Effects'!T110,Lookup!$B$4:$C$14,2,FALSE)</f>
        <v>0</v>
      </c>
      <c r="L106" s="418">
        <f>VLOOKUP('Physical Effects'!V110,Lookup!$B$4:$C$14,2,FALSE)</f>
        <v>2</v>
      </c>
      <c r="M106" s="418">
        <f>VLOOKUP('Physical Effects'!X110,Lookup!$B$4:$C$14,2,FALSE)</f>
        <v>0</v>
      </c>
      <c r="N106" s="418">
        <f>VLOOKUP('Physical Effects'!Z110,Lookup!$B$4:$C$14,2,FALSE)</f>
        <v>1</v>
      </c>
      <c r="O106" s="418">
        <f>VLOOKUP('Physical Effects'!AB110,Lookup!$B$4:$C$14,2,FALSE)</f>
        <v>0</v>
      </c>
      <c r="P106" s="418">
        <f>VLOOKUP('Physical Effects'!AD110,Lookup!$B$4:$C$14,2,FALSE)</f>
        <v>0</v>
      </c>
      <c r="Q106" s="418">
        <f>VLOOKUP('Physical Effects'!AF110,Lookup!$B$4:$C$14,2,FALSE)</f>
        <v>0</v>
      </c>
      <c r="R106" s="418">
        <f>VLOOKUP('Physical Effects'!AH110,Lookup!$B$4:$C$14,2,FALSE)</f>
        <v>2</v>
      </c>
      <c r="S106" s="418">
        <f>VLOOKUP('Physical Effects'!AJ110,Lookup!$B$4:$C$14,2,FALSE)</f>
        <v>2</v>
      </c>
      <c r="T106" s="418">
        <f>VLOOKUP('Physical Effects'!AL110,Lookup!$B$4:$C$14,2,FALSE)</f>
        <v>1</v>
      </c>
      <c r="U106" s="418">
        <f>VLOOKUP('Physical Effects'!AN110,Lookup!$B$4:$C$14,2,FALSE)</f>
        <v>1</v>
      </c>
      <c r="V106" s="418">
        <f>VLOOKUP('Physical Effects'!AP110,Lookup!$B$4:$C$14,2,FALSE)</f>
        <v>1</v>
      </c>
      <c r="W106" s="418">
        <f>VLOOKUP('Physical Effects'!AR110,Lookup!$B$4:$C$14,2,FALSE)</f>
        <v>2</v>
      </c>
      <c r="X106" s="418">
        <f>VLOOKUP('Physical Effects'!AT110,Lookup!$B$4:$C$14,2,FALSE)</f>
        <v>1</v>
      </c>
      <c r="Y106" s="418">
        <f>VLOOKUP('Physical Effects'!AV110,Lookup!$B$4:$C$14,2,FALSE)</f>
        <v>1</v>
      </c>
      <c r="Z106" s="418">
        <f>VLOOKUP('Physical Effects'!AX110,Lookup!$B$4:$C$14,2,FALSE)</f>
        <v>1</v>
      </c>
      <c r="AA106" s="418">
        <f>VLOOKUP('Physical Effects'!AZ110,Lookup!$B$4:$C$14,2,FALSE)</f>
        <v>2</v>
      </c>
      <c r="AB106" s="418">
        <f>VLOOKUP('Physical Effects'!BB110,Lookup!$B$4:$C$14,2,FALSE)</f>
        <v>1</v>
      </c>
      <c r="AC106" s="418">
        <f>VLOOKUP('Physical Effects'!BD110,Lookup!$B$4:$C$14,2,FALSE)</f>
        <v>0</v>
      </c>
      <c r="AD106" s="418">
        <f>VLOOKUP('Physical Effects'!BF110,Lookup!$B$4:$C$14,2,FALSE)</f>
        <v>0</v>
      </c>
      <c r="AE106" s="418">
        <f>VLOOKUP('Physical Effects'!BH110,Lookup!$B$4:$C$14,2,FALSE)</f>
        <v>2</v>
      </c>
      <c r="AF106" s="418">
        <f>VLOOKUP('Physical Effects'!BJ110,Lookup!$B$4:$C$14,2,FALSE)</f>
        <v>0</v>
      </c>
      <c r="AG106" s="418">
        <f>VLOOKUP('Physical Effects'!BL110,Lookup!$B$4:$C$14,2,FALSE)</f>
        <v>2</v>
      </c>
      <c r="AH106" s="418">
        <f>VLOOKUP('Physical Effects'!BN110,Lookup!$B$4:$C$14,2,FALSE)</f>
        <v>1</v>
      </c>
      <c r="AI106" s="418">
        <f>VLOOKUP('Physical Effects'!BP110,Lookup!$B$4:$C$14,2,FALSE)</f>
        <v>5</v>
      </c>
      <c r="AJ106" s="418">
        <f>VLOOKUP('Physical Effects'!BR110,Lookup!$B$4:$C$14,2,FALSE)</f>
        <v>4</v>
      </c>
      <c r="AK106" s="418">
        <f>VLOOKUP('Physical Effects'!BT110,Lookup!$B$4:$C$14,2,FALSE)</f>
        <v>1</v>
      </c>
      <c r="AL106" s="418">
        <f>VLOOKUP('Physical Effects'!BV110,Lookup!$B$4:$C$14,2,FALSE)</f>
        <v>2</v>
      </c>
      <c r="AM106" s="418">
        <f>VLOOKUP('Physical Effects'!BX110,Lookup!$B$4:$C$14,2,FALSE)</f>
        <v>2</v>
      </c>
      <c r="AN106" s="418">
        <f>VLOOKUP('Physical Effects'!BZ110,Lookup!$B$4:$C$14,2,FALSE)</f>
        <v>2</v>
      </c>
      <c r="AO106" s="418">
        <f>VLOOKUP('Physical Effects'!CB110,Lookup!$B$4:$C$14,2,FALSE)</f>
        <v>0</v>
      </c>
      <c r="AP106" s="418">
        <f>VLOOKUP('Physical Effects'!CD110,Lookup!$B$4:$C$14,2,FALSE)</f>
        <v>4</v>
      </c>
      <c r="AQ106" s="418">
        <f>VLOOKUP('Physical Effects'!CF110,Lookup!$B$4:$C$14,2,FALSE)</f>
        <v>5</v>
      </c>
      <c r="AR106" s="418">
        <f>VLOOKUP('Physical Effects'!CH110,Lookup!$B$4:$C$14,2,FALSE)</f>
        <v>2</v>
      </c>
      <c r="AS106" s="418">
        <f>VLOOKUP('Physical Effects'!CJ110,Lookup!$B$4:$C$14,2,FALSE)</f>
        <v>0</v>
      </c>
      <c r="AT106" s="418">
        <f>VLOOKUP('Physical Effects'!CL110,Lookup!$B$4:$C$14,2,FALSE)</f>
        <v>0</v>
      </c>
      <c r="AU106" s="418">
        <f>VLOOKUP('Physical Effects'!CN110,Lookup!$B$4:$C$14,2,FALSE)</f>
        <v>0</v>
      </c>
      <c r="AV106" s="28"/>
      <c r="AW106" s="23"/>
      <c r="AX106" s="23"/>
      <c r="AY106" s="23"/>
      <c r="AZ106" s="23"/>
      <c r="BA106" s="23"/>
      <c r="BB106" s="23"/>
      <c r="BC106" s="23"/>
      <c r="BD106" s="23"/>
      <c r="BE106" s="23"/>
      <c r="BF106" s="23"/>
    </row>
    <row r="107" spans="1:58" s="17" customFormat="1" ht="13.5" thickBot="1" x14ac:dyDescent="0.25">
      <c r="A107" s="123">
        <f t="shared" si="1"/>
        <v>106</v>
      </c>
      <c r="B107" s="19" t="str">
        <f>+'Physical Effects'!B111</f>
        <v>Pumping Plant</v>
      </c>
      <c r="C107" s="32">
        <f>+'Physical Effects'!D111</f>
        <v>533</v>
      </c>
      <c r="D107" s="418">
        <f>VLOOKUP('Physical Effects'!F111,Lookup!$B$4:$C$14,2,FALSE)</f>
        <v>0</v>
      </c>
      <c r="E107" s="418">
        <f>VLOOKUP('Physical Effects'!H111,Lookup!$B$4:$C$14,2,FALSE)</f>
        <v>0</v>
      </c>
      <c r="F107" s="418">
        <f>VLOOKUP('Physical Effects'!J111,Lookup!$B$4:$C$14,2,FALSE)</f>
        <v>0</v>
      </c>
      <c r="G107" s="418">
        <f>VLOOKUP('Physical Effects'!L111,Lookup!$B$4:$C$14,2,FALSE)</f>
        <v>0</v>
      </c>
      <c r="H107" s="418">
        <f>VLOOKUP('Physical Effects'!N111,Lookup!$B$4:$C$14,2,FALSE)</f>
        <v>0</v>
      </c>
      <c r="I107" s="418">
        <f>VLOOKUP('Physical Effects'!P111,Lookup!$B$4:$C$14,2,FALSE)</f>
        <v>0</v>
      </c>
      <c r="J107" s="418">
        <f>VLOOKUP('Physical Effects'!R111,Lookup!$B$4:$C$14,2,FALSE)</f>
        <v>0</v>
      </c>
      <c r="K107" s="418">
        <f>VLOOKUP('Physical Effects'!T111,Lookup!$B$4:$C$14,2,FALSE)</f>
        <v>2</v>
      </c>
      <c r="L107" s="418">
        <f>VLOOKUP('Physical Effects'!V111,Lookup!$B$4:$C$14,2,FALSE)</f>
        <v>0</v>
      </c>
      <c r="M107" s="418">
        <f>VLOOKUP('Physical Effects'!X111,Lookup!$B$4:$C$14,2,FALSE)</f>
        <v>2</v>
      </c>
      <c r="N107" s="418">
        <f>VLOOKUP('Physical Effects'!Z111,Lookup!$B$4:$C$14,2,FALSE)</f>
        <v>2</v>
      </c>
      <c r="O107" s="418">
        <f>VLOOKUP('Physical Effects'!AB111,Lookup!$B$4:$C$14,2,FALSE)</f>
        <v>2</v>
      </c>
      <c r="P107" s="418">
        <f>VLOOKUP('Physical Effects'!AD111,Lookup!$B$4:$C$14,2,FALSE)</f>
        <v>0</v>
      </c>
      <c r="Q107" s="418">
        <f>VLOOKUP('Physical Effects'!AF111,Lookup!$B$4:$C$14,2,FALSE)</f>
        <v>2</v>
      </c>
      <c r="R107" s="418">
        <f>VLOOKUP('Physical Effects'!AH111,Lookup!$B$4:$C$14,2,FALSE)</f>
        <v>2</v>
      </c>
      <c r="S107" s="418">
        <f>VLOOKUP('Physical Effects'!AJ111,Lookup!$B$4:$C$14,2,FALSE)</f>
        <v>0</v>
      </c>
      <c r="T107" s="418">
        <f>VLOOKUP('Physical Effects'!AL111,Lookup!$B$4:$C$14,2,FALSE)</f>
        <v>0</v>
      </c>
      <c r="U107" s="418">
        <f>VLOOKUP('Physical Effects'!AN111,Lookup!$B$4:$C$14,2,FALSE)</f>
        <v>0</v>
      </c>
      <c r="V107" s="418">
        <f>VLOOKUP('Physical Effects'!AP111,Lookup!$B$4:$C$14,2,FALSE)</f>
        <v>0</v>
      </c>
      <c r="W107" s="418">
        <f>VLOOKUP('Physical Effects'!AR111,Lookup!$B$4:$C$14,2,FALSE)</f>
        <v>0</v>
      </c>
      <c r="X107" s="418">
        <f>VLOOKUP('Physical Effects'!AT111,Lookup!$B$4:$C$14,2,FALSE)</f>
        <v>0</v>
      </c>
      <c r="Y107" s="418">
        <f>VLOOKUP('Physical Effects'!AV111,Lookup!$B$4:$C$14,2,FALSE)</f>
        <v>0</v>
      </c>
      <c r="Z107" s="418">
        <f>VLOOKUP('Physical Effects'!AX111,Lookup!$B$4:$C$14,2,FALSE)</f>
        <v>0</v>
      </c>
      <c r="AA107" s="418">
        <f>VLOOKUP('Physical Effects'!AZ111,Lookup!$B$4:$C$14,2,FALSE)</f>
        <v>0</v>
      </c>
      <c r="AB107" s="418">
        <f>VLOOKUP('Physical Effects'!BB111,Lookup!$B$4:$C$14,2,FALSE)</f>
        <v>0</v>
      </c>
      <c r="AC107" s="418">
        <f>VLOOKUP('Physical Effects'!BD111,Lookup!$B$4:$C$14,2,FALSE)</f>
        <v>0</v>
      </c>
      <c r="AD107" s="418">
        <f>VLOOKUP('Physical Effects'!BF111,Lookup!$B$4:$C$14,2,FALSE)</f>
        <v>0</v>
      </c>
      <c r="AE107" s="418">
        <f>VLOOKUP('Physical Effects'!BH111,Lookup!$B$4:$C$14,2,FALSE)</f>
        <v>2</v>
      </c>
      <c r="AF107" s="418">
        <f>VLOOKUP('Physical Effects'!BJ111,Lookup!$B$4:$C$14,2,FALSE)</f>
        <v>2</v>
      </c>
      <c r="AG107" s="418">
        <f>VLOOKUP('Physical Effects'!BL111,Lookup!$B$4:$C$14,2,FALSE)</f>
        <v>2</v>
      </c>
      <c r="AH107" s="418">
        <f>VLOOKUP('Physical Effects'!BN111,Lookup!$B$4:$C$14,2,FALSE)</f>
        <v>0</v>
      </c>
      <c r="AI107" s="418">
        <f>VLOOKUP('Physical Effects'!BP111,Lookup!$B$4:$C$14,2,FALSE)</f>
        <v>2</v>
      </c>
      <c r="AJ107" s="418">
        <f>VLOOKUP('Physical Effects'!BR111,Lookup!$B$4:$C$14,2,FALSE)</f>
        <v>0</v>
      </c>
      <c r="AK107" s="418">
        <f>VLOOKUP('Physical Effects'!BT111,Lookup!$B$4:$C$14,2,FALSE)</f>
        <v>0</v>
      </c>
      <c r="AL107" s="418">
        <f>VLOOKUP('Physical Effects'!BV111,Lookup!$B$4:$C$14,2,FALSE)</f>
        <v>0</v>
      </c>
      <c r="AM107" s="418">
        <f>VLOOKUP('Physical Effects'!BX111,Lookup!$B$4:$C$14,2,FALSE)</f>
        <v>0</v>
      </c>
      <c r="AN107" s="418">
        <f>VLOOKUP('Physical Effects'!BZ111,Lookup!$B$4:$C$14,2,FALSE)</f>
        <v>0</v>
      </c>
      <c r="AO107" s="418">
        <f>VLOOKUP('Physical Effects'!CB111,Lookup!$B$4:$C$14,2,FALSE)</f>
        <v>0</v>
      </c>
      <c r="AP107" s="418">
        <f>VLOOKUP('Physical Effects'!CD111,Lookup!$B$4:$C$14,2,FALSE)</f>
        <v>0</v>
      </c>
      <c r="AQ107" s="418">
        <f>VLOOKUP('Physical Effects'!CF111,Lookup!$B$4:$C$14,2,FALSE)</f>
        <v>0</v>
      </c>
      <c r="AR107" s="418">
        <f>VLOOKUP('Physical Effects'!CH111,Lookup!$B$4:$C$14,2,FALSE)</f>
        <v>0</v>
      </c>
      <c r="AS107" s="418">
        <f>VLOOKUP('Physical Effects'!CJ111,Lookup!$B$4:$C$14,2,FALSE)</f>
        <v>5</v>
      </c>
      <c r="AT107" s="418">
        <f>VLOOKUP('Physical Effects'!CL111,Lookup!$B$4:$C$14,2,FALSE)</f>
        <v>4</v>
      </c>
      <c r="AU107" s="418">
        <f>VLOOKUP('Physical Effects'!CN111,Lookup!$B$4:$C$14,2,FALSE)</f>
        <v>2</v>
      </c>
      <c r="AV107" s="28"/>
      <c r="AW107" s="21"/>
      <c r="AX107" s="21"/>
      <c r="AY107" s="21"/>
      <c r="AZ107" s="21"/>
      <c r="BA107" s="21"/>
      <c r="BB107" s="21"/>
      <c r="BC107" s="21"/>
      <c r="BD107" s="21"/>
      <c r="BE107" s="21"/>
      <c r="BF107" s="21"/>
    </row>
    <row r="108" spans="1:58" s="5" customFormat="1" ht="13.5" thickBot="1" x14ac:dyDescent="0.25">
      <c r="A108" s="123">
        <f t="shared" si="1"/>
        <v>107</v>
      </c>
      <c r="B108" s="19" t="str">
        <f>+'Physical Effects'!B112</f>
        <v>Range Planting</v>
      </c>
      <c r="C108" s="32">
        <f>+'Physical Effects'!D112</f>
        <v>550</v>
      </c>
      <c r="D108" s="418">
        <f>VLOOKUP('Physical Effects'!F112,Lookup!$B$4:$C$14,2,FALSE)</f>
        <v>4</v>
      </c>
      <c r="E108" s="418">
        <f>VLOOKUP('Physical Effects'!H112,Lookup!$B$4:$C$14,2,FALSE)</f>
        <v>4</v>
      </c>
      <c r="F108" s="418">
        <f>VLOOKUP('Physical Effects'!J112,Lookup!$B$4:$C$14,2,FALSE)</f>
        <v>4</v>
      </c>
      <c r="G108" s="418">
        <f>VLOOKUP('Physical Effects'!L112,Lookup!$B$4:$C$14,2,FALSE)</f>
        <v>2</v>
      </c>
      <c r="H108" s="418">
        <f>VLOOKUP('Physical Effects'!N112,Lookup!$B$4:$C$14,2,FALSE)</f>
        <v>2</v>
      </c>
      <c r="I108" s="418">
        <f>VLOOKUP('Physical Effects'!P112,Lookup!$B$4:$C$14,2,FALSE)</f>
        <v>4</v>
      </c>
      <c r="J108" s="418">
        <f>VLOOKUP('Physical Effects'!R112,Lookup!$B$4:$C$14,2,FALSE)</f>
        <v>4</v>
      </c>
      <c r="K108" s="418">
        <f>VLOOKUP('Physical Effects'!T112,Lookup!$B$4:$C$14,2,FALSE)</f>
        <v>0</v>
      </c>
      <c r="L108" s="418">
        <f>VLOOKUP('Physical Effects'!V112,Lookup!$B$4:$C$14,2,FALSE)</f>
        <v>1</v>
      </c>
      <c r="M108" s="418">
        <f>VLOOKUP('Physical Effects'!X112,Lookup!$B$4:$C$14,2,FALSE)</f>
        <v>0</v>
      </c>
      <c r="N108" s="418">
        <f>VLOOKUP('Physical Effects'!Z112,Lookup!$B$4:$C$14,2,FALSE)</f>
        <v>0</v>
      </c>
      <c r="O108" s="418">
        <f>VLOOKUP('Physical Effects'!AB112,Lookup!$B$4:$C$14,2,FALSE)</f>
        <v>0</v>
      </c>
      <c r="P108" s="418">
        <f>VLOOKUP('Physical Effects'!AD112,Lookup!$B$4:$C$14,2,FALSE)</f>
        <v>1</v>
      </c>
      <c r="Q108" s="418">
        <f>VLOOKUP('Physical Effects'!AF112,Lookup!$B$4:$C$14,2,FALSE)</f>
        <v>0</v>
      </c>
      <c r="R108" s="418">
        <f>VLOOKUP('Physical Effects'!AH112,Lookup!$B$4:$C$14,2,FALSE)</f>
        <v>2</v>
      </c>
      <c r="S108" s="418">
        <f>VLOOKUP('Physical Effects'!AJ112,Lookup!$B$4:$C$14,2,FALSE)</f>
        <v>2</v>
      </c>
      <c r="T108" s="418">
        <f>VLOOKUP('Physical Effects'!AL112,Lookup!$B$4:$C$14,2,FALSE)</f>
        <v>2</v>
      </c>
      <c r="U108" s="418">
        <f>VLOOKUP('Physical Effects'!AN112,Lookup!$B$4:$C$14,2,FALSE)</f>
        <v>1</v>
      </c>
      <c r="V108" s="418">
        <f>VLOOKUP('Physical Effects'!AP112,Lookup!$B$4:$C$14,2,FALSE)</f>
        <v>1</v>
      </c>
      <c r="W108" s="418">
        <f>VLOOKUP('Physical Effects'!AR112,Lookup!$B$4:$C$14,2,FALSE)</f>
        <v>1</v>
      </c>
      <c r="X108" s="418">
        <f>VLOOKUP('Physical Effects'!AT112,Lookup!$B$4:$C$14,2,FALSE)</f>
        <v>1</v>
      </c>
      <c r="Y108" s="418">
        <f>VLOOKUP('Physical Effects'!AV112,Lookup!$B$4:$C$14,2,FALSE)</f>
        <v>1</v>
      </c>
      <c r="Z108" s="418">
        <f>VLOOKUP('Physical Effects'!AX112,Lookup!$B$4:$C$14,2,FALSE)</f>
        <v>1</v>
      </c>
      <c r="AA108" s="418">
        <f>VLOOKUP('Physical Effects'!AZ112,Lookup!$B$4:$C$14,2,FALSE)</f>
        <v>2</v>
      </c>
      <c r="AB108" s="418">
        <f>VLOOKUP('Physical Effects'!BB112,Lookup!$B$4:$C$14,2,FALSE)</f>
        <v>1</v>
      </c>
      <c r="AC108" s="418">
        <f>VLOOKUP('Physical Effects'!BD112,Lookup!$B$4:$C$14,2,FALSE)</f>
        <v>2</v>
      </c>
      <c r="AD108" s="418">
        <f>VLOOKUP('Physical Effects'!BF112,Lookup!$B$4:$C$14,2,FALSE)</f>
        <v>1</v>
      </c>
      <c r="AE108" s="418">
        <f>VLOOKUP('Physical Effects'!BH112,Lookup!$B$4:$C$14,2,FALSE)</f>
        <v>1</v>
      </c>
      <c r="AF108" s="418">
        <f>VLOOKUP('Physical Effects'!BJ112,Lookup!$B$4:$C$14,2,FALSE)</f>
        <v>0</v>
      </c>
      <c r="AG108" s="418">
        <f>VLOOKUP('Physical Effects'!BL112,Lookup!$B$4:$C$14,2,FALSE)</f>
        <v>2</v>
      </c>
      <c r="AH108" s="418">
        <f>VLOOKUP('Physical Effects'!BN112,Lookup!$B$4:$C$14,2,FALSE)</f>
        <v>0</v>
      </c>
      <c r="AI108" s="418">
        <f>VLOOKUP('Physical Effects'!BP112,Lookup!$B$4:$C$14,2,FALSE)</f>
        <v>5</v>
      </c>
      <c r="AJ108" s="418">
        <f>VLOOKUP('Physical Effects'!BR112,Lookup!$B$4:$C$14,2,FALSE)</f>
        <v>5</v>
      </c>
      <c r="AK108" s="418">
        <f>VLOOKUP('Physical Effects'!BT112,Lookup!$B$4:$C$14,2,FALSE)</f>
        <v>4</v>
      </c>
      <c r="AL108" s="418">
        <f>VLOOKUP('Physical Effects'!BV112,Lookup!$B$4:$C$14,2,FALSE)</f>
        <v>0</v>
      </c>
      <c r="AM108" s="418">
        <f>VLOOKUP('Physical Effects'!BX112,Lookup!$B$4:$C$14,2,FALSE)</f>
        <v>2</v>
      </c>
      <c r="AN108" s="418">
        <f>VLOOKUP('Physical Effects'!BZ112,Lookup!$B$4:$C$14,2,FALSE)</f>
        <v>2</v>
      </c>
      <c r="AO108" s="418">
        <f>VLOOKUP('Physical Effects'!CB112,Lookup!$B$4:$C$14,2,FALSE)</f>
        <v>0</v>
      </c>
      <c r="AP108" s="418">
        <f>VLOOKUP('Physical Effects'!CD112,Lookup!$B$4:$C$14,2,FALSE)</f>
        <v>4</v>
      </c>
      <c r="AQ108" s="418">
        <f>VLOOKUP('Physical Effects'!CF112,Lookup!$B$4:$C$14,2,FALSE)</f>
        <v>5</v>
      </c>
      <c r="AR108" s="418">
        <f>VLOOKUP('Physical Effects'!CH112,Lookup!$B$4:$C$14,2,FALSE)</f>
        <v>0</v>
      </c>
      <c r="AS108" s="418">
        <f>VLOOKUP('Physical Effects'!CJ112,Lookup!$B$4:$C$14,2,FALSE)</f>
        <v>0</v>
      </c>
      <c r="AT108" s="418">
        <f>VLOOKUP('Physical Effects'!CL112,Lookup!$B$4:$C$14,2,FALSE)</f>
        <v>0</v>
      </c>
      <c r="AU108" s="418">
        <f>VLOOKUP('Physical Effects'!CN112,Lookup!$B$4:$C$14,2,FALSE)</f>
        <v>0</v>
      </c>
      <c r="AV108" s="28"/>
      <c r="AW108" s="23"/>
      <c r="AX108" s="23"/>
      <c r="AY108" s="23"/>
      <c r="AZ108" s="23"/>
      <c r="BA108" s="23"/>
      <c r="BB108" s="23"/>
      <c r="BC108" s="23"/>
      <c r="BD108" s="23"/>
      <c r="BE108" s="23"/>
      <c r="BF108" s="23"/>
    </row>
    <row r="109" spans="1:58" s="5" customFormat="1" ht="13.5" thickBot="1" x14ac:dyDescent="0.25">
      <c r="A109" s="123">
        <f t="shared" si="1"/>
        <v>108</v>
      </c>
      <c r="B109" s="19" t="str">
        <f>+'Physical Effects'!B113</f>
        <v>Recreation Area Improvement</v>
      </c>
      <c r="C109" s="32">
        <f>+'Physical Effects'!D113</f>
        <v>562</v>
      </c>
      <c r="D109" s="418">
        <f>VLOOKUP('Physical Effects'!F113,Lookup!$B$4:$C$14,2,FALSE)</f>
        <v>1</v>
      </c>
      <c r="E109" s="418">
        <f>VLOOKUP('Physical Effects'!H113,Lookup!$B$4:$C$14,2,FALSE)</f>
        <v>1</v>
      </c>
      <c r="F109" s="418">
        <f>VLOOKUP('Physical Effects'!J113,Lookup!$B$4:$C$14,2,FALSE)</f>
        <v>1</v>
      </c>
      <c r="G109" s="418">
        <f>VLOOKUP('Physical Effects'!L113,Lookup!$B$4:$C$14,2,FALSE)</f>
        <v>1</v>
      </c>
      <c r="H109" s="418">
        <f>VLOOKUP('Physical Effects'!N113,Lookup!$B$4:$C$14,2,FALSE)</f>
        <v>1</v>
      </c>
      <c r="I109" s="418">
        <f>VLOOKUP('Physical Effects'!P113,Lookup!$B$4:$C$14,2,FALSE)</f>
        <v>1</v>
      </c>
      <c r="J109" s="418">
        <f>VLOOKUP('Physical Effects'!R113,Lookup!$B$4:$C$14,2,FALSE)</f>
        <v>1</v>
      </c>
      <c r="K109" s="418">
        <f>VLOOKUP('Physical Effects'!T113,Lookup!$B$4:$C$14,2,FALSE)</f>
        <v>0</v>
      </c>
      <c r="L109" s="418">
        <f>VLOOKUP('Physical Effects'!V113,Lookup!$B$4:$C$14,2,FALSE)</f>
        <v>0</v>
      </c>
      <c r="M109" s="418">
        <f>VLOOKUP('Physical Effects'!X113,Lookup!$B$4:$C$14,2,FALSE)</f>
        <v>0</v>
      </c>
      <c r="N109" s="418">
        <f>VLOOKUP('Physical Effects'!Z113,Lookup!$B$4:$C$14,2,FALSE)</f>
        <v>1</v>
      </c>
      <c r="O109" s="418">
        <f>VLOOKUP('Physical Effects'!AB113,Lookup!$B$4:$C$14,2,FALSE)</f>
        <v>0</v>
      </c>
      <c r="P109" s="418">
        <f>VLOOKUP('Physical Effects'!AD113,Lookup!$B$4:$C$14,2,FALSE)</f>
        <v>0</v>
      </c>
      <c r="Q109" s="418">
        <f>VLOOKUP('Physical Effects'!AF113,Lookup!$B$4:$C$14,2,FALSE)</f>
        <v>0</v>
      </c>
      <c r="R109" s="418">
        <f>VLOOKUP('Physical Effects'!AH113,Lookup!$B$4:$C$14,2,FALSE)</f>
        <v>0</v>
      </c>
      <c r="S109" s="418">
        <f>VLOOKUP('Physical Effects'!AJ113,Lookup!$B$4:$C$14,2,FALSE)</f>
        <v>1</v>
      </c>
      <c r="T109" s="418">
        <f>VLOOKUP('Physical Effects'!AL113,Lookup!$B$4:$C$14,2,FALSE)</f>
        <v>1</v>
      </c>
      <c r="U109" s="418">
        <f>VLOOKUP('Physical Effects'!AN113,Lookup!$B$4:$C$14,2,FALSE)</f>
        <v>0</v>
      </c>
      <c r="V109" s="418">
        <f>VLOOKUP('Physical Effects'!AP113,Lookup!$B$4:$C$14,2,FALSE)</f>
        <v>0</v>
      </c>
      <c r="W109" s="418">
        <f>VLOOKUP('Physical Effects'!AR113,Lookup!$B$4:$C$14,2,FALSE)</f>
        <v>0</v>
      </c>
      <c r="X109" s="418">
        <f>VLOOKUP('Physical Effects'!AT113,Lookup!$B$4:$C$14,2,FALSE)</f>
        <v>0</v>
      </c>
      <c r="Y109" s="418">
        <f>VLOOKUP('Physical Effects'!AV113,Lookup!$B$4:$C$14,2,FALSE)</f>
        <v>0</v>
      </c>
      <c r="Z109" s="418">
        <f>VLOOKUP('Physical Effects'!AX113,Lookup!$B$4:$C$14,2,FALSE)</f>
        <v>0</v>
      </c>
      <c r="AA109" s="418">
        <f>VLOOKUP('Physical Effects'!AZ113,Lookup!$B$4:$C$14,2,FALSE)</f>
        <v>1</v>
      </c>
      <c r="AB109" s="418">
        <f>VLOOKUP('Physical Effects'!BB113,Lookup!$B$4:$C$14,2,FALSE)</f>
        <v>0</v>
      </c>
      <c r="AC109" s="418">
        <f>VLOOKUP('Physical Effects'!BD113,Lookup!$B$4:$C$14,2,FALSE)</f>
        <v>0</v>
      </c>
      <c r="AD109" s="418">
        <f>VLOOKUP('Physical Effects'!BF113,Lookup!$B$4:$C$14,2,FALSE)</f>
        <v>0</v>
      </c>
      <c r="AE109" s="418">
        <f>VLOOKUP('Physical Effects'!BH113,Lookup!$B$4:$C$14,2,FALSE)</f>
        <v>1</v>
      </c>
      <c r="AF109" s="418">
        <f>VLOOKUP('Physical Effects'!BJ113,Lookup!$B$4:$C$14,2,FALSE)</f>
        <v>0</v>
      </c>
      <c r="AG109" s="418">
        <f>VLOOKUP('Physical Effects'!BL113,Lookup!$B$4:$C$14,2,FALSE)</f>
        <v>2</v>
      </c>
      <c r="AH109" s="418">
        <f>VLOOKUP('Physical Effects'!BN113,Lookup!$B$4:$C$14,2,FALSE)</f>
        <v>0</v>
      </c>
      <c r="AI109" s="418">
        <f>VLOOKUP('Physical Effects'!BP113,Lookup!$B$4:$C$14,2,FALSE)</f>
        <v>1</v>
      </c>
      <c r="AJ109" s="418">
        <f>VLOOKUP('Physical Effects'!BR113,Lookup!$B$4:$C$14,2,FALSE)</f>
        <v>1</v>
      </c>
      <c r="AK109" s="418">
        <f>VLOOKUP('Physical Effects'!BT113,Lookup!$B$4:$C$14,2,FALSE)</f>
        <v>3</v>
      </c>
      <c r="AL109" s="418">
        <f>VLOOKUP('Physical Effects'!BV113,Lookup!$B$4:$C$14,2,FALSE)</f>
        <v>3</v>
      </c>
      <c r="AM109" s="418">
        <f>VLOOKUP('Physical Effects'!BX113,Lookup!$B$4:$C$14,2,FALSE)</f>
        <v>1</v>
      </c>
      <c r="AN109" s="418">
        <f>VLOOKUP('Physical Effects'!BZ113,Lookup!$B$4:$C$14,2,FALSE)</f>
        <v>1</v>
      </c>
      <c r="AO109" s="418">
        <f>VLOOKUP('Physical Effects'!CB113,Lookup!$B$4:$C$14,2,FALSE)</f>
        <v>0</v>
      </c>
      <c r="AP109" s="418">
        <f>VLOOKUP('Physical Effects'!CD113,Lookup!$B$4:$C$14,2,FALSE)</f>
        <v>-1</v>
      </c>
      <c r="AQ109" s="418">
        <f>VLOOKUP('Physical Effects'!CF113,Lookup!$B$4:$C$14,2,FALSE)</f>
        <v>0</v>
      </c>
      <c r="AR109" s="418">
        <f>VLOOKUP('Physical Effects'!CH113,Lookup!$B$4:$C$14,2,FALSE)</f>
        <v>0</v>
      </c>
      <c r="AS109" s="418">
        <f>VLOOKUP('Physical Effects'!CJ113,Lookup!$B$4:$C$14,2,FALSE)</f>
        <v>0</v>
      </c>
      <c r="AT109" s="418">
        <f>VLOOKUP('Physical Effects'!CL113,Lookup!$B$4:$C$14,2,FALSE)</f>
        <v>0</v>
      </c>
      <c r="AU109" s="418">
        <f>VLOOKUP('Physical Effects'!CN113,Lookup!$B$4:$C$14,2,FALSE)</f>
        <v>0</v>
      </c>
      <c r="AV109" s="28"/>
      <c r="AW109" s="23"/>
      <c r="AX109" s="23"/>
      <c r="AY109" s="23"/>
      <c r="AZ109" s="23"/>
      <c r="BA109" s="23"/>
      <c r="BB109" s="23"/>
      <c r="BC109" s="23"/>
      <c r="BD109" s="23"/>
      <c r="BE109" s="23"/>
      <c r="BF109" s="23"/>
    </row>
    <row r="110" spans="1:58" s="5" customFormat="1" ht="13.5" thickBot="1" x14ac:dyDescent="0.25">
      <c r="A110" s="123">
        <f t="shared" si="1"/>
        <v>109</v>
      </c>
      <c r="B110" s="19" t="str">
        <f>+'Physical Effects'!B114</f>
        <v>Recreation Land Grading and Shaping</v>
      </c>
      <c r="C110" s="32">
        <f>+'Physical Effects'!D114</f>
        <v>566</v>
      </c>
      <c r="D110" s="418">
        <f>VLOOKUP('Physical Effects'!F114,Lookup!$B$4:$C$14,2,FALSE)</f>
        <v>0</v>
      </c>
      <c r="E110" s="418">
        <f>VLOOKUP('Physical Effects'!H114,Lookup!$B$4:$C$14,2,FALSE)</f>
        <v>0</v>
      </c>
      <c r="F110" s="418">
        <f>VLOOKUP('Physical Effects'!J114,Lookup!$B$4:$C$14,2,FALSE)</f>
        <v>0</v>
      </c>
      <c r="G110" s="418">
        <f>VLOOKUP('Physical Effects'!L114,Lookup!$B$4:$C$14,2,FALSE)</f>
        <v>4</v>
      </c>
      <c r="H110" s="418">
        <f>VLOOKUP('Physical Effects'!N114,Lookup!$B$4:$C$14,2,FALSE)</f>
        <v>2</v>
      </c>
      <c r="I110" s="418">
        <f>VLOOKUP('Physical Effects'!P114,Lookup!$B$4:$C$14,2,FALSE)</f>
        <v>1</v>
      </c>
      <c r="J110" s="418">
        <f>VLOOKUP('Physical Effects'!R114,Lookup!$B$4:$C$14,2,FALSE)</f>
        <v>0</v>
      </c>
      <c r="K110" s="418">
        <f>VLOOKUP('Physical Effects'!T114,Lookup!$B$4:$C$14,2,FALSE)</f>
        <v>0</v>
      </c>
      <c r="L110" s="418">
        <f>VLOOKUP('Physical Effects'!V114,Lookup!$B$4:$C$14,2,FALSE)</f>
        <v>0</v>
      </c>
      <c r="M110" s="418">
        <f>VLOOKUP('Physical Effects'!X114,Lookup!$B$4:$C$14,2,FALSE)</f>
        <v>0</v>
      </c>
      <c r="N110" s="418">
        <f>VLOOKUP('Physical Effects'!Z114,Lookup!$B$4:$C$14,2,FALSE)</f>
        <v>2</v>
      </c>
      <c r="O110" s="418">
        <f>VLOOKUP('Physical Effects'!AB114,Lookup!$B$4:$C$14,2,FALSE)</f>
        <v>0</v>
      </c>
      <c r="P110" s="418">
        <f>VLOOKUP('Physical Effects'!AD114,Lookup!$B$4:$C$14,2,FALSE)</f>
        <v>0</v>
      </c>
      <c r="Q110" s="418">
        <f>VLOOKUP('Physical Effects'!AF114,Lookup!$B$4:$C$14,2,FALSE)</f>
        <v>0</v>
      </c>
      <c r="R110" s="418">
        <f>VLOOKUP('Physical Effects'!AH114,Lookup!$B$4:$C$14,2,FALSE)</f>
        <v>0</v>
      </c>
      <c r="S110" s="418">
        <f>VLOOKUP('Physical Effects'!AJ114,Lookup!$B$4:$C$14,2,FALSE)</f>
        <v>0</v>
      </c>
      <c r="T110" s="418">
        <f>VLOOKUP('Physical Effects'!AL114,Lookup!$B$4:$C$14,2,FALSE)</f>
        <v>0</v>
      </c>
      <c r="U110" s="418">
        <f>VLOOKUP('Physical Effects'!AN114,Lookup!$B$4:$C$14,2,FALSE)</f>
        <v>0</v>
      </c>
      <c r="V110" s="418">
        <f>VLOOKUP('Physical Effects'!AP114,Lookup!$B$4:$C$14,2,FALSE)</f>
        <v>0</v>
      </c>
      <c r="W110" s="418">
        <f>VLOOKUP('Physical Effects'!AR114,Lookup!$B$4:$C$14,2,FALSE)</f>
        <v>0</v>
      </c>
      <c r="X110" s="418">
        <f>VLOOKUP('Physical Effects'!AT114,Lookup!$B$4:$C$14,2,FALSE)</f>
        <v>0</v>
      </c>
      <c r="Y110" s="418">
        <f>VLOOKUP('Physical Effects'!AV114,Lookup!$B$4:$C$14,2,FALSE)</f>
        <v>0</v>
      </c>
      <c r="Z110" s="418">
        <f>VLOOKUP('Physical Effects'!AX114,Lookup!$B$4:$C$14,2,FALSE)</f>
        <v>0</v>
      </c>
      <c r="AA110" s="418">
        <f>VLOOKUP('Physical Effects'!AZ114,Lookup!$B$4:$C$14,2,FALSE)</f>
        <v>2</v>
      </c>
      <c r="AB110" s="418">
        <f>VLOOKUP('Physical Effects'!BB114,Lookup!$B$4:$C$14,2,FALSE)</f>
        <v>0</v>
      </c>
      <c r="AC110" s="418">
        <f>VLOOKUP('Physical Effects'!BD114,Lookup!$B$4:$C$14,2,FALSE)</f>
        <v>0</v>
      </c>
      <c r="AD110" s="418">
        <f>VLOOKUP('Physical Effects'!BF114,Lookup!$B$4:$C$14,2,FALSE)</f>
        <v>0</v>
      </c>
      <c r="AE110" s="418">
        <f>VLOOKUP('Physical Effects'!BH114,Lookup!$B$4:$C$14,2,FALSE)</f>
        <v>0</v>
      </c>
      <c r="AF110" s="418">
        <f>VLOOKUP('Physical Effects'!BJ114,Lookup!$B$4:$C$14,2,FALSE)</f>
        <v>0</v>
      </c>
      <c r="AG110" s="418">
        <f>VLOOKUP('Physical Effects'!BL114,Lookup!$B$4:$C$14,2,FALSE)</f>
        <v>-1</v>
      </c>
      <c r="AH110" s="418">
        <f>VLOOKUP('Physical Effects'!BN114,Lookup!$B$4:$C$14,2,FALSE)</f>
        <v>0</v>
      </c>
      <c r="AI110" s="418">
        <f>VLOOKUP('Physical Effects'!BP114,Lookup!$B$4:$C$14,2,FALSE)</f>
        <v>3</v>
      </c>
      <c r="AJ110" s="418">
        <f>VLOOKUP('Physical Effects'!BR114,Lookup!$B$4:$C$14,2,FALSE)</f>
        <v>0</v>
      </c>
      <c r="AK110" s="418">
        <f>VLOOKUP('Physical Effects'!BT114,Lookup!$B$4:$C$14,2,FALSE)</f>
        <v>4</v>
      </c>
      <c r="AL110" s="418">
        <f>VLOOKUP('Physical Effects'!BV114,Lookup!$B$4:$C$14,2,FALSE)</f>
        <v>0</v>
      </c>
      <c r="AM110" s="418">
        <f>VLOOKUP('Physical Effects'!BX114,Lookup!$B$4:$C$14,2,FALSE)</f>
        <v>-2</v>
      </c>
      <c r="AN110" s="418">
        <f>VLOOKUP('Physical Effects'!BZ114,Lookup!$B$4:$C$14,2,FALSE)</f>
        <v>-2</v>
      </c>
      <c r="AO110" s="418">
        <f>VLOOKUP('Physical Effects'!CB114,Lookup!$B$4:$C$14,2,FALSE)</f>
        <v>0</v>
      </c>
      <c r="AP110" s="418">
        <f>VLOOKUP('Physical Effects'!CD114,Lookup!$B$4:$C$14,2,FALSE)</f>
        <v>-2</v>
      </c>
      <c r="AQ110" s="418">
        <f>VLOOKUP('Physical Effects'!CF114,Lookup!$B$4:$C$14,2,FALSE)</f>
        <v>0</v>
      </c>
      <c r="AR110" s="418">
        <f>VLOOKUP('Physical Effects'!CH114,Lookup!$B$4:$C$14,2,FALSE)</f>
        <v>0</v>
      </c>
      <c r="AS110" s="418">
        <f>VLOOKUP('Physical Effects'!CJ114,Lookup!$B$4:$C$14,2,FALSE)</f>
        <v>0</v>
      </c>
      <c r="AT110" s="418">
        <f>VLOOKUP('Physical Effects'!CL114,Lookup!$B$4:$C$14,2,FALSE)</f>
        <v>0</v>
      </c>
      <c r="AU110" s="418">
        <f>VLOOKUP('Physical Effects'!CN114,Lookup!$B$4:$C$14,2,FALSE)</f>
        <v>0</v>
      </c>
      <c r="AV110" s="28"/>
      <c r="AW110" s="23"/>
      <c r="AX110" s="23"/>
      <c r="AY110" s="23"/>
      <c r="AZ110" s="23"/>
      <c r="BA110" s="23"/>
      <c r="BB110" s="23"/>
      <c r="BC110" s="23"/>
      <c r="BD110" s="23"/>
      <c r="BE110" s="23"/>
      <c r="BF110" s="23"/>
    </row>
    <row r="111" spans="1:58" s="5" customFormat="1" ht="13.5" thickBot="1" x14ac:dyDescent="0.25">
      <c r="A111" s="123">
        <f t="shared" si="1"/>
        <v>110</v>
      </c>
      <c r="B111" s="19" t="str">
        <f>+'Physical Effects'!B115</f>
        <v>Residue and Tillage Management, No Till</v>
      </c>
      <c r="C111" s="32">
        <f>+'Physical Effects'!D115</f>
        <v>329</v>
      </c>
      <c r="D111" s="418">
        <f>VLOOKUP('Physical Effects'!F115,Lookup!$B$4:$C$14,2,FALSE)</f>
        <v>4</v>
      </c>
      <c r="E111" s="418">
        <f>VLOOKUP('Physical Effects'!H115,Lookup!$B$4:$C$14,2,FALSE)</f>
        <v>5</v>
      </c>
      <c r="F111" s="418">
        <f>VLOOKUP('Physical Effects'!J115,Lookup!$B$4:$C$14,2,FALSE)</f>
        <v>0</v>
      </c>
      <c r="G111" s="418">
        <f>VLOOKUP('Physical Effects'!L115,Lookup!$B$4:$C$14,2,FALSE)</f>
        <v>0</v>
      </c>
      <c r="H111" s="418">
        <f>VLOOKUP('Physical Effects'!N115,Lookup!$B$4:$C$14,2,FALSE)</f>
        <v>0</v>
      </c>
      <c r="I111" s="418">
        <f>VLOOKUP('Physical Effects'!P115,Lookup!$B$4:$C$14,2,FALSE)</f>
        <v>2</v>
      </c>
      <c r="J111" s="418">
        <f>VLOOKUP('Physical Effects'!R115,Lookup!$B$4:$C$14,2,FALSE)</f>
        <v>2</v>
      </c>
      <c r="K111" s="418">
        <f>VLOOKUP('Physical Effects'!T115,Lookup!$B$4:$C$14,2,FALSE)</f>
        <v>0</v>
      </c>
      <c r="L111" s="418">
        <f>VLOOKUP('Physical Effects'!V115,Lookup!$B$4:$C$14,2,FALSE)</f>
        <v>0</v>
      </c>
      <c r="M111" s="418">
        <f>VLOOKUP('Physical Effects'!X115,Lookup!$B$4:$C$14,2,FALSE)</f>
        <v>-1</v>
      </c>
      <c r="N111" s="418">
        <f>VLOOKUP('Physical Effects'!Z115,Lookup!$B$4:$C$14,2,FALSE)</f>
        <v>2</v>
      </c>
      <c r="O111" s="418">
        <f>VLOOKUP('Physical Effects'!AB115,Lookup!$B$4:$C$14,2,FALSE)</f>
        <v>-1</v>
      </c>
      <c r="P111" s="418">
        <f>VLOOKUP('Physical Effects'!AD115,Lookup!$B$4:$C$14,2,FALSE)</f>
        <v>0</v>
      </c>
      <c r="Q111" s="418">
        <f>VLOOKUP('Physical Effects'!AF115,Lookup!$B$4:$C$14,2,FALSE)</f>
        <v>2</v>
      </c>
      <c r="R111" s="418">
        <f>VLOOKUP('Physical Effects'!AH115,Lookup!$B$4:$C$14,2,FALSE)</f>
        <v>2</v>
      </c>
      <c r="S111" s="418">
        <f>VLOOKUP('Physical Effects'!AJ115,Lookup!$B$4:$C$14,2,FALSE)</f>
        <v>4</v>
      </c>
      <c r="T111" s="418">
        <f>VLOOKUP('Physical Effects'!AL115,Lookup!$B$4:$C$14,2,FALSE)</f>
        <v>0</v>
      </c>
      <c r="U111" s="418">
        <f>VLOOKUP('Physical Effects'!AN115,Lookup!$B$4:$C$14,2,FALSE)</f>
        <v>2</v>
      </c>
      <c r="V111" s="418">
        <f>VLOOKUP('Physical Effects'!AP115,Lookup!$B$4:$C$14,2,FALSE)</f>
        <v>-1</v>
      </c>
      <c r="W111" s="418">
        <f>VLOOKUP('Physical Effects'!AR115,Lookup!$B$4:$C$14,2,FALSE)</f>
        <v>0</v>
      </c>
      <c r="X111" s="418">
        <f>VLOOKUP('Physical Effects'!AT115,Lookup!$B$4:$C$14,2,FALSE)</f>
        <v>0</v>
      </c>
      <c r="Y111" s="418">
        <f>VLOOKUP('Physical Effects'!AV115,Lookup!$B$4:$C$14,2,FALSE)</f>
        <v>1</v>
      </c>
      <c r="Z111" s="418">
        <f>VLOOKUP('Physical Effects'!AX115,Lookup!$B$4:$C$14,2,FALSE)</f>
        <v>0</v>
      </c>
      <c r="AA111" s="418">
        <f>VLOOKUP('Physical Effects'!AZ115,Lookup!$B$4:$C$14,2,FALSE)</f>
        <v>4</v>
      </c>
      <c r="AB111" s="418">
        <f>VLOOKUP('Physical Effects'!BB115,Lookup!$B$4:$C$14,2,FALSE)</f>
        <v>0</v>
      </c>
      <c r="AC111" s="418">
        <f>VLOOKUP('Physical Effects'!BD115,Lookup!$B$4:$C$14,2,FALSE)</f>
        <v>0</v>
      </c>
      <c r="AD111" s="418">
        <f>VLOOKUP('Physical Effects'!BF115,Lookup!$B$4:$C$14,2,FALSE)</f>
        <v>0</v>
      </c>
      <c r="AE111" s="418">
        <f>VLOOKUP('Physical Effects'!BH115,Lookup!$B$4:$C$14,2,FALSE)</f>
        <v>5</v>
      </c>
      <c r="AF111" s="418">
        <f>VLOOKUP('Physical Effects'!BJ115,Lookup!$B$4:$C$14,2,FALSE)</f>
        <v>2</v>
      </c>
      <c r="AG111" s="418">
        <f>VLOOKUP('Physical Effects'!BL115,Lookup!$B$4:$C$14,2,FALSE)</f>
        <v>4</v>
      </c>
      <c r="AH111" s="418">
        <f>VLOOKUP('Physical Effects'!BN115,Lookup!$B$4:$C$14,2,FALSE)</f>
        <v>0</v>
      </c>
      <c r="AI111" s="418">
        <f>VLOOKUP('Physical Effects'!BP115,Lookup!$B$4:$C$14,2,FALSE)</f>
        <v>2</v>
      </c>
      <c r="AJ111" s="418">
        <f>VLOOKUP('Physical Effects'!BR115,Lookup!$B$4:$C$14,2,FALSE)</f>
        <v>0</v>
      </c>
      <c r="AK111" s="418">
        <f>VLOOKUP('Physical Effects'!BT115,Lookup!$B$4:$C$14,2,FALSE)</f>
        <v>0</v>
      </c>
      <c r="AL111" s="418">
        <f>VLOOKUP('Physical Effects'!BV115,Lookup!$B$4:$C$14,2,FALSE)</f>
        <v>0</v>
      </c>
      <c r="AM111" s="418">
        <f>VLOOKUP('Physical Effects'!BX115,Lookup!$B$4:$C$14,2,FALSE)</f>
        <v>2</v>
      </c>
      <c r="AN111" s="418">
        <f>VLOOKUP('Physical Effects'!BZ115,Lookup!$B$4:$C$14,2,FALSE)</f>
        <v>2</v>
      </c>
      <c r="AO111" s="418">
        <f>VLOOKUP('Physical Effects'!CB115,Lookup!$B$4:$C$14,2,FALSE)</f>
        <v>0</v>
      </c>
      <c r="AP111" s="418">
        <f>VLOOKUP('Physical Effects'!CD115,Lookup!$B$4:$C$14,2,FALSE)</f>
        <v>1</v>
      </c>
      <c r="AQ111" s="418">
        <f>VLOOKUP('Physical Effects'!CF115,Lookup!$B$4:$C$14,2,FALSE)</f>
        <v>0</v>
      </c>
      <c r="AR111" s="418">
        <f>VLOOKUP('Physical Effects'!CH115,Lookup!$B$4:$C$14,2,FALSE)</f>
        <v>0</v>
      </c>
      <c r="AS111" s="418">
        <f>VLOOKUP('Physical Effects'!CJ115,Lookup!$B$4:$C$14,2,FALSE)</f>
        <v>0</v>
      </c>
      <c r="AT111" s="418">
        <f>VLOOKUP('Physical Effects'!CL115,Lookup!$B$4:$C$14,2,FALSE)</f>
        <v>4</v>
      </c>
      <c r="AU111" s="418">
        <f>VLOOKUP('Physical Effects'!CN115,Lookup!$B$4:$C$14,2,FALSE)</f>
        <v>4</v>
      </c>
      <c r="AV111" s="28"/>
      <c r="AW111" s="25"/>
      <c r="AX111" s="23"/>
      <c r="AY111" s="23"/>
      <c r="AZ111" s="23"/>
      <c r="BA111" s="23"/>
      <c r="BB111" s="23"/>
      <c r="BC111" s="23"/>
      <c r="BD111" s="23"/>
      <c r="BE111" s="23"/>
      <c r="BF111" s="23"/>
    </row>
    <row r="112" spans="1:58" s="5" customFormat="1" ht="13.5" thickBot="1" x14ac:dyDescent="0.25">
      <c r="A112" s="123">
        <f t="shared" si="1"/>
        <v>111</v>
      </c>
      <c r="B112" s="19" t="str">
        <f>+'Physical Effects'!B116</f>
        <v>Residue and Tillage Management, Reduced Till</v>
      </c>
      <c r="C112" s="32">
        <f>+'Physical Effects'!D116</f>
        <v>345</v>
      </c>
      <c r="D112" s="418">
        <f>VLOOKUP('Physical Effects'!F116,Lookup!$B$4:$C$14,2,FALSE)</f>
        <v>4</v>
      </c>
      <c r="E112" s="418">
        <f>VLOOKUP('Physical Effects'!H116,Lookup!$B$4:$C$14,2,FALSE)</f>
        <v>4</v>
      </c>
      <c r="F112" s="418">
        <f>VLOOKUP('Physical Effects'!J116,Lookup!$B$4:$C$14,2,FALSE)</f>
        <v>0</v>
      </c>
      <c r="G112" s="418">
        <f>VLOOKUP('Physical Effects'!L116,Lookup!$B$4:$C$14,2,FALSE)</f>
        <v>0</v>
      </c>
      <c r="H112" s="418">
        <f>VLOOKUP('Physical Effects'!N116,Lookup!$B$4:$C$14,2,FALSE)</f>
        <v>0</v>
      </c>
      <c r="I112" s="418">
        <f>VLOOKUP('Physical Effects'!P116,Lookup!$B$4:$C$14,2,FALSE)</f>
        <v>2</v>
      </c>
      <c r="J112" s="418">
        <f>VLOOKUP('Physical Effects'!R116,Lookup!$B$4:$C$14,2,FALSE)</f>
        <v>1</v>
      </c>
      <c r="K112" s="418">
        <f>VLOOKUP('Physical Effects'!T116,Lookup!$B$4:$C$14,2,FALSE)</f>
        <v>0</v>
      </c>
      <c r="L112" s="418">
        <f>VLOOKUP('Physical Effects'!V116,Lookup!$B$4:$C$14,2,FALSE)</f>
        <v>0</v>
      </c>
      <c r="M112" s="418">
        <f>VLOOKUP('Physical Effects'!X116,Lookup!$B$4:$C$14,2,FALSE)</f>
        <v>0</v>
      </c>
      <c r="N112" s="418">
        <f>VLOOKUP('Physical Effects'!Z116,Lookup!$B$4:$C$14,2,FALSE)</f>
        <v>1</v>
      </c>
      <c r="O112" s="418">
        <f>VLOOKUP('Physical Effects'!AB116,Lookup!$B$4:$C$14,2,FALSE)</f>
        <v>0</v>
      </c>
      <c r="P112" s="418">
        <f>VLOOKUP('Physical Effects'!AD116,Lookup!$B$4:$C$14,2,FALSE)</f>
        <v>0</v>
      </c>
      <c r="Q112" s="418">
        <f>VLOOKUP('Physical Effects'!AF116,Lookup!$B$4:$C$14,2,FALSE)</f>
        <v>1</v>
      </c>
      <c r="R112" s="418">
        <f>VLOOKUP('Physical Effects'!AH116,Lookup!$B$4:$C$14,2,FALSE)</f>
        <v>2</v>
      </c>
      <c r="S112" s="418">
        <f>VLOOKUP('Physical Effects'!AJ116,Lookup!$B$4:$C$14,2,FALSE)</f>
        <v>4</v>
      </c>
      <c r="T112" s="418">
        <f>VLOOKUP('Physical Effects'!AL116,Lookup!$B$4:$C$14,2,FALSE)</f>
        <v>0</v>
      </c>
      <c r="U112" s="418">
        <f>VLOOKUP('Physical Effects'!AN116,Lookup!$B$4:$C$14,2,FALSE)</f>
        <v>2</v>
      </c>
      <c r="V112" s="418">
        <f>VLOOKUP('Physical Effects'!AP116,Lookup!$B$4:$C$14,2,FALSE)</f>
        <v>0</v>
      </c>
      <c r="W112" s="418">
        <f>VLOOKUP('Physical Effects'!AR116,Lookup!$B$4:$C$14,2,FALSE)</f>
        <v>1</v>
      </c>
      <c r="X112" s="418">
        <f>VLOOKUP('Physical Effects'!AT116,Lookup!$B$4:$C$14,2,FALSE)</f>
        <v>0</v>
      </c>
      <c r="Y112" s="418">
        <f>VLOOKUP('Physical Effects'!AV116,Lookup!$B$4:$C$14,2,FALSE)</f>
        <v>1</v>
      </c>
      <c r="Z112" s="418">
        <f>VLOOKUP('Physical Effects'!AX116,Lookup!$B$4:$C$14,2,FALSE)</f>
        <v>0</v>
      </c>
      <c r="AA112" s="418">
        <f>VLOOKUP('Physical Effects'!AZ116,Lookup!$B$4:$C$14,2,FALSE)</f>
        <v>3</v>
      </c>
      <c r="AB112" s="418">
        <f>VLOOKUP('Physical Effects'!BB116,Lookup!$B$4:$C$14,2,FALSE)</f>
        <v>0</v>
      </c>
      <c r="AC112" s="418">
        <f>VLOOKUP('Physical Effects'!BD116,Lookup!$B$4:$C$14,2,FALSE)</f>
        <v>0</v>
      </c>
      <c r="AD112" s="418">
        <f>VLOOKUP('Physical Effects'!BF116,Lookup!$B$4:$C$14,2,FALSE)</f>
        <v>0</v>
      </c>
      <c r="AE112" s="418">
        <f>VLOOKUP('Physical Effects'!BH116,Lookup!$B$4:$C$14,2,FALSE)</f>
        <v>4</v>
      </c>
      <c r="AF112" s="418">
        <f>VLOOKUP('Physical Effects'!BJ116,Lookup!$B$4:$C$14,2,FALSE)</f>
        <v>1</v>
      </c>
      <c r="AG112" s="418">
        <f>VLOOKUP('Physical Effects'!BL116,Lookup!$B$4:$C$14,2,FALSE)</f>
        <v>3</v>
      </c>
      <c r="AH112" s="418">
        <f>VLOOKUP('Physical Effects'!BN116,Lookup!$B$4:$C$14,2,FALSE)</f>
        <v>0</v>
      </c>
      <c r="AI112" s="418">
        <f>VLOOKUP('Physical Effects'!BP116,Lookup!$B$4:$C$14,2,FALSE)</f>
        <v>2</v>
      </c>
      <c r="AJ112" s="418">
        <f>VLOOKUP('Physical Effects'!BR116,Lookup!$B$4:$C$14,2,FALSE)</f>
        <v>0</v>
      </c>
      <c r="AK112" s="418">
        <f>VLOOKUP('Physical Effects'!BT116,Lookup!$B$4:$C$14,2,FALSE)</f>
        <v>0</v>
      </c>
      <c r="AL112" s="418">
        <f>VLOOKUP('Physical Effects'!BV116,Lookup!$B$4:$C$14,2,FALSE)</f>
        <v>0</v>
      </c>
      <c r="AM112" s="418">
        <f>VLOOKUP('Physical Effects'!BX116,Lookup!$B$4:$C$14,2,FALSE)</f>
        <v>2</v>
      </c>
      <c r="AN112" s="418">
        <f>VLOOKUP('Physical Effects'!BZ116,Lookup!$B$4:$C$14,2,FALSE)</f>
        <v>2</v>
      </c>
      <c r="AO112" s="418">
        <f>VLOOKUP('Physical Effects'!CB116,Lookup!$B$4:$C$14,2,FALSE)</f>
        <v>0</v>
      </c>
      <c r="AP112" s="418">
        <f>VLOOKUP('Physical Effects'!CD116,Lookup!$B$4:$C$14,2,FALSE)</f>
        <v>1</v>
      </c>
      <c r="AQ112" s="418">
        <f>VLOOKUP('Physical Effects'!CF116,Lookup!$B$4:$C$14,2,FALSE)</f>
        <v>0</v>
      </c>
      <c r="AR112" s="418">
        <f>VLOOKUP('Physical Effects'!CH116,Lookup!$B$4:$C$14,2,FALSE)</f>
        <v>0</v>
      </c>
      <c r="AS112" s="418">
        <f>VLOOKUP('Physical Effects'!CJ116,Lookup!$B$4:$C$14,2,FALSE)</f>
        <v>0</v>
      </c>
      <c r="AT112" s="418">
        <f>VLOOKUP('Physical Effects'!CL116,Lookup!$B$4:$C$14,2,FALSE)</f>
        <v>2</v>
      </c>
      <c r="AU112" s="418">
        <f>VLOOKUP('Physical Effects'!CN116,Lookup!$B$4:$C$14,2,FALSE)</f>
        <v>2</v>
      </c>
      <c r="AV112" s="28"/>
      <c r="AW112" s="23"/>
      <c r="AX112" s="23"/>
      <c r="AY112" s="23"/>
      <c r="AZ112" s="23"/>
      <c r="BA112" s="23"/>
      <c r="BB112" s="23"/>
      <c r="BC112" s="23"/>
      <c r="BD112" s="23"/>
      <c r="BE112" s="23"/>
      <c r="BF112" s="23"/>
    </row>
    <row r="113" spans="1:58" s="5" customFormat="1" ht="13.5" thickBot="1" x14ac:dyDescent="0.25">
      <c r="A113" s="123">
        <f t="shared" si="1"/>
        <v>112</v>
      </c>
      <c r="B113" s="19" t="str">
        <f>+'Physical Effects'!B117</f>
        <v>Restoration and Management of Rare or Declining Habitats</v>
      </c>
      <c r="C113" s="32">
        <f>+'Physical Effects'!D117</f>
        <v>643</v>
      </c>
      <c r="D113" s="418">
        <f>VLOOKUP('Physical Effects'!F117,Lookup!$B$4:$C$14,2,FALSE)</f>
        <v>2</v>
      </c>
      <c r="E113" s="418">
        <f>VLOOKUP('Physical Effects'!H117,Lookup!$B$4:$C$14,2,FALSE)</f>
        <v>2</v>
      </c>
      <c r="F113" s="418">
        <f>VLOOKUP('Physical Effects'!J117,Lookup!$B$4:$C$14,2,FALSE)</f>
        <v>2</v>
      </c>
      <c r="G113" s="418">
        <f>VLOOKUP('Physical Effects'!L117,Lookup!$B$4:$C$14,2,FALSE)</f>
        <v>0</v>
      </c>
      <c r="H113" s="418">
        <f>VLOOKUP('Physical Effects'!N117,Lookup!$B$4:$C$14,2,FALSE)</f>
        <v>0</v>
      </c>
      <c r="I113" s="418">
        <f>VLOOKUP('Physical Effects'!P117,Lookup!$B$4:$C$14,2,FALSE)</f>
        <v>0</v>
      </c>
      <c r="J113" s="418">
        <f>VLOOKUP('Physical Effects'!R117,Lookup!$B$4:$C$14,2,FALSE)</f>
        <v>0</v>
      </c>
      <c r="K113" s="418">
        <f>VLOOKUP('Physical Effects'!T117,Lookup!$B$4:$C$14,2,FALSE)</f>
        <v>0</v>
      </c>
      <c r="L113" s="418">
        <f>VLOOKUP('Physical Effects'!V117,Lookup!$B$4:$C$14,2,FALSE)</f>
        <v>-1</v>
      </c>
      <c r="M113" s="418">
        <f>VLOOKUP('Physical Effects'!X117,Lookup!$B$4:$C$14,2,FALSE)</f>
        <v>0</v>
      </c>
      <c r="N113" s="418">
        <f>VLOOKUP('Physical Effects'!Z117,Lookup!$B$4:$C$14,2,FALSE)</f>
        <v>0</v>
      </c>
      <c r="O113" s="418">
        <f>VLOOKUP('Physical Effects'!AB117,Lookup!$B$4:$C$14,2,FALSE)</f>
        <v>0</v>
      </c>
      <c r="P113" s="418">
        <f>VLOOKUP('Physical Effects'!AD117,Lookup!$B$4:$C$14,2,FALSE)</f>
        <v>0</v>
      </c>
      <c r="Q113" s="418">
        <f>VLOOKUP('Physical Effects'!AF117,Lookup!$B$4:$C$14,2,FALSE)</f>
        <v>0</v>
      </c>
      <c r="R113" s="418">
        <f>VLOOKUP('Physical Effects'!AH117,Lookup!$B$4:$C$14,2,FALSE)</f>
        <v>0</v>
      </c>
      <c r="S113" s="418">
        <f>VLOOKUP('Physical Effects'!AJ117,Lookup!$B$4:$C$14,2,FALSE)</f>
        <v>0</v>
      </c>
      <c r="T113" s="418">
        <f>VLOOKUP('Physical Effects'!AL117,Lookup!$B$4:$C$14,2,FALSE)</f>
        <v>0</v>
      </c>
      <c r="U113" s="418">
        <f>VLOOKUP('Physical Effects'!AN117,Lookup!$B$4:$C$14,2,FALSE)</f>
        <v>0</v>
      </c>
      <c r="V113" s="418">
        <f>VLOOKUP('Physical Effects'!AP117,Lookup!$B$4:$C$14,2,FALSE)</f>
        <v>0</v>
      </c>
      <c r="W113" s="418">
        <f>VLOOKUP('Physical Effects'!AR117,Lookup!$B$4:$C$14,2,FALSE)</f>
        <v>0</v>
      </c>
      <c r="X113" s="418">
        <f>VLOOKUP('Physical Effects'!AT117,Lookup!$B$4:$C$14,2,FALSE)</f>
        <v>0</v>
      </c>
      <c r="Y113" s="418">
        <f>VLOOKUP('Physical Effects'!AV117,Lookup!$B$4:$C$14,2,FALSE)</f>
        <v>0</v>
      </c>
      <c r="Z113" s="418">
        <f>VLOOKUP('Physical Effects'!AX117,Lookup!$B$4:$C$14,2,FALSE)</f>
        <v>0</v>
      </c>
      <c r="AA113" s="418">
        <f>VLOOKUP('Physical Effects'!AZ117,Lookup!$B$4:$C$14,2,FALSE)</f>
        <v>2</v>
      </c>
      <c r="AB113" s="418">
        <f>VLOOKUP('Physical Effects'!BB117,Lookup!$B$4:$C$14,2,FALSE)</f>
        <v>2</v>
      </c>
      <c r="AC113" s="418">
        <f>VLOOKUP('Physical Effects'!BD117,Lookup!$B$4:$C$14,2,FALSE)</f>
        <v>0</v>
      </c>
      <c r="AD113" s="418">
        <f>VLOOKUP('Physical Effects'!BF117,Lookup!$B$4:$C$14,2,FALSE)</f>
        <v>0</v>
      </c>
      <c r="AE113" s="418">
        <f>VLOOKUP('Physical Effects'!BH117,Lookup!$B$4:$C$14,2,FALSE)</f>
        <v>0</v>
      </c>
      <c r="AF113" s="418">
        <f>VLOOKUP('Physical Effects'!BJ117,Lookup!$B$4:$C$14,2,FALSE)</f>
        <v>0</v>
      </c>
      <c r="AG113" s="418">
        <f>VLOOKUP('Physical Effects'!BL117,Lookup!$B$4:$C$14,2,FALSE)</f>
        <v>1</v>
      </c>
      <c r="AH113" s="418">
        <f>VLOOKUP('Physical Effects'!BN117,Lookup!$B$4:$C$14,2,FALSE)</f>
        <v>0</v>
      </c>
      <c r="AI113" s="418">
        <f>VLOOKUP('Physical Effects'!BP117,Lookup!$B$4:$C$14,2,FALSE)</f>
        <v>4</v>
      </c>
      <c r="AJ113" s="418">
        <f>VLOOKUP('Physical Effects'!BR117,Lookup!$B$4:$C$14,2,FALSE)</f>
        <v>4</v>
      </c>
      <c r="AK113" s="418">
        <f>VLOOKUP('Physical Effects'!BT117,Lookup!$B$4:$C$14,2,FALSE)</f>
        <v>4</v>
      </c>
      <c r="AL113" s="418">
        <f>VLOOKUP('Physical Effects'!BV117,Lookup!$B$4:$C$14,2,FALSE)</f>
        <v>0</v>
      </c>
      <c r="AM113" s="418">
        <f>VLOOKUP('Physical Effects'!BX117,Lookup!$B$4:$C$14,2,FALSE)</f>
        <v>4</v>
      </c>
      <c r="AN113" s="418">
        <f>VLOOKUP('Physical Effects'!BZ117,Lookup!$B$4:$C$14,2,FALSE)</f>
        <v>4</v>
      </c>
      <c r="AO113" s="418">
        <f>VLOOKUP('Physical Effects'!CB117,Lookup!$B$4:$C$14,2,FALSE)</f>
        <v>4</v>
      </c>
      <c r="AP113" s="418">
        <f>VLOOKUP('Physical Effects'!CD117,Lookup!$B$4:$C$14,2,FALSE)</f>
        <v>4</v>
      </c>
      <c r="AQ113" s="418">
        <f>VLOOKUP('Physical Effects'!CF117,Lookup!$B$4:$C$14,2,FALSE)</f>
        <v>2</v>
      </c>
      <c r="AR113" s="418">
        <f>VLOOKUP('Physical Effects'!CH117,Lookup!$B$4:$C$14,2,FALSE)</f>
        <v>0</v>
      </c>
      <c r="AS113" s="418">
        <f>VLOOKUP('Physical Effects'!CJ117,Lookup!$B$4:$C$14,2,FALSE)</f>
        <v>0</v>
      </c>
      <c r="AT113" s="418">
        <f>VLOOKUP('Physical Effects'!CL117,Lookup!$B$4:$C$14,2,FALSE)</f>
        <v>0</v>
      </c>
      <c r="AU113" s="418">
        <f>VLOOKUP('Physical Effects'!CN117,Lookup!$B$4:$C$14,2,FALSE)</f>
        <v>0</v>
      </c>
      <c r="AV113" s="28"/>
      <c r="AW113" s="23"/>
      <c r="AX113" s="23"/>
      <c r="AY113" s="23"/>
      <c r="AZ113" s="23"/>
      <c r="BA113" s="23"/>
      <c r="BB113" s="23"/>
      <c r="BC113" s="23"/>
      <c r="BD113" s="23"/>
      <c r="BE113" s="23"/>
      <c r="BF113" s="23"/>
    </row>
    <row r="114" spans="1:58" s="5" customFormat="1" ht="13.5" thickBot="1" x14ac:dyDescent="0.25">
      <c r="A114" s="123">
        <f t="shared" si="1"/>
        <v>113</v>
      </c>
      <c r="B114" s="19" t="str">
        <f>+'Physical Effects'!B118</f>
        <v>Riparian Forest Buffer</v>
      </c>
      <c r="C114" s="32">
        <f>+'Physical Effects'!D118</f>
        <v>391</v>
      </c>
      <c r="D114" s="418">
        <f>VLOOKUP('Physical Effects'!F118,Lookup!$B$4:$C$14,2,FALSE)</f>
        <v>3</v>
      </c>
      <c r="E114" s="418">
        <f>VLOOKUP('Physical Effects'!H118,Lookup!$B$4:$C$14,2,FALSE)</f>
        <v>2</v>
      </c>
      <c r="F114" s="418">
        <f>VLOOKUP('Physical Effects'!J118,Lookup!$B$4:$C$14,2,FALSE)</f>
        <v>1</v>
      </c>
      <c r="G114" s="418">
        <f>VLOOKUP('Physical Effects'!L118,Lookup!$B$4:$C$14,2,FALSE)</f>
        <v>3</v>
      </c>
      <c r="H114" s="418">
        <f>VLOOKUP('Physical Effects'!N118,Lookup!$B$4:$C$14,2,FALSE)</f>
        <v>4</v>
      </c>
      <c r="I114" s="418">
        <f>VLOOKUP('Physical Effects'!P118,Lookup!$B$4:$C$14,2,FALSE)</f>
        <v>4</v>
      </c>
      <c r="J114" s="418">
        <f>VLOOKUP('Physical Effects'!R118,Lookup!$B$4:$C$14,2,FALSE)</f>
        <v>2</v>
      </c>
      <c r="K114" s="418">
        <f>VLOOKUP('Physical Effects'!T118,Lookup!$B$4:$C$14,2,FALSE)</f>
        <v>0</v>
      </c>
      <c r="L114" s="418">
        <f>VLOOKUP('Physical Effects'!V118,Lookup!$B$4:$C$14,2,FALSE)</f>
        <v>1</v>
      </c>
      <c r="M114" s="418">
        <f>VLOOKUP('Physical Effects'!X118,Lookup!$B$4:$C$14,2,FALSE)</f>
        <v>1</v>
      </c>
      <c r="N114" s="418">
        <f>VLOOKUP('Physical Effects'!Z118,Lookup!$B$4:$C$14,2,FALSE)</f>
        <v>-1</v>
      </c>
      <c r="O114" s="418">
        <f>VLOOKUP('Physical Effects'!AB118,Lookup!$B$4:$C$14,2,FALSE)</f>
        <v>2</v>
      </c>
      <c r="P114" s="418">
        <f>VLOOKUP('Physical Effects'!AD118,Lookup!$B$4:$C$14,2,FALSE)</f>
        <v>0</v>
      </c>
      <c r="Q114" s="418">
        <f>VLOOKUP('Physical Effects'!AF118,Lookup!$B$4:$C$14,2,FALSE)</f>
        <v>0</v>
      </c>
      <c r="R114" s="418">
        <f>VLOOKUP('Physical Effects'!AH118,Lookup!$B$4:$C$14,2,FALSE)</f>
        <v>0</v>
      </c>
      <c r="S114" s="418">
        <f>VLOOKUP('Physical Effects'!AJ118,Lookup!$B$4:$C$14,2,FALSE)</f>
        <v>3</v>
      </c>
      <c r="T114" s="418">
        <f>VLOOKUP('Physical Effects'!AL118,Lookup!$B$4:$C$14,2,FALSE)</f>
        <v>1</v>
      </c>
      <c r="U114" s="418">
        <f>VLOOKUP('Physical Effects'!AN118,Lookup!$B$4:$C$14,2,FALSE)</f>
        <v>5</v>
      </c>
      <c r="V114" s="418">
        <f>VLOOKUP('Physical Effects'!AP118,Lookup!$B$4:$C$14,2,FALSE)</f>
        <v>5</v>
      </c>
      <c r="W114" s="418">
        <f>VLOOKUP('Physical Effects'!AR118,Lookup!$B$4:$C$14,2,FALSE)</f>
        <v>1</v>
      </c>
      <c r="X114" s="418">
        <f>VLOOKUP('Physical Effects'!AT118,Lookup!$B$4:$C$14,2,FALSE)</f>
        <v>1</v>
      </c>
      <c r="Y114" s="418">
        <f>VLOOKUP('Physical Effects'!AV118,Lookup!$B$4:$C$14,2,FALSE)</f>
        <v>3</v>
      </c>
      <c r="Z114" s="418">
        <f>VLOOKUP('Physical Effects'!AX118,Lookup!$B$4:$C$14,2,FALSE)</f>
        <v>1</v>
      </c>
      <c r="AA114" s="418">
        <f>VLOOKUP('Physical Effects'!AZ118,Lookup!$B$4:$C$14,2,FALSE)</f>
        <v>5</v>
      </c>
      <c r="AB114" s="418">
        <f>VLOOKUP('Physical Effects'!BB118,Lookup!$B$4:$C$14,2,FALSE)</f>
        <v>5</v>
      </c>
      <c r="AC114" s="418">
        <f>VLOOKUP('Physical Effects'!BD118,Lookup!$B$4:$C$14,2,FALSE)</f>
        <v>3</v>
      </c>
      <c r="AD114" s="418">
        <f>VLOOKUP('Physical Effects'!BF118,Lookup!$B$4:$C$14,2,FALSE)</f>
        <v>1</v>
      </c>
      <c r="AE114" s="418">
        <f>VLOOKUP('Physical Effects'!BH118,Lookup!$B$4:$C$14,2,FALSE)</f>
        <v>1</v>
      </c>
      <c r="AF114" s="418">
        <f>VLOOKUP('Physical Effects'!BJ118,Lookup!$B$4:$C$14,2,FALSE)</f>
        <v>0</v>
      </c>
      <c r="AG114" s="418">
        <f>VLOOKUP('Physical Effects'!BL118,Lookup!$B$4:$C$14,2,FALSE)</f>
        <v>3</v>
      </c>
      <c r="AH114" s="418">
        <f>VLOOKUP('Physical Effects'!BN118,Lookup!$B$4:$C$14,2,FALSE)</f>
        <v>0</v>
      </c>
      <c r="AI114" s="418">
        <f>VLOOKUP('Physical Effects'!BP118,Lookup!$B$4:$C$14,2,FALSE)</f>
        <v>5</v>
      </c>
      <c r="AJ114" s="418">
        <f>VLOOKUP('Physical Effects'!BR118,Lookup!$B$4:$C$14,2,FALSE)</f>
        <v>5</v>
      </c>
      <c r="AK114" s="418">
        <f>VLOOKUP('Physical Effects'!BT118,Lookup!$B$4:$C$14,2,FALSE)</f>
        <v>3</v>
      </c>
      <c r="AL114" s="418">
        <f>VLOOKUP('Physical Effects'!BV118,Lookup!$B$4:$C$14,2,FALSE)</f>
        <v>0</v>
      </c>
      <c r="AM114" s="418">
        <f>VLOOKUP('Physical Effects'!BX118,Lookup!$B$4:$C$14,2,FALSE)</f>
        <v>5</v>
      </c>
      <c r="AN114" s="418">
        <f>VLOOKUP('Physical Effects'!BZ118,Lookup!$B$4:$C$14,2,FALSE)</f>
        <v>5</v>
      </c>
      <c r="AO114" s="418">
        <f>VLOOKUP('Physical Effects'!CB118,Lookup!$B$4:$C$14,2,FALSE)</f>
        <v>1</v>
      </c>
      <c r="AP114" s="418">
        <f>VLOOKUP('Physical Effects'!CD118,Lookup!$B$4:$C$14,2,FALSE)</f>
        <v>5</v>
      </c>
      <c r="AQ114" s="418">
        <f>VLOOKUP('Physical Effects'!CF118,Lookup!$B$4:$C$14,2,FALSE)</f>
        <v>0</v>
      </c>
      <c r="AR114" s="418">
        <f>VLOOKUP('Physical Effects'!CH118,Lookup!$B$4:$C$14,2,FALSE)</f>
        <v>0</v>
      </c>
      <c r="AS114" s="418">
        <f>VLOOKUP('Physical Effects'!CJ118,Lookup!$B$4:$C$14,2,FALSE)</f>
        <v>0</v>
      </c>
      <c r="AT114" s="418">
        <f>VLOOKUP('Physical Effects'!CL118,Lookup!$B$4:$C$14,2,FALSE)</f>
        <v>0</v>
      </c>
      <c r="AU114" s="418">
        <f>VLOOKUP('Physical Effects'!CN118,Lookup!$B$4:$C$14,2,FALSE)</f>
        <v>0</v>
      </c>
      <c r="AV114" s="28"/>
      <c r="AW114" s="23"/>
      <c r="AX114" s="23"/>
      <c r="AY114" s="23"/>
      <c r="AZ114" s="23"/>
      <c r="BA114" s="23"/>
      <c r="BB114" s="23"/>
      <c r="BC114" s="23"/>
      <c r="BD114" s="23"/>
      <c r="BE114" s="23"/>
      <c r="BF114" s="23"/>
    </row>
    <row r="115" spans="1:58" s="18" customFormat="1" ht="13.5" thickBot="1" x14ac:dyDescent="0.25">
      <c r="A115" s="123">
        <f t="shared" si="1"/>
        <v>114</v>
      </c>
      <c r="B115" s="19" t="str">
        <f>+'Physical Effects'!B119</f>
        <v>Riparian Herbaceous Cover</v>
      </c>
      <c r="C115" s="32">
        <f>+'Physical Effects'!D119</f>
        <v>390</v>
      </c>
      <c r="D115" s="418">
        <f>VLOOKUP('Physical Effects'!F119,Lookup!$B$4:$C$14,2,FALSE)</f>
        <v>2</v>
      </c>
      <c r="E115" s="418">
        <f>VLOOKUP('Physical Effects'!H119,Lookup!$B$4:$C$14,2,FALSE)</f>
        <v>2</v>
      </c>
      <c r="F115" s="418">
        <f>VLOOKUP('Physical Effects'!J119,Lookup!$B$4:$C$14,2,FALSE)</f>
        <v>1</v>
      </c>
      <c r="G115" s="418">
        <f>VLOOKUP('Physical Effects'!L119,Lookup!$B$4:$C$14,2,FALSE)</f>
        <v>0</v>
      </c>
      <c r="H115" s="418">
        <f>VLOOKUP('Physical Effects'!N119,Lookup!$B$4:$C$14,2,FALSE)</f>
        <v>4</v>
      </c>
      <c r="I115" s="418">
        <f>VLOOKUP('Physical Effects'!P119,Lookup!$B$4:$C$14,2,FALSE)</f>
        <v>4</v>
      </c>
      <c r="J115" s="418">
        <f>VLOOKUP('Physical Effects'!R119,Lookup!$B$4:$C$14,2,FALSE)</f>
        <v>4</v>
      </c>
      <c r="K115" s="418">
        <f>VLOOKUP('Physical Effects'!T119,Lookup!$B$4:$C$14,2,FALSE)</f>
        <v>0</v>
      </c>
      <c r="L115" s="418">
        <f>VLOOKUP('Physical Effects'!V119,Lookup!$B$4:$C$14,2,FALSE)</f>
        <v>2</v>
      </c>
      <c r="M115" s="418">
        <f>VLOOKUP('Physical Effects'!X119,Lookup!$B$4:$C$14,2,FALSE)</f>
        <v>2</v>
      </c>
      <c r="N115" s="418">
        <f>VLOOKUP('Physical Effects'!Z119,Lookup!$B$4:$C$14,2,FALSE)</f>
        <v>-3</v>
      </c>
      <c r="O115" s="418">
        <f>VLOOKUP('Physical Effects'!AB119,Lookup!$B$4:$C$14,2,FALSE)</f>
        <v>2</v>
      </c>
      <c r="P115" s="418">
        <f>VLOOKUP('Physical Effects'!AD119,Lookup!$B$4:$C$14,2,FALSE)</f>
        <v>0</v>
      </c>
      <c r="Q115" s="418">
        <f>VLOOKUP('Physical Effects'!AF119,Lookup!$B$4:$C$14,2,FALSE)</f>
        <v>0</v>
      </c>
      <c r="R115" s="418">
        <f>VLOOKUP('Physical Effects'!AH119,Lookup!$B$4:$C$14,2,FALSE)</f>
        <v>0</v>
      </c>
      <c r="S115" s="418">
        <f>VLOOKUP('Physical Effects'!AJ119,Lookup!$B$4:$C$14,2,FALSE)</f>
        <v>2</v>
      </c>
      <c r="T115" s="418">
        <f>VLOOKUP('Physical Effects'!AL119,Lookup!$B$4:$C$14,2,FALSE)</f>
        <v>2</v>
      </c>
      <c r="U115" s="418">
        <f>VLOOKUP('Physical Effects'!AN119,Lookup!$B$4:$C$14,2,FALSE)</f>
        <v>5</v>
      </c>
      <c r="V115" s="418">
        <f>VLOOKUP('Physical Effects'!AP119,Lookup!$B$4:$C$14,2,FALSE)</f>
        <v>5</v>
      </c>
      <c r="W115" s="418">
        <f>VLOOKUP('Physical Effects'!AR119,Lookup!$B$4:$C$14,2,FALSE)</f>
        <v>1</v>
      </c>
      <c r="X115" s="418">
        <f>VLOOKUP('Physical Effects'!AT119,Lookup!$B$4:$C$14,2,FALSE)</f>
        <v>1</v>
      </c>
      <c r="Y115" s="418">
        <f>VLOOKUP('Physical Effects'!AV119,Lookup!$B$4:$C$14,2,FALSE)</f>
        <v>3</v>
      </c>
      <c r="Z115" s="418">
        <f>VLOOKUP('Physical Effects'!AX119,Lookup!$B$4:$C$14,2,FALSE)</f>
        <v>2</v>
      </c>
      <c r="AA115" s="418">
        <f>VLOOKUP('Physical Effects'!AZ119,Lookup!$B$4:$C$14,2,FALSE)</f>
        <v>4</v>
      </c>
      <c r="AB115" s="418">
        <f>VLOOKUP('Physical Effects'!BB119,Lookup!$B$4:$C$14,2,FALSE)</f>
        <v>2</v>
      </c>
      <c r="AC115" s="418">
        <f>VLOOKUP('Physical Effects'!BD119,Lookup!$B$4:$C$14,2,FALSE)</f>
        <v>2</v>
      </c>
      <c r="AD115" s="418">
        <f>VLOOKUP('Physical Effects'!BF119,Lookup!$B$4:$C$14,2,FALSE)</f>
        <v>1</v>
      </c>
      <c r="AE115" s="418">
        <f>VLOOKUP('Physical Effects'!BH119,Lookup!$B$4:$C$14,2,FALSE)</f>
        <v>1</v>
      </c>
      <c r="AF115" s="418">
        <f>VLOOKUP('Physical Effects'!BJ119,Lookup!$B$4:$C$14,2,FALSE)</f>
        <v>0</v>
      </c>
      <c r="AG115" s="418">
        <f>VLOOKUP('Physical Effects'!BL119,Lookup!$B$4:$C$14,2,FALSE)</f>
        <v>2</v>
      </c>
      <c r="AH115" s="418">
        <f>VLOOKUP('Physical Effects'!BN119,Lookup!$B$4:$C$14,2,FALSE)</f>
        <v>0</v>
      </c>
      <c r="AI115" s="418">
        <f>VLOOKUP('Physical Effects'!BP119,Lookup!$B$4:$C$14,2,FALSE)</f>
        <v>5</v>
      </c>
      <c r="AJ115" s="418">
        <f>VLOOKUP('Physical Effects'!BR119,Lookup!$B$4:$C$14,2,FALSE)</f>
        <v>4</v>
      </c>
      <c r="AK115" s="418">
        <f>VLOOKUP('Physical Effects'!BT119,Lookup!$B$4:$C$14,2,FALSE)</f>
        <v>4</v>
      </c>
      <c r="AL115" s="418">
        <f>VLOOKUP('Physical Effects'!BV119,Lookup!$B$4:$C$14,2,FALSE)</f>
        <v>0</v>
      </c>
      <c r="AM115" s="418">
        <f>VLOOKUP('Physical Effects'!BX119,Lookup!$B$4:$C$14,2,FALSE)</f>
        <v>4</v>
      </c>
      <c r="AN115" s="418">
        <f>VLOOKUP('Physical Effects'!BZ119,Lookup!$B$4:$C$14,2,FALSE)</f>
        <v>4</v>
      </c>
      <c r="AO115" s="418">
        <f>VLOOKUP('Physical Effects'!CB119,Lookup!$B$4:$C$14,2,FALSE)</f>
        <v>2</v>
      </c>
      <c r="AP115" s="418">
        <f>VLOOKUP('Physical Effects'!CD119,Lookup!$B$4:$C$14,2,FALSE)</f>
        <v>4</v>
      </c>
      <c r="AQ115" s="418">
        <f>VLOOKUP('Physical Effects'!CF119,Lookup!$B$4:$C$14,2,FALSE)</f>
        <v>4</v>
      </c>
      <c r="AR115" s="418">
        <f>VLOOKUP('Physical Effects'!CH119,Lookup!$B$4:$C$14,2,FALSE)</f>
        <v>0</v>
      </c>
      <c r="AS115" s="418">
        <f>VLOOKUP('Physical Effects'!CJ119,Lookup!$B$4:$C$14,2,FALSE)</f>
        <v>0</v>
      </c>
      <c r="AT115" s="418">
        <f>VLOOKUP('Physical Effects'!CL119,Lookup!$B$4:$C$14,2,FALSE)</f>
        <v>0</v>
      </c>
      <c r="AU115" s="418">
        <f>VLOOKUP('Physical Effects'!CN119,Lookup!$B$4:$C$14,2,FALSE)</f>
        <v>2</v>
      </c>
      <c r="AV115" s="38"/>
    </row>
    <row r="116" spans="1:58" s="5" customFormat="1" ht="13.5" thickBot="1" x14ac:dyDescent="0.25">
      <c r="A116" s="123">
        <f t="shared" si="1"/>
        <v>115</v>
      </c>
      <c r="B116" s="19" t="str">
        <f>+'Physical Effects'!B120</f>
        <v>Road/Trail/Landing Closure and Treatment</v>
      </c>
      <c r="C116" s="32">
        <f>+'Physical Effects'!D120</f>
        <v>654</v>
      </c>
      <c r="D116" s="418">
        <f>VLOOKUP('Physical Effects'!F120,Lookup!$B$4:$C$14,2,FALSE)</f>
        <v>5</v>
      </c>
      <c r="E116" s="418">
        <f>VLOOKUP('Physical Effects'!H120,Lookup!$B$4:$C$14,2,FALSE)</f>
        <v>1</v>
      </c>
      <c r="F116" s="418">
        <f>VLOOKUP('Physical Effects'!J120,Lookup!$B$4:$C$14,2,FALSE)</f>
        <v>5</v>
      </c>
      <c r="G116" s="418">
        <f>VLOOKUP('Physical Effects'!L120,Lookup!$B$4:$C$14,2,FALSE)</f>
        <v>5</v>
      </c>
      <c r="H116" s="418">
        <f>VLOOKUP('Physical Effects'!N120,Lookup!$B$4:$C$14,2,FALSE)</f>
        <v>4</v>
      </c>
      <c r="I116" s="418">
        <f>VLOOKUP('Physical Effects'!P120,Lookup!$B$4:$C$14,2,FALSE)</f>
        <v>5</v>
      </c>
      <c r="J116" s="418">
        <f>VLOOKUP('Physical Effects'!R120,Lookup!$B$4:$C$14,2,FALSE)</f>
        <v>2</v>
      </c>
      <c r="K116" s="418">
        <f>VLOOKUP('Physical Effects'!T120,Lookup!$B$4:$C$14,2,FALSE)</f>
        <v>0</v>
      </c>
      <c r="L116" s="418">
        <f>VLOOKUP('Physical Effects'!V120,Lookup!$B$4:$C$14,2,FALSE)</f>
        <v>0</v>
      </c>
      <c r="M116" s="418">
        <f>VLOOKUP('Physical Effects'!X120,Lookup!$B$4:$C$14,2,FALSE)</f>
        <v>1</v>
      </c>
      <c r="N116" s="418">
        <f>VLOOKUP('Physical Effects'!Z120,Lookup!$B$4:$C$14,2,FALSE)</f>
        <v>3</v>
      </c>
      <c r="O116" s="418">
        <f>VLOOKUP('Physical Effects'!AB120,Lookup!$B$4:$C$14,2,FALSE)</f>
        <v>4</v>
      </c>
      <c r="P116" s="418">
        <f>VLOOKUP('Physical Effects'!AD120,Lookup!$B$4:$C$14,2,FALSE)</f>
        <v>0</v>
      </c>
      <c r="Q116" s="418">
        <f>VLOOKUP('Physical Effects'!AF120,Lookup!$B$4:$C$14,2,FALSE)</f>
        <v>0</v>
      </c>
      <c r="R116" s="418">
        <f>VLOOKUP('Physical Effects'!AH120,Lookup!$B$4:$C$14,2,FALSE)</f>
        <v>1</v>
      </c>
      <c r="S116" s="418">
        <f>VLOOKUP('Physical Effects'!AJ120,Lookup!$B$4:$C$14,2,FALSE)</f>
        <v>0</v>
      </c>
      <c r="T116" s="418">
        <f>VLOOKUP('Physical Effects'!AL120,Lookup!$B$4:$C$14,2,FALSE)</f>
        <v>0</v>
      </c>
      <c r="U116" s="418">
        <f>VLOOKUP('Physical Effects'!AN120,Lookup!$B$4:$C$14,2,FALSE)</f>
        <v>1</v>
      </c>
      <c r="V116" s="418">
        <f>VLOOKUP('Physical Effects'!AP120,Lookup!$B$4:$C$14,2,FALSE)</f>
        <v>1</v>
      </c>
      <c r="W116" s="418">
        <f>VLOOKUP('Physical Effects'!AR120,Lookup!$B$4:$C$14,2,FALSE)</f>
        <v>0</v>
      </c>
      <c r="X116" s="418">
        <f>VLOOKUP('Physical Effects'!AT120,Lookup!$B$4:$C$14,2,FALSE)</f>
        <v>0</v>
      </c>
      <c r="Y116" s="418">
        <f>VLOOKUP('Physical Effects'!AV120,Lookup!$B$4:$C$14,2,FALSE)</f>
        <v>1</v>
      </c>
      <c r="Z116" s="418">
        <f>VLOOKUP('Physical Effects'!AX120,Lookup!$B$4:$C$14,2,FALSE)</f>
        <v>1</v>
      </c>
      <c r="AA116" s="418">
        <f>VLOOKUP('Physical Effects'!AZ120,Lookup!$B$4:$C$14,2,FALSE)</f>
        <v>3</v>
      </c>
      <c r="AB116" s="418">
        <f>VLOOKUP('Physical Effects'!BB120,Lookup!$B$4:$C$14,2,FALSE)</f>
        <v>1</v>
      </c>
      <c r="AC116" s="418">
        <f>VLOOKUP('Physical Effects'!BD120,Lookup!$B$4:$C$14,2,FALSE)</f>
        <v>3</v>
      </c>
      <c r="AD116" s="418">
        <f>VLOOKUP('Physical Effects'!BF120,Lookup!$B$4:$C$14,2,FALSE)</f>
        <v>1</v>
      </c>
      <c r="AE116" s="418">
        <f>VLOOKUP('Physical Effects'!BH120,Lookup!$B$4:$C$14,2,FALSE)</f>
        <v>2</v>
      </c>
      <c r="AF116" s="418">
        <f>VLOOKUP('Physical Effects'!BJ120,Lookup!$B$4:$C$14,2,FALSE)</f>
        <v>0</v>
      </c>
      <c r="AG116" s="418">
        <f>VLOOKUP('Physical Effects'!BL120,Lookup!$B$4:$C$14,2,FALSE)</f>
        <v>1</v>
      </c>
      <c r="AH116" s="418">
        <f>VLOOKUP('Physical Effects'!BN120,Lookup!$B$4:$C$14,2,FALSE)</f>
        <v>0</v>
      </c>
      <c r="AI116" s="418">
        <f>VLOOKUP('Physical Effects'!BP120,Lookup!$B$4:$C$14,2,FALSE)</f>
        <v>1</v>
      </c>
      <c r="AJ116" s="418">
        <f>VLOOKUP('Physical Effects'!BR120,Lookup!$B$4:$C$14,2,FALSE)</f>
        <v>1</v>
      </c>
      <c r="AK116" s="418">
        <f>VLOOKUP('Physical Effects'!BT120,Lookup!$B$4:$C$14,2,FALSE)</f>
        <v>0</v>
      </c>
      <c r="AL116" s="418">
        <f>VLOOKUP('Physical Effects'!BV120,Lookup!$B$4:$C$14,2,FALSE)</f>
        <v>0</v>
      </c>
      <c r="AM116" s="418">
        <f>VLOOKUP('Physical Effects'!BX120,Lookup!$B$4:$C$14,2,FALSE)</f>
        <v>1</v>
      </c>
      <c r="AN116" s="418">
        <f>VLOOKUP('Physical Effects'!BZ120,Lookup!$B$4:$C$14,2,FALSE)</f>
        <v>1</v>
      </c>
      <c r="AO116" s="418">
        <f>VLOOKUP('Physical Effects'!CB120,Lookup!$B$4:$C$14,2,FALSE)</f>
        <v>1</v>
      </c>
      <c r="AP116" s="418">
        <f>VLOOKUP('Physical Effects'!CD120,Lookup!$B$4:$C$14,2,FALSE)</f>
        <v>3</v>
      </c>
      <c r="AQ116" s="418">
        <f>VLOOKUP('Physical Effects'!CF120,Lookup!$B$4:$C$14,2,FALSE)</f>
        <v>1</v>
      </c>
      <c r="AR116" s="418">
        <f>VLOOKUP('Physical Effects'!CH120,Lookup!$B$4:$C$14,2,FALSE)</f>
        <v>0</v>
      </c>
      <c r="AS116" s="418">
        <f>VLOOKUP('Physical Effects'!CJ120,Lookup!$B$4:$C$14,2,FALSE)</f>
        <v>0</v>
      </c>
      <c r="AT116" s="418">
        <f>VLOOKUP('Physical Effects'!CL120,Lookup!$B$4:$C$14,2,FALSE)</f>
        <v>0</v>
      </c>
      <c r="AU116" s="418">
        <f>VLOOKUP('Physical Effects'!CN120,Lookup!$B$4:$C$14,2,FALSE)</f>
        <v>0</v>
      </c>
      <c r="AV116" s="28"/>
      <c r="AW116" s="23"/>
      <c r="AX116" s="23"/>
      <c r="AY116" s="23"/>
      <c r="AZ116" s="23"/>
      <c r="BA116" s="23"/>
      <c r="BB116" s="23"/>
      <c r="BC116" s="23"/>
      <c r="BD116" s="23"/>
      <c r="BE116" s="23"/>
      <c r="BF116" s="23"/>
    </row>
    <row r="117" spans="1:58" s="5" customFormat="1" ht="13.5" thickBot="1" x14ac:dyDescent="0.25">
      <c r="A117" s="123">
        <f t="shared" si="1"/>
        <v>116</v>
      </c>
      <c r="B117" s="19" t="str">
        <f>+'Physical Effects'!B121</f>
        <v>Rock Barrier</v>
      </c>
      <c r="C117" s="32">
        <f>+'Physical Effects'!D121</f>
        <v>555</v>
      </c>
      <c r="D117" s="418">
        <f>VLOOKUP('Physical Effects'!F121,Lookup!$B$4:$C$14,2,FALSE)</f>
        <v>5</v>
      </c>
      <c r="E117" s="418">
        <f>VLOOKUP('Physical Effects'!H121,Lookup!$B$4:$C$14,2,FALSE)</f>
        <v>0</v>
      </c>
      <c r="F117" s="418">
        <f>VLOOKUP('Physical Effects'!J121,Lookup!$B$4:$C$14,2,FALSE)</f>
        <v>5</v>
      </c>
      <c r="G117" s="418">
        <f>VLOOKUP('Physical Effects'!L121,Lookup!$B$4:$C$14,2,FALSE)</f>
        <v>1</v>
      </c>
      <c r="H117" s="418">
        <f>VLOOKUP('Physical Effects'!N121,Lookup!$B$4:$C$14,2,FALSE)</f>
        <v>1</v>
      </c>
      <c r="I117" s="418">
        <f>VLOOKUP('Physical Effects'!P121,Lookup!$B$4:$C$14,2,FALSE)</f>
        <v>0</v>
      </c>
      <c r="J117" s="418">
        <f>VLOOKUP('Physical Effects'!R121,Lookup!$B$4:$C$14,2,FALSE)</f>
        <v>0</v>
      </c>
      <c r="K117" s="418">
        <f>VLOOKUP('Physical Effects'!T121,Lookup!$B$4:$C$14,2,FALSE)</f>
        <v>0</v>
      </c>
      <c r="L117" s="418">
        <f>VLOOKUP('Physical Effects'!V121,Lookup!$B$4:$C$14,2,FALSE)</f>
        <v>0</v>
      </c>
      <c r="M117" s="418">
        <f>VLOOKUP('Physical Effects'!X121,Lookup!$B$4:$C$14,2,FALSE)</f>
        <v>1</v>
      </c>
      <c r="N117" s="418">
        <f>VLOOKUP('Physical Effects'!Z121,Lookup!$B$4:$C$14,2,FALSE)</f>
        <v>0</v>
      </c>
      <c r="O117" s="418">
        <f>VLOOKUP('Physical Effects'!AB121,Lookup!$B$4:$C$14,2,FALSE)</f>
        <v>1</v>
      </c>
      <c r="P117" s="418">
        <f>VLOOKUP('Physical Effects'!AD121,Lookup!$B$4:$C$14,2,FALSE)</f>
        <v>2</v>
      </c>
      <c r="Q117" s="418">
        <f>VLOOKUP('Physical Effects'!AF121,Lookup!$B$4:$C$14,2,FALSE)</f>
        <v>0</v>
      </c>
      <c r="R117" s="418">
        <f>VLOOKUP('Physical Effects'!AH121,Lookup!$B$4:$C$14,2,FALSE)</f>
        <v>0</v>
      </c>
      <c r="S117" s="418">
        <f>VLOOKUP('Physical Effects'!AJ121,Lookup!$B$4:$C$14,2,FALSE)</f>
        <v>0</v>
      </c>
      <c r="T117" s="418">
        <f>VLOOKUP('Physical Effects'!AL121,Lookup!$B$4:$C$14,2,FALSE)</f>
        <v>0</v>
      </c>
      <c r="U117" s="418">
        <f>VLOOKUP('Physical Effects'!AN121,Lookup!$B$4:$C$14,2,FALSE)</f>
        <v>0</v>
      </c>
      <c r="V117" s="418">
        <f>VLOOKUP('Physical Effects'!AP121,Lookup!$B$4:$C$14,2,FALSE)</f>
        <v>0</v>
      </c>
      <c r="W117" s="418">
        <f>VLOOKUP('Physical Effects'!AR121,Lookup!$B$4:$C$14,2,FALSE)</f>
        <v>1</v>
      </c>
      <c r="X117" s="418">
        <f>VLOOKUP('Physical Effects'!AT121,Lookup!$B$4:$C$14,2,FALSE)</f>
        <v>-1</v>
      </c>
      <c r="Y117" s="418">
        <f>VLOOKUP('Physical Effects'!AV121,Lookup!$B$4:$C$14,2,FALSE)</f>
        <v>1</v>
      </c>
      <c r="Z117" s="418">
        <f>VLOOKUP('Physical Effects'!AX121,Lookup!$B$4:$C$14,2,FALSE)</f>
        <v>0</v>
      </c>
      <c r="AA117" s="418">
        <f>VLOOKUP('Physical Effects'!AZ121,Lookup!$B$4:$C$14,2,FALSE)</f>
        <v>2</v>
      </c>
      <c r="AB117" s="418">
        <f>VLOOKUP('Physical Effects'!BB121,Lookup!$B$4:$C$14,2,FALSE)</f>
        <v>0</v>
      </c>
      <c r="AC117" s="418">
        <f>VLOOKUP('Physical Effects'!BD121,Lookup!$B$4:$C$14,2,FALSE)</f>
        <v>1</v>
      </c>
      <c r="AD117" s="418">
        <f>VLOOKUP('Physical Effects'!BF121,Lookup!$B$4:$C$14,2,FALSE)</f>
        <v>0</v>
      </c>
      <c r="AE117" s="418">
        <f>VLOOKUP('Physical Effects'!BH121,Lookup!$B$4:$C$14,2,FALSE)</f>
        <v>0</v>
      </c>
      <c r="AF117" s="418">
        <f>VLOOKUP('Physical Effects'!BJ121,Lookup!$B$4:$C$14,2,FALSE)</f>
        <v>0</v>
      </c>
      <c r="AG117" s="418">
        <f>VLOOKUP('Physical Effects'!BL121,Lookup!$B$4:$C$14,2,FALSE)</f>
        <v>1</v>
      </c>
      <c r="AH117" s="418">
        <f>VLOOKUP('Physical Effects'!BN121,Lookup!$B$4:$C$14,2,FALSE)</f>
        <v>0</v>
      </c>
      <c r="AI117" s="418">
        <f>VLOOKUP('Physical Effects'!BP121,Lookup!$B$4:$C$14,2,FALSE)</f>
        <v>1</v>
      </c>
      <c r="AJ117" s="418">
        <f>VLOOKUP('Physical Effects'!BR121,Lookup!$B$4:$C$14,2,FALSE)</f>
        <v>0</v>
      </c>
      <c r="AK117" s="418">
        <f>VLOOKUP('Physical Effects'!BT121,Lookup!$B$4:$C$14,2,FALSE)</f>
        <v>0</v>
      </c>
      <c r="AL117" s="418">
        <f>VLOOKUP('Physical Effects'!BV121,Lookup!$B$4:$C$14,2,FALSE)</f>
        <v>0</v>
      </c>
      <c r="AM117" s="418">
        <f>VLOOKUP('Physical Effects'!BX121,Lookup!$B$4:$C$14,2,FALSE)</f>
        <v>0</v>
      </c>
      <c r="AN117" s="418">
        <f>VLOOKUP('Physical Effects'!BZ121,Lookup!$B$4:$C$14,2,FALSE)</f>
        <v>0</v>
      </c>
      <c r="AO117" s="418">
        <f>VLOOKUP('Physical Effects'!CB121,Lookup!$B$4:$C$14,2,FALSE)</f>
        <v>0</v>
      </c>
      <c r="AP117" s="418">
        <f>VLOOKUP('Physical Effects'!CD121,Lookup!$B$4:$C$14,2,FALSE)</f>
        <v>0</v>
      </c>
      <c r="AQ117" s="418">
        <f>VLOOKUP('Physical Effects'!CF121,Lookup!$B$4:$C$14,2,FALSE)</f>
        <v>0</v>
      </c>
      <c r="AR117" s="418">
        <f>VLOOKUP('Physical Effects'!CH121,Lookup!$B$4:$C$14,2,FALSE)</f>
        <v>0</v>
      </c>
      <c r="AS117" s="418">
        <f>VLOOKUP('Physical Effects'!CJ121,Lookup!$B$4:$C$14,2,FALSE)</f>
        <v>0</v>
      </c>
      <c r="AT117" s="418">
        <f>VLOOKUP('Physical Effects'!CL121,Lookup!$B$4:$C$14,2,FALSE)</f>
        <v>0</v>
      </c>
      <c r="AU117" s="418">
        <f>VLOOKUP('Physical Effects'!CN121,Lookup!$B$4:$C$14,2,FALSE)</f>
        <v>0</v>
      </c>
      <c r="AV117" s="28"/>
      <c r="AW117" s="23"/>
      <c r="AX117" s="23"/>
      <c r="AY117" s="23"/>
      <c r="AZ117" s="23"/>
      <c r="BA117" s="23"/>
      <c r="BB117" s="23"/>
      <c r="BC117" s="23"/>
      <c r="BD117" s="23"/>
      <c r="BE117" s="23"/>
      <c r="BF117" s="23"/>
    </row>
    <row r="118" spans="1:58" s="5" customFormat="1" ht="13.5" thickBot="1" x14ac:dyDescent="0.25">
      <c r="A118" s="123">
        <f t="shared" si="1"/>
        <v>117</v>
      </c>
      <c r="B118" s="19" t="str">
        <f>+'Physical Effects'!B122</f>
        <v>Roof Runoff Structure</v>
      </c>
      <c r="C118" s="32">
        <f>+'Physical Effects'!D122</f>
        <v>558</v>
      </c>
      <c r="D118" s="418">
        <f>VLOOKUP('Physical Effects'!F122,Lookup!$B$4:$C$14,2,FALSE)</f>
        <v>1</v>
      </c>
      <c r="E118" s="418">
        <f>VLOOKUP('Physical Effects'!H122,Lookup!$B$4:$C$14,2,FALSE)</f>
        <v>0</v>
      </c>
      <c r="F118" s="418">
        <f>VLOOKUP('Physical Effects'!J122,Lookup!$B$4:$C$14,2,FALSE)</f>
        <v>3</v>
      </c>
      <c r="G118" s="418">
        <f>VLOOKUP('Physical Effects'!L122,Lookup!$B$4:$C$14,2,FALSE)</f>
        <v>1</v>
      </c>
      <c r="H118" s="418">
        <f>VLOOKUP('Physical Effects'!N122,Lookup!$B$4:$C$14,2,FALSE)</f>
        <v>1</v>
      </c>
      <c r="I118" s="418">
        <f>VLOOKUP('Physical Effects'!P122,Lookup!$B$4:$C$14,2,FALSE)</f>
        <v>0</v>
      </c>
      <c r="J118" s="418">
        <f>VLOOKUP('Physical Effects'!R122,Lookup!$B$4:$C$14,2,FALSE)</f>
        <v>0</v>
      </c>
      <c r="K118" s="418">
        <f>VLOOKUP('Physical Effects'!T122,Lookup!$B$4:$C$14,2,FALSE)</f>
        <v>0</v>
      </c>
      <c r="L118" s="418">
        <f>VLOOKUP('Physical Effects'!V122,Lookup!$B$4:$C$14,2,FALSE)</f>
        <v>0</v>
      </c>
      <c r="M118" s="418">
        <f>VLOOKUP('Physical Effects'!X122,Lookup!$B$4:$C$14,2,FALSE)</f>
        <v>1</v>
      </c>
      <c r="N118" s="418">
        <f>VLOOKUP('Physical Effects'!Z122,Lookup!$B$4:$C$14,2,FALSE)</f>
        <v>-1</v>
      </c>
      <c r="O118" s="418">
        <f>VLOOKUP('Physical Effects'!AB122,Lookup!$B$4:$C$14,2,FALSE)</f>
        <v>1</v>
      </c>
      <c r="P118" s="418">
        <f>VLOOKUP('Physical Effects'!AD122,Lookup!$B$4:$C$14,2,FALSE)</f>
        <v>0</v>
      </c>
      <c r="Q118" s="418">
        <f>VLOOKUP('Physical Effects'!AF122,Lookup!$B$4:$C$14,2,FALSE)</f>
        <v>0</v>
      </c>
      <c r="R118" s="418">
        <f>VLOOKUP('Physical Effects'!AH122,Lookup!$B$4:$C$14,2,FALSE)</f>
        <v>3</v>
      </c>
      <c r="S118" s="418">
        <f>VLOOKUP('Physical Effects'!AJ122,Lookup!$B$4:$C$14,2,FALSE)</f>
        <v>0</v>
      </c>
      <c r="T118" s="418">
        <f>VLOOKUP('Physical Effects'!AL122,Lookup!$B$4:$C$14,2,FALSE)</f>
        <v>0</v>
      </c>
      <c r="U118" s="418">
        <f>VLOOKUP('Physical Effects'!AN122,Lookup!$B$4:$C$14,2,FALSE)</f>
        <v>2</v>
      </c>
      <c r="V118" s="418">
        <f>VLOOKUP('Physical Effects'!AP122,Lookup!$B$4:$C$14,2,FALSE)</f>
        <v>2</v>
      </c>
      <c r="W118" s="418">
        <f>VLOOKUP('Physical Effects'!AR122,Lookup!$B$4:$C$14,2,FALSE)</f>
        <v>2</v>
      </c>
      <c r="X118" s="418">
        <f>VLOOKUP('Physical Effects'!AT122,Lookup!$B$4:$C$14,2,FALSE)</f>
        <v>0</v>
      </c>
      <c r="Y118" s="418">
        <f>VLOOKUP('Physical Effects'!AV122,Lookup!$B$4:$C$14,2,FALSE)</f>
        <v>2</v>
      </c>
      <c r="Z118" s="418">
        <f>VLOOKUP('Physical Effects'!AX122,Lookup!$B$4:$C$14,2,FALSE)</f>
        <v>0</v>
      </c>
      <c r="AA118" s="418">
        <f>VLOOKUP('Physical Effects'!AZ122,Lookup!$B$4:$C$14,2,FALSE)</f>
        <v>1</v>
      </c>
      <c r="AB118" s="418">
        <f>VLOOKUP('Physical Effects'!BB122,Lookup!$B$4:$C$14,2,FALSE)</f>
        <v>0</v>
      </c>
      <c r="AC118" s="418">
        <f>VLOOKUP('Physical Effects'!BD122,Lookup!$B$4:$C$14,2,FALSE)</f>
        <v>0</v>
      </c>
      <c r="AD118" s="418">
        <f>VLOOKUP('Physical Effects'!BF122,Lookup!$B$4:$C$14,2,FALSE)</f>
        <v>0</v>
      </c>
      <c r="AE118" s="418">
        <f>VLOOKUP('Physical Effects'!BH122,Lookup!$B$4:$C$14,2,FALSE)</f>
        <v>0</v>
      </c>
      <c r="AF118" s="418">
        <f>VLOOKUP('Physical Effects'!BJ122,Lookup!$B$4:$C$14,2,FALSE)</f>
        <v>0</v>
      </c>
      <c r="AG118" s="418">
        <f>VLOOKUP('Physical Effects'!BL122,Lookup!$B$4:$C$14,2,FALSE)</f>
        <v>0</v>
      </c>
      <c r="AH118" s="418">
        <f>VLOOKUP('Physical Effects'!BN122,Lookup!$B$4:$C$14,2,FALSE)</f>
        <v>0</v>
      </c>
      <c r="AI118" s="418">
        <f>VLOOKUP('Physical Effects'!BP122,Lookup!$B$4:$C$14,2,FALSE)</f>
        <v>0</v>
      </c>
      <c r="AJ118" s="418">
        <f>VLOOKUP('Physical Effects'!BR122,Lookup!$B$4:$C$14,2,FALSE)</f>
        <v>0</v>
      </c>
      <c r="AK118" s="418">
        <f>VLOOKUP('Physical Effects'!BT122,Lookup!$B$4:$C$14,2,FALSE)</f>
        <v>0</v>
      </c>
      <c r="AL118" s="418">
        <f>VLOOKUP('Physical Effects'!BV122,Lookup!$B$4:$C$14,2,FALSE)</f>
        <v>0</v>
      </c>
      <c r="AM118" s="418">
        <f>VLOOKUP('Physical Effects'!BX122,Lookup!$B$4:$C$14,2,FALSE)</f>
        <v>0</v>
      </c>
      <c r="AN118" s="418">
        <f>VLOOKUP('Physical Effects'!BZ122,Lookup!$B$4:$C$14,2,FALSE)</f>
        <v>0</v>
      </c>
      <c r="AO118" s="418">
        <f>VLOOKUP('Physical Effects'!CB122,Lookup!$B$4:$C$14,2,FALSE)</f>
        <v>0</v>
      </c>
      <c r="AP118" s="418">
        <f>VLOOKUP('Physical Effects'!CD122,Lookup!$B$4:$C$14,2,FALSE)</f>
        <v>0</v>
      </c>
      <c r="AQ118" s="418">
        <f>VLOOKUP('Physical Effects'!CF122,Lookup!$B$4:$C$14,2,FALSE)</f>
        <v>0</v>
      </c>
      <c r="AR118" s="418">
        <f>VLOOKUP('Physical Effects'!CH122,Lookup!$B$4:$C$14,2,FALSE)</f>
        <v>0</v>
      </c>
      <c r="AS118" s="418">
        <f>VLOOKUP('Physical Effects'!CJ122,Lookup!$B$4:$C$14,2,FALSE)</f>
        <v>2</v>
      </c>
      <c r="AT118" s="418">
        <f>VLOOKUP('Physical Effects'!CL122,Lookup!$B$4:$C$14,2,FALSE)</f>
        <v>0</v>
      </c>
      <c r="AU118" s="418">
        <f>VLOOKUP('Physical Effects'!CN122,Lookup!$B$4:$C$14,2,FALSE)</f>
        <v>0</v>
      </c>
      <c r="AV118" s="28"/>
      <c r="AW118" s="23"/>
      <c r="AX118" s="23"/>
      <c r="AY118" s="23"/>
      <c r="AZ118" s="23"/>
      <c r="BA118" s="23"/>
      <c r="BB118" s="23"/>
      <c r="BC118" s="23"/>
      <c r="BD118" s="23"/>
      <c r="BE118" s="23"/>
      <c r="BF118" s="23"/>
    </row>
    <row r="119" spans="1:58" s="5" customFormat="1" ht="13.5" thickBot="1" x14ac:dyDescent="0.25">
      <c r="A119" s="123">
        <f t="shared" si="1"/>
        <v>118</v>
      </c>
      <c r="B119" s="19" t="str">
        <f>+'Physical Effects'!B123</f>
        <v>Roofs and Covers</v>
      </c>
      <c r="C119" s="32">
        <f>+'Physical Effects'!D123</f>
        <v>367</v>
      </c>
      <c r="D119" s="418">
        <f>VLOOKUP('Physical Effects'!F123,Lookup!$B$4:$C$14,2,FALSE)</f>
        <v>0</v>
      </c>
      <c r="E119" s="418">
        <f>VLOOKUP('Physical Effects'!H123,Lookup!$B$4:$C$14,2,FALSE)</f>
        <v>0</v>
      </c>
      <c r="F119" s="418">
        <f>VLOOKUP('Physical Effects'!J123,Lookup!$B$4:$C$14,2,FALSE)</f>
        <v>0</v>
      </c>
      <c r="G119" s="418">
        <f>VLOOKUP('Physical Effects'!L123,Lookup!$B$4:$C$14,2,FALSE)</f>
        <v>0</v>
      </c>
      <c r="H119" s="418">
        <f>VLOOKUP('Physical Effects'!N123,Lookup!$B$4:$C$14,2,FALSE)</f>
        <v>0</v>
      </c>
      <c r="I119" s="418">
        <f>VLOOKUP('Physical Effects'!P123,Lookup!$B$4:$C$14,2,FALSE)</f>
        <v>0</v>
      </c>
      <c r="J119" s="418">
        <f>VLOOKUP('Physical Effects'!R123,Lookup!$B$4:$C$14,2,FALSE)</f>
        <v>0</v>
      </c>
      <c r="K119" s="418">
        <f>VLOOKUP('Physical Effects'!T123,Lookup!$B$4:$C$14,2,FALSE)</f>
        <v>0</v>
      </c>
      <c r="L119" s="418">
        <f>VLOOKUP('Physical Effects'!V123,Lookup!$B$4:$C$14,2,FALSE)</f>
        <v>0</v>
      </c>
      <c r="M119" s="418">
        <f>VLOOKUP('Physical Effects'!X123,Lookup!$B$4:$C$14,2,FALSE)</f>
        <v>0</v>
      </c>
      <c r="N119" s="418">
        <f>VLOOKUP('Physical Effects'!Z123,Lookup!$B$4:$C$14,2,FALSE)</f>
        <v>-1</v>
      </c>
      <c r="O119" s="418">
        <f>VLOOKUP('Physical Effects'!AB123,Lookup!$B$4:$C$14,2,FALSE)</f>
        <v>0</v>
      </c>
      <c r="P119" s="418">
        <f>VLOOKUP('Physical Effects'!AD123,Lookup!$B$4:$C$14,2,FALSE)</f>
        <v>0</v>
      </c>
      <c r="Q119" s="418">
        <f>VLOOKUP('Physical Effects'!AF123,Lookup!$B$4:$C$14,2,FALSE)</f>
        <v>0</v>
      </c>
      <c r="R119" s="418">
        <f>VLOOKUP('Physical Effects'!AH123,Lookup!$B$4:$C$14,2,FALSE)</f>
        <v>0</v>
      </c>
      <c r="S119" s="418">
        <f>VLOOKUP('Physical Effects'!AJ123,Lookup!$B$4:$C$14,2,FALSE)</f>
        <v>0</v>
      </c>
      <c r="T119" s="418">
        <f>VLOOKUP('Physical Effects'!AL123,Lookup!$B$4:$C$14,2,FALSE)</f>
        <v>0</v>
      </c>
      <c r="U119" s="418">
        <f>VLOOKUP('Physical Effects'!AN123,Lookup!$B$4:$C$14,2,FALSE)</f>
        <v>0</v>
      </c>
      <c r="V119" s="418">
        <f>VLOOKUP('Physical Effects'!AP123,Lookup!$B$4:$C$14,2,FALSE)</f>
        <v>0</v>
      </c>
      <c r="W119" s="418">
        <f>VLOOKUP('Physical Effects'!AR123,Lookup!$B$4:$C$14,2,FALSE)</f>
        <v>0</v>
      </c>
      <c r="X119" s="418">
        <f>VLOOKUP('Physical Effects'!AT123,Lookup!$B$4:$C$14,2,FALSE)</f>
        <v>0</v>
      </c>
      <c r="Y119" s="418">
        <f>VLOOKUP('Physical Effects'!AV123,Lookup!$B$4:$C$14,2,FALSE)</f>
        <v>0</v>
      </c>
      <c r="Z119" s="418">
        <f>VLOOKUP('Physical Effects'!AX123,Lookup!$B$4:$C$14,2,FALSE)</f>
        <v>1</v>
      </c>
      <c r="AA119" s="418">
        <f>VLOOKUP('Physical Effects'!AZ123,Lookup!$B$4:$C$14,2,FALSE)</f>
        <v>0</v>
      </c>
      <c r="AB119" s="418">
        <f>VLOOKUP('Physical Effects'!BB123,Lookup!$B$4:$C$14,2,FALSE)</f>
        <v>0</v>
      </c>
      <c r="AC119" s="418">
        <f>VLOOKUP('Physical Effects'!BD123,Lookup!$B$4:$C$14,2,FALSE)</f>
        <v>1</v>
      </c>
      <c r="AD119" s="418">
        <f>VLOOKUP('Physical Effects'!BF123,Lookup!$B$4:$C$14,2,FALSE)</f>
        <v>1</v>
      </c>
      <c r="AE119" s="418">
        <f>VLOOKUP('Physical Effects'!BH123,Lookup!$B$4:$C$14,2,FALSE)</f>
        <v>2</v>
      </c>
      <c r="AF119" s="418">
        <f>VLOOKUP('Physical Effects'!BJ123,Lookup!$B$4:$C$14,2,FALSE)</f>
        <v>1</v>
      </c>
      <c r="AG119" s="418">
        <f>VLOOKUP('Physical Effects'!BL123,Lookup!$B$4:$C$14,2,FALSE)</f>
        <v>4</v>
      </c>
      <c r="AH119" s="418">
        <f>VLOOKUP('Physical Effects'!BN123,Lookup!$B$4:$C$14,2,FALSE)</f>
        <v>4</v>
      </c>
      <c r="AI119" s="418">
        <f>VLOOKUP('Physical Effects'!BP123,Lookup!$B$4:$C$14,2,FALSE)</f>
        <v>0</v>
      </c>
      <c r="AJ119" s="418">
        <f>VLOOKUP('Physical Effects'!BR123,Lookup!$B$4:$C$14,2,FALSE)</f>
        <v>0</v>
      </c>
      <c r="AK119" s="418">
        <f>VLOOKUP('Physical Effects'!BT123,Lookup!$B$4:$C$14,2,FALSE)</f>
        <v>0</v>
      </c>
      <c r="AL119" s="418">
        <f>VLOOKUP('Physical Effects'!BV123,Lookup!$B$4:$C$14,2,FALSE)</f>
        <v>0</v>
      </c>
      <c r="AM119" s="418">
        <f>VLOOKUP('Physical Effects'!BX123,Lookup!$B$4:$C$14,2,FALSE)</f>
        <v>0</v>
      </c>
      <c r="AN119" s="418">
        <f>VLOOKUP('Physical Effects'!BZ123,Lookup!$B$4:$C$14,2,FALSE)</f>
        <v>0</v>
      </c>
      <c r="AO119" s="418">
        <f>VLOOKUP('Physical Effects'!CB123,Lookup!$B$4:$C$14,2,FALSE)</f>
        <v>0</v>
      </c>
      <c r="AP119" s="418">
        <f>VLOOKUP('Physical Effects'!CD123,Lookup!$B$4:$C$14,2,FALSE)</f>
        <v>0</v>
      </c>
      <c r="AQ119" s="418">
        <f>VLOOKUP('Physical Effects'!CF123,Lookup!$B$4:$C$14,2,FALSE)</f>
        <v>0</v>
      </c>
      <c r="AR119" s="418">
        <f>VLOOKUP('Physical Effects'!CH123,Lookup!$B$4:$C$14,2,FALSE)</f>
        <v>0</v>
      </c>
      <c r="AS119" s="418">
        <f>VLOOKUP('Physical Effects'!CJ123,Lookup!$B$4:$C$14,2,FALSE)</f>
        <v>0</v>
      </c>
      <c r="AT119" s="418">
        <f>VLOOKUP('Physical Effects'!CL123,Lookup!$B$4:$C$14,2,FALSE)</f>
        <v>1</v>
      </c>
      <c r="AU119" s="418">
        <f>VLOOKUP('Physical Effects'!CN123,Lookup!$B$4:$C$14,2,FALSE)</f>
        <v>0</v>
      </c>
      <c r="AV119" s="28"/>
      <c r="AW119" s="23"/>
      <c r="AX119" s="23"/>
      <c r="AY119" s="23"/>
      <c r="AZ119" s="23"/>
      <c r="BA119" s="23"/>
      <c r="BB119" s="23"/>
      <c r="BC119" s="23"/>
      <c r="BD119" s="23"/>
      <c r="BE119" s="23"/>
      <c r="BF119" s="23"/>
    </row>
    <row r="120" spans="1:58" s="5" customFormat="1" ht="13.5" thickBot="1" x14ac:dyDescent="0.25">
      <c r="A120" s="123">
        <f t="shared" si="1"/>
        <v>119</v>
      </c>
      <c r="B120" s="19" t="str">
        <f>+'Physical Effects'!B124</f>
        <v>Row Arrangement</v>
      </c>
      <c r="C120" s="32">
        <f>+'Physical Effects'!D124</f>
        <v>557</v>
      </c>
      <c r="D120" s="418">
        <f>VLOOKUP('Physical Effects'!F124,Lookup!$B$4:$C$14,2,FALSE)</f>
        <v>3</v>
      </c>
      <c r="E120" s="418">
        <f>VLOOKUP('Physical Effects'!H124,Lookup!$B$4:$C$14,2,FALSE)</f>
        <v>1</v>
      </c>
      <c r="F120" s="418">
        <f>VLOOKUP('Physical Effects'!J124,Lookup!$B$4:$C$14,2,FALSE)</f>
        <v>3</v>
      </c>
      <c r="G120" s="418">
        <f>VLOOKUP('Physical Effects'!L124,Lookup!$B$4:$C$14,2,FALSE)</f>
        <v>0</v>
      </c>
      <c r="H120" s="418">
        <f>VLOOKUP('Physical Effects'!N124,Lookup!$B$4:$C$14,2,FALSE)</f>
        <v>0</v>
      </c>
      <c r="I120" s="418">
        <f>VLOOKUP('Physical Effects'!P124,Lookup!$B$4:$C$14,2,FALSE)</f>
        <v>1</v>
      </c>
      <c r="J120" s="418">
        <f>VLOOKUP('Physical Effects'!R124,Lookup!$B$4:$C$14,2,FALSE)</f>
        <v>0</v>
      </c>
      <c r="K120" s="418">
        <f>VLOOKUP('Physical Effects'!T124,Lookup!$B$4:$C$14,2,FALSE)</f>
        <v>0</v>
      </c>
      <c r="L120" s="418">
        <f>VLOOKUP('Physical Effects'!V124,Lookup!$B$4:$C$14,2,FALSE)</f>
        <v>1</v>
      </c>
      <c r="M120" s="418">
        <f>VLOOKUP('Physical Effects'!X124,Lookup!$B$4:$C$14,2,FALSE)</f>
        <v>-1</v>
      </c>
      <c r="N120" s="418">
        <f>VLOOKUP('Physical Effects'!Z124,Lookup!$B$4:$C$14,2,FALSE)</f>
        <v>2</v>
      </c>
      <c r="O120" s="418">
        <f>VLOOKUP('Physical Effects'!AB124,Lookup!$B$4:$C$14,2,FALSE)</f>
        <v>-1</v>
      </c>
      <c r="P120" s="418">
        <f>VLOOKUP('Physical Effects'!AD124,Lookup!$B$4:$C$14,2,FALSE)</f>
        <v>0</v>
      </c>
      <c r="Q120" s="418">
        <f>VLOOKUP('Physical Effects'!AF124,Lookup!$B$4:$C$14,2,FALSE)</f>
        <v>4</v>
      </c>
      <c r="R120" s="418">
        <f>VLOOKUP('Physical Effects'!AH124,Lookup!$B$4:$C$14,2,FALSE)</f>
        <v>4</v>
      </c>
      <c r="S120" s="418">
        <f>VLOOKUP('Physical Effects'!AJ124,Lookup!$B$4:$C$14,2,FALSE)</f>
        <v>1</v>
      </c>
      <c r="T120" s="418">
        <f>VLOOKUP('Physical Effects'!AL124,Lookup!$B$4:$C$14,2,FALSE)</f>
        <v>-1</v>
      </c>
      <c r="U120" s="418">
        <f>VLOOKUP('Physical Effects'!AN124,Lookup!$B$4:$C$14,2,FALSE)</f>
        <v>-2</v>
      </c>
      <c r="V120" s="418">
        <f>VLOOKUP('Physical Effects'!AP124,Lookup!$B$4:$C$14,2,FALSE)</f>
        <v>2</v>
      </c>
      <c r="W120" s="418">
        <f>VLOOKUP('Physical Effects'!AR124,Lookup!$B$4:$C$14,2,FALSE)</f>
        <v>0</v>
      </c>
      <c r="X120" s="418">
        <f>VLOOKUP('Physical Effects'!AT124,Lookup!$B$4:$C$14,2,FALSE)</f>
        <v>0</v>
      </c>
      <c r="Y120" s="418">
        <f>VLOOKUP('Physical Effects'!AV124,Lookup!$B$4:$C$14,2,FALSE)</f>
        <v>1</v>
      </c>
      <c r="Z120" s="418">
        <f>VLOOKUP('Physical Effects'!AX124,Lookup!$B$4:$C$14,2,FALSE)</f>
        <v>0</v>
      </c>
      <c r="AA120" s="418">
        <f>VLOOKUP('Physical Effects'!AZ124,Lookup!$B$4:$C$14,2,FALSE)</f>
        <v>2</v>
      </c>
      <c r="AB120" s="418">
        <f>VLOOKUP('Physical Effects'!BB124,Lookup!$B$4:$C$14,2,FALSE)</f>
        <v>0</v>
      </c>
      <c r="AC120" s="418">
        <f>VLOOKUP('Physical Effects'!BD124,Lookup!$B$4:$C$14,2,FALSE)</f>
        <v>0</v>
      </c>
      <c r="AD120" s="418">
        <f>VLOOKUP('Physical Effects'!BF124,Lookup!$B$4:$C$14,2,FALSE)</f>
        <v>0</v>
      </c>
      <c r="AE120" s="418">
        <f>VLOOKUP('Physical Effects'!BH124,Lookup!$B$4:$C$14,2,FALSE)</f>
        <v>0</v>
      </c>
      <c r="AF120" s="418">
        <f>VLOOKUP('Physical Effects'!BJ124,Lookup!$B$4:$C$14,2,FALSE)</f>
        <v>0</v>
      </c>
      <c r="AG120" s="418">
        <f>VLOOKUP('Physical Effects'!BL124,Lookup!$B$4:$C$14,2,FALSE)</f>
        <v>0</v>
      </c>
      <c r="AH120" s="418">
        <f>VLOOKUP('Physical Effects'!BN124,Lookup!$B$4:$C$14,2,FALSE)</f>
        <v>0</v>
      </c>
      <c r="AI120" s="418">
        <f>VLOOKUP('Physical Effects'!BP124,Lookup!$B$4:$C$14,2,FALSE)</f>
        <v>1</v>
      </c>
      <c r="AJ120" s="418">
        <f>VLOOKUP('Physical Effects'!BR124,Lookup!$B$4:$C$14,2,FALSE)</f>
        <v>0</v>
      </c>
      <c r="AK120" s="418">
        <f>VLOOKUP('Physical Effects'!BT124,Lookup!$B$4:$C$14,2,FALSE)</f>
        <v>0</v>
      </c>
      <c r="AL120" s="418">
        <f>VLOOKUP('Physical Effects'!BV124,Lookup!$B$4:$C$14,2,FALSE)</f>
        <v>0</v>
      </c>
      <c r="AM120" s="418">
        <f>VLOOKUP('Physical Effects'!BX124,Lookup!$B$4:$C$14,2,FALSE)</f>
        <v>0</v>
      </c>
      <c r="AN120" s="418">
        <f>VLOOKUP('Physical Effects'!BZ124,Lookup!$B$4:$C$14,2,FALSE)</f>
        <v>0</v>
      </c>
      <c r="AO120" s="418">
        <f>VLOOKUP('Physical Effects'!CB124,Lookup!$B$4:$C$14,2,FALSE)</f>
        <v>0</v>
      </c>
      <c r="AP120" s="418">
        <f>VLOOKUP('Physical Effects'!CD124,Lookup!$B$4:$C$14,2,FALSE)</f>
        <v>0</v>
      </c>
      <c r="AQ120" s="418">
        <f>VLOOKUP('Physical Effects'!CF124,Lookup!$B$4:$C$14,2,FALSE)</f>
        <v>0</v>
      </c>
      <c r="AR120" s="418">
        <f>VLOOKUP('Physical Effects'!CH124,Lookup!$B$4:$C$14,2,FALSE)</f>
        <v>0</v>
      </c>
      <c r="AS120" s="418">
        <f>VLOOKUP('Physical Effects'!CJ124,Lookup!$B$4:$C$14,2,FALSE)</f>
        <v>0</v>
      </c>
      <c r="AT120" s="418">
        <f>VLOOKUP('Physical Effects'!CL124,Lookup!$B$4:$C$14,2,FALSE)</f>
        <v>0</v>
      </c>
      <c r="AU120" s="418">
        <f>VLOOKUP('Physical Effects'!CN124,Lookup!$B$4:$C$14,2,FALSE)</f>
        <v>0</v>
      </c>
      <c r="AV120" s="28"/>
      <c r="AW120" s="23"/>
      <c r="AX120" s="23"/>
      <c r="AY120" s="23"/>
      <c r="AZ120" s="23"/>
      <c r="BA120" s="23"/>
      <c r="BB120" s="23"/>
      <c r="BC120" s="23"/>
      <c r="BD120" s="23"/>
      <c r="BE120" s="23"/>
      <c r="BF120" s="23"/>
    </row>
    <row r="121" spans="1:58" s="18" customFormat="1" ht="13.5" thickBot="1" x14ac:dyDescent="0.25">
      <c r="A121" s="123">
        <f t="shared" si="1"/>
        <v>120</v>
      </c>
      <c r="B121" s="19" t="str">
        <f>+'Physical Effects'!B125</f>
        <v>Salinity and Sodic Soil Management</v>
      </c>
      <c r="C121" s="32">
        <f>+'Physical Effects'!D125</f>
        <v>610</v>
      </c>
      <c r="D121" s="418">
        <f>VLOOKUP('Physical Effects'!F125,Lookup!$B$4:$C$14,2,FALSE)</f>
        <v>0</v>
      </c>
      <c r="E121" s="418">
        <f>VLOOKUP('Physical Effects'!H125,Lookup!$B$4:$C$14,2,FALSE)</f>
        <v>0</v>
      </c>
      <c r="F121" s="418">
        <f>VLOOKUP('Physical Effects'!J125,Lookup!$B$4:$C$14,2,FALSE)</f>
        <v>0</v>
      </c>
      <c r="G121" s="418">
        <f>VLOOKUP('Physical Effects'!L125,Lookup!$B$4:$C$14,2,FALSE)</f>
        <v>0</v>
      </c>
      <c r="H121" s="418">
        <f>VLOOKUP('Physical Effects'!N125,Lookup!$B$4:$C$14,2,FALSE)</f>
        <v>0</v>
      </c>
      <c r="I121" s="418">
        <f>VLOOKUP('Physical Effects'!P125,Lookup!$B$4:$C$14,2,FALSE)</f>
        <v>0</v>
      </c>
      <c r="J121" s="418">
        <f>VLOOKUP('Physical Effects'!R125,Lookup!$B$4:$C$14,2,FALSE)</f>
        <v>0</v>
      </c>
      <c r="K121" s="418">
        <f>VLOOKUP('Physical Effects'!T125,Lookup!$B$4:$C$14,2,FALSE)</f>
        <v>0</v>
      </c>
      <c r="L121" s="418">
        <f>VLOOKUP('Physical Effects'!V125,Lookup!$B$4:$C$14,2,FALSE)</f>
        <v>2</v>
      </c>
      <c r="M121" s="418">
        <f>VLOOKUP('Physical Effects'!X125,Lookup!$B$4:$C$14,2,FALSE)</f>
        <v>0</v>
      </c>
      <c r="N121" s="418">
        <f>VLOOKUP('Physical Effects'!Z125,Lookup!$B$4:$C$14,2,FALSE)</f>
        <v>0</v>
      </c>
      <c r="O121" s="418">
        <f>VLOOKUP('Physical Effects'!AB125,Lookup!$B$4:$C$14,2,FALSE)</f>
        <v>0</v>
      </c>
      <c r="P121" s="418">
        <f>VLOOKUP('Physical Effects'!AD125,Lookup!$B$4:$C$14,2,FALSE)</f>
        <v>0</v>
      </c>
      <c r="Q121" s="418">
        <f>VLOOKUP('Physical Effects'!AF125,Lookup!$B$4:$C$14,2,FALSE)</f>
        <v>2</v>
      </c>
      <c r="R121" s="418">
        <f>VLOOKUP('Physical Effects'!AH125,Lookup!$B$4:$C$14,2,FALSE)</f>
        <v>2</v>
      </c>
      <c r="S121" s="418">
        <f>VLOOKUP('Physical Effects'!AJ125,Lookup!$B$4:$C$14,2,FALSE)</f>
        <v>0</v>
      </c>
      <c r="T121" s="418">
        <f>VLOOKUP('Physical Effects'!AL125,Lookup!$B$4:$C$14,2,FALSE)</f>
        <v>0</v>
      </c>
      <c r="U121" s="418">
        <f>VLOOKUP('Physical Effects'!AN125,Lookup!$B$4:$C$14,2,FALSE)</f>
        <v>0</v>
      </c>
      <c r="V121" s="418">
        <f>VLOOKUP('Physical Effects'!AP125,Lookup!$B$4:$C$14,2,FALSE)</f>
        <v>0</v>
      </c>
      <c r="W121" s="418">
        <f>VLOOKUP('Physical Effects'!AR125,Lookup!$B$4:$C$14,2,FALSE)</f>
        <v>-2</v>
      </c>
      <c r="X121" s="418">
        <f>VLOOKUP('Physical Effects'!AT125,Lookup!$B$4:$C$14,2,FALSE)</f>
        <v>-2</v>
      </c>
      <c r="Y121" s="418">
        <f>VLOOKUP('Physical Effects'!AV125,Lookup!$B$4:$C$14,2,FALSE)</f>
        <v>0</v>
      </c>
      <c r="Z121" s="418">
        <f>VLOOKUP('Physical Effects'!AX125,Lookup!$B$4:$C$14,2,FALSE)</f>
        <v>-1</v>
      </c>
      <c r="AA121" s="418">
        <f>VLOOKUP('Physical Effects'!AZ125,Lookup!$B$4:$C$14,2,FALSE)</f>
        <v>0</v>
      </c>
      <c r="AB121" s="418">
        <f>VLOOKUP('Physical Effects'!BB125,Lookup!$B$4:$C$14,2,FALSE)</f>
        <v>0</v>
      </c>
      <c r="AC121" s="418">
        <f>VLOOKUP('Physical Effects'!BD125,Lookup!$B$4:$C$14,2,FALSE)</f>
        <v>0</v>
      </c>
      <c r="AD121" s="418">
        <f>VLOOKUP('Physical Effects'!BF125,Lookup!$B$4:$C$14,2,FALSE)</f>
        <v>-1</v>
      </c>
      <c r="AE121" s="418">
        <f>VLOOKUP('Physical Effects'!BH125,Lookup!$B$4:$C$14,2,FALSE)</f>
        <v>1</v>
      </c>
      <c r="AF121" s="418">
        <f>VLOOKUP('Physical Effects'!BJ125,Lookup!$B$4:$C$14,2,FALSE)</f>
        <v>0</v>
      </c>
      <c r="AG121" s="418">
        <f>VLOOKUP('Physical Effects'!BL125,Lookup!$B$4:$C$14,2,FALSE)</f>
        <v>1</v>
      </c>
      <c r="AH121" s="418">
        <f>VLOOKUP('Physical Effects'!BN125,Lookup!$B$4:$C$14,2,FALSE)</f>
        <v>0</v>
      </c>
      <c r="AI121" s="418">
        <f>VLOOKUP('Physical Effects'!BP125,Lookup!$B$4:$C$14,2,FALSE)</f>
        <v>2</v>
      </c>
      <c r="AJ121" s="418">
        <f>VLOOKUP('Physical Effects'!BR125,Lookup!$B$4:$C$14,2,FALSE)</f>
        <v>2</v>
      </c>
      <c r="AK121" s="418">
        <f>VLOOKUP('Physical Effects'!BT125,Lookup!$B$4:$C$14,2,FALSE)</f>
        <v>0</v>
      </c>
      <c r="AL121" s="418">
        <f>VLOOKUP('Physical Effects'!BV125,Lookup!$B$4:$C$14,2,FALSE)</f>
        <v>0</v>
      </c>
      <c r="AM121" s="418">
        <f>VLOOKUP('Physical Effects'!BX125,Lookup!$B$4:$C$14,2,FALSE)</f>
        <v>0</v>
      </c>
      <c r="AN121" s="418">
        <f>VLOOKUP('Physical Effects'!BZ125,Lookup!$B$4:$C$14,2,FALSE)</f>
        <v>0</v>
      </c>
      <c r="AO121" s="418">
        <f>VLOOKUP('Physical Effects'!CB125,Lookup!$B$4:$C$14,2,FALSE)</f>
        <v>0</v>
      </c>
      <c r="AP121" s="418">
        <f>VLOOKUP('Physical Effects'!CD125,Lookup!$B$4:$C$14,2,FALSE)</f>
        <v>0</v>
      </c>
      <c r="AQ121" s="418">
        <f>VLOOKUP('Physical Effects'!CF125,Lookup!$B$4:$C$14,2,FALSE)</f>
        <v>4</v>
      </c>
      <c r="AR121" s="418">
        <f>VLOOKUP('Physical Effects'!CH125,Lookup!$B$4:$C$14,2,FALSE)</f>
        <v>0</v>
      </c>
      <c r="AS121" s="418">
        <f>VLOOKUP('Physical Effects'!CJ125,Lookup!$B$4:$C$14,2,FALSE)</f>
        <v>0</v>
      </c>
      <c r="AT121" s="418">
        <f>VLOOKUP('Physical Effects'!CL125,Lookup!$B$4:$C$14,2,FALSE)</f>
        <v>0</v>
      </c>
      <c r="AU121" s="418">
        <f>VLOOKUP('Physical Effects'!CN125,Lookup!$B$4:$C$14,2,FALSE)</f>
        <v>0</v>
      </c>
      <c r="AV121" s="38"/>
    </row>
    <row r="122" spans="1:58" s="5" customFormat="1" ht="13.5" thickBot="1" x14ac:dyDescent="0.25">
      <c r="A122" s="123">
        <f t="shared" si="1"/>
        <v>121</v>
      </c>
      <c r="B122" s="19" t="str">
        <f>+'Physical Effects'!B126</f>
        <v>Saturated Buffer</v>
      </c>
      <c r="C122" s="32">
        <f>+'Physical Effects'!D126</f>
        <v>604</v>
      </c>
      <c r="D122" s="418">
        <f>VLOOKUP('Physical Effects'!F126,Lookup!$B$4:$C$14,2,FALSE)</f>
        <v>0</v>
      </c>
      <c r="E122" s="418">
        <f>VLOOKUP('Physical Effects'!H126,Lookup!$B$4:$C$14,2,FALSE)</f>
        <v>0</v>
      </c>
      <c r="F122" s="418">
        <f>VLOOKUP('Physical Effects'!J126,Lookup!$B$4:$C$14,2,FALSE)</f>
        <v>0</v>
      </c>
      <c r="G122" s="418">
        <f>VLOOKUP('Physical Effects'!L126,Lookup!$B$4:$C$14,2,FALSE)</f>
        <v>0</v>
      </c>
      <c r="H122" s="418">
        <f>VLOOKUP('Physical Effects'!N126,Lookup!$B$4:$C$14,2,FALSE)</f>
        <v>0</v>
      </c>
      <c r="I122" s="418">
        <f>VLOOKUP('Physical Effects'!P126,Lookup!$B$4:$C$14,2,FALSE)</f>
        <v>0</v>
      </c>
      <c r="J122" s="418">
        <f>VLOOKUP('Physical Effects'!R126,Lookup!$B$4:$C$14,2,FALSE)</f>
        <v>0</v>
      </c>
      <c r="K122" s="418">
        <f>VLOOKUP('Physical Effects'!T126,Lookup!$B$4:$C$14,2,FALSE)</f>
        <v>0</v>
      </c>
      <c r="L122" s="418">
        <f>VLOOKUP('Physical Effects'!V126,Lookup!$B$4:$C$14,2,FALSE)</f>
        <v>0</v>
      </c>
      <c r="M122" s="418">
        <f>VLOOKUP('Physical Effects'!X126,Lookup!$B$4:$C$14,2,FALSE)</f>
        <v>0</v>
      </c>
      <c r="N122" s="418">
        <f>VLOOKUP('Physical Effects'!Z126,Lookup!$B$4:$C$14,2,FALSE)</f>
        <v>0</v>
      </c>
      <c r="O122" s="418">
        <f>VLOOKUP('Physical Effects'!AB126,Lookup!$B$4:$C$14,2,FALSE)</f>
        <v>0</v>
      </c>
      <c r="P122" s="418">
        <f>VLOOKUP('Physical Effects'!AD126,Lookup!$B$4:$C$14,2,FALSE)</f>
        <v>0</v>
      </c>
      <c r="Q122" s="418">
        <f>VLOOKUP('Physical Effects'!AF126,Lookup!$B$4:$C$14,2,FALSE)</f>
        <v>0</v>
      </c>
      <c r="R122" s="418">
        <f>VLOOKUP('Physical Effects'!AH126,Lookup!$B$4:$C$14,2,FALSE)</f>
        <v>0</v>
      </c>
      <c r="S122" s="418">
        <f>VLOOKUP('Physical Effects'!AJ126,Lookup!$B$4:$C$14,2,FALSE)</f>
        <v>0</v>
      </c>
      <c r="T122" s="418">
        <f>VLOOKUP('Physical Effects'!AL126,Lookup!$B$4:$C$14,2,FALSE)</f>
        <v>0</v>
      </c>
      <c r="U122" s="418">
        <f>VLOOKUP('Physical Effects'!AN126,Lookup!$B$4:$C$14,2,FALSE)</f>
        <v>5</v>
      </c>
      <c r="V122" s="418">
        <f>VLOOKUP('Physical Effects'!AP126,Lookup!$B$4:$C$14,2,FALSE)</f>
        <v>0</v>
      </c>
      <c r="W122" s="418">
        <f>VLOOKUP('Physical Effects'!AR126,Lookup!$B$4:$C$14,2,FALSE)</f>
        <v>0</v>
      </c>
      <c r="X122" s="418">
        <f>VLOOKUP('Physical Effects'!AT126,Lookup!$B$4:$C$14,2,FALSE)</f>
        <v>0</v>
      </c>
      <c r="Y122" s="418">
        <f>VLOOKUP('Physical Effects'!AV126,Lookup!$B$4:$C$14,2,FALSE)</f>
        <v>0</v>
      </c>
      <c r="Z122" s="418">
        <f>VLOOKUP('Physical Effects'!AX126,Lookup!$B$4:$C$14,2,FALSE)</f>
        <v>0</v>
      </c>
      <c r="AA122" s="418">
        <f>VLOOKUP('Physical Effects'!AZ126,Lookup!$B$4:$C$14,2,FALSE)</f>
        <v>0</v>
      </c>
      <c r="AB122" s="418">
        <f>VLOOKUP('Physical Effects'!BB126,Lookup!$B$4:$C$14,2,FALSE)</f>
        <v>0</v>
      </c>
      <c r="AC122" s="418">
        <f>VLOOKUP('Physical Effects'!BD126,Lookup!$B$4:$C$14,2,FALSE)</f>
        <v>0</v>
      </c>
      <c r="AD122" s="418">
        <f>VLOOKUP('Physical Effects'!BF126,Lookup!$B$4:$C$14,2,FALSE)</f>
        <v>0</v>
      </c>
      <c r="AE122" s="418">
        <f>VLOOKUP('Physical Effects'!BH126,Lookup!$B$4:$C$14,2,FALSE)</f>
        <v>0</v>
      </c>
      <c r="AF122" s="418">
        <f>VLOOKUP('Physical Effects'!BJ126,Lookup!$B$4:$C$14,2,FALSE)</f>
        <v>0</v>
      </c>
      <c r="AG122" s="418">
        <f>VLOOKUP('Physical Effects'!BL126,Lookup!$B$4:$C$14,2,FALSE)</f>
        <v>0</v>
      </c>
      <c r="AH122" s="418">
        <f>VLOOKUP('Physical Effects'!BN126,Lookup!$B$4:$C$14,2,FALSE)</f>
        <v>0</v>
      </c>
      <c r="AI122" s="418">
        <f>VLOOKUP('Physical Effects'!BP126,Lookup!$B$4:$C$14,2,FALSE)</f>
        <v>0</v>
      </c>
      <c r="AJ122" s="418">
        <f>VLOOKUP('Physical Effects'!BR126,Lookup!$B$4:$C$14,2,FALSE)</f>
        <v>0</v>
      </c>
      <c r="AK122" s="418">
        <f>VLOOKUP('Physical Effects'!BT126,Lookup!$B$4:$C$14,2,FALSE)</f>
        <v>0</v>
      </c>
      <c r="AL122" s="418">
        <f>VLOOKUP('Physical Effects'!BV126,Lookup!$B$4:$C$14,2,FALSE)</f>
        <v>0</v>
      </c>
      <c r="AM122" s="418">
        <f>VLOOKUP('Physical Effects'!BX126,Lookup!$B$4:$C$14,2,FALSE)</f>
        <v>0</v>
      </c>
      <c r="AN122" s="418">
        <f>VLOOKUP('Physical Effects'!BZ126,Lookup!$B$4:$C$14,2,FALSE)</f>
        <v>0</v>
      </c>
      <c r="AO122" s="418">
        <f>VLOOKUP('Physical Effects'!CB126,Lookup!$B$4:$C$14,2,FALSE)</f>
        <v>0</v>
      </c>
      <c r="AP122" s="418">
        <f>VLOOKUP('Physical Effects'!CD126,Lookup!$B$4:$C$14,2,FALSE)</f>
        <v>0</v>
      </c>
      <c r="AQ122" s="418">
        <f>VLOOKUP('Physical Effects'!CF126,Lookup!$B$4:$C$14,2,FALSE)</f>
        <v>0</v>
      </c>
      <c r="AR122" s="418">
        <f>VLOOKUP('Physical Effects'!CH126,Lookup!$B$4:$C$14,2,FALSE)</f>
        <v>0</v>
      </c>
      <c r="AS122" s="418">
        <f>VLOOKUP('Physical Effects'!CJ126,Lookup!$B$4:$C$14,2,FALSE)</f>
        <v>0</v>
      </c>
      <c r="AT122" s="418">
        <f>VLOOKUP('Physical Effects'!CL126,Lookup!$B$4:$C$14,2,FALSE)</f>
        <v>0</v>
      </c>
      <c r="AU122" s="418">
        <f>VLOOKUP('Physical Effects'!CN126,Lookup!$B$4:$C$14,2,FALSE)</f>
        <v>0</v>
      </c>
      <c r="AV122" s="28"/>
      <c r="AW122" s="23"/>
      <c r="AX122" s="23"/>
      <c r="AY122" s="23"/>
      <c r="AZ122" s="23"/>
      <c r="BA122" s="23"/>
      <c r="BB122" s="23"/>
      <c r="BC122" s="23"/>
      <c r="BD122" s="23"/>
      <c r="BE122" s="23"/>
      <c r="BF122" s="23"/>
    </row>
    <row r="123" spans="1:58" s="5" customFormat="1" ht="13.5" thickBot="1" x14ac:dyDescent="0.25">
      <c r="A123" s="123">
        <f t="shared" si="1"/>
        <v>122</v>
      </c>
      <c r="B123" s="19" t="str">
        <f>+'Physical Effects'!B127</f>
        <v>Sediment Basin</v>
      </c>
      <c r="C123" s="32">
        <f>+'Physical Effects'!D127</f>
        <v>350</v>
      </c>
      <c r="D123" s="418">
        <f>VLOOKUP('Physical Effects'!F127,Lookup!$B$4:$C$14,2,FALSE)</f>
        <v>0</v>
      </c>
      <c r="E123" s="418">
        <f>VLOOKUP('Physical Effects'!H127,Lookup!$B$4:$C$14,2,FALSE)</f>
        <v>0</v>
      </c>
      <c r="F123" s="418">
        <f>VLOOKUP('Physical Effects'!J127,Lookup!$B$4:$C$14,2,FALSE)</f>
        <v>2</v>
      </c>
      <c r="G123" s="418">
        <f>VLOOKUP('Physical Effects'!L127,Lookup!$B$4:$C$14,2,FALSE)</f>
        <v>2</v>
      </c>
      <c r="H123" s="418">
        <f>VLOOKUP('Physical Effects'!N127,Lookup!$B$4:$C$14,2,FALSE)</f>
        <v>0</v>
      </c>
      <c r="I123" s="418">
        <f>VLOOKUP('Physical Effects'!P127,Lookup!$B$4:$C$14,2,FALSE)</f>
        <v>0</v>
      </c>
      <c r="J123" s="418">
        <f>VLOOKUP('Physical Effects'!R127,Lookup!$B$4:$C$14,2,FALSE)</f>
        <v>0</v>
      </c>
      <c r="K123" s="418">
        <f>VLOOKUP('Physical Effects'!T127,Lookup!$B$4:$C$14,2,FALSE)</f>
        <v>0</v>
      </c>
      <c r="L123" s="418">
        <f>VLOOKUP('Physical Effects'!V127,Lookup!$B$4:$C$14,2,FALSE)</f>
        <v>0</v>
      </c>
      <c r="M123" s="418">
        <f>VLOOKUP('Physical Effects'!X127,Lookup!$B$4:$C$14,2,FALSE)</f>
        <v>-2</v>
      </c>
      <c r="N123" s="418">
        <f>VLOOKUP('Physical Effects'!Z127,Lookup!$B$4:$C$14,2,FALSE)</f>
        <v>2</v>
      </c>
      <c r="O123" s="418">
        <f>VLOOKUP('Physical Effects'!AB127,Lookup!$B$4:$C$14,2,FALSE)</f>
        <v>-2</v>
      </c>
      <c r="P123" s="418">
        <f>VLOOKUP('Physical Effects'!AD127,Lookup!$B$4:$C$14,2,FALSE)</f>
        <v>0</v>
      </c>
      <c r="Q123" s="418">
        <f>VLOOKUP('Physical Effects'!AF127,Lookup!$B$4:$C$14,2,FALSE)</f>
        <v>0</v>
      </c>
      <c r="R123" s="418">
        <f>VLOOKUP('Physical Effects'!AH127,Lookup!$B$4:$C$14,2,FALSE)</f>
        <v>0</v>
      </c>
      <c r="S123" s="418">
        <f>VLOOKUP('Physical Effects'!AJ127,Lookup!$B$4:$C$14,2,FALSE)</f>
        <v>2</v>
      </c>
      <c r="T123" s="418">
        <f>VLOOKUP('Physical Effects'!AL127,Lookup!$B$4:$C$14,2,FALSE)</f>
        <v>-1</v>
      </c>
      <c r="U123" s="418">
        <f>VLOOKUP('Physical Effects'!AN127,Lookup!$B$4:$C$14,2,FALSE)</f>
        <v>5</v>
      </c>
      <c r="V123" s="418">
        <f>VLOOKUP('Physical Effects'!AP127,Lookup!$B$4:$C$14,2,FALSE)</f>
        <v>-1</v>
      </c>
      <c r="W123" s="418">
        <f>VLOOKUP('Physical Effects'!AR127,Lookup!$B$4:$C$14,2,FALSE)</f>
        <v>2</v>
      </c>
      <c r="X123" s="418">
        <f>VLOOKUP('Physical Effects'!AT127,Lookup!$B$4:$C$14,2,FALSE)</f>
        <v>-1</v>
      </c>
      <c r="Y123" s="418">
        <f>VLOOKUP('Physical Effects'!AV127,Lookup!$B$4:$C$14,2,FALSE)</f>
        <v>2</v>
      </c>
      <c r="Z123" s="418">
        <f>VLOOKUP('Physical Effects'!AX127,Lookup!$B$4:$C$14,2,FALSE)</f>
        <v>-1</v>
      </c>
      <c r="AA123" s="418">
        <f>VLOOKUP('Physical Effects'!AZ127,Lookup!$B$4:$C$14,2,FALSE)</f>
        <v>4</v>
      </c>
      <c r="AB123" s="418">
        <f>VLOOKUP('Physical Effects'!BB127,Lookup!$B$4:$C$14,2,FALSE)</f>
        <v>0</v>
      </c>
      <c r="AC123" s="418">
        <f>VLOOKUP('Physical Effects'!BD127,Lookup!$B$4:$C$14,2,FALSE)</f>
        <v>2</v>
      </c>
      <c r="AD123" s="418">
        <f>VLOOKUP('Physical Effects'!BF127,Lookup!$B$4:$C$14,2,FALSE)</f>
        <v>-1</v>
      </c>
      <c r="AE123" s="418">
        <f>VLOOKUP('Physical Effects'!BH127,Lookup!$B$4:$C$14,2,FALSE)</f>
        <v>0</v>
      </c>
      <c r="AF123" s="418">
        <f>VLOOKUP('Physical Effects'!BJ127,Lookup!$B$4:$C$14,2,FALSE)</f>
        <v>0</v>
      </c>
      <c r="AG123" s="418">
        <f>VLOOKUP('Physical Effects'!BL127,Lookup!$B$4:$C$14,2,FALSE)</f>
        <v>0</v>
      </c>
      <c r="AH123" s="418">
        <f>VLOOKUP('Physical Effects'!BN127,Lookup!$B$4:$C$14,2,FALSE)</f>
        <v>0</v>
      </c>
      <c r="AI123" s="418">
        <f>VLOOKUP('Physical Effects'!BP127,Lookup!$B$4:$C$14,2,FALSE)</f>
        <v>0</v>
      </c>
      <c r="AJ123" s="418">
        <f>VLOOKUP('Physical Effects'!BR127,Lookup!$B$4:$C$14,2,FALSE)</f>
        <v>0</v>
      </c>
      <c r="AK123" s="418">
        <f>VLOOKUP('Physical Effects'!BT127,Lookup!$B$4:$C$14,2,FALSE)</f>
        <v>0</v>
      </c>
      <c r="AL123" s="418">
        <f>VLOOKUP('Physical Effects'!BV127,Lookup!$B$4:$C$14,2,FALSE)</f>
        <v>0</v>
      </c>
      <c r="AM123" s="418">
        <f>VLOOKUP('Physical Effects'!BX127,Lookup!$B$4:$C$14,2,FALSE)</f>
        <v>-1</v>
      </c>
      <c r="AN123" s="418">
        <f>VLOOKUP('Physical Effects'!BZ127,Lookup!$B$4:$C$14,2,FALSE)</f>
        <v>-1</v>
      </c>
      <c r="AO123" s="418">
        <f>VLOOKUP('Physical Effects'!CB127,Lookup!$B$4:$C$14,2,FALSE)</f>
        <v>1</v>
      </c>
      <c r="AP123" s="418">
        <f>VLOOKUP('Physical Effects'!CD127,Lookup!$B$4:$C$14,2,FALSE)</f>
        <v>0</v>
      </c>
      <c r="AQ123" s="418">
        <f>VLOOKUP('Physical Effects'!CF127,Lookup!$B$4:$C$14,2,FALSE)</f>
        <v>0</v>
      </c>
      <c r="AR123" s="418">
        <f>VLOOKUP('Physical Effects'!CH127,Lookup!$B$4:$C$14,2,FALSE)</f>
        <v>0</v>
      </c>
      <c r="AS123" s="418">
        <f>VLOOKUP('Physical Effects'!CJ127,Lookup!$B$4:$C$14,2,FALSE)</f>
        <v>0</v>
      </c>
      <c r="AT123" s="418">
        <f>VLOOKUP('Physical Effects'!CL127,Lookup!$B$4:$C$14,2,FALSE)</f>
        <v>0</v>
      </c>
      <c r="AU123" s="418">
        <f>VLOOKUP('Physical Effects'!CN127,Lookup!$B$4:$C$14,2,FALSE)</f>
        <v>0</v>
      </c>
      <c r="AV123" s="28"/>
      <c r="AW123" s="23"/>
      <c r="AX123" s="23"/>
      <c r="AY123" s="23"/>
      <c r="AZ123" s="23"/>
      <c r="BA123" s="23"/>
      <c r="BB123" s="23"/>
      <c r="BC123" s="23"/>
      <c r="BD123" s="23"/>
      <c r="BE123" s="23"/>
      <c r="BF123" s="23"/>
    </row>
    <row r="124" spans="1:58" s="6" customFormat="1" ht="13.5" thickBot="1" x14ac:dyDescent="0.25">
      <c r="A124" s="123">
        <f t="shared" si="1"/>
        <v>123</v>
      </c>
      <c r="B124" s="19" t="str">
        <f>+'Physical Effects'!B128</f>
        <v>Shallow Water Development and Management</v>
      </c>
      <c r="C124" s="32">
        <f>+'Physical Effects'!D128</f>
        <v>646</v>
      </c>
      <c r="D124" s="418">
        <f>VLOOKUP('Physical Effects'!F128,Lookup!$B$4:$C$14,2,FALSE)</f>
        <v>0</v>
      </c>
      <c r="E124" s="418">
        <f>VLOOKUP('Physical Effects'!H128,Lookup!$B$4:$C$14,2,FALSE)</f>
        <v>0</v>
      </c>
      <c r="F124" s="418">
        <f>VLOOKUP('Physical Effects'!J128,Lookup!$B$4:$C$14,2,FALSE)</f>
        <v>0</v>
      </c>
      <c r="G124" s="418">
        <f>VLOOKUP('Physical Effects'!L128,Lookup!$B$4:$C$14,2,FALSE)</f>
        <v>0</v>
      </c>
      <c r="H124" s="418">
        <f>VLOOKUP('Physical Effects'!N128,Lookup!$B$4:$C$14,2,FALSE)</f>
        <v>0</v>
      </c>
      <c r="I124" s="418">
        <f>VLOOKUP('Physical Effects'!P128,Lookup!$B$4:$C$14,2,FALSE)</f>
        <v>1</v>
      </c>
      <c r="J124" s="418">
        <f>VLOOKUP('Physical Effects'!R128,Lookup!$B$4:$C$14,2,FALSE)</f>
        <v>0</v>
      </c>
      <c r="K124" s="418">
        <f>VLOOKUP('Physical Effects'!T128,Lookup!$B$4:$C$14,2,FALSE)</f>
        <v>0</v>
      </c>
      <c r="L124" s="418">
        <f>VLOOKUP('Physical Effects'!V128,Lookup!$B$4:$C$14,2,FALSE)</f>
        <v>0</v>
      </c>
      <c r="M124" s="418">
        <f>VLOOKUP('Physical Effects'!X128,Lookup!$B$4:$C$14,2,FALSE)</f>
        <v>0</v>
      </c>
      <c r="N124" s="418">
        <f>VLOOKUP('Physical Effects'!Z128,Lookup!$B$4:$C$14,2,FALSE)</f>
        <v>2</v>
      </c>
      <c r="O124" s="418">
        <f>VLOOKUP('Physical Effects'!AB128,Lookup!$B$4:$C$14,2,FALSE)</f>
        <v>0</v>
      </c>
      <c r="P124" s="418">
        <f>VLOOKUP('Physical Effects'!AD128,Lookup!$B$4:$C$14,2,FALSE)</f>
        <v>0</v>
      </c>
      <c r="Q124" s="418">
        <f>VLOOKUP('Physical Effects'!AF128,Lookup!$B$4:$C$14,2,FALSE)</f>
        <v>0</v>
      </c>
      <c r="R124" s="418">
        <f>VLOOKUP('Physical Effects'!AH128,Lookup!$B$4:$C$14,2,FALSE)</f>
        <v>0</v>
      </c>
      <c r="S124" s="418">
        <f>VLOOKUP('Physical Effects'!AJ128,Lookup!$B$4:$C$14,2,FALSE)</f>
        <v>0</v>
      </c>
      <c r="T124" s="418">
        <f>VLOOKUP('Physical Effects'!AL128,Lookup!$B$4:$C$14,2,FALSE)</f>
        <v>0</v>
      </c>
      <c r="U124" s="418">
        <f>VLOOKUP('Physical Effects'!AN128,Lookup!$B$4:$C$14,2,FALSE)</f>
        <v>1</v>
      </c>
      <c r="V124" s="418">
        <f>VLOOKUP('Physical Effects'!AP128,Lookup!$B$4:$C$14,2,FALSE)</f>
        <v>1</v>
      </c>
      <c r="W124" s="418">
        <f>VLOOKUP('Physical Effects'!AR128,Lookup!$B$4:$C$14,2,FALSE)</f>
        <v>0</v>
      </c>
      <c r="X124" s="418">
        <f>VLOOKUP('Physical Effects'!AT128,Lookup!$B$4:$C$14,2,FALSE)</f>
        <v>-1</v>
      </c>
      <c r="Y124" s="418">
        <f>VLOOKUP('Physical Effects'!AV128,Lookup!$B$4:$C$14,2,FALSE)</f>
        <v>2</v>
      </c>
      <c r="Z124" s="418">
        <f>VLOOKUP('Physical Effects'!AX128,Lookup!$B$4:$C$14,2,FALSE)</f>
        <v>-1</v>
      </c>
      <c r="AA124" s="418">
        <f>VLOOKUP('Physical Effects'!AZ128,Lookup!$B$4:$C$14,2,FALSE)</f>
        <v>2</v>
      </c>
      <c r="AB124" s="418">
        <f>VLOOKUP('Physical Effects'!BB128,Lookup!$B$4:$C$14,2,FALSE)</f>
        <v>0</v>
      </c>
      <c r="AC124" s="418">
        <f>VLOOKUP('Physical Effects'!BD128,Lookup!$B$4:$C$14,2,FALSE)</f>
        <v>2</v>
      </c>
      <c r="AD124" s="418">
        <f>VLOOKUP('Physical Effects'!BF128,Lookup!$B$4:$C$14,2,FALSE)</f>
        <v>1</v>
      </c>
      <c r="AE124" s="418">
        <f>VLOOKUP('Physical Effects'!BH128,Lookup!$B$4:$C$14,2,FALSE)</f>
        <v>0</v>
      </c>
      <c r="AF124" s="418">
        <f>VLOOKUP('Physical Effects'!BJ128,Lookup!$B$4:$C$14,2,FALSE)</f>
        <v>0</v>
      </c>
      <c r="AG124" s="418">
        <f>VLOOKUP('Physical Effects'!BL128,Lookup!$B$4:$C$14,2,FALSE)</f>
        <v>0</v>
      </c>
      <c r="AH124" s="418">
        <f>VLOOKUP('Physical Effects'!BN128,Lookup!$B$4:$C$14,2,FALSE)</f>
        <v>0</v>
      </c>
      <c r="AI124" s="418">
        <f>VLOOKUP('Physical Effects'!BP128,Lookup!$B$4:$C$14,2,FALSE)</f>
        <v>2</v>
      </c>
      <c r="AJ124" s="418">
        <f>VLOOKUP('Physical Effects'!BR128,Lookup!$B$4:$C$14,2,FALSE)</f>
        <v>4</v>
      </c>
      <c r="AK124" s="418">
        <f>VLOOKUP('Physical Effects'!BT128,Lookup!$B$4:$C$14,2,FALSE)</f>
        <v>1</v>
      </c>
      <c r="AL124" s="418">
        <f>VLOOKUP('Physical Effects'!BV128,Lookup!$B$4:$C$14,2,FALSE)</f>
        <v>0</v>
      </c>
      <c r="AM124" s="418">
        <f>VLOOKUP('Physical Effects'!BX128,Lookup!$B$4:$C$14,2,FALSE)</f>
        <v>4</v>
      </c>
      <c r="AN124" s="418">
        <f>VLOOKUP('Physical Effects'!BZ128,Lookup!$B$4:$C$14,2,FALSE)</f>
        <v>2</v>
      </c>
      <c r="AO124" s="418">
        <f>VLOOKUP('Physical Effects'!CB128,Lookup!$B$4:$C$14,2,FALSE)</f>
        <v>2</v>
      </c>
      <c r="AP124" s="418">
        <f>VLOOKUP('Physical Effects'!CD128,Lookup!$B$4:$C$14,2,FALSE)</f>
        <v>4</v>
      </c>
      <c r="AQ124" s="418">
        <f>VLOOKUP('Physical Effects'!CF128,Lookup!$B$4:$C$14,2,FALSE)</f>
        <v>1</v>
      </c>
      <c r="AR124" s="418">
        <f>VLOOKUP('Physical Effects'!CH128,Lookup!$B$4:$C$14,2,FALSE)</f>
        <v>0</v>
      </c>
      <c r="AS124" s="418">
        <f>VLOOKUP('Physical Effects'!CJ128,Lookup!$B$4:$C$14,2,FALSE)</f>
        <v>0</v>
      </c>
      <c r="AT124" s="418">
        <f>VLOOKUP('Physical Effects'!CL128,Lookup!$B$4:$C$14,2,FALSE)</f>
        <v>0</v>
      </c>
      <c r="AU124" s="418">
        <f>VLOOKUP('Physical Effects'!CN128,Lookup!$B$4:$C$14,2,FALSE)</f>
        <v>0</v>
      </c>
      <c r="AV124" s="28"/>
      <c r="AW124" s="25"/>
      <c r="AX124" s="25"/>
      <c r="AY124" s="25"/>
      <c r="AZ124" s="25"/>
      <c r="BA124" s="25"/>
      <c r="BB124" s="25"/>
      <c r="BC124" s="25"/>
      <c r="BD124" s="25"/>
      <c r="BE124" s="25"/>
      <c r="BF124" s="25"/>
    </row>
    <row r="125" spans="1:58" s="5" customFormat="1" ht="13.5" thickBot="1" x14ac:dyDescent="0.25">
      <c r="A125" s="123">
        <f t="shared" si="1"/>
        <v>124</v>
      </c>
      <c r="B125" s="19" t="str">
        <f>+'Physical Effects'!B129</f>
        <v>Short Term Storage of Animal Waste and Byproducts</v>
      </c>
      <c r="C125" s="32" t="str">
        <f>+'Physical Effects'!D129</f>
        <v>318</v>
      </c>
      <c r="D125" s="418">
        <f>VLOOKUP('Physical Effects'!F129,Lookup!$B$4:$C$14,2,FALSE)</f>
        <v>0</v>
      </c>
      <c r="E125" s="418">
        <f>VLOOKUP('Physical Effects'!H129,Lookup!$B$4:$C$14,2,FALSE)</f>
        <v>0</v>
      </c>
      <c r="F125" s="418">
        <f>VLOOKUP('Physical Effects'!J129,Lookup!$B$4:$C$14,2,FALSE)</f>
        <v>0</v>
      </c>
      <c r="G125" s="418">
        <f>VLOOKUP('Physical Effects'!L129,Lookup!$B$4:$C$14,2,FALSE)</f>
        <v>0</v>
      </c>
      <c r="H125" s="418">
        <f>VLOOKUP('Physical Effects'!N129,Lookup!$B$4:$C$14,2,FALSE)</f>
        <v>0</v>
      </c>
      <c r="I125" s="418">
        <f>VLOOKUP('Physical Effects'!P129,Lookup!$B$4:$C$14,2,FALSE)</f>
        <v>1</v>
      </c>
      <c r="J125" s="418">
        <f>VLOOKUP('Physical Effects'!R129,Lookup!$B$4:$C$14,2,FALSE)</f>
        <v>1</v>
      </c>
      <c r="K125" s="418">
        <f>VLOOKUP('Physical Effects'!T129,Lookup!$B$4:$C$14,2,FALSE)</f>
        <v>0</v>
      </c>
      <c r="L125" s="418">
        <f>VLOOKUP('Physical Effects'!V129,Lookup!$B$4:$C$14,2,FALSE)</f>
        <v>0</v>
      </c>
      <c r="M125" s="418">
        <f>VLOOKUP('Physical Effects'!X129,Lookup!$B$4:$C$14,2,FALSE)</f>
        <v>0</v>
      </c>
      <c r="N125" s="418">
        <f>VLOOKUP('Physical Effects'!Z129,Lookup!$B$4:$C$14,2,FALSE)</f>
        <v>0</v>
      </c>
      <c r="O125" s="418">
        <f>VLOOKUP('Physical Effects'!AB129,Lookup!$B$4:$C$14,2,FALSE)</f>
        <v>0</v>
      </c>
      <c r="P125" s="418">
        <f>VLOOKUP('Physical Effects'!AD129,Lookup!$B$4:$C$14,2,FALSE)</f>
        <v>0</v>
      </c>
      <c r="Q125" s="418">
        <f>VLOOKUP('Physical Effects'!AF129,Lookup!$B$4:$C$14,2,FALSE)</f>
        <v>0</v>
      </c>
      <c r="R125" s="418">
        <f>VLOOKUP('Physical Effects'!AH129,Lookup!$B$4:$C$14,2,FALSE)</f>
        <v>0</v>
      </c>
      <c r="S125" s="418">
        <f>VLOOKUP('Physical Effects'!AJ129,Lookup!$B$4:$C$14,2,FALSE)</f>
        <v>0</v>
      </c>
      <c r="T125" s="418">
        <f>VLOOKUP('Physical Effects'!AL129,Lookup!$B$4:$C$14,2,FALSE)</f>
        <v>0</v>
      </c>
      <c r="U125" s="418">
        <f>VLOOKUP('Physical Effects'!AN129,Lookup!$B$4:$C$14,2,FALSE)</f>
        <v>4</v>
      </c>
      <c r="V125" s="418">
        <f>VLOOKUP('Physical Effects'!AP129,Lookup!$B$4:$C$14,2,FALSE)</f>
        <v>2</v>
      </c>
      <c r="W125" s="418">
        <f>VLOOKUP('Physical Effects'!AR129,Lookup!$B$4:$C$14,2,FALSE)</f>
        <v>2</v>
      </c>
      <c r="X125" s="418">
        <f>VLOOKUP('Physical Effects'!AT129,Lookup!$B$4:$C$14,2,FALSE)</f>
        <v>1</v>
      </c>
      <c r="Y125" s="418">
        <f>VLOOKUP('Physical Effects'!AV129,Lookup!$B$4:$C$14,2,FALSE)</f>
        <v>2</v>
      </c>
      <c r="Z125" s="418">
        <f>VLOOKUP('Physical Effects'!AX129,Lookup!$B$4:$C$14,2,FALSE)</f>
        <v>2</v>
      </c>
      <c r="AA125" s="418">
        <f>VLOOKUP('Physical Effects'!AZ129,Lookup!$B$4:$C$14,2,FALSE)</f>
        <v>0</v>
      </c>
      <c r="AB125" s="418">
        <f>VLOOKUP('Physical Effects'!BB129,Lookup!$B$4:$C$14,2,FALSE)</f>
        <v>0</v>
      </c>
      <c r="AC125" s="418">
        <f>VLOOKUP('Physical Effects'!BD129,Lookup!$B$4:$C$14,2,FALSE)</f>
        <v>0</v>
      </c>
      <c r="AD125" s="418">
        <f>VLOOKUP('Physical Effects'!BF129,Lookup!$B$4:$C$14,2,FALSE)</f>
        <v>1</v>
      </c>
      <c r="AE125" s="418">
        <f>VLOOKUP('Physical Effects'!BH129,Lookup!$B$4:$C$14,2,FALSE)</f>
        <v>-1</v>
      </c>
      <c r="AF125" s="418">
        <f>VLOOKUP('Physical Effects'!BJ129,Lookup!$B$4:$C$14,2,FALSE)</f>
        <v>-1</v>
      </c>
      <c r="AG125" s="418">
        <f>VLOOKUP('Physical Effects'!BL129,Lookup!$B$4:$C$14,2,FALSE)</f>
        <v>-1</v>
      </c>
      <c r="AH125" s="418">
        <f>VLOOKUP('Physical Effects'!BN129,Lookup!$B$4:$C$14,2,FALSE)</f>
        <v>-2</v>
      </c>
      <c r="AI125" s="418">
        <f>VLOOKUP('Physical Effects'!BP129,Lookup!$B$4:$C$14,2,FALSE)</f>
        <v>2</v>
      </c>
      <c r="AJ125" s="418">
        <f>VLOOKUP('Physical Effects'!BR129,Lookup!$B$4:$C$14,2,FALSE)</f>
        <v>0</v>
      </c>
      <c r="AK125" s="418">
        <f>VLOOKUP('Physical Effects'!BT129,Lookup!$B$4:$C$14,2,FALSE)</f>
        <v>0</v>
      </c>
      <c r="AL125" s="418">
        <f>VLOOKUP('Physical Effects'!BV129,Lookup!$B$4:$C$14,2,FALSE)</f>
        <v>0</v>
      </c>
      <c r="AM125" s="418">
        <f>VLOOKUP('Physical Effects'!BX129,Lookup!$B$4:$C$14,2,FALSE)</f>
        <v>0</v>
      </c>
      <c r="AN125" s="418">
        <f>VLOOKUP('Physical Effects'!BZ129,Lookup!$B$4:$C$14,2,FALSE)</f>
        <v>0</v>
      </c>
      <c r="AO125" s="418">
        <f>VLOOKUP('Physical Effects'!CB129,Lookup!$B$4:$C$14,2,FALSE)</f>
        <v>0</v>
      </c>
      <c r="AP125" s="418">
        <f>VLOOKUP('Physical Effects'!CD129,Lookup!$B$4:$C$14,2,FALSE)</f>
        <v>0</v>
      </c>
      <c r="AQ125" s="418">
        <f>VLOOKUP('Physical Effects'!CF129,Lookup!$B$4:$C$14,2,FALSE)</f>
        <v>0</v>
      </c>
      <c r="AR125" s="418">
        <f>VLOOKUP('Physical Effects'!CH129,Lookup!$B$4:$C$14,2,FALSE)</f>
        <v>0</v>
      </c>
      <c r="AS125" s="418">
        <f>VLOOKUP('Physical Effects'!CJ129,Lookup!$B$4:$C$14,2,FALSE)</f>
        <v>0</v>
      </c>
      <c r="AT125" s="418">
        <f>VLOOKUP('Physical Effects'!CL129,Lookup!$B$4:$C$14,2,FALSE)</f>
        <v>0</v>
      </c>
      <c r="AU125" s="418">
        <f>VLOOKUP('Physical Effects'!CN129,Lookup!$B$4:$C$14,2,FALSE)</f>
        <v>0</v>
      </c>
      <c r="AV125" s="28"/>
      <c r="AW125" s="23"/>
      <c r="AX125" s="23"/>
      <c r="AY125" s="23"/>
      <c r="AZ125" s="23"/>
      <c r="BA125" s="23"/>
      <c r="BB125" s="23"/>
      <c r="BC125" s="23"/>
      <c r="BD125" s="23"/>
      <c r="BE125" s="23"/>
      <c r="BF125" s="23"/>
    </row>
    <row r="126" spans="1:58" s="5" customFormat="1" ht="13.5" thickBot="1" x14ac:dyDescent="0.25">
      <c r="A126" s="123">
        <f t="shared" si="1"/>
        <v>125</v>
      </c>
      <c r="B126" s="19" t="str">
        <f>+'Physical Effects'!B130</f>
        <v>Silvopasture Establishment</v>
      </c>
      <c r="C126" s="32">
        <f>+'Physical Effects'!D130</f>
        <v>381</v>
      </c>
      <c r="D126" s="418">
        <f>VLOOKUP('Physical Effects'!F130,Lookup!$B$4:$C$14,2,FALSE)</f>
        <v>4</v>
      </c>
      <c r="E126" s="418">
        <f>VLOOKUP('Physical Effects'!H130,Lookup!$B$4:$C$14,2,FALSE)</f>
        <v>3</v>
      </c>
      <c r="F126" s="418">
        <f>VLOOKUP('Physical Effects'!J130,Lookup!$B$4:$C$14,2,FALSE)</f>
        <v>3</v>
      </c>
      <c r="G126" s="418">
        <f>VLOOKUP('Physical Effects'!L130,Lookup!$B$4:$C$14,2,FALSE)</f>
        <v>2</v>
      </c>
      <c r="H126" s="418">
        <f>VLOOKUP('Physical Effects'!N130,Lookup!$B$4:$C$14,2,FALSE)</f>
        <v>2</v>
      </c>
      <c r="I126" s="418">
        <f>VLOOKUP('Physical Effects'!P130,Lookup!$B$4:$C$14,2,FALSE)</f>
        <v>3</v>
      </c>
      <c r="J126" s="418">
        <f>VLOOKUP('Physical Effects'!R130,Lookup!$B$4:$C$14,2,FALSE)</f>
        <v>0</v>
      </c>
      <c r="K126" s="418">
        <f>VLOOKUP('Physical Effects'!T130,Lookup!$B$4:$C$14,2,FALSE)</f>
        <v>0</v>
      </c>
      <c r="L126" s="418">
        <f>VLOOKUP('Physical Effects'!V130,Lookup!$B$4:$C$14,2,FALSE)</f>
        <v>0</v>
      </c>
      <c r="M126" s="418">
        <f>VLOOKUP('Physical Effects'!X130,Lookup!$B$4:$C$14,2,FALSE)</f>
        <v>1</v>
      </c>
      <c r="N126" s="418">
        <f>VLOOKUP('Physical Effects'!Z130,Lookup!$B$4:$C$14,2,FALSE)</f>
        <v>2</v>
      </c>
      <c r="O126" s="418">
        <f>VLOOKUP('Physical Effects'!AB130,Lookup!$B$4:$C$14,2,FALSE)</f>
        <v>1</v>
      </c>
      <c r="P126" s="418">
        <f>VLOOKUP('Physical Effects'!AD130,Lookup!$B$4:$C$14,2,FALSE)</f>
        <v>2</v>
      </c>
      <c r="Q126" s="418">
        <f>VLOOKUP('Physical Effects'!AF130,Lookup!$B$4:$C$14,2,FALSE)</f>
        <v>0</v>
      </c>
      <c r="R126" s="418">
        <f>VLOOKUP('Physical Effects'!AH130,Lookup!$B$4:$C$14,2,FALSE)</f>
        <v>2</v>
      </c>
      <c r="S126" s="418">
        <f>VLOOKUP('Physical Effects'!AJ130,Lookup!$B$4:$C$14,2,FALSE)</f>
        <v>2</v>
      </c>
      <c r="T126" s="418">
        <f>VLOOKUP('Physical Effects'!AL130,Lookup!$B$4:$C$14,2,FALSE)</f>
        <v>1</v>
      </c>
      <c r="U126" s="418">
        <f>VLOOKUP('Physical Effects'!AN130,Lookup!$B$4:$C$14,2,FALSE)</f>
        <v>3</v>
      </c>
      <c r="V126" s="418">
        <f>VLOOKUP('Physical Effects'!AP130,Lookup!$B$4:$C$14,2,FALSE)</f>
        <v>2</v>
      </c>
      <c r="W126" s="418">
        <f>VLOOKUP('Physical Effects'!AR130,Lookup!$B$4:$C$14,2,FALSE)</f>
        <v>1</v>
      </c>
      <c r="X126" s="418">
        <f>VLOOKUP('Physical Effects'!AT130,Lookup!$B$4:$C$14,2,FALSE)</f>
        <v>1</v>
      </c>
      <c r="Y126" s="418">
        <f>VLOOKUP('Physical Effects'!AV130,Lookup!$B$4:$C$14,2,FALSE)</f>
        <v>1</v>
      </c>
      <c r="Z126" s="418">
        <f>VLOOKUP('Physical Effects'!AX130,Lookup!$B$4:$C$14,2,FALSE)</f>
        <v>1</v>
      </c>
      <c r="AA126" s="418">
        <f>VLOOKUP('Physical Effects'!AZ130,Lookup!$B$4:$C$14,2,FALSE)</f>
        <v>3</v>
      </c>
      <c r="AB126" s="418">
        <f>VLOOKUP('Physical Effects'!BB130,Lookup!$B$4:$C$14,2,FALSE)</f>
        <v>1</v>
      </c>
      <c r="AC126" s="418">
        <f>VLOOKUP('Physical Effects'!BD130,Lookup!$B$4:$C$14,2,FALSE)</f>
        <v>1</v>
      </c>
      <c r="AD126" s="418">
        <f>VLOOKUP('Physical Effects'!BF130,Lookup!$B$4:$C$14,2,FALSE)</f>
        <v>1</v>
      </c>
      <c r="AE126" s="418">
        <f>VLOOKUP('Physical Effects'!BH130,Lookup!$B$4:$C$14,2,FALSE)</f>
        <v>1</v>
      </c>
      <c r="AF126" s="418">
        <f>VLOOKUP('Physical Effects'!BJ130,Lookup!$B$4:$C$14,2,FALSE)</f>
        <v>0</v>
      </c>
      <c r="AG126" s="418">
        <f>VLOOKUP('Physical Effects'!BL130,Lookup!$B$4:$C$14,2,FALSE)</f>
        <v>2</v>
      </c>
      <c r="AH126" s="418">
        <f>VLOOKUP('Physical Effects'!BN130,Lookup!$B$4:$C$14,2,FALSE)</f>
        <v>0</v>
      </c>
      <c r="AI126" s="418">
        <f>VLOOKUP('Physical Effects'!BP130,Lookup!$B$4:$C$14,2,FALSE)</f>
        <v>5</v>
      </c>
      <c r="AJ126" s="418">
        <f>VLOOKUP('Physical Effects'!BR130,Lookup!$B$4:$C$14,2,FALSE)</f>
        <v>-1</v>
      </c>
      <c r="AK126" s="418">
        <f>VLOOKUP('Physical Effects'!BT130,Lookup!$B$4:$C$14,2,FALSE)</f>
        <v>0</v>
      </c>
      <c r="AL126" s="418">
        <f>VLOOKUP('Physical Effects'!BV130,Lookup!$B$4:$C$14,2,FALSE)</f>
        <v>1</v>
      </c>
      <c r="AM126" s="418">
        <f>VLOOKUP('Physical Effects'!BX130,Lookup!$B$4:$C$14,2,FALSE)</f>
        <v>1</v>
      </c>
      <c r="AN126" s="418">
        <f>VLOOKUP('Physical Effects'!BZ130,Lookup!$B$4:$C$14,2,FALSE)</f>
        <v>1</v>
      </c>
      <c r="AO126" s="418">
        <f>VLOOKUP('Physical Effects'!CB130,Lookup!$B$4:$C$14,2,FALSE)</f>
        <v>0</v>
      </c>
      <c r="AP126" s="418">
        <f>VLOOKUP('Physical Effects'!CD130,Lookup!$B$4:$C$14,2,FALSE)</f>
        <v>1</v>
      </c>
      <c r="AQ126" s="418">
        <f>VLOOKUP('Physical Effects'!CF130,Lookup!$B$4:$C$14,2,FALSE)</f>
        <v>3</v>
      </c>
      <c r="AR126" s="418">
        <f>VLOOKUP('Physical Effects'!CH130,Lookup!$B$4:$C$14,2,FALSE)</f>
        <v>4</v>
      </c>
      <c r="AS126" s="418">
        <f>VLOOKUP('Physical Effects'!CJ130,Lookup!$B$4:$C$14,2,FALSE)</f>
        <v>0</v>
      </c>
      <c r="AT126" s="418">
        <f>VLOOKUP('Physical Effects'!CL130,Lookup!$B$4:$C$14,2,FALSE)</f>
        <v>1</v>
      </c>
      <c r="AU126" s="418">
        <f>VLOOKUP('Physical Effects'!CN130,Lookup!$B$4:$C$14,2,FALSE)</f>
        <v>0</v>
      </c>
      <c r="AV126" s="28"/>
      <c r="AW126" s="23"/>
      <c r="AX126" s="23"/>
      <c r="AY126" s="23"/>
      <c r="AZ126" s="23"/>
      <c r="BA126" s="23"/>
      <c r="BB126" s="23"/>
      <c r="BC126" s="23"/>
      <c r="BD126" s="23"/>
      <c r="BE126" s="23"/>
      <c r="BF126" s="23"/>
    </row>
    <row r="127" spans="1:58" s="5" customFormat="1" ht="13.5" thickBot="1" x14ac:dyDescent="0.25">
      <c r="A127" s="123">
        <f t="shared" si="1"/>
        <v>126</v>
      </c>
      <c r="B127" s="19" t="str">
        <f>+'Physical Effects'!B131</f>
        <v>Spoil Spreading</v>
      </c>
      <c r="C127" s="32">
        <f>+'Physical Effects'!D131</f>
        <v>572</v>
      </c>
      <c r="D127" s="418">
        <f>VLOOKUP('Physical Effects'!F131,Lookup!$B$4:$C$14,2,FALSE)</f>
        <v>0</v>
      </c>
      <c r="E127" s="418">
        <f>VLOOKUP('Physical Effects'!H131,Lookup!$B$4:$C$14,2,FALSE)</f>
        <v>0</v>
      </c>
      <c r="F127" s="418">
        <f>VLOOKUP('Physical Effects'!J131,Lookup!$B$4:$C$14,2,FALSE)</f>
        <v>0</v>
      </c>
      <c r="G127" s="418">
        <f>VLOOKUP('Physical Effects'!L131,Lookup!$B$4:$C$14,2,FALSE)</f>
        <v>0</v>
      </c>
      <c r="H127" s="418">
        <f>VLOOKUP('Physical Effects'!N131,Lookup!$B$4:$C$14,2,FALSE)</f>
        <v>0</v>
      </c>
      <c r="I127" s="418">
        <f>VLOOKUP('Physical Effects'!P131,Lookup!$B$4:$C$14,2,FALSE)</f>
        <v>1</v>
      </c>
      <c r="J127" s="418">
        <f>VLOOKUP('Physical Effects'!R131,Lookup!$B$4:$C$14,2,FALSE)</f>
        <v>-1</v>
      </c>
      <c r="K127" s="418">
        <f>VLOOKUP('Physical Effects'!T131,Lookup!$B$4:$C$14,2,FALSE)</f>
        <v>0</v>
      </c>
      <c r="L127" s="418">
        <f>VLOOKUP('Physical Effects'!V131,Lookup!$B$4:$C$14,2,FALSE)</f>
        <v>0</v>
      </c>
      <c r="M127" s="418">
        <f>VLOOKUP('Physical Effects'!X131,Lookup!$B$4:$C$14,2,FALSE)</f>
        <v>0</v>
      </c>
      <c r="N127" s="418">
        <f>VLOOKUP('Physical Effects'!Z131,Lookup!$B$4:$C$14,2,FALSE)</f>
        <v>0</v>
      </c>
      <c r="O127" s="418">
        <f>VLOOKUP('Physical Effects'!AB131,Lookup!$B$4:$C$14,2,FALSE)</f>
        <v>0</v>
      </c>
      <c r="P127" s="418">
        <f>VLOOKUP('Physical Effects'!AD131,Lookup!$B$4:$C$14,2,FALSE)</f>
        <v>0</v>
      </c>
      <c r="Q127" s="418">
        <f>VLOOKUP('Physical Effects'!AF131,Lookup!$B$4:$C$14,2,FALSE)</f>
        <v>0</v>
      </c>
      <c r="R127" s="418">
        <f>VLOOKUP('Physical Effects'!AH131,Lookup!$B$4:$C$14,2,FALSE)</f>
        <v>0</v>
      </c>
      <c r="S127" s="418">
        <f>VLOOKUP('Physical Effects'!AJ131,Lookup!$B$4:$C$14,2,FALSE)</f>
        <v>0</v>
      </c>
      <c r="T127" s="418">
        <f>VLOOKUP('Physical Effects'!AL131,Lookup!$B$4:$C$14,2,FALSE)</f>
        <v>0</v>
      </c>
      <c r="U127" s="418">
        <f>VLOOKUP('Physical Effects'!AN131,Lookup!$B$4:$C$14,2,FALSE)</f>
        <v>0</v>
      </c>
      <c r="V127" s="418">
        <f>VLOOKUP('Physical Effects'!AP131,Lookup!$B$4:$C$14,2,FALSE)</f>
        <v>0</v>
      </c>
      <c r="W127" s="418">
        <f>VLOOKUP('Physical Effects'!AR131,Lookup!$B$4:$C$14,2,FALSE)</f>
        <v>0</v>
      </c>
      <c r="X127" s="418">
        <f>VLOOKUP('Physical Effects'!AT131,Lookup!$B$4:$C$14,2,FALSE)</f>
        <v>0</v>
      </c>
      <c r="Y127" s="418">
        <f>VLOOKUP('Physical Effects'!AV131,Lookup!$B$4:$C$14,2,FALSE)</f>
        <v>0</v>
      </c>
      <c r="Z127" s="418">
        <f>VLOOKUP('Physical Effects'!AX131,Lookup!$B$4:$C$14,2,FALSE)</f>
        <v>0</v>
      </c>
      <c r="AA127" s="418">
        <f>VLOOKUP('Physical Effects'!AZ131,Lookup!$B$4:$C$14,2,FALSE)</f>
        <v>2</v>
      </c>
      <c r="AB127" s="418">
        <f>VLOOKUP('Physical Effects'!BB131,Lookup!$B$4:$C$14,2,FALSE)</f>
        <v>0</v>
      </c>
      <c r="AC127" s="418">
        <f>VLOOKUP('Physical Effects'!BD131,Lookup!$B$4:$C$14,2,FALSE)</f>
        <v>0</v>
      </c>
      <c r="AD127" s="418">
        <f>VLOOKUP('Physical Effects'!BF131,Lookup!$B$4:$C$14,2,FALSE)</f>
        <v>0</v>
      </c>
      <c r="AE127" s="418">
        <f>VLOOKUP('Physical Effects'!BH131,Lookup!$B$4:$C$14,2,FALSE)</f>
        <v>0</v>
      </c>
      <c r="AF127" s="418">
        <f>VLOOKUP('Physical Effects'!BJ131,Lookup!$B$4:$C$14,2,FALSE)</f>
        <v>0</v>
      </c>
      <c r="AG127" s="418">
        <f>VLOOKUP('Physical Effects'!BL131,Lookup!$B$4:$C$14,2,FALSE)</f>
        <v>0</v>
      </c>
      <c r="AH127" s="418">
        <f>VLOOKUP('Physical Effects'!BN131,Lookup!$B$4:$C$14,2,FALSE)</f>
        <v>0</v>
      </c>
      <c r="AI127" s="418">
        <f>VLOOKUP('Physical Effects'!BP131,Lookup!$B$4:$C$14,2,FALSE)</f>
        <v>2</v>
      </c>
      <c r="AJ127" s="418">
        <f>VLOOKUP('Physical Effects'!BR131,Lookup!$B$4:$C$14,2,FALSE)</f>
        <v>4</v>
      </c>
      <c r="AK127" s="418">
        <f>VLOOKUP('Physical Effects'!BT131,Lookup!$B$4:$C$14,2,FALSE)</f>
        <v>0</v>
      </c>
      <c r="AL127" s="418">
        <f>VLOOKUP('Physical Effects'!BV131,Lookup!$B$4:$C$14,2,FALSE)</f>
        <v>0</v>
      </c>
      <c r="AM127" s="418">
        <f>VLOOKUP('Physical Effects'!BX131,Lookup!$B$4:$C$14,2,FALSE)</f>
        <v>0</v>
      </c>
      <c r="AN127" s="418">
        <f>VLOOKUP('Physical Effects'!BZ131,Lookup!$B$4:$C$14,2,FALSE)</f>
        <v>0</v>
      </c>
      <c r="AO127" s="418">
        <f>VLOOKUP('Physical Effects'!CB131,Lookup!$B$4:$C$14,2,FALSE)</f>
        <v>0</v>
      </c>
      <c r="AP127" s="418">
        <f>VLOOKUP('Physical Effects'!CD131,Lookup!$B$4:$C$14,2,FALSE)</f>
        <v>0</v>
      </c>
      <c r="AQ127" s="418">
        <f>VLOOKUP('Physical Effects'!CF131,Lookup!$B$4:$C$14,2,FALSE)</f>
        <v>1</v>
      </c>
      <c r="AR127" s="418">
        <f>VLOOKUP('Physical Effects'!CH131,Lookup!$B$4:$C$14,2,FALSE)</f>
        <v>0</v>
      </c>
      <c r="AS127" s="418">
        <f>VLOOKUP('Physical Effects'!CJ131,Lookup!$B$4:$C$14,2,FALSE)</f>
        <v>0</v>
      </c>
      <c r="AT127" s="418">
        <f>VLOOKUP('Physical Effects'!CL131,Lookup!$B$4:$C$14,2,FALSE)</f>
        <v>0</v>
      </c>
      <c r="AU127" s="418">
        <f>VLOOKUP('Physical Effects'!CN131,Lookup!$B$4:$C$14,2,FALSE)</f>
        <v>0</v>
      </c>
      <c r="AV127" s="28"/>
      <c r="AW127" s="23"/>
      <c r="AX127" s="23"/>
      <c r="AY127" s="23"/>
      <c r="AZ127" s="23"/>
      <c r="BA127" s="23"/>
      <c r="BB127" s="23"/>
      <c r="BC127" s="23"/>
      <c r="BD127" s="23"/>
      <c r="BE127" s="23"/>
      <c r="BF127" s="23"/>
    </row>
    <row r="128" spans="1:58" s="5" customFormat="1" ht="13.5" thickBot="1" x14ac:dyDescent="0.25">
      <c r="A128" s="123">
        <f t="shared" si="1"/>
        <v>127</v>
      </c>
      <c r="B128" s="19" t="str">
        <f>+'Physical Effects'!B132</f>
        <v>Spring Development</v>
      </c>
      <c r="C128" s="32">
        <f>+'Physical Effects'!D132</f>
        <v>574</v>
      </c>
      <c r="D128" s="418">
        <f>VLOOKUP('Physical Effects'!F132,Lookup!$B$4:$C$14,2,FALSE)</f>
        <v>0</v>
      </c>
      <c r="E128" s="418">
        <f>VLOOKUP('Physical Effects'!H132,Lookup!$B$4:$C$14,2,FALSE)</f>
        <v>0</v>
      </c>
      <c r="F128" s="418">
        <f>VLOOKUP('Physical Effects'!J132,Lookup!$B$4:$C$14,2,FALSE)</f>
        <v>0</v>
      </c>
      <c r="G128" s="418">
        <f>VLOOKUP('Physical Effects'!L132,Lookup!$B$4:$C$14,2,FALSE)</f>
        <v>1</v>
      </c>
      <c r="H128" s="418">
        <f>VLOOKUP('Physical Effects'!N132,Lookup!$B$4:$C$14,2,FALSE)</f>
        <v>1</v>
      </c>
      <c r="I128" s="418">
        <f>VLOOKUP('Physical Effects'!P132,Lookup!$B$4:$C$14,2,FALSE)</f>
        <v>0</v>
      </c>
      <c r="J128" s="418">
        <f>VLOOKUP('Physical Effects'!R132,Lookup!$B$4:$C$14,2,FALSE)</f>
        <v>-1</v>
      </c>
      <c r="K128" s="418">
        <f>VLOOKUP('Physical Effects'!T132,Lookup!$B$4:$C$14,2,FALSE)</f>
        <v>0</v>
      </c>
      <c r="L128" s="418">
        <f>VLOOKUP('Physical Effects'!V132,Lookup!$B$4:$C$14,2,FALSE)</f>
        <v>0</v>
      </c>
      <c r="M128" s="418">
        <f>VLOOKUP('Physical Effects'!X132,Lookup!$B$4:$C$14,2,FALSE)</f>
        <v>2</v>
      </c>
      <c r="N128" s="418">
        <f>VLOOKUP('Physical Effects'!Z132,Lookup!$B$4:$C$14,2,FALSE)</f>
        <v>1</v>
      </c>
      <c r="O128" s="418">
        <f>VLOOKUP('Physical Effects'!AB132,Lookup!$B$4:$C$14,2,FALSE)</f>
        <v>2</v>
      </c>
      <c r="P128" s="418">
        <f>VLOOKUP('Physical Effects'!AD132,Lookup!$B$4:$C$14,2,FALSE)</f>
        <v>0</v>
      </c>
      <c r="Q128" s="418">
        <f>VLOOKUP('Physical Effects'!AF132,Lookup!$B$4:$C$14,2,FALSE)</f>
        <v>2</v>
      </c>
      <c r="R128" s="418">
        <f>VLOOKUP('Physical Effects'!AH132,Lookup!$B$4:$C$14,2,FALSE)</f>
        <v>2</v>
      </c>
      <c r="S128" s="418">
        <f>VLOOKUP('Physical Effects'!AJ132,Lookup!$B$4:$C$14,2,FALSE)</f>
        <v>0</v>
      </c>
      <c r="T128" s="418">
        <f>VLOOKUP('Physical Effects'!AL132,Lookup!$B$4:$C$14,2,FALSE)</f>
        <v>0</v>
      </c>
      <c r="U128" s="418">
        <f>VLOOKUP('Physical Effects'!AN132,Lookup!$B$4:$C$14,2,FALSE)</f>
        <v>0</v>
      </c>
      <c r="V128" s="418">
        <f>VLOOKUP('Physical Effects'!AP132,Lookup!$B$4:$C$14,2,FALSE)</f>
        <v>0</v>
      </c>
      <c r="W128" s="418">
        <f>VLOOKUP('Physical Effects'!AR132,Lookup!$B$4:$C$14,2,FALSE)</f>
        <v>1</v>
      </c>
      <c r="X128" s="418">
        <f>VLOOKUP('Physical Effects'!AT132,Lookup!$B$4:$C$14,2,FALSE)</f>
        <v>0</v>
      </c>
      <c r="Y128" s="418">
        <f>VLOOKUP('Physical Effects'!AV132,Lookup!$B$4:$C$14,2,FALSE)</f>
        <v>1</v>
      </c>
      <c r="Z128" s="418">
        <f>VLOOKUP('Physical Effects'!AX132,Lookup!$B$4:$C$14,2,FALSE)</f>
        <v>0</v>
      </c>
      <c r="AA128" s="418">
        <f>VLOOKUP('Physical Effects'!AZ132,Lookup!$B$4:$C$14,2,FALSE)</f>
        <v>1</v>
      </c>
      <c r="AB128" s="418">
        <f>VLOOKUP('Physical Effects'!BB132,Lookup!$B$4:$C$14,2,FALSE)</f>
        <v>0</v>
      </c>
      <c r="AC128" s="418">
        <f>VLOOKUP('Physical Effects'!BD132,Lookup!$B$4:$C$14,2,FALSE)</f>
        <v>2</v>
      </c>
      <c r="AD128" s="418">
        <f>VLOOKUP('Physical Effects'!BF132,Lookup!$B$4:$C$14,2,FALSE)</f>
        <v>0</v>
      </c>
      <c r="AE128" s="418">
        <f>VLOOKUP('Physical Effects'!BH132,Lookup!$B$4:$C$14,2,FALSE)</f>
        <v>0</v>
      </c>
      <c r="AF128" s="418">
        <f>VLOOKUP('Physical Effects'!BJ132,Lookup!$B$4:$C$14,2,FALSE)</f>
        <v>0</v>
      </c>
      <c r="AG128" s="418">
        <f>VLOOKUP('Physical Effects'!BL132,Lookup!$B$4:$C$14,2,FALSE)</f>
        <v>0</v>
      </c>
      <c r="AH128" s="418">
        <f>VLOOKUP('Physical Effects'!BN132,Lookup!$B$4:$C$14,2,FALSE)</f>
        <v>0</v>
      </c>
      <c r="AI128" s="418">
        <f>VLOOKUP('Physical Effects'!BP132,Lookup!$B$4:$C$14,2,FALSE)</f>
        <v>2</v>
      </c>
      <c r="AJ128" s="418">
        <f>VLOOKUP('Physical Effects'!BR132,Lookup!$B$4:$C$14,2,FALSE)</f>
        <v>0</v>
      </c>
      <c r="AK128" s="418">
        <f>VLOOKUP('Physical Effects'!BT132,Lookup!$B$4:$C$14,2,FALSE)</f>
        <v>0</v>
      </c>
      <c r="AL128" s="418">
        <f>VLOOKUP('Physical Effects'!BV132,Lookup!$B$4:$C$14,2,FALSE)</f>
        <v>0</v>
      </c>
      <c r="AM128" s="418">
        <f>VLOOKUP('Physical Effects'!BX132,Lookup!$B$4:$C$14,2,FALSE)</f>
        <v>0</v>
      </c>
      <c r="AN128" s="418">
        <f>VLOOKUP('Physical Effects'!BZ132,Lookup!$B$4:$C$14,2,FALSE)</f>
        <v>0</v>
      </c>
      <c r="AO128" s="418">
        <f>VLOOKUP('Physical Effects'!CB132,Lookup!$B$4:$C$14,2,FALSE)</f>
        <v>4</v>
      </c>
      <c r="AP128" s="418">
        <f>VLOOKUP('Physical Effects'!CD132,Lookup!$B$4:$C$14,2,FALSE)</f>
        <v>2</v>
      </c>
      <c r="AQ128" s="418">
        <f>VLOOKUP('Physical Effects'!CF132,Lookup!$B$4:$C$14,2,FALSE)</f>
        <v>2</v>
      </c>
      <c r="AR128" s="418">
        <f>VLOOKUP('Physical Effects'!CH132,Lookup!$B$4:$C$14,2,FALSE)</f>
        <v>0</v>
      </c>
      <c r="AS128" s="418">
        <f>VLOOKUP('Physical Effects'!CJ132,Lookup!$B$4:$C$14,2,FALSE)</f>
        <v>5</v>
      </c>
      <c r="AT128" s="418">
        <f>VLOOKUP('Physical Effects'!CL132,Lookup!$B$4:$C$14,2,FALSE)</f>
        <v>0</v>
      </c>
      <c r="AU128" s="418">
        <f>VLOOKUP('Physical Effects'!CN132,Lookup!$B$4:$C$14,2,FALSE)</f>
        <v>0</v>
      </c>
      <c r="AV128" s="28"/>
      <c r="AW128" s="23"/>
      <c r="AX128" s="23"/>
      <c r="AY128" s="23"/>
      <c r="AZ128" s="23"/>
      <c r="BA128" s="23"/>
      <c r="BB128" s="23"/>
      <c r="BC128" s="23"/>
      <c r="BD128" s="23"/>
      <c r="BE128" s="23"/>
      <c r="BF128" s="23"/>
    </row>
    <row r="129" spans="1:58" s="5" customFormat="1" ht="13.5" thickBot="1" x14ac:dyDescent="0.25">
      <c r="A129" s="123">
        <f t="shared" si="1"/>
        <v>128</v>
      </c>
      <c r="B129" s="19" t="str">
        <f>+'Physical Effects'!B133</f>
        <v>Sprinkler System</v>
      </c>
      <c r="C129" s="32">
        <f>+'Physical Effects'!D133</f>
        <v>442</v>
      </c>
      <c r="D129" s="418">
        <f>VLOOKUP('Physical Effects'!F133,Lookup!$B$4:$C$14,2,FALSE)</f>
        <v>0</v>
      </c>
      <c r="E129" s="418">
        <f>VLOOKUP('Physical Effects'!H133,Lookup!$B$4:$C$14,2,FALSE)</f>
        <v>2</v>
      </c>
      <c r="F129" s="418">
        <f>VLOOKUP('Physical Effects'!J133,Lookup!$B$4:$C$14,2,FALSE)</f>
        <v>0</v>
      </c>
      <c r="G129" s="418">
        <f>VLOOKUP('Physical Effects'!L133,Lookup!$B$4:$C$14,2,FALSE)</f>
        <v>0</v>
      </c>
      <c r="H129" s="418">
        <f>VLOOKUP('Physical Effects'!N133,Lookup!$B$4:$C$14,2,FALSE)</f>
        <v>0</v>
      </c>
      <c r="I129" s="418">
        <f>VLOOKUP('Physical Effects'!P133,Lookup!$B$4:$C$14,2,FALSE)</f>
        <v>0</v>
      </c>
      <c r="J129" s="418">
        <f>VLOOKUP('Physical Effects'!R133,Lookup!$B$4:$C$14,2,FALSE)</f>
        <v>-1</v>
      </c>
      <c r="K129" s="418">
        <f>VLOOKUP('Physical Effects'!T133,Lookup!$B$4:$C$14,2,FALSE)</f>
        <v>0</v>
      </c>
      <c r="L129" s="418">
        <f>VLOOKUP('Physical Effects'!V133,Lookup!$B$4:$C$14,2,FALSE)</f>
        <v>2</v>
      </c>
      <c r="M129" s="418">
        <f>VLOOKUP('Physical Effects'!X133,Lookup!$B$4:$C$14,2,FALSE)</f>
        <v>0</v>
      </c>
      <c r="N129" s="418">
        <f>VLOOKUP('Physical Effects'!Z133,Lookup!$B$4:$C$14,2,FALSE)</f>
        <v>2</v>
      </c>
      <c r="O129" s="418">
        <f>VLOOKUP('Physical Effects'!AB133,Lookup!$B$4:$C$14,2,FALSE)</f>
        <v>1</v>
      </c>
      <c r="P129" s="418">
        <f>VLOOKUP('Physical Effects'!AD133,Lookup!$B$4:$C$14,2,FALSE)</f>
        <v>0</v>
      </c>
      <c r="Q129" s="418">
        <f>VLOOKUP('Physical Effects'!AF133,Lookup!$B$4:$C$14,2,FALSE)</f>
        <v>5</v>
      </c>
      <c r="R129" s="418">
        <f>VLOOKUP('Physical Effects'!AH133,Lookup!$B$4:$C$14,2,FALSE)</f>
        <v>0</v>
      </c>
      <c r="S129" s="418">
        <f>VLOOKUP('Physical Effects'!AJ133,Lookup!$B$4:$C$14,2,FALSE)</f>
        <v>2</v>
      </c>
      <c r="T129" s="418">
        <f>VLOOKUP('Physical Effects'!AL133,Lookup!$B$4:$C$14,2,FALSE)</f>
        <v>2</v>
      </c>
      <c r="U129" s="418">
        <f>VLOOKUP('Physical Effects'!AN133,Lookup!$B$4:$C$14,2,FALSE)</f>
        <v>2</v>
      </c>
      <c r="V129" s="418">
        <f>VLOOKUP('Physical Effects'!AP133,Lookup!$B$4:$C$14,2,FALSE)</f>
        <v>1</v>
      </c>
      <c r="W129" s="418">
        <f>VLOOKUP('Physical Effects'!AR133,Lookup!$B$4:$C$14,2,FALSE)</f>
        <v>2</v>
      </c>
      <c r="X129" s="418">
        <f>VLOOKUP('Physical Effects'!AT133,Lookup!$B$4:$C$14,2,FALSE)</f>
        <v>2</v>
      </c>
      <c r="Y129" s="418">
        <f>VLOOKUP('Physical Effects'!AV133,Lookup!$B$4:$C$14,2,FALSE)</f>
        <v>2</v>
      </c>
      <c r="Z129" s="418">
        <f>VLOOKUP('Physical Effects'!AX133,Lookup!$B$4:$C$14,2,FALSE)</f>
        <v>1</v>
      </c>
      <c r="AA129" s="418">
        <f>VLOOKUP('Physical Effects'!AZ133,Lookup!$B$4:$C$14,2,FALSE)</f>
        <v>1</v>
      </c>
      <c r="AB129" s="418">
        <f>VLOOKUP('Physical Effects'!BB133,Lookup!$B$4:$C$14,2,FALSE)</f>
        <v>0</v>
      </c>
      <c r="AC129" s="418">
        <f>VLOOKUP('Physical Effects'!BD133,Lookup!$B$4:$C$14,2,FALSE)</f>
        <v>1</v>
      </c>
      <c r="AD129" s="418">
        <f>VLOOKUP('Physical Effects'!BF133,Lookup!$B$4:$C$14,2,FALSE)</f>
        <v>1</v>
      </c>
      <c r="AE129" s="418">
        <f>VLOOKUP('Physical Effects'!BH133,Lookup!$B$4:$C$14,2,FALSE)</f>
        <v>2</v>
      </c>
      <c r="AF129" s="418">
        <f>VLOOKUP('Physical Effects'!BJ133,Lookup!$B$4:$C$14,2,FALSE)</f>
        <v>0</v>
      </c>
      <c r="AG129" s="418">
        <f>VLOOKUP('Physical Effects'!BL133,Lookup!$B$4:$C$14,2,FALSE)</f>
        <v>1</v>
      </c>
      <c r="AH129" s="418">
        <f>VLOOKUP('Physical Effects'!BN133,Lookup!$B$4:$C$14,2,FALSE)</f>
        <v>0</v>
      </c>
      <c r="AI129" s="418">
        <f>VLOOKUP('Physical Effects'!BP133,Lookup!$B$4:$C$14,2,FALSE)</f>
        <v>2</v>
      </c>
      <c r="AJ129" s="418">
        <f>VLOOKUP('Physical Effects'!BR133,Lookup!$B$4:$C$14,2,FALSE)</f>
        <v>0</v>
      </c>
      <c r="AK129" s="418">
        <f>VLOOKUP('Physical Effects'!BT133,Lookup!$B$4:$C$14,2,FALSE)</f>
        <v>1</v>
      </c>
      <c r="AL129" s="418">
        <f>VLOOKUP('Physical Effects'!BV133,Lookup!$B$4:$C$14,2,FALSE)</f>
        <v>0</v>
      </c>
      <c r="AM129" s="418">
        <f>VLOOKUP('Physical Effects'!BX133,Lookup!$B$4:$C$14,2,FALSE)</f>
        <v>0</v>
      </c>
      <c r="AN129" s="418">
        <f>VLOOKUP('Physical Effects'!BZ133,Lookup!$B$4:$C$14,2,FALSE)</f>
        <v>0</v>
      </c>
      <c r="AO129" s="418">
        <f>VLOOKUP('Physical Effects'!CB133,Lookup!$B$4:$C$14,2,FALSE)</f>
        <v>1</v>
      </c>
      <c r="AP129" s="418">
        <f>VLOOKUP('Physical Effects'!CD133,Lookup!$B$4:$C$14,2,FALSE)</f>
        <v>0</v>
      </c>
      <c r="AQ129" s="418">
        <f>VLOOKUP('Physical Effects'!CF133,Lookup!$B$4:$C$14,2,FALSE)</f>
        <v>4</v>
      </c>
      <c r="AR129" s="418">
        <f>VLOOKUP('Physical Effects'!CH133,Lookup!$B$4:$C$14,2,FALSE)</f>
        <v>0</v>
      </c>
      <c r="AS129" s="418">
        <f>VLOOKUP('Physical Effects'!CJ133,Lookup!$B$4:$C$14,2,FALSE)</f>
        <v>0</v>
      </c>
      <c r="AT129" s="418">
        <f>VLOOKUP('Physical Effects'!CL133,Lookup!$B$4:$C$14,2,FALSE)</f>
        <v>2</v>
      </c>
      <c r="AU129" s="418">
        <f>VLOOKUP('Physical Effects'!CN133,Lookup!$B$4:$C$14,2,FALSE)</f>
        <v>2</v>
      </c>
      <c r="AV129" s="28"/>
      <c r="AW129" s="23"/>
      <c r="AX129" s="23"/>
      <c r="AY129" s="23"/>
      <c r="AZ129" s="23"/>
      <c r="BA129" s="23"/>
      <c r="BB129" s="23"/>
      <c r="BC129" s="23"/>
      <c r="BD129" s="23"/>
      <c r="BE129" s="23"/>
      <c r="BF129" s="23"/>
    </row>
    <row r="130" spans="1:58" s="5" customFormat="1" ht="13.5" thickBot="1" x14ac:dyDescent="0.25">
      <c r="A130" s="123">
        <f t="shared" si="1"/>
        <v>129</v>
      </c>
      <c r="B130" s="19" t="str">
        <f>+'Physical Effects'!B134</f>
        <v>Stormwater Runoff Control</v>
      </c>
      <c r="C130" s="32">
        <f>+'Physical Effects'!D134</f>
        <v>570</v>
      </c>
      <c r="D130" s="418">
        <f>VLOOKUP('Physical Effects'!F134,Lookup!$B$4:$C$14,2,FALSE)</f>
        <v>0</v>
      </c>
      <c r="E130" s="418">
        <f>VLOOKUP('Physical Effects'!H134,Lookup!$B$4:$C$14,2,FALSE)</f>
        <v>0</v>
      </c>
      <c r="F130" s="418">
        <f>VLOOKUP('Physical Effects'!J134,Lookup!$B$4:$C$14,2,FALSE)</f>
        <v>2</v>
      </c>
      <c r="G130" s="418">
        <f>VLOOKUP('Physical Effects'!L134,Lookup!$B$4:$C$14,2,FALSE)</f>
        <v>0</v>
      </c>
      <c r="H130" s="418">
        <f>VLOOKUP('Physical Effects'!N134,Lookup!$B$4:$C$14,2,FALSE)</f>
        <v>3</v>
      </c>
      <c r="I130" s="418">
        <f>VLOOKUP('Physical Effects'!P134,Lookup!$B$4:$C$14,2,FALSE)</f>
        <v>0</v>
      </c>
      <c r="J130" s="418">
        <f>VLOOKUP('Physical Effects'!R134,Lookup!$B$4:$C$14,2,FALSE)</f>
        <v>1</v>
      </c>
      <c r="K130" s="418">
        <f>VLOOKUP('Physical Effects'!T134,Lookup!$B$4:$C$14,2,FALSE)</f>
        <v>0</v>
      </c>
      <c r="L130" s="418">
        <f>VLOOKUP('Physical Effects'!V134,Lookup!$B$4:$C$14,2,FALSE)</f>
        <v>0</v>
      </c>
      <c r="M130" s="418">
        <f>VLOOKUP('Physical Effects'!X134,Lookup!$B$4:$C$14,2,FALSE)</f>
        <v>-1</v>
      </c>
      <c r="N130" s="418">
        <f>VLOOKUP('Physical Effects'!Z134,Lookup!$B$4:$C$14,2,FALSE)</f>
        <v>4</v>
      </c>
      <c r="O130" s="418">
        <f>VLOOKUP('Physical Effects'!AB134,Lookup!$B$4:$C$14,2,FALSE)</f>
        <v>-1</v>
      </c>
      <c r="P130" s="418">
        <f>VLOOKUP('Physical Effects'!AD134,Lookup!$B$4:$C$14,2,FALSE)</f>
        <v>0</v>
      </c>
      <c r="Q130" s="418">
        <f>VLOOKUP('Physical Effects'!AF134,Lookup!$B$4:$C$14,2,FALSE)</f>
        <v>0</v>
      </c>
      <c r="R130" s="418">
        <f>VLOOKUP('Physical Effects'!AH134,Lookup!$B$4:$C$14,2,FALSE)</f>
        <v>0</v>
      </c>
      <c r="S130" s="418">
        <f>VLOOKUP('Physical Effects'!AJ134,Lookup!$B$4:$C$14,2,FALSE)</f>
        <v>0</v>
      </c>
      <c r="T130" s="418">
        <f>VLOOKUP('Physical Effects'!AL134,Lookup!$B$4:$C$14,2,FALSE)</f>
        <v>0</v>
      </c>
      <c r="U130" s="418">
        <f>VLOOKUP('Physical Effects'!AN134,Lookup!$B$4:$C$14,2,FALSE)</f>
        <v>2</v>
      </c>
      <c r="V130" s="418">
        <f>VLOOKUP('Physical Effects'!AP134,Lookup!$B$4:$C$14,2,FALSE)</f>
        <v>0</v>
      </c>
      <c r="W130" s="418">
        <f>VLOOKUP('Physical Effects'!AR134,Lookup!$B$4:$C$14,2,FALSE)</f>
        <v>0</v>
      </c>
      <c r="X130" s="418">
        <f>VLOOKUP('Physical Effects'!AT134,Lookup!$B$4:$C$14,2,FALSE)</f>
        <v>0</v>
      </c>
      <c r="Y130" s="418">
        <f>VLOOKUP('Physical Effects'!AV134,Lookup!$B$4:$C$14,2,FALSE)</f>
        <v>0</v>
      </c>
      <c r="Z130" s="418">
        <f>VLOOKUP('Physical Effects'!AX134,Lookup!$B$4:$C$14,2,FALSE)</f>
        <v>0</v>
      </c>
      <c r="AA130" s="418">
        <f>VLOOKUP('Physical Effects'!AZ134,Lookup!$B$4:$C$14,2,FALSE)</f>
        <v>4</v>
      </c>
      <c r="AB130" s="418">
        <f>VLOOKUP('Physical Effects'!BB134,Lookup!$B$4:$C$14,2,FALSE)</f>
        <v>0</v>
      </c>
      <c r="AC130" s="418">
        <f>VLOOKUP('Physical Effects'!BD134,Lookup!$B$4:$C$14,2,FALSE)</f>
        <v>2</v>
      </c>
      <c r="AD130" s="418">
        <f>VLOOKUP('Physical Effects'!BF134,Lookup!$B$4:$C$14,2,FALSE)</f>
        <v>0</v>
      </c>
      <c r="AE130" s="418">
        <f>VLOOKUP('Physical Effects'!BH134,Lookup!$B$4:$C$14,2,FALSE)</f>
        <v>0</v>
      </c>
      <c r="AF130" s="418">
        <f>VLOOKUP('Physical Effects'!BJ134,Lookup!$B$4:$C$14,2,FALSE)</f>
        <v>0</v>
      </c>
      <c r="AG130" s="418">
        <f>VLOOKUP('Physical Effects'!BL134,Lookup!$B$4:$C$14,2,FALSE)</f>
        <v>0</v>
      </c>
      <c r="AH130" s="418">
        <f>VLOOKUP('Physical Effects'!BN134,Lookup!$B$4:$C$14,2,FALSE)</f>
        <v>0</v>
      </c>
      <c r="AI130" s="418">
        <f>VLOOKUP('Physical Effects'!BP134,Lookup!$B$4:$C$14,2,FALSE)</f>
        <v>0</v>
      </c>
      <c r="AJ130" s="418">
        <f>VLOOKUP('Physical Effects'!BR134,Lookup!$B$4:$C$14,2,FALSE)</f>
        <v>0</v>
      </c>
      <c r="AK130" s="418">
        <f>VLOOKUP('Physical Effects'!BT134,Lookup!$B$4:$C$14,2,FALSE)</f>
        <v>0</v>
      </c>
      <c r="AL130" s="418">
        <f>VLOOKUP('Physical Effects'!BV134,Lookup!$B$4:$C$14,2,FALSE)</f>
        <v>0</v>
      </c>
      <c r="AM130" s="418">
        <f>VLOOKUP('Physical Effects'!BX134,Lookup!$B$4:$C$14,2,FALSE)</f>
        <v>0</v>
      </c>
      <c r="AN130" s="418">
        <f>VLOOKUP('Physical Effects'!BZ134,Lookup!$B$4:$C$14,2,FALSE)</f>
        <v>0</v>
      </c>
      <c r="AO130" s="418">
        <f>VLOOKUP('Physical Effects'!CB134,Lookup!$B$4:$C$14,2,FALSE)</f>
        <v>0</v>
      </c>
      <c r="AP130" s="418">
        <f>VLOOKUP('Physical Effects'!CD134,Lookup!$B$4:$C$14,2,FALSE)</f>
        <v>0</v>
      </c>
      <c r="AQ130" s="418">
        <f>VLOOKUP('Physical Effects'!CF134,Lookup!$B$4:$C$14,2,FALSE)</f>
        <v>0</v>
      </c>
      <c r="AR130" s="418">
        <f>VLOOKUP('Physical Effects'!CH134,Lookup!$B$4:$C$14,2,FALSE)</f>
        <v>0</v>
      </c>
      <c r="AS130" s="418">
        <f>VLOOKUP('Physical Effects'!CJ134,Lookup!$B$4:$C$14,2,FALSE)</f>
        <v>0</v>
      </c>
      <c r="AT130" s="418">
        <f>VLOOKUP('Physical Effects'!CL134,Lookup!$B$4:$C$14,2,FALSE)</f>
        <v>0</v>
      </c>
      <c r="AU130" s="418">
        <f>VLOOKUP('Physical Effects'!CN134,Lookup!$B$4:$C$14,2,FALSE)</f>
        <v>0</v>
      </c>
      <c r="AV130" s="28"/>
      <c r="AW130" s="23"/>
      <c r="AX130" s="23"/>
      <c r="AY130" s="23"/>
      <c r="AZ130" s="23"/>
      <c r="BA130" s="23"/>
      <c r="BB130" s="23"/>
      <c r="BC130" s="23"/>
      <c r="BD130" s="23"/>
      <c r="BE130" s="23"/>
      <c r="BF130" s="23"/>
    </row>
    <row r="131" spans="1:58" s="5" customFormat="1" ht="13.5" thickBot="1" x14ac:dyDescent="0.25">
      <c r="A131" s="123">
        <f t="shared" si="1"/>
        <v>130</v>
      </c>
      <c r="B131" s="19" t="str">
        <f>+'Physical Effects'!B135</f>
        <v>Streambank and Shoreline Protection</v>
      </c>
      <c r="C131" s="32">
        <f>+'Physical Effects'!D135</f>
        <v>580</v>
      </c>
      <c r="D131" s="418">
        <f>VLOOKUP('Physical Effects'!F135,Lookup!$B$4:$C$14,2,FALSE)</f>
        <v>0</v>
      </c>
      <c r="E131" s="418">
        <f>VLOOKUP('Physical Effects'!H135,Lookup!$B$4:$C$14,2,FALSE)</f>
        <v>0</v>
      </c>
      <c r="F131" s="418">
        <f>VLOOKUP('Physical Effects'!J135,Lookup!$B$4:$C$14,2,FALSE)</f>
        <v>0</v>
      </c>
      <c r="G131" s="418">
        <f>VLOOKUP('Physical Effects'!L135,Lookup!$B$4:$C$14,2,FALSE)</f>
        <v>0</v>
      </c>
      <c r="H131" s="418">
        <f>VLOOKUP('Physical Effects'!N135,Lookup!$B$4:$C$14,2,FALSE)</f>
        <v>4</v>
      </c>
      <c r="I131" s="418">
        <f>VLOOKUP('Physical Effects'!P135,Lookup!$B$4:$C$14,2,FALSE)</f>
        <v>0</v>
      </c>
      <c r="J131" s="418">
        <f>VLOOKUP('Physical Effects'!R135,Lookup!$B$4:$C$14,2,FALSE)</f>
        <v>0</v>
      </c>
      <c r="K131" s="418">
        <f>VLOOKUP('Physical Effects'!T135,Lookup!$B$4:$C$14,2,FALSE)</f>
        <v>0</v>
      </c>
      <c r="L131" s="418">
        <f>VLOOKUP('Physical Effects'!V135,Lookup!$B$4:$C$14,2,FALSE)</f>
        <v>0</v>
      </c>
      <c r="M131" s="418">
        <f>VLOOKUP('Physical Effects'!X135,Lookup!$B$4:$C$14,2,FALSE)</f>
        <v>0</v>
      </c>
      <c r="N131" s="418">
        <f>VLOOKUP('Physical Effects'!Z135,Lookup!$B$4:$C$14,2,FALSE)</f>
        <v>0</v>
      </c>
      <c r="O131" s="418">
        <f>VLOOKUP('Physical Effects'!AB135,Lookup!$B$4:$C$14,2,FALSE)</f>
        <v>0</v>
      </c>
      <c r="P131" s="418">
        <f>VLOOKUP('Physical Effects'!AD135,Lookup!$B$4:$C$14,2,FALSE)</f>
        <v>0</v>
      </c>
      <c r="Q131" s="418">
        <f>VLOOKUP('Physical Effects'!AF135,Lookup!$B$4:$C$14,2,FALSE)</f>
        <v>0</v>
      </c>
      <c r="R131" s="418">
        <f>VLOOKUP('Physical Effects'!AH135,Lookup!$B$4:$C$14,2,FALSE)</f>
        <v>0</v>
      </c>
      <c r="S131" s="418">
        <f>VLOOKUP('Physical Effects'!AJ135,Lookup!$B$4:$C$14,2,FALSE)</f>
        <v>0</v>
      </c>
      <c r="T131" s="418">
        <f>VLOOKUP('Physical Effects'!AL135,Lookup!$B$4:$C$14,2,FALSE)</f>
        <v>0</v>
      </c>
      <c r="U131" s="418">
        <f>VLOOKUP('Physical Effects'!AN135,Lookup!$B$4:$C$14,2,FALSE)</f>
        <v>1</v>
      </c>
      <c r="V131" s="418">
        <f>VLOOKUP('Physical Effects'!AP135,Lookup!$B$4:$C$14,2,FALSE)</f>
        <v>0</v>
      </c>
      <c r="W131" s="418">
        <f>VLOOKUP('Physical Effects'!AR135,Lookup!$B$4:$C$14,2,FALSE)</f>
        <v>0</v>
      </c>
      <c r="X131" s="418">
        <f>VLOOKUP('Physical Effects'!AT135,Lookup!$B$4:$C$14,2,FALSE)</f>
        <v>0</v>
      </c>
      <c r="Y131" s="418">
        <f>VLOOKUP('Physical Effects'!AV135,Lookup!$B$4:$C$14,2,FALSE)</f>
        <v>1</v>
      </c>
      <c r="Z131" s="418">
        <f>VLOOKUP('Physical Effects'!AX135,Lookup!$B$4:$C$14,2,FALSE)</f>
        <v>0</v>
      </c>
      <c r="AA131" s="418">
        <f>VLOOKUP('Physical Effects'!AZ135,Lookup!$B$4:$C$14,2,FALSE)</f>
        <v>2</v>
      </c>
      <c r="AB131" s="418">
        <f>VLOOKUP('Physical Effects'!BB135,Lookup!$B$4:$C$14,2,FALSE)</f>
        <v>1</v>
      </c>
      <c r="AC131" s="418">
        <f>VLOOKUP('Physical Effects'!BD135,Lookup!$B$4:$C$14,2,FALSE)</f>
        <v>0</v>
      </c>
      <c r="AD131" s="418">
        <f>VLOOKUP('Physical Effects'!BF135,Lookup!$B$4:$C$14,2,FALSE)</f>
        <v>0</v>
      </c>
      <c r="AE131" s="418">
        <f>VLOOKUP('Physical Effects'!BH135,Lookup!$B$4:$C$14,2,FALSE)</f>
        <v>0</v>
      </c>
      <c r="AF131" s="418">
        <f>VLOOKUP('Physical Effects'!BJ135,Lookup!$B$4:$C$14,2,FALSE)</f>
        <v>0</v>
      </c>
      <c r="AG131" s="418">
        <f>VLOOKUP('Physical Effects'!BL135,Lookup!$B$4:$C$14,2,FALSE)</f>
        <v>1</v>
      </c>
      <c r="AH131" s="418">
        <f>VLOOKUP('Physical Effects'!BN135,Lookup!$B$4:$C$14,2,FALSE)</f>
        <v>0</v>
      </c>
      <c r="AI131" s="418">
        <f>VLOOKUP('Physical Effects'!BP135,Lookup!$B$4:$C$14,2,FALSE)</f>
        <v>4</v>
      </c>
      <c r="AJ131" s="418">
        <f>VLOOKUP('Physical Effects'!BR135,Lookup!$B$4:$C$14,2,FALSE)</f>
        <v>4</v>
      </c>
      <c r="AK131" s="418">
        <f>VLOOKUP('Physical Effects'!BT135,Lookup!$B$4:$C$14,2,FALSE)</f>
        <v>4</v>
      </c>
      <c r="AL131" s="418">
        <f>VLOOKUP('Physical Effects'!BV135,Lookup!$B$4:$C$14,2,FALSE)</f>
        <v>0</v>
      </c>
      <c r="AM131" s="418">
        <f>VLOOKUP('Physical Effects'!BX135,Lookup!$B$4:$C$14,2,FALSE)</f>
        <v>2</v>
      </c>
      <c r="AN131" s="418">
        <f>VLOOKUP('Physical Effects'!BZ135,Lookup!$B$4:$C$14,2,FALSE)</f>
        <v>2</v>
      </c>
      <c r="AO131" s="418">
        <f>VLOOKUP('Physical Effects'!CB135,Lookup!$B$4:$C$14,2,FALSE)</f>
        <v>0</v>
      </c>
      <c r="AP131" s="418">
        <f>VLOOKUP('Physical Effects'!CD135,Lookup!$B$4:$C$14,2,FALSE)</f>
        <v>2</v>
      </c>
      <c r="AQ131" s="418">
        <f>VLOOKUP('Physical Effects'!CF135,Lookup!$B$4:$C$14,2,FALSE)</f>
        <v>1</v>
      </c>
      <c r="AR131" s="418">
        <f>VLOOKUP('Physical Effects'!CH135,Lookup!$B$4:$C$14,2,FALSE)</f>
        <v>0</v>
      </c>
      <c r="AS131" s="418">
        <f>VLOOKUP('Physical Effects'!CJ135,Lookup!$B$4:$C$14,2,FALSE)</f>
        <v>0</v>
      </c>
      <c r="AT131" s="418">
        <f>VLOOKUP('Physical Effects'!CL135,Lookup!$B$4:$C$14,2,FALSE)</f>
        <v>0</v>
      </c>
      <c r="AU131" s="418">
        <f>VLOOKUP('Physical Effects'!CN135,Lookup!$B$4:$C$14,2,FALSE)</f>
        <v>0</v>
      </c>
      <c r="AV131" s="28"/>
      <c r="AW131" s="25"/>
      <c r="AX131" s="23"/>
      <c r="AY131" s="23"/>
      <c r="AZ131" s="23"/>
      <c r="BA131" s="23"/>
      <c r="BB131" s="23"/>
      <c r="BC131" s="23"/>
      <c r="BD131" s="23"/>
      <c r="BE131" s="23"/>
      <c r="BF131" s="23"/>
    </row>
    <row r="132" spans="1:58" s="5" customFormat="1" ht="13.5" thickBot="1" x14ac:dyDescent="0.25">
      <c r="A132" s="123">
        <f t="shared" ref="A132:A172" si="2">+A131+1</f>
        <v>131</v>
      </c>
      <c r="B132" s="19" t="str">
        <f>+'Physical Effects'!B136</f>
        <v>Stream Crossing</v>
      </c>
      <c r="C132" s="32">
        <f>+'Physical Effects'!D136</f>
        <v>578</v>
      </c>
      <c r="D132" s="418">
        <f>VLOOKUP('Physical Effects'!F136,Lookup!$B$4:$C$14,2,FALSE)</f>
        <v>0</v>
      </c>
      <c r="E132" s="418">
        <f>VLOOKUP('Physical Effects'!H136,Lookup!$B$4:$C$14,2,FALSE)</f>
        <v>0</v>
      </c>
      <c r="F132" s="418">
        <f>VLOOKUP('Physical Effects'!J136,Lookup!$B$4:$C$14,2,FALSE)</f>
        <v>0</v>
      </c>
      <c r="G132" s="418">
        <f>VLOOKUP('Physical Effects'!L136,Lookup!$B$4:$C$14,2,FALSE)</f>
        <v>0</v>
      </c>
      <c r="H132" s="418">
        <f>VLOOKUP('Physical Effects'!N136,Lookup!$B$4:$C$14,2,FALSE)</f>
        <v>2</v>
      </c>
      <c r="I132" s="418">
        <f>VLOOKUP('Physical Effects'!P136,Lookup!$B$4:$C$14,2,FALSE)</f>
        <v>0</v>
      </c>
      <c r="J132" s="418">
        <f>VLOOKUP('Physical Effects'!R136,Lookup!$B$4:$C$14,2,FALSE)</f>
        <v>0</v>
      </c>
      <c r="K132" s="418">
        <f>VLOOKUP('Physical Effects'!T136,Lookup!$B$4:$C$14,2,FALSE)</f>
        <v>0</v>
      </c>
      <c r="L132" s="418">
        <f>VLOOKUP('Physical Effects'!V136,Lookup!$B$4:$C$14,2,FALSE)</f>
        <v>0</v>
      </c>
      <c r="M132" s="418">
        <f>VLOOKUP('Physical Effects'!X136,Lookup!$B$4:$C$14,2,FALSE)</f>
        <v>0</v>
      </c>
      <c r="N132" s="418">
        <f>VLOOKUP('Physical Effects'!Z136,Lookup!$B$4:$C$14,2,FALSE)</f>
        <v>0</v>
      </c>
      <c r="O132" s="418">
        <f>VLOOKUP('Physical Effects'!AB136,Lookup!$B$4:$C$14,2,FALSE)</f>
        <v>0</v>
      </c>
      <c r="P132" s="418">
        <f>VLOOKUP('Physical Effects'!AD136,Lookup!$B$4:$C$14,2,FALSE)</f>
        <v>0</v>
      </c>
      <c r="Q132" s="418">
        <f>VLOOKUP('Physical Effects'!AF136,Lookup!$B$4:$C$14,2,FALSE)</f>
        <v>0</v>
      </c>
      <c r="R132" s="418">
        <f>VLOOKUP('Physical Effects'!AH136,Lookup!$B$4:$C$14,2,FALSE)</f>
        <v>0</v>
      </c>
      <c r="S132" s="418">
        <f>VLOOKUP('Physical Effects'!AJ136,Lookup!$B$4:$C$14,2,FALSE)</f>
        <v>0</v>
      </c>
      <c r="T132" s="418">
        <f>VLOOKUP('Physical Effects'!AL136,Lookup!$B$4:$C$14,2,FALSE)</f>
        <v>0</v>
      </c>
      <c r="U132" s="418">
        <f>VLOOKUP('Physical Effects'!AN136,Lookup!$B$4:$C$14,2,FALSE)</f>
        <v>1</v>
      </c>
      <c r="V132" s="418">
        <f>VLOOKUP('Physical Effects'!AP136,Lookup!$B$4:$C$14,2,FALSE)</f>
        <v>0</v>
      </c>
      <c r="W132" s="418">
        <f>VLOOKUP('Physical Effects'!AR136,Lookup!$B$4:$C$14,2,FALSE)</f>
        <v>0</v>
      </c>
      <c r="X132" s="418">
        <f>VLOOKUP('Physical Effects'!AT136,Lookup!$B$4:$C$14,2,FALSE)</f>
        <v>0</v>
      </c>
      <c r="Y132" s="418">
        <f>VLOOKUP('Physical Effects'!AV136,Lookup!$B$4:$C$14,2,FALSE)</f>
        <v>-3</v>
      </c>
      <c r="Z132" s="418">
        <f>VLOOKUP('Physical Effects'!AX136,Lookup!$B$4:$C$14,2,FALSE)</f>
        <v>2</v>
      </c>
      <c r="AA132" s="418">
        <f>VLOOKUP('Physical Effects'!AZ136,Lookup!$B$4:$C$14,2,FALSE)</f>
        <v>2</v>
      </c>
      <c r="AB132" s="418">
        <f>VLOOKUP('Physical Effects'!BB136,Lookup!$B$4:$C$14,2,FALSE)</f>
        <v>0</v>
      </c>
      <c r="AC132" s="418">
        <f>VLOOKUP('Physical Effects'!BD136,Lookup!$B$4:$C$14,2,FALSE)</f>
        <v>0</v>
      </c>
      <c r="AD132" s="418">
        <f>VLOOKUP('Physical Effects'!BF136,Lookup!$B$4:$C$14,2,FALSE)</f>
        <v>0</v>
      </c>
      <c r="AE132" s="418">
        <f>VLOOKUP('Physical Effects'!BH136,Lookup!$B$4:$C$14,2,FALSE)</f>
        <v>0</v>
      </c>
      <c r="AF132" s="418">
        <f>VLOOKUP('Physical Effects'!BJ136,Lookup!$B$4:$C$14,2,FALSE)</f>
        <v>0</v>
      </c>
      <c r="AG132" s="418">
        <f>VLOOKUP('Physical Effects'!BL136,Lookup!$B$4:$C$14,2,FALSE)</f>
        <v>0</v>
      </c>
      <c r="AH132" s="418">
        <f>VLOOKUP('Physical Effects'!BN136,Lookup!$B$4:$C$14,2,FALSE)</f>
        <v>0</v>
      </c>
      <c r="AI132" s="418">
        <f>VLOOKUP('Physical Effects'!BP136,Lookup!$B$4:$C$14,2,FALSE)</f>
        <v>0</v>
      </c>
      <c r="AJ132" s="418">
        <f>VLOOKUP('Physical Effects'!BR136,Lookup!$B$4:$C$14,2,FALSE)</f>
        <v>0</v>
      </c>
      <c r="AK132" s="418">
        <f>VLOOKUP('Physical Effects'!BT136,Lookup!$B$4:$C$14,2,FALSE)</f>
        <v>0</v>
      </c>
      <c r="AL132" s="418">
        <f>VLOOKUP('Physical Effects'!BV136,Lookup!$B$4:$C$14,2,FALSE)</f>
        <v>0</v>
      </c>
      <c r="AM132" s="418">
        <f>VLOOKUP('Physical Effects'!BX136,Lookup!$B$4:$C$14,2,FALSE)</f>
        <v>0</v>
      </c>
      <c r="AN132" s="418">
        <f>VLOOKUP('Physical Effects'!BZ136,Lookup!$B$4:$C$14,2,FALSE)</f>
        <v>0</v>
      </c>
      <c r="AO132" s="418">
        <f>VLOOKUP('Physical Effects'!CB136,Lookup!$B$4:$C$14,2,FALSE)</f>
        <v>0</v>
      </c>
      <c r="AP132" s="418">
        <f>VLOOKUP('Physical Effects'!CD136,Lookup!$B$4:$C$14,2,FALSE)</f>
        <v>0</v>
      </c>
      <c r="AQ132" s="418">
        <f>VLOOKUP('Physical Effects'!CF136,Lookup!$B$4:$C$14,2,FALSE)</f>
        <v>2</v>
      </c>
      <c r="AR132" s="418">
        <f>VLOOKUP('Physical Effects'!CH136,Lookup!$B$4:$C$14,2,FALSE)</f>
        <v>0</v>
      </c>
      <c r="AS132" s="418">
        <f>VLOOKUP('Physical Effects'!CJ136,Lookup!$B$4:$C$14,2,FALSE)</f>
        <v>2</v>
      </c>
      <c r="AT132" s="418">
        <f>VLOOKUP('Physical Effects'!CL136,Lookup!$B$4:$C$14,2,FALSE)</f>
        <v>0</v>
      </c>
      <c r="AU132" s="418">
        <f>VLOOKUP('Physical Effects'!CN136,Lookup!$B$4:$C$14,2,FALSE)</f>
        <v>0</v>
      </c>
      <c r="AV132" s="28"/>
      <c r="AW132" s="23"/>
      <c r="AX132" s="23"/>
      <c r="AY132" s="23"/>
      <c r="AZ132" s="23"/>
      <c r="BA132" s="23"/>
      <c r="BB132" s="23"/>
      <c r="BC132" s="23"/>
      <c r="BD132" s="23"/>
      <c r="BE132" s="23"/>
      <c r="BF132" s="23"/>
    </row>
    <row r="133" spans="1:58" s="5" customFormat="1" ht="13.5" thickBot="1" x14ac:dyDescent="0.25">
      <c r="A133" s="123">
        <f t="shared" si="2"/>
        <v>132</v>
      </c>
      <c r="B133" s="19" t="str">
        <f>+'Physical Effects'!B137</f>
        <v>Stream Habitat Improvement and Management</v>
      </c>
      <c r="C133" s="32">
        <f>+'Physical Effects'!D137</f>
        <v>395</v>
      </c>
      <c r="D133" s="418">
        <f>VLOOKUP('Physical Effects'!F137,Lookup!$B$4:$C$14,2,FALSE)</f>
        <v>0</v>
      </c>
      <c r="E133" s="418">
        <f>VLOOKUP('Physical Effects'!H137,Lookup!$B$4:$C$14,2,FALSE)</f>
        <v>0</v>
      </c>
      <c r="F133" s="418">
        <f>VLOOKUP('Physical Effects'!J137,Lookup!$B$4:$C$14,2,FALSE)</f>
        <v>0</v>
      </c>
      <c r="G133" s="418">
        <f>VLOOKUP('Physical Effects'!L137,Lookup!$B$4:$C$14,2,FALSE)</f>
        <v>0</v>
      </c>
      <c r="H133" s="418">
        <f>VLOOKUP('Physical Effects'!N137,Lookup!$B$4:$C$14,2,FALSE)</f>
        <v>5</v>
      </c>
      <c r="I133" s="418">
        <f>VLOOKUP('Physical Effects'!P137,Lookup!$B$4:$C$14,2,FALSE)</f>
        <v>0</v>
      </c>
      <c r="J133" s="418">
        <f>VLOOKUP('Physical Effects'!R137,Lookup!$B$4:$C$14,2,FALSE)</f>
        <v>0</v>
      </c>
      <c r="K133" s="418">
        <f>VLOOKUP('Physical Effects'!T137,Lookup!$B$4:$C$14,2,FALSE)</f>
        <v>0</v>
      </c>
      <c r="L133" s="418">
        <f>VLOOKUP('Physical Effects'!V137,Lookup!$B$4:$C$14,2,FALSE)</f>
        <v>0</v>
      </c>
      <c r="M133" s="418">
        <f>VLOOKUP('Physical Effects'!X137,Lookup!$B$4:$C$14,2,FALSE)</f>
        <v>0</v>
      </c>
      <c r="N133" s="418">
        <f>VLOOKUP('Physical Effects'!Z137,Lookup!$B$4:$C$14,2,FALSE)</f>
        <v>0</v>
      </c>
      <c r="O133" s="418">
        <f>VLOOKUP('Physical Effects'!AB137,Lookup!$B$4:$C$14,2,FALSE)</f>
        <v>0</v>
      </c>
      <c r="P133" s="418">
        <f>VLOOKUP('Physical Effects'!AD137,Lookup!$B$4:$C$14,2,FALSE)</f>
        <v>0</v>
      </c>
      <c r="Q133" s="418">
        <f>VLOOKUP('Physical Effects'!AF137,Lookup!$B$4:$C$14,2,FALSE)</f>
        <v>0</v>
      </c>
      <c r="R133" s="418">
        <f>VLOOKUP('Physical Effects'!AH137,Lookup!$B$4:$C$14,2,FALSE)</f>
        <v>0</v>
      </c>
      <c r="S133" s="418">
        <f>VLOOKUP('Physical Effects'!AJ137,Lookup!$B$4:$C$14,2,FALSE)</f>
        <v>0</v>
      </c>
      <c r="T133" s="418">
        <f>VLOOKUP('Physical Effects'!AL137,Lookup!$B$4:$C$14,2,FALSE)</f>
        <v>0</v>
      </c>
      <c r="U133" s="418">
        <f>VLOOKUP('Physical Effects'!AN137,Lookup!$B$4:$C$14,2,FALSE)</f>
        <v>0</v>
      </c>
      <c r="V133" s="418">
        <f>VLOOKUP('Physical Effects'!AP137,Lookup!$B$4:$C$14,2,FALSE)</f>
        <v>0</v>
      </c>
      <c r="W133" s="418">
        <f>VLOOKUP('Physical Effects'!AR137,Lookup!$B$4:$C$14,2,FALSE)</f>
        <v>0</v>
      </c>
      <c r="X133" s="418">
        <f>VLOOKUP('Physical Effects'!AT137,Lookup!$B$4:$C$14,2,FALSE)</f>
        <v>0</v>
      </c>
      <c r="Y133" s="418">
        <f>VLOOKUP('Physical Effects'!AV137,Lookup!$B$4:$C$14,2,FALSE)</f>
        <v>0</v>
      </c>
      <c r="Z133" s="418">
        <f>VLOOKUP('Physical Effects'!AX137,Lookup!$B$4:$C$14,2,FALSE)</f>
        <v>0</v>
      </c>
      <c r="AA133" s="418">
        <f>VLOOKUP('Physical Effects'!AZ137,Lookup!$B$4:$C$14,2,FALSE)</f>
        <v>2</v>
      </c>
      <c r="AB133" s="418">
        <f>VLOOKUP('Physical Effects'!BB137,Lookup!$B$4:$C$14,2,FALSE)</f>
        <v>2</v>
      </c>
      <c r="AC133" s="418">
        <f>VLOOKUP('Physical Effects'!BD137,Lookup!$B$4:$C$14,2,FALSE)</f>
        <v>0</v>
      </c>
      <c r="AD133" s="418">
        <f>VLOOKUP('Physical Effects'!BF137,Lookup!$B$4:$C$14,2,FALSE)</f>
        <v>0</v>
      </c>
      <c r="AE133" s="418">
        <f>VLOOKUP('Physical Effects'!BH137,Lookup!$B$4:$C$14,2,FALSE)</f>
        <v>0</v>
      </c>
      <c r="AF133" s="418">
        <f>VLOOKUP('Physical Effects'!BJ137,Lookup!$B$4:$C$14,2,FALSE)</f>
        <v>0</v>
      </c>
      <c r="AG133" s="418">
        <f>VLOOKUP('Physical Effects'!BL137,Lookup!$B$4:$C$14,2,FALSE)</f>
        <v>1</v>
      </c>
      <c r="AH133" s="418">
        <f>VLOOKUP('Physical Effects'!BN137,Lookup!$B$4:$C$14,2,FALSE)</f>
        <v>0</v>
      </c>
      <c r="AI133" s="418">
        <f>VLOOKUP('Physical Effects'!BP137,Lookup!$B$4:$C$14,2,FALSE)</f>
        <v>4</v>
      </c>
      <c r="AJ133" s="418">
        <f>VLOOKUP('Physical Effects'!BR137,Lookup!$B$4:$C$14,2,FALSE)</f>
        <v>4</v>
      </c>
      <c r="AK133" s="418">
        <f>VLOOKUP('Physical Effects'!BT137,Lookup!$B$4:$C$14,2,FALSE)</f>
        <v>4</v>
      </c>
      <c r="AL133" s="418">
        <f>VLOOKUP('Physical Effects'!BV137,Lookup!$B$4:$C$14,2,FALSE)</f>
        <v>0</v>
      </c>
      <c r="AM133" s="418">
        <f>VLOOKUP('Physical Effects'!BX137,Lookup!$B$4:$C$14,2,FALSE)</f>
        <v>2</v>
      </c>
      <c r="AN133" s="418">
        <f>VLOOKUP('Physical Effects'!BZ137,Lookup!$B$4:$C$14,2,FALSE)</f>
        <v>3</v>
      </c>
      <c r="AO133" s="418">
        <f>VLOOKUP('Physical Effects'!CB137,Lookup!$B$4:$C$14,2,FALSE)</f>
        <v>3</v>
      </c>
      <c r="AP133" s="418">
        <f>VLOOKUP('Physical Effects'!CD137,Lookup!$B$4:$C$14,2,FALSE)</f>
        <v>4</v>
      </c>
      <c r="AQ133" s="418">
        <f>VLOOKUP('Physical Effects'!CF137,Lookup!$B$4:$C$14,2,FALSE)</f>
        <v>0</v>
      </c>
      <c r="AR133" s="418">
        <f>VLOOKUP('Physical Effects'!CH137,Lookup!$B$4:$C$14,2,FALSE)</f>
        <v>0</v>
      </c>
      <c r="AS133" s="418">
        <f>VLOOKUP('Physical Effects'!CJ137,Lookup!$B$4:$C$14,2,FALSE)</f>
        <v>0</v>
      </c>
      <c r="AT133" s="418">
        <f>VLOOKUP('Physical Effects'!CL137,Lookup!$B$4:$C$14,2,FALSE)</f>
        <v>0</v>
      </c>
      <c r="AU133" s="418">
        <f>VLOOKUP('Physical Effects'!CN137,Lookup!$B$4:$C$14,2,FALSE)</f>
        <v>0</v>
      </c>
      <c r="AV133" s="28"/>
      <c r="AW133" s="23"/>
      <c r="AX133" s="23"/>
      <c r="AY133" s="23"/>
      <c r="AZ133" s="23"/>
      <c r="BA133" s="23"/>
      <c r="BB133" s="23"/>
      <c r="BC133" s="23"/>
      <c r="BD133" s="23"/>
      <c r="BE133" s="23"/>
      <c r="BF133" s="23"/>
    </row>
    <row r="134" spans="1:58" s="17" customFormat="1" ht="13.5" thickBot="1" x14ac:dyDescent="0.25">
      <c r="A134" s="123">
        <f t="shared" si="2"/>
        <v>133</v>
      </c>
      <c r="B134" s="19" t="str">
        <f>+'Physical Effects'!B138</f>
        <v>Stripcropping</v>
      </c>
      <c r="C134" s="32">
        <f>+'Physical Effects'!D138</f>
        <v>585</v>
      </c>
      <c r="D134" s="418">
        <f>VLOOKUP('Physical Effects'!F138,Lookup!$B$4:$C$14,2,FALSE)</f>
        <v>4</v>
      </c>
      <c r="E134" s="418">
        <f>VLOOKUP('Physical Effects'!H138,Lookup!$B$4:$C$14,2,FALSE)</f>
        <v>4</v>
      </c>
      <c r="F134" s="418">
        <f>VLOOKUP('Physical Effects'!J138,Lookup!$B$4:$C$14,2,FALSE)</f>
        <v>0</v>
      </c>
      <c r="G134" s="418">
        <f>VLOOKUP('Physical Effects'!L138,Lookup!$B$4:$C$14,2,FALSE)</f>
        <v>0</v>
      </c>
      <c r="H134" s="418">
        <f>VLOOKUP('Physical Effects'!N138,Lookup!$B$4:$C$14,2,FALSE)</f>
        <v>0</v>
      </c>
      <c r="I134" s="418">
        <f>VLOOKUP('Physical Effects'!P138,Lookup!$B$4:$C$14,2,FALSE)</f>
        <v>2</v>
      </c>
      <c r="J134" s="418">
        <f>VLOOKUP('Physical Effects'!R138,Lookup!$B$4:$C$14,2,FALSE)</f>
        <v>0</v>
      </c>
      <c r="K134" s="418">
        <f>VLOOKUP('Physical Effects'!T138,Lookup!$B$4:$C$14,2,FALSE)</f>
        <v>0</v>
      </c>
      <c r="L134" s="418">
        <f>VLOOKUP('Physical Effects'!V138,Lookup!$B$4:$C$14,2,FALSE)</f>
        <v>0</v>
      </c>
      <c r="M134" s="418">
        <f>VLOOKUP('Physical Effects'!X138,Lookup!$B$4:$C$14,2,FALSE)</f>
        <v>-2</v>
      </c>
      <c r="N134" s="418">
        <f>VLOOKUP('Physical Effects'!Z138,Lookup!$B$4:$C$14,2,FALSE)</f>
        <v>1</v>
      </c>
      <c r="O134" s="418">
        <f>VLOOKUP('Physical Effects'!AB138,Lookup!$B$4:$C$14,2,FALSE)</f>
        <v>-1</v>
      </c>
      <c r="P134" s="418">
        <f>VLOOKUP('Physical Effects'!AD138,Lookup!$B$4:$C$14,2,FALSE)</f>
        <v>1</v>
      </c>
      <c r="Q134" s="418">
        <f>VLOOKUP('Physical Effects'!AF138,Lookup!$B$4:$C$14,2,FALSE)</f>
        <v>0</v>
      </c>
      <c r="R134" s="418">
        <f>VLOOKUP('Physical Effects'!AH138,Lookup!$B$4:$C$14,2,FALSE)</f>
        <v>1</v>
      </c>
      <c r="S134" s="418">
        <f>VLOOKUP('Physical Effects'!AJ138,Lookup!$B$4:$C$14,2,FALSE)</f>
        <v>2</v>
      </c>
      <c r="T134" s="418">
        <f>VLOOKUP('Physical Effects'!AL138,Lookup!$B$4:$C$14,2,FALSE)</f>
        <v>0</v>
      </c>
      <c r="U134" s="418">
        <f>VLOOKUP('Physical Effects'!AN138,Lookup!$B$4:$C$14,2,FALSE)</f>
        <v>2</v>
      </c>
      <c r="V134" s="418">
        <f>VLOOKUP('Physical Effects'!AP138,Lookup!$B$4:$C$14,2,FALSE)</f>
        <v>0</v>
      </c>
      <c r="W134" s="418">
        <f>VLOOKUP('Physical Effects'!AR138,Lookup!$B$4:$C$14,2,FALSE)</f>
        <v>1</v>
      </c>
      <c r="X134" s="418">
        <f>VLOOKUP('Physical Effects'!AT138,Lookup!$B$4:$C$14,2,FALSE)</f>
        <v>-1</v>
      </c>
      <c r="Y134" s="418">
        <f>VLOOKUP('Physical Effects'!AV138,Lookup!$B$4:$C$14,2,FALSE)</f>
        <v>1</v>
      </c>
      <c r="Z134" s="418">
        <f>VLOOKUP('Physical Effects'!AX138,Lookup!$B$4:$C$14,2,FALSE)</f>
        <v>0</v>
      </c>
      <c r="AA134" s="418">
        <f>VLOOKUP('Physical Effects'!AZ138,Lookup!$B$4:$C$14,2,FALSE)</f>
        <v>2</v>
      </c>
      <c r="AB134" s="418">
        <f>VLOOKUP('Physical Effects'!BB138,Lookup!$B$4:$C$14,2,FALSE)</f>
        <v>0</v>
      </c>
      <c r="AC134" s="418">
        <f>VLOOKUP('Physical Effects'!BD138,Lookup!$B$4:$C$14,2,FALSE)</f>
        <v>0</v>
      </c>
      <c r="AD134" s="418">
        <f>VLOOKUP('Physical Effects'!BF138,Lookup!$B$4:$C$14,2,FALSE)</f>
        <v>0</v>
      </c>
      <c r="AE134" s="418">
        <f>VLOOKUP('Physical Effects'!BH138,Lookup!$B$4:$C$14,2,FALSE)</f>
        <v>2</v>
      </c>
      <c r="AF134" s="418">
        <f>VLOOKUP('Physical Effects'!BJ138,Lookup!$B$4:$C$14,2,FALSE)</f>
        <v>0</v>
      </c>
      <c r="AG134" s="418">
        <f>VLOOKUP('Physical Effects'!BL138,Lookup!$B$4:$C$14,2,FALSE)</f>
        <v>0</v>
      </c>
      <c r="AH134" s="418">
        <f>VLOOKUP('Physical Effects'!BN138,Lookup!$B$4:$C$14,2,FALSE)</f>
        <v>0</v>
      </c>
      <c r="AI134" s="418">
        <f>VLOOKUP('Physical Effects'!BP138,Lookup!$B$4:$C$14,2,FALSE)</f>
        <v>2</v>
      </c>
      <c r="AJ134" s="418">
        <f>VLOOKUP('Physical Effects'!BR138,Lookup!$B$4:$C$14,2,FALSE)</f>
        <v>0</v>
      </c>
      <c r="AK134" s="418">
        <f>VLOOKUP('Physical Effects'!BT138,Lookup!$B$4:$C$14,2,FALSE)</f>
        <v>0</v>
      </c>
      <c r="AL134" s="418">
        <f>VLOOKUP('Physical Effects'!BV138,Lookup!$B$4:$C$14,2,FALSE)</f>
        <v>0</v>
      </c>
      <c r="AM134" s="418">
        <f>VLOOKUP('Physical Effects'!BX138,Lookup!$B$4:$C$14,2,FALSE)</f>
        <v>2</v>
      </c>
      <c r="AN134" s="418">
        <f>VLOOKUP('Physical Effects'!BZ138,Lookup!$B$4:$C$14,2,FALSE)</f>
        <v>2</v>
      </c>
      <c r="AO134" s="418">
        <f>VLOOKUP('Physical Effects'!CB138,Lookup!$B$4:$C$14,2,FALSE)</f>
        <v>0</v>
      </c>
      <c r="AP134" s="418">
        <f>VLOOKUP('Physical Effects'!CD138,Lookup!$B$4:$C$14,2,FALSE)</f>
        <v>1</v>
      </c>
      <c r="AQ134" s="418">
        <f>VLOOKUP('Physical Effects'!CF138,Lookup!$B$4:$C$14,2,FALSE)</f>
        <v>0</v>
      </c>
      <c r="AR134" s="418">
        <f>VLOOKUP('Physical Effects'!CH138,Lookup!$B$4:$C$14,2,FALSE)</f>
        <v>0</v>
      </c>
      <c r="AS134" s="418">
        <f>VLOOKUP('Physical Effects'!CJ138,Lookup!$B$4:$C$14,2,FALSE)</f>
        <v>0</v>
      </c>
      <c r="AT134" s="418">
        <f>VLOOKUP('Physical Effects'!CL138,Lookup!$B$4:$C$14,2,FALSE)</f>
        <v>0</v>
      </c>
      <c r="AU134" s="418">
        <f>VLOOKUP('Physical Effects'!CN138,Lookup!$B$4:$C$14,2,FALSE)</f>
        <v>0</v>
      </c>
      <c r="AV134" s="28"/>
      <c r="AW134" s="21"/>
      <c r="AX134" s="21"/>
      <c r="AY134" s="21"/>
      <c r="AZ134" s="21"/>
      <c r="BA134" s="21"/>
      <c r="BB134" s="21"/>
      <c r="BC134" s="21"/>
      <c r="BD134" s="21"/>
      <c r="BE134" s="21"/>
      <c r="BF134" s="21"/>
    </row>
    <row r="135" spans="1:58" s="17" customFormat="1" ht="13.5" thickBot="1" x14ac:dyDescent="0.25">
      <c r="A135" s="123">
        <f t="shared" si="2"/>
        <v>134</v>
      </c>
      <c r="B135" s="19" t="str">
        <f>+'Physical Effects'!B139</f>
        <v>Structure for Water Control</v>
      </c>
      <c r="C135" s="32">
        <f>+'Physical Effects'!D139</f>
        <v>587</v>
      </c>
      <c r="D135" s="418">
        <f>VLOOKUP('Physical Effects'!F139,Lookup!$B$4:$C$14,2,FALSE)</f>
        <v>0</v>
      </c>
      <c r="E135" s="418">
        <f>VLOOKUP('Physical Effects'!H139,Lookup!$B$4:$C$14,2,FALSE)</f>
        <v>0</v>
      </c>
      <c r="F135" s="418">
        <f>VLOOKUP('Physical Effects'!J139,Lookup!$B$4:$C$14,2,FALSE)</f>
        <v>0</v>
      </c>
      <c r="G135" s="418">
        <f>VLOOKUP('Physical Effects'!L139,Lookup!$B$4:$C$14,2,FALSE)</f>
        <v>0</v>
      </c>
      <c r="H135" s="418">
        <f>VLOOKUP('Physical Effects'!N139,Lookup!$B$4:$C$14,2,FALSE)</f>
        <v>0</v>
      </c>
      <c r="I135" s="418">
        <f>VLOOKUP('Physical Effects'!P139,Lookup!$B$4:$C$14,2,FALSE)</f>
        <v>0</v>
      </c>
      <c r="J135" s="418">
        <f>VLOOKUP('Physical Effects'!R139,Lookup!$B$4:$C$14,2,FALSE)</f>
        <v>0</v>
      </c>
      <c r="K135" s="418">
        <f>VLOOKUP('Physical Effects'!T139,Lookup!$B$4:$C$14,2,FALSE)</f>
        <v>0</v>
      </c>
      <c r="L135" s="418">
        <f>VLOOKUP('Physical Effects'!V139,Lookup!$B$4:$C$14,2,FALSE)</f>
        <v>0</v>
      </c>
      <c r="M135" s="418">
        <f>VLOOKUP('Physical Effects'!X139,Lookup!$B$4:$C$14,2,FALSE)</f>
        <v>0</v>
      </c>
      <c r="N135" s="418">
        <f>VLOOKUP('Physical Effects'!Z139,Lookup!$B$4:$C$14,2,FALSE)</f>
        <v>2</v>
      </c>
      <c r="O135" s="418">
        <f>VLOOKUP('Physical Effects'!AB139,Lookup!$B$4:$C$14,2,FALSE)</f>
        <v>0</v>
      </c>
      <c r="P135" s="418">
        <f>VLOOKUP('Physical Effects'!AD139,Lookup!$B$4:$C$14,2,FALSE)</f>
        <v>0</v>
      </c>
      <c r="Q135" s="418">
        <f>VLOOKUP('Physical Effects'!AF139,Lookup!$B$4:$C$14,2,FALSE)</f>
        <v>2</v>
      </c>
      <c r="R135" s="418">
        <f>VLOOKUP('Physical Effects'!AH139,Lookup!$B$4:$C$14,2,FALSE)</f>
        <v>2</v>
      </c>
      <c r="S135" s="418">
        <f>VLOOKUP('Physical Effects'!AJ139,Lookup!$B$4:$C$14,2,FALSE)</f>
        <v>0</v>
      </c>
      <c r="T135" s="418">
        <f>VLOOKUP('Physical Effects'!AL139,Lookup!$B$4:$C$14,2,FALSE)</f>
        <v>0</v>
      </c>
      <c r="U135" s="418">
        <f>VLOOKUP('Physical Effects'!AN139,Lookup!$B$4:$C$14,2,FALSE)</f>
        <v>0</v>
      </c>
      <c r="V135" s="418">
        <f>VLOOKUP('Physical Effects'!AP139,Lookup!$B$4:$C$14,2,FALSE)</f>
        <v>0</v>
      </c>
      <c r="W135" s="418">
        <f>VLOOKUP('Physical Effects'!AR139,Lookup!$B$4:$C$14,2,FALSE)</f>
        <v>0</v>
      </c>
      <c r="X135" s="418">
        <f>VLOOKUP('Physical Effects'!AT139,Lookup!$B$4:$C$14,2,FALSE)</f>
        <v>0</v>
      </c>
      <c r="Y135" s="418">
        <f>VLOOKUP('Physical Effects'!AV139,Lookup!$B$4:$C$14,2,FALSE)</f>
        <v>0</v>
      </c>
      <c r="Z135" s="418">
        <f>VLOOKUP('Physical Effects'!AX139,Lookup!$B$4:$C$14,2,FALSE)</f>
        <v>0</v>
      </c>
      <c r="AA135" s="418">
        <f>VLOOKUP('Physical Effects'!AZ139,Lookup!$B$4:$C$14,2,FALSE)</f>
        <v>1</v>
      </c>
      <c r="AB135" s="418">
        <f>VLOOKUP('Physical Effects'!BB139,Lookup!$B$4:$C$14,2,FALSE)</f>
        <v>1</v>
      </c>
      <c r="AC135" s="418">
        <f>VLOOKUP('Physical Effects'!BD139,Lookup!$B$4:$C$14,2,FALSE)</f>
        <v>0</v>
      </c>
      <c r="AD135" s="418">
        <f>VLOOKUP('Physical Effects'!BF139,Lookup!$B$4:$C$14,2,FALSE)</f>
        <v>0</v>
      </c>
      <c r="AE135" s="418">
        <f>VLOOKUP('Physical Effects'!BH139,Lookup!$B$4:$C$14,2,FALSE)</f>
        <v>0</v>
      </c>
      <c r="AF135" s="418">
        <f>VLOOKUP('Physical Effects'!BJ139,Lookup!$B$4:$C$14,2,FALSE)</f>
        <v>0</v>
      </c>
      <c r="AG135" s="418">
        <f>VLOOKUP('Physical Effects'!BL139,Lookup!$B$4:$C$14,2,FALSE)</f>
        <v>0</v>
      </c>
      <c r="AH135" s="418">
        <f>VLOOKUP('Physical Effects'!BN139,Lookup!$B$4:$C$14,2,FALSE)</f>
        <v>0</v>
      </c>
      <c r="AI135" s="418">
        <f>VLOOKUP('Physical Effects'!BP139,Lookup!$B$4:$C$14,2,FALSE)</f>
        <v>0</v>
      </c>
      <c r="AJ135" s="418">
        <f>VLOOKUP('Physical Effects'!BR139,Lookup!$B$4:$C$14,2,FALSE)</f>
        <v>0</v>
      </c>
      <c r="AK135" s="418">
        <f>VLOOKUP('Physical Effects'!BT139,Lookup!$B$4:$C$14,2,FALSE)</f>
        <v>0</v>
      </c>
      <c r="AL135" s="418">
        <f>VLOOKUP('Physical Effects'!BV139,Lookup!$B$4:$C$14,2,FALSE)</f>
        <v>0</v>
      </c>
      <c r="AM135" s="418">
        <f>VLOOKUP('Physical Effects'!BX139,Lookup!$B$4:$C$14,2,FALSE)</f>
        <v>0</v>
      </c>
      <c r="AN135" s="418">
        <f>VLOOKUP('Physical Effects'!BZ139,Lookup!$B$4:$C$14,2,FALSE)</f>
        <v>0</v>
      </c>
      <c r="AO135" s="418">
        <f>VLOOKUP('Physical Effects'!CB139,Lookup!$B$4:$C$14,2,FALSE)</f>
        <v>2</v>
      </c>
      <c r="AP135" s="418">
        <f>VLOOKUP('Physical Effects'!CD139,Lookup!$B$4:$C$14,2,FALSE)</f>
        <v>0</v>
      </c>
      <c r="AQ135" s="418">
        <f>VLOOKUP('Physical Effects'!CF139,Lookup!$B$4:$C$14,2,FALSE)</f>
        <v>0</v>
      </c>
      <c r="AR135" s="418">
        <f>VLOOKUP('Physical Effects'!CH139,Lookup!$B$4:$C$14,2,FALSE)</f>
        <v>0</v>
      </c>
      <c r="AS135" s="418">
        <f>VLOOKUP('Physical Effects'!CJ139,Lookup!$B$4:$C$14,2,FALSE)</f>
        <v>1</v>
      </c>
      <c r="AT135" s="418">
        <f>VLOOKUP('Physical Effects'!CL139,Lookup!$B$4:$C$14,2,FALSE)</f>
        <v>0</v>
      </c>
      <c r="AU135" s="418">
        <f>VLOOKUP('Physical Effects'!CN139,Lookup!$B$4:$C$14,2,FALSE)</f>
        <v>0</v>
      </c>
      <c r="AV135" s="28"/>
      <c r="AW135" s="21"/>
      <c r="AX135" s="21"/>
      <c r="AY135" s="21"/>
      <c r="AZ135" s="21"/>
      <c r="BA135" s="21"/>
      <c r="BB135" s="21"/>
      <c r="BC135" s="21"/>
      <c r="BD135" s="21"/>
      <c r="BE135" s="21"/>
      <c r="BF135" s="21"/>
    </row>
    <row r="136" spans="1:58" s="5" customFormat="1" ht="13.5" thickBot="1" x14ac:dyDescent="0.25">
      <c r="A136" s="123">
        <f t="shared" si="2"/>
        <v>135</v>
      </c>
      <c r="B136" s="19" t="str">
        <f>+'Physical Effects'!B140</f>
        <v>Structures for Wildlife</v>
      </c>
      <c r="C136" s="32" t="str">
        <f>+'Physical Effects'!D140</f>
        <v>649</v>
      </c>
      <c r="D136" s="418">
        <f>VLOOKUP('Physical Effects'!F140,Lookup!$B$4:$C$14,2,FALSE)</f>
        <v>0</v>
      </c>
      <c r="E136" s="418">
        <f>VLOOKUP('Physical Effects'!H140,Lookup!$B$4:$C$14,2,FALSE)</f>
        <v>0</v>
      </c>
      <c r="F136" s="418">
        <f>VLOOKUP('Physical Effects'!J140,Lookup!$B$4:$C$14,2,FALSE)</f>
        <v>0</v>
      </c>
      <c r="G136" s="418">
        <f>VLOOKUP('Physical Effects'!L140,Lookup!$B$4:$C$14,2,FALSE)</f>
        <v>0</v>
      </c>
      <c r="H136" s="418">
        <f>VLOOKUP('Physical Effects'!N140,Lookup!$B$4:$C$14,2,FALSE)</f>
        <v>0</v>
      </c>
      <c r="I136" s="418">
        <f>VLOOKUP('Physical Effects'!P140,Lookup!$B$4:$C$14,2,FALSE)</f>
        <v>0</v>
      </c>
      <c r="J136" s="418">
        <f>VLOOKUP('Physical Effects'!R140,Lookup!$B$4:$C$14,2,FALSE)</f>
        <v>0</v>
      </c>
      <c r="K136" s="418">
        <f>VLOOKUP('Physical Effects'!T140,Lookup!$B$4:$C$14,2,FALSE)</f>
        <v>0</v>
      </c>
      <c r="L136" s="418">
        <f>VLOOKUP('Physical Effects'!V140,Lookup!$B$4:$C$14,2,FALSE)</f>
        <v>0</v>
      </c>
      <c r="M136" s="418">
        <f>VLOOKUP('Physical Effects'!X140,Lookup!$B$4:$C$14,2,FALSE)</f>
        <v>0</v>
      </c>
      <c r="N136" s="418">
        <f>VLOOKUP('Physical Effects'!Z140,Lookup!$B$4:$C$14,2,FALSE)</f>
        <v>0</v>
      </c>
      <c r="O136" s="418">
        <f>VLOOKUP('Physical Effects'!AB140,Lookup!$B$4:$C$14,2,FALSE)</f>
        <v>0</v>
      </c>
      <c r="P136" s="418">
        <f>VLOOKUP('Physical Effects'!AD140,Lookup!$B$4:$C$14,2,FALSE)</f>
        <v>0</v>
      </c>
      <c r="Q136" s="418">
        <f>VLOOKUP('Physical Effects'!AF140,Lookup!$B$4:$C$14,2,FALSE)</f>
        <v>0</v>
      </c>
      <c r="R136" s="418">
        <f>VLOOKUP('Physical Effects'!AH140,Lookup!$B$4:$C$14,2,FALSE)</f>
        <v>0</v>
      </c>
      <c r="S136" s="418">
        <f>VLOOKUP('Physical Effects'!AJ140,Lookup!$B$4:$C$14,2,FALSE)</f>
        <v>0</v>
      </c>
      <c r="T136" s="418">
        <f>VLOOKUP('Physical Effects'!AL140,Lookup!$B$4:$C$14,2,FALSE)</f>
        <v>0</v>
      </c>
      <c r="U136" s="418">
        <f>VLOOKUP('Physical Effects'!AN140,Lookup!$B$4:$C$14,2,FALSE)</f>
        <v>0</v>
      </c>
      <c r="V136" s="418">
        <f>VLOOKUP('Physical Effects'!AP140,Lookup!$B$4:$C$14,2,FALSE)</f>
        <v>0</v>
      </c>
      <c r="W136" s="418">
        <f>VLOOKUP('Physical Effects'!AR140,Lookup!$B$4:$C$14,2,FALSE)</f>
        <v>0</v>
      </c>
      <c r="X136" s="418">
        <f>VLOOKUP('Physical Effects'!AT140,Lookup!$B$4:$C$14,2,FALSE)</f>
        <v>0</v>
      </c>
      <c r="Y136" s="418">
        <f>VLOOKUP('Physical Effects'!AV140,Lookup!$B$4:$C$14,2,FALSE)</f>
        <v>0</v>
      </c>
      <c r="Z136" s="418">
        <f>VLOOKUP('Physical Effects'!AX140,Lookup!$B$4:$C$14,2,FALSE)</f>
        <v>0</v>
      </c>
      <c r="AA136" s="418">
        <f>VLOOKUP('Physical Effects'!AZ140,Lookup!$B$4:$C$14,2,FALSE)</f>
        <v>0</v>
      </c>
      <c r="AB136" s="418">
        <f>VLOOKUP('Physical Effects'!BB140,Lookup!$B$4:$C$14,2,FALSE)</f>
        <v>0</v>
      </c>
      <c r="AC136" s="418">
        <f>VLOOKUP('Physical Effects'!BD140,Lookup!$B$4:$C$14,2,FALSE)</f>
        <v>0</v>
      </c>
      <c r="AD136" s="418">
        <f>VLOOKUP('Physical Effects'!BF140,Lookup!$B$4:$C$14,2,FALSE)</f>
        <v>0</v>
      </c>
      <c r="AE136" s="418">
        <f>VLOOKUP('Physical Effects'!BH140,Lookup!$B$4:$C$14,2,FALSE)</f>
        <v>0</v>
      </c>
      <c r="AF136" s="418">
        <f>VLOOKUP('Physical Effects'!BJ140,Lookup!$B$4:$C$14,2,FALSE)</f>
        <v>0</v>
      </c>
      <c r="AG136" s="418">
        <f>VLOOKUP('Physical Effects'!BL140,Lookup!$B$4:$C$14,2,FALSE)</f>
        <v>0</v>
      </c>
      <c r="AH136" s="418">
        <f>VLOOKUP('Physical Effects'!BN140,Lookup!$B$4:$C$14,2,FALSE)</f>
        <v>0</v>
      </c>
      <c r="AI136" s="418">
        <f>VLOOKUP('Physical Effects'!BP140,Lookup!$B$4:$C$14,2,FALSE)</f>
        <v>0</v>
      </c>
      <c r="AJ136" s="418">
        <f>VLOOKUP('Physical Effects'!BR140,Lookup!$B$4:$C$14,2,FALSE)</f>
        <v>0</v>
      </c>
      <c r="AK136" s="418">
        <f>VLOOKUP('Physical Effects'!BT140,Lookup!$B$4:$C$14,2,FALSE)</f>
        <v>0</v>
      </c>
      <c r="AL136" s="418">
        <f>VLOOKUP('Physical Effects'!BV140,Lookup!$B$4:$C$14,2,FALSE)</f>
        <v>0</v>
      </c>
      <c r="AM136" s="418">
        <f>VLOOKUP('Physical Effects'!BX140,Lookup!$B$4:$C$14,2,FALSE)</f>
        <v>0</v>
      </c>
      <c r="AN136" s="418">
        <f>VLOOKUP('Physical Effects'!BZ140,Lookup!$B$4:$C$14,2,FALSE)</f>
        <v>4</v>
      </c>
      <c r="AO136" s="418">
        <f>VLOOKUP('Physical Effects'!CB140,Lookup!$B$4:$C$14,2,FALSE)</f>
        <v>0</v>
      </c>
      <c r="AP136" s="418">
        <f>VLOOKUP('Physical Effects'!CD140,Lookup!$B$4:$C$14,2,FALSE)</f>
        <v>0</v>
      </c>
      <c r="AQ136" s="418">
        <f>VLOOKUP('Physical Effects'!CF140,Lookup!$B$4:$C$14,2,FALSE)</f>
        <v>0</v>
      </c>
      <c r="AR136" s="418">
        <f>VLOOKUP('Physical Effects'!CH140,Lookup!$B$4:$C$14,2,FALSE)</f>
        <v>0</v>
      </c>
      <c r="AS136" s="418">
        <f>VLOOKUP('Physical Effects'!CJ140,Lookup!$B$4:$C$14,2,FALSE)</f>
        <v>0</v>
      </c>
      <c r="AT136" s="418">
        <f>VLOOKUP('Physical Effects'!CL140,Lookup!$B$4:$C$14,2,FALSE)</f>
        <v>0</v>
      </c>
      <c r="AU136" s="418">
        <f>VLOOKUP('Physical Effects'!CN140,Lookup!$B$4:$C$14,2,FALSE)</f>
        <v>0</v>
      </c>
      <c r="AV136" s="28"/>
      <c r="AW136" s="23"/>
      <c r="AX136" s="23"/>
      <c r="AY136" s="23"/>
      <c r="AZ136" s="23"/>
      <c r="BA136" s="23"/>
      <c r="BB136" s="23"/>
      <c r="BC136" s="23"/>
      <c r="BD136" s="23"/>
      <c r="BE136" s="23"/>
      <c r="BF136" s="23"/>
    </row>
    <row r="137" spans="1:58" s="5" customFormat="1" ht="13.5" thickBot="1" x14ac:dyDescent="0.25">
      <c r="A137" s="123">
        <f t="shared" si="2"/>
        <v>136</v>
      </c>
      <c r="B137" s="19" t="str">
        <f>+'Physical Effects'!B141</f>
        <v>Subsurface Drain</v>
      </c>
      <c r="C137" s="32">
        <f>+'Physical Effects'!D141</f>
        <v>606</v>
      </c>
      <c r="D137" s="418">
        <f>VLOOKUP('Physical Effects'!F141,Lookup!$B$4:$C$14,2,FALSE)</f>
        <v>4</v>
      </c>
      <c r="E137" s="418">
        <f>VLOOKUP('Physical Effects'!H141,Lookup!$B$4:$C$14,2,FALSE)</f>
        <v>-1</v>
      </c>
      <c r="F137" s="418">
        <f>VLOOKUP('Physical Effects'!J141,Lookup!$B$4:$C$14,2,FALSE)</f>
        <v>4</v>
      </c>
      <c r="G137" s="418">
        <f>VLOOKUP('Physical Effects'!L141,Lookup!$B$4:$C$14,2,FALSE)</f>
        <v>1</v>
      </c>
      <c r="H137" s="418">
        <f>VLOOKUP('Physical Effects'!N141,Lookup!$B$4:$C$14,2,FALSE)</f>
        <v>1</v>
      </c>
      <c r="I137" s="418">
        <f>VLOOKUP('Physical Effects'!P141,Lookup!$B$4:$C$14,2,FALSE)</f>
        <v>-2</v>
      </c>
      <c r="J137" s="418">
        <f>VLOOKUP('Physical Effects'!R141,Lookup!$B$4:$C$14,2,FALSE)</f>
        <v>2</v>
      </c>
      <c r="K137" s="418">
        <f>VLOOKUP('Physical Effects'!T141,Lookup!$B$4:$C$14,2,FALSE)</f>
        <v>-2</v>
      </c>
      <c r="L137" s="418">
        <f>VLOOKUP('Physical Effects'!V141,Lookup!$B$4:$C$14,2,FALSE)</f>
        <v>2</v>
      </c>
      <c r="M137" s="418">
        <f>VLOOKUP('Physical Effects'!X141,Lookup!$B$4:$C$14,2,FALSE)</f>
        <v>4</v>
      </c>
      <c r="N137" s="418">
        <f>VLOOKUP('Physical Effects'!Z141,Lookup!$B$4:$C$14,2,FALSE)</f>
        <v>4</v>
      </c>
      <c r="O137" s="418">
        <f>VLOOKUP('Physical Effects'!AB141,Lookup!$B$4:$C$14,2,FALSE)</f>
        <v>4</v>
      </c>
      <c r="P137" s="418">
        <f>VLOOKUP('Physical Effects'!AD141,Lookup!$B$4:$C$14,2,FALSE)</f>
        <v>0</v>
      </c>
      <c r="Q137" s="418">
        <f>VLOOKUP('Physical Effects'!AF141,Lookup!$B$4:$C$14,2,FALSE)</f>
        <v>2</v>
      </c>
      <c r="R137" s="418">
        <f>VLOOKUP('Physical Effects'!AH141,Lookup!$B$4:$C$14,2,FALSE)</f>
        <v>1</v>
      </c>
      <c r="S137" s="418">
        <f>VLOOKUP('Physical Effects'!AJ141,Lookup!$B$4:$C$14,2,FALSE)</f>
        <v>2</v>
      </c>
      <c r="T137" s="418">
        <f>VLOOKUP('Physical Effects'!AL141,Lookup!$B$4:$C$14,2,FALSE)</f>
        <v>2</v>
      </c>
      <c r="U137" s="418">
        <f>VLOOKUP('Physical Effects'!AN141,Lookup!$B$4:$C$14,2,FALSE)</f>
        <v>-2</v>
      </c>
      <c r="V137" s="418">
        <f>VLOOKUP('Physical Effects'!AP141,Lookup!$B$4:$C$14,2,FALSE)</f>
        <v>1</v>
      </c>
      <c r="W137" s="418">
        <f>VLOOKUP('Physical Effects'!AR141,Lookup!$B$4:$C$14,2,FALSE)</f>
        <v>-2</v>
      </c>
      <c r="X137" s="418">
        <f>VLOOKUP('Physical Effects'!AT141,Lookup!$B$4:$C$14,2,FALSE)</f>
        <v>2</v>
      </c>
      <c r="Y137" s="418">
        <f>VLOOKUP('Physical Effects'!AV141,Lookup!$B$4:$C$14,2,FALSE)</f>
        <v>0</v>
      </c>
      <c r="Z137" s="418">
        <f>VLOOKUP('Physical Effects'!AX141,Lookup!$B$4:$C$14,2,FALSE)</f>
        <v>1</v>
      </c>
      <c r="AA137" s="418">
        <f>VLOOKUP('Physical Effects'!AZ141,Lookup!$B$4:$C$14,2,FALSE)</f>
        <v>2</v>
      </c>
      <c r="AB137" s="418">
        <f>VLOOKUP('Physical Effects'!BB141,Lookup!$B$4:$C$14,2,FALSE)</f>
        <v>0</v>
      </c>
      <c r="AC137" s="418">
        <f>VLOOKUP('Physical Effects'!BD141,Lookup!$B$4:$C$14,2,FALSE)</f>
        <v>0</v>
      </c>
      <c r="AD137" s="418">
        <f>VLOOKUP('Physical Effects'!BF141,Lookup!$B$4:$C$14,2,FALSE)</f>
        <v>1</v>
      </c>
      <c r="AE137" s="418">
        <f>VLOOKUP('Physical Effects'!BH141,Lookup!$B$4:$C$14,2,FALSE)</f>
        <v>0</v>
      </c>
      <c r="AF137" s="418">
        <f>VLOOKUP('Physical Effects'!BJ141,Lookup!$B$4:$C$14,2,FALSE)</f>
        <v>0</v>
      </c>
      <c r="AG137" s="418">
        <f>VLOOKUP('Physical Effects'!BL141,Lookup!$B$4:$C$14,2,FALSE)</f>
        <v>0</v>
      </c>
      <c r="AH137" s="418">
        <f>VLOOKUP('Physical Effects'!BN141,Lookup!$B$4:$C$14,2,FALSE)</f>
        <v>0</v>
      </c>
      <c r="AI137" s="418">
        <f>VLOOKUP('Physical Effects'!BP141,Lookup!$B$4:$C$14,2,FALSE)</f>
        <v>2</v>
      </c>
      <c r="AJ137" s="418">
        <f>VLOOKUP('Physical Effects'!BR141,Lookup!$B$4:$C$14,2,FALSE)</f>
        <v>0</v>
      </c>
      <c r="AK137" s="418">
        <f>VLOOKUP('Physical Effects'!BT141,Lookup!$B$4:$C$14,2,FALSE)</f>
        <v>0</v>
      </c>
      <c r="AL137" s="418">
        <f>VLOOKUP('Physical Effects'!BV141,Lookup!$B$4:$C$14,2,FALSE)</f>
        <v>0</v>
      </c>
      <c r="AM137" s="418">
        <f>VLOOKUP('Physical Effects'!BX141,Lookup!$B$4:$C$14,2,FALSE)</f>
        <v>0</v>
      </c>
      <c r="AN137" s="418">
        <f>VLOOKUP('Physical Effects'!BZ141,Lookup!$B$4:$C$14,2,FALSE)</f>
        <v>0</v>
      </c>
      <c r="AO137" s="418">
        <f>VLOOKUP('Physical Effects'!CB141,Lookup!$B$4:$C$14,2,FALSE)</f>
        <v>0</v>
      </c>
      <c r="AP137" s="418">
        <f>VLOOKUP('Physical Effects'!CD141,Lookup!$B$4:$C$14,2,FALSE)</f>
        <v>0</v>
      </c>
      <c r="AQ137" s="418">
        <f>VLOOKUP('Physical Effects'!CF141,Lookup!$B$4:$C$14,2,FALSE)</f>
        <v>4</v>
      </c>
      <c r="AR137" s="418">
        <f>VLOOKUP('Physical Effects'!CH141,Lookup!$B$4:$C$14,2,FALSE)</f>
        <v>0</v>
      </c>
      <c r="AS137" s="418">
        <f>VLOOKUP('Physical Effects'!CJ141,Lookup!$B$4:$C$14,2,FALSE)</f>
        <v>0</v>
      </c>
      <c r="AT137" s="418">
        <f>VLOOKUP('Physical Effects'!CL141,Lookup!$B$4:$C$14,2,FALSE)</f>
        <v>0</v>
      </c>
      <c r="AU137" s="418">
        <f>VLOOKUP('Physical Effects'!CN141,Lookup!$B$4:$C$14,2,FALSE)</f>
        <v>0</v>
      </c>
      <c r="AV137" s="28"/>
      <c r="AW137" s="23"/>
      <c r="AX137" s="23"/>
      <c r="AY137" s="23"/>
      <c r="AZ137" s="23"/>
      <c r="BA137" s="23"/>
      <c r="BB137" s="23"/>
      <c r="BC137" s="23"/>
      <c r="BD137" s="23"/>
      <c r="BE137" s="23"/>
      <c r="BF137" s="23"/>
    </row>
    <row r="138" spans="1:58" s="5" customFormat="1" ht="13.5" thickBot="1" x14ac:dyDescent="0.25">
      <c r="A138" s="123">
        <f t="shared" si="2"/>
        <v>137</v>
      </c>
      <c r="B138" s="19" t="str">
        <f>+'Physical Effects'!B142</f>
        <v>Surface Drainage, Field Ditch</v>
      </c>
      <c r="C138" s="32">
        <f>+'Physical Effects'!D142</f>
        <v>607</v>
      </c>
      <c r="D138" s="418">
        <f>VLOOKUP('Physical Effects'!F142,Lookup!$B$4:$C$14,2,FALSE)</f>
        <v>1</v>
      </c>
      <c r="E138" s="418">
        <f>VLOOKUP('Physical Effects'!H142,Lookup!$B$4:$C$14,2,FALSE)</f>
        <v>-1</v>
      </c>
      <c r="F138" s="418">
        <f>VLOOKUP('Physical Effects'!J142,Lookup!$B$4:$C$14,2,FALSE)</f>
        <v>2</v>
      </c>
      <c r="G138" s="418">
        <f>VLOOKUP('Physical Effects'!L142,Lookup!$B$4:$C$14,2,FALSE)</f>
        <v>0</v>
      </c>
      <c r="H138" s="418">
        <f>VLOOKUP('Physical Effects'!N142,Lookup!$B$4:$C$14,2,FALSE)</f>
        <v>0</v>
      </c>
      <c r="I138" s="418">
        <f>VLOOKUP('Physical Effects'!P142,Lookup!$B$4:$C$14,2,FALSE)</f>
        <v>-2</v>
      </c>
      <c r="J138" s="418">
        <f>VLOOKUP('Physical Effects'!R142,Lookup!$B$4:$C$14,2,FALSE)</f>
        <v>1</v>
      </c>
      <c r="K138" s="418">
        <f>VLOOKUP('Physical Effects'!T142,Lookup!$B$4:$C$14,2,FALSE)</f>
        <v>-1</v>
      </c>
      <c r="L138" s="418">
        <f>VLOOKUP('Physical Effects'!V142,Lookup!$B$4:$C$14,2,FALSE)</f>
        <v>2</v>
      </c>
      <c r="M138" s="418">
        <f>VLOOKUP('Physical Effects'!X142,Lookup!$B$4:$C$14,2,FALSE)</f>
        <v>0</v>
      </c>
      <c r="N138" s="418">
        <f>VLOOKUP('Physical Effects'!Z142,Lookup!$B$4:$C$14,2,FALSE)</f>
        <v>2</v>
      </c>
      <c r="O138" s="418">
        <f>VLOOKUP('Physical Effects'!AB142,Lookup!$B$4:$C$14,2,FALSE)</f>
        <v>2</v>
      </c>
      <c r="P138" s="418">
        <f>VLOOKUP('Physical Effects'!AD142,Lookup!$B$4:$C$14,2,FALSE)</f>
        <v>0</v>
      </c>
      <c r="Q138" s="418">
        <f>VLOOKUP('Physical Effects'!AF142,Lookup!$B$4:$C$14,2,FALSE)</f>
        <v>2</v>
      </c>
      <c r="R138" s="418">
        <f>VLOOKUP('Physical Effects'!AH142,Lookup!$B$4:$C$14,2,FALSE)</f>
        <v>2</v>
      </c>
      <c r="S138" s="418">
        <f>VLOOKUP('Physical Effects'!AJ142,Lookup!$B$4:$C$14,2,FALSE)</f>
        <v>0</v>
      </c>
      <c r="T138" s="418">
        <f>VLOOKUP('Physical Effects'!AL142,Lookup!$B$4:$C$14,2,FALSE)</f>
        <v>1</v>
      </c>
      <c r="U138" s="418">
        <f>VLOOKUP('Physical Effects'!AN142,Lookup!$B$4:$C$14,2,FALSE)</f>
        <v>-2</v>
      </c>
      <c r="V138" s="418">
        <f>VLOOKUP('Physical Effects'!AP142,Lookup!$B$4:$C$14,2,FALSE)</f>
        <v>1</v>
      </c>
      <c r="W138" s="418">
        <f>VLOOKUP('Physical Effects'!AR142,Lookup!$B$4:$C$14,2,FALSE)</f>
        <v>-2</v>
      </c>
      <c r="X138" s="418">
        <f>VLOOKUP('Physical Effects'!AT142,Lookup!$B$4:$C$14,2,FALSE)</f>
        <v>1</v>
      </c>
      <c r="Y138" s="418">
        <f>VLOOKUP('Physical Effects'!AV142,Lookup!$B$4:$C$14,2,FALSE)</f>
        <v>-2</v>
      </c>
      <c r="Z138" s="418">
        <f>VLOOKUP('Physical Effects'!AX142,Lookup!$B$4:$C$14,2,FALSE)</f>
        <v>1</v>
      </c>
      <c r="AA138" s="418">
        <f>VLOOKUP('Physical Effects'!AZ142,Lookup!$B$4:$C$14,2,FALSE)</f>
        <v>1</v>
      </c>
      <c r="AB138" s="418">
        <f>VLOOKUP('Physical Effects'!BB142,Lookup!$B$4:$C$14,2,FALSE)</f>
        <v>0</v>
      </c>
      <c r="AC138" s="418">
        <f>VLOOKUP('Physical Effects'!BD142,Lookup!$B$4:$C$14,2,FALSE)</f>
        <v>-2</v>
      </c>
      <c r="AD138" s="418">
        <f>VLOOKUP('Physical Effects'!BF142,Lookup!$B$4:$C$14,2,FALSE)</f>
        <v>1</v>
      </c>
      <c r="AE138" s="418">
        <f>VLOOKUP('Physical Effects'!BH142,Lookup!$B$4:$C$14,2,FALSE)</f>
        <v>0</v>
      </c>
      <c r="AF138" s="418">
        <f>VLOOKUP('Physical Effects'!BJ142,Lookup!$B$4:$C$14,2,FALSE)</f>
        <v>0</v>
      </c>
      <c r="AG138" s="418">
        <f>VLOOKUP('Physical Effects'!BL142,Lookup!$B$4:$C$14,2,FALSE)</f>
        <v>0</v>
      </c>
      <c r="AH138" s="418">
        <f>VLOOKUP('Physical Effects'!BN142,Lookup!$B$4:$C$14,2,FALSE)</f>
        <v>0</v>
      </c>
      <c r="AI138" s="418">
        <f>VLOOKUP('Physical Effects'!BP142,Lookup!$B$4:$C$14,2,FALSE)</f>
        <v>2</v>
      </c>
      <c r="AJ138" s="418">
        <f>VLOOKUP('Physical Effects'!BR142,Lookup!$B$4:$C$14,2,FALSE)</f>
        <v>0</v>
      </c>
      <c r="AK138" s="418">
        <f>VLOOKUP('Physical Effects'!BT142,Lookup!$B$4:$C$14,2,FALSE)</f>
        <v>0</v>
      </c>
      <c r="AL138" s="418">
        <f>VLOOKUP('Physical Effects'!BV142,Lookup!$B$4:$C$14,2,FALSE)</f>
        <v>0</v>
      </c>
      <c r="AM138" s="418">
        <f>VLOOKUP('Physical Effects'!BX142,Lookup!$B$4:$C$14,2,FALSE)</f>
        <v>0</v>
      </c>
      <c r="AN138" s="418">
        <f>VLOOKUP('Physical Effects'!BZ142,Lookup!$B$4:$C$14,2,FALSE)</f>
        <v>0</v>
      </c>
      <c r="AO138" s="418">
        <f>VLOOKUP('Physical Effects'!CB142,Lookup!$B$4:$C$14,2,FALSE)</f>
        <v>0</v>
      </c>
      <c r="AP138" s="418">
        <f>VLOOKUP('Physical Effects'!CD142,Lookup!$B$4:$C$14,2,FALSE)</f>
        <v>0</v>
      </c>
      <c r="AQ138" s="418">
        <f>VLOOKUP('Physical Effects'!CF142,Lookup!$B$4:$C$14,2,FALSE)</f>
        <v>4</v>
      </c>
      <c r="AR138" s="418">
        <f>VLOOKUP('Physical Effects'!CH142,Lookup!$B$4:$C$14,2,FALSE)</f>
        <v>0</v>
      </c>
      <c r="AS138" s="418">
        <f>VLOOKUP('Physical Effects'!CJ142,Lookup!$B$4:$C$14,2,FALSE)</f>
        <v>0</v>
      </c>
      <c r="AT138" s="418">
        <f>VLOOKUP('Physical Effects'!CL142,Lookup!$B$4:$C$14,2,FALSE)</f>
        <v>0</v>
      </c>
      <c r="AU138" s="418">
        <f>VLOOKUP('Physical Effects'!CN142,Lookup!$B$4:$C$14,2,FALSE)</f>
        <v>0</v>
      </c>
      <c r="AV138" s="28"/>
      <c r="AW138" s="23"/>
      <c r="AX138" s="23"/>
      <c r="AY138" s="23"/>
      <c r="AZ138" s="23"/>
      <c r="BA138" s="23"/>
      <c r="BB138" s="23"/>
      <c r="BC138" s="23"/>
      <c r="BD138" s="23"/>
      <c r="BE138" s="23"/>
      <c r="BF138" s="23"/>
    </row>
    <row r="139" spans="1:58" s="5" customFormat="1" ht="13.5" thickBot="1" x14ac:dyDescent="0.25">
      <c r="A139" s="123">
        <f t="shared" si="2"/>
        <v>138</v>
      </c>
      <c r="B139" s="19" t="str">
        <f>+'Physical Effects'!B143</f>
        <v>Surface Drainage, Main or Lateral</v>
      </c>
      <c r="C139" s="32">
        <f>+'Physical Effects'!D143</f>
        <v>608</v>
      </c>
      <c r="D139" s="418">
        <f>VLOOKUP('Physical Effects'!F143,Lookup!$B$4:$C$14,2,FALSE)</f>
        <v>0</v>
      </c>
      <c r="E139" s="418">
        <f>VLOOKUP('Physical Effects'!H143,Lookup!$B$4:$C$14,2,FALSE)</f>
        <v>-1</v>
      </c>
      <c r="F139" s="418">
        <f>VLOOKUP('Physical Effects'!J143,Lookup!$B$4:$C$14,2,FALSE)</f>
        <v>2</v>
      </c>
      <c r="G139" s="418">
        <f>VLOOKUP('Physical Effects'!L143,Lookup!$B$4:$C$14,2,FALSE)</f>
        <v>0</v>
      </c>
      <c r="H139" s="418">
        <f>VLOOKUP('Physical Effects'!N143,Lookup!$B$4:$C$14,2,FALSE)</f>
        <v>0</v>
      </c>
      <c r="I139" s="418">
        <f>VLOOKUP('Physical Effects'!P143,Lookup!$B$4:$C$14,2,FALSE)</f>
        <v>0</v>
      </c>
      <c r="J139" s="418">
        <f>VLOOKUP('Physical Effects'!R143,Lookup!$B$4:$C$14,2,FALSE)</f>
        <v>0</v>
      </c>
      <c r="K139" s="418">
        <f>VLOOKUP('Physical Effects'!T143,Lookup!$B$4:$C$14,2,FALSE)</f>
        <v>0</v>
      </c>
      <c r="L139" s="418">
        <f>VLOOKUP('Physical Effects'!V143,Lookup!$B$4:$C$14,2,FALSE)</f>
        <v>0</v>
      </c>
      <c r="M139" s="418">
        <f>VLOOKUP('Physical Effects'!X143,Lookup!$B$4:$C$14,2,FALSE)</f>
        <v>0</v>
      </c>
      <c r="N139" s="418">
        <f>VLOOKUP('Physical Effects'!Z143,Lookup!$B$4:$C$14,2,FALSE)</f>
        <v>2</v>
      </c>
      <c r="O139" s="418">
        <f>VLOOKUP('Physical Effects'!AB143,Lookup!$B$4:$C$14,2,FALSE)</f>
        <v>2</v>
      </c>
      <c r="P139" s="418">
        <f>VLOOKUP('Physical Effects'!AD143,Lookup!$B$4:$C$14,2,FALSE)</f>
        <v>0</v>
      </c>
      <c r="Q139" s="418">
        <f>VLOOKUP('Physical Effects'!AF143,Lookup!$B$4:$C$14,2,FALSE)</f>
        <v>2</v>
      </c>
      <c r="R139" s="418">
        <f>VLOOKUP('Physical Effects'!AH143,Lookup!$B$4:$C$14,2,FALSE)</f>
        <v>2</v>
      </c>
      <c r="S139" s="418">
        <f>VLOOKUP('Physical Effects'!AJ143,Lookup!$B$4:$C$14,2,FALSE)</f>
        <v>0</v>
      </c>
      <c r="T139" s="418">
        <f>VLOOKUP('Physical Effects'!AL143,Lookup!$B$4:$C$14,2,FALSE)</f>
        <v>0</v>
      </c>
      <c r="U139" s="418">
        <f>VLOOKUP('Physical Effects'!AN143,Lookup!$B$4:$C$14,2,FALSE)</f>
        <v>-2</v>
      </c>
      <c r="V139" s="418">
        <f>VLOOKUP('Physical Effects'!AP143,Lookup!$B$4:$C$14,2,FALSE)</f>
        <v>1</v>
      </c>
      <c r="W139" s="418">
        <f>VLOOKUP('Physical Effects'!AR143,Lookup!$B$4:$C$14,2,FALSE)</f>
        <v>-2</v>
      </c>
      <c r="X139" s="418">
        <f>VLOOKUP('Physical Effects'!AT143,Lookup!$B$4:$C$14,2,FALSE)</f>
        <v>2</v>
      </c>
      <c r="Y139" s="418">
        <f>VLOOKUP('Physical Effects'!AV143,Lookup!$B$4:$C$14,2,FALSE)</f>
        <v>-2</v>
      </c>
      <c r="Z139" s="418">
        <f>VLOOKUP('Physical Effects'!AX143,Lookup!$B$4:$C$14,2,FALSE)</f>
        <v>2</v>
      </c>
      <c r="AA139" s="418">
        <f>VLOOKUP('Physical Effects'!AZ143,Lookup!$B$4:$C$14,2,FALSE)</f>
        <v>-1</v>
      </c>
      <c r="AB139" s="418">
        <f>VLOOKUP('Physical Effects'!BB143,Lookup!$B$4:$C$14,2,FALSE)</f>
        <v>0</v>
      </c>
      <c r="AC139" s="418">
        <f>VLOOKUP('Physical Effects'!BD143,Lookup!$B$4:$C$14,2,FALSE)</f>
        <v>-2</v>
      </c>
      <c r="AD139" s="418">
        <f>VLOOKUP('Physical Effects'!BF143,Lookup!$B$4:$C$14,2,FALSE)</f>
        <v>2</v>
      </c>
      <c r="AE139" s="418">
        <f>VLOOKUP('Physical Effects'!BH143,Lookup!$B$4:$C$14,2,FALSE)</f>
        <v>0</v>
      </c>
      <c r="AF139" s="418">
        <f>VLOOKUP('Physical Effects'!BJ143,Lookup!$B$4:$C$14,2,FALSE)</f>
        <v>0</v>
      </c>
      <c r="AG139" s="418">
        <f>VLOOKUP('Physical Effects'!BL143,Lookup!$B$4:$C$14,2,FALSE)</f>
        <v>0</v>
      </c>
      <c r="AH139" s="418">
        <f>VLOOKUP('Physical Effects'!BN143,Lookup!$B$4:$C$14,2,FALSE)</f>
        <v>0</v>
      </c>
      <c r="AI139" s="418">
        <f>VLOOKUP('Physical Effects'!BP143,Lookup!$B$4:$C$14,2,FALSE)</f>
        <v>2</v>
      </c>
      <c r="AJ139" s="418">
        <f>VLOOKUP('Physical Effects'!BR143,Lookup!$B$4:$C$14,2,FALSE)</f>
        <v>0</v>
      </c>
      <c r="AK139" s="418">
        <f>VLOOKUP('Physical Effects'!BT143,Lookup!$B$4:$C$14,2,FALSE)</f>
        <v>0</v>
      </c>
      <c r="AL139" s="418">
        <f>VLOOKUP('Physical Effects'!BV143,Lookup!$B$4:$C$14,2,FALSE)</f>
        <v>0</v>
      </c>
      <c r="AM139" s="418">
        <f>VLOOKUP('Physical Effects'!BX143,Lookup!$B$4:$C$14,2,FALSE)</f>
        <v>0</v>
      </c>
      <c r="AN139" s="418">
        <f>VLOOKUP('Physical Effects'!BZ143,Lookup!$B$4:$C$14,2,FALSE)</f>
        <v>0</v>
      </c>
      <c r="AO139" s="418">
        <f>VLOOKUP('Physical Effects'!CB143,Lookup!$B$4:$C$14,2,FALSE)</f>
        <v>0</v>
      </c>
      <c r="AP139" s="418">
        <f>VLOOKUP('Physical Effects'!CD143,Lookup!$B$4:$C$14,2,FALSE)</f>
        <v>0</v>
      </c>
      <c r="AQ139" s="418">
        <f>VLOOKUP('Physical Effects'!CF143,Lookup!$B$4:$C$14,2,FALSE)</f>
        <v>4</v>
      </c>
      <c r="AR139" s="418">
        <f>VLOOKUP('Physical Effects'!CH143,Lookup!$B$4:$C$14,2,FALSE)</f>
        <v>0</v>
      </c>
      <c r="AS139" s="418">
        <f>VLOOKUP('Physical Effects'!CJ143,Lookup!$B$4:$C$14,2,FALSE)</f>
        <v>0</v>
      </c>
      <c r="AT139" s="418">
        <f>VLOOKUP('Physical Effects'!CL143,Lookup!$B$4:$C$14,2,FALSE)</f>
        <v>0</v>
      </c>
      <c r="AU139" s="418">
        <f>VLOOKUP('Physical Effects'!CN143,Lookup!$B$4:$C$14,2,FALSE)</f>
        <v>0</v>
      </c>
      <c r="AV139" s="28"/>
      <c r="AW139" s="23"/>
      <c r="AX139" s="23"/>
      <c r="AY139" s="23"/>
      <c r="AZ139" s="23"/>
      <c r="BA139" s="23"/>
      <c r="BB139" s="23"/>
      <c r="BC139" s="23"/>
      <c r="BD139" s="23"/>
      <c r="BE139" s="23"/>
      <c r="BF139" s="23"/>
    </row>
    <row r="140" spans="1:58" s="5" customFormat="1" ht="13.5" thickBot="1" x14ac:dyDescent="0.25">
      <c r="A140" s="123">
        <f t="shared" si="2"/>
        <v>139</v>
      </c>
      <c r="B140" s="19" t="str">
        <f>+'Physical Effects'!B144</f>
        <v>Surface Roughening</v>
      </c>
      <c r="C140" s="32">
        <f>+'Physical Effects'!D144</f>
        <v>609</v>
      </c>
      <c r="D140" s="418">
        <f>VLOOKUP('Physical Effects'!F144,Lookup!$B$4:$C$14,2,FALSE)</f>
        <v>0</v>
      </c>
      <c r="E140" s="418">
        <f>VLOOKUP('Physical Effects'!H144,Lookup!$B$4:$C$14,2,FALSE)</f>
        <v>3</v>
      </c>
      <c r="F140" s="418">
        <f>VLOOKUP('Physical Effects'!J144,Lookup!$B$4:$C$14,2,FALSE)</f>
        <v>0</v>
      </c>
      <c r="G140" s="418">
        <f>VLOOKUP('Physical Effects'!L144,Lookup!$B$4:$C$14,2,FALSE)</f>
        <v>0</v>
      </c>
      <c r="H140" s="418">
        <f>VLOOKUP('Physical Effects'!N144,Lookup!$B$4:$C$14,2,FALSE)</f>
        <v>0</v>
      </c>
      <c r="I140" s="418">
        <f>VLOOKUP('Physical Effects'!P144,Lookup!$B$4:$C$14,2,FALSE)</f>
        <v>0</v>
      </c>
      <c r="J140" s="418">
        <f>VLOOKUP('Physical Effects'!R144,Lookup!$B$4:$C$14,2,FALSE)</f>
        <v>0</v>
      </c>
      <c r="K140" s="418">
        <f>VLOOKUP('Physical Effects'!T144,Lookup!$B$4:$C$14,2,FALSE)</f>
        <v>0</v>
      </c>
      <c r="L140" s="418">
        <f>VLOOKUP('Physical Effects'!V144,Lookup!$B$4:$C$14,2,FALSE)</f>
        <v>0</v>
      </c>
      <c r="M140" s="418">
        <f>VLOOKUP('Physical Effects'!X144,Lookup!$B$4:$C$14,2,FALSE)</f>
        <v>0</v>
      </c>
      <c r="N140" s="418">
        <f>VLOOKUP('Physical Effects'!Z144,Lookup!$B$4:$C$14,2,FALSE)</f>
        <v>0</v>
      </c>
      <c r="O140" s="418">
        <f>VLOOKUP('Physical Effects'!AB144,Lookup!$B$4:$C$14,2,FALSE)</f>
        <v>0</v>
      </c>
      <c r="P140" s="418">
        <f>VLOOKUP('Physical Effects'!AD144,Lookup!$B$4:$C$14,2,FALSE)</f>
        <v>0</v>
      </c>
      <c r="Q140" s="418">
        <f>VLOOKUP('Physical Effects'!AF144,Lookup!$B$4:$C$14,2,FALSE)</f>
        <v>0</v>
      </c>
      <c r="R140" s="418">
        <f>VLOOKUP('Physical Effects'!AH144,Lookup!$B$4:$C$14,2,FALSE)</f>
        <v>0</v>
      </c>
      <c r="S140" s="418">
        <f>VLOOKUP('Physical Effects'!AJ144,Lookup!$B$4:$C$14,2,FALSE)</f>
        <v>0</v>
      </c>
      <c r="T140" s="418">
        <f>VLOOKUP('Physical Effects'!AL144,Lookup!$B$4:$C$14,2,FALSE)</f>
        <v>0</v>
      </c>
      <c r="U140" s="418">
        <f>VLOOKUP('Physical Effects'!AN144,Lookup!$B$4:$C$14,2,FALSE)</f>
        <v>0</v>
      </c>
      <c r="V140" s="418">
        <f>VLOOKUP('Physical Effects'!AP144,Lookup!$B$4:$C$14,2,FALSE)</f>
        <v>0</v>
      </c>
      <c r="W140" s="418">
        <f>VLOOKUP('Physical Effects'!AR144,Lookup!$B$4:$C$14,2,FALSE)</f>
        <v>0</v>
      </c>
      <c r="X140" s="418">
        <f>VLOOKUP('Physical Effects'!AT144,Lookup!$B$4:$C$14,2,FALSE)</f>
        <v>0</v>
      </c>
      <c r="Y140" s="418">
        <f>VLOOKUP('Physical Effects'!AV144,Lookup!$B$4:$C$14,2,FALSE)</f>
        <v>0</v>
      </c>
      <c r="Z140" s="418">
        <f>VLOOKUP('Physical Effects'!AX144,Lookup!$B$4:$C$14,2,FALSE)</f>
        <v>-1</v>
      </c>
      <c r="AA140" s="418">
        <f>VLOOKUP('Physical Effects'!AZ144,Lookup!$B$4:$C$14,2,FALSE)</f>
        <v>1</v>
      </c>
      <c r="AB140" s="418">
        <f>VLOOKUP('Physical Effects'!BB144,Lookup!$B$4:$C$14,2,FALSE)</f>
        <v>0</v>
      </c>
      <c r="AC140" s="418">
        <f>VLOOKUP('Physical Effects'!BD144,Lookup!$B$4:$C$14,2,FALSE)</f>
        <v>0</v>
      </c>
      <c r="AD140" s="418">
        <f>VLOOKUP('Physical Effects'!BF144,Lookup!$B$4:$C$14,2,FALSE)</f>
        <v>0</v>
      </c>
      <c r="AE140" s="418">
        <f>VLOOKUP('Physical Effects'!BH144,Lookup!$B$4:$C$14,2,FALSE)</f>
        <v>2</v>
      </c>
      <c r="AF140" s="418">
        <f>VLOOKUP('Physical Effects'!BJ144,Lookup!$B$4:$C$14,2,FALSE)</f>
        <v>0</v>
      </c>
      <c r="AG140" s="418">
        <f>VLOOKUP('Physical Effects'!BL144,Lookup!$B$4:$C$14,2,FALSE)</f>
        <v>-1</v>
      </c>
      <c r="AH140" s="418">
        <f>VLOOKUP('Physical Effects'!BN144,Lookup!$B$4:$C$14,2,FALSE)</f>
        <v>0</v>
      </c>
      <c r="AI140" s="418">
        <f>VLOOKUP('Physical Effects'!BP144,Lookup!$B$4:$C$14,2,FALSE)</f>
        <v>0</v>
      </c>
      <c r="AJ140" s="418">
        <f>VLOOKUP('Physical Effects'!BR144,Lookup!$B$4:$C$14,2,FALSE)</f>
        <v>0</v>
      </c>
      <c r="AK140" s="418">
        <f>VLOOKUP('Physical Effects'!BT144,Lookup!$B$4:$C$14,2,FALSE)</f>
        <v>0</v>
      </c>
      <c r="AL140" s="418">
        <f>VLOOKUP('Physical Effects'!BV144,Lookup!$B$4:$C$14,2,FALSE)</f>
        <v>0</v>
      </c>
      <c r="AM140" s="418">
        <f>VLOOKUP('Physical Effects'!BX144,Lookup!$B$4:$C$14,2,FALSE)</f>
        <v>0</v>
      </c>
      <c r="AN140" s="418">
        <f>VLOOKUP('Physical Effects'!BZ144,Lookup!$B$4:$C$14,2,FALSE)</f>
        <v>0</v>
      </c>
      <c r="AO140" s="418">
        <f>VLOOKUP('Physical Effects'!CB144,Lookup!$B$4:$C$14,2,FALSE)</f>
        <v>0</v>
      </c>
      <c r="AP140" s="418">
        <f>VLOOKUP('Physical Effects'!CD144,Lookup!$B$4:$C$14,2,FALSE)</f>
        <v>0</v>
      </c>
      <c r="AQ140" s="418">
        <f>VLOOKUP('Physical Effects'!CF144,Lookup!$B$4:$C$14,2,FALSE)</f>
        <v>0</v>
      </c>
      <c r="AR140" s="418">
        <f>VLOOKUP('Physical Effects'!CH144,Lookup!$B$4:$C$14,2,FALSE)</f>
        <v>0</v>
      </c>
      <c r="AS140" s="418">
        <f>VLOOKUP('Physical Effects'!CJ144,Lookup!$B$4:$C$14,2,FALSE)</f>
        <v>0</v>
      </c>
      <c r="AT140" s="418">
        <f>VLOOKUP('Physical Effects'!CL144,Lookup!$B$4:$C$14,2,FALSE)</f>
        <v>-3</v>
      </c>
      <c r="AU140" s="418">
        <f>VLOOKUP('Physical Effects'!CN144,Lookup!$B$4:$C$14,2,FALSE)</f>
        <v>-3</v>
      </c>
      <c r="AV140" s="28"/>
      <c r="AW140" s="23"/>
      <c r="AX140" s="23"/>
      <c r="AY140" s="23"/>
      <c r="AZ140" s="23"/>
      <c r="BA140" s="23"/>
      <c r="BB140" s="23"/>
      <c r="BC140" s="23"/>
      <c r="BD140" s="23"/>
      <c r="BE140" s="23"/>
      <c r="BF140" s="23"/>
    </row>
    <row r="141" spans="1:58" s="5" customFormat="1" ht="13.5" thickBot="1" x14ac:dyDescent="0.25">
      <c r="A141" s="123">
        <f t="shared" si="2"/>
        <v>140</v>
      </c>
      <c r="B141" s="19" t="str">
        <f>+'Physical Effects'!B145</f>
        <v>Terrace</v>
      </c>
      <c r="C141" s="32">
        <f>+'Physical Effects'!D145</f>
        <v>600</v>
      </c>
      <c r="D141" s="418">
        <f>VLOOKUP('Physical Effects'!F145,Lookup!$B$4:$C$14,2,FALSE)</f>
        <v>5</v>
      </c>
      <c r="E141" s="418">
        <f>VLOOKUP('Physical Effects'!H145,Lookup!$B$4:$C$14,2,FALSE)</f>
        <v>1</v>
      </c>
      <c r="F141" s="418">
        <f>VLOOKUP('Physical Effects'!J145,Lookup!$B$4:$C$14,2,FALSE)</f>
        <v>4</v>
      </c>
      <c r="G141" s="418">
        <f>VLOOKUP('Physical Effects'!L145,Lookup!$B$4:$C$14,2,FALSE)</f>
        <v>2</v>
      </c>
      <c r="H141" s="418">
        <f>VLOOKUP('Physical Effects'!N145,Lookup!$B$4:$C$14,2,FALSE)</f>
        <v>1</v>
      </c>
      <c r="I141" s="418">
        <f>VLOOKUP('Physical Effects'!P145,Lookup!$B$4:$C$14,2,FALSE)</f>
        <v>2</v>
      </c>
      <c r="J141" s="418">
        <f>VLOOKUP('Physical Effects'!R145,Lookup!$B$4:$C$14,2,FALSE)</f>
        <v>-1</v>
      </c>
      <c r="K141" s="418">
        <f>VLOOKUP('Physical Effects'!T145,Lookup!$B$4:$C$14,2,FALSE)</f>
        <v>0</v>
      </c>
      <c r="L141" s="418">
        <f>VLOOKUP('Physical Effects'!V145,Lookup!$B$4:$C$14,2,FALSE)</f>
        <v>0</v>
      </c>
      <c r="M141" s="418">
        <f>VLOOKUP('Physical Effects'!X145,Lookup!$B$4:$C$14,2,FALSE)</f>
        <v>-1</v>
      </c>
      <c r="N141" s="418">
        <f>VLOOKUP('Physical Effects'!Z145,Lookup!$B$4:$C$14,2,FALSE)</f>
        <v>4</v>
      </c>
      <c r="O141" s="418">
        <f>VLOOKUP('Physical Effects'!AB145,Lookup!$B$4:$C$14,2,FALSE)</f>
        <v>-1</v>
      </c>
      <c r="P141" s="418">
        <f>VLOOKUP('Physical Effects'!AD145,Lookup!$B$4:$C$14,2,FALSE)</f>
        <v>-1</v>
      </c>
      <c r="Q141" s="418">
        <f>VLOOKUP('Physical Effects'!AF145,Lookup!$B$4:$C$14,2,FALSE)</f>
        <v>0</v>
      </c>
      <c r="R141" s="418">
        <f>VLOOKUP('Physical Effects'!AH145,Lookup!$B$4:$C$14,2,FALSE)</f>
        <v>3</v>
      </c>
      <c r="S141" s="418">
        <f>VLOOKUP('Physical Effects'!AJ145,Lookup!$B$4:$C$14,2,FALSE)</f>
        <v>2</v>
      </c>
      <c r="T141" s="418">
        <f>VLOOKUP('Physical Effects'!AL145,Lookup!$B$4:$C$14,2,FALSE)</f>
        <v>-2</v>
      </c>
      <c r="U141" s="418">
        <f>VLOOKUP('Physical Effects'!AN145,Lookup!$B$4:$C$14,2,FALSE)</f>
        <v>2</v>
      </c>
      <c r="V141" s="418">
        <f>VLOOKUP('Physical Effects'!AP145,Lookup!$B$4:$C$14,2,FALSE)</f>
        <v>-2</v>
      </c>
      <c r="W141" s="418">
        <f>VLOOKUP('Physical Effects'!AR145,Lookup!$B$4:$C$14,2,FALSE)</f>
        <v>2</v>
      </c>
      <c r="X141" s="418">
        <f>VLOOKUP('Physical Effects'!AT145,Lookup!$B$4:$C$14,2,FALSE)</f>
        <v>-2</v>
      </c>
      <c r="Y141" s="418">
        <f>VLOOKUP('Physical Effects'!AV145,Lookup!$B$4:$C$14,2,FALSE)</f>
        <v>2</v>
      </c>
      <c r="Z141" s="418">
        <f>VLOOKUP('Physical Effects'!AX145,Lookup!$B$4:$C$14,2,FALSE)</f>
        <v>-1</v>
      </c>
      <c r="AA141" s="418">
        <f>VLOOKUP('Physical Effects'!AZ145,Lookup!$B$4:$C$14,2,FALSE)</f>
        <v>2</v>
      </c>
      <c r="AB141" s="418">
        <f>VLOOKUP('Physical Effects'!BB145,Lookup!$B$4:$C$14,2,FALSE)</f>
        <v>0</v>
      </c>
      <c r="AC141" s="418">
        <f>VLOOKUP('Physical Effects'!BD145,Lookup!$B$4:$C$14,2,FALSE)</f>
        <v>2</v>
      </c>
      <c r="AD141" s="418">
        <f>VLOOKUP('Physical Effects'!BF145,Lookup!$B$4:$C$14,2,FALSE)</f>
        <v>-1</v>
      </c>
      <c r="AE141" s="418">
        <f>VLOOKUP('Physical Effects'!BH145,Lookup!$B$4:$C$14,2,FALSE)</f>
        <v>0</v>
      </c>
      <c r="AF141" s="418">
        <f>VLOOKUP('Physical Effects'!BJ145,Lookup!$B$4:$C$14,2,FALSE)</f>
        <v>0</v>
      </c>
      <c r="AG141" s="418">
        <f>VLOOKUP('Physical Effects'!BL145,Lookup!$B$4:$C$14,2,FALSE)</f>
        <v>0</v>
      </c>
      <c r="AH141" s="418">
        <f>VLOOKUP('Physical Effects'!BN145,Lookup!$B$4:$C$14,2,FALSE)</f>
        <v>0</v>
      </c>
      <c r="AI141" s="418">
        <f>VLOOKUP('Physical Effects'!BP145,Lookup!$B$4:$C$14,2,FALSE)</f>
        <v>2</v>
      </c>
      <c r="AJ141" s="418">
        <f>VLOOKUP('Physical Effects'!BR145,Lookup!$B$4:$C$14,2,FALSE)</f>
        <v>0</v>
      </c>
      <c r="AK141" s="418">
        <f>VLOOKUP('Physical Effects'!BT145,Lookup!$B$4:$C$14,2,FALSE)</f>
        <v>0</v>
      </c>
      <c r="AL141" s="418">
        <f>VLOOKUP('Physical Effects'!BV145,Lookup!$B$4:$C$14,2,FALSE)</f>
        <v>0</v>
      </c>
      <c r="AM141" s="418">
        <f>VLOOKUP('Physical Effects'!BX145,Lookup!$B$4:$C$14,2,FALSE)</f>
        <v>0</v>
      </c>
      <c r="AN141" s="418">
        <f>VLOOKUP('Physical Effects'!BZ145,Lookup!$B$4:$C$14,2,FALSE)</f>
        <v>1</v>
      </c>
      <c r="AO141" s="418">
        <f>VLOOKUP('Physical Effects'!CB145,Lookup!$B$4:$C$14,2,FALSE)</f>
        <v>0</v>
      </c>
      <c r="AP141" s="418">
        <f>VLOOKUP('Physical Effects'!CD145,Lookup!$B$4:$C$14,2,FALSE)</f>
        <v>0</v>
      </c>
      <c r="AQ141" s="418">
        <f>VLOOKUP('Physical Effects'!CF145,Lookup!$B$4:$C$14,2,FALSE)</f>
        <v>0</v>
      </c>
      <c r="AR141" s="418">
        <f>VLOOKUP('Physical Effects'!CH145,Lookup!$B$4:$C$14,2,FALSE)</f>
        <v>0</v>
      </c>
      <c r="AS141" s="418">
        <f>VLOOKUP('Physical Effects'!CJ145,Lookup!$B$4:$C$14,2,FALSE)</f>
        <v>0</v>
      </c>
      <c r="AT141" s="418">
        <f>VLOOKUP('Physical Effects'!CL145,Lookup!$B$4:$C$14,2,FALSE)</f>
        <v>1</v>
      </c>
      <c r="AU141" s="418">
        <f>VLOOKUP('Physical Effects'!CN145,Lookup!$B$4:$C$14,2,FALSE)</f>
        <v>1</v>
      </c>
      <c r="AV141" s="28"/>
      <c r="AW141" s="23"/>
      <c r="AX141" s="23"/>
      <c r="AY141" s="23"/>
      <c r="AZ141" s="23"/>
      <c r="BA141" s="23"/>
      <c r="BB141" s="23"/>
      <c r="BC141" s="23"/>
      <c r="BD141" s="23"/>
      <c r="BE141" s="23"/>
      <c r="BF141" s="23"/>
    </row>
    <row r="142" spans="1:58" s="5" customFormat="1" ht="13.5" thickBot="1" x14ac:dyDescent="0.25">
      <c r="A142" s="123">
        <f t="shared" si="2"/>
        <v>141</v>
      </c>
      <c r="B142" s="19" t="str">
        <f>+'Physical Effects'!B146</f>
        <v>Trails and Walkways</v>
      </c>
      <c r="C142" s="32" t="str">
        <f>+'Physical Effects'!D146</f>
        <v>575</v>
      </c>
      <c r="D142" s="418">
        <f>VLOOKUP('Physical Effects'!F146,Lookup!$B$4:$C$14,2,FALSE)</f>
        <v>1</v>
      </c>
      <c r="E142" s="418">
        <f>VLOOKUP('Physical Effects'!H146,Lookup!$B$4:$C$14,2,FALSE)</f>
        <v>1</v>
      </c>
      <c r="F142" s="418">
        <f>VLOOKUP('Physical Effects'!J146,Lookup!$B$4:$C$14,2,FALSE)</f>
        <v>1</v>
      </c>
      <c r="G142" s="418">
        <f>VLOOKUP('Physical Effects'!L146,Lookup!$B$4:$C$14,2,FALSE)</f>
        <v>4</v>
      </c>
      <c r="H142" s="418">
        <f>VLOOKUP('Physical Effects'!N146,Lookup!$B$4:$C$14,2,FALSE)</f>
        <v>2</v>
      </c>
      <c r="I142" s="418">
        <f>VLOOKUP('Physical Effects'!P146,Lookup!$B$4:$C$14,2,FALSE)</f>
        <v>0</v>
      </c>
      <c r="J142" s="418">
        <f>VLOOKUP('Physical Effects'!R146,Lookup!$B$4:$C$14,2,FALSE)</f>
        <v>2</v>
      </c>
      <c r="K142" s="418">
        <f>VLOOKUP('Physical Effects'!T146,Lookup!$B$4:$C$14,2,FALSE)</f>
        <v>0</v>
      </c>
      <c r="L142" s="418">
        <f>VLOOKUP('Physical Effects'!V146,Lookup!$B$4:$C$14,2,FALSE)</f>
        <v>0</v>
      </c>
      <c r="M142" s="418">
        <f>VLOOKUP('Physical Effects'!X146,Lookup!$B$4:$C$14,2,FALSE)</f>
        <v>0</v>
      </c>
      <c r="N142" s="418">
        <f>VLOOKUP('Physical Effects'!Z146,Lookup!$B$4:$C$14,2,FALSE)</f>
        <v>2</v>
      </c>
      <c r="O142" s="418">
        <f>VLOOKUP('Physical Effects'!AB146,Lookup!$B$4:$C$14,2,FALSE)</f>
        <v>0</v>
      </c>
      <c r="P142" s="418">
        <f>VLOOKUP('Physical Effects'!AD146,Lookup!$B$4:$C$14,2,FALSE)</f>
        <v>0</v>
      </c>
      <c r="Q142" s="418">
        <f>VLOOKUP('Physical Effects'!AF146,Lookup!$B$4:$C$14,2,FALSE)</f>
        <v>0</v>
      </c>
      <c r="R142" s="418">
        <f>VLOOKUP('Physical Effects'!AH146,Lookup!$B$4:$C$14,2,FALSE)</f>
        <v>0</v>
      </c>
      <c r="S142" s="418">
        <f>VLOOKUP('Physical Effects'!AJ146,Lookup!$B$4:$C$14,2,FALSE)</f>
        <v>0</v>
      </c>
      <c r="T142" s="418">
        <f>VLOOKUP('Physical Effects'!AL146,Lookup!$B$4:$C$14,2,FALSE)</f>
        <v>0</v>
      </c>
      <c r="U142" s="418">
        <f>VLOOKUP('Physical Effects'!AN146,Lookup!$B$4:$C$14,2,FALSE)</f>
        <v>0</v>
      </c>
      <c r="V142" s="418">
        <f>VLOOKUP('Physical Effects'!AP146,Lookup!$B$4:$C$14,2,FALSE)</f>
        <v>0</v>
      </c>
      <c r="W142" s="418">
        <f>VLOOKUP('Physical Effects'!AR146,Lookup!$B$4:$C$14,2,FALSE)</f>
        <v>0</v>
      </c>
      <c r="X142" s="418">
        <f>VLOOKUP('Physical Effects'!AT146,Lookup!$B$4:$C$14,2,FALSE)</f>
        <v>0</v>
      </c>
      <c r="Y142" s="418">
        <f>VLOOKUP('Physical Effects'!AV146,Lookup!$B$4:$C$14,2,FALSE)</f>
        <v>1</v>
      </c>
      <c r="Z142" s="418">
        <f>VLOOKUP('Physical Effects'!AX146,Lookup!$B$4:$C$14,2,FALSE)</f>
        <v>0</v>
      </c>
      <c r="AA142" s="418">
        <f>VLOOKUP('Physical Effects'!AZ146,Lookup!$B$4:$C$14,2,FALSE)</f>
        <v>2</v>
      </c>
      <c r="AB142" s="418">
        <f>VLOOKUP('Physical Effects'!BB146,Lookup!$B$4:$C$14,2,FALSE)</f>
        <v>0</v>
      </c>
      <c r="AC142" s="418">
        <f>VLOOKUP('Physical Effects'!BD146,Lookup!$B$4:$C$14,2,FALSE)</f>
        <v>0</v>
      </c>
      <c r="AD142" s="418">
        <f>VLOOKUP('Physical Effects'!BF146,Lookup!$B$4:$C$14,2,FALSE)</f>
        <v>0</v>
      </c>
      <c r="AE142" s="418">
        <f>VLOOKUP('Physical Effects'!BH146,Lookup!$B$4:$C$14,2,FALSE)</f>
        <v>1</v>
      </c>
      <c r="AF142" s="418">
        <f>VLOOKUP('Physical Effects'!BJ146,Lookup!$B$4:$C$14,2,FALSE)</f>
        <v>0</v>
      </c>
      <c r="AG142" s="418">
        <f>VLOOKUP('Physical Effects'!BL146,Lookup!$B$4:$C$14,2,FALSE)</f>
        <v>0</v>
      </c>
      <c r="AH142" s="418">
        <f>VLOOKUP('Physical Effects'!BN146,Lookup!$B$4:$C$14,2,FALSE)</f>
        <v>0</v>
      </c>
      <c r="AI142" s="418">
        <f>VLOOKUP('Physical Effects'!BP146,Lookup!$B$4:$C$14,2,FALSE)</f>
        <v>0</v>
      </c>
      <c r="AJ142" s="418">
        <f>VLOOKUP('Physical Effects'!BR146,Lookup!$B$4:$C$14,2,FALSE)</f>
        <v>0</v>
      </c>
      <c r="AK142" s="418">
        <f>VLOOKUP('Physical Effects'!BT146,Lookup!$B$4:$C$14,2,FALSE)</f>
        <v>0</v>
      </c>
      <c r="AL142" s="418">
        <f>VLOOKUP('Physical Effects'!BV146,Lookup!$B$4:$C$14,2,FALSE)</f>
        <v>2</v>
      </c>
      <c r="AM142" s="418">
        <f>VLOOKUP('Physical Effects'!BX146,Lookup!$B$4:$C$14,2,FALSE)</f>
        <v>4</v>
      </c>
      <c r="AN142" s="418">
        <f>VLOOKUP('Physical Effects'!BZ146,Lookup!$B$4:$C$14,2,FALSE)</f>
        <v>4</v>
      </c>
      <c r="AO142" s="418">
        <f>VLOOKUP('Physical Effects'!CB146,Lookup!$B$4:$C$14,2,FALSE)</f>
        <v>2</v>
      </c>
      <c r="AP142" s="418">
        <f>VLOOKUP('Physical Effects'!CD146,Lookup!$B$4:$C$14,2,FALSE)</f>
        <v>0</v>
      </c>
      <c r="AQ142" s="418">
        <f>VLOOKUP('Physical Effects'!CF146,Lookup!$B$4:$C$14,2,FALSE)</f>
        <v>1</v>
      </c>
      <c r="AR142" s="418">
        <f>VLOOKUP('Physical Effects'!CH146,Lookup!$B$4:$C$14,2,FALSE)</f>
        <v>0</v>
      </c>
      <c r="AS142" s="418">
        <f>VLOOKUP('Physical Effects'!CJ146,Lookup!$B$4:$C$14,2,FALSE)</f>
        <v>1</v>
      </c>
      <c r="AT142" s="418">
        <f>VLOOKUP('Physical Effects'!CL146,Lookup!$B$4:$C$14,2,FALSE)</f>
        <v>0</v>
      </c>
      <c r="AU142" s="418">
        <f>VLOOKUP('Physical Effects'!CN146,Lookup!$B$4:$C$14,2,FALSE)</f>
        <v>0</v>
      </c>
      <c r="AV142" s="28"/>
      <c r="AW142" s="23"/>
      <c r="AX142" s="23"/>
      <c r="AY142" s="23"/>
      <c r="AZ142" s="23"/>
      <c r="BA142" s="23"/>
      <c r="BB142" s="23"/>
      <c r="BC142" s="23"/>
      <c r="BD142" s="23"/>
      <c r="BE142" s="23"/>
      <c r="BF142" s="23"/>
    </row>
    <row r="143" spans="1:58" s="5" customFormat="1" ht="13.5" thickBot="1" x14ac:dyDescent="0.25">
      <c r="A143" s="123">
        <f t="shared" si="2"/>
        <v>142</v>
      </c>
      <c r="B143" s="19" t="str">
        <f>+'Physical Effects'!B147</f>
        <v>Tree/Shrub Establishment</v>
      </c>
      <c r="C143" s="32">
        <f>+'Physical Effects'!D147</f>
        <v>612</v>
      </c>
      <c r="D143" s="418">
        <f>VLOOKUP('Physical Effects'!F147,Lookup!$B$4:$C$14,2,FALSE)</f>
        <v>5</v>
      </c>
      <c r="E143" s="418">
        <f>VLOOKUP('Physical Effects'!H147,Lookup!$B$4:$C$14,2,FALSE)</f>
        <v>5</v>
      </c>
      <c r="F143" s="418">
        <f>VLOOKUP('Physical Effects'!J147,Lookup!$B$4:$C$14,2,FALSE)</f>
        <v>4</v>
      </c>
      <c r="G143" s="418">
        <f>VLOOKUP('Physical Effects'!L147,Lookup!$B$4:$C$14,2,FALSE)</f>
        <v>2</v>
      </c>
      <c r="H143" s="418">
        <f>VLOOKUP('Physical Effects'!N147,Lookup!$B$4:$C$14,2,FALSE)</f>
        <v>2</v>
      </c>
      <c r="I143" s="418">
        <f>VLOOKUP('Physical Effects'!P147,Lookup!$B$4:$C$14,2,FALSE)</f>
        <v>4</v>
      </c>
      <c r="J143" s="418">
        <f>VLOOKUP('Physical Effects'!R147,Lookup!$B$4:$C$14,2,FALSE)</f>
        <v>2</v>
      </c>
      <c r="K143" s="418">
        <f>VLOOKUP('Physical Effects'!T147,Lookup!$B$4:$C$14,2,FALSE)</f>
        <v>0</v>
      </c>
      <c r="L143" s="418">
        <f>VLOOKUP('Physical Effects'!V147,Lookup!$B$4:$C$14,2,FALSE)</f>
        <v>1</v>
      </c>
      <c r="M143" s="418">
        <f>VLOOKUP('Physical Effects'!X147,Lookup!$B$4:$C$14,2,FALSE)</f>
        <v>2</v>
      </c>
      <c r="N143" s="418">
        <f>VLOOKUP('Physical Effects'!Z147,Lookup!$B$4:$C$14,2,FALSE)</f>
        <v>0</v>
      </c>
      <c r="O143" s="418">
        <f>VLOOKUP('Physical Effects'!AB147,Lookup!$B$4:$C$14,2,FALSE)</f>
        <v>2</v>
      </c>
      <c r="P143" s="418">
        <f>VLOOKUP('Physical Effects'!AD147,Lookup!$B$4:$C$14,2,FALSE)</f>
        <v>1</v>
      </c>
      <c r="Q143" s="418">
        <f>VLOOKUP('Physical Effects'!AF147,Lookup!$B$4:$C$14,2,FALSE)</f>
        <v>0</v>
      </c>
      <c r="R143" s="418">
        <f>VLOOKUP('Physical Effects'!AH147,Lookup!$B$4:$C$14,2,FALSE)</f>
        <v>1</v>
      </c>
      <c r="S143" s="418">
        <f>VLOOKUP('Physical Effects'!AJ147,Lookup!$B$4:$C$14,2,FALSE)</f>
        <v>1</v>
      </c>
      <c r="T143" s="418">
        <f>VLOOKUP('Physical Effects'!AL147,Lookup!$B$4:$C$14,2,FALSE)</f>
        <v>1</v>
      </c>
      <c r="U143" s="418">
        <f>VLOOKUP('Physical Effects'!AN147,Lookup!$B$4:$C$14,2,FALSE)</f>
        <v>1</v>
      </c>
      <c r="V143" s="418">
        <f>VLOOKUP('Physical Effects'!AP147,Lookup!$B$4:$C$14,2,FALSE)</f>
        <v>1</v>
      </c>
      <c r="W143" s="418">
        <f>VLOOKUP('Physical Effects'!AR147,Lookup!$B$4:$C$14,2,FALSE)</f>
        <v>1</v>
      </c>
      <c r="X143" s="418">
        <f>VLOOKUP('Physical Effects'!AT147,Lookup!$B$4:$C$14,2,FALSE)</f>
        <v>1</v>
      </c>
      <c r="Y143" s="418">
        <f>VLOOKUP('Physical Effects'!AV147,Lookup!$B$4:$C$14,2,FALSE)</f>
        <v>1</v>
      </c>
      <c r="Z143" s="418">
        <f>VLOOKUP('Physical Effects'!AX147,Lookup!$B$4:$C$14,2,FALSE)</f>
        <v>1</v>
      </c>
      <c r="AA143" s="418">
        <f>VLOOKUP('Physical Effects'!AZ147,Lookup!$B$4:$C$14,2,FALSE)</f>
        <v>3</v>
      </c>
      <c r="AB143" s="418">
        <f>VLOOKUP('Physical Effects'!BB147,Lookup!$B$4:$C$14,2,FALSE)</f>
        <v>1</v>
      </c>
      <c r="AC143" s="418">
        <f>VLOOKUP('Physical Effects'!BD147,Lookup!$B$4:$C$14,2,FALSE)</f>
        <v>1</v>
      </c>
      <c r="AD143" s="418">
        <f>VLOOKUP('Physical Effects'!BF147,Lookup!$B$4:$C$14,2,FALSE)</f>
        <v>1</v>
      </c>
      <c r="AE143" s="418">
        <f>VLOOKUP('Physical Effects'!BH147,Lookup!$B$4:$C$14,2,FALSE)</f>
        <v>1</v>
      </c>
      <c r="AF143" s="418">
        <f>VLOOKUP('Physical Effects'!BJ147,Lookup!$B$4:$C$14,2,FALSE)</f>
        <v>0</v>
      </c>
      <c r="AG143" s="418">
        <f>VLOOKUP('Physical Effects'!BL147,Lookup!$B$4:$C$14,2,FALSE)</f>
        <v>4</v>
      </c>
      <c r="AH143" s="418">
        <f>VLOOKUP('Physical Effects'!BN147,Lookup!$B$4:$C$14,2,FALSE)</f>
        <v>2</v>
      </c>
      <c r="AI143" s="418">
        <f>VLOOKUP('Physical Effects'!BP147,Lookup!$B$4:$C$14,2,FALSE)</f>
        <v>5</v>
      </c>
      <c r="AJ143" s="418">
        <f>VLOOKUP('Physical Effects'!BR147,Lookup!$B$4:$C$14,2,FALSE)</f>
        <v>5</v>
      </c>
      <c r="AK143" s="418">
        <f>VLOOKUP('Physical Effects'!BT147,Lookup!$B$4:$C$14,2,FALSE)</f>
        <v>5</v>
      </c>
      <c r="AL143" s="418">
        <f>VLOOKUP('Physical Effects'!BV147,Lookup!$B$4:$C$14,2,FALSE)</f>
        <v>0</v>
      </c>
      <c r="AM143" s="418">
        <f>VLOOKUP('Physical Effects'!BX147,Lookup!$B$4:$C$14,2,FALSE)</f>
        <v>1</v>
      </c>
      <c r="AN143" s="418">
        <f>VLOOKUP('Physical Effects'!BZ147,Lookup!$B$4:$C$14,2,FALSE)</f>
        <v>3</v>
      </c>
      <c r="AO143" s="418">
        <f>VLOOKUP('Physical Effects'!CB147,Lookup!$B$4:$C$14,2,FALSE)</f>
        <v>0</v>
      </c>
      <c r="AP143" s="418">
        <f>VLOOKUP('Physical Effects'!CD147,Lookup!$B$4:$C$14,2,FALSE)</f>
        <v>3</v>
      </c>
      <c r="AQ143" s="418">
        <f>VLOOKUP('Physical Effects'!CF147,Lookup!$B$4:$C$14,2,FALSE)</f>
        <v>0</v>
      </c>
      <c r="AR143" s="418">
        <f>VLOOKUP('Physical Effects'!CH147,Lookup!$B$4:$C$14,2,FALSE)</f>
        <v>1</v>
      </c>
      <c r="AS143" s="418">
        <f>VLOOKUP('Physical Effects'!CJ147,Lookup!$B$4:$C$14,2,FALSE)</f>
        <v>0</v>
      </c>
      <c r="AT143" s="418">
        <f>VLOOKUP('Physical Effects'!CL147,Lookup!$B$4:$C$14,2,FALSE)</f>
        <v>1</v>
      </c>
      <c r="AU143" s="418">
        <f>VLOOKUP('Physical Effects'!CN147,Lookup!$B$4:$C$14,2,FALSE)</f>
        <v>1</v>
      </c>
      <c r="AV143" s="28"/>
      <c r="AW143" s="23"/>
      <c r="AX143" s="23"/>
      <c r="AY143" s="23"/>
      <c r="AZ143" s="23"/>
      <c r="BA143" s="23"/>
      <c r="BB143" s="23"/>
      <c r="BC143" s="23"/>
      <c r="BD143" s="23"/>
      <c r="BE143" s="23"/>
      <c r="BF143" s="23"/>
    </row>
    <row r="144" spans="1:58" s="18" customFormat="1" ht="13.5" thickBot="1" x14ac:dyDescent="0.25">
      <c r="A144" s="123">
        <f t="shared" si="2"/>
        <v>143</v>
      </c>
      <c r="B144" s="19" t="str">
        <f>+'Physical Effects'!B148</f>
        <v>Tree/Shrub Site Preparation</v>
      </c>
      <c r="C144" s="32">
        <f>+'Physical Effects'!D148</f>
        <v>490</v>
      </c>
      <c r="D144" s="418">
        <f>VLOOKUP('Physical Effects'!F148,Lookup!$B$4:$C$14,2,FALSE)</f>
        <v>-1</v>
      </c>
      <c r="E144" s="418">
        <f>VLOOKUP('Physical Effects'!H148,Lookup!$B$4:$C$14,2,FALSE)</f>
        <v>-1</v>
      </c>
      <c r="F144" s="418">
        <f>VLOOKUP('Physical Effects'!J148,Lookup!$B$4:$C$14,2,FALSE)</f>
        <v>-2</v>
      </c>
      <c r="G144" s="418">
        <f>VLOOKUP('Physical Effects'!L148,Lookup!$B$4:$C$14,2,FALSE)</f>
        <v>-1</v>
      </c>
      <c r="H144" s="418">
        <f>VLOOKUP('Physical Effects'!N148,Lookup!$B$4:$C$14,2,FALSE)</f>
        <v>0</v>
      </c>
      <c r="I144" s="418">
        <f>VLOOKUP('Physical Effects'!P148,Lookup!$B$4:$C$14,2,FALSE)</f>
        <v>-2</v>
      </c>
      <c r="J144" s="418">
        <f>VLOOKUP('Physical Effects'!R148,Lookup!$B$4:$C$14,2,FALSE)</f>
        <v>-1</v>
      </c>
      <c r="K144" s="418">
        <f>VLOOKUP('Physical Effects'!T148,Lookup!$B$4:$C$14,2,FALSE)</f>
        <v>0</v>
      </c>
      <c r="L144" s="418">
        <f>VLOOKUP('Physical Effects'!V148,Lookup!$B$4:$C$14,2,FALSE)</f>
        <v>0</v>
      </c>
      <c r="M144" s="418">
        <f>VLOOKUP('Physical Effects'!X148,Lookup!$B$4:$C$14,2,FALSE)</f>
        <v>0</v>
      </c>
      <c r="N144" s="418">
        <f>VLOOKUP('Physical Effects'!Z148,Lookup!$B$4:$C$14,2,FALSE)</f>
        <v>0</v>
      </c>
      <c r="O144" s="418">
        <f>VLOOKUP('Physical Effects'!AB148,Lookup!$B$4:$C$14,2,FALSE)</f>
        <v>0</v>
      </c>
      <c r="P144" s="418">
        <f>VLOOKUP('Physical Effects'!AD148,Lookup!$B$4:$C$14,2,FALSE)</f>
        <v>0</v>
      </c>
      <c r="Q144" s="418">
        <f>VLOOKUP('Physical Effects'!AF148,Lookup!$B$4:$C$14,2,FALSE)</f>
        <v>0</v>
      </c>
      <c r="R144" s="418">
        <f>VLOOKUP('Physical Effects'!AH148,Lookup!$B$4:$C$14,2,FALSE)</f>
        <v>2</v>
      </c>
      <c r="S144" s="418">
        <f>VLOOKUP('Physical Effects'!AJ148,Lookup!$B$4:$C$14,2,FALSE)</f>
        <v>-1</v>
      </c>
      <c r="T144" s="418">
        <f>VLOOKUP('Physical Effects'!AL148,Lookup!$B$4:$C$14,2,FALSE)</f>
        <v>-1</v>
      </c>
      <c r="U144" s="418">
        <f>VLOOKUP('Physical Effects'!AN148,Lookup!$B$4:$C$14,2,FALSE)</f>
        <v>0</v>
      </c>
      <c r="V144" s="418">
        <f>VLOOKUP('Physical Effects'!AP148,Lookup!$B$4:$C$14,2,FALSE)</f>
        <v>0</v>
      </c>
      <c r="W144" s="418">
        <f>VLOOKUP('Physical Effects'!AR148,Lookup!$B$4:$C$14,2,FALSE)</f>
        <v>0</v>
      </c>
      <c r="X144" s="418">
        <f>VLOOKUP('Physical Effects'!AT148,Lookup!$B$4:$C$14,2,FALSE)</f>
        <v>0</v>
      </c>
      <c r="Y144" s="418">
        <f>VLOOKUP('Physical Effects'!AV148,Lookup!$B$4:$C$14,2,FALSE)</f>
        <v>0</v>
      </c>
      <c r="Z144" s="418">
        <f>VLOOKUP('Physical Effects'!AX148,Lookup!$B$4:$C$14,2,FALSE)</f>
        <v>0</v>
      </c>
      <c r="AA144" s="418">
        <f>VLOOKUP('Physical Effects'!AZ148,Lookup!$B$4:$C$14,2,FALSE)</f>
        <v>-1</v>
      </c>
      <c r="AB144" s="418">
        <f>VLOOKUP('Physical Effects'!BB148,Lookup!$B$4:$C$14,2,FALSE)</f>
        <v>0</v>
      </c>
      <c r="AC144" s="418">
        <f>VLOOKUP('Physical Effects'!BD148,Lookup!$B$4:$C$14,2,FALSE)</f>
        <v>0</v>
      </c>
      <c r="AD144" s="418">
        <f>VLOOKUP('Physical Effects'!BF148,Lookup!$B$4:$C$14,2,FALSE)</f>
        <v>0</v>
      </c>
      <c r="AE144" s="418">
        <f>VLOOKUP('Physical Effects'!BH148,Lookup!$B$4:$C$14,2,FALSE)</f>
        <v>0</v>
      </c>
      <c r="AF144" s="418">
        <f>VLOOKUP('Physical Effects'!BJ148,Lookup!$B$4:$C$14,2,FALSE)</f>
        <v>0</v>
      </c>
      <c r="AG144" s="418">
        <f>VLOOKUP('Physical Effects'!BL148,Lookup!$B$4:$C$14,2,FALSE)</f>
        <v>0</v>
      </c>
      <c r="AH144" s="418">
        <f>VLOOKUP('Physical Effects'!BN148,Lookup!$B$4:$C$14,2,FALSE)</f>
        <v>0</v>
      </c>
      <c r="AI144" s="418">
        <f>VLOOKUP('Physical Effects'!BP148,Lookup!$B$4:$C$14,2,FALSE)</f>
        <v>5</v>
      </c>
      <c r="AJ144" s="418">
        <f>VLOOKUP('Physical Effects'!BR148,Lookup!$B$4:$C$14,2,FALSE)</f>
        <v>5</v>
      </c>
      <c r="AK144" s="418">
        <f>VLOOKUP('Physical Effects'!BT148,Lookup!$B$4:$C$14,2,FALSE)</f>
        <v>5</v>
      </c>
      <c r="AL144" s="418">
        <f>VLOOKUP('Physical Effects'!BV148,Lookup!$B$4:$C$14,2,FALSE)</f>
        <v>3</v>
      </c>
      <c r="AM144" s="418">
        <f>VLOOKUP('Physical Effects'!BX148,Lookup!$B$4:$C$14,2,FALSE)</f>
        <v>0</v>
      </c>
      <c r="AN144" s="418">
        <f>VLOOKUP('Physical Effects'!BZ148,Lookup!$B$4:$C$14,2,FALSE)</f>
        <v>0</v>
      </c>
      <c r="AO144" s="418">
        <f>VLOOKUP('Physical Effects'!CB148,Lookup!$B$4:$C$14,2,FALSE)</f>
        <v>0</v>
      </c>
      <c r="AP144" s="418">
        <f>VLOOKUP('Physical Effects'!CD148,Lookup!$B$4:$C$14,2,FALSE)</f>
        <v>0</v>
      </c>
      <c r="AQ144" s="418">
        <f>VLOOKUP('Physical Effects'!CF148,Lookup!$B$4:$C$14,2,FALSE)</f>
        <v>0</v>
      </c>
      <c r="AR144" s="418">
        <f>VLOOKUP('Physical Effects'!CH148,Lookup!$B$4:$C$14,2,FALSE)</f>
        <v>0</v>
      </c>
      <c r="AS144" s="418">
        <f>VLOOKUP('Physical Effects'!CJ148,Lookup!$B$4:$C$14,2,FALSE)</f>
        <v>0</v>
      </c>
      <c r="AT144" s="418">
        <f>VLOOKUP('Physical Effects'!CL148,Lookup!$B$4:$C$14,2,FALSE)</f>
        <v>0</v>
      </c>
      <c r="AU144" s="418">
        <f>VLOOKUP('Physical Effects'!CN148,Lookup!$B$4:$C$14,2,FALSE)</f>
        <v>0</v>
      </c>
      <c r="AV144" s="38"/>
    </row>
    <row r="145" spans="1:58" s="5" customFormat="1" ht="13.5" thickBot="1" x14ac:dyDescent="0.25">
      <c r="A145" s="123">
        <f t="shared" si="2"/>
        <v>144</v>
      </c>
      <c r="B145" s="19" t="str">
        <f>+'Physical Effects'!B149</f>
        <v>Tree/Shrub Pruning</v>
      </c>
      <c r="C145" s="32">
        <f>+'Physical Effects'!D149</f>
        <v>660</v>
      </c>
      <c r="D145" s="418">
        <f>VLOOKUP('Physical Effects'!F149,Lookup!$B$4:$C$14,2,FALSE)</f>
        <v>1</v>
      </c>
      <c r="E145" s="418">
        <f>VLOOKUP('Physical Effects'!H149,Lookup!$B$4:$C$14,2,FALSE)</f>
        <v>0</v>
      </c>
      <c r="F145" s="418">
        <f>VLOOKUP('Physical Effects'!J149,Lookup!$B$4:$C$14,2,FALSE)</f>
        <v>0</v>
      </c>
      <c r="G145" s="418">
        <f>VLOOKUP('Physical Effects'!L149,Lookup!$B$4:$C$14,2,FALSE)</f>
        <v>0</v>
      </c>
      <c r="H145" s="418">
        <f>VLOOKUP('Physical Effects'!N149,Lookup!$B$4:$C$14,2,FALSE)</f>
        <v>0</v>
      </c>
      <c r="I145" s="418">
        <f>VLOOKUP('Physical Effects'!P149,Lookup!$B$4:$C$14,2,FALSE)</f>
        <v>1</v>
      </c>
      <c r="J145" s="418">
        <f>VLOOKUP('Physical Effects'!R149,Lookup!$B$4:$C$14,2,FALSE)</f>
        <v>0</v>
      </c>
      <c r="K145" s="418">
        <f>VLOOKUP('Physical Effects'!T149,Lookup!$B$4:$C$14,2,FALSE)</f>
        <v>0</v>
      </c>
      <c r="L145" s="418">
        <f>VLOOKUP('Physical Effects'!V149,Lookup!$B$4:$C$14,2,FALSE)</f>
        <v>0</v>
      </c>
      <c r="M145" s="418">
        <f>VLOOKUP('Physical Effects'!X149,Lookup!$B$4:$C$14,2,FALSE)</f>
        <v>0</v>
      </c>
      <c r="N145" s="418">
        <f>VLOOKUP('Physical Effects'!Z149,Lookup!$B$4:$C$14,2,FALSE)</f>
        <v>0</v>
      </c>
      <c r="O145" s="418">
        <f>VLOOKUP('Physical Effects'!AB149,Lookup!$B$4:$C$14,2,FALSE)</f>
        <v>0</v>
      </c>
      <c r="P145" s="418">
        <f>VLOOKUP('Physical Effects'!AD149,Lookup!$B$4:$C$14,2,FALSE)</f>
        <v>0</v>
      </c>
      <c r="Q145" s="418">
        <f>VLOOKUP('Physical Effects'!AF149,Lookup!$B$4:$C$14,2,FALSE)</f>
        <v>0</v>
      </c>
      <c r="R145" s="418">
        <f>VLOOKUP('Physical Effects'!AH149,Lookup!$B$4:$C$14,2,FALSE)</f>
        <v>0</v>
      </c>
      <c r="S145" s="418">
        <f>VLOOKUP('Physical Effects'!AJ149,Lookup!$B$4:$C$14,2,FALSE)</f>
        <v>1</v>
      </c>
      <c r="T145" s="418">
        <f>VLOOKUP('Physical Effects'!AL149,Lookup!$B$4:$C$14,2,FALSE)</f>
        <v>1</v>
      </c>
      <c r="U145" s="418">
        <f>VLOOKUP('Physical Effects'!AN149,Lookup!$B$4:$C$14,2,FALSE)</f>
        <v>1</v>
      </c>
      <c r="V145" s="418">
        <f>VLOOKUP('Physical Effects'!AP149,Lookup!$B$4:$C$14,2,FALSE)</f>
        <v>1</v>
      </c>
      <c r="W145" s="418">
        <f>VLOOKUP('Physical Effects'!AR149,Lookup!$B$4:$C$14,2,FALSE)</f>
        <v>0</v>
      </c>
      <c r="X145" s="418">
        <f>VLOOKUP('Physical Effects'!AT149,Lookup!$B$4:$C$14,2,FALSE)</f>
        <v>0</v>
      </c>
      <c r="Y145" s="418">
        <f>VLOOKUP('Physical Effects'!AV149,Lookup!$B$4:$C$14,2,FALSE)</f>
        <v>0</v>
      </c>
      <c r="Z145" s="418">
        <f>VLOOKUP('Physical Effects'!AX149,Lookup!$B$4:$C$14,2,FALSE)</f>
        <v>0</v>
      </c>
      <c r="AA145" s="418">
        <f>VLOOKUP('Physical Effects'!AZ149,Lookup!$B$4:$C$14,2,FALSE)</f>
        <v>0</v>
      </c>
      <c r="AB145" s="418">
        <f>VLOOKUP('Physical Effects'!BB149,Lookup!$B$4:$C$14,2,FALSE)</f>
        <v>0</v>
      </c>
      <c r="AC145" s="418">
        <f>VLOOKUP('Physical Effects'!BD149,Lookup!$B$4:$C$14,2,FALSE)</f>
        <v>0</v>
      </c>
      <c r="AD145" s="418">
        <f>VLOOKUP('Physical Effects'!BF149,Lookup!$B$4:$C$14,2,FALSE)</f>
        <v>0</v>
      </c>
      <c r="AE145" s="418">
        <f>VLOOKUP('Physical Effects'!BH149,Lookup!$B$4:$C$14,2,FALSE)</f>
        <v>0</v>
      </c>
      <c r="AF145" s="418">
        <f>VLOOKUP('Physical Effects'!BJ149,Lookup!$B$4:$C$14,2,FALSE)</f>
        <v>0</v>
      </c>
      <c r="AG145" s="418">
        <f>VLOOKUP('Physical Effects'!BL149,Lookup!$B$4:$C$14,2,FALSE)</f>
        <v>0</v>
      </c>
      <c r="AH145" s="418">
        <f>VLOOKUP('Physical Effects'!BN149,Lookup!$B$4:$C$14,2,FALSE)</f>
        <v>0</v>
      </c>
      <c r="AI145" s="418">
        <f>VLOOKUP('Physical Effects'!BP149,Lookup!$B$4:$C$14,2,FALSE)</f>
        <v>5</v>
      </c>
      <c r="AJ145" s="418">
        <f>VLOOKUP('Physical Effects'!BR149,Lookup!$B$4:$C$14,2,FALSE)</f>
        <v>4</v>
      </c>
      <c r="AK145" s="418">
        <f>VLOOKUP('Physical Effects'!BT149,Lookup!$B$4:$C$14,2,FALSE)</f>
        <v>0</v>
      </c>
      <c r="AL145" s="418">
        <f>VLOOKUP('Physical Effects'!BV149,Lookup!$B$4:$C$14,2,FALSE)</f>
        <v>3</v>
      </c>
      <c r="AM145" s="418">
        <f>VLOOKUP('Physical Effects'!BX149,Lookup!$B$4:$C$14,2,FALSE)</f>
        <v>1</v>
      </c>
      <c r="AN145" s="418">
        <f>VLOOKUP('Physical Effects'!BZ149,Lookup!$B$4:$C$14,2,FALSE)</f>
        <v>1</v>
      </c>
      <c r="AO145" s="418">
        <f>VLOOKUP('Physical Effects'!CB149,Lookup!$B$4:$C$14,2,FALSE)</f>
        <v>0</v>
      </c>
      <c r="AP145" s="418">
        <f>VLOOKUP('Physical Effects'!CD149,Lookup!$B$4:$C$14,2,FALSE)</f>
        <v>0</v>
      </c>
      <c r="AQ145" s="418">
        <f>VLOOKUP('Physical Effects'!CF149,Lookup!$B$4:$C$14,2,FALSE)</f>
        <v>0</v>
      </c>
      <c r="AR145" s="418">
        <f>VLOOKUP('Physical Effects'!CH149,Lookup!$B$4:$C$14,2,FALSE)</f>
        <v>0</v>
      </c>
      <c r="AS145" s="418">
        <f>VLOOKUP('Physical Effects'!CJ149,Lookup!$B$4:$C$14,2,FALSE)</f>
        <v>0</v>
      </c>
      <c r="AT145" s="418">
        <f>VLOOKUP('Physical Effects'!CL149,Lookup!$B$4:$C$14,2,FALSE)</f>
        <v>1</v>
      </c>
      <c r="AU145" s="418">
        <f>VLOOKUP('Physical Effects'!CN149,Lookup!$B$4:$C$14,2,FALSE)</f>
        <v>1</v>
      </c>
      <c r="AV145" s="28"/>
      <c r="AW145" s="23"/>
      <c r="AX145" s="23"/>
      <c r="AY145" s="23"/>
      <c r="AZ145" s="23"/>
      <c r="BA145" s="23"/>
      <c r="BB145" s="23"/>
      <c r="BC145" s="23"/>
      <c r="BD145" s="23"/>
      <c r="BE145" s="23"/>
      <c r="BF145" s="23"/>
    </row>
    <row r="146" spans="1:58" s="5" customFormat="1" ht="13.5" thickBot="1" x14ac:dyDescent="0.25">
      <c r="A146" s="123">
        <f t="shared" si="2"/>
        <v>145</v>
      </c>
      <c r="B146" s="19" t="str">
        <f>+'Physical Effects'!B150</f>
        <v>Underground Outlet</v>
      </c>
      <c r="C146" s="32">
        <f>+'Physical Effects'!D150</f>
        <v>620</v>
      </c>
      <c r="D146" s="418">
        <f>VLOOKUP('Physical Effects'!F150,Lookup!$B$4:$C$14,2,FALSE)</f>
        <v>0</v>
      </c>
      <c r="E146" s="418">
        <f>VLOOKUP('Physical Effects'!H150,Lookup!$B$4:$C$14,2,FALSE)</f>
        <v>0</v>
      </c>
      <c r="F146" s="418">
        <f>VLOOKUP('Physical Effects'!J150,Lookup!$B$4:$C$14,2,FALSE)</f>
        <v>5</v>
      </c>
      <c r="G146" s="418">
        <f>VLOOKUP('Physical Effects'!L150,Lookup!$B$4:$C$14,2,FALSE)</f>
        <v>4</v>
      </c>
      <c r="H146" s="418">
        <f>VLOOKUP('Physical Effects'!N150,Lookup!$B$4:$C$14,2,FALSE)</f>
        <v>-1</v>
      </c>
      <c r="I146" s="418">
        <f>VLOOKUP('Physical Effects'!P150,Lookup!$B$4:$C$14,2,FALSE)</f>
        <v>0</v>
      </c>
      <c r="J146" s="418">
        <f>VLOOKUP('Physical Effects'!R150,Lookup!$B$4:$C$14,2,FALSE)</f>
        <v>0</v>
      </c>
      <c r="K146" s="418">
        <f>VLOOKUP('Physical Effects'!T150,Lookup!$B$4:$C$14,2,FALSE)</f>
        <v>0</v>
      </c>
      <c r="L146" s="418">
        <f>VLOOKUP('Physical Effects'!V150,Lookup!$B$4:$C$14,2,FALSE)</f>
        <v>0</v>
      </c>
      <c r="M146" s="418">
        <f>VLOOKUP('Physical Effects'!X150,Lookup!$B$4:$C$14,2,FALSE)</f>
        <v>0</v>
      </c>
      <c r="N146" s="418">
        <f>VLOOKUP('Physical Effects'!Z150,Lookup!$B$4:$C$14,2,FALSE)</f>
        <v>4</v>
      </c>
      <c r="O146" s="418">
        <f>VLOOKUP('Physical Effects'!AB150,Lookup!$B$4:$C$14,2,FALSE)</f>
        <v>0</v>
      </c>
      <c r="P146" s="418">
        <f>VLOOKUP('Physical Effects'!AD150,Lookup!$B$4:$C$14,2,FALSE)</f>
        <v>0</v>
      </c>
      <c r="Q146" s="418">
        <f>VLOOKUP('Physical Effects'!AF150,Lookup!$B$4:$C$14,2,FALSE)</f>
        <v>0</v>
      </c>
      <c r="R146" s="418">
        <f>VLOOKUP('Physical Effects'!AH150,Lookup!$B$4:$C$14,2,FALSE)</f>
        <v>0</v>
      </c>
      <c r="S146" s="418">
        <f>VLOOKUP('Physical Effects'!AJ150,Lookup!$B$4:$C$14,2,FALSE)</f>
        <v>-1</v>
      </c>
      <c r="T146" s="418">
        <f>VLOOKUP('Physical Effects'!AL150,Lookup!$B$4:$C$14,2,FALSE)</f>
        <v>0</v>
      </c>
      <c r="U146" s="418">
        <f>VLOOKUP('Physical Effects'!AN150,Lookup!$B$4:$C$14,2,FALSE)</f>
        <v>-1</v>
      </c>
      <c r="V146" s="418">
        <f>VLOOKUP('Physical Effects'!AP150,Lookup!$B$4:$C$14,2,FALSE)</f>
        <v>0</v>
      </c>
      <c r="W146" s="418">
        <f>VLOOKUP('Physical Effects'!AR150,Lookup!$B$4:$C$14,2,FALSE)</f>
        <v>0</v>
      </c>
      <c r="X146" s="418">
        <f>VLOOKUP('Physical Effects'!AT150,Lookup!$B$4:$C$14,2,FALSE)</f>
        <v>0</v>
      </c>
      <c r="Y146" s="418">
        <f>VLOOKUP('Physical Effects'!AV150,Lookup!$B$4:$C$14,2,FALSE)</f>
        <v>-1</v>
      </c>
      <c r="Z146" s="418">
        <f>VLOOKUP('Physical Effects'!AX150,Lookup!$B$4:$C$14,2,FALSE)</f>
        <v>0</v>
      </c>
      <c r="AA146" s="418">
        <f>VLOOKUP('Physical Effects'!AZ150,Lookup!$B$4:$C$14,2,FALSE)</f>
        <v>0</v>
      </c>
      <c r="AB146" s="418">
        <f>VLOOKUP('Physical Effects'!BB150,Lookup!$B$4:$C$14,2,FALSE)</f>
        <v>0</v>
      </c>
      <c r="AC146" s="418">
        <f>VLOOKUP('Physical Effects'!BD150,Lookup!$B$4:$C$14,2,FALSE)</f>
        <v>1</v>
      </c>
      <c r="AD146" s="418">
        <f>VLOOKUP('Physical Effects'!BF150,Lookup!$B$4:$C$14,2,FALSE)</f>
        <v>0</v>
      </c>
      <c r="AE146" s="418">
        <f>VLOOKUP('Physical Effects'!BH150,Lookup!$B$4:$C$14,2,FALSE)</f>
        <v>0</v>
      </c>
      <c r="AF146" s="418">
        <f>VLOOKUP('Physical Effects'!BJ150,Lookup!$B$4:$C$14,2,FALSE)</f>
        <v>0</v>
      </c>
      <c r="AG146" s="418">
        <f>VLOOKUP('Physical Effects'!BL150,Lookup!$B$4:$C$14,2,FALSE)</f>
        <v>0</v>
      </c>
      <c r="AH146" s="418">
        <f>VLOOKUP('Physical Effects'!BN150,Lookup!$B$4:$C$14,2,FALSE)</f>
        <v>0</v>
      </c>
      <c r="AI146" s="418">
        <f>VLOOKUP('Physical Effects'!BP150,Lookup!$B$4:$C$14,2,FALSE)</f>
        <v>2</v>
      </c>
      <c r="AJ146" s="418">
        <f>VLOOKUP('Physical Effects'!BR150,Lookup!$B$4:$C$14,2,FALSE)</f>
        <v>0</v>
      </c>
      <c r="AK146" s="418">
        <f>VLOOKUP('Physical Effects'!BT150,Lookup!$B$4:$C$14,2,FALSE)</f>
        <v>0</v>
      </c>
      <c r="AL146" s="418">
        <f>VLOOKUP('Physical Effects'!BV150,Lookup!$B$4:$C$14,2,FALSE)</f>
        <v>0</v>
      </c>
      <c r="AM146" s="418">
        <f>VLOOKUP('Physical Effects'!BX150,Lookup!$B$4:$C$14,2,FALSE)</f>
        <v>0</v>
      </c>
      <c r="AN146" s="418">
        <f>VLOOKUP('Physical Effects'!BZ150,Lookup!$B$4:$C$14,2,FALSE)</f>
        <v>0</v>
      </c>
      <c r="AO146" s="418">
        <f>VLOOKUP('Physical Effects'!CB150,Lookup!$B$4:$C$14,2,FALSE)</f>
        <v>0</v>
      </c>
      <c r="AP146" s="418">
        <f>VLOOKUP('Physical Effects'!CD150,Lookup!$B$4:$C$14,2,FALSE)</f>
        <v>0</v>
      </c>
      <c r="AQ146" s="418">
        <f>VLOOKUP('Physical Effects'!CF150,Lookup!$B$4:$C$14,2,FALSE)</f>
        <v>0</v>
      </c>
      <c r="AR146" s="418">
        <f>VLOOKUP('Physical Effects'!CH150,Lookup!$B$4:$C$14,2,FALSE)</f>
        <v>0</v>
      </c>
      <c r="AS146" s="418">
        <f>VLOOKUP('Physical Effects'!CJ150,Lookup!$B$4:$C$14,2,FALSE)</f>
        <v>0</v>
      </c>
      <c r="AT146" s="418">
        <f>VLOOKUP('Physical Effects'!CL150,Lookup!$B$4:$C$14,2,FALSE)</f>
        <v>1</v>
      </c>
      <c r="AU146" s="418">
        <f>VLOOKUP('Physical Effects'!CN150,Lookup!$B$4:$C$14,2,FALSE)</f>
        <v>1</v>
      </c>
      <c r="AV146" s="28"/>
      <c r="AW146" s="23"/>
      <c r="AX146" s="23"/>
      <c r="AY146" s="23"/>
      <c r="AZ146" s="23"/>
      <c r="BA146" s="23"/>
      <c r="BB146" s="23"/>
      <c r="BC146" s="23"/>
      <c r="BD146" s="23"/>
      <c r="BE146" s="23"/>
      <c r="BF146" s="23"/>
    </row>
    <row r="147" spans="1:58" s="5" customFormat="1" ht="13.5" thickBot="1" x14ac:dyDescent="0.25">
      <c r="A147" s="123">
        <f t="shared" si="2"/>
        <v>146</v>
      </c>
      <c r="B147" s="19" t="str">
        <f>+'Physical Effects'!B151</f>
        <v>Upland Wildlife Habitat Management</v>
      </c>
      <c r="C147" s="32">
        <f>+'Physical Effects'!D151</f>
        <v>645</v>
      </c>
      <c r="D147" s="418">
        <f>VLOOKUP('Physical Effects'!F151,Lookup!$B$4:$C$14,2,FALSE)</f>
        <v>3</v>
      </c>
      <c r="E147" s="418">
        <f>VLOOKUP('Physical Effects'!H151,Lookup!$B$4:$C$14,2,FALSE)</f>
        <v>3</v>
      </c>
      <c r="F147" s="418">
        <f>VLOOKUP('Physical Effects'!J151,Lookup!$B$4:$C$14,2,FALSE)</f>
        <v>3</v>
      </c>
      <c r="G147" s="418">
        <f>VLOOKUP('Physical Effects'!L151,Lookup!$B$4:$C$14,2,FALSE)</f>
        <v>2</v>
      </c>
      <c r="H147" s="418">
        <f>VLOOKUP('Physical Effects'!N151,Lookup!$B$4:$C$14,2,FALSE)</f>
        <v>1</v>
      </c>
      <c r="I147" s="418">
        <f>VLOOKUP('Physical Effects'!P151,Lookup!$B$4:$C$14,2,FALSE)</f>
        <v>0</v>
      </c>
      <c r="J147" s="418">
        <f>VLOOKUP('Physical Effects'!R151,Lookup!$B$4:$C$14,2,FALSE)</f>
        <v>0</v>
      </c>
      <c r="K147" s="418">
        <f>VLOOKUP('Physical Effects'!T151,Lookup!$B$4:$C$14,2,FALSE)</f>
        <v>0</v>
      </c>
      <c r="L147" s="418">
        <f>VLOOKUP('Physical Effects'!V151,Lookup!$B$4:$C$14,2,FALSE)</f>
        <v>0</v>
      </c>
      <c r="M147" s="418">
        <f>VLOOKUP('Physical Effects'!X151,Lookup!$B$4:$C$14,2,FALSE)</f>
        <v>0</v>
      </c>
      <c r="N147" s="418">
        <f>VLOOKUP('Physical Effects'!Z151,Lookup!$B$4:$C$14,2,FALSE)</f>
        <v>-3</v>
      </c>
      <c r="O147" s="418">
        <f>VLOOKUP('Physical Effects'!AB151,Lookup!$B$4:$C$14,2,FALSE)</f>
        <v>2</v>
      </c>
      <c r="P147" s="418">
        <f>VLOOKUP('Physical Effects'!AD151,Lookup!$B$4:$C$14,2,FALSE)</f>
        <v>0</v>
      </c>
      <c r="Q147" s="418">
        <f>VLOOKUP('Physical Effects'!AF151,Lookup!$B$4:$C$14,2,FALSE)</f>
        <v>0</v>
      </c>
      <c r="R147" s="418">
        <f>VLOOKUP('Physical Effects'!AH151,Lookup!$B$4:$C$14,2,FALSE)</f>
        <v>0</v>
      </c>
      <c r="S147" s="418">
        <f>VLOOKUP('Physical Effects'!AJ151,Lookup!$B$4:$C$14,2,FALSE)</f>
        <v>0</v>
      </c>
      <c r="T147" s="418">
        <f>VLOOKUP('Physical Effects'!AL151,Lookup!$B$4:$C$14,2,FALSE)</f>
        <v>0</v>
      </c>
      <c r="U147" s="418">
        <f>VLOOKUP('Physical Effects'!AN151,Lookup!$B$4:$C$14,2,FALSE)</f>
        <v>0</v>
      </c>
      <c r="V147" s="418">
        <f>VLOOKUP('Physical Effects'!AP151,Lookup!$B$4:$C$14,2,FALSE)</f>
        <v>0</v>
      </c>
      <c r="W147" s="418">
        <f>VLOOKUP('Physical Effects'!AR151,Lookup!$B$4:$C$14,2,FALSE)</f>
        <v>0</v>
      </c>
      <c r="X147" s="418">
        <f>VLOOKUP('Physical Effects'!AT151,Lookup!$B$4:$C$14,2,FALSE)</f>
        <v>0</v>
      </c>
      <c r="Y147" s="418">
        <f>VLOOKUP('Physical Effects'!AV151,Lookup!$B$4:$C$14,2,FALSE)</f>
        <v>0</v>
      </c>
      <c r="Z147" s="418">
        <f>VLOOKUP('Physical Effects'!AX151,Lookup!$B$4:$C$14,2,FALSE)</f>
        <v>0</v>
      </c>
      <c r="AA147" s="418">
        <f>VLOOKUP('Physical Effects'!AZ151,Lookup!$B$4:$C$14,2,FALSE)</f>
        <v>2</v>
      </c>
      <c r="AB147" s="418">
        <f>VLOOKUP('Physical Effects'!BB151,Lookup!$B$4:$C$14,2,FALSE)</f>
        <v>0</v>
      </c>
      <c r="AC147" s="418">
        <f>VLOOKUP('Physical Effects'!BD151,Lookup!$B$4:$C$14,2,FALSE)</f>
        <v>0</v>
      </c>
      <c r="AD147" s="418">
        <f>VLOOKUP('Physical Effects'!BF151,Lookup!$B$4:$C$14,2,FALSE)</f>
        <v>0</v>
      </c>
      <c r="AE147" s="418">
        <f>VLOOKUP('Physical Effects'!BH151,Lookup!$B$4:$C$14,2,FALSE)</f>
        <v>2</v>
      </c>
      <c r="AF147" s="418">
        <f>VLOOKUP('Physical Effects'!BJ151,Lookup!$B$4:$C$14,2,FALSE)</f>
        <v>0</v>
      </c>
      <c r="AG147" s="418">
        <f>VLOOKUP('Physical Effects'!BL151,Lookup!$B$4:$C$14,2,FALSE)</f>
        <v>2</v>
      </c>
      <c r="AH147" s="418">
        <f>VLOOKUP('Physical Effects'!BN151,Lookup!$B$4:$C$14,2,FALSE)</f>
        <v>0</v>
      </c>
      <c r="AI147" s="418">
        <f>VLOOKUP('Physical Effects'!BP151,Lookup!$B$4:$C$14,2,FALSE)</f>
        <v>4</v>
      </c>
      <c r="AJ147" s="418">
        <f>VLOOKUP('Physical Effects'!BR151,Lookup!$B$4:$C$14,2,FALSE)</f>
        <v>4</v>
      </c>
      <c r="AK147" s="418">
        <f>VLOOKUP('Physical Effects'!BT151,Lookup!$B$4:$C$14,2,FALSE)</f>
        <v>4</v>
      </c>
      <c r="AL147" s="418">
        <f>VLOOKUP('Physical Effects'!BV151,Lookup!$B$4:$C$14,2,FALSE)</f>
        <v>0</v>
      </c>
      <c r="AM147" s="418">
        <f>VLOOKUP('Physical Effects'!BX151,Lookup!$B$4:$C$14,2,FALSE)</f>
        <v>5</v>
      </c>
      <c r="AN147" s="418">
        <f>VLOOKUP('Physical Effects'!BZ151,Lookup!$B$4:$C$14,2,FALSE)</f>
        <v>5</v>
      </c>
      <c r="AO147" s="418">
        <f>VLOOKUP('Physical Effects'!CB151,Lookup!$B$4:$C$14,2,FALSE)</f>
        <v>0</v>
      </c>
      <c r="AP147" s="418">
        <f>VLOOKUP('Physical Effects'!CD151,Lookup!$B$4:$C$14,2,FALSE)</f>
        <v>5</v>
      </c>
      <c r="AQ147" s="418">
        <f>VLOOKUP('Physical Effects'!CF151,Lookup!$B$4:$C$14,2,FALSE)</f>
        <v>2</v>
      </c>
      <c r="AR147" s="418">
        <f>VLOOKUP('Physical Effects'!CH151,Lookup!$B$4:$C$14,2,FALSE)</f>
        <v>0</v>
      </c>
      <c r="AS147" s="418">
        <f>VLOOKUP('Physical Effects'!CJ151,Lookup!$B$4:$C$14,2,FALSE)</f>
        <v>0</v>
      </c>
      <c r="AT147" s="418">
        <f>VLOOKUP('Physical Effects'!CL151,Lookup!$B$4:$C$14,2,FALSE)</f>
        <v>0</v>
      </c>
      <c r="AU147" s="418">
        <f>VLOOKUP('Physical Effects'!CN151,Lookup!$B$4:$C$14,2,FALSE)</f>
        <v>0</v>
      </c>
      <c r="AV147" s="28"/>
      <c r="AW147" s="23"/>
      <c r="AX147" s="23"/>
      <c r="AY147" s="23"/>
      <c r="AZ147" s="23"/>
      <c r="BA147" s="23"/>
      <c r="BB147" s="23"/>
      <c r="BC147" s="23"/>
      <c r="BD147" s="23"/>
      <c r="BE147" s="23"/>
      <c r="BF147" s="23"/>
    </row>
    <row r="148" spans="1:58" s="5" customFormat="1" ht="13.5" thickBot="1" x14ac:dyDescent="0.25">
      <c r="A148" s="123">
        <f t="shared" si="2"/>
        <v>147</v>
      </c>
      <c r="B148" s="19" t="str">
        <f>+'Physical Effects'!B152</f>
        <v xml:space="preserve">Vegetated Treatment Area </v>
      </c>
      <c r="C148" s="32">
        <f>+'Physical Effects'!D152</f>
        <v>635</v>
      </c>
      <c r="D148" s="418">
        <f>VLOOKUP('Physical Effects'!F152,Lookup!$B$4:$C$14,2,FALSE)</f>
        <v>4</v>
      </c>
      <c r="E148" s="418">
        <f>VLOOKUP('Physical Effects'!H152,Lookup!$B$4:$C$14,2,FALSE)</f>
        <v>4</v>
      </c>
      <c r="F148" s="418">
        <f>VLOOKUP('Physical Effects'!J152,Lookup!$B$4:$C$14,2,FALSE)</f>
        <v>0</v>
      </c>
      <c r="G148" s="418">
        <f>VLOOKUP('Physical Effects'!L152,Lookup!$B$4:$C$14,2,FALSE)</f>
        <v>0</v>
      </c>
      <c r="H148" s="418">
        <f>VLOOKUP('Physical Effects'!N152,Lookup!$B$4:$C$14,2,FALSE)</f>
        <v>0</v>
      </c>
      <c r="I148" s="418">
        <f>VLOOKUP('Physical Effects'!P152,Lookup!$B$4:$C$14,2,FALSE)</f>
        <v>3</v>
      </c>
      <c r="J148" s="418">
        <f>VLOOKUP('Physical Effects'!R152,Lookup!$B$4:$C$14,2,FALSE)</f>
        <v>3</v>
      </c>
      <c r="K148" s="418">
        <f>VLOOKUP('Physical Effects'!T152,Lookup!$B$4:$C$14,2,FALSE)</f>
        <v>0</v>
      </c>
      <c r="L148" s="418">
        <f>VLOOKUP('Physical Effects'!V152,Lookup!$B$4:$C$14,2,FALSE)</f>
        <v>-2</v>
      </c>
      <c r="M148" s="418">
        <f>VLOOKUP('Physical Effects'!X152,Lookup!$B$4:$C$14,2,FALSE)</f>
        <v>-1</v>
      </c>
      <c r="N148" s="418">
        <f>VLOOKUP('Physical Effects'!Z152,Lookup!$B$4:$C$14,2,FALSE)</f>
        <v>0</v>
      </c>
      <c r="O148" s="418">
        <f>VLOOKUP('Physical Effects'!AB152,Lookup!$B$4:$C$14,2,FALSE)</f>
        <v>-2</v>
      </c>
      <c r="P148" s="418">
        <f>VLOOKUP('Physical Effects'!AD152,Lookup!$B$4:$C$14,2,FALSE)</f>
        <v>0</v>
      </c>
      <c r="Q148" s="418">
        <f>VLOOKUP('Physical Effects'!AF152,Lookup!$B$4:$C$14,2,FALSE)</f>
        <v>0</v>
      </c>
      <c r="R148" s="418">
        <f>VLOOKUP('Physical Effects'!AH152,Lookup!$B$4:$C$14,2,FALSE)</f>
        <v>0</v>
      </c>
      <c r="S148" s="418">
        <f>VLOOKUP('Physical Effects'!AJ152,Lookup!$B$4:$C$14,2,FALSE)</f>
        <v>0</v>
      </c>
      <c r="T148" s="418">
        <f>VLOOKUP('Physical Effects'!AL152,Lookup!$B$4:$C$14,2,FALSE)</f>
        <v>0</v>
      </c>
      <c r="U148" s="418">
        <f>VLOOKUP('Physical Effects'!AN152,Lookup!$B$4:$C$14,2,FALSE)</f>
        <v>4</v>
      </c>
      <c r="V148" s="418">
        <f>VLOOKUP('Physical Effects'!AP152,Lookup!$B$4:$C$14,2,FALSE)</f>
        <v>-2</v>
      </c>
      <c r="W148" s="418">
        <f>VLOOKUP('Physical Effects'!AR152,Lookup!$B$4:$C$14,2,FALSE)</f>
        <v>2</v>
      </c>
      <c r="X148" s="418">
        <f>VLOOKUP('Physical Effects'!AT152,Lookup!$B$4:$C$14,2,FALSE)</f>
        <v>-2</v>
      </c>
      <c r="Y148" s="418">
        <f>VLOOKUP('Physical Effects'!AV152,Lookup!$B$4:$C$14,2,FALSE)</f>
        <v>5</v>
      </c>
      <c r="Z148" s="418">
        <f>VLOOKUP('Physical Effects'!AX152,Lookup!$B$4:$C$14,2,FALSE)</f>
        <v>0</v>
      </c>
      <c r="AA148" s="418">
        <f>VLOOKUP('Physical Effects'!AZ152,Lookup!$B$4:$C$14,2,FALSE)</f>
        <v>2</v>
      </c>
      <c r="AB148" s="418">
        <f>VLOOKUP('Physical Effects'!BB152,Lookup!$B$4:$C$14,2,FALSE)</f>
        <v>0</v>
      </c>
      <c r="AC148" s="418">
        <f>VLOOKUP('Physical Effects'!BD152,Lookup!$B$4:$C$14,2,FALSE)</f>
        <v>0</v>
      </c>
      <c r="AD148" s="418">
        <f>VLOOKUP('Physical Effects'!BF152,Lookup!$B$4:$C$14,2,FALSE)</f>
        <v>0</v>
      </c>
      <c r="AE148" s="418">
        <f>VLOOKUP('Physical Effects'!BH152,Lookup!$B$4:$C$14,2,FALSE)</f>
        <v>0</v>
      </c>
      <c r="AF148" s="418">
        <f>VLOOKUP('Physical Effects'!BJ152,Lookup!$B$4:$C$14,2,FALSE)</f>
        <v>0</v>
      </c>
      <c r="AG148" s="418">
        <f>VLOOKUP('Physical Effects'!BL152,Lookup!$B$4:$C$14,2,FALSE)</f>
        <v>1</v>
      </c>
      <c r="AH148" s="418">
        <f>VLOOKUP('Physical Effects'!BN152,Lookup!$B$4:$C$14,2,FALSE)</f>
        <v>2</v>
      </c>
      <c r="AI148" s="418">
        <f>VLOOKUP('Physical Effects'!BP152,Lookup!$B$4:$C$14,2,FALSE)</f>
        <v>2</v>
      </c>
      <c r="AJ148" s="418">
        <f>VLOOKUP('Physical Effects'!BR152,Lookup!$B$4:$C$14,2,FALSE)</f>
        <v>5</v>
      </c>
      <c r="AK148" s="418">
        <f>VLOOKUP('Physical Effects'!BT152,Lookup!$B$4:$C$14,2,FALSE)</f>
        <v>4</v>
      </c>
      <c r="AL148" s="418">
        <f>VLOOKUP('Physical Effects'!BV152,Lookup!$B$4:$C$14,2,FALSE)</f>
        <v>0</v>
      </c>
      <c r="AM148" s="418">
        <f>VLOOKUP('Physical Effects'!BX152,Lookup!$B$4:$C$14,2,FALSE)</f>
        <v>0</v>
      </c>
      <c r="AN148" s="418">
        <f>VLOOKUP('Physical Effects'!BZ152,Lookup!$B$4:$C$14,2,FALSE)</f>
        <v>0</v>
      </c>
      <c r="AO148" s="418">
        <f>VLOOKUP('Physical Effects'!CB152,Lookup!$B$4:$C$14,2,FALSE)</f>
        <v>0</v>
      </c>
      <c r="AP148" s="418">
        <f>VLOOKUP('Physical Effects'!CD152,Lookup!$B$4:$C$14,2,FALSE)</f>
        <v>0</v>
      </c>
      <c r="AQ148" s="418">
        <f>VLOOKUP('Physical Effects'!CF152,Lookup!$B$4:$C$14,2,FALSE)</f>
        <v>1</v>
      </c>
      <c r="AR148" s="418">
        <f>VLOOKUP('Physical Effects'!CH152,Lookup!$B$4:$C$14,2,FALSE)</f>
        <v>0</v>
      </c>
      <c r="AS148" s="418">
        <f>VLOOKUP('Physical Effects'!CJ152,Lookup!$B$4:$C$14,2,FALSE)</f>
        <v>0</v>
      </c>
      <c r="AT148" s="418">
        <f>VLOOKUP('Physical Effects'!CL152,Lookup!$B$4:$C$14,2,FALSE)</f>
        <v>0</v>
      </c>
      <c r="AU148" s="418">
        <f>VLOOKUP('Physical Effects'!CN152,Lookup!$B$4:$C$14,2,FALSE)</f>
        <v>0</v>
      </c>
      <c r="AV148" s="28"/>
      <c r="AW148" s="23"/>
      <c r="AX148" s="23"/>
      <c r="AY148" s="23"/>
      <c r="AZ148" s="23"/>
      <c r="BA148" s="23"/>
      <c r="BB148" s="23"/>
      <c r="BC148" s="23"/>
      <c r="BD148" s="23"/>
      <c r="BE148" s="23"/>
      <c r="BF148" s="23"/>
    </row>
    <row r="149" spans="1:58" s="5" customFormat="1" ht="13.5" thickBot="1" x14ac:dyDescent="0.25">
      <c r="A149" s="123">
        <f t="shared" si="2"/>
        <v>148</v>
      </c>
      <c r="B149" s="19" t="str">
        <f>+'Physical Effects'!B153</f>
        <v>Vegetative Barrier</v>
      </c>
      <c r="C149" s="32">
        <f>+'Physical Effects'!D153</f>
        <v>601</v>
      </c>
      <c r="D149" s="418">
        <f>VLOOKUP('Physical Effects'!F153,Lookup!$B$4:$C$14,2,FALSE)</f>
        <v>4</v>
      </c>
      <c r="E149" s="418">
        <f>VLOOKUP('Physical Effects'!H153,Lookup!$B$4:$C$14,2,FALSE)</f>
        <v>1</v>
      </c>
      <c r="F149" s="418">
        <f>VLOOKUP('Physical Effects'!J153,Lookup!$B$4:$C$14,2,FALSE)</f>
        <v>1</v>
      </c>
      <c r="G149" s="418">
        <f>VLOOKUP('Physical Effects'!L153,Lookup!$B$4:$C$14,2,FALSE)</f>
        <v>0</v>
      </c>
      <c r="H149" s="418">
        <f>VLOOKUP('Physical Effects'!N153,Lookup!$B$4:$C$14,2,FALSE)</f>
        <v>0</v>
      </c>
      <c r="I149" s="418">
        <f>VLOOKUP('Physical Effects'!P153,Lookup!$B$4:$C$14,2,FALSE)</f>
        <v>0</v>
      </c>
      <c r="J149" s="418">
        <f>VLOOKUP('Physical Effects'!R153,Lookup!$B$4:$C$14,2,FALSE)</f>
        <v>0</v>
      </c>
      <c r="K149" s="418">
        <f>VLOOKUP('Physical Effects'!T153,Lookup!$B$4:$C$14,2,FALSE)</f>
        <v>0</v>
      </c>
      <c r="L149" s="418">
        <f>VLOOKUP('Physical Effects'!V153,Lookup!$B$4:$C$14,2,FALSE)</f>
        <v>-2</v>
      </c>
      <c r="M149" s="418">
        <f>VLOOKUP('Physical Effects'!X153,Lookup!$B$4:$C$14,2,FALSE)</f>
        <v>0</v>
      </c>
      <c r="N149" s="418">
        <f>VLOOKUP('Physical Effects'!Z153,Lookup!$B$4:$C$14,2,FALSE)</f>
        <v>0</v>
      </c>
      <c r="O149" s="418">
        <f>VLOOKUP('Physical Effects'!AB153,Lookup!$B$4:$C$14,2,FALSE)</f>
        <v>0</v>
      </c>
      <c r="P149" s="418">
        <f>VLOOKUP('Physical Effects'!AD153,Lookup!$B$4:$C$14,2,FALSE)</f>
        <v>0</v>
      </c>
      <c r="Q149" s="418">
        <f>VLOOKUP('Physical Effects'!AF153,Lookup!$B$4:$C$14,2,FALSE)</f>
        <v>0</v>
      </c>
      <c r="R149" s="418">
        <f>VLOOKUP('Physical Effects'!AH153,Lookup!$B$4:$C$14,2,FALSE)</f>
        <v>0</v>
      </c>
      <c r="S149" s="418">
        <f>VLOOKUP('Physical Effects'!AJ153,Lookup!$B$4:$C$14,2,FALSE)</f>
        <v>2</v>
      </c>
      <c r="T149" s="418">
        <f>VLOOKUP('Physical Effects'!AL153,Lookup!$B$4:$C$14,2,FALSE)</f>
        <v>0</v>
      </c>
      <c r="U149" s="418">
        <f>VLOOKUP('Physical Effects'!AN153,Lookup!$B$4:$C$14,2,FALSE)</f>
        <v>2</v>
      </c>
      <c r="V149" s="418">
        <f>VLOOKUP('Physical Effects'!AP153,Lookup!$B$4:$C$14,2,FALSE)</f>
        <v>0</v>
      </c>
      <c r="W149" s="418">
        <f>VLOOKUP('Physical Effects'!AR153,Lookup!$B$4:$C$14,2,FALSE)</f>
        <v>1</v>
      </c>
      <c r="X149" s="418">
        <f>VLOOKUP('Physical Effects'!AT153,Lookup!$B$4:$C$14,2,FALSE)</f>
        <v>0</v>
      </c>
      <c r="Y149" s="418">
        <f>VLOOKUP('Physical Effects'!AV153,Lookup!$B$4:$C$14,2,FALSE)</f>
        <v>1</v>
      </c>
      <c r="Z149" s="418">
        <f>VLOOKUP('Physical Effects'!AX153,Lookup!$B$4:$C$14,2,FALSE)</f>
        <v>0</v>
      </c>
      <c r="AA149" s="418">
        <f>VLOOKUP('Physical Effects'!AZ153,Lookup!$B$4:$C$14,2,FALSE)</f>
        <v>2</v>
      </c>
      <c r="AB149" s="418">
        <f>VLOOKUP('Physical Effects'!BB153,Lookup!$B$4:$C$14,2,FALSE)</f>
        <v>0</v>
      </c>
      <c r="AC149" s="418">
        <f>VLOOKUP('Physical Effects'!BD153,Lookup!$B$4:$C$14,2,FALSE)</f>
        <v>0</v>
      </c>
      <c r="AD149" s="418">
        <f>VLOOKUP('Physical Effects'!BF153,Lookup!$B$4:$C$14,2,FALSE)</f>
        <v>0</v>
      </c>
      <c r="AE149" s="418">
        <f>VLOOKUP('Physical Effects'!BH153,Lookup!$B$4:$C$14,2,FALSE)</f>
        <v>0</v>
      </c>
      <c r="AF149" s="418">
        <f>VLOOKUP('Physical Effects'!BJ153,Lookup!$B$4:$C$14,2,FALSE)</f>
        <v>0</v>
      </c>
      <c r="AG149" s="418">
        <f>VLOOKUP('Physical Effects'!BL153,Lookup!$B$4:$C$14,2,FALSE)</f>
        <v>1</v>
      </c>
      <c r="AH149" s="418">
        <f>VLOOKUP('Physical Effects'!BN153,Lookup!$B$4:$C$14,2,FALSE)</f>
        <v>0</v>
      </c>
      <c r="AI149" s="418">
        <f>VLOOKUP('Physical Effects'!BP153,Lookup!$B$4:$C$14,2,FALSE)</f>
        <v>1</v>
      </c>
      <c r="AJ149" s="418">
        <f>VLOOKUP('Physical Effects'!BR153,Lookup!$B$4:$C$14,2,FALSE)</f>
        <v>1</v>
      </c>
      <c r="AK149" s="418">
        <f>VLOOKUP('Physical Effects'!BT153,Lookup!$B$4:$C$14,2,FALSE)</f>
        <v>0</v>
      </c>
      <c r="AL149" s="418">
        <f>VLOOKUP('Physical Effects'!BV153,Lookup!$B$4:$C$14,2,FALSE)</f>
        <v>0</v>
      </c>
      <c r="AM149" s="418">
        <f>VLOOKUP('Physical Effects'!BX153,Lookup!$B$4:$C$14,2,FALSE)</f>
        <v>1</v>
      </c>
      <c r="AN149" s="418">
        <f>VLOOKUP('Physical Effects'!BZ153,Lookup!$B$4:$C$14,2,FALSE)</f>
        <v>1</v>
      </c>
      <c r="AO149" s="418">
        <f>VLOOKUP('Physical Effects'!CB153,Lookup!$B$4:$C$14,2,FALSE)</f>
        <v>1</v>
      </c>
      <c r="AP149" s="418">
        <f>VLOOKUP('Physical Effects'!CD153,Lookup!$B$4:$C$14,2,FALSE)</f>
        <v>1</v>
      </c>
      <c r="AQ149" s="418">
        <f>VLOOKUP('Physical Effects'!CF153,Lookup!$B$4:$C$14,2,FALSE)</f>
        <v>0</v>
      </c>
      <c r="AR149" s="418">
        <f>VLOOKUP('Physical Effects'!CH153,Lookup!$B$4:$C$14,2,FALSE)</f>
        <v>0</v>
      </c>
      <c r="AS149" s="418">
        <f>VLOOKUP('Physical Effects'!CJ153,Lookup!$B$4:$C$14,2,FALSE)</f>
        <v>0</v>
      </c>
      <c r="AT149" s="418">
        <f>VLOOKUP('Physical Effects'!CL153,Lookup!$B$4:$C$14,2,FALSE)</f>
        <v>0</v>
      </c>
      <c r="AU149" s="418">
        <f>VLOOKUP('Physical Effects'!CN153,Lookup!$B$4:$C$14,2,FALSE)</f>
        <v>0</v>
      </c>
      <c r="AV149" s="28"/>
      <c r="AW149" s="23"/>
      <c r="AX149" s="23"/>
      <c r="AY149" s="23"/>
      <c r="AZ149" s="23"/>
      <c r="BA149" s="23"/>
      <c r="BB149" s="23"/>
      <c r="BC149" s="23"/>
      <c r="BD149" s="23"/>
      <c r="BE149" s="23"/>
      <c r="BF149" s="23"/>
    </row>
    <row r="150" spans="1:58" s="5" customFormat="1" ht="13.5" thickBot="1" x14ac:dyDescent="0.25">
      <c r="A150" s="123">
        <f t="shared" si="2"/>
        <v>149</v>
      </c>
      <c r="B150" s="19" t="str">
        <f>+'Physical Effects'!B154</f>
        <v>Vertical Drain</v>
      </c>
      <c r="C150" s="32">
        <f>+'Physical Effects'!D154</f>
        <v>630</v>
      </c>
      <c r="D150" s="418">
        <f>VLOOKUP('Physical Effects'!F154,Lookup!$B$4:$C$14,2,FALSE)</f>
        <v>0</v>
      </c>
      <c r="E150" s="418">
        <f>VLOOKUP('Physical Effects'!H154,Lookup!$B$4:$C$14,2,FALSE)</f>
        <v>0</v>
      </c>
      <c r="F150" s="418">
        <f>VLOOKUP('Physical Effects'!J154,Lookup!$B$4:$C$14,2,FALSE)</f>
        <v>0</v>
      </c>
      <c r="G150" s="418">
        <f>VLOOKUP('Physical Effects'!L154,Lookup!$B$4:$C$14,2,FALSE)</f>
        <v>1</v>
      </c>
      <c r="H150" s="418">
        <f>VLOOKUP('Physical Effects'!N154,Lookup!$B$4:$C$14,2,FALSE)</f>
        <v>0</v>
      </c>
      <c r="I150" s="418">
        <f>VLOOKUP('Physical Effects'!P154,Lookup!$B$4:$C$14,2,FALSE)</f>
        <v>0</v>
      </c>
      <c r="J150" s="418">
        <f>VLOOKUP('Physical Effects'!R154,Lookup!$B$4:$C$14,2,FALSE)</f>
        <v>0</v>
      </c>
      <c r="K150" s="418">
        <f>VLOOKUP('Physical Effects'!T154,Lookup!$B$4:$C$14,2,FALSE)</f>
        <v>0</v>
      </c>
      <c r="L150" s="418">
        <f>VLOOKUP('Physical Effects'!V154,Lookup!$B$4:$C$14,2,FALSE)</f>
        <v>0</v>
      </c>
      <c r="M150" s="418">
        <f>VLOOKUP('Physical Effects'!X154,Lookup!$B$4:$C$14,2,FALSE)</f>
        <v>0</v>
      </c>
      <c r="N150" s="418">
        <f>VLOOKUP('Physical Effects'!Z154,Lookup!$B$4:$C$14,2,FALSE)</f>
        <v>4</v>
      </c>
      <c r="O150" s="418">
        <f>VLOOKUP('Physical Effects'!AB154,Lookup!$B$4:$C$14,2,FALSE)</f>
        <v>-2</v>
      </c>
      <c r="P150" s="418">
        <f>VLOOKUP('Physical Effects'!AD154,Lookup!$B$4:$C$14,2,FALSE)</f>
        <v>0</v>
      </c>
      <c r="Q150" s="418">
        <f>VLOOKUP('Physical Effects'!AF154,Lookup!$B$4:$C$14,2,FALSE)</f>
        <v>0</v>
      </c>
      <c r="R150" s="418">
        <f>VLOOKUP('Physical Effects'!AH154,Lookup!$B$4:$C$14,2,FALSE)</f>
        <v>0</v>
      </c>
      <c r="S150" s="418">
        <f>VLOOKUP('Physical Effects'!AJ154,Lookup!$B$4:$C$14,2,FALSE)</f>
        <v>0</v>
      </c>
      <c r="T150" s="418">
        <f>VLOOKUP('Physical Effects'!AL154,Lookup!$B$4:$C$14,2,FALSE)</f>
        <v>-2</v>
      </c>
      <c r="U150" s="418">
        <f>VLOOKUP('Physical Effects'!AN154,Lookup!$B$4:$C$14,2,FALSE)</f>
        <v>1</v>
      </c>
      <c r="V150" s="418">
        <f>VLOOKUP('Physical Effects'!AP154,Lookup!$B$4:$C$14,2,FALSE)</f>
        <v>-2</v>
      </c>
      <c r="W150" s="418">
        <f>VLOOKUP('Physical Effects'!AR154,Lookup!$B$4:$C$14,2,FALSE)</f>
        <v>1</v>
      </c>
      <c r="X150" s="418">
        <f>VLOOKUP('Physical Effects'!AT154,Lookup!$B$4:$C$14,2,FALSE)</f>
        <v>-1</v>
      </c>
      <c r="Y150" s="418">
        <f>VLOOKUP('Physical Effects'!AV154,Lookup!$B$4:$C$14,2,FALSE)</f>
        <v>1</v>
      </c>
      <c r="Z150" s="418">
        <f>VLOOKUP('Physical Effects'!AX154,Lookup!$B$4:$C$14,2,FALSE)</f>
        <v>-1</v>
      </c>
      <c r="AA150" s="418">
        <f>VLOOKUP('Physical Effects'!AZ154,Lookup!$B$4:$C$14,2,FALSE)</f>
        <v>1</v>
      </c>
      <c r="AB150" s="418">
        <f>VLOOKUP('Physical Effects'!BB154,Lookup!$B$4:$C$14,2,FALSE)</f>
        <v>0</v>
      </c>
      <c r="AC150" s="418">
        <f>VLOOKUP('Physical Effects'!BD154,Lookup!$B$4:$C$14,2,FALSE)</f>
        <v>1</v>
      </c>
      <c r="AD150" s="418">
        <f>VLOOKUP('Physical Effects'!BF154,Lookup!$B$4:$C$14,2,FALSE)</f>
        <v>-1</v>
      </c>
      <c r="AE150" s="418">
        <f>VLOOKUP('Physical Effects'!BH154,Lookup!$B$4:$C$14,2,FALSE)</f>
        <v>0</v>
      </c>
      <c r="AF150" s="418">
        <f>VLOOKUP('Physical Effects'!BJ154,Lookup!$B$4:$C$14,2,FALSE)</f>
        <v>0</v>
      </c>
      <c r="AG150" s="418">
        <f>VLOOKUP('Physical Effects'!BL154,Lookup!$B$4:$C$14,2,FALSE)</f>
        <v>0</v>
      </c>
      <c r="AH150" s="418">
        <f>VLOOKUP('Physical Effects'!BN154,Lookup!$B$4:$C$14,2,FALSE)</f>
        <v>0</v>
      </c>
      <c r="AI150" s="418">
        <f>VLOOKUP('Physical Effects'!BP154,Lookup!$B$4:$C$14,2,FALSE)</f>
        <v>0</v>
      </c>
      <c r="AJ150" s="418">
        <f>VLOOKUP('Physical Effects'!BR154,Lookup!$B$4:$C$14,2,FALSE)</f>
        <v>0</v>
      </c>
      <c r="AK150" s="418">
        <f>VLOOKUP('Physical Effects'!BT154,Lookup!$B$4:$C$14,2,FALSE)</f>
        <v>0</v>
      </c>
      <c r="AL150" s="418">
        <f>VLOOKUP('Physical Effects'!BV154,Lookup!$B$4:$C$14,2,FALSE)</f>
        <v>0</v>
      </c>
      <c r="AM150" s="418">
        <f>VLOOKUP('Physical Effects'!BX154,Lookup!$B$4:$C$14,2,FALSE)</f>
        <v>0</v>
      </c>
      <c r="AN150" s="418">
        <f>VLOOKUP('Physical Effects'!BZ154,Lookup!$B$4:$C$14,2,FALSE)</f>
        <v>0</v>
      </c>
      <c r="AO150" s="418">
        <f>VLOOKUP('Physical Effects'!CB154,Lookup!$B$4:$C$14,2,FALSE)</f>
        <v>0</v>
      </c>
      <c r="AP150" s="418">
        <f>VLOOKUP('Physical Effects'!CD154,Lookup!$B$4:$C$14,2,FALSE)</f>
        <v>0</v>
      </c>
      <c r="AQ150" s="418">
        <f>VLOOKUP('Physical Effects'!CF154,Lookup!$B$4:$C$14,2,FALSE)</f>
        <v>0</v>
      </c>
      <c r="AR150" s="418">
        <f>VLOOKUP('Physical Effects'!CH154,Lookup!$B$4:$C$14,2,FALSE)</f>
        <v>0</v>
      </c>
      <c r="AS150" s="418">
        <f>VLOOKUP('Physical Effects'!CJ154,Lookup!$B$4:$C$14,2,FALSE)</f>
        <v>0</v>
      </c>
      <c r="AT150" s="418">
        <f>VLOOKUP('Physical Effects'!CL154,Lookup!$B$4:$C$14,2,FALSE)</f>
        <v>0</v>
      </c>
      <c r="AU150" s="418">
        <f>VLOOKUP('Physical Effects'!CN154,Lookup!$B$4:$C$14,2,FALSE)</f>
        <v>0</v>
      </c>
      <c r="AV150" s="28"/>
      <c r="AW150" s="23"/>
      <c r="AX150" s="23"/>
      <c r="AY150" s="23"/>
      <c r="AZ150" s="23"/>
      <c r="BA150" s="23"/>
      <c r="BB150" s="23"/>
      <c r="BC150" s="23"/>
      <c r="BD150" s="23"/>
      <c r="BE150" s="23"/>
      <c r="BF150" s="23"/>
    </row>
    <row r="151" spans="1:58" s="5" customFormat="1" ht="13.5" thickBot="1" x14ac:dyDescent="0.25">
      <c r="A151" s="123">
        <f t="shared" si="2"/>
        <v>150</v>
      </c>
      <c r="B151" s="19" t="str">
        <f>+'Physical Effects'!B155</f>
        <v>Waste Facility Closure</v>
      </c>
      <c r="C151" s="32">
        <f>+'Physical Effects'!D155</f>
        <v>360</v>
      </c>
      <c r="D151" s="418">
        <f>VLOOKUP('Physical Effects'!F155,Lookup!$B$4:$C$14,2,FALSE)</f>
        <v>0</v>
      </c>
      <c r="E151" s="418">
        <f>VLOOKUP('Physical Effects'!H155,Lookup!$B$4:$C$14,2,FALSE)</f>
        <v>0</v>
      </c>
      <c r="F151" s="418">
        <f>VLOOKUP('Physical Effects'!J155,Lookup!$B$4:$C$14,2,FALSE)</f>
        <v>0</v>
      </c>
      <c r="G151" s="418">
        <f>VLOOKUP('Physical Effects'!L155,Lookup!$B$4:$C$14,2,FALSE)</f>
        <v>0</v>
      </c>
      <c r="H151" s="418">
        <f>VLOOKUP('Physical Effects'!N155,Lookup!$B$4:$C$14,2,FALSE)</f>
        <v>0</v>
      </c>
      <c r="I151" s="418">
        <f>VLOOKUP('Physical Effects'!P155,Lookup!$B$4:$C$14,2,FALSE)</f>
        <v>0</v>
      </c>
      <c r="J151" s="418">
        <f>VLOOKUP('Physical Effects'!R155,Lookup!$B$4:$C$14,2,FALSE)</f>
        <v>0</v>
      </c>
      <c r="K151" s="418">
        <f>VLOOKUP('Physical Effects'!T155,Lookup!$B$4:$C$14,2,FALSE)</f>
        <v>0</v>
      </c>
      <c r="L151" s="418">
        <f>VLOOKUP('Physical Effects'!V155,Lookup!$B$4:$C$14,2,FALSE)</f>
        <v>2</v>
      </c>
      <c r="M151" s="418">
        <f>VLOOKUP('Physical Effects'!X155,Lookup!$B$4:$C$14,2,FALSE)</f>
        <v>0</v>
      </c>
      <c r="N151" s="418">
        <f>VLOOKUP('Physical Effects'!Z155,Lookup!$B$4:$C$14,2,FALSE)</f>
        <v>0</v>
      </c>
      <c r="O151" s="418">
        <f>VLOOKUP('Physical Effects'!AB155,Lookup!$B$4:$C$14,2,FALSE)</f>
        <v>0</v>
      </c>
      <c r="P151" s="418">
        <f>VLOOKUP('Physical Effects'!AD155,Lookup!$B$4:$C$14,2,FALSE)</f>
        <v>0</v>
      </c>
      <c r="Q151" s="418">
        <f>VLOOKUP('Physical Effects'!AF155,Lookup!$B$4:$C$14,2,FALSE)</f>
        <v>0</v>
      </c>
      <c r="R151" s="418">
        <f>VLOOKUP('Physical Effects'!AH155,Lookup!$B$4:$C$14,2,FALSE)</f>
        <v>0</v>
      </c>
      <c r="S151" s="418">
        <f>VLOOKUP('Physical Effects'!AJ155,Lookup!$B$4:$C$14,2,FALSE)</f>
        <v>0</v>
      </c>
      <c r="T151" s="418">
        <f>VLOOKUP('Physical Effects'!AL155,Lookup!$B$4:$C$14,2,FALSE)</f>
        <v>0</v>
      </c>
      <c r="U151" s="418">
        <f>VLOOKUP('Physical Effects'!AN155,Lookup!$B$4:$C$14,2,FALSE)</f>
        <v>2</v>
      </c>
      <c r="V151" s="418">
        <f>VLOOKUP('Physical Effects'!AP155,Lookup!$B$4:$C$14,2,FALSE)</f>
        <v>2</v>
      </c>
      <c r="W151" s="418">
        <f>VLOOKUP('Physical Effects'!AR155,Lookup!$B$4:$C$14,2,FALSE)</f>
        <v>0</v>
      </c>
      <c r="X151" s="418">
        <f>VLOOKUP('Physical Effects'!AT155,Lookup!$B$4:$C$14,2,FALSE)</f>
        <v>1</v>
      </c>
      <c r="Y151" s="418">
        <f>VLOOKUP('Physical Effects'!AV155,Lookup!$B$4:$C$14,2,FALSE)</f>
        <v>0</v>
      </c>
      <c r="Z151" s="418">
        <f>VLOOKUP('Physical Effects'!AX155,Lookup!$B$4:$C$14,2,FALSE)</f>
        <v>2</v>
      </c>
      <c r="AA151" s="418">
        <f>VLOOKUP('Physical Effects'!AZ155,Lookup!$B$4:$C$14,2,FALSE)</f>
        <v>0</v>
      </c>
      <c r="AB151" s="418">
        <f>VLOOKUP('Physical Effects'!BB155,Lookup!$B$4:$C$14,2,FALSE)</f>
        <v>0</v>
      </c>
      <c r="AC151" s="418">
        <f>VLOOKUP('Physical Effects'!BD155,Lookup!$B$4:$C$14,2,FALSE)</f>
        <v>0</v>
      </c>
      <c r="AD151" s="418">
        <f>VLOOKUP('Physical Effects'!BF155,Lookup!$B$4:$C$14,2,FALSE)</f>
        <v>0</v>
      </c>
      <c r="AE151" s="418">
        <f>VLOOKUP('Physical Effects'!BH155,Lookup!$B$4:$C$14,2,FALSE)</f>
        <v>1</v>
      </c>
      <c r="AF151" s="418">
        <f>VLOOKUP('Physical Effects'!BJ155,Lookup!$B$4:$C$14,2,FALSE)</f>
        <v>1</v>
      </c>
      <c r="AG151" s="418">
        <f>VLOOKUP('Physical Effects'!BL155,Lookup!$B$4:$C$14,2,FALSE)</f>
        <v>1</v>
      </c>
      <c r="AH151" s="418">
        <f>VLOOKUP('Physical Effects'!BN155,Lookup!$B$4:$C$14,2,FALSE)</f>
        <v>1</v>
      </c>
      <c r="AI151" s="418">
        <f>VLOOKUP('Physical Effects'!BP155,Lookup!$B$4:$C$14,2,FALSE)</f>
        <v>0</v>
      </c>
      <c r="AJ151" s="418">
        <f>VLOOKUP('Physical Effects'!BR155,Lookup!$B$4:$C$14,2,FALSE)</f>
        <v>0</v>
      </c>
      <c r="AK151" s="418">
        <f>VLOOKUP('Physical Effects'!BT155,Lookup!$B$4:$C$14,2,FALSE)</f>
        <v>0</v>
      </c>
      <c r="AL151" s="418">
        <f>VLOOKUP('Physical Effects'!BV155,Lookup!$B$4:$C$14,2,FALSE)</f>
        <v>0</v>
      </c>
      <c r="AM151" s="418">
        <f>VLOOKUP('Physical Effects'!BX155,Lookup!$B$4:$C$14,2,FALSE)</f>
        <v>0</v>
      </c>
      <c r="AN151" s="418">
        <f>VLOOKUP('Physical Effects'!BZ155,Lookup!$B$4:$C$14,2,FALSE)</f>
        <v>0</v>
      </c>
      <c r="AO151" s="418">
        <f>VLOOKUP('Physical Effects'!CB155,Lookup!$B$4:$C$14,2,FALSE)</f>
        <v>0</v>
      </c>
      <c r="AP151" s="418">
        <f>VLOOKUP('Physical Effects'!CD155,Lookup!$B$4:$C$14,2,FALSE)</f>
        <v>0</v>
      </c>
      <c r="AQ151" s="418">
        <f>VLOOKUP('Physical Effects'!CF155,Lookup!$B$4:$C$14,2,FALSE)</f>
        <v>0</v>
      </c>
      <c r="AR151" s="418">
        <f>VLOOKUP('Physical Effects'!CH155,Lookup!$B$4:$C$14,2,FALSE)</f>
        <v>0</v>
      </c>
      <c r="AS151" s="418">
        <f>VLOOKUP('Physical Effects'!CJ155,Lookup!$B$4:$C$14,2,FALSE)</f>
        <v>0</v>
      </c>
      <c r="AT151" s="418">
        <f>VLOOKUP('Physical Effects'!CL155,Lookup!$B$4:$C$14,2,FALSE)</f>
        <v>0</v>
      </c>
      <c r="AU151" s="418">
        <f>VLOOKUP('Physical Effects'!CN155,Lookup!$B$4:$C$14,2,FALSE)</f>
        <v>0</v>
      </c>
      <c r="AV151" s="28"/>
      <c r="AW151" s="23"/>
      <c r="AX151" s="23"/>
      <c r="AY151" s="23"/>
      <c r="AZ151" s="23"/>
      <c r="BA151" s="23"/>
      <c r="BB151" s="23"/>
      <c r="BC151" s="23"/>
      <c r="BD151" s="23"/>
      <c r="BE151" s="23"/>
      <c r="BF151" s="23"/>
    </row>
    <row r="152" spans="1:58" s="5" customFormat="1" ht="13.5" thickBot="1" x14ac:dyDescent="0.25">
      <c r="A152" s="123">
        <f t="shared" si="2"/>
        <v>151</v>
      </c>
      <c r="B152" s="19" t="str">
        <f>+'Physical Effects'!B156</f>
        <v>Waste Recycling</v>
      </c>
      <c r="C152" s="32">
        <f>+'Physical Effects'!D156</f>
        <v>633</v>
      </c>
      <c r="D152" s="418">
        <f>VLOOKUP('Physical Effects'!F156,Lookup!$B$4:$C$14,2,FALSE)</f>
        <v>0</v>
      </c>
      <c r="E152" s="418">
        <f>VLOOKUP('Physical Effects'!H156,Lookup!$B$4:$C$14,2,FALSE)</f>
        <v>0</v>
      </c>
      <c r="F152" s="418">
        <f>VLOOKUP('Physical Effects'!J156,Lookup!$B$4:$C$14,2,FALSE)</f>
        <v>0</v>
      </c>
      <c r="G152" s="418">
        <f>VLOOKUP('Physical Effects'!L156,Lookup!$B$4:$C$14,2,FALSE)</f>
        <v>0</v>
      </c>
      <c r="H152" s="418">
        <f>VLOOKUP('Physical Effects'!N156,Lookup!$B$4:$C$14,2,FALSE)</f>
        <v>0</v>
      </c>
      <c r="I152" s="418">
        <f>VLOOKUP('Physical Effects'!P156,Lookup!$B$4:$C$14,2,FALSE)</f>
        <v>1</v>
      </c>
      <c r="J152" s="418">
        <f>VLOOKUP('Physical Effects'!R156,Lookup!$B$4:$C$14,2,FALSE)</f>
        <v>0</v>
      </c>
      <c r="K152" s="418">
        <f>VLOOKUP('Physical Effects'!T156,Lookup!$B$4:$C$14,2,FALSE)</f>
        <v>0</v>
      </c>
      <c r="L152" s="418">
        <f>VLOOKUP('Physical Effects'!V156,Lookup!$B$4:$C$14,2,FALSE)</f>
        <v>0</v>
      </c>
      <c r="M152" s="418">
        <f>VLOOKUP('Physical Effects'!X156,Lookup!$B$4:$C$14,2,FALSE)</f>
        <v>0</v>
      </c>
      <c r="N152" s="418">
        <f>VLOOKUP('Physical Effects'!Z156,Lookup!$B$4:$C$14,2,FALSE)</f>
        <v>0</v>
      </c>
      <c r="O152" s="418">
        <f>VLOOKUP('Physical Effects'!AB156,Lookup!$B$4:$C$14,2,FALSE)</f>
        <v>0</v>
      </c>
      <c r="P152" s="418">
        <f>VLOOKUP('Physical Effects'!AD156,Lookup!$B$4:$C$14,2,FALSE)</f>
        <v>0</v>
      </c>
      <c r="Q152" s="418">
        <f>VLOOKUP('Physical Effects'!AF156,Lookup!$B$4:$C$14,2,FALSE)</f>
        <v>1</v>
      </c>
      <c r="R152" s="418">
        <f>VLOOKUP('Physical Effects'!AH156,Lookup!$B$4:$C$14,2,FALSE)</f>
        <v>1</v>
      </c>
      <c r="S152" s="418">
        <f>VLOOKUP('Physical Effects'!AJ156,Lookup!$B$4:$C$14,2,FALSE)</f>
        <v>0</v>
      </c>
      <c r="T152" s="418">
        <f>VLOOKUP('Physical Effects'!AL156,Lookup!$B$4:$C$14,2,FALSE)</f>
        <v>0</v>
      </c>
      <c r="U152" s="418">
        <f>VLOOKUP('Physical Effects'!AN156,Lookup!$B$4:$C$14,2,FALSE)</f>
        <v>2</v>
      </c>
      <c r="V152" s="418">
        <f>VLOOKUP('Physical Effects'!AP156,Lookup!$B$4:$C$14,2,FALSE)</f>
        <v>2</v>
      </c>
      <c r="W152" s="418">
        <f>VLOOKUP('Physical Effects'!AR156,Lookup!$B$4:$C$14,2,FALSE)</f>
        <v>2</v>
      </c>
      <c r="X152" s="418">
        <f>VLOOKUP('Physical Effects'!AT156,Lookup!$B$4:$C$14,2,FALSE)</f>
        <v>2</v>
      </c>
      <c r="Y152" s="418">
        <f>VLOOKUP('Physical Effects'!AV156,Lookup!$B$4:$C$14,2,FALSE)</f>
        <v>0</v>
      </c>
      <c r="Z152" s="418">
        <f>VLOOKUP('Physical Effects'!AX156,Lookup!$B$4:$C$14,2,FALSE)</f>
        <v>2</v>
      </c>
      <c r="AA152" s="418">
        <f>VLOOKUP('Physical Effects'!AZ156,Lookup!$B$4:$C$14,2,FALSE)</f>
        <v>0</v>
      </c>
      <c r="AB152" s="418">
        <f>VLOOKUP('Physical Effects'!BB156,Lookup!$B$4:$C$14,2,FALSE)</f>
        <v>0</v>
      </c>
      <c r="AC152" s="418">
        <f>VLOOKUP('Physical Effects'!BD156,Lookup!$B$4:$C$14,2,FALSE)</f>
        <v>0</v>
      </c>
      <c r="AD152" s="418">
        <f>VLOOKUP('Physical Effects'!BF156,Lookup!$B$4:$C$14,2,FALSE)</f>
        <v>0</v>
      </c>
      <c r="AE152" s="418">
        <f>VLOOKUP('Physical Effects'!BH156,Lookup!$B$4:$C$14,2,FALSE)</f>
        <v>-1</v>
      </c>
      <c r="AF152" s="418">
        <f>VLOOKUP('Physical Effects'!BJ156,Lookup!$B$4:$C$14,2,FALSE)</f>
        <v>-1</v>
      </c>
      <c r="AG152" s="418">
        <f>VLOOKUP('Physical Effects'!BL156,Lookup!$B$4:$C$14,2,FALSE)</f>
        <v>-1</v>
      </c>
      <c r="AH152" s="418">
        <f>VLOOKUP('Physical Effects'!BN156,Lookup!$B$4:$C$14,2,FALSE)</f>
        <v>-1</v>
      </c>
      <c r="AI152" s="418">
        <f>VLOOKUP('Physical Effects'!BP156,Lookup!$B$4:$C$14,2,FALSE)</f>
        <v>2</v>
      </c>
      <c r="AJ152" s="418">
        <f>VLOOKUP('Physical Effects'!BR156,Lookup!$B$4:$C$14,2,FALSE)</f>
        <v>2</v>
      </c>
      <c r="AK152" s="418">
        <f>VLOOKUP('Physical Effects'!BT156,Lookup!$B$4:$C$14,2,FALSE)</f>
        <v>0</v>
      </c>
      <c r="AL152" s="418">
        <f>VLOOKUP('Physical Effects'!BV156,Lookup!$B$4:$C$14,2,FALSE)</f>
        <v>0</v>
      </c>
      <c r="AM152" s="418">
        <f>VLOOKUP('Physical Effects'!BX156,Lookup!$B$4:$C$14,2,FALSE)</f>
        <v>0</v>
      </c>
      <c r="AN152" s="418">
        <f>VLOOKUP('Physical Effects'!BZ156,Lookup!$B$4:$C$14,2,FALSE)</f>
        <v>0</v>
      </c>
      <c r="AO152" s="418">
        <f>VLOOKUP('Physical Effects'!CB156,Lookup!$B$4:$C$14,2,FALSE)</f>
        <v>0</v>
      </c>
      <c r="AP152" s="418">
        <f>VLOOKUP('Physical Effects'!CD156,Lookup!$B$4:$C$14,2,FALSE)</f>
        <v>0</v>
      </c>
      <c r="AQ152" s="418">
        <f>VLOOKUP('Physical Effects'!CF156,Lookup!$B$4:$C$14,2,FALSE)</f>
        <v>1</v>
      </c>
      <c r="AR152" s="418">
        <f>VLOOKUP('Physical Effects'!CH156,Lookup!$B$4:$C$14,2,FALSE)</f>
        <v>0</v>
      </c>
      <c r="AS152" s="418">
        <f>VLOOKUP('Physical Effects'!CJ156,Lookup!$B$4:$C$14,2,FALSE)</f>
        <v>0</v>
      </c>
      <c r="AT152" s="418">
        <f>VLOOKUP('Physical Effects'!CL156,Lookup!$B$4:$C$14,2,FALSE)</f>
        <v>0</v>
      </c>
      <c r="AU152" s="418">
        <f>VLOOKUP('Physical Effects'!CN156,Lookup!$B$4:$C$14,2,FALSE)</f>
        <v>0</v>
      </c>
      <c r="AV152" s="28"/>
      <c r="AW152" s="23"/>
      <c r="AX152" s="23"/>
      <c r="AY152" s="23"/>
      <c r="AZ152" s="23"/>
      <c r="BA152" s="23"/>
      <c r="BB152" s="23"/>
      <c r="BC152" s="23"/>
      <c r="BD152" s="23"/>
      <c r="BE152" s="23"/>
      <c r="BF152" s="23"/>
    </row>
    <row r="153" spans="1:58" s="5" customFormat="1" ht="13.5" thickBot="1" x14ac:dyDescent="0.25">
      <c r="A153" s="123">
        <f t="shared" si="2"/>
        <v>152</v>
      </c>
      <c r="B153" s="19" t="str">
        <f>+'Physical Effects'!B157</f>
        <v>Waste Separation Facility (no)</v>
      </c>
      <c r="C153" s="32">
        <f>+'Physical Effects'!D157</f>
        <v>632</v>
      </c>
      <c r="D153" s="418">
        <f>VLOOKUP('Physical Effects'!F157,Lookup!$B$4:$C$14,2,FALSE)</f>
        <v>0</v>
      </c>
      <c r="E153" s="418">
        <f>VLOOKUP('Physical Effects'!H157,Lookup!$B$4:$C$14,2,FALSE)</f>
        <v>0</v>
      </c>
      <c r="F153" s="418">
        <f>VLOOKUP('Physical Effects'!J157,Lookup!$B$4:$C$14,2,FALSE)</f>
        <v>0</v>
      </c>
      <c r="G153" s="418">
        <f>VLOOKUP('Physical Effects'!L157,Lookup!$B$4:$C$14,2,FALSE)</f>
        <v>0</v>
      </c>
      <c r="H153" s="418">
        <f>VLOOKUP('Physical Effects'!N157,Lookup!$B$4:$C$14,2,FALSE)</f>
        <v>0</v>
      </c>
      <c r="I153" s="418">
        <f>VLOOKUP('Physical Effects'!P157,Lookup!$B$4:$C$14,2,FALSE)</f>
        <v>1</v>
      </c>
      <c r="J153" s="418">
        <f>VLOOKUP('Physical Effects'!R157,Lookup!$B$4:$C$14,2,FALSE)</f>
        <v>0</v>
      </c>
      <c r="K153" s="418">
        <f>VLOOKUP('Physical Effects'!T157,Lookup!$B$4:$C$14,2,FALSE)</f>
        <v>0</v>
      </c>
      <c r="L153" s="418">
        <f>VLOOKUP('Physical Effects'!V157,Lookup!$B$4:$C$14,2,FALSE)</f>
        <v>0</v>
      </c>
      <c r="M153" s="418">
        <f>VLOOKUP('Physical Effects'!X157,Lookup!$B$4:$C$14,2,FALSE)</f>
        <v>0</v>
      </c>
      <c r="N153" s="418">
        <f>VLOOKUP('Physical Effects'!Z157,Lookup!$B$4:$C$14,2,FALSE)</f>
        <v>0</v>
      </c>
      <c r="O153" s="418">
        <f>VLOOKUP('Physical Effects'!AB157,Lookup!$B$4:$C$14,2,FALSE)</f>
        <v>0</v>
      </c>
      <c r="P153" s="418">
        <f>VLOOKUP('Physical Effects'!AD157,Lookup!$B$4:$C$14,2,FALSE)</f>
        <v>0</v>
      </c>
      <c r="Q153" s="418">
        <f>VLOOKUP('Physical Effects'!AF157,Lookup!$B$4:$C$14,2,FALSE)</f>
        <v>1</v>
      </c>
      <c r="R153" s="418">
        <f>VLOOKUP('Physical Effects'!AH157,Lookup!$B$4:$C$14,2,FALSE)</f>
        <v>0</v>
      </c>
      <c r="S153" s="418">
        <f>VLOOKUP('Physical Effects'!AJ157,Lookup!$B$4:$C$14,2,FALSE)</f>
        <v>0</v>
      </c>
      <c r="T153" s="418">
        <f>VLOOKUP('Physical Effects'!AL157,Lookup!$B$4:$C$14,2,FALSE)</f>
        <v>0</v>
      </c>
      <c r="U153" s="418">
        <f>VLOOKUP('Physical Effects'!AN157,Lookup!$B$4:$C$14,2,FALSE)</f>
        <v>2</v>
      </c>
      <c r="V153" s="418">
        <f>VLOOKUP('Physical Effects'!AP157,Lookup!$B$4:$C$14,2,FALSE)</f>
        <v>2</v>
      </c>
      <c r="W153" s="418">
        <f>VLOOKUP('Physical Effects'!AR157,Lookup!$B$4:$C$14,2,FALSE)</f>
        <v>2</v>
      </c>
      <c r="X153" s="418">
        <f>VLOOKUP('Physical Effects'!AT157,Lookup!$B$4:$C$14,2,FALSE)</f>
        <v>2</v>
      </c>
      <c r="Y153" s="418">
        <f>VLOOKUP('Physical Effects'!AV157,Lookup!$B$4:$C$14,2,FALSE)</f>
        <v>2</v>
      </c>
      <c r="Z153" s="418">
        <f>VLOOKUP('Physical Effects'!AX157,Lookup!$B$4:$C$14,2,FALSE)</f>
        <v>2</v>
      </c>
      <c r="AA153" s="418">
        <f>VLOOKUP('Physical Effects'!AZ157,Lookup!$B$4:$C$14,2,FALSE)</f>
        <v>0</v>
      </c>
      <c r="AB153" s="418">
        <f>VLOOKUP('Physical Effects'!BB157,Lookup!$B$4:$C$14,2,FALSE)</f>
        <v>0</v>
      </c>
      <c r="AC153" s="418">
        <f>VLOOKUP('Physical Effects'!BD157,Lookup!$B$4:$C$14,2,FALSE)</f>
        <v>2</v>
      </c>
      <c r="AD153" s="418">
        <f>VLOOKUP('Physical Effects'!BF157,Lookup!$B$4:$C$14,2,FALSE)</f>
        <v>2</v>
      </c>
      <c r="AE153" s="418">
        <f>VLOOKUP('Physical Effects'!BH157,Lookup!$B$4:$C$14,2,FALSE)</f>
        <v>1</v>
      </c>
      <c r="AF153" s="418">
        <f>VLOOKUP('Physical Effects'!BJ157,Lookup!$B$4:$C$14,2,FALSE)</f>
        <v>2</v>
      </c>
      <c r="AG153" s="418">
        <f>VLOOKUP('Physical Effects'!BL157,Lookup!$B$4:$C$14,2,FALSE)</f>
        <v>1</v>
      </c>
      <c r="AH153" s="418">
        <f>VLOOKUP('Physical Effects'!BN157,Lookup!$B$4:$C$14,2,FALSE)</f>
        <v>4</v>
      </c>
      <c r="AI153" s="418">
        <f>VLOOKUP('Physical Effects'!BP157,Lookup!$B$4:$C$14,2,FALSE)</f>
        <v>0</v>
      </c>
      <c r="AJ153" s="418">
        <f>VLOOKUP('Physical Effects'!BR157,Lookup!$B$4:$C$14,2,FALSE)</f>
        <v>0</v>
      </c>
      <c r="AK153" s="418">
        <f>VLOOKUP('Physical Effects'!BT157,Lookup!$B$4:$C$14,2,FALSE)</f>
        <v>0</v>
      </c>
      <c r="AL153" s="418">
        <f>VLOOKUP('Physical Effects'!BV157,Lookup!$B$4:$C$14,2,FALSE)</f>
        <v>0</v>
      </c>
      <c r="AM153" s="418">
        <f>VLOOKUP('Physical Effects'!BX157,Lookup!$B$4:$C$14,2,FALSE)</f>
        <v>0</v>
      </c>
      <c r="AN153" s="418">
        <f>VLOOKUP('Physical Effects'!BZ157,Lookup!$B$4:$C$14,2,FALSE)</f>
        <v>0</v>
      </c>
      <c r="AO153" s="418">
        <f>VLOOKUP('Physical Effects'!CB157,Lookup!$B$4:$C$14,2,FALSE)</f>
        <v>0</v>
      </c>
      <c r="AP153" s="418">
        <f>VLOOKUP('Physical Effects'!CD157,Lookup!$B$4:$C$14,2,FALSE)</f>
        <v>0</v>
      </c>
      <c r="AQ153" s="418">
        <f>VLOOKUP('Physical Effects'!CF157,Lookup!$B$4:$C$14,2,FALSE)</f>
        <v>0</v>
      </c>
      <c r="AR153" s="418">
        <f>VLOOKUP('Physical Effects'!CH157,Lookup!$B$4:$C$14,2,FALSE)</f>
        <v>0</v>
      </c>
      <c r="AS153" s="418">
        <f>VLOOKUP('Physical Effects'!CJ157,Lookup!$B$4:$C$14,2,FALSE)</f>
        <v>1</v>
      </c>
      <c r="AT153" s="418">
        <f>VLOOKUP('Physical Effects'!CL157,Lookup!$B$4:$C$14,2,FALSE)</f>
        <v>0</v>
      </c>
      <c r="AU153" s="418">
        <f>VLOOKUP('Physical Effects'!CN157,Lookup!$B$4:$C$14,2,FALSE)</f>
        <v>0</v>
      </c>
      <c r="AV153" s="28"/>
      <c r="AW153" s="23"/>
      <c r="AX153" s="23"/>
      <c r="AY153" s="23"/>
      <c r="AZ153" s="23"/>
      <c r="BA153" s="23"/>
      <c r="BB153" s="23"/>
      <c r="BC153" s="23"/>
      <c r="BD153" s="23"/>
      <c r="BE153" s="23"/>
      <c r="BF153" s="23"/>
    </row>
    <row r="154" spans="1:58" s="17" customFormat="1" ht="13.5" thickBot="1" x14ac:dyDescent="0.25">
      <c r="A154" s="123">
        <f t="shared" si="2"/>
        <v>153</v>
      </c>
      <c r="B154" s="19" t="str">
        <f>+'Physical Effects'!B158</f>
        <v>Waste Storage Facility</v>
      </c>
      <c r="C154" s="32">
        <f>+'Physical Effects'!D158</f>
        <v>313</v>
      </c>
      <c r="D154" s="418">
        <f>VLOOKUP('Physical Effects'!F158,Lookup!$B$4:$C$14,2,FALSE)</f>
        <v>0</v>
      </c>
      <c r="E154" s="418">
        <f>VLOOKUP('Physical Effects'!H158,Lookup!$B$4:$C$14,2,FALSE)</f>
        <v>0</v>
      </c>
      <c r="F154" s="418">
        <f>VLOOKUP('Physical Effects'!J158,Lookup!$B$4:$C$14,2,FALSE)</f>
        <v>0</v>
      </c>
      <c r="G154" s="418">
        <f>VLOOKUP('Physical Effects'!L158,Lookup!$B$4:$C$14,2,FALSE)</f>
        <v>0</v>
      </c>
      <c r="H154" s="418">
        <f>VLOOKUP('Physical Effects'!N158,Lookup!$B$4:$C$14,2,FALSE)</f>
        <v>0</v>
      </c>
      <c r="I154" s="418">
        <f>VLOOKUP('Physical Effects'!P158,Lookup!$B$4:$C$14,2,FALSE)</f>
        <v>1</v>
      </c>
      <c r="J154" s="418">
        <f>VLOOKUP('Physical Effects'!R158,Lookup!$B$4:$C$14,2,FALSE)</f>
        <v>1</v>
      </c>
      <c r="K154" s="418">
        <f>VLOOKUP('Physical Effects'!T158,Lookup!$B$4:$C$14,2,FALSE)</f>
        <v>0</v>
      </c>
      <c r="L154" s="418">
        <f>VLOOKUP('Physical Effects'!V158,Lookup!$B$4:$C$14,2,FALSE)</f>
        <v>1</v>
      </c>
      <c r="M154" s="418">
        <f>VLOOKUP('Physical Effects'!X158,Lookup!$B$4:$C$14,2,FALSE)</f>
        <v>0</v>
      </c>
      <c r="N154" s="418">
        <f>VLOOKUP('Physical Effects'!Z158,Lookup!$B$4:$C$14,2,FALSE)</f>
        <v>0</v>
      </c>
      <c r="O154" s="418">
        <f>VLOOKUP('Physical Effects'!AB158,Lookup!$B$4:$C$14,2,FALSE)</f>
        <v>0</v>
      </c>
      <c r="P154" s="418">
        <f>VLOOKUP('Physical Effects'!AD158,Lookup!$B$4:$C$14,2,FALSE)</f>
        <v>0</v>
      </c>
      <c r="Q154" s="418">
        <f>VLOOKUP('Physical Effects'!AF158,Lookup!$B$4:$C$14,2,FALSE)</f>
        <v>1</v>
      </c>
      <c r="R154" s="418">
        <f>VLOOKUP('Physical Effects'!AH158,Lookup!$B$4:$C$14,2,FALSE)</f>
        <v>0</v>
      </c>
      <c r="S154" s="418">
        <f>VLOOKUP('Physical Effects'!AJ158,Lookup!$B$4:$C$14,2,FALSE)</f>
        <v>0</v>
      </c>
      <c r="T154" s="418">
        <f>VLOOKUP('Physical Effects'!AL158,Lookup!$B$4:$C$14,2,FALSE)</f>
        <v>0</v>
      </c>
      <c r="U154" s="418">
        <f>VLOOKUP('Physical Effects'!AN158,Lookup!$B$4:$C$14,2,FALSE)</f>
        <v>4</v>
      </c>
      <c r="V154" s="418">
        <f>VLOOKUP('Physical Effects'!AP158,Lookup!$B$4:$C$14,2,FALSE)</f>
        <v>2</v>
      </c>
      <c r="W154" s="418">
        <f>VLOOKUP('Physical Effects'!AR158,Lookup!$B$4:$C$14,2,FALSE)</f>
        <v>2</v>
      </c>
      <c r="X154" s="418">
        <f>VLOOKUP('Physical Effects'!AT158,Lookup!$B$4:$C$14,2,FALSE)</f>
        <v>1</v>
      </c>
      <c r="Y154" s="418">
        <f>VLOOKUP('Physical Effects'!AV158,Lookup!$B$4:$C$14,2,FALSE)</f>
        <v>2</v>
      </c>
      <c r="Z154" s="418">
        <f>VLOOKUP('Physical Effects'!AX158,Lookup!$B$4:$C$14,2,FALSE)</f>
        <v>2</v>
      </c>
      <c r="AA154" s="418">
        <f>VLOOKUP('Physical Effects'!AZ158,Lookup!$B$4:$C$14,2,FALSE)</f>
        <v>0</v>
      </c>
      <c r="AB154" s="418">
        <f>VLOOKUP('Physical Effects'!BB158,Lookup!$B$4:$C$14,2,FALSE)</f>
        <v>0</v>
      </c>
      <c r="AC154" s="418">
        <f>VLOOKUP('Physical Effects'!BD158,Lookup!$B$4:$C$14,2,FALSE)</f>
        <v>0</v>
      </c>
      <c r="AD154" s="418">
        <f>VLOOKUP('Physical Effects'!BF158,Lookup!$B$4:$C$14,2,FALSE)</f>
        <v>1</v>
      </c>
      <c r="AE154" s="418">
        <f>VLOOKUP('Physical Effects'!BH158,Lookup!$B$4:$C$14,2,FALSE)</f>
        <v>-1</v>
      </c>
      <c r="AF154" s="418">
        <f>VLOOKUP('Physical Effects'!BJ158,Lookup!$B$4:$C$14,2,FALSE)</f>
        <v>-1</v>
      </c>
      <c r="AG154" s="418">
        <f>VLOOKUP('Physical Effects'!BL158,Lookup!$B$4:$C$14,2,FALSE)</f>
        <v>-1</v>
      </c>
      <c r="AH154" s="418">
        <f>VLOOKUP('Physical Effects'!BN158,Lookup!$B$4:$C$14,2,FALSE)</f>
        <v>-2</v>
      </c>
      <c r="AI154" s="418">
        <f>VLOOKUP('Physical Effects'!BP158,Lookup!$B$4:$C$14,2,FALSE)</f>
        <v>2</v>
      </c>
      <c r="AJ154" s="418">
        <f>VLOOKUP('Physical Effects'!BR158,Lookup!$B$4:$C$14,2,FALSE)</f>
        <v>0</v>
      </c>
      <c r="AK154" s="418">
        <f>VLOOKUP('Physical Effects'!BT158,Lookup!$B$4:$C$14,2,FALSE)</f>
        <v>0</v>
      </c>
      <c r="AL154" s="418">
        <f>VLOOKUP('Physical Effects'!BV158,Lookup!$B$4:$C$14,2,FALSE)</f>
        <v>0</v>
      </c>
      <c r="AM154" s="418">
        <f>VLOOKUP('Physical Effects'!BX158,Lookup!$B$4:$C$14,2,FALSE)</f>
        <v>0</v>
      </c>
      <c r="AN154" s="418">
        <f>VLOOKUP('Physical Effects'!BZ158,Lookup!$B$4:$C$14,2,FALSE)</f>
        <v>0</v>
      </c>
      <c r="AO154" s="418">
        <f>VLOOKUP('Physical Effects'!CB158,Lookup!$B$4:$C$14,2,FALSE)</f>
        <v>0</v>
      </c>
      <c r="AP154" s="418">
        <f>VLOOKUP('Physical Effects'!CD158,Lookup!$B$4:$C$14,2,FALSE)</f>
        <v>0</v>
      </c>
      <c r="AQ154" s="418">
        <f>VLOOKUP('Physical Effects'!CF158,Lookup!$B$4:$C$14,2,FALSE)</f>
        <v>0</v>
      </c>
      <c r="AR154" s="418">
        <f>VLOOKUP('Physical Effects'!CH158,Lookup!$B$4:$C$14,2,FALSE)</f>
        <v>0</v>
      </c>
      <c r="AS154" s="418">
        <f>VLOOKUP('Physical Effects'!CJ158,Lookup!$B$4:$C$14,2,FALSE)</f>
        <v>0</v>
      </c>
      <c r="AT154" s="418">
        <f>VLOOKUP('Physical Effects'!CL158,Lookup!$B$4:$C$14,2,FALSE)</f>
        <v>0</v>
      </c>
      <c r="AU154" s="418">
        <f>VLOOKUP('Physical Effects'!CN158,Lookup!$B$4:$C$14,2,FALSE)</f>
        <v>0</v>
      </c>
      <c r="AV154" s="28"/>
      <c r="AW154" s="21"/>
      <c r="AX154" s="21"/>
      <c r="AY154" s="21"/>
      <c r="AZ154" s="21"/>
      <c r="BA154" s="21"/>
      <c r="BB154" s="21"/>
      <c r="BC154" s="21"/>
      <c r="BD154" s="21"/>
      <c r="BE154" s="21"/>
      <c r="BF154" s="21"/>
    </row>
    <row r="155" spans="1:58" s="5" customFormat="1" ht="13.5" thickBot="1" x14ac:dyDescent="0.25">
      <c r="A155" s="123">
        <f t="shared" si="2"/>
        <v>154</v>
      </c>
      <c r="B155" s="19" t="str">
        <f>+'Physical Effects'!B159</f>
        <v>Waste Transfer</v>
      </c>
      <c r="C155" s="32">
        <f>+'Physical Effects'!D159</f>
        <v>634</v>
      </c>
      <c r="D155" s="418">
        <f>VLOOKUP('Physical Effects'!F159,Lookup!$B$4:$C$14,2,FALSE)</f>
        <v>-1</v>
      </c>
      <c r="E155" s="418">
        <f>VLOOKUP('Physical Effects'!H159,Lookup!$B$4:$C$14,2,FALSE)</f>
        <v>-1</v>
      </c>
      <c r="F155" s="418">
        <f>VLOOKUP('Physical Effects'!J159,Lookup!$B$4:$C$14,2,FALSE)</f>
        <v>-1</v>
      </c>
      <c r="G155" s="418">
        <f>VLOOKUP('Physical Effects'!L159,Lookup!$B$4:$C$14,2,FALSE)</f>
        <v>0</v>
      </c>
      <c r="H155" s="418">
        <f>VLOOKUP('Physical Effects'!N159,Lookup!$B$4:$C$14,2,FALSE)</f>
        <v>0</v>
      </c>
      <c r="I155" s="418">
        <f>VLOOKUP('Physical Effects'!P159,Lookup!$B$4:$C$14,2,FALSE)</f>
        <v>0</v>
      </c>
      <c r="J155" s="418">
        <f>VLOOKUP('Physical Effects'!R159,Lookup!$B$4:$C$14,2,FALSE)</f>
        <v>-1</v>
      </c>
      <c r="K155" s="418">
        <f>VLOOKUP('Physical Effects'!T159,Lookup!$B$4:$C$14,2,FALSE)</f>
        <v>0</v>
      </c>
      <c r="L155" s="418">
        <f>VLOOKUP('Physical Effects'!V159,Lookup!$B$4:$C$14,2,FALSE)</f>
        <v>0</v>
      </c>
      <c r="M155" s="418">
        <f>VLOOKUP('Physical Effects'!X159,Lookup!$B$4:$C$14,2,FALSE)</f>
        <v>0</v>
      </c>
      <c r="N155" s="418">
        <f>VLOOKUP('Physical Effects'!Z159,Lookup!$B$4:$C$14,2,FALSE)</f>
        <v>0</v>
      </c>
      <c r="O155" s="418">
        <f>VLOOKUP('Physical Effects'!AB159,Lookup!$B$4:$C$14,2,FALSE)</f>
        <v>0</v>
      </c>
      <c r="P155" s="418">
        <f>VLOOKUP('Physical Effects'!AD159,Lookup!$B$4:$C$14,2,FALSE)</f>
        <v>0</v>
      </c>
      <c r="Q155" s="418">
        <f>VLOOKUP('Physical Effects'!AF159,Lookup!$B$4:$C$14,2,FALSE)</f>
        <v>0</v>
      </c>
      <c r="R155" s="418">
        <f>VLOOKUP('Physical Effects'!AH159,Lookup!$B$4:$C$14,2,FALSE)</f>
        <v>1</v>
      </c>
      <c r="S155" s="418">
        <f>VLOOKUP('Physical Effects'!AJ159,Lookup!$B$4:$C$14,2,FALSE)</f>
        <v>0</v>
      </c>
      <c r="T155" s="418">
        <f>VLOOKUP('Physical Effects'!AL159,Lookup!$B$4:$C$14,2,FALSE)</f>
        <v>0</v>
      </c>
      <c r="U155" s="418">
        <f>VLOOKUP('Physical Effects'!AN159,Lookup!$B$4:$C$14,2,FALSE)</f>
        <v>2</v>
      </c>
      <c r="V155" s="418">
        <f>VLOOKUP('Physical Effects'!AP159,Lookup!$B$4:$C$14,2,FALSE)</f>
        <v>2</v>
      </c>
      <c r="W155" s="418">
        <f>VLOOKUP('Physical Effects'!AR159,Lookup!$B$4:$C$14,2,FALSE)</f>
        <v>2</v>
      </c>
      <c r="X155" s="418">
        <f>VLOOKUP('Physical Effects'!AT159,Lookup!$B$4:$C$14,2,FALSE)</f>
        <v>2</v>
      </c>
      <c r="Y155" s="418">
        <f>VLOOKUP('Physical Effects'!AV159,Lookup!$B$4:$C$14,2,FALSE)</f>
        <v>2</v>
      </c>
      <c r="Z155" s="418">
        <f>VLOOKUP('Physical Effects'!AX159,Lookup!$B$4:$C$14,2,FALSE)</f>
        <v>2</v>
      </c>
      <c r="AA155" s="418">
        <f>VLOOKUP('Physical Effects'!AZ159,Lookup!$B$4:$C$14,2,FALSE)</f>
        <v>0</v>
      </c>
      <c r="AB155" s="418">
        <f>VLOOKUP('Physical Effects'!BB159,Lookup!$B$4:$C$14,2,FALSE)</f>
        <v>0</v>
      </c>
      <c r="AC155" s="418">
        <f>VLOOKUP('Physical Effects'!BD159,Lookup!$B$4:$C$14,2,FALSE)</f>
        <v>0</v>
      </c>
      <c r="AD155" s="418">
        <f>VLOOKUP('Physical Effects'!BF159,Lookup!$B$4:$C$14,2,FALSE)</f>
        <v>0</v>
      </c>
      <c r="AE155" s="418">
        <f>VLOOKUP('Physical Effects'!BH159,Lookup!$B$4:$C$14,2,FALSE)</f>
        <v>-1</v>
      </c>
      <c r="AF155" s="418">
        <f>VLOOKUP('Physical Effects'!BJ159,Lookup!$B$4:$C$14,2,FALSE)</f>
        <v>-1</v>
      </c>
      <c r="AG155" s="418">
        <f>VLOOKUP('Physical Effects'!BL159,Lookup!$B$4:$C$14,2,FALSE)</f>
        <v>0</v>
      </c>
      <c r="AH155" s="418">
        <f>VLOOKUP('Physical Effects'!BN159,Lookup!$B$4:$C$14,2,FALSE)</f>
        <v>-1</v>
      </c>
      <c r="AI155" s="418">
        <f>VLOOKUP('Physical Effects'!BP159,Lookup!$B$4:$C$14,2,FALSE)</f>
        <v>0</v>
      </c>
      <c r="AJ155" s="418">
        <f>VLOOKUP('Physical Effects'!BR159,Lookup!$B$4:$C$14,2,FALSE)</f>
        <v>0</v>
      </c>
      <c r="AK155" s="418">
        <f>VLOOKUP('Physical Effects'!BT159,Lookup!$B$4:$C$14,2,FALSE)</f>
        <v>-1</v>
      </c>
      <c r="AL155" s="418">
        <f>VLOOKUP('Physical Effects'!BV159,Lookup!$B$4:$C$14,2,FALSE)</f>
        <v>0</v>
      </c>
      <c r="AM155" s="418">
        <f>VLOOKUP('Physical Effects'!BX159,Lookup!$B$4:$C$14,2,FALSE)</f>
        <v>0</v>
      </c>
      <c r="AN155" s="418">
        <f>VLOOKUP('Physical Effects'!BZ159,Lookup!$B$4:$C$14,2,FALSE)</f>
        <v>0</v>
      </c>
      <c r="AO155" s="418">
        <f>VLOOKUP('Physical Effects'!CB159,Lookup!$B$4:$C$14,2,FALSE)</f>
        <v>0</v>
      </c>
      <c r="AP155" s="418">
        <f>VLOOKUP('Physical Effects'!CD159,Lookup!$B$4:$C$14,2,FALSE)</f>
        <v>0</v>
      </c>
      <c r="AQ155" s="418">
        <f>VLOOKUP('Physical Effects'!CF159,Lookup!$B$4:$C$14,2,FALSE)</f>
        <v>0</v>
      </c>
      <c r="AR155" s="418">
        <f>VLOOKUP('Physical Effects'!CH159,Lookup!$B$4:$C$14,2,FALSE)</f>
        <v>0</v>
      </c>
      <c r="AS155" s="418">
        <f>VLOOKUP('Physical Effects'!CJ159,Lookup!$B$4:$C$14,2,FALSE)</f>
        <v>0</v>
      </c>
      <c r="AT155" s="418">
        <f>VLOOKUP('Physical Effects'!CL159,Lookup!$B$4:$C$14,2,FALSE)</f>
        <v>0</v>
      </c>
      <c r="AU155" s="418">
        <f>VLOOKUP('Physical Effects'!CN159,Lookup!$B$4:$C$14,2,FALSE)</f>
        <v>0</v>
      </c>
      <c r="AV155" s="28"/>
      <c r="AW155" s="23"/>
      <c r="AX155" s="23"/>
      <c r="AY155" s="23"/>
      <c r="AZ155" s="23"/>
      <c r="BA155" s="23"/>
      <c r="BB155" s="23"/>
      <c r="BC155" s="23"/>
      <c r="BD155" s="23"/>
      <c r="BE155" s="23"/>
      <c r="BF155" s="23"/>
    </row>
    <row r="156" spans="1:58" s="5" customFormat="1" ht="13.5" thickBot="1" x14ac:dyDescent="0.25">
      <c r="A156" s="123">
        <f t="shared" si="2"/>
        <v>155</v>
      </c>
      <c r="B156" s="19" t="str">
        <f>+'Physical Effects'!B160</f>
        <v>Waste Treatment</v>
      </c>
      <c r="C156" s="32">
        <f>+'Physical Effects'!D160</f>
        <v>629</v>
      </c>
      <c r="D156" s="418">
        <f>VLOOKUP('Physical Effects'!F160,Lookup!$B$4:$C$14,2,FALSE)</f>
        <v>0</v>
      </c>
      <c r="E156" s="418">
        <f>VLOOKUP('Physical Effects'!H160,Lookup!$B$4:$C$14,2,FALSE)</f>
        <v>0</v>
      </c>
      <c r="F156" s="418">
        <f>VLOOKUP('Physical Effects'!J160,Lookup!$B$4:$C$14,2,FALSE)</f>
        <v>0</v>
      </c>
      <c r="G156" s="418">
        <f>VLOOKUP('Physical Effects'!L160,Lookup!$B$4:$C$14,2,FALSE)</f>
        <v>0</v>
      </c>
      <c r="H156" s="418">
        <f>VLOOKUP('Physical Effects'!N160,Lookup!$B$4:$C$14,2,FALSE)</f>
        <v>0</v>
      </c>
      <c r="I156" s="418">
        <f>VLOOKUP('Physical Effects'!P160,Lookup!$B$4:$C$14,2,FALSE)</f>
        <v>1</v>
      </c>
      <c r="J156" s="418">
        <f>VLOOKUP('Physical Effects'!R160,Lookup!$B$4:$C$14,2,FALSE)</f>
        <v>1</v>
      </c>
      <c r="K156" s="418">
        <f>VLOOKUP('Physical Effects'!T160,Lookup!$B$4:$C$14,2,FALSE)</f>
        <v>0</v>
      </c>
      <c r="L156" s="418">
        <f>VLOOKUP('Physical Effects'!V160,Lookup!$B$4:$C$14,2,FALSE)</f>
        <v>0</v>
      </c>
      <c r="M156" s="418">
        <f>VLOOKUP('Physical Effects'!X160,Lookup!$B$4:$C$14,2,FALSE)</f>
        <v>0</v>
      </c>
      <c r="N156" s="418">
        <f>VLOOKUP('Physical Effects'!Z160,Lookup!$B$4:$C$14,2,FALSE)</f>
        <v>0</v>
      </c>
      <c r="O156" s="418">
        <f>VLOOKUP('Physical Effects'!AB160,Lookup!$B$4:$C$14,2,FALSE)</f>
        <v>0</v>
      </c>
      <c r="P156" s="418">
        <f>VLOOKUP('Physical Effects'!AD160,Lookup!$B$4:$C$14,2,FALSE)</f>
        <v>0</v>
      </c>
      <c r="Q156" s="418">
        <f>VLOOKUP('Physical Effects'!AF160,Lookup!$B$4:$C$14,2,FALSE)</f>
        <v>1</v>
      </c>
      <c r="R156" s="418">
        <f>VLOOKUP('Physical Effects'!AH160,Lookup!$B$4:$C$14,2,FALSE)</f>
        <v>0</v>
      </c>
      <c r="S156" s="418">
        <f>VLOOKUP('Physical Effects'!AJ160,Lookup!$B$4:$C$14,2,FALSE)</f>
        <v>0</v>
      </c>
      <c r="T156" s="418">
        <f>VLOOKUP('Physical Effects'!AL160,Lookup!$B$4:$C$14,2,FALSE)</f>
        <v>0</v>
      </c>
      <c r="U156" s="418">
        <f>VLOOKUP('Physical Effects'!AN160,Lookup!$B$4:$C$14,2,FALSE)</f>
        <v>2</v>
      </c>
      <c r="V156" s="418">
        <f>VLOOKUP('Physical Effects'!AP160,Lookup!$B$4:$C$14,2,FALSE)</f>
        <v>2</v>
      </c>
      <c r="W156" s="418">
        <f>VLOOKUP('Physical Effects'!AR160,Lookup!$B$4:$C$14,2,FALSE)</f>
        <v>2</v>
      </c>
      <c r="X156" s="418">
        <f>VLOOKUP('Physical Effects'!AT160,Lookup!$B$4:$C$14,2,FALSE)</f>
        <v>2</v>
      </c>
      <c r="Y156" s="418">
        <f>VLOOKUP('Physical Effects'!AV160,Lookup!$B$4:$C$14,2,FALSE)</f>
        <v>2</v>
      </c>
      <c r="Z156" s="418">
        <f>VLOOKUP('Physical Effects'!AX160,Lookup!$B$4:$C$14,2,FALSE)</f>
        <v>2</v>
      </c>
      <c r="AA156" s="418">
        <f>VLOOKUP('Physical Effects'!AZ160,Lookup!$B$4:$C$14,2,FALSE)</f>
        <v>0</v>
      </c>
      <c r="AB156" s="418">
        <f>VLOOKUP('Physical Effects'!BB160,Lookup!$B$4:$C$14,2,FALSE)</f>
        <v>0</v>
      </c>
      <c r="AC156" s="418">
        <f>VLOOKUP('Physical Effects'!BD160,Lookup!$B$4:$C$14,2,FALSE)</f>
        <v>2</v>
      </c>
      <c r="AD156" s="418">
        <f>VLOOKUP('Physical Effects'!BF160,Lookup!$B$4:$C$14,2,FALSE)</f>
        <v>2</v>
      </c>
      <c r="AE156" s="418">
        <f>VLOOKUP('Physical Effects'!BH160,Lookup!$B$4:$C$14,2,FALSE)</f>
        <v>1</v>
      </c>
      <c r="AF156" s="418">
        <f>VLOOKUP('Physical Effects'!BJ160,Lookup!$B$4:$C$14,2,FALSE)</f>
        <v>1</v>
      </c>
      <c r="AG156" s="418">
        <f>VLOOKUP('Physical Effects'!BL160,Lookup!$B$4:$C$14,2,FALSE)</f>
        <v>1</v>
      </c>
      <c r="AH156" s="418">
        <f>VLOOKUP('Physical Effects'!BN160,Lookup!$B$4:$C$14,2,FALSE)</f>
        <v>4</v>
      </c>
      <c r="AI156" s="418">
        <f>VLOOKUP('Physical Effects'!BP160,Lookup!$B$4:$C$14,2,FALSE)</f>
        <v>2</v>
      </c>
      <c r="AJ156" s="418">
        <f>VLOOKUP('Physical Effects'!BR160,Lookup!$B$4:$C$14,2,FALSE)</f>
        <v>0</v>
      </c>
      <c r="AK156" s="418">
        <f>VLOOKUP('Physical Effects'!BT160,Lookup!$B$4:$C$14,2,FALSE)</f>
        <v>0</v>
      </c>
      <c r="AL156" s="418">
        <f>VLOOKUP('Physical Effects'!BV160,Lookup!$B$4:$C$14,2,FALSE)</f>
        <v>0</v>
      </c>
      <c r="AM156" s="418">
        <f>VLOOKUP('Physical Effects'!BX160,Lookup!$B$4:$C$14,2,FALSE)</f>
        <v>0</v>
      </c>
      <c r="AN156" s="418">
        <f>VLOOKUP('Physical Effects'!BZ160,Lookup!$B$4:$C$14,2,FALSE)</f>
        <v>0</v>
      </c>
      <c r="AO156" s="418">
        <f>VLOOKUP('Physical Effects'!CB160,Lookup!$B$4:$C$14,2,FALSE)</f>
        <v>0</v>
      </c>
      <c r="AP156" s="418">
        <f>VLOOKUP('Physical Effects'!CD160,Lookup!$B$4:$C$14,2,FALSE)</f>
        <v>0</v>
      </c>
      <c r="AQ156" s="418">
        <f>VLOOKUP('Physical Effects'!CF160,Lookup!$B$4:$C$14,2,FALSE)</f>
        <v>0</v>
      </c>
      <c r="AR156" s="418">
        <f>VLOOKUP('Physical Effects'!CH160,Lookup!$B$4:$C$14,2,FALSE)</f>
        <v>0</v>
      </c>
      <c r="AS156" s="418">
        <f>VLOOKUP('Physical Effects'!CJ160,Lookup!$B$4:$C$14,2,FALSE)</f>
        <v>1</v>
      </c>
      <c r="AT156" s="418">
        <f>VLOOKUP('Physical Effects'!CL160,Lookup!$B$4:$C$14,2,FALSE)</f>
        <v>0</v>
      </c>
      <c r="AU156" s="418">
        <f>VLOOKUP('Physical Effects'!CN160,Lookup!$B$4:$C$14,2,FALSE)</f>
        <v>0</v>
      </c>
      <c r="AV156" s="28"/>
      <c r="AW156" s="23"/>
      <c r="AX156" s="23"/>
      <c r="AY156" s="23"/>
      <c r="AZ156" s="23"/>
      <c r="BA156" s="23"/>
      <c r="BB156" s="23"/>
      <c r="BC156" s="23"/>
      <c r="BD156" s="23"/>
      <c r="BE156" s="23"/>
      <c r="BF156" s="23"/>
    </row>
    <row r="157" spans="1:58" s="5" customFormat="1" ht="13.5" thickBot="1" x14ac:dyDescent="0.25">
      <c r="A157" s="123">
        <f t="shared" si="2"/>
        <v>156</v>
      </c>
      <c r="B157" s="19" t="str">
        <f>+'Physical Effects'!B161</f>
        <v>Waste Treatment Lagoon</v>
      </c>
      <c r="C157" s="32">
        <f>+'Physical Effects'!D161</f>
        <v>359</v>
      </c>
      <c r="D157" s="418">
        <f>VLOOKUP('Physical Effects'!F161,Lookup!$B$4:$C$14,2,FALSE)</f>
        <v>0</v>
      </c>
      <c r="E157" s="418">
        <f>VLOOKUP('Physical Effects'!H161,Lookup!$B$4:$C$14,2,FALSE)</f>
        <v>0</v>
      </c>
      <c r="F157" s="418">
        <f>VLOOKUP('Physical Effects'!J161,Lookup!$B$4:$C$14,2,FALSE)</f>
        <v>0</v>
      </c>
      <c r="G157" s="418">
        <f>VLOOKUP('Physical Effects'!L161,Lookup!$B$4:$C$14,2,FALSE)</f>
        <v>0</v>
      </c>
      <c r="H157" s="418">
        <f>VLOOKUP('Physical Effects'!N161,Lookup!$B$4:$C$14,2,FALSE)</f>
        <v>0</v>
      </c>
      <c r="I157" s="418">
        <f>VLOOKUP('Physical Effects'!P161,Lookup!$B$4:$C$14,2,FALSE)</f>
        <v>1</v>
      </c>
      <c r="J157" s="418">
        <f>VLOOKUP('Physical Effects'!R161,Lookup!$B$4:$C$14,2,FALSE)</f>
        <v>1</v>
      </c>
      <c r="K157" s="418">
        <f>VLOOKUP('Physical Effects'!T161,Lookup!$B$4:$C$14,2,FALSE)</f>
        <v>0</v>
      </c>
      <c r="L157" s="418">
        <f>VLOOKUP('Physical Effects'!V161,Lookup!$B$4:$C$14,2,FALSE)</f>
        <v>0</v>
      </c>
      <c r="M157" s="418">
        <f>VLOOKUP('Physical Effects'!X161,Lookup!$B$4:$C$14,2,FALSE)</f>
        <v>0</v>
      </c>
      <c r="N157" s="418">
        <f>VLOOKUP('Physical Effects'!Z161,Lookup!$B$4:$C$14,2,FALSE)</f>
        <v>0</v>
      </c>
      <c r="O157" s="418">
        <f>VLOOKUP('Physical Effects'!AB161,Lookup!$B$4:$C$14,2,FALSE)</f>
        <v>0</v>
      </c>
      <c r="P157" s="418">
        <f>VLOOKUP('Physical Effects'!AD161,Lookup!$B$4:$C$14,2,FALSE)</f>
        <v>0</v>
      </c>
      <c r="Q157" s="418">
        <f>VLOOKUP('Physical Effects'!AF161,Lookup!$B$4:$C$14,2,FALSE)</f>
        <v>1</v>
      </c>
      <c r="R157" s="418">
        <f>VLOOKUP('Physical Effects'!AH161,Lookup!$B$4:$C$14,2,FALSE)</f>
        <v>0</v>
      </c>
      <c r="S157" s="418">
        <f>VLOOKUP('Physical Effects'!AJ161,Lookup!$B$4:$C$14,2,FALSE)</f>
        <v>0</v>
      </c>
      <c r="T157" s="418">
        <f>VLOOKUP('Physical Effects'!AL161,Lookup!$B$4:$C$14,2,FALSE)</f>
        <v>0</v>
      </c>
      <c r="U157" s="418">
        <f>VLOOKUP('Physical Effects'!AN161,Lookup!$B$4:$C$14,2,FALSE)</f>
        <v>4</v>
      </c>
      <c r="V157" s="418">
        <f>VLOOKUP('Physical Effects'!AP161,Lookup!$B$4:$C$14,2,FALSE)</f>
        <v>2</v>
      </c>
      <c r="W157" s="418">
        <f>VLOOKUP('Physical Effects'!AR161,Lookup!$B$4:$C$14,2,FALSE)</f>
        <v>2</v>
      </c>
      <c r="X157" s="418">
        <f>VLOOKUP('Physical Effects'!AT161,Lookup!$B$4:$C$14,2,FALSE)</f>
        <v>1</v>
      </c>
      <c r="Y157" s="418">
        <f>VLOOKUP('Physical Effects'!AV161,Lookup!$B$4:$C$14,2,FALSE)</f>
        <v>4</v>
      </c>
      <c r="Z157" s="418">
        <f>VLOOKUP('Physical Effects'!AX161,Lookup!$B$4:$C$14,2,FALSE)</f>
        <v>2</v>
      </c>
      <c r="AA157" s="418">
        <f>VLOOKUP('Physical Effects'!AZ161,Lookup!$B$4:$C$14,2,FALSE)</f>
        <v>0</v>
      </c>
      <c r="AB157" s="418">
        <f>VLOOKUP('Physical Effects'!BB161,Lookup!$B$4:$C$14,2,FALSE)</f>
        <v>0</v>
      </c>
      <c r="AC157" s="418">
        <f>VLOOKUP('Physical Effects'!BD161,Lookup!$B$4:$C$14,2,FALSE)</f>
        <v>0</v>
      </c>
      <c r="AD157" s="418">
        <f>VLOOKUP('Physical Effects'!BF161,Lookup!$B$4:$C$14,2,FALSE)</f>
        <v>1</v>
      </c>
      <c r="AE157" s="418">
        <f>VLOOKUP('Physical Effects'!BH161,Lookup!$B$4:$C$14,2,FALSE)</f>
        <v>-1</v>
      </c>
      <c r="AF157" s="418">
        <f>VLOOKUP('Physical Effects'!BJ161,Lookup!$B$4:$C$14,2,FALSE)</f>
        <v>1</v>
      </c>
      <c r="AG157" s="418">
        <f>VLOOKUP('Physical Effects'!BL161,Lookup!$B$4:$C$14,2,FALSE)</f>
        <v>-3</v>
      </c>
      <c r="AH157" s="418">
        <f>VLOOKUP('Physical Effects'!BN161,Lookup!$B$4:$C$14,2,FALSE)</f>
        <v>-1</v>
      </c>
      <c r="AI157" s="418">
        <f>VLOOKUP('Physical Effects'!BP161,Lookup!$B$4:$C$14,2,FALSE)</f>
        <v>2</v>
      </c>
      <c r="AJ157" s="418">
        <f>VLOOKUP('Physical Effects'!BR161,Lookup!$B$4:$C$14,2,FALSE)</f>
        <v>0</v>
      </c>
      <c r="AK157" s="418">
        <f>VLOOKUP('Physical Effects'!BT161,Lookup!$B$4:$C$14,2,FALSE)</f>
        <v>0</v>
      </c>
      <c r="AL157" s="418">
        <f>VLOOKUP('Physical Effects'!BV161,Lookup!$B$4:$C$14,2,FALSE)</f>
        <v>0</v>
      </c>
      <c r="AM157" s="418">
        <f>VLOOKUP('Physical Effects'!BX161,Lookup!$B$4:$C$14,2,FALSE)</f>
        <v>0</v>
      </c>
      <c r="AN157" s="418">
        <f>VLOOKUP('Physical Effects'!BZ161,Lookup!$B$4:$C$14,2,FALSE)</f>
        <v>0</v>
      </c>
      <c r="AO157" s="418">
        <f>VLOOKUP('Physical Effects'!CB161,Lookup!$B$4:$C$14,2,FALSE)</f>
        <v>0</v>
      </c>
      <c r="AP157" s="418">
        <f>VLOOKUP('Physical Effects'!CD161,Lookup!$B$4:$C$14,2,FALSE)</f>
        <v>0</v>
      </c>
      <c r="AQ157" s="418">
        <f>VLOOKUP('Physical Effects'!CF161,Lookup!$B$4:$C$14,2,FALSE)</f>
        <v>0</v>
      </c>
      <c r="AR157" s="418">
        <f>VLOOKUP('Physical Effects'!CH161,Lookup!$B$4:$C$14,2,FALSE)</f>
        <v>0</v>
      </c>
      <c r="AS157" s="418">
        <f>VLOOKUP('Physical Effects'!CJ161,Lookup!$B$4:$C$14,2,FALSE)</f>
        <v>0</v>
      </c>
      <c r="AT157" s="418">
        <f>VLOOKUP('Physical Effects'!CL161,Lookup!$B$4:$C$14,2,FALSE)</f>
        <v>1</v>
      </c>
      <c r="AU157" s="418">
        <f>VLOOKUP('Physical Effects'!CN161,Lookup!$B$4:$C$14,2,FALSE)</f>
        <v>0</v>
      </c>
      <c r="AV157" s="28"/>
      <c r="AW157" s="23"/>
      <c r="AX157" s="23"/>
      <c r="AY157" s="23"/>
      <c r="AZ157" s="23"/>
      <c r="BA157" s="23"/>
      <c r="BB157" s="23"/>
      <c r="BC157" s="23"/>
      <c r="BD157" s="23"/>
      <c r="BE157" s="23"/>
      <c r="BF157" s="23"/>
    </row>
    <row r="158" spans="1:58" s="5" customFormat="1" ht="13.5" thickBot="1" x14ac:dyDescent="0.25">
      <c r="A158" s="123">
        <f t="shared" si="2"/>
        <v>157</v>
      </c>
      <c r="B158" s="19" t="str">
        <f>+'Physical Effects'!B162</f>
        <v>Water and Sediment Control Basin</v>
      </c>
      <c r="C158" s="32">
        <f>+'Physical Effects'!D162</f>
        <v>638</v>
      </c>
      <c r="D158" s="418">
        <f>VLOOKUP('Physical Effects'!F162,Lookup!$B$4:$C$14,2,FALSE)</f>
        <v>0</v>
      </c>
      <c r="E158" s="418">
        <f>VLOOKUP('Physical Effects'!H162,Lookup!$B$4:$C$14,2,FALSE)</f>
        <v>0</v>
      </c>
      <c r="F158" s="418">
        <f>VLOOKUP('Physical Effects'!J162,Lookup!$B$4:$C$14,2,FALSE)</f>
        <v>2</v>
      </c>
      <c r="G158" s="418">
        <f>VLOOKUP('Physical Effects'!L162,Lookup!$B$4:$C$14,2,FALSE)</f>
        <v>2</v>
      </c>
      <c r="H158" s="418">
        <f>VLOOKUP('Physical Effects'!N162,Lookup!$B$4:$C$14,2,FALSE)</f>
        <v>0</v>
      </c>
      <c r="I158" s="418">
        <f>VLOOKUP('Physical Effects'!P162,Lookup!$B$4:$C$14,2,FALSE)</f>
        <v>0</v>
      </c>
      <c r="J158" s="418">
        <f>VLOOKUP('Physical Effects'!R162,Lookup!$B$4:$C$14,2,FALSE)</f>
        <v>0</v>
      </c>
      <c r="K158" s="418">
        <f>VLOOKUP('Physical Effects'!T162,Lookup!$B$4:$C$14,2,FALSE)</f>
        <v>0</v>
      </c>
      <c r="L158" s="418">
        <f>VLOOKUP('Physical Effects'!V162,Lookup!$B$4:$C$14,2,FALSE)</f>
        <v>0</v>
      </c>
      <c r="M158" s="418">
        <f>VLOOKUP('Physical Effects'!X162,Lookup!$B$4:$C$14,2,FALSE)</f>
        <v>-2</v>
      </c>
      <c r="N158" s="418">
        <f>VLOOKUP('Physical Effects'!Z162,Lookup!$B$4:$C$14,2,FALSE)</f>
        <v>2</v>
      </c>
      <c r="O158" s="418">
        <f>VLOOKUP('Physical Effects'!AB162,Lookup!$B$4:$C$14,2,FALSE)</f>
        <v>-2</v>
      </c>
      <c r="P158" s="418">
        <f>VLOOKUP('Physical Effects'!AD162,Lookup!$B$4:$C$14,2,FALSE)</f>
        <v>0</v>
      </c>
      <c r="Q158" s="418">
        <f>VLOOKUP('Physical Effects'!AF162,Lookup!$B$4:$C$14,2,FALSE)</f>
        <v>0</v>
      </c>
      <c r="R158" s="418">
        <f>VLOOKUP('Physical Effects'!AH162,Lookup!$B$4:$C$14,2,FALSE)</f>
        <v>0</v>
      </c>
      <c r="S158" s="418">
        <f>VLOOKUP('Physical Effects'!AJ162,Lookup!$B$4:$C$14,2,FALSE)</f>
        <v>0</v>
      </c>
      <c r="T158" s="418">
        <f>VLOOKUP('Physical Effects'!AL162,Lookup!$B$4:$C$14,2,FALSE)</f>
        <v>-1</v>
      </c>
      <c r="U158" s="418">
        <f>VLOOKUP('Physical Effects'!AN162,Lookup!$B$4:$C$14,2,FALSE)</f>
        <v>0</v>
      </c>
      <c r="V158" s="418">
        <f>VLOOKUP('Physical Effects'!AP162,Lookup!$B$4:$C$14,2,FALSE)</f>
        <v>-1</v>
      </c>
      <c r="W158" s="418">
        <f>VLOOKUP('Physical Effects'!AR162,Lookup!$B$4:$C$14,2,FALSE)</f>
        <v>0</v>
      </c>
      <c r="X158" s="418">
        <f>VLOOKUP('Physical Effects'!AT162,Lookup!$B$4:$C$14,2,FALSE)</f>
        <v>-1</v>
      </c>
      <c r="Y158" s="418">
        <f>VLOOKUP('Physical Effects'!AV162,Lookup!$B$4:$C$14,2,FALSE)</f>
        <v>0</v>
      </c>
      <c r="Z158" s="418">
        <f>VLOOKUP('Physical Effects'!AX162,Lookup!$B$4:$C$14,2,FALSE)</f>
        <v>-1</v>
      </c>
      <c r="AA158" s="418">
        <f>VLOOKUP('Physical Effects'!AZ162,Lookup!$B$4:$C$14,2,FALSE)</f>
        <v>4</v>
      </c>
      <c r="AB158" s="418">
        <f>VLOOKUP('Physical Effects'!BB162,Lookup!$B$4:$C$14,2,FALSE)</f>
        <v>-2</v>
      </c>
      <c r="AC158" s="418">
        <f>VLOOKUP('Physical Effects'!BD162,Lookup!$B$4:$C$14,2,FALSE)</f>
        <v>0</v>
      </c>
      <c r="AD158" s="418">
        <f>VLOOKUP('Physical Effects'!BF162,Lookup!$B$4:$C$14,2,FALSE)</f>
        <v>-1</v>
      </c>
      <c r="AE158" s="418">
        <f>VLOOKUP('Physical Effects'!BH162,Lookup!$B$4:$C$14,2,FALSE)</f>
        <v>0</v>
      </c>
      <c r="AF158" s="418">
        <f>VLOOKUP('Physical Effects'!BJ162,Lookup!$B$4:$C$14,2,FALSE)</f>
        <v>0</v>
      </c>
      <c r="AG158" s="418">
        <f>VLOOKUP('Physical Effects'!BL162,Lookup!$B$4:$C$14,2,FALSE)</f>
        <v>0</v>
      </c>
      <c r="AH158" s="418">
        <f>VLOOKUP('Physical Effects'!BN162,Lookup!$B$4:$C$14,2,FALSE)</f>
        <v>0</v>
      </c>
      <c r="AI158" s="418">
        <f>VLOOKUP('Physical Effects'!BP162,Lookup!$B$4:$C$14,2,FALSE)</f>
        <v>0</v>
      </c>
      <c r="AJ158" s="418">
        <f>VLOOKUP('Physical Effects'!BR162,Lookup!$B$4:$C$14,2,FALSE)</f>
        <v>0</v>
      </c>
      <c r="AK158" s="418">
        <f>VLOOKUP('Physical Effects'!BT162,Lookup!$B$4:$C$14,2,FALSE)</f>
        <v>0</v>
      </c>
      <c r="AL158" s="418">
        <f>VLOOKUP('Physical Effects'!BV162,Lookup!$B$4:$C$14,2,FALSE)</f>
        <v>0</v>
      </c>
      <c r="AM158" s="418">
        <f>VLOOKUP('Physical Effects'!BX162,Lookup!$B$4:$C$14,2,FALSE)</f>
        <v>0</v>
      </c>
      <c r="AN158" s="418">
        <f>VLOOKUP('Physical Effects'!BZ162,Lookup!$B$4:$C$14,2,FALSE)</f>
        <v>0</v>
      </c>
      <c r="AO158" s="418">
        <f>VLOOKUP('Physical Effects'!CB162,Lookup!$B$4:$C$14,2,FALSE)</f>
        <v>2</v>
      </c>
      <c r="AP158" s="418">
        <f>VLOOKUP('Physical Effects'!CD162,Lookup!$B$4:$C$14,2,FALSE)</f>
        <v>0</v>
      </c>
      <c r="AQ158" s="418">
        <f>VLOOKUP('Physical Effects'!CF162,Lookup!$B$4:$C$14,2,FALSE)</f>
        <v>0</v>
      </c>
      <c r="AR158" s="418">
        <f>VLOOKUP('Physical Effects'!CH162,Lookup!$B$4:$C$14,2,FALSE)</f>
        <v>0</v>
      </c>
      <c r="AS158" s="418">
        <f>VLOOKUP('Physical Effects'!CJ162,Lookup!$B$4:$C$14,2,FALSE)</f>
        <v>0</v>
      </c>
      <c r="AT158" s="418">
        <f>VLOOKUP('Physical Effects'!CL162,Lookup!$B$4:$C$14,2,FALSE)</f>
        <v>0</v>
      </c>
      <c r="AU158" s="418">
        <f>VLOOKUP('Physical Effects'!CN162,Lookup!$B$4:$C$14,2,FALSE)</f>
        <v>0</v>
      </c>
      <c r="AV158" s="28"/>
      <c r="AW158" s="23"/>
      <c r="AX158" s="23"/>
      <c r="AY158" s="23"/>
      <c r="AZ158" s="23"/>
      <c r="BA158" s="23"/>
      <c r="BB158" s="23"/>
      <c r="BC158" s="23"/>
      <c r="BD158" s="23"/>
      <c r="BE158" s="23"/>
      <c r="BF158" s="23"/>
    </row>
    <row r="159" spans="1:58" s="5" customFormat="1" ht="13.5" thickBot="1" x14ac:dyDescent="0.25">
      <c r="A159" s="123">
        <f t="shared" si="2"/>
        <v>158</v>
      </c>
      <c r="B159" s="19" t="str">
        <f>+'Physical Effects'!B163</f>
        <v>Water Harvesting Catchment</v>
      </c>
      <c r="C159" s="32">
        <f>+'Physical Effects'!D163</f>
        <v>636</v>
      </c>
      <c r="D159" s="418">
        <f>VLOOKUP('Physical Effects'!F163,Lookup!$B$4:$C$14,2,FALSE)</f>
        <v>0</v>
      </c>
      <c r="E159" s="418">
        <f>VLOOKUP('Physical Effects'!H163,Lookup!$B$4:$C$14,2,FALSE)</f>
        <v>0</v>
      </c>
      <c r="F159" s="418">
        <f>VLOOKUP('Physical Effects'!J163,Lookup!$B$4:$C$14,2,FALSE)</f>
        <v>0</v>
      </c>
      <c r="G159" s="418">
        <f>VLOOKUP('Physical Effects'!L163,Lookup!$B$4:$C$14,2,FALSE)</f>
        <v>0</v>
      </c>
      <c r="H159" s="418">
        <f>VLOOKUP('Physical Effects'!N163,Lookup!$B$4:$C$14,2,FALSE)</f>
        <v>0</v>
      </c>
      <c r="I159" s="418">
        <f>VLOOKUP('Physical Effects'!P163,Lookup!$B$4:$C$14,2,FALSE)</f>
        <v>0</v>
      </c>
      <c r="J159" s="418">
        <f>VLOOKUP('Physical Effects'!R163,Lookup!$B$4:$C$14,2,FALSE)</f>
        <v>0</v>
      </c>
      <c r="K159" s="418">
        <f>VLOOKUP('Physical Effects'!T163,Lookup!$B$4:$C$14,2,FALSE)</f>
        <v>0</v>
      </c>
      <c r="L159" s="418">
        <f>VLOOKUP('Physical Effects'!V163,Lookup!$B$4:$C$14,2,FALSE)</f>
        <v>0</v>
      </c>
      <c r="M159" s="418">
        <f>VLOOKUP('Physical Effects'!X163,Lookup!$B$4:$C$14,2,FALSE)</f>
        <v>1</v>
      </c>
      <c r="N159" s="418">
        <f>VLOOKUP('Physical Effects'!Z163,Lookup!$B$4:$C$14,2,FALSE)</f>
        <v>0</v>
      </c>
      <c r="O159" s="418">
        <f>VLOOKUP('Physical Effects'!AB163,Lookup!$B$4:$C$14,2,FALSE)</f>
        <v>0</v>
      </c>
      <c r="P159" s="418">
        <f>VLOOKUP('Physical Effects'!AD163,Lookup!$B$4:$C$14,2,FALSE)</f>
        <v>0</v>
      </c>
      <c r="Q159" s="418">
        <f>VLOOKUP('Physical Effects'!AF163,Lookup!$B$4:$C$14,2,FALSE)</f>
        <v>0</v>
      </c>
      <c r="R159" s="418">
        <f>VLOOKUP('Physical Effects'!AH163,Lookup!$B$4:$C$14,2,FALSE)</f>
        <v>0</v>
      </c>
      <c r="S159" s="418">
        <f>VLOOKUP('Physical Effects'!AJ163,Lookup!$B$4:$C$14,2,FALSE)</f>
        <v>0</v>
      </c>
      <c r="T159" s="418">
        <f>VLOOKUP('Physical Effects'!AL163,Lookup!$B$4:$C$14,2,FALSE)</f>
        <v>0</v>
      </c>
      <c r="U159" s="418">
        <f>VLOOKUP('Physical Effects'!AN163,Lookup!$B$4:$C$14,2,FALSE)</f>
        <v>0</v>
      </c>
      <c r="V159" s="418">
        <f>VLOOKUP('Physical Effects'!AP163,Lookup!$B$4:$C$14,2,FALSE)</f>
        <v>0</v>
      </c>
      <c r="W159" s="418">
        <f>VLOOKUP('Physical Effects'!AR163,Lookup!$B$4:$C$14,2,FALSE)</f>
        <v>0</v>
      </c>
      <c r="X159" s="418">
        <f>VLOOKUP('Physical Effects'!AT163,Lookup!$B$4:$C$14,2,FALSE)</f>
        <v>0</v>
      </c>
      <c r="Y159" s="418">
        <f>VLOOKUP('Physical Effects'!AV163,Lookup!$B$4:$C$14,2,FALSE)</f>
        <v>0</v>
      </c>
      <c r="Z159" s="418">
        <f>VLOOKUP('Physical Effects'!AX163,Lookup!$B$4:$C$14,2,FALSE)</f>
        <v>0</v>
      </c>
      <c r="AA159" s="418">
        <f>VLOOKUP('Physical Effects'!AZ163,Lookup!$B$4:$C$14,2,FALSE)</f>
        <v>0</v>
      </c>
      <c r="AB159" s="418">
        <f>VLOOKUP('Physical Effects'!BB163,Lookup!$B$4:$C$14,2,FALSE)</f>
        <v>0</v>
      </c>
      <c r="AC159" s="418">
        <f>VLOOKUP('Physical Effects'!BD163,Lookup!$B$4:$C$14,2,FALSE)</f>
        <v>0</v>
      </c>
      <c r="AD159" s="418">
        <f>VLOOKUP('Physical Effects'!BF163,Lookup!$B$4:$C$14,2,FALSE)</f>
        <v>0</v>
      </c>
      <c r="AE159" s="418">
        <f>VLOOKUP('Physical Effects'!BH163,Lookup!$B$4:$C$14,2,FALSE)</f>
        <v>0</v>
      </c>
      <c r="AF159" s="418">
        <f>VLOOKUP('Physical Effects'!BJ163,Lookup!$B$4:$C$14,2,FALSE)</f>
        <v>0</v>
      </c>
      <c r="AG159" s="418">
        <f>VLOOKUP('Physical Effects'!BL163,Lookup!$B$4:$C$14,2,FALSE)</f>
        <v>0</v>
      </c>
      <c r="AH159" s="418">
        <f>VLOOKUP('Physical Effects'!BN163,Lookup!$B$4:$C$14,2,FALSE)</f>
        <v>0</v>
      </c>
      <c r="AI159" s="418">
        <f>VLOOKUP('Physical Effects'!BP163,Lookup!$B$4:$C$14,2,FALSE)</f>
        <v>0</v>
      </c>
      <c r="AJ159" s="418">
        <f>VLOOKUP('Physical Effects'!BR163,Lookup!$B$4:$C$14,2,FALSE)</f>
        <v>0</v>
      </c>
      <c r="AK159" s="418">
        <f>VLOOKUP('Physical Effects'!BT163,Lookup!$B$4:$C$14,2,FALSE)</f>
        <v>0</v>
      </c>
      <c r="AL159" s="418">
        <f>VLOOKUP('Physical Effects'!BV163,Lookup!$B$4:$C$14,2,FALSE)</f>
        <v>0</v>
      </c>
      <c r="AM159" s="418">
        <f>VLOOKUP('Physical Effects'!BX163,Lookup!$B$4:$C$14,2,FALSE)</f>
        <v>0</v>
      </c>
      <c r="AN159" s="418">
        <f>VLOOKUP('Physical Effects'!BZ163,Lookup!$B$4:$C$14,2,FALSE)</f>
        <v>0</v>
      </c>
      <c r="AO159" s="418">
        <f>VLOOKUP('Physical Effects'!CB163,Lookup!$B$4:$C$14,2,FALSE)</f>
        <v>4</v>
      </c>
      <c r="AP159" s="418">
        <f>VLOOKUP('Physical Effects'!CD163,Lookup!$B$4:$C$14,2,FALSE)</f>
        <v>2</v>
      </c>
      <c r="AQ159" s="418">
        <f>VLOOKUP('Physical Effects'!CF163,Lookup!$B$4:$C$14,2,FALSE)</f>
        <v>0</v>
      </c>
      <c r="AR159" s="418">
        <f>VLOOKUP('Physical Effects'!CH163,Lookup!$B$4:$C$14,2,FALSE)</f>
        <v>0</v>
      </c>
      <c r="AS159" s="418">
        <f>VLOOKUP('Physical Effects'!CJ163,Lookup!$B$4:$C$14,2,FALSE)</f>
        <v>5</v>
      </c>
      <c r="AT159" s="418">
        <f>VLOOKUP('Physical Effects'!CL163,Lookup!$B$4:$C$14,2,FALSE)</f>
        <v>0</v>
      </c>
      <c r="AU159" s="418">
        <f>VLOOKUP('Physical Effects'!CN163,Lookup!$B$4:$C$14,2,FALSE)</f>
        <v>0</v>
      </c>
      <c r="AV159" s="28"/>
      <c r="AW159" s="23"/>
      <c r="AX159" s="23"/>
      <c r="AY159" s="23"/>
      <c r="AZ159" s="23"/>
      <c r="BA159" s="23"/>
      <c r="BB159" s="23"/>
      <c r="BC159" s="23"/>
      <c r="BD159" s="23"/>
      <c r="BE159" s="23"/>
      <c r="BF159" s="23"/>
    </row>
    <row r="160" spans="1:58" s="5" customFormat="1" ht="13.5" thickBot="1" x14ac:dyDescent="0.25">
      <c r="A160" s="123">
        <f t="shared" si="2"/>
        <v>159</v>
      </c>
      <c r="B160" s="19" t="str">
        <f>+'Physical Effects'!B164</f>
        <v>Watering Facility</v>
      </c>
      <c r="C160" s="32">
        <f>+'Physical Effects'!D164</f>
        <v>614</v>
      </c>
      <c r="D160" s="418">
        <f>VLOOKUP('Physical Effects'!F164,Lookup!$B$4:$C$14,2,FALSE)</f>
        <v>2</v>
      </c>
      <c r="E160" s="418">
        <f>VLOOKUP('Physical Effects'!H164,Lookup!$B$4:$C$14,2,FALSE)</f>
        <v>2</v>
      </c>
      <c r="F160" s="418">
        <f>VLOOKUP('Physical Effects'!J164,Lookup!$B$4:$C$14,2,FALSE)</f>
        <v>2</v>
      </c>
      <c r="G160" s="418">
        <f>VLOOKUP('Physical Effects'!L164,Lookup!$B$4:$C$14,2,FALSE)</f>
        <v>1</v>
      </c>
      <c r="H160" s="418">
        <f>VLOOKUP('Physical Effects'!N164,Lookup!$B$4:$C$14,2,FALSE)</f>
        <v>4</v>
      </c>
      <c r="I160" s="418">
        <f>VLOOKUP('Physical Effects'!P164,Lookup!$B$4:$C$14,2,FALSE)</f>
        <v>0</v>
      </c>
      <c r="J160" s="418">
        <f>VLOOKUP('Physical Effects'!R164,Lookup!$B$4:$C$14,2,FALSE)</f>
        <v>0</v>
      </c>
      <c r="K160" s="418">
        <f>VLOOKUP('Physical Effects'!T164,Lookup!$B$4:$C$14,2,FALSE)</f>
        <v>0</v>
      </c>
      <c r="L160" s="418">
        <f>VLOOKUP('Physical Effects'!V164,Lookup!$B$4:$C$14,2,FALSE)</f>
        <v>0</v>
      </c>
      <c r="M160" s="418">
        <f>VLOOKUP('Physical Effects'!X164,Lookup!$B$4:$C$14,2,FALSE)</f>
        <v>0</v>
      </c>
      <c r="N160" s="418">
        <f>VLOOKUP('Physical Effects'!Z164,Lookup!$B$4:$C$14,2,FALSE)</f>
        <v>0</v>
      </c>
      <c r="O160" s="418">
        <f>VLOOKUP('Physical Effects'!AB164,Lookup!$B$4:$C$14,2,FALSE)</f>
        <v>0</v>
      </c>
      <c r="P160" s="418">
        <f>VLOOKUP('Physical Effects'!AD164,Lookup!$B$4:$C$14,2,FALSE)</f>
        <v>0</v>
      </c>
      <c r="Q160" s="418">
        <f>VLOOKUP('Physical Effects'!AF164,Lookup!$B$4:$C$14,2,FALSE)</f>
        <v>0</v>
      </c>
      <c r="R160" s="418">
        <f>VLOOKUP('Physical Effects'!AH164,Lookup!$B$4:$C$14,2,FALSE)</f>
        <v>0</v>
      </c>
      <c r="S160" s="418">
        <f>VLOOKUP('Physical Effects'!AJ164,Lookup!$B$4:$C$14,2,FALSE)</f>
        <v>0</v>
      </c>
      <c r="T160" s="418">
        <f>VLOOKUP('Physical Effects'!AL164,Lookup!$B$4:$C$14,2,FALSE)</f>
        <v>0</v>
      </c>
      <c r="U160" s="418">
        <f>VLOOKUP('Physical Effects'!AN164,Lookup!$B$4:$C$14,2,FALSE)</f>
        <v>4</v>
      </c>
      <c r="V160" s="418">
        <f>VLOOKUP('Physical Effects'!AP164,Lookup!$B$4:$C$14,2,FALSE)</f>
        <v>0</v>
      </c>
      <c r="W160" s="418">
        <f>VLOOKUP('Physical Effects'!AR164,Lookup!$B$4:$C$14,2,FALSE)</f>
        <v>1</v>
      </c>
      <c r="X160" s="418">
        <f>VLOOKUP('Physical Effects'!AT164,Lookup!$B$4:$C$14,2,FALSE)</f>
        <v>0</v>
      </c>
      <c r="Y160" s="418">
        <f>VLOOKUP('Physical Effects'!AV164,Lookup!$B$4:$C$14,2,FALSE)</f>
        <v>2</v>
      </c>
      <c r="Z160" s="418">
        <f>VLOOKUP('Physical Effects'!AX164,Lookup!$B$4:$C$14,2,FALSE)</f>
        <v>1</v>
      </c>
      <c r="AA160" s="418">
        <f>VLOOKUP('Physical Effects'!AZ164,Lookup!$B$4:$C$14,2,FALSE)</f>
        <v>2</v>
      </c>
      <c r="AB160" s="418">
        <f>VLOOKUP('Physical Effects'!BB164,Lookup!$B$4:$C$14,2,FALSE)</f>
        <v>1</v>
      </c>
      <c r="AC160" s="418">
        <f>VLOOKUP('Physical Effects'!BD164,Lookup!$B$4:$C$14,2,FALSE)</f>
        <v>1</v>
      </c>
      <c r="AD160" s="418">
        <f>VLOOKUP('Physical Effects'!BF164,Lookup!$B$4:$C$14,2,FALSE)</f>
        <v>0</v>
      </c>
      <c r="AE160" s="418">
        <f>VLOOKUP('Physical Effects'!BH164,Lookup!$B$4:$C$14,2,FALSE)</f>
        <v>0</v>
      </c>
      <c r="AF160" s="418">
        <f>VLOOKUP('Physical Effects'!BJ164,Lookup!$B$4:$C$14,2,FALSE)</f>
        <v>0</v>
      </c>
      <c r="AG160" s="418">
        <f>VLOOKUP('Physical Effects'!BL164,Lookup!$B$4:$C$14,2,FALSE)</f>
        <v>0</v>
      </c>
      <c r="AH160" s="418">
        <f>VLOOKUP('Physical Effects'!BN164,Lookup!$B$4:$C$14,2,FALSE)</f>
        <v>0</v>
      </c>
      <c r="AI160" s="418">
        <f>VLOOKUP('Physical Effects'!BP164,Lookup!$B$4:$C$14,2,FALSE)</f>
        <v>2</v>
      </c>
      <c r="AJ160" s="418">
        <f>VLOOKUP('Physical Effects'!BR164,Lookup!$B$4:$C$14,2,FALSE)</f>
        <v>0</v>
      </c>
      <c r="AK160" s="418">
        <f>VLOOKUP('Physical Effects'!BT164,Lookup!$B$4:$C$14,2,FALSE)</f>
        <v>0</v>
      </c>
      <c r="AL160" s="418">
        <f>VLOOKUP('Physical Effects'!BV164,Lookup!$B$4:$C$14,2,FALSE)</f>
        <v>0</v>
      </c>
      <c r="AM160" s="418">
        <f>VLOOKUP('Physical Effects'!BX164,Lookup!$B$4:$C$14,2,FALSE)</f>
        <v>0</v>
      </c>
      <c r="AN160" s="418">
        <f>VLOOKUP('Physical Effects'!BZ164,Lookup!$B$4:$C$14,2,FALSE)</f>
        <v>0</v>
      </c>
      <c r="AO160" s="418">
        <f>VLOOKUP('Physical Effects'!CB164,Lookup!$B$4:$C$14,2,FALSE)</f>
        <v>5</v>
      </c>
      <c r="AP160" s="418">
        <f>VLOOKUP('Physical Effects'!CD164,Lookup!$B$4:$C$14,2,FALSE)</f>
        <v>3</v>
      </c>
      <c r="AQ160" s="418">
        <f>VLOOKUP('Physical Effects'!CF164,Lookup!$B$4:$C$14,2,FALSE)</f>
        <v>2</v>
      </c>
      <c r="AR160" s="418">
        <f>VLOOKUP('Physical Effects'!CH164,Lookup!$B$4:$C$14,2,FALSE)</f>
        <v>0</v>
      </c>
      <c r="AS160" s="418">
        <f>VLOOKUP('Physical Effects'!CJ164,Lookup!$B$4:$C$14,2,FALSE)</f>
        <v>5</v>
      </c>
      <c r="AT160" s="418">
        <f>VLOOKUP('Physical Effects'!CL164,Lookup!$B$4:$C$14,2,FALSE)</f>
        <v>0</v>
      </c>
      <c r="AU160" s="418">
        <f>VLOOKUP('Physical Effects'!CN164,Lookup!$B$4:$C$14,2,FALSE)</f>
        <v>0</v>
      </c>
      <c r="AV160" s="28"/>
      <c r="AW160" s="23"/>
      <c r="AX160" s="23"/>
      <c r="AY160" s="23"/>
      <c r="AZ160" s="23"/>
      <c r="BA160" s="23"/>
      <c r="BB160" s="23"/>
      <c r="BC160" s="23"/>
      <c r="BD160" s="23"/>
      <c r="BE160" s="23"/>
      <c r="BF160" s="23"/>
    </row>
    <row r="161" spans="1:58" s="5" customFormat="1" ht="13.5" thickBot="1" x14ac:dyDescent="0.25">
      <c r="A161" s="123">
        <f t="shared" si="2"/>
        <v>160</v>
      </c>
      <c r="B161" s="19" t="str">
        <f>+'Physical Effects'!B165</f>
        <v>Water Well</v>
      </c>
      <c r="C161" s="32">
        <f>+'Physical Effects'!D165</f>
        <v>642</v>
      </c>
      <c r="D161" s="418">
        <f>VLOOKUP('Physical Effects'!F165,Lookup!$B$4:$C$14,2,FALSE)</f>
        <v>2</v>
      </c>
      <c r="E161" s="418">
        <f>VLOOKUP('Physical Effects'!H165,Lookup!$B$4:$C$14,2,FALSE)</f>
        <v>2</v>
      </c>
      <c r="F161" s="418">
        <f>VLOOKUP('Physical Effects'!J165,Lookup!$B$4:$C$14,2,FALSE)</f>
        <v>2</v>
      </c>
      <c r="G161" s="418">
        <f>VLOOKUP('Physical Effects'!L165,Lookup!$B$4:$C$14,2,FALSE)</f>
        <v>0</v>
      </c>
      <c r="H161" s="418">
        <f>VLOOKUP('Physical Effects'!N165,Lookup!$B$4:$C$14,2,FALSE)</f>
        <v>0</v>
      </c>
      <c r="I161" s="418">
        <f>VLOOKUP('Physical Effects'!P165,Lookup!$B$4:$C$14,2,FALSE)</f>
        <v>0</v>
      </c>
      <c r="J161" s="418">
        <f>VLOOKUP('Physical Effects'!R165,Lookup!$B$4:$C$14,2,FALSE)</f>
        <v>0</v>
      </c>
      <c r="K161" s="418">
        <f>VLOOKUP('Physical Effects'!T165,Lookup!$B$4:$C$14,2,FALSE)</f>
        <v>0</v>
      </c>
      <c r="L161" s="418">
        <f>VLOOKUP('Physical Effects'!V165,Lookup!$B$4:$C$14,2,FALSE)</f>
        <v>1</v>
      </c>
      <c r="M161" s="418">
        <f>VLOOKUP('Physical Effects'!X165,Lookup!$B$4:$C$14,2,FALSE)</f>
        <v>0</v>
      </c>
      <c r="N161" s="418">
        <f>VLOOKUP('Physical Effects'!Z165,Lookup!$B$4:$C$14,2,FALSE)</f>
        <v>0</v>
      </c>
      <c r="O161" s="418">
        <f>VLOOKUP('Physical Effects'!AB165,Lookup!$B$4:$C$14,2,FALSE)</f>
        <v>2</v>
      </c>
      <c r="P161" s="418">
        <f>VLOOKUP('Physical Effects'!AD165,Lookup!$B$4:$C$14,2,FALSE)</f>
        <v>0</v>
      </c>
      <c r="Q161" s="418">
        <f>VLOOKUP('Physical Effects'!AF165,Lookup!$B$4:$C$14,2,FALSE)</f>
        <v>2</v>
      </c>
      <c r="R161" s="418">
        <f>VLOOKUP('Physical Effects'!AH165,Lookup!$B$4:$C$14,2,FALSE)</f>
        <v>0</v>
      </c>
      <c r="S161" s="418">
        <f>VLOOKUP('Physical Effects'!AJ165,Lookup!$B$4:$C$14,2,FALSE)</f>
        <v>0</v>
      </c>
      <c r="T161" s="418">
        <f>VLOOKUP('Physical Effects'!AL165,Lookup!$B$4:$C$14,2,FALSE)</f>
        <v>0</v>
      </c>
      <c r="U161" s="418">
        <f>VLOOKUP('Physical Effects'!AN165,Lookup!$B$4:$C$14,2,FALSE)</f>
        <v>0</v>
      </c>
      <c r="V161" s="418">
        <f>VLOOKUP('Physical Effects'!AP165,Lookup!$B$4:$C$14,2,FALSE)</f>
        <v>0</v>
      </c>
      <c r="W161" s="418">
        <f>VLOOKUP('Physical Effects'!AR165,Lookup!$B$4:$C$14,2,FALSE)</f>
        <v>0</v>
      </c>
      <c r="X161" s="418">
        <f>VLOOKUP('Physical Effects'!AT165,Lookup!$B$4:$C$14,2,FALSE)</f>
        <v>0</v>
      </c>
      <c r="Y161" s="418">
        <f>VLOOKUP('Physical Effects'!AV165,Lookup!$B$4:$C$14,2,FALSE)</f>
        <v>-1</v>
      </c>
      <c r="Z161" s="418">
        <f>VLOOKUP('Physical Effects'!AX165,Lookup!$B$4:$C$14,2,FALSE)</f>
        <v>0</v>
      </c>
      <c r="AA161" s="418">
        <f>VLOOKUP('Physical Effects'!AZ165,Lookup!$B$4:$C$14,2,FALSE)</f>
        <v>0</v>
      </c>
      <c r="AB161" s="418">
        <f>VLOOKUP('Physical Effects'!BB165,Lookup!$B$4:$C$14,2,FALSE)</f>
        <v>0</v>
      </c>
      <c r="AC161" s="418">
        <f>VLOOKUP('Physical Effects'!BD165,Lookup!$B$4:$C$14,2,FALSE)</f>
        <v>0</v>
      </c>
      <c r="AD161" s="418">
        <f>VLOOKUP('Physical Effects'!BF165,Lookup!$B$4:$C$14,2,FALSE)</f>
        <v>0</v>
      </c>
      <c r="AE161" s="418">
        <f>VLOOKUP('Physical Effects'!BH165,Lookup!$B$4:$C$14,2,FALSE)</f>
        <v>0</v>
      </c>
      <c r="AF161" s="418">
        <f>VLOOKUP('Physical Effects'!BJ165,Lookup!$B$4:$C$14,2,FALSE)</f>
        <v>0</v>
      </c>
      <c r="AG161" s="418">
        <f>VLOOKUP('Physical Effects'!BL165,Lookup!$B$4:$C$14,2,FALSE)</f>
        <v>0</v>
      </c>
      <c r="AH161" s="418">
        <f>VLOOKUP('Physical Effects'!BN165,Lookup!$B$4:$C$14,2,FALSE)</f>
        <v>0</v>
      </c>
      <c r="AI161" s="418">
        <f>VLOOKUP('Physical Effects'!BP165,Lookup!$B$4:$C$14,2,FALSE)</f>
        <v>1</v>
      </c>
      <c r="AJ161" s="418">
        <f>VLOOKUP('Physical Effects'!BR165,Lookup!$B$4:$C$14,2,FALSE)</f>
        <v>0</v>
      </c>
      <c r="AK161" s="418">
        <f>VLOOKUP('Physical Effects'!BT165,Lookup!$B$4:$C$14,2,FALSE)</f>
        <v>0</v>
      </c>
      <c r="AL161" s="418">
        <f>VLOOKUP('Physical Effects'!BV165,Lookup!$B$4:$C$14,2,FALSE)</f>
        <v>0</v>
      </c>
      <c r="AM161" s="418">
        <f>VLOOKUP('Physical Effects'!BX165,Lookup!$B$4:$C$14,2,FALSE)</f>
        <v>0</v>
      </c>
      <c r="AN161" s="418">
        <f>VLOOKUP('Physical Effects'!BZ165,Lookup!$B$4:$C$14,2,FALSE)</f>
        <v>0</v>
      </c>
      <c r="AO161" s="418">
        <f>VLOOKUP('Physical Effects'!CB165,Lookup!$B$4:$C$14,2,FALSE)</f>
        <v>2</v>
      </c>
      <c r="AP161" s="418">
        <f>VLOOKUP('Physical Effects'!CD165,Lookup!$B$4:$C$14,2,FALSE)</f>
        <v>0</v>
      </c>
      <c r="AQ161" s="418">
        <f>VLOOKUP('Physical Effects'!CF165,Lookup!$B$4:$C$14,2,FALSE)</f>
        <v>2</v>
      </c>
      <c r="AR161" s="418">
        <f>VLOOKUP('Physical Effects'!CH165,Lookup!$B$4:$C$14,2,FALSE)</f>
        <v>0</v>
      </c>
      <c r="AS161" s="418">
        <f>VLOOKUP('Physical Effects'!CJ165,Lookup!$B$4:$C$14,2,FALSE)</f>
        <v>5</v>
      </c>
      <c r="AT161" s="418">
        <f>VLOOKUP('Physical Effects'!CL165,Lookup!$B$4:$C$14,2,FALSE)</f>
        <v>0</v>
      </c>
      <c r="AU161" s="418">
        <f>VLOOKUP('Physical Effects'!CN165,Lookup!$B$4:$C$14,2,FALSE)</f>
        <v>0</v>
      </c>
      <c r="AV161" s="28"/>
      <c r="AW161" s="23"/>
      <c r="AX161" s="23"/>
      <c r="AY161" s="23"/>
      <c r="AZ161" s="23"/>
      <c r="BA161" s="23"/>
      <c r="BB161" s="23"/>
      <c r="BC161" s="23"/>
      <c r="BD161" s="23"/>
      <c r="BE161" s="23"/>
      <c r="BF161" s="23"/>
    </row>
    <row r="162" spans="1:58" s="5" customFormat="1" ht="13.5" thickBot="1" x14ac:dyDescent="0.25">
      <c r="A162" s="123">
        <f t="shared" si="2"/>
        <v>161</v>
      </c>
      <c r="B162" s="19" t="str">
        <f>+'Physical Effects'!B166</f>
        <v>Waterspreading</v>
      </c>
      <c r="C162" s="32">
        <f>+'Physical Effects'!D166</f>
        <v>640</v>
      </c>
      <c r="D162" s="418">
        <f>VLOOKUP('Physical Effects'!F166,Lookup!$B$4:$C$14,2,FALSE)</f>
        <v>0</v>
      </c>
      <c r="E162" s="418">
        <f>VLOOKUP('Physical Effects'!H166,Lookup!$B$4:$C$14,2,FALSE)</f>
        <v>0</v>
      </c>
      <c r="F162" s="418">
        <f>VLOOKUP('Physical Effects'!J166,Lookup!$B$4:$C$14,2,FALSE)</f>
        <v>0</v>
      </c>
      <c r="G162" s="418">
        <f>VLOOKUP('Physical Effects'!L166,Lookup!$B$4:$C$14,2,FALSE)</f>
        <v>-1</v>
      </c>
      <c r="H162" s="418">
        <f>VLOOKUP('Physical Effects'!N166,Lookup!$B$4:$C$14,2,FALSE)</f>
        <v>0</v>
      </c>
      <c r="I162" s="418">
        <f>VLOOKUP('Physical Effects'!P166,Lookup!$B$4:$C$14,2,FALSE)</f>
        <v>1</v>
      </c>
      <c r="J162" s="418">
        <f>VLOOKUP('Physical Effects'!R166,Lookup!$B$4:$C$14,2,FALSE)</f>
        <v>0</v>
      </c>
      <c r="K162" s="418">
        <f>VLOOKUP('Physical Effects'!T166,Lookup!$B$4:$C$14,2,FALSE)</f>
        <v>0</v>
      </c>
      <c r="L162" s="418">
        <f>VLOOKUP('Physical Effects'!V166,Lookup!$B$4:$C$14,2,FALSE)</f>
        <v>1</v>
      </c>
      <c r="M162" s="418">
        <f>VLOOKUP('Physical Effects'!X166,Lookup!$B$4:$C$14,2,FALSE)</f>
        <v>0</v>
      </c>
      <c r="N162" s="418">
        <f>VLOOKUP('Physical Effects'!Z166,Lookup!$B$4:$C$14,2,FALSE)</f>
        <v>1</v>
      </c>
      <c r="O162" s="418">
        <f>VLOOKUP('Physical Effects'!AB166,Lookup!$B$4:$C$14,2,FALSE)</f>
        <v>-1</v>
      </c>
      <c r="P162" s="418">
        <f>VLOOKUP('Physical Effects'!AD166,Lookup!$B$4:$C$14,2,FALSE)</f>
        <v>0</v>
      </c>
      <c r="Q162" s="418">
        <f>VLOOKUP('Physical Effects'!AF166,Lookup!$B$4:$C$14,2,FALSE)</f>
        <v>1</v>
      </c>
      <c r="R162" s="418">
        <f>VLOOKUP('Physical Effects'!AH166,Lookup!$B$4:$C$14,2,FALSE)</f>
        <v>2</v>
      </c>
      <c r="S162" s="418">
        <f>VLOOKUP('Physical Effects'!AJ166,Lookup!$B$4:$C$14,2,FALSE)</f>
        <v>1</v>
      </c>
      <c r="T162" s="418">
        <f>VLOOKUP('Physical Effects'!AL166,Lookup!$B$4:$C$14,2,FALSE)</f>
        <v>-1</v>
      </c>
      <c r="U162" s="418">
        <f>VLOOKUP('Physical Effects'!AN166,Lookup!$B$4:$C$14,2,FALSE)</f>
        <v>2</v>
      </c>
      <c r="V162" s="418">
        <f>VLOOKUP('Physical Effects'!AP166,Lookup!$B$4:$C$14,2,FALSE)</f>
        <v>-1</v>
      </c>
      <c r="W162" s="418">
        <f>VLOOKUP('Physical Effects'!AR166,Lookup!$B$4:$C$14,2,FALSE)</f>
        <v>1</v>
      </c>
      <c r="X162" s="418">
        <f>VLOOKUP('Physical Effects'!AT166,Lookup!$B$4:$C$14,2,FALSE)</f>
        <v>-1</v>
      </c>
      <c r="Y162" s="418">
        <f>VLOOKUP('Physical Effects'!AV166,Lookup!$B$4:$C$14,2,FALSE)</f>
        <v>0</v>
      </c>
      <c r="Z162" s="418">
        <f>VLOOKUP('Physical Effects'!AX166,Lookup!$B$4:$C$14,2,FALSE)</f>
        <v>-1</v>
      </c>
      <c r="AA162" s="418">
        <f>VLOOKUP('Physical Effects'!AZ166,Lookup!$B$4:$C$14,2,FALSE)</f>
        <v>0</v>
      </c>
      <c r="AB162" s="418">
        <f>VLOOKUP('Physical Effects'!BB166,Lookup!$B$4:$C$14,2,FALSE)</f>
        <v>0</v>
      </c>
      <c r="AC162" s="418">
        <f>VLOOKUP('Physical Effects'!BD166,Lookup!$B$4:$C$14,2,FALSE)</f>
        <v>1</v>
      </c>
      <c r="AD162" s="418">
        <f>VLOOKUP('Physical Effects'!BF166,Lookup!$B$4:$C$14,2,FALSE)</f>
        <v>-1</v>
      </c>
      <c r="AE162" s="418">
        <f>VLOOKUP('Physical Effects'!BH166,Lookup!$B$4:$C$14,2,FALSE)</f>
        <v>0</v>
      </c>
      <c r="AF162" s="418">
        <f>VLOOKUP('Physical Effects'!BJ166,Lookup!$B$4:$C$14,2,FALSE)</f>
        <v>0</v>
      </c>
      <c r="AG162" s="418">
        <f>VLOOKUP('Physical Effects'!BL166,Lookup!$B$4:$C$14,2,FALSE)</f>
        <v>0</v>
      </c>
      <c r="AH162" s="418">
        <f>VLOOKUP('Physical Effects'!BN166,Lookup!$B$4:$C$14,2,FALSE)</f>
        <v>0</v>
      </c>
      <c r="AI162" s="418">
        <f>VLOOKUP('Physical Effects'!BP166,Lookup!$B$4:$C$14,2,FALSE)</f>
        <v>2</v>
      </c>
      <c r="AJ162" s="418">
        <f>VLOOKUP('Physical Effects'!BR166,Lookup!$B$4:$C$14,2,FALSE)</f>
        <v>0</v>
      </c>
      <c r="AK162" s="418">
        <f>VLOOKUP('Physical Effects'!BT166,Lookup!$B$4:$C$14,2,FALSE)</f>
        <v>1</v>
      </c>
      <c r="AL162" s="418">
        <f>VLOOKUP('Physical Effects'!BV166,Lookup!$B$4:$C$14,2,FALSE)</f>
        <v>0</v>
      </c>
      <c r="AM162" s="418">
        <f>VLOOKUP('Physical Effects'!BX166,Lookup!$B$4:$C$14,2,FALSE)</f>
        <v>2</v>
      </c>
      <c r="AN162" s="418">
        <f>VLOOKUP('Physical Effects'!BZ166,Lookup!$B$4:$C$14,2,FALSE)</f>
        <v>2</v>
      </c>
      <c r="AO162" s="418">
        <f>VLOOKUP('Physical Effects'!CB166,Lookup!$B$4:$C$14,2,FALSE)</f>
        <v>1</v>
      </c>
      <c r="AP162" s="418">
        <f>VLOOKUP('Physical Effects'!CD166,Lookup!$B$4:$C$14,2,FALSE)</f>
        <v>0</v>
      </c>
      <c r="AQ162" s="418">
        <f>VLOOKUP('Physical Effects'!CF166,Lookup!$B$4:$C$14,2,FALSE)</f>
        <v>4</v>
      </c>
      <c r="AR162" s="418">
        <f>VLOOKUP('Physical Effects'!CH166,Lookup!$B$4:$C$14,2,FALSE)</f>
        <v>0</v>
      </c>
      <c r="AS162" s="418">
        <f>VLOOKUP('Physical Effects'!CJ166,Lookup!$B$4:$C$14,2,FALSE)</f>
        <v>0</v>
      </c>
      <c r="AT162" s="418">
        <f>VLOOKUP('Physical Effects'!CL166,Lookup!$B$4:$C$14,2,FALSE)</f>
        <v>0</v>
      </c>
      <c r="AU162" s="418">
        <f>VLOOKUP('Physical Effects'!CN166,Lookup!$B$4:$C$14,2,FALSE)</f>
        <v>0</v>
      </c>
      <c r="AV162" s="28"/>
      <c r="AW162" s="23"/>
      <c r="AX162" s="23"/>
      <c r="AY162" s="23"/>
      <c r="AZ162" s="23"/>
      <c r="BA162" s="23"/>
      <c r="BB162" s="23"/>
      <c r="BC162" s="23"/>
      <c r="BD162" s="23"/>
      <c r="BE162" s="23"/>
      <c r="BF162" s="23"/>
    </row>
    <row r="163" spans="1:58" s="5" customFormat="1" ht="13.5" thickBot="1" x14ac:dyDescent="0.25">
      <c r="A163" s="123">
        <f t="shared" si="2"/>
        <v>162</v>
      </c>
      <c r="B163" s="19" t="str">
        <f>+'Physical Effects'!B167</f>
        <v>Well Decommissioning</v>
      </c>
      <c r="C163" s="32">
        <f>+'Physical Effects'!D167</f>
        <v>351</v>
      </c>
      <c r="D163" s="418">
        <f>VLOOKUP('Physical Effects'!F167,Lookup!$B$4:$C$14,2,FALSE)</f>
        <v>0</v>
      </c>
      <c r="E163" s="418">
        <f>VLOOKUP('Physical Effects'!H167,Lookup!$B$4:$C$14,2,FALSE)</f>
        <v>0</v>
      </c>
      <c r="F163" s="418">
        <f>VLOOKUP('Physical Effects'!J167,Lookup!$B$4:$C$14,2,FALSE)</f>
        <v>0</v>
      </c>
      <c r="G163" s="418">
        <f>VLOOKUP('Physical Effects'!L167,Lookup!$B$4:$C$14,2,FALSE)</f>
        <v>0</v>
      </c>
      <c r="H163" s="418">
        <f>VLOOKUP('Physical Effects'!N167,Lookup!$B$4:$C$14,2,FALSE)</f>
        <v>0</v>
      </c>
      <c r="I163" s="418">
        <f>VLOOKUP('Physical Effects'!P167,Lookup!$B$4:$C$14,2,FALSE)</f>
        <v>0</v>
      </c>
      <c r="J163" s="418">
        <f>VLOOKUP('Physical Effects'!R167,Lookup!$B$4:$C$14,2,FALSE)</f>
        <v>0</v>
      </c>
      <c r="K163" s="418">
        <f>VLOOKUP('Physical Effects'!T167,Lookup!$B$4:$C$14,2,FALSE)</f>
        <v>0</v>
      </c>
      <c r="L163" s="418">
        <f>VLOOKUP('Physical Effects'!V167,Lookup!$B$4:$C$14,2,FALSE)</f>
        <v>0</v>
      </c>
      <c r="M163" s="418">
        <f>VLOOKUP('Physical Effects'!X167,Lookup!$B$4:$C$14,2,FALSE)</f>
        <v>0</v>
      </c>
      <c r="N163" s="418">
        <f>VLOOKUP('Physical Effects'!Z167,Lookup!$B$4:$C$14,2,FALSE)</f>
        <v>0</v>
      </c>
      <c r="O163" s="418">
        <f>VLOOKUP('Physical Effects'!AB167,Lookup!$B$4:$C$14,2,FALSE)</f>
        <v>0</v>
      </c>
      <c r="P163" s="418">
        <f>VLOOKUP('Physical Effects'!AD167,Lookup!$B$4:$C$14,2,FALSE)</f>
        <v>0</v>
      </c>
      <c r="Q163" s="418">
        <f>VLOOKUP('Physical Effects'!AF167,Lookup!$B$4:$C$14,2,FALSE)</f>
        <v>0</v>
      </c>
      <c r="R163" s="418">
        <f>VLOOKUP('Physical Effects'!AH167,Lookup!$B$4:$C$14,2,FALSE)</f>
        <v>0</v>
      </c>
      <c r="S163" s="418">
        <f>VLOOKUP('Physical Effects'!AJ167,Lookup!$B$4:$C$14,2,FALSE)</f>
        <v>0</v>
      </c>
      <c r="T163" s="418">
        <f>VLOOKUP('Physical Effects'!AL167,Lookup!$B$4:$C$14,2,FALSE)</f>
        <v>2</v>
      </c>
      <c r="U163" s="418">
        <f>VLOOKUP('Physical Effects'!AN167,Lookup!$B$4:$C$14,2,FALSE)</f>
        <v>0</v>
      </c>
      <c r="V163" s="418">
        <f>VLOOKUP('Physical Effects'!AP167,Lookup!$B$4:$C$14,2,FALSE)</f>
        <v>2</v>
      </c>
      <c r="W163" s="418">
        <f>VLOOKUP('Physical Effects'!AR167,Lookup!$B$4:$C$14,2,FALSE)</f>
        <v>0</v>
      </c>
      <c r="X163" s="418">
        <f>VLOOKUP('Physical Effects'!AT167,Lookup!$B$4:$C$14,2,FALSE)</f>
        <v>2</v>
      </c>
      <c r="Y163" s="418">
        <f>VLOOKUP('Physical Effects'!AV167,Lookup!$B$4:$C$14,2,FALSE)</f>
        <v>0</v>
      </c>
      <c r="Z163" s="418">
        <f>VLOOKUP('Physical Effects'!AX167,Lookup!$B$4:$C$14,2,FALSE)</f>
        <v>2</v>
      </c>
      <c r="AA163" s="418">
        <f>VLOOKUP('Physical Effects'!AZ167,Lookup!$B$4:$C$14,2,FALSE)</f>
        <v>0</v>
      </c>
      <c r="AB163" s="418">
        <f>VLOOKUP('Physical Effects'!BB167,Lookup!$B$4:$C$14,2,FALSE)</f>
        <v>0</v>
      </c>
      <c r="AC163" s="418">
        <f>VLOOKUP('Physical Effects'!BD167,Lookup!$B$4:$C$14,2,FALSE)</f>
        <v>0</v>
      </c>
      <c r="AD163" s="418">
        <f>VLOOKUP('Physical Effects'!BF167,Lookup!$B$4:$C$14,2,FALSE)</f>
        <v>2</v>
      </c>
      <c r="AE163" s="418">
        <f>VLOOKUP('Physical Effects'!BH167,Lookup!$B$4:$C$14,2,FALSE)</f>
        <v>0</v>
      </c>
      <c r="AF163" s="418">
        <f>VLOOKUP('Physical Effects'!BJ167,Lookup!$B$4:$C$14,2,FALSE)</f>
        <v>0</v>
      </c>
      <c r="AG163" s="418">
        <f>VLOOKUP('Physical Effects'!BL167,Lookup!$B$4:$C$14,2,FALSE)</f>
        <v>0</v>
      </c>
      <c r="AH163" s="418">
        <f>VLOOKUP('Physical Effects'!BN167,Lookup!$B$4:$C$14,2,FALSE)</f>
        <v>0</v>
      </c>
      <c r="AI163" s="418">
        <f>VLOOKUP('Physical Effects'!BP167,Lookup!$B$4:$C$14,2,FALSE)</f>
        <v>0</v>
      </c>
      <c r="AJ163" s="418">
        <f>VLOOKUP('Physical Effects'!BR167,Lookup!$B$4:$C$14,2,FALSE)</f>
        <v>0</v>
      </c>
      <c r="AK163" s="418">
        <f>VLOOKUP('Physical Effects'!BT167,Lookup!$B$4:$C$14,2,FALSE)</f>
        <v>0</v>
      </c>
      <c r="AL163" s="418">
        <f>VLOOKUP('Physical Effects'!BV167,Lookup!$B$4:$C$14,2,FALSE)</f>
        <v>0</v>
      </c>
      <c r="AM163" s="418">
        <f>VLOOKUP('Physical Effects'!BX167,Lookup!$B$4:$C$14,2,FALSE)</f>
        <v>0</v>
      </c>
      <c r="AN163" s="418">
        <f>VLOOKUP('Physical Effects'!BZ167,Lookup!$B$4:$C$14,2,FALSE)</f>
        <v>0</v>
      </c>
      <c r="AO163" s="418">
        <f>VLOOKUP('Physical Effects'!CB167,Lookup!$B$4:$C$14,2,FALSE)</f>
        <v>0</v>
      </c>
      <c r="AP163" s="418">
        <f>VLOOKUP('Physical Effects'!CD167,Lookup!$B$4:$C$14,2,FALSE)</f>
        <v>0</v>
      </c>
      <c r="AQ163" s="418">
        <f>VLOOKUP('Physical Effects'!CF167,Lookup!$B$4:$C$14,2,FALSE)</f>
        <v>0</v>
      </c>
      <c r="AR163" s="418">
        <f>VLOOKUP('Physical Effects'!CH167,Lookup!$B$4:$C$14,2,FALSE)</f>
        <v>0</v>
      </c>
      <c r="AS163" s="418">
        <f>VLOOKUP('Physical Effects'!CJ167,Lookup!$B$4:$C$14,2,FALSE)</f>
        <v>0</v>
      </c>
      <c r="AT163" s="418">
        <f>VLOOKUP('Physical Effects'!CL167,Lookup!$B$4:$C$14,2,FALSE)</f>
        <v>0</v>
      </c>
      <c r="AU163" s="418">
        <f>VLOOKUP('Physical Effects'!CN167,Lookup!$B$4:$C$14,2,FALSE)</f>
        <v>0</v>
      </c>
      <c r="AV163" s="28"/>
      <c r="AW163" s="23"/>
      <c r="AX163" s="23"/>
      <c r="AY163" s="23"/>
      <c r="AZ163" s="23"/>
      <c r="BA163" s="23"/>
      <c r="BB163" s="23"/>
      <c r="BC163" s="23"/>
      <c r="BD163" s="23"/>
      <c r="BE163" s="23"/>
      <c r="BF163" s="23"/>
    </row>
    <row r="164" spans="1:58" s="5" customFormat="1" ht="13.5" thickBot="1" x14ac:dyDescent="0.25">
      <c r="A164" s="123">
        <f t="shared" si="2"/>
        <v>163</v>
      </c>
      <c r="B164" s="19" t="str">
        <f>+'Physical Effects'!B168</f>
        <v>Wetland Creation</v>
      </c>
      <c r="C164" s="32">
        <f>+'Physical Effects'!D168</f>
        <v>658</v>
      </c>
      <c r="D164" s="418">
        <f>VLOOKUP('Physical Effects'!F168,Lookup!$B$4:$C$14,2,FALSE)</f>
        <v>0</v>
      </c>
      <c r="E164" s="418">
        <f>VLOOKUP('Physical Effects'!H168,Lookup!$B$4:$C$14,2,FALSE)</f>
        <v>0</v>
      </c>
      <c r="F164" s="418">
        <f>VLOOKUP('Physical Effects'!J168,Lookup!$B$4:$C$14,2,FALSE)</f>
        <v>0</v>
      </c>
      <c r="G164" s="418">
        <f>VLOOKUP('Physical Effects'!L168,Lookup!$B$4:$C$14,2,FALSE)</f>
        <v>0</v>
      </c>
      <c r="H164" s="418">
        <f>VLOOKUP('Physical Effects'!N168,Lookup!$B$4:$C$14,2,FALSE)</f>
        <v>0</v>
      </c>
      <c r="I164" s="418">
        <f>VLOOKUP('Physical Effects'!P168,Lookup!$B$4:$C$14,2,FALSE)</f>
        <v>2</v>
      </c>
      <c r="J164" s="418">
        <f>VLOOKUP('Physical Effects'!R168,Lookup!$B$4:$C$14,2,FALSE)</f>
        <v>0</v>
      </c>
      <c r="K164" s="418">
        <f>VLOOKUP('Physical Effects'!T168,Lookup!$B$4:$C$14,2,FALSE)</f>
        <v>0</v>
      </c>
      <c r="L164" s="418">
        <f>VLOOKUP('Physical Effects'!V168,Lookup!$B$4:$C$14,2,FALSE)</f>
        <v>0</v>
      </c>
      <c r="M164" s="418">
        <f>VLOOKUP('Physical Effects'!X168,Lookup!$B$4:$C$14,2,FALSE)</f>
        <v>0</v>
      </c>
      <c r="N164" s="418">
        <f>VLOOKUP('Physical Effects'!Z168,Lookup!$B$4:$C$14,2,FALSE)</f>
        <v>2</v>
      </c>
      <c r="O164" s="418">
        <f>VLOOKUP('Physical Effects'!AB168,Lookup!$B$4:$C$14,2,FALSE)</f>
        <v>-1</v>
      </c>
      <c r="P164" s="418">
        <f>VLOOKUP('Physical Effects'!AD168,Lookup!$B$4:$C$14,2,FALSE)</f>
        <v>0</v>
      </c>
      <c r="Q164" s="418">
        <f>VLOOKUP('Physical Effects'!AF168,Lookup!$B$4:$C$14,2,FALSE)</f>
        <v>0</v>
      </c>
      <c r="R164" s="418">
        <f>VLOOKUP('Physical Effects'!AH168,Lookup!$B$4:$C$14,2,FALSE)</f>
        <v>0</v>
      </c>
      <c r="S164" s="418">
        <f>VLOOKUP('Physical Effects'!AJ168,Lookup!$B$4:$C$14,2,FALSE)</f>
        <v>1</v>
      </c>
      <c r="T164" s="418">
        <f>VLOOKUP('Physical Effects'!AL168,Lookup!$B$4:$C$14,2,FALSE)</f>
        <v>1</v>
      </c>
      <c r="U164" s="418">
        <f>VLOOKUP('Physical Effects'!AN168,Lookup!$B$4:$C$14,2,FALSE)</f>
        <v>3</v>
      </c>
      <c r="V164" s="418">
        <f>VLOOKUP('Physical Effects'!AP168,Lookup!$B$4:$C$14,2,FALSE)</f>
        <v>1</v>
      </c>
      <c r="W164" s="418">
        <f>VLOOKUP('Physical Effects'!AR168,Lookup!$B$4:$C$14,2,FALSE)</f>
        <v>1</v>
      </c>
      <c r="X164" s="418">
        <f>VLOOKUP('Physical Effects'!AT168,Lookup!$B$4:$C$14,2,FALSE)</f>
        <v>0</v>
      </c>
      <c r="Y164" s="418">
        <f>VLOOKUP('Physical Effects'!AV168,Lookup!$B$4:$C$14,2,FALSE)</f>
        <v>1</v>
      </c>
      <c r="Z164" s="418">
        <f>VLOOKUP('Physical Effects'!AX168,Lookup!$B$4:$C$14,2,FALSE)</f>
        <v>0</v>
      </c>
      <c r="AA164" s="418">
        <f>VLOOKUP('Physical Effects'!AZ168,Lookup!$B$4:$C$14,2,FALSE)</f>
        <v>2</v>
      </c>
      <c r="AB164" s="418">
        <f>VLOOKUP('Physical Effects'!BB168,Lookup!$B$4:$C$14,2,FALSE)</f>
        <v>0</v>
      </c>
      <c r="AC164" s="418">
        <f>VLOOKUP('Physical Effects'!BD168,Lookup!$B$4:$C$14,2,FALSE)</f>
        <v>2</v>
      </c>
      <c r="AD164" s="418">
        <f>VLOOKUP('Physical Effects'!BF168,Lookup!$B$4:$C$14,2,FALSE)</f>
        <v>0</v>
      </c>
      <c r="AE164" s="418">
        <f>VLOOKUP('Physical Effects'!BH168,Lookup!$B$4:$C$14,2,FALSE)</f>
        <v>0</v>
      </c>
      <c r="AF164" s="418">
        <f>VLOOKUP('Physical Effects'!BJ168,Lookup!$B$4:$C$14,2,FALSE)</f>
        <v>0</v>
      </c>
      <c r="AG164" s="418">
        <f>VLOOKUP('Physical Effects'!BL168,Lookup!$B$4:$C$14,2,FALSE)</f>
        <v>1</v>
      </c>
      <c r="AH164" s="418">
        <f>VLOOKUP('Physical Effects'!BN168,Lookup!$B$4:$C$14,2,FALSE)</f>
        <v>-1</v>
      </c>
      <c r="AI164" s="418">
        <f>VLOOKUP('Physical Effects'!BP168,Lookup!$B$4:$C$14,2,FALSE)</f>
        <v>4</v>
      </c>
      <c r="AJ164" s="418">
        <f>VLOOKUP('Physical Effects'!BR168,Lookup!$B$4:$C$14,2,FALSE)</f>
        <v>4</v>
      </c>
      <c r="AK164" s="418">
        <f>VLOOKUP('Physical Effects'!BT168,Lookup!$B$4:$C$14,2,FALSE)</f>
        <v>4</v>
      </c>
      <c r="AL164" s="418">
        <f>VLOOKUP('Physical Effects'!BV168,Lookup!$B$4:$C$14,2,FALSE)</f>
        <v>0</v>
      </c>
      <c r="AM164" s="418">
        <f>VLOOKUP('Physical Effects'!BX168,Lookup!$B$4:$C$14,2,FALSE)</f>
        <v>5</v>
      </c>
      <c r="AN164" s="418">
        <f>VLOOKUP('Physical Effects'!BZ168,Lookup!$B$4:$C$14,2,FALSE)</f>
        <v>5</v>
      </c>
      <c r="AO164" s="418">
        <f>VLOOKUP('Physical Effects'!CB168,Lookup!$B$4:$C$14,2,FALSE)</f>
        <v>2</v>
      </c>
      <c r="AP164" s="418">
        <f>VLOOKUP('Physical Effects'!CD168,Lookup!$B$4:$C$14,2,FALSE)</f>
        <v>4</v>
      </c>
      <c r="AQ164" s="418">
        <f>VLOOKUP('Physical Effects'!CF168,Lookup!$B$4:$C$14,2,FALSE)</f>
        <v>2</v>
      </c>
      <c r="AR164" s="418">
        <f>VLOOKUP('Physical Effects'!CH168,Lookup!$B$4:$C$14,2,FALSE)</f>
        <v>0</v>
      </c>
      <c r="AS164" s="418">
        <f>VLOOKUP('Physical Effects'!CJ168,Lookup!$B$4:$C$14,2,FALSE)</f>
        <v>0</v>
      </c>
      <c r="AT164" s="418">
        <f>VLOOKUP('Physical Effects'!CL168,Lookup!$B$4:$C$14,2,FALSE)</f>
        <v>0</v>
      </c>
      <c r="AU164" s="418">
        <f>VLOOKUP('Physical Effects'!CN168,Lookup!$B$4:$C$14,2,FALSE)</f>
        <v>0</v>
      </c>
      <c r="AV164" s="28"/>
      <c r="AW164" s="23"/>
      <c r="AX164" s="23"/>
      <c r="AY164" s="23"/>
      <c r="AZ164" s="23"/>
      <c r="BA164" s="23"/>
      <c r="BB164" s="23"/>
      <c r="BC164" s="23"/>
      <c r="BD164" s="23"/>
      <c r="BE164" s="23"/>
      <c r="BF164" s="23"/>
    </row>
    <row r="165" spans="1:58" ht="13.5" thickBot="1" x14ac:dyDescent="0.25">
      <c r="A165" s="123">
        <f t="shared" si="2"/>
        <v>164</v>
      </c>
      <c r="B165" s="19" t="str">
        <f>+'Physical Effects'!B169</f>
        <v>Wetland Enhancement</v>
      </c>
      <c r="C165" s="32">
        <f>+'Physical Effects'!D169</f>
        <v>659</v>
      </c>
      <c r="D165" s="418">
        <f>VLOOKUP('Physical Effects'!F169,Lookup!$B$4:$C$14,2,FALSE)</f>
        <v>0</v>
      </c>
      <c r="E165" s="418">
        <f>VLOOKUP('Physical Effects'!H169,Lookup!$B$4:$C$14,2,FALSE)</f>
        <v>0</v>
      </c>
      <c r="F165" s="418">
        <f>VLOOKUP('Physical Effects'!J169,Lookup!$B$4:$C$14,2,FALSE)</f>
        <v>0</v>
      </c>
      <c r="G165" s="418">
        <f>VLOOKUP('Physical Effects'!L169,Lookup!$B$4:$C$14,2,FALSE)</f>
        <v>0</v>
      </c>
      <c r="H165" s="418">
        <f>VLOOKUP('Physical Effects'!N169,Lookup!$B$4:$C$14,2,FALSE)</f>
        <v>0</v>
      </c>
      <c r="I165" s="418">
        <f>VLOOKUP('Physical Effects'!P169,Lookup!$B$4:$C$14,2,FALSE)</f>
        <v>1</v>
      </c>
      <c r="J165" s="418">
        <f>VLOOKUP('Physical Effects'!R169,Lookup!$B$4:$C$14,2,FALSE)</f>
        <v>0</v>
      </c>
      <c r="K165" s="418">
        <f>VLOOKUP('Physical Effects'!T169,Lookup!$B$4:$C$14,2,FALSE)</f>
        <v>0</v>
      </c>
      <c r="L165" s="418">
        <f>VLOOKUP('Physical Effects'!V169,Lookup!$B$4:$C$14,2,FALSE)</f>
        <v>0</v>
      </c>
      <c r="M165" s="418">
        <f>VLOOKUP('Physical Effects'!X169,Lookup!$B$4:$C$14,2,FALSE)</f>
        <v>0</v>
      </c>
      <c r="N165" s="418">
        <f>VLOOKUP('Physical Effects'!Z169,Lookup!$B$4:$C$14,2,FALSE)</f>
        <v>2</v>
      </c>
      <c r="O165" s="418">
        <f>VLOOKUP('Physical Effects'!AB169,Lookup!$B$4:$C$14,2,FALSE)</f>
        <v>0</v>
      </c>
      <c r="P165" s="418">
        <f>VLOOKUP('Physical Effects'!AD169,Lookup!$B$4:$C$14,2,FALSE)</f>
        <v>0</v>
      </c>
      <c r="Q165" s="418">
        <f>VLOOKUP('Physical Effects'!AF169,Lookup!$B$4:$C$14,2,FALSE)</f>
        <v>0</v>
      </c>
      <c r="R165" s="418">
        <f>VLOOKUP('Physical Effects'!AH169,Lookup!$B$4:$C$14,2,FALSE)</f>
        <v>0</v>
      </c>
      <c r="S165" s="418">
        <f>VLOOKUP('Physical Effects'!AJ169,Lookup!$B$4:$C$14,2,FALSE)</f>
        <v>1</v>
      </c>
      <c r="T165" s="418">
        <f>VLOOKUP('Physical Effects'!AL169,Lookup!$B$4:$C$14,2,FALSE)</f>
        <v>1</v>
      </c>
      <c r="U165" s="418">
        <f>VLOOKUP('Physical Effects'!AN169,Lookup!$B$4:$C$14,2,FALSE)</f>
        <v>3</v>
      </c>
      <c r="V165" s="418">
        <f>VLOOKUP('Physical Effects'!AP169,Lookup!$B$4:$C$14,2,FALSE)</f>
        <v>1</v>
      </c>
      <c r="W165" s="418">
        <f>VLOOKUP('Physical Effects'!AR169,Lookup!$B$4:$C$14,2,FALSE)</f>
        <v>1</v>
      </c>
      <c r="X165" s="418">
        <f>VLOOKUP('Physical Effects'!AT169,Lookup!$B$4:$C$14,2,FALSE)</f>
        <v>0</v>
      </c>
      <c r="Y165" s="418">
        <f>VLOOKUP('Physical Effects'!AV169,Lookup!$B$4:$C$14,2,FALSE)</f>
        <v>1</v>
      </c>
      <c r="Z165" s="418">
        <f>VLOOKUP('Physical Effects'!AX169,Lookup!$B$4:$C$14,2,FALSE)</f>
        <v>0</v>
      </c>
      <c r="AA165" s="418">
        <f>VLOOKUP('Physical Effects'!AZ169,Lookup!$B$4:$C$14,2,FALSE)</f>
        <v>2</v>
      </c>
      <c r="AB165" s="418">
        <f>VLOOKUP('Physical Effects'!BB169,Lookup!$B$4:$C$14,2,FALSE)</f>
        <v>0</v>
      </c>
      <c r="AC165" s="418">
        <f>VLOOKUP('Physical Effects'!BD169,Lookup!$B$4:$C$14,2,FALSE)</f>
        <v>2</v>
      </c>
      <c r="AD165" s="418">
        <f>VLOOKUP('Physical Effects'!BF169,Lookup!$B$4:$C$14,2,FALSE)</f>
        <v>0</v>
      </c>
      <c r="AE165" s="418">
        <f>VLOOKUP('Physical Effects'!BH169,Lookup!$B$4:$C$14,2,FALSE)</f>
        <v>0</v>
      </c>
      <c r="AF165" s="418">
        <f>VLOOKUP('Physical Effects'!BJ169,Lookup!$B$4:$C$14,2,FALSE)</f>
        <v>0</v>
      </c>
      <c r="AG165" s="418">
        <f>VLOOKUP('Physical Effects'!BL169,Lookup!$B$4:$C$14,2,FALSE)</f>
        <v>1</v>
      </c>
      <c r="AH165" s="418">
        <f>VLOOKUP('Physical Effects'!BN169,Lookup!$B$4:$C$14,2,FALSE)</f>
        <v>-1</v>
      </c>
      <c r="AI165" s="418">
        <f>VLOOKUP('Physical Effects'!BP169,Lookup!$B$4:$C$14,2,FALSE)</f>
        <v>4</v>
      </c>
      <c r="AJ165" s="418">
        <f>VLOOKUP('Physical Effects'!BR169,Lookup!$B$4:$C$14,2,FALSE)</f>
        <v>4</v>
      </c>
      <c r="AK165" s="418">
        <f>VLOOKUP('Physical Effects'!BT169,Lookup!$B$4:$C$14,2,FALSE)</f>
        <v>4</v>
      </c>
      <c r="AL165" s="418">
        <f>VLOOKUP('Physical Effects'!BV169,Lookup!$B$4:$C$14,2,FALSE)</f>
        <v>0</v>
      </c>
      <c r="AM165" s="418">
        <f>VLOOKUP('Physical Effects'!BX169,Lookup!$B$4:$C$14,2,FALSE)</f>
        <v>5</v>
      </c>
      <c r="AN165" s="418">
        <f>VLOOKUP('Physical Effects'!BZ169,Lookup!$B$4:$C$14,2,FALSE)</f>
        <v>5</v>
      </c>
      <c r="AO165" s="418">
        <f>VLOOKUP('Physical Effects'!CB169,Lookup!$B$4:$C$14,2,FALSE)</f>
        <v>2</v>
      </c>
      <c r="AP165" s="418">
        <f>VLOOKUP('Physical Effects'!CD169,Lookup!$B$4:$C$14,2,FALSE)</f>
        <v>4</v>
      </c>
      <c r="AQ165" s="418">
        <f>VLOOKUP('Physical Effects'!CF169,Lookup!$B$4:$C$14,2,FALSE)</f>
        <v>2</v>
      </c>
      <c r="AR165" s="418">
        <f>VLOOKUP('Physical Effects'!CH169,Lookup!$B$4:$C$14,2,FALSE)</f>
        <v>0</v>
      </c>
      <c r="AS165" s="418">
        <f>VLOOKUP('Physical Effects'!CJ169,Lookup!$B$4:$C$14,2,FALSE)</f>
        <v>0</v>
      </c>
      <c r="AT165" s="418">
        <f>VLOOKUP('Physical Effects'!CL169,Lookup!$B$4:$C$14,2,FALSE)</f>
        <v>0</v>
      </c>
      <c r="AU165" s="418">
        <f>VLOOKUP('Physical Effects'!CN169,Lookup!$B$4:$C$14,2,FALSE)</f>
        <v>0</v>
      </c>
      <c r="AV165" s="28"/>
    </row>
    <row r="166" spans="1:58" ht="13.5" thickBot="1" x14ac:dyDescent="0.25">
      <c r="A166" s="123">
        <f t="shared" si="2"/>
        <v>165</v>
      </c>
      <c r="B166" s="19" t="str">
        <f>+'Physical Effects'!B170</f>
        <v>Wetland Restoration</v>
      </c>
      <c r="C166" s="32">
        <f>+'Physical Effects'!D170</f>
        <v>657</v>
      </c>
      <c r="D166" s="418">
        <f>VLOOKUP('Physical Effects'!F170,Lookup!$B$4:$C$14,2,FALSE)</f>
        <v>0</v>
      </c>
      <c r="E166" s="418">
        <f>VLOOKUP('Physical Effects'!H170,Lookup!$B$4:$C$14,2,FALSE)</f>
        <v>0</v>
      </c>
      <c r="F166" s="418">
        <f>VLOOKUP('Physical Effects'!J170,Lookup!$B$4:$C$14,2,FALSE)</f>
        <v>0</v>
      </c>
      <c r="G166" s="418">
        <f>VLOOKUP('Physical Effects'!L170,Lookup!$B$4:$C$14,2,FALSE)</f>
        <v>0</v>
      </c>
      <c r="H166" s="418">
        <f>VLOOKUP('Physical Effects'!N170,Lookup!$B$4:$C$14,2,FALSE)</f>
        <v>0</v>
      </c>
      <c r="I166" s="418">
        <f>VLOOKUP('Physical Effects'!P170,Lookup!$B$4:$C$14,2,FALSE)</f>
        <v>1</v>
      </c>
      <c r="J166" s="418">
        <f>VLOOKUP('Physical Effects'!R170,Lookup!$B$4:$C$14,2,FALSE)</f>
        <v>0</v>
      </c>
      <c r="K166" s="418">
        <f>VLOOKUP('Physical Effects'!T170,Lookup!$B$4:$C$14,2,FALSE)</f>
        <v>0</v>
      </c>
      <c r="L166" s="418">
        <f>VLOOKUP('Physical Effects'!V170,Lookup!$B$4:$C$14,2,FALSE)</f>
        <v>0</v>
      </c>
      <c r="M166" s="418">
        <f>VLOOKUP('Physical Effects'!X170,Lookup!$B$4:$C$14,2,FALSE)</f>
        <v>0</v>
      </c>
      <c r="N166" s="418">
        <f>VLOOKUP('Physical Effects'!Z170,Lookup!$B$4:$C$14,2,FALSE)</f>
        <v>2</v>
      </c>
      <c r="O166" s="418">
        <f>VLOOKUP('Physical Effects'!AB170,Lookup!$B$4:$C$14,2,FALSE)</f>
        <v>0</v>
      </c>
      <c r="P166" s="418">
        <f>VLOOKUP('Physical Effects'!AD170,Lookup!$B$4:$C$14,2,FALSE)</f>
        <v>0</v>
      </c>
      <c r="Q166" s="418">
        <f>VLOOKUP('Physical Effects'!AF170,Lookup!$B$4:$C$14,2,FALSE)</f>
        <v>0</v>
      </c>
      <c r="R166" s="418">
        <f>VLOOKUP('Physical Effects'!AH170,Lookup!$B$4:$C$14,2,FALSE)</f>
        <v>0</v>
      </c>
      <c r="S166" s="418">
        <f>VLOOKUP('Physical Effects'!AJ170,Lookup!$B$4:$C$14,2,FALSE)</f>
        <v>1</v>
      </c>
      <c r="T166" s="418">
        <f>VLOOKUP('Physical Effects'!AL170,Lookup!$B$4:$C$14,2,FALSE)</f>
        <v>1</v>
      </c>
      <c r="U166" s="418">
        <f>VLOOKUP('Physical Effects'!AN170,Lookup!$B$4:$C$14,2,FALSE)</f>
        <v>3</v>
      </c>
      <c r="V166" s="418">
        <f>VLOOKUP('Physical Effects'!AP170,Lookup!$B$4:$C$14,2,FALSE)</f>
        <v>1</v>
      </c>
      <c r="W166" s="418">
        <f>VLOOKUP('Physical Effects'!AR170,Lookup!$B$4:$C$14,2,FALSE)</f>
        <v>1</v>
      </c>
      <c r="X166" s="418">
        <f>VLOOKUP('Physical Effects'!AT170,Lookup!$B$4:$C$14,2,FALSE)</f>
        <v>0</v>
      </c>
      <c r="Y166" s="418">
        <f>VLOOKUP('Physical Effects'!AV170,Lookup!$B$4:$C$14,2,FALSE)</f>
        <v>1</v>
      </c>
      <c r="Z166" s="418">
        <f>VLOOKUP('Physical Effects'!AX170,Lookup!$B$4:$C$14,2,FALSE)</f>
        <v>0</v>
      </c>
      <c r="AA166" s="418">
        <f>VLOOKUP('Physical Effects'!AZ170,Lookup!$B$4:$C$14,2,FALSE)</f>
        <v>2</v>
      </c>
      <c r="AB166" s="418">
        <f>VLOOKUP('Physical Effects'!BB170,Lookup!$B$4:$C$14,2,FALSE)</f>
        <v>0</v>
      </c>
      <c r="AC166" s="418">
        <f>VLOOKUP('Physical Effects'!BD170,Lookup!$B$4:$C$14,2,FALSE)</f>
        <v>2</v>
      </c>
      <c r="AD166" s="418">
        <f>VLOOKUP('Physical Effects'!BF170,Lookup!$B$4:$C$14,2,FALSE)</f>
        <v>0</v>
      </c>
      <c r="AE166" s="418">
        <f>VLOOKUP('Physical Effects'!BH170,Lookup!$B$4:$C$14,2,FALSE)</f>
        <v>0</v>
      </c>
      <c r="AF166" s="418">
        <f>VLOOKUP('Physical Effects'!BJ170,Lookup!$B$4:$C$14,2,FALSE)</f>
        <v>0</v>
      </c>
      <c r="AG166" s="418">
        <f>VLOOKUP('Physical Effects'!BL170,Lookup!$B$4:$C$14,2,FALSE)</f>
        <v>1</v>
      </c>
      <c r="AH166" s="418">
        <f>VLOOKUP('Physical Effects'!BN170,Lookup!$B$4:$C$14,2,FALSE)</f>
        <v>-1</v>
      </c>
      <c r="AI166" s="418">
        <f>VLOOKUP('Physical Effects'!BP170,Lookup!$B$4:$C$14,2,FALSE)</f>
        <v>4</v>
      </c>
      <c r="AJ166" s="418">
        <f>VLOOKUP('Physical Effects'!BR170,Lookup!$B$4:$C$14,2,FALSE)</f>
        <v>4</v>
      </c>
      <c r="AK166" s="418">
        <f>VLOOKUP('Physical Effects'!BT170,Lookup!$B$4:$C$14,2,FALSE)</f>
        <v>4</v>
      </c>
      <c r="AL166" s="418">
        <f>VLOOKUP('Physical Effects'!BV170,Lookup!$B$4:$C$14,2,FALSE)</f>
        <v>0</v>
      </c>
      <c r="AM166" s="418">
        <f>VLOOKUP('Physical Effects'!BX170,Lookup!$B$4:$C$14,2,FALSE)</f>
        <v>5</v>
      </c>
      <c r="AN166" s="418">
        <f>VLOOKUP('Physical Effects'!BZ170,Lookup!$B$4:$C$14,2,FALSE)</f>
        <v>5</v>
      </c>
      <c r="AO166" s="418">
        <f>VLOOKUP('Physical Effects'!CB170,Lookup!$B$4:$C$14,2,FALSE)</f>
        <v>2</v>
      </c>
      <c r="AP166" s="418">
        <f>VLOOKUP('Physical Effects'!CD170,Lookup!$B$4:$C$14,2,FALSE)</f>
        <v>4</v>
      </c>
      <c r="AQ166" s="418">
        <f>VLOOKUP('Physical Effects'!CF170,Lookup!$B$4:$C$14,2,FALSE)</f>
        <v>2</v>
      </c>
      <c r="AR166" s="418">
        <f>VLOOKUP('Physical Effects'!CH170,Lookup!$B$4:$C$14,2,FALSE)</f>
        <v>0</v>
      </c>
      <c r="AS166" s="418">
        <f>VLOOKUP('Physical Effects'!CJ170,Lookup!$B$4:$C$14,2,FALSE)</f>
        <v>0</v>
      </c>
      <c r="AT166" s="418">
        <f>VLOOKUP('Physical Effects'!CL170,Lookup!$B$4:$C$14,2,FALSE)</f>
        <v>0</v>
      </c>
      <c r="AU166" s="418">
        <f>VLOOKUP('Physical Effects'!CN170,Lookup!$B$4:$C$14,2,FALSE)</f>
        <v>0</v>
      </c>
      <c r="AV166" s="28"/>
    </row>
    <row r="167" spans="1:58" ht="13.5" thickBot="1" x14ac:dyDescent="0.25">
      <c r="A167" s="123">
        <f t="shared" si="2"/>
        <v>166</v>
      </c>
      <c r="B167" s="19" t="str">
        <f>+'Physical Effects'!B171</f>
        <v>Wetland Wildlife Habitat Management</v>
      </c>
      <c r="C167" s="32">
        <f>+'Physical Effects'!D171</f>
        <v>644</v>
      </c>
      <c r="D167" s="418">
        <f>VLOOKUP('Physical Effects'!F171,Lookup!$B$4:$C$14,2,FALSE)</f>
        <v>0</v>
      </c>
      <c r="E167" s="418">
        <f>VLOOKUP('Physical Effects'!H171,Lookup!$B$4:$C$14,2,FALSE)</f>
        <v>0</v>
      </c>
      <c r="F167" s="418">
        <f>VLOOKUP('Physical Effects'!J171,Lookup!$B$4:$C$14,2,FALSE)</f>
        <v>0</v>
      </c>
      <c r="G167" s="418">
        <f>VLOOKUP('Physical Effects'!L171,Lookup!$B$4:$C$14,2,FALSE)</f>
        <v>0</v>
      </c>
      <c r="H167" s="418">
        <f>VLOOKUP('Physical Effects'!N171,Lookup!$B$4:$C$14,2,FALSE)</f>
        <v>0</v>
      </c>
      <c r="I167" s="418">
        <f>VLOOKUP('Physical Effects'!P171,Lookup!$B$4:$C$14,2,FALSE)</f>
        <v>0</v>
      </c>
      <c r="J167" s="418">
        <f>VLOOKUP('Physical Effects'!R171,Lookup!$B$4:$C$14,2,FALSE)</f>
        <v>0</v>
      </c>
      <c r="K167" s="418">
        <f>VLOOKUP('Physical Effects'!T171,Lookup!$B$4:$C$14,2,FALSE)</f>
        <v>0</v>
      </c>
      <c r="L167" s="418">
        <f>VLOOKUP('Physical Effects'!V171,Lookup!$B$4:$C$14,2,FALSE)</f>
        <v>0</v>
      </c>
      <c r="M167" s="418">
        <f>VLOOKUP('Physical Effects'!X171,Lookup!$B$4:$C$14,2,FALSE)</f>
        <v>0</v>
      </c>
      <c r="N167" s="418">
        <f>VLOOKUP('Physical Effects'!Z171,Lookup!$B$4:$C$14,2,FALSE)</f>
        <v>2</v>
      </c>
      <c r="O167" s="418">
        <f>VLOOKUP('Physical Effects'!AB171,Lookup!$B$4:$C$14,2,FALSE)</f>
        <v>0</v>
      </c>
      <c r="P167" s="418">
        <f>VLOOKUP('Physical Effects'!AD171,Lookup!$B$4:$C$14,2,FALSE)</f>
        <v>0</v>
      </c>
      <c r="Q167" s="418">
        <f>VLOOKUP('Physical Effects'!AF171,Lookup!$B$4:$C$14,2,FALSE)</f>
        <v>0</v>
      </c>
      <c r="R167" s="418">
        <f>VLOOKUP('Physical Effects'!AH171,Lookup!$B$4:$C$14,2,FALSE)</f>
        <v>0</v>
      </c>
      <c r="S167" s="418">
        <f>VLOOKUP('Physical Effects'!AJ171,Lookup!$B$4:$C$14,2,FALSE)</f>
        <v>0</v>
      </c>
      <c r="T167" s="418">
        <f>VLOOKUP('Physical Effects'!AL171,Lookup!$B$4:$C$14,2,FALSE)</f>
        <v>0</v>
      </c>
      <c r="U167" s="418">
        <f>VLOOKUP('Physical Effects'!AN171,Lookup!$B$4:$C$14,2,FALSE)</f>
        <v>0</v>
      </c>
      <c r="V167" s="418">
        <f>VLOOKUP('Physical Effects'!AP171,Lookup!$B$4:$C$14,2,FALSE)</f>
        <v>0</v>
      </c>
      <c r="W167" s="418">
        <f>VLOOKUP('Physical Effects'!AR171,Lookup!$B$4:$C$14,2,FALSE)</f>
        <v>0</v>
      </c>
      <c r="X167" s="418">
        <f>VLOOKUP('Physical Effects'!AT171,Lookup!$B$4:$C$14,2,FALSE)</f>
        <v>0</v>
      </c>
      <c r="Y167" s="418">
        <f>VLOOKUP('Physical Effects'!AV171,Lookup!$B$4:$C$14,2,FALSE)</f>
        <v>1</v>
      </c>
      <c r="Z167" s="418">
        <f>VLOOKUP('Physical Effects'!AX171,Lookup!$B$4:$C$14,2,FALSE)</f>
        <v>0</v>
      </c>
      <c r="AA167" s="418">
        <f>VLOOKUP('Physical Effects'!AZ171,Lookup!$B$4:$C$14,2,FALSE)</f>
        <v>3</v>
      </c>
      <c r="AB167" s="418">
        <f>VLOOKUP('Physical Effects'!BB171,Lookup!$B$4:$C$14,2,FALSE)</f>
        <v>0</v>
      </c>
      <c r="AC167" s="418">
        <f>VLOOKUP('Physical Effects'!BD171,Lookup!$B$4:$C$14,2,FALSE)</f>
        <v>0</v>
      </c>
      <c r="AD167" s="418">
        <f>VLOOKUP('Physical Effects'!BF171,Lookup!$B$4:$C$14,2,FALSE)</f>
        <v>0</v>
      </c>
      <c r="AE167" s="418">
        <f>VLOOKUP('Physical Effects'!BH171,Lookup!$B$4:$C$14,2,FALSE)</f>
        <v>0</v>
      </c>
      <c r="AF167" s="418">
        <f>VLOOKUP('Physical Effects'!BJ171,Lookup!$B$4:$C$14,2,FALSE)</f>
        <v>0</v>
      </c>
      <c r="AG167" s="418">
        <f>VLOOKUP('Physical Effects'!BL171,Lookup!$B$4:$C$14,2,FALSE)</f>
        <v>1</v>
      </c>
      <c r="AH167" s="418">
        <f>VLOOKUP('Physical Effects'!BN171,Lookup!$B$4:$C$14,2,FALSE)</f>
        <v>-1</v>
      </c>
      <c r="AI167" s="418">
        <f>VLOOKUP('Physical Effects'!BP171,Lookup!$B$4:$C$14,2,FALSE)</f>
        <v>4</v>
      </c>
      <c r="AJ167" s="418">
        <f>VLOOKUP('Physical Effects'!BR171,Lookup!$B$4:$C$14,2,FALSE)</f>
        <v>4</v>
      </c>
      <c r="AK167" s="418">
        <f>VLOOKUP('Physical Effects'!BT171,Lookup!$B$4:$C$14,2,FALSE)</f>
        <v>4</v>
      </c>
      <c r="AL167" s="418">
        <f>VLOOKUP('Physical Effects'!BV171,Lookup!$B$4:$C$14,2,FALSE)</f>
        <v>0</v>
      </c>
      <c r="AM167" s="418">
        <f>VLOOKUP('Physical Effects'!BX171,Lookup!$B$4:$C$14,2,FALSE)</f>
        <v>5</v>
      </c>
      <c r="AN167" s="418">
        <f>VLOOKUP('Physical Effects'!BZ171,Lookup!$B$4:$C$14,2,FALSE)</f>
        <v>5</v>
      </c>
      <c r="AO167" s="418">
        <f>VLOOKUP('Physical Effects'!CB171,Lookup!$B$4:$C$14,2,FALSE)</f>
        <v>2</v>
      </c>
      <c r="AP167" s="418">
        <f>VLOOKUP('Physical Effects'!CD171,Lookup!$B$4:$C$14,2,FALSE)</f>
        <v>4</v>
      </c>
      <c r="AQ167" s="418">
        <f>VLOOKUP('Physical Effects'!CF171,Lookup!$B$4:$C$14,2,FALSE)</f>
        <v>2</v>
      </c>
      <c r="AR167" s="418">
        <f>VLOOKUP('Physical Effects'!CH171,Lookup!$B$4:$C$14,2,FALSE)</f>
        <v>0</v>
      </c>
      <c r="AS167" s="418">
        <f>VLOOKUP('Physical Effects'!CJ171,Lookup!$B$4:$C$14,2,FALSE)</f>
        <v>0</v>
      </c>
      <c r="AT167" s="418">
        <f>VLOOKUP('Physical Effects'!CL171,Lookup!$B$4:$C$14,2,FALSE)</f>
        <v>0</v>
      </c>
      <c r="AU167" s="418">
        <f>VLOOKUP('Physical Effects'!CN171,Lookup!$B$4:$C$14,2,FALSE)</f>
        <v>0</v>
      </c>
      <c r="AV167" s="28"/>
    </row>
    <row r="168" spans="1:58" ht="13.5" thickBot="1" x14ac:dyDescent="0.25">
      <c r="A168" s="123">
        <f t="shared" si="2"/>
        <v>167</v>
      </c>
      <c r="B168" s="19" t="str">
        <f>+'Physical Effects'!B172</f>
        <v>Windbreak/Shelterbelt Establishment</v>
      </c>
      <c r="C168" s="32">
        <f>+'Physical Effects'!D172</f>
        <v>380</v>
      </c>
      <c r="D168" s="418">
        <f>VLOOKUP('Physical Effects'!F172,Lookup!$B$4:$C$14,2,FALSE)</f>
        <v>1</v>
      </c>
      <c r="E168" s="418">
        <f>VLOOKUP('Physical Effects'!H172,Lookup!$B$4:$C$14,2,FALSE)</f>
        <v>5</v>
      </c>
      <c r="F168" s="418">
        <f>VLOOKUP('Physical Effects'!J172,Lookup!$B$4:$C$14,2,FALSE)</f>
        <v>2</v>
      </c>
      <c r="G168" s="418">
        <f>VLOOKUP('Physical Effects'!L172,Lookup!$B$4:$C$14,2,FALSE)</f>
        <v>0</v>
      </c>
      <c r="H168" s="418">
        <f>VLOOKUP('Physical Effects'!N172,Lookup!$B$4:$C$14,2,FALSE)</f>
        <v>0</v>
      </c>
      <c r="I168" s="418">
        <f>VLOOKUP('Physical Effects'!P172,Lookup!$B$4:$C$14,2,FALSE)</f>
        <v>4</v>
      </c>
      <c r="J168" s="418">
        <f>VLOOKUP('Physical Effects'!R172,Lookup!$B$4:$C$14,2,FALSE)</f>
        <v>2</v>
      </c>
      <c r="K168" s="418">
        <f>VLOOKUP('Physical Effects'!T172,Lookup!$B$4:$C$14,2,FALSE)</f>
        <v>0</v>
      </c>
      <c r="L168" s="418">
        <f>VLOOKUP('Physical Effects'!V172,Lookup!$B$4:$C$14,2,FALSE)</f>
        <v>1</v>
      </c>
      <c r="M168" s="418">
        <f>VLOOKUP('Physical Effects'!X172,Lookup!$B$4:$C$14,2,FALSE)</f>
        <v>2</v>
      </c>
      <c r="N168" s="418">
        <f>VLOOKUP('Physical Effects'!Z172,Lookup!$B$4:$C$14,2,FALSE)</f>
        <v>0</v>
      </c>
      <c r="O168" s="418">
        <f>VLOOKUP('Physical Effects'!AB172,Lookup!$B$4:$C$14,2,FALSE)</f>
        <v>2</v>
      </c>
      <c r="P168" s="418">
        <f>VLOOKUP('Physical Effects'!AD172,Lookup!$B$4:$C$14,2,FALSE)</f>
        <v>5</v>
      </c>
      <c r="Q168" s="418">
        <f>VLOOKUP('Physical Effects'!AF172,Lookup!$B$4:$C$14,2,FALSE)</f>
        <v>5</v>
      </c>
      <c r="R168" s="418">
        <f>VLOOKUP('Physical Effects'!AH172,Lookup!$B$4:$C$14,2,FALSE)</f>
        <v>3</v>
      </c>
      <c r="S168" s="418">
        <f>VLOOKUP('Physical Effects'!AJ172,Lookup!$B$4:$C$14,2,FALSE)</f>
        <v>3</v>
      </c>
      <c r="T168" s="418">
        <f>VLOOKUP('Physical Effects'!AL172,Lookup!$B$4:$C$14,2,FALSE)</f>
        <v>0</v>
      </c>
      <c r="U168" s="418">
        <f>VLOOKUP('Physical Effects'!AN172,Lookup!$B$4:$C$14,2,FALSE)</f>
        <v>1</v>
      </c>
      <c r="V168" s="418">
        <f>VLOOKUP('Physical Effects'!AP172,Lookup!$B$4:$C$14,2,FALSE)</f>
        <v>1</v>
      </c>
      <c r="W168" s="418">
        <f>VLOOKUP('Physical Effects'!AR172,Lookup!$B$4:$C$14,2,FALSE)</f>
        <v>0</v>
      </c>
      <c r="X168" s="418">
        <f>VLOOKUP('Physical Effects'!AT172,Lookup!$B$4:$C$14,2,FALSE)</f>
        <v>0</v>
      </c>
      <c r="Y168" s="418">
        <f>VLOOKUP('Physical Effects'!AV172,Lookup!$B$4:$C$14,2,FALSE)</f>
        <v>0</v>
      </c>
      <c r="Z168" s="418">
        <f>VLOOKUP('Physical Effects'!AX172,Lookup!$B$4:$C$14,2,FALSE)</f>
        <v>0</v>
      </c>
      <c r="AA168" s="418">
        <f>VLOOKUP('Physical Effects'!AZ172,Lookup!$B$4:$C$14,2,FALSE)</f>
        <v>1</v>
      </c>
      <c r="AB168" s="418">
        <f>VLOOKUP('Physical Effects'!BB172,Lookup!$B$4:$C$14,2,FALSE)</f>
        <v>0</v>
      </c>
      <c r="AC168" s="418">
        <f>VLOOKUP('Physical Effects'!BD172,Lookup!$B$4:$C$14,2,FALSE)</f>
        <v>1</v>
      </c>
      <c r="AD168" s="418">
        <f>VLOOKUP('Physical Effects'!BF172,Lookup!$B$4:$C$14,2,FALSE)</f>
        <v>0</v>
      </c>
      <c r="AE168" s="418">
        <f>VLOOKUP('Physical Effects'!BH172,Lookup!$B$4:$C$14,2,FALSE)</f>
        <v>4</v>
      </c>
      <c r="AF168" s="418">
        <f>VLOOKUP('Physical Effects'!BJ172,Lookup!$B$4:$C$14,2,FALSE)</f>
        <v>0</v>
      </c>
      <c r="AG168" s="418">
        <f>VLOOKUP('Physical Effects'!BL172,Lookup!$B$4:$C$14,2,FALSE)</f>
        <v>4</v>
      </c>
      <c r="AH168" s="418">
        <f>VLOOKUP('Physical Effects'!BN172,Lookup!$B$4:$C$14,2,FALSE)</f>
        <v>3</v>
      </c>
      <c r="AI168" s="418">
        <f>VLOOKUP('Physical Effects'!BP172,Lookup!$B$4:$C$14,2,FALSE)</f>
        <v>5</v>
      </c>
      <c r="AJ168" s="418">
        <f>VLOOKUP('Physical Effects'!BR172,Lookup!$B$4:$C$14,2,FALSE)</f>
        <v>1</v>
      </c>
      <c r="AK168" s="418">
        <f>VLOOKUP('Physical Effects'!BT172,Lookup!$B$4:$C$14,2,FALSE)</f>
        <v>1</v>
      </c>
      <c r="AL168" s="418">
        <f>VLOOKUP('Physical Effects'!BV172,Lookup!$B$4:$C$14,2,FALSE)</f>
        <v>0</v>
      </c>
      <c r="AM168" s="418">
        <f>VLOOKUP('Physical Effects'!BX172,Lookup!$B$4:$C$14,2,FALSE)</f>
        <v>3</v>
      </c>
      <c r="AN168" s="418">
        <f>VLOOKUP('Physical Effects'!BZ172,Lookup!$B$4:$C$14,2,FALSE)</f>
        <v>3</v>
      </c>
      <c r="AO168" s="418">
        <f>VLOOKUP('Physical Effects'!CB172,Lookup!$B$4:$C$14,2,FALSE)</f>
        <v>0</v>
      </c>
      <c r="AP168" s="418">
        <f>VLOOKUP('Physical Effects'!CD172,Lookup!$B$4:$C$14,2,FALSE)</f>
        <v>3</v>
      </c>
      <c r="AQ168" s="418">
        <f>VLOOKUP('Physical Effects'!CF172,Lookup!$B$4:$C$14,2,FALSE)</f>
        <v>1</v>
      </c>
      <c r="AR168" s="418">
        <f>VLOOKUP('Physical Effects'!CH172,Lookup!$B$4:$C$14,2,FALSE)</f>
        <v>5</v>
      </c>
      <c r="AS168" s="418">
        <f>VLOOKUP('Physical Effects'!CJ172,Lookup!$B$4:$C$14,2,FALSE)</f>
        <v>0</v>
      </c>
      <c r="AT168" s="418">
        <f>VLOOKUP('Physical Effects'!CL172,Lookup!$B$4:$C$14,2,FALSE)</f>
        <v>3</v>
      </c>
      <c r="AU168" s="418">
        <f>VLOOKUP('Physical Effects'!CN172,Lookup!$B$4:$C$14,2,FALSE)</f>
        <v>1</v>
      </c>
    </row>
    <row r="169" spans="1:58" ht="13.5" thickBot="1" x14ac:dyDescent="0.25">
      <c r="A169" s="123">
        <f t="shared" si="2"/>
        <v>168</v>
      </c>
      <c r="B169" s="19" t="str">
        <f>+'Physical Effects'!B173</f>
        <v>Windbreak/Shelterbelt Renovation</v>
      </c>
      <c r="C169" s="32">
        <f>+'Physical Effects'!D173</f>
        <v>650</v>
      </c>
      <c r="D169" s="418">
        <f>VLOOKUP('Physical Effects'!F173,Lookup!$B$4:$C$14,2,FALSE)</f>
        <v>1</v>
      </c>
      <c r="E169" s="418">
        <f>VLOOKUP('Physical Effects'!H173,Lookup!$B$4:$C$14,2,FALSE)</f>
        <v>5</v>
      </c>
      <c r="F169" s="418">
        <f>VLOOKUP('Physical Effects'!J173,Lookup!$B$4:$C$14,2,FALSE)</f>
        <v>2</v>
      </c>
      <c r="G169" s="418">
        <f>VLOOKUP('Physical Effects'!L173,Lookup!$B$4:$C$14,2,FALSE)</f>
        <v>0</v>
      </c>
      <c r="H169" s="418">
        <f>VLOOKUP('Physical Effects'!N173,Lookup!$B$4:$C$14,2,FALSE)</f>
        <v>0</v>
      </c>
      <c r="I169" s="418">
        <f>VLOOKUP('Physical Effects'!P173,Lookup!$B$4:$C$14,2,FALSE)</f>
        <v>4</v>
      </c>
      <c r="J169" s="418">
        <f>VLOOKUP('Physical Effects'!R173,Lookup!$B$4:$C$14,2,FALSE)</f>
        <v>2</v>
      </c>
      <c r="K169" s="418">
        <f>VLOOKUP('Physical Effects'!T173,Lookup!$B$4:$C$14,2,FALSE)</f>
        <v>0</v>
      </c>
      <c r="L169" s="418">
        <f>VLOOKUP('Physical Effects'!V173,Lookup!$B$4:$C$14,2,FALSE)</f>
        <v>1</v>
      </c>
      <c r="M169" s="418">
        <f>VLOOKUP('Physical Effects'!X173,Lookup!$B$4:$C$14,2,FALSE)</f>
        <v>2</v>
      </c>
      <c r="N169" s="418">
        <f>VLOOKUP('Physical Effects'!Z173,Lookup!$B$4:$C$14,2,FALSE)</f>
        <v>0</v>
      </c>
      <c r="O169" s="418">
        <f>VLOOKUP('Physical Effects'!AB173,Lookup!$B$4:$C$14,2,FALSE)</f>
        <v>2</v>
      </c>
      <c r="P169" s="418">
        <f>VLOOKUP('Physical Effects'!AD173,Lookup!$B$4:$C$14,2,FALSE)</f>
        <v>5</v>
      </c>
      <c r="Q169" s="418">
        <f>VLOOKUP('Physical Effects'!AF173,Lookup!$B$4:$C$14,2,FALSE)</f>
        <v>5</v>
      </c>
      <c r="R169" s="418">
        <f>VLOOKUP('Physical Effects'!AH173,Lookup!$B$4:$C$14,2,FALSE)</f>
        <v>3</v>
      </c>
      <c r="S169" s="418">
        <f>VLOOKUP('Physical Effects'!AJ173,Lookup!$B$4:$C$14,2,FALSE)</f>
        <v>3</v>
      </c>
      <c r="T169" s="418">
        <f>VLOOKUP('Physical Effects'!AL173,Lookup!$B$4:$C$14,2,FALSE)</f>
        <v>0</v>
      </c>
      <c r="U169" s="418">
        <f>VLOOKUP('Physical Effects'!AN173,Lookup!$B$4:$C$14,2,FALSE)</f>
        <v>1</v>
      </c>
      <c r="V169" s="418">
        <f>VLOOKUP('Physical Effects'!AP173,Lookup!$B$4:$C$14,2,FALSE)</f>
        <v>1</v>
      </c>
      <c r="W169" s="418">
        <f>VLOOKUP('Physical Effects'!AR173,Lookup!$B$4:$C$14,2,FALSE)</f>
        <v>0</v>
      </c>
      <c r="X169" s="418">
        <f>VLOOKUP('Physical Effects'!AT173,Lookup!$B$4:$C$14,2,FALSE)</f>
        <v>0</v>
      </c>
      <c r="Y169" s="418">
        <f>VLOOKUP('Physical Effects'!AV173,Lookup!$B$4:$C$14,2,FALSE)</f>
        <v>0</v>
      </c>
      <c r="Z169" s="418">
        <f>VLOOKUP('Physical Effects'!AX173,Lookup!$B$4:$C$14,2,FALSE)</f>
        <v>0</v>
      </c>
      <c r="AA169" s="418">
        <f>VLOOKUP('Physical Effects'!AZ173,Lookup!$B$4:$C$14,2,FALSE)</f>
        <v>1</v>
      </c>
      <c r="AB169" s="418">
        <f>VLOOKUP('Physical Effects'!BB173,Lookup!$B$4:$C$14,2,FALSE)</f>
        <v>0</v>
      </c>
      <c r="AC169" s="418">
        <f>VLOOKUP('Physical Effects'!BD173,Lookup!$B$4:$C$14,2,FALSE)</f>
        <v>1</v>
      </c>
      <c r="AD169" s="418">
        <f>VLOOKUP('Physical Effects'!BF173,Lookup!$B$4:$C$14,2,FALSE)</f>
        <v>0</v>
      </c>
      <c r="AE169" s="418">
        <f>VLOOKUP('Physical Effects'!BH173,Lookup!$B$4:$C$14,2,FALSE)</f>
        <v>2</v>
      </c>
      <c r="AF169" s="418">
        <f>VLOOKUP('Physical Effects'!BJ173,Lookup!$B$4:$C$14,2,FALSE)</f>
        <v>0</v>
      </c>
      <c r="AG169" s="418">
        <f>VLOOKUP('Physical Effects'!BL173,Lookup!$B$4:$C$14,2,FALSE)</f>
        <v>1</v>
      </c>
      <c r="AH169" s="418">
        <f>VLOOKUP('Physical Effects'!BN173,Lookup!$B$4:$C$14,2,FALSE)</f>
        <v>2</v>
      </c>
      <c r="AI169" s="418">
        <f>VLOOKUP('Physical Effects'!BP173,Lookup!$B$4:$C$14,2,FALSE)</f>
        <v>5</v>
      </c>
      <c r="AJ169" s="418">
        <f>VLOOKUP('Physical Effects'!BR173,Lookup!$B$4:$C$14,2,FALSE)</f>
        <v>1</v>
      </c>
      <c r="AK169" s="418">
        <f>VLOOKUP('Physical Effects'!BT173,Lookup!$B$4:$C$14,2,FALSE)</f>
        <v>1</v>
      </c>
      <c r="AL169" s="418">
        <f>VLOOKUP('Physical Effects'!BV173,Lookup!$B$4:$C$14,2,FALSE)</f>
        <v>0</v>
      </c>
      <c r="AM169" s="418">
        <f>VLOOKUP('Physical Effects'!BX173,Lookup!$B$4:$C$14,2,FALSE)</f>
        <v>3</v>
      </c>
      <c r="AN169" s="418">
        <f>VLOOKUP('Physical Effects'!BZ173,Lookup!$B$4:$C$14,2,FALSE)</f>
        <v>3</v>
      </c>
      <c r="AO169" s="418">
        <f>VLOOKUP('Physical Effects'!CB173,Lookup!$B$4:$C$14,2,FALSE)</f>
        <v>0</v>
      </c>
      <c r="AP169" s="418">
        <f>VLOOKUP('Physical Effects'!CD173,Lookup!$B$4:$C$14,2,FALSE)</f>
        <v>3</v>
      </c>
      <c r="AQ169" s="418">
        <f>VLOOKUP('Physical Effects'!CF173,Lookup!$B$4:$C$14,2,FALSE)</f>
        <v>1</v>
      </c>
      <c r="AR169" s="418">
        <f>VLOOKUP('Physical Effects'!CH173,Lookup!$B$4:$C$14,2,FALSE)</f>
        <v>5</v>
      </c>
      <c r="AS169" s="418">
        <f>VLOOKUP('Physical Effects'!CJ173,Lookup!$B$4:$C$14,2,FALSE)</f>
        <v>0</v>
      </c>
      <c r="AT169" s="418">
        <f>VLOOKUP('Physical Effects'!CL173,Lookup!$B$4:$C$14,2,FALSE)</f>
        <v>3</v>
      </c>
      <c r="AU169" s="418">
        <f>VLOOKUP('Physical Effects'!CN173,Lookup!$B$4:$C$14,2,FALSE)</f>
        <v>1</v>
      </c>
    </row>
    <row r="170" spans="1:58" ht="13.5" thickBot="1" x14ac:dyDescent="0.25">
      <c r="A170" s="123">
        <f t="shared" si="2"/>
        <v>169</v>
      </c>
      <c r="B170" s="19" t="str">
        <f>+'Physical Effects'!B174</f>
        <v>Woody Residue Treatment</v>
      </c>
      <c r="C170" s="32">
        <f>+'Physical Effects'!D174</f>
        <v>384</v>
      </c>
      <c r="D170" s="418">
        <f>VLOOKUP('Physical Effects'!F174,Lookup!$B$4:$C$14,2,FALSE)</f>
        <v>1</v>
      </c>
      <c r="E170" s="418">
        <f>VLOOKUP('Physical Effects'!H174,Lookup!$B$4:$C$14,2,FALSE)</f>
        <v>1</v>
      </c>
      <c r="F170" s="418">
        <f>VLOOKUP('Physical Effects'!J174,Lookup!$B$4:$C$14,2,FALSE)</f>
        <v>1</v>
      </c>
      <c r="G170" s="418">
        <f>VLOOKUP('Physical Effects'!L174,Lookup!$B$4:$C$14,2,FALSE)</f>
        <v>1</v>
      </c>
      <c r="H170" s="418">
        <f>VLOOKUP('Physical Effects'!N174,Lookup!$B$4:$C$14,2,FALSE)</f>
        <v>0</v>
      </c>
      <c r="I170" s="418">
        <f>VLOOKUP('Physical Effects'!P174,Lookup!$B$4:$C$14,2,FALSE)</f>
        <v>-1</v>
      </c>
      <c r="J170" s="418">
        <f>VLOOKUP('Physical Effects'!R174,Lookup!$B$4:$C$14,2,FALSE)</f>
        <v>-2</v>
      </c>
      <c r="K170" s="418">
        <f>VLOOKUP('Physical Effects'!T174,Lookup!$B$4:$C$14,2,FALSE)</f>
        <v>0</v>
      </c>
      <c r="L170" s="418">
        <f>VLOOKUP('Physical Effects'!V174,Lookup!$B$4:$C$14,2,FALSE)</f>
        <v>0</v>
      </c>
      <c r="M170" s="418">
        <f>VLOOKUP('Physical Effects'!X174,Lookup!$B$4:$C$14,2,FALSE)</f>
        <v>0</v>
      </c>
      <c r="N170" s="418">
        <f>VLOOKUP('Physical Effects'!Z174,Lookup!$B$4:$C$14,2,FALSE)</f>
        <v>0</v>
      </c>
      <c r="O170" s="418">
        <f>VLOOKUP('Physical Effects'!AB174,Lookup!$B$4:$C$14,2,FALSE)</f>
        <v>0</v>
      </c>
      <c r="P170" s="418">
        <f>VLOOKUP('Physical Effects'!AD174,Lookup!$B$4:$C$14,2,FALSE)</f>
        <v>0</v>
      </c>
      <c r="Q170" s="418">
        <f>VLOOKUP('Physical Effects'!AF174,Lookup!$B$4:$C$14,2,FALSE)</f>
        <v>0</v>
      </c>
      <c r="R170" s="418">
        <f>VLOOKUP('Physical Effects'!AH174,Lookup!$B$4:$C$14,2,FALSE)</f>
        <v>1</v>
      </c>
      <c r="S170" s="418">
        <f>VLOOKUP('Physical Effects'!AJ174,Lookup!$B$4:$C$14,2,FALSE)</f>
        <v>0</v>
      </c>
      <c r="T170" s="418">
        <f>VLOOKUP('Physical Effects'!AL174,Lookup!$B$4:$C$14,2,FALSE)</f>
        <v>0</v>
      </c>
      <c r="U170" s="418">
        <f>VLOOKUP('Physical Effects'!AN174,Lookup!$B$4:$C$14,2,FALSE)</f>
        <v>0</v>
      </c>
      <c r="V170" s="418">
        <f>VLOOKUP('Physical Effects'!AP174,Lookup!$B$4:$C$14,2,FALSE)</f>
        <v>0</v>
      </c>
      <c r="W170" s="418">
        <f>VLOOKUP('Physical Effects'!AR174,Lookup!$B$4:$C$14,2,FALSE)</f>
        <v>0</v>
      </c>
      <c r="X170" s="418">
        <f>VLOOKUP('Physical Effects'!AT174,Lookup!$B$4:$C$14,2,FALSE)</f>
        <v>0</v>
      </c>
      <c r="Y170" s="418">
        <f>VLOOKUP('Physical Effects'!AV174,Lookup!$B$4:$C$14,2,FALSE)</f>
        <v>0</v>
      </c>
      <c r="Z170" s="418">
        <f>VLOOKUP('Physical Effects'!AX174,Lookup!$B$4:$C$14,2,FALSE)</f>
        <v>0</v>
      </c>
      <c r="AA170" s="418">
        <f>VLOOKUP('Physical Effects'!AZ174,Lookup!$B$4:$C$14,2,FALSE)</f>
        <v>1</v>
      </c>
      <c r="AB170" s="418">
        <f>VLOOKUP('Physical Effects'!BB174,Lookup!$B$4:$C$14,2,FALSE)</f>
        <v>0</v>
      </c>
      <c r="AC170" s="418">
        <f>VLOOKUP('Physical Effects'!BD174,Lookup!$B$4:$C$14,2,FALSE)</f>
        <v>0</v>
      </c>
      <c r="AD170" s="418">
        <f>VLOOKUP('Physical Effects'!BF174,Lookup!$B$4:$C$14,2,FALSE)</f>
        <v>0</v>
      </c>
      <c r="AE170" s="418">
        <f>VLOOKUP('Physical Effects'!BH174,Lookup!$B$4:$C$14,2,FALSE)</f>
        <v>0</v>
      </c>
      <c r="AF170" s="418">
        <f>VLOOKUP('Physical Effects'!BJ174,Lookup!$B$4:$C$14,2,FALSE)</f>
        <v>1</v>
      </c>
      <c r="AG170" s="418">
        <f>VLOOKUP('Physical Effects'!BL174,Lookup!$B$4:$C$14,2,FALSE)</f>
        <v>2</v>
      </c>
      <c r="AH170" s="418">
        <f>VLOOKUP('Physical Effects'!BN174,Lookup!$B$4:$C$14,2,FALSE)</f>
        <v>0</v>
      </c>
      <c r="AI170" s="418">
        <f>VLOOKUP('Physical Effects'!BP174,Lookup!$B$4:$C$14,2,FALSE)</f>
        <v>5</v>
      </c>
      <c r="AJ170" s="418">
        <f>VLOOKUP('Physical Effects'!BR174,Lookup!$B$4:$C$14,2,FALSE)</f>
        <v>1</v>
      </c>
      <c r="AK170" s="418">
        <f>VLOOKUP('Physical Effects'!BT174,Lookup!$B$4:$C$14,2,FALSE)</f>
        <v>3</v>
      </c>
      <c r="AL170" s="418">
        <f>VLOOKUP('Physical Effects'!BV174,Lookup!$B$4:$C$14,2,FALSE)</f>
        <v>3</v>
      </c>
      <c r="AM170" s="418">
        <f>VLOOKUP('Physical Effects'!BX174,Lookup!$B$4:$C$14,2,FALSE)</f>
        <v>0</v>
      </c>
      <c r="AN170" s="418">
        <f>VLOOKUP('Physical Effects'!BZ174,Lookup!$B$4:$C$14,2,FALSE)</f>
        <v>0</v>
      </c>
      <c r="AO170" s="418">
        <f>VLOOKUP('Physical Effects'!CB174,Lookup!$B$4:$C$14,2,FALSE)</f>
        <v>0</v>
      </c>
      <c r="AP170" s="418">
        <f>VLOOKUP('Physical Effects'!CD174,Lookup!$B$4:$C$14,2,FALSE)</f>
        <v>0</v>
      </c>
      <c r="AQ170" s="418">
        <f>VLOOKUP('Physical Effects'!CF174,Lookup!$B$4:$C$14,2,FALSE)</f>
        <v>3</v>
      </c>
      <c r="AR170" s="418">
        <f>VLOOKUP('Physical Effects'!CH174,Lookup!$B$4:$C$14,2,FALSE)</f>
        <v>1</v>
      </c>
      <c r="AS170" s="418">
        <f>VLOOKUP('Physical Effects'!CJ174,Lookup!$B$4:$C$14,2,FALSE)</f>
        <v>0</v>
      </c>
      <c r="AT170" s="418">
        <f>VLOOKUP('Physical Effects'!CL174,Lookup!$B$4:$C$14,2,FALSE)</f>
        <v>0</v>
      </c>
      <c r="AU170" s="418">
        <f>VLOOKUP('Physical Effects'!CN174,Lookup!$B$4:$C$14,2,FALSE)</f>
        <v>1</v>
      </c>
    </row>
    <row r="171" spans="1:58" ht="13.5" thickBot="1" x14ac:dyDescent="0.25">
      <c r="A171" s="123">
        <f t="shared" si="2"/>
        <v>170</v>
      </c>
      <c r="B171" s="19"/>
      <c r="C171" s="32"/>
      <c r="D171" s="418"/>
      <c r="E171" s="418"/>
      <c r="F171" s="418"/>
      <c r="G171" s="418"/>
      <c r="H171" s="418"/>
      <c r="I171" s="418"/>
      <c r="J171" s="418"/>
      <c r="K171" s="418"/>
      <c r="L171" s="418"/>
      <c r="M171" s="418"/>
      <c r="N171" s="418"/>
      <c r="O171" s="418"/>
      <c r="P171" s="418"/>
      <c r="Q171" s="418"/>
      <c r="R171" s="418"/>
      <c r="S171" s="418"/>
      <c r="T171" s="418"/>
      <c r="U171" s="418"/>
      <c r="V171" s="418"/>
      <c r="W171" s="418"/>
      <c r="X171" s="418"/>
      <c r="Y171" s="418"/>
      <c r="Z171" s="418"/>
      <c r="AA171" s="418"/>
      <c r="AB171" s="418"/>
      <c r="AC171" s="418"/>
      <c r="AD171" s="418"/>
      <c r="AE171" s="418"/>
      <c r="AF171" s="418"/>
      <c r="AG171" s="418"/>
      <c r="AH171" s="418"/>
      <c r="AI171" s="418"/>
      <c r="AJ171" s="418"/>
      <c r="AK171" s="418"/>
      <c r="AL171" s="418"/>
      <c r="AM171" s="418"/>
      <c r="AN171" s="418"/>
      <c r="AO171" s="418"/>
      <c r="AP171" s="418"/>
      <c r="AQ171" s="418"/>
      <c r="AR171" s="418"/>
      <c r="AS171" s="418"/>
      <c r="AT171" s="418"/>
      <c r="AU171" s="418"/>
    </row>
    <row r="172" spans="1:58" ht="13.5" thickBot="1" x14ac:dyDescent="0.25">
      <c r="A172" s="123">
        <f t="shared" si="2"/>
        <v>171</v>
      </c>
      <c r="B172" s="19"/>
      <c r="C172" s="32"/>
      <c r="D172" s="418"/>
      <c r="E172" s="418"/>
      <c r="F172" s="418"/>
      <c r="G172" s="418"/>
      <c r="H172" s="418"/>
      <c r="I172" s="418"/>
      <c r="J172" s="418"/>
      <c r="K172" s="418"/>
      <c r="L172" s="418"/>
      <c r="M172" s="418"/>
      <c r="N172" s="418"/>
      <c r="O172" s="418"/>
      <c r="P172" s="418"/>
      <c r="Q172" s="418"/>
      <c r="R172" s="418"/>
      <c r="S172" s="418"/>
      <c r="T172" s="418"/>
      <c r="U172" s="418"/>
      <c r="V172" s="418"/>
      <c r="W172" s="418"/>
      <c r="X172" s="418"/>
      <c r="Y172" s="418"/>
      <c r="Z172" s="418"/>
      <c r="AA172" s="418"/>
      <c r="AB172" s="418"/>
      <c r="AC172" s="418"/>
      <c r="AD172" s="418"/>
      <c r="AE172" s="418"/>
      <c r="AF172" s="418"/>
      <c r="AG172" s="418"/>
      <c r="AH172" s="418"/>
      <c r="AI172" s="418"/>
      <c r="AJ172" s="418"/>
      <c r="AK172" s="418"/>
      <c r="AL172" s="418"/>
      <c r="AM172" s="418"/>
      <c r="AN172" s="418"/>
      <c r="AO172" s="418"/>
      <c r="AP172" s="418"/>
      <c r="AQ172" s="418"/>
      <c r="AR172" s="418"/>
      <c r="AS172" s="418"/>
      <c r="AT172" s="418"/>
      <c r="AU172" s="418"/>
    </row>
    <row r="173" spans="1:58" ht="13.5" thickBot="1" x14ac:dyDescent="0.25">
      <c r="A173" s="123">
        <f t="shared" ref="A173:A175" si="3">+A172+1</f>
        <v>172</v>
      </c>
      <c r="B173" s="19"/>
      <c r="C173" s="32"/>
      <c r="D173" s="418"/>
      <c r="E173" s="418"/>
      <c r="F173" s="418"/>
      <c r="G173" s="418"/>
      <c r="H173" s="418"/>
      <c r="I173" s="418"/>
      <c r="J173" s="418"/>
      <c r="K173" s="418"/>
      <c r="L173" s="418"/>
      <c r="M173" s="418"/>
      <c r="N173" s="418"/>
      <c r="O173" s="418"/>
      <c r="P173" s="418"/>
      <c r="Q173" s="418"/>
      <c r="R173" s="418"/>
      <c r="S173" s="418"/>
      <c r="T173" s="418"/>
      <c r="U173" s="418"/>
      <c r="V173" s="418"/>
      <c r="W173" s="418"/>
      <c r="X173" s="418"/>
      <c r="Y173" s="418"/>
      <c r="Z173" s="418"/>
      <c r="AA173" s="418"/>
      <c r="AB173" s="418"/>
      <c r="AC173" s="418"/>
      <c r="AD173" s="418"/>
      <c r="AE173" s="418"/>
      <c r="AF173" s="418"/>
      <c r="AG173" s="418"/>
      <c r="AH173" s="418"/>
      <c r="AI173" s="418"/>
      <c r="AJ173" s="418"/>
      <c r="AK173" s="418"/>
      <c r="AL173" s="418"/>
      <c r="AM173" s="418"/>
      <c r="AN173" s="418"/>
      <c r="AO173" s="418"/>
      <c r="AP173" s="418"/>
      <c r="AQ173" s="418"/>
      <c r="AR173" s="418"/>
      <c r="AS173" s="418"/>
      <c r="AT173" s="418"/>
      <c r="AU173" s="418"/>
    </row>
    <row r="174" spans="1:58" ht="13.5" thickBot="1" x14ac:dyDescent="0.25">
      <c r="A174" s="123">
        <f t="shared" si="3"/>
        <v>173</v>
      </c>
      <c r="B174" s="19"/>
      <c r="C174" s="32"/>
      <c r="D174" s="418"/>
      <c r="E174" s="418"/>
      <c r="F174" s="418"/>
      <c r="G174" s="418"/>
      <c r="H174" s="418"/>
      <c r="I174" s="418"/>
      <c r="J174" s="418"/>
      <c r="K174" s="418"/>
      <c r="L174" s="418"/>
      <c r="M174" s="418"/>
      <c r="N174" s="418"/>
      <c r="O174" s="418"/>
      <c r="P174" s="418"/>
      <c r="Q174" s="418"/>
      <c r="R174" s="418"/>
      <c r="S174" s="418"/>
      <c r="T174" s="418"/>
      <c r="U174" s="418"/>
      <c r="V174" s="418"/>
      <c r="W174" s="418"/>
      <c r="X174" s="418"/>
      <c r="Y174" s="418"/>
      <c r="Z174" s="418"/>
      <c r="AA174" s="418"/>
      <c r="AB174" s="418"/>
      <c r="AC174" s="418"/>
      <c r="AD174" s="418"/>
      <c r="AE174" s="418"/>
      <c r="AF174" s="418"/>
      <c r="AG174" s="418"/>
      <c r="AH174" s="418"/>
      <c r="AI174" s="418"/>
      <c r="AJ174" s="418"/>
      <c r="AK174" s="418"/>
      <c r="AL174" s="418"/>
      <c r="AM174" s="418"/>
      <c r="AN174" s="418"/>
      <c r="AO174" s="418"/>
      <c r="AP174" s="418"/>
      <c r="AQ174" s="418"/>
      <c r="AR174" s="418"/>
      <c r="AS174" s="418"/>
      <c r="AT174" s="418"/>
      <c r="AU174" s="418"/>
    </row>
    <row r="175" spans="1:58" ht="13.5" thickBot="1" x14ac:dyDescent="0.25">
      <c r="A175" s="123">
        <f t="shared" si="3"/>
        <v>174</v>
      </c>
      <c r="B175" s="19"/>
      <c r="C175" s="32"/>
      <c r="D175" s="418"/>
      <c r="E175" s="418"/>
      <c r="F175" s="418"/>
      <c r="G175" s="418"/>
      <c r="H175" s="418"/>
      <c r="I175" s="418"/>
      <c r="J175" s="418"/>
      <c r="K175" s="418"/>
      <c r="L175" s="418"/>
      <c r="M175" s="418"/>
      <c r="N175" s="418"/>
      <c r="O175" s="418"/>
      <c r="P175" s="418"/>
      <c r="Q175" s="418"/>
      <c r="R175" s="418"/>
      <c r="S175" s="418"/>
      <c r="T175" s="418"/>
      <c r="U175" s="418"/>
      <c r="V175" s="418"/>
      <c r="W175" s="418"/>
      <c r="X175" s="418"/>
      <c r="Y175" s="418"/>
      <c r="Z175" s="418"/>
      <c r="AA175" s="418"/>
      <c r="AB175" s="418"/>
      <c r="AC175" s="418"/>
      <c r="AD175" s="418"/>
      <c r="AE175" s="418"/>
      <c r="AF175" s="418"/>
      <c r="AG175" s="418"/>
      <c r="AH175" s="418"/>
      <c r="AI175" s="418"/>
      <c r="AJ175" s="418"/>
      <c r="AK175" s="418"/>
      <c r="AL175" s="418"/>
      <c r="AM175" s="418"/>
      <c r="AN175" s="418"/>
      <c r="AO175" s="418"/>
      <c r="AP175" s="418"/>
      <c r="AQ175" s="418"/>
      <c r="AR175" s="418"/>
      <c r="AS175" s="418"/>
      <c r="AT175" s="418"/>
      <c r="AU175" s="418"/>
    </row>
  </sheetData>
  <customSheetViews>
    <customSheetView guid="{F424B91F-F60F-4B7D-B253-938B2614248E}">
      <pane xSplit="2" ySplit="1" topLeftCell="C2" activePane="bottomRight" state="frozen"/>
      <selection pane="bottomRight" activeCell="C2" sqref="C2"/>
      <pageMargins left="0.75" right="0.75" top="1" bottom="1" header="0.5" footer="0.5"/>
      <pageSetup scale="75" pageOrder="overThenDown" orientation="landscape" verticalDpi="300" r:id="rId1"/>
      <headerFooter alignWithMargins="0">
        <oddHeader>&amp;RPractice Effects</oddHeader>
        <oddFooter>Page &amp;P of &amp;N</oddFooter>
      </headerFooter>
    </customSheetView>
  </customSheetViews>
  <phoneticPr fontId="5" type="noConversion"/>
  <pageMargins left="0.75" right="0.75" top="1" bottom="1" header="0.5" footer="0.5"/>
  <pageSetup scale="75" pageOrder="overThenDown" orientation="landscape" verticalDpi="300" r:id="rId2"/>
  <headerFooter alignWithMargins="0">
    <oddHeader>&amp;RPractice Effects</oddHeader>
    <oddFooter>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sheetPr>
  <dimension ref="A1:T73"/>
  <sheetViews>
    <sheetView showGridLines="0" zoomScale="80" zoomScaleNormal="80" workbookViewId="0">
      <pane ySplit="5" topLeftCell="A6" activePane="bottomLeft" state="frozen"/>
      <selection pane="bottomLeft" activeCell="E1" sqref="E1"/>
    </sheetView>
  </sheetViews>
  <sheetFormatPr defaultRowHeight="12.75" x14ac:dyDescent="0.2"/>
  <cols>
    <col min="1" max="1" width="2.7109375" style="426" customWidth="1"/>
    <col min="2" max="2" width="7" style="426" customWidth="1"/>
    <col min="3" max="3" width="43.28515625" style="426" customWidth="1"/>
    <col min="4" max="4" width="10.140625" style="426" customWidth="1"/>
    <col min="5" max="6" width="12.7109375" style="425" customWidth="1"/>
    <col min="7" max="7" width="14.5703125" style="425" customWidth="1"/>
    <col min="8" max="8" width="8.85546875" style="425" customWidth="1"/>
    <col min="9" max="9" width="25.5703125" style="425" customWidth="1"/>
    <col min="10" max="10" width="13.42578125" style="425" customWidth="1"/>
    <col min="11" max="11" width="6.140625" style="425" customWidth="1"/>
    <col min="12" max="12" width="22" style="425" customWidth="1"/>
    <col min="13" max="14" width="12.7109375" style="425" customWidth="1"/>
    <col min="15" max="20" width="10.7109375" style="426" customWidth="1"/>
    <col min="21" max="248" width="8.85546875" style="426"/>
    <col min="249" max="249" width="7.7109375" style="426" customWidth="1"/>
    <col min="250" max="250" width="6.28515625" style="426" bestFit="1" customWidth="1"/>
    <col min="251" max="251" width="28.7109375" style="426" customWidth="1"/>
    <col min="252" max="252" width="14.7109375" style="426" customWidth="1"/>
    <col min="253" max="270" width="12.7109375" style="426" customWidth="1"/>
    <col min="271" max="276" width="10.7109375" style="426" customWidth="1"/>
    <col min="277" max="504" width="8.85546875" style="426"/>
    <col min="505" max="505" width="7.7109375" style="426" customWidth="1"/>
    <col min="506" max="506" width="6.28515625" style="426" bestFit="1" customWidth="1"/>
    <col min="507" max="507" width="28.7109375" style="426" customWidth="1"/>
    <col min="508" max="508" width="14.7109375" style="426" customWidth="1"/>
    <col min="509" max="526" width="12.7109375" style="426" customWidth="1"/>
    <col min="527" max="532" width="10.7109375" style="426" customWidth="1"/>
    <col min="533" max="760" width="8.85546875" style="426"/>
    <col min="761" max="761" width="7.7109375" style="426" customWidth="1"/>
    <col min="762" max="762" width="6.28515625" style="426" bestFit="1" customWidth="1"/>
    <col min="763" max="763" width="28.7109375" style="426" customWidth="1"/>
    <col min="764" max="764" width="14.7109375" style="426" customWidth="1"/>
    <col min="765" max="782" width="12.7109375" style="426" customWidth="1"/>
    <col min="783" max="788" width="10.7109375" style="426" customWidth="1"/>
    <col min="789" max="1016" width="8.85546875" style="426"/>
    <col min="1017" max="1017" width="7.7109375" style="426" customWidth="1"/>
    <col min="1018" max="1018" width="6.28515625" style="426" bestFit="1" customWidth="1"/>
    <col min="1019" max="1019" width="28.7109375" style="426" customWidth="1"/>
    <col min="1020" max="1020" width="14.7109375" style="426" customWidth="1"/>
    <col min="1021" max="1038" width="12.7109375" style="426" customWidth="1"/>
    <col min="1039" max="1044" width="10.7109375" style="426" customWidth="1"/>
    <col min="1045" max="1272" width="8.85546875" style="426"/>
    <col min="1273" max="1273" width="7.7109375" style="426" customWidth="1"/>
    <col min="1274" max="1274" width="6.28515625" style="426" bestFit="1" customWidth="1"/>
    <col min="1275" max="1275" width="28.7109375" style="426" customWidth="1"/>
    <col min="1276" max="1276" width="14.7109375" style="426" customWidth="1"/>
    <col min="1277" max="1294" width="12.7109375" style="426" customWidth="1"/>
    <col min="1295" max="1300" width="10.7109375" style="426" customWidth="1"/>
    <col min="1301" max="1528" width="8.85546875" style="426"/>
    <col min="1529" max="1529" width="7.7109375" style="426" customWidth="1"/>
    <col min="1530" max="1530" width="6.28515625" style="426" bestFit="1" customWidth="1"/>
    <col min="1531" max="1531" width="28.7109375" style="426" customWidth="1"/>
    <col min="1532" max="1532" width="14.7109375" style="426" customWidth="1"/>
    <col min="1533" max="1550" width="12.7109375" style="426" customWidth="1"/>
    <col min="1551" max="1556" width="10.7109375" style="426" customWidth="1"/>
    <col min="1557" max="1784" width="8.85546875" style="426"/>
    <col min="1785" max="1785" width="7.7109375" style="426" customWidth="1"/>
    <col min="1786" max="1786" width="6.28515625" style="426" bestFit="1" customWidth="1"/>
    <col min="1787" max="1787" width="28.7109375" style="426" customWidth="1"/>
    <col min="1788" max="1788" width="14.7109375" style="426" customWidth="1"/>
    <col min="1789" max="1806" width="12.7109375" style="426" customWidth="1"/>
    <col min="1807" max="1812" width="10.7109375" style="426" customWidth="1"/>
    <col min="1813" max="2040" width="8.85546875" style="426"/>
    <col min="2041" max="2041" width="7.7109375" style="426" customWidth="1"/>
    <col min="2042" max="2042" width="6.28515625" style="426" bestFit="1" customWidth="1"/>
    <col min="2043" max="2043" width="28.7109375" style="426" customWidth="1"/>
    <col min="2044" max="2044" width="14.7109375" style="426" customWidth="1"/>
    <col min="2045" max="2062" width="12.7109375" style="426" customWidth="1"/>
    <col min="2063" max="2068" width="10.7109375" style="426" customWidth="1"/>
    <col min="2069" max="2296" width="8.85546875" style="426"/>
    <col min="2297" max="2297" width="7.7109375" style="426" customWidth="1"/>
    <col min="2298" max="2298" width="6.28515625" style="426" bestFit="1" customWidth="1"/>
    <col min="2299" max="2299" width="28.7109375" style="426" customWidth="1"/>
    <col min="2300" max="2300" width="14.7109375" style="426" customWidth="1"/>
    <col min="2301" max="2318" width="12.7109375" style="426" customWidth="1"/>
    <col min="2319" max="2324" width="10.7109375" style="426" customWidth="1"/>
    <col min="2325" max="2552" width="8.85546875" style="426"/>
    <col min="2553" max="2553" width="7.7109375" style="426" customWidth="1"/>
    <col min="2554" max="2554" width="6.28515625" style="426" bestFit="1" customWidth="1"/>
    <col min="2555" max="2555" width="28.7109375" style="426" customWidth="1"/>
    <col min="2556" max="2556" width="14.7109375" style="426" customWidth="1"/>
    <col min="2557" max="2574" width="12.7109375" style="426" customWidth="1"/>
    <col min="2575" max="2580" width="10.7109375" style="426" customWidth="1"/>
    <col min="2581" max="2808" width="8.85546875" style="426"/>
    <col min="2809" max="2809" width="7.7109375" style="426" customWidth="1"/>
    <col min="2810" max="2810" width="6.28515625" style="426" bestFit="1" customWidth="1"/>
    <col min="2811" max="2811" width="28.7109375" style="426" customWidth="1"/>
    <col min="2812" max="2812" width="14.7109375" style="426" customWidth="1"/>
    <col min="2813" max="2830" width="12.7109375" style="426" customWidth="1"/>
    <col min="2831" max="2836" width="10.7109375" style="426" customWidth="1"/>
    <col min="2837" max="3064" width="8.85546875" style="426"/>
    <col min="3065" max="3065" width="7.7109375" style="426" customWidth="1"/>
    <col min="3066" max="3066" width="6.28515625" style="426" bestFit="1" customWidth="1"/>
    <col min="3067" max="3067" width="28.7109375" style="426" customWidth="1"/>
    <col min="3068" max="3068" width="14.7109375" style="426" customWidth="1"/>
    <col min="3069" max="3086" width="12.7109375" style="426" customWidth="1"/>
    <col min="3087" max="3092" width="10.7109375" style="426" customWidth="1"/>
    <col min="3093" max="3320" width="8.85546875" style="426"/>
    <col min="3321" max="3321" width="7.7109375" style="426" customWidth="1"/>
    <col min="3322" max="3322" width="6.28515625" style="426" bestFit="1" customWidth="1"/>
    <col min="3323" max="3323" width="28.7109375" style="426" customWidth="1"/>
    <col min="3324" max="3324" width="14.7109375" style="426" customWidth="1"/>
    <col min="3325" max="3342" width="12.7109375" style="426" customWidth="1"/>
    <col min="3343" max="3348" width="10.7109375" style="426" customWidth="1"/>
    <col min="3349" max="3576" width="8.85546875" style="426"/>
    <col min="3577" max="3577" width="7.7109375" style="426" customWidth="1"/>
    <col min="3578" max="3578" width="6.28515625" style="426" bestFit="1" customWidth="1"/>
    <col min="3579" max="3579" width="28.7109375" style="426" customWidth="1"/>
    <col min="3580" max="3580" width="14.7109375" style="426" customWidth="1"/>
    <col min="3581" max="3598" width="12.7109375" style="426" customWidth="1"/>
    <col min="3599" max="3604" width="10.7109375" style="426" customWidth="1"/>
    <col min="3605" max="3832" width="8.85546875" style="426"/>
    <col min="3833" max="3833" width="7.7109375" style="426" customWidth="1"/>
    <col min="3834" max="3834" width="6.28515625" style="426" bestFit="1" customWidth="1"/>
    <col min="3835" max="3835" width="28.7109375" style="426" customWidth="1"/>
    <col min="3836" max="3836" width="14.7109375" style="426" customWidth="1"/>
    <col min="3837" max="3854" width="12.7109375" style="426" customWidth="1"/>
    <col min="3855" max="3860" width="10.7109375" style="426" customWidth="1"/>
    <col min="3861" max="4088" width="8.85546875" style="426"/>
    <col min="4089" max="4089" width="7.7109375" style="426" customWidth="1"/>
    <col min="4090" max="4090" width="6.28515625" style="426" bestFit="1" customWidth="1"/>
    <col min="4091" max="4091" width="28.7109375" style="426" customWidth="1"/>
    <col min="4092" max="4092" width="14.7109375" style="426" customWidth="1"/>
    <col min="4093" max="4110" width="12.7109375" style="426" customWidth="1"/>
    <col min="4111" max="4116" width="10.7109375" style="426" customWidth="1"/>
    <col min="4117" max="4344" width="8.85546875" style="426"/>
    <col min="4345" max="4345" width="7.7109375" style="426" customWidth="1"/>
    <col min="4346" max="4346" width="6.28515625" style="426" bestFit="1" customWidth="1"/>
    <col min="4347" max="4347" width="28.7109375" style="426" customWidth="1"/>
    <col min="4348" max="4348" width="14.7109375" style="426" customWidth="1"/>
    <col min="4349" max="4366" width="12.7109375" style="426" customWidth="1"/>
    <col min="4367" max="4372" width="10.7109375" style="426" customWidth="1"/>
    <col min="4373" max="4600" width="8.85546875" style="426"/>
    <col min="4601" max="4601" width="7.7109375" style="426" customWidth="1"/>
    <col min="4602" max="4602" width="6.28515625" style="426" bestFit="1" customWidth="1"/>
    <col min="4603" max="4603" width="28.7109375" style="426" customWidth="1"/>
    <col min="4604" max="4604" width="14.7109375" style="426" customWidth="1"/>
    <col min="4605" max="4622" width="12.7109375" style="426" customWidth="1"/>
    <col min="4623" max="4628" width="10.7109375" style="426" customWidth="1"/>
    <col min="4629" max="4856" width="8.85546875" style="426"/>
    <col min="4857" max="4857" width="7.7109375" style="426" customWidth="1"/>
    <col min="4858" max="4858" width="6.28515625" style="426" bestFit="1" customWidth="1"/>
    <col min="4859" max="4859" width="28.7109375" style="426" customWidth="1"/>
    <col min="4860" max="4860" width="14.7109375" style="426" customWidth="1"/>
    <col min="4861" max="4878" width="12.7109375" style="426" customWidth="1"/>
    <col min="4879" max="4884" width="10.7109375" style="426" customWidth="1"/>
    <col min="4885" max="5112" width="8.85546875" style="426"/>
    <col min="5113" max="5113" width="7.7109375" style="426" customWidth="1"/>
    <col min="5114" max="5114" width="6.28515625" style="426" bestFit="1" customWidth="1"/>
    <col min="5115" max="5115" width="28.7109375" style="426" customWidth="1"/>
    <col min="5116" max="5116" width="14.7109375" style="426" customWidth="1"/>
    <col min="5117" max="5134" width="12.7109375" style="426" customWidth="1"/>
    <col min="5135" max="5140" width="10.7109375" style="426" customWidth="1"/>
    <col min="5141" max="5368" width="8.85546875" style="426"/>
    <col min="5369" max="5369" width="7.7109375" style="426" customWidth="1"/>
    <col min="5370" max="5370" width="6.28515625" style="426" bestFit="1" customWidth="1"/>
    <col min="5371" max="5371" width="28.7109375" style="426" customWidth="1"/>
    <col min="5372" max="5372" width="14.7109375" style="426" customWidth="1"/>
    <col min="5373" max="5390" width="12.7109375" style="426" customWidth="1"/>
    <col min="5391" max="5396" width="10.7109375" style="426" customWidth="1"/>
    <col min="5397" max="5624" width="8.85546875" style="426"/>
    <col min="5625" max="5625" width="7.7109375" style="426" customWidth="1"/>
    <col min="5626" max="5626" width="6.28515625" style="426" bestFit="1" customWidth="1"/>
    <col min="5627" max="5627" width="28.7109375" style="426" customWidth="1"/>
    <col min="5628" max="5628" width="14.7109375" style="426" customWidth="1"/>
    <col min="5629" max="5646" width="12.7109375" style="426" customWidth="1"/>
    <col min="5647" max="5652" width="10.7109375" style="426" customWidth="1"/>
    <col min="5653" max="5880" width="8.85546875" style="426"/>
    <col min="5881" max="5881" width="7.7109375" style="426" customWidth="1"/>
    <col min="5882" max="5882" width="6.28515625" style="426" bestFit="1" customWidth="1"/>
    <col min="5883" max="5883" width="28.7109375" style="426" customWidth="1"/>
    <col min="5884" max="5884" width="14.7109375" style="426" customWidth="1"/>
    <col min="5885" max="5902" width="12.7109375" style="426" customWidth="1"/>
    <col min="5903" max="5908" width="10.7109375" style="426" customWidth="1"/>
    <col min="5909" max="6136" width="8.85546875" style="426"/>
    <col min="6137" max="6137" width="7.7109375" style="426" customWidth="1"/>
    <col min="6138" max="6138" width="6.28515625" style="426" bestFit="1" customWidth="1"/>
    <col min="6139" max="6139" width="28.7109375" style="426" customWidth="1"/>
    <col min="6140" max="6140" width="14.7109375" style="426" customWidth="1"/>
    <col min="6141" max="6158" width="12.7109375" style="426" customWidth="1"/>
    <col min="6159" max="6164" width="10.7109375" style="426" customWidth="1"/>
    <col min="6165" max="6392" width="8.85546875" style="426"/>
    <col min="6393" max="6393" width="7.7109375" style="426" customWidth="1"/>
    <col min="6394" max="6394" width="6.28515625" style="426" bestFit="1" customWidth="1"/>
    <col min="6395" max="6395" width="28.7109375" style="426" customWidth="1"/>
    <col min="6396" max="6396" width="14.7109375" style="426" customWidth="1"/>
    <col min="6397" max="6414" width="12.7109375" style="426" customWidth="1"/>
    <col min="6415" max="6420" width="10.7109375" style="426" customWidth="1"/>
    <col min="6421" max="6648" width="8.85546875" style="426"/>
    <col min="6649" max="6649" width="7.7109375" style="426" customWidth="1"/>
    <col min="6650" max="6650" width="6.28515625" style="426" bestFit="1" customWidth="1"/>
    <col min="6651" max="6651" width="28.7109375" style="426" customWidth="1"/>
    <col min="6652" max="6652" width="14.7109375" style="426" customWidth="1"/>
    <col min="6653" max="6670" width="12.7109375" style="426" customWidth="1"/>
    <col min="6671" max="6676" width="10.7109375" style="426" customWidth="1"/>
    <col min="6677" max="6904" width="8.85546875" style="426"/>
    <col min="6905" max="6905" width="7.7109375" style="426" customWidth="1"/>
    <col min="6906" max="6906" width="6.28515625" style="426" bestFit="1" customWidth="1"/>
    <col min="6907" max="6907" width="28.7109375" style="426" customWidth="1"/>
    <col min="6908" max="6908" width="14.7109375" style="426" customWidth="1"/>
    <col min="6909" max="6926" width="12.7109375" style="426" customWidth="1"/>
    <col min="6927" max="6932" width="10.7109375" style="426" customWidth="1"/>
    <col min="6933" max="7160" width="8.85546875" style="426"/>
    <col min="7161" max="7161" width="7.7109375" style="426" customWidth="1"/>
    <col min="7162" max="7162" width="6.28515625" style="426" bestFit="1" customWidth="1"/>
    <col min="7163" max="7163" width="28.7109375" style="426" customWidth="1"/>
    <col min="7164" max="7164" width="14.7109375" style="426" customWidth="1"/>
    <col min="7165" max="7182" width="12.7109375" style="426" customWidth="1"/>
    <col min="7183" max="7188" width="10.7109375" style="426" customWidth="1"/>
    <col min="7189" max="7416" width="8.85546875" style="426"/>
    <col min="7417" max="7417" width="7.7109375" style="426" customWidth="1"/>
    <col min="7418" max="7418" width="6.28515625" style="426" bestFit="1" customWidth="1"/>
    <col min="7419" max="7419" width="28.7109375" style="426" customWidth="1"/>
    <col min="7420" max="7420" width="14.7109375" style="426" customWidth="1"/>
    <col min="7421" max="7438" width="12.7109375" style="426" customWidth="1"/>
    <col min="7439" max="7444" width="10.7109375" style="426" customWidth="1"/>
    <col min="7445" max="7672" width="8.85546875" style="426"/>
    <col min="7673" max="7673" width="7.7109375" style="426" customWidth="1"/>
    <col min="7674" max="7674" width="6.28515625" style="426" bestFit="1" customWidth="1"/>
    <col min="7675" max="7675" width="28.7109375" style="426" customWidth="1"/>
    <col min="7676" max="7676" width="14.7109375" style="426" customWidth="1"/>
    <col min="7677" max="7694" width="12.7109375" style="426" customWidth="1"/>
    <col min="7695" max="7700" width="10.7109375" style="426" customWidth="1"/>
    <col min="7701" max="7928" width="8.85546875" style="426"/>
    <col min="7929" max="7929" width="7.7109375" style="426" customWidth="1"/>
    <col min="7930" max="7930" width="6.28515625" style="426" bestFit="1" customWidth="1"/>
    <col min="7931" max="7931" width="28.7109375" style="426" customWidth="1"/>
    <col min="7932" max="7932" width="14.7109375" style="426" customWidth="1"/>
    <col min="7933" max="7950" width="12.7109375" style="426" customWidth="1"/>
    <col min="7951" max="7956" width="10.7109375" style="426" customWidth="1"/>
    <col min="7957" max="8184" width="8.85546875" style="426"/>
    <col min="8185" max="8185" width="7.7109375" style="426" customWidth="1"/>
    <col min="8186" max="8186" width="6.28515625" style="426" bestFit="1" customWidth="1"/>
    <col min="8187" max="8187" width="28.7109375" style="426" customWidth="1"/>
    <col min="8188" max="8188" width="14.7109375" style="426" customWidth="1"/>
    <col min="8189" max="8206" width="12.7109375" style="426" customWidth="1"/>
    <col min="8207" max="8212" width="10.7109375" style="426" customWidth="1"/>
    <col min="8213" max="8440" width="8.85546875" style="426"/>
    <col min="8441" max="8441" width="7.7109375" style="426" customWidth="1"/>
    <col min="8442" max="8442" width="6.28515625" style="426" bestFit="1" customWidth="1"/>
    <col min="8443" max="8443" width="28.7109375" style="426" customWidth="1"/>
    <col min="8444" max="8444" width="14.7109375" style="426" customWidth="1"/>
    <col min="8445" max="8462" width="12.7109375" style="426" customWidth="1"/>
    <col min="8463" max="8468" width="10.7109375" style="426" customWidth="1"/>
    <col min="8469" max="8696" width="8.85546875" style="426"/>
    <col min="8697" max="8697" width="7.7109375" style="426" customWidth="1"/>
    <col min="8698" max="8698" width="6.28515625" style="426" bestFit="1" customWidth="1"/>
    <col min="8699" max="8699" width="28.7109375" style="426" customWidth="1"/>
    <col min="8700" max="8700" width="14.7109375" style="426" customWidth="1"/>
    <col min="8701" max="8718" width="12.7109375" style="426" customWidth="1"/>
    <col min="8719" max="8724" width="10.7109375" style="426" customWidth="1"/>
    <col min="8725" max="8952" width="8.85546875" style="426"/>
    <col min="8953" max="8953" width="7.7109375" style="426" customWidth="1"/>
    <col min="8954" max="8954" width="6.28515625" style="426" bestFit="1" customWidth="1"/>
    <col min="8955" max="8955" width="28.7109375" style="426" customWidth="1"/>
    <col min="8956" max="8956" width="14.7109375" style="426" customWidth="1"/>
    <col min="8957" max="8974" width="12.7109375" style="426" customWidth="1"/>
    <col min="8975" max="8980" width="10.7109375" style="426" customWidth="1"/>
    <col min="8981" max="9208" width="8.85546875" style="426"/>
    <col min="9209" max="9209" width="7.7109375" style="426" customWidth="1"/>
    <col min="9210" max="9210" width="6.28515625" style="426" bestFit="1" customWidth="1"/>
    <col min="9211" max="9211" width="28.7109375" style="426" customWidth="1"/>
    <col min="9212" max="9212" width="14.7109375" style="426" customWidth="1"/>
    <col min="9213" max="9230" width="12.7109375" style="426" customWidth="1"/>
    <col min="9231" max="9236" width="10.7109375" style="426" customWidth="1"/>
    <col min="9237" max="9464" width="8.85546875" style="426"/>
    <col min="9465" max="9465" width="7.7109375" style="426" customWidth="1"/>
    <col min="9466" max="9466" width="6.28515625" style="426" bestFit="1" customWidth="1"/>
    <col min="9467" max="9467" width="28.7109375" style="426" customWidth="1"/>
    <col min="9468" max="9468" width="14.7109375" style="426" customWidth="1"/>
    <col min="9469" max="9486" width="12.7109375" style="426" customWidth="1"/>
    <col min="9487" max="9492" width="10.7109375" style="426" customWidth="1"/>
    <col min="9493" max="9720" width="8.85546875" style="426"/>
    <col min="9721" max="9721" width="7.7109375" style="426" customWidth="1"/>
    <col min="9722" max="9722" width="6.28515625" style="426" bestFit="1" customWidth="1"/>
    <col min="9723" max="9723" width="28.7109375" style="426" customWidth="1"/>
    <col min="9724" max="9724" width="14.7109375" style="426" customWidth="1"/>
    <col min="9725" max="9742" width="12.7109375" style="426" customWidth="1"/>
    <col min="9743" max="9748" width="10.7109375" style="426" customWidth="1"/>
    <col min="9749" max="9976" width="8.85546875" style="426"/>
    <col min="9977" max="9977" width="7.7109375" style="426" customWidth="1"/>
    <col min="9978" max="9978" width="6.28515625" style="426" bestFit="1" customWidth="1"/>
    <col min="9979" max="9979" width="28.7109375" style="426" customWidth="1"/>
    <col min="9980" max="9980" width="14.7109375" style="426" customWidth="1"/>
    <col min="9981" max="9998" width="12.7109375" style="426" customWidth="1"/>
    <col min="9999" max="10004" width="10.7109375" style="426" customWidth="1"/>
    <col min="10005" max="10232" width="8.85546875" style="426"/>
    <col min="10233" max="10233" width="7.7109375" style="426" customWidth="1"/>
    <col min="10234" max="10234" width="6.28515625" style="426" bestFit="1" customWidth="1"/>
    <col min="10235" max="10235" width="28.7109375" style="426" customWidth="1"/>
    <col min="10236" max="10236" width="14.7109375" style="426" customWidth="1"/>
    <col min="10237" max="10254" width="12.7109375" style="426" customWidth="1"/>
    <col min="10255" max="10260" width="10.7109375" style="426" customWidth="1"/>
    <col min="10261" max="10488" width="8.85546875" style="426"/>
    <col min="10489" max="10489" width="7.7109375" style="426" customWidth="1"/>
    <col min="10490" max="10490" width="6.28515625" style="426" bestFit="1" customWidth="1"/>
    <col min="10491" max="10491" width="28.7109375" style="426" customWidth="1"/>
    <col min="10492" max="10492" width="14.7109375" style="426" customWidth="1"/>
    <col min="10493" max="10510" width="12.7109375" style="426" customWidth="1"/>
    <col min="10511" max="10516" width="10.7109375" style="426" customWidth="1"/>
    <col min="10517" max="10744" width="8.85546875" style="426"/>
    <col min="10745" max="10745" width="7.7109375" style="426" customWidth="1"/>
    <col min="10746" max="10746" width="6.28515625" style="426" bestFit="1" customWidth="1"/>
    <col min="10747" max="10747" width="28.7109375" style="426" customWidth="1"/>
    <col min="10748" max="10748" width="14.7109375" style="426" customWidth="1"/>
    <col min="10749" max="10766" width="12.7109375" style="426" customWidth="1"/>
    <col min="10767" max="10772" width="10.7109375" style="426" customWidth="1"/>
    <col min="10773" max="11000" width="8.85546875" style="426"/>
    <col min="11001" max="11001" width="7.7109375" style="426" customWidth="1"/>
    <col min="11002" max="11002" width="6.28515625" style="426" bestFit="1" customWidth="1"/>
    <col min="11003" max="11003" width="28.7109375" style="426" customWidth="1"/>
    <col min="11004" max="11004" width="14.7109375" style="426" customWidth="1"/>
    <col min="11005" max="11022" width="12.7109375" style="426" customWidth="1"/>
    <col min="11023" max="11028" width="10.7109375" style="426" customWidth="1"/>
    <col min="11029" max="11256" width="8.85546875" style="426"/>
    <col min="11257" max="11257" width="7.7109375" style="426" customWidth="1"/>
    <col min="11258" max="11258" width="6.28515625" style="426" bestFit="1" customWidth="1"/>
    <col min="11259" max="11259" width="28.7109375" style="426" customWidth="1"/>
    <col min="11260" max="11260" width="14.7109375" style="426" customWidth="1"/>
    <col min="11261" max="11278" width="12.7109375" style="426" customWidth="1"/>
    <col min="11279" max="11284" width="10.7109375" style="426" customWidth="1"/>
    <col min="11285" max="11512" width="8.85546875" style="426"/>
    <col min="11513" max="11513" width="7.7109375" style="426" customWidth="1"/>
    <col min="11514" max="11514" width="6.28515625" style="426" bestFit="1" customWidth="1"/>
    <col min="11515" max="11515" width="28.7109375" style="426" customWidth="1"/>
    <col min="11516" max="11516" width="14.7109375" style="426" customWidth="1"/>
    <col min="11517" max="11534" width="12.7109375" style="426" customWidth="1"/>
    <col min="11535" max="11540" width="10.7109375" style="426" customWidth="1"/>
    <col min="11541" max="11768" width="8.85546875" style="426"/>
    <col min="11769" max="11769" width="7.7109375" style="426" customWidth="1"/>
    <col min="11770" max="11770" width="6.28515625" style="426" bestFit="1" customWidth="1"/>
    <col min="11771" max="11771" width="28.7109375" style="426" customWidth="1"/>
    <col min="11772" max="11772" width="14.7109375" style="426" customWidth="1"/>
    <col min="11773" max="11790" width="12.7109375" style="426" customWidth="1"/>
    <col min="11791" max="11796" width="10.7109375" style="426" customWidth="1"/>
    <col min="11797" max="12024" width="8.85546875" style="426"/>
    <col min="12025" max="12025" width="7.7109375" style="426" customWidth="1"/>
    <col min="12026" max="12026" width="6.28515625" style="426" bestFit="1" customWidth="1"/>
    <col min="12027" max="12027" width="28.7109375" style="426" customWidth="1"/>
    <col min="12028" max="12028" width="14.7109375" style="426" customWidth="1"/>
    <col min="12029" max="12046" width="12.7109375" style="426" customWidth="1"/>
    <col min="12047" max="12052" width="10.7109375" style="426" customWidth="1"/>
    <col min="12053" max="12280" width="8.85546875" style="426"/>
    <col min="12281" max="12281" width="7.7109375" style="426" customWidth="1"/>
    <col min="12282" max="12282" width="6.28515625" style="426" bestFit="1" customWidth="1"/>
    <col min="12283" max="12283" width="28.7109375" style="426" customWidth="1"/>
    <col min="12284" max="12284" width="14.7109375" style="426" customWidth="1"/>
    <col min="12285" max="12302" width="12.7109375" style="426" customWidth="1"/>
    <col min="12303" max="12308" width="10.7109375" style="426" customWidth="1"/>
    <col min="12309" max="12536" width="8.85546875" style="426"/>
    <col min="12537" max="12537" width="7.7109375" style="426" customWidth="1"/>
    <col min="12538" max="12538" width="6.28515625" style="426" bestFit="1" customWidth="1"/>
    <col min="12539" max="12539" width="28.7109375" style="426" customWidth="1"/>
    <col min="12540" max="12540" width="14.7109375" style="426" customWidth="1"/>
    <col min="12541" max="12558" width="12.7109375" style="426" customWidth="1"/>
    <col min="12559" max="12564" width="10.7109375" style="426" customWidth="1"/>
    <col min="12565" max="12792" width="8.85546875" style="426"/>
    <col min="12793" max="12793" width="7.7109375" style="426" customWidth="1"/>
    <col min="12794" max="12794" width="6.28515625" style="426" bestFit="1" customWidth="1"/>
    <col min="12795" max="12795" width="28.7109375" style="426" customWidth="1"/>
    <col min="12796" max="12796" width="14.7109375" style="426" customWidth="1"/>
    <col min="12797" max="12814" width="12.7109375" style="426" customWidth="1"/>
    <col min="12815" max="12820" width="10.7109375" style="426" customWidth="1"/>
    <col min="12821" max="13048" width="8.85546875" style="426"/>
    <col min="13049" max="13049" width="7.7109375" style="426" customWidth="1"/>
    <col min="13050" max="13050" width="6.28515625" style="426" bestFit="1" customWidth="1"/>
    <col min="13051" max="13051" width="28.7109375" style="426" customWidth="1"/>
    <col min="13052" max="13052" width="14.7109375" style="426" customWidth="1"/>
    <col min="13053" max="13070" width="12.7109375" style="426" customWidth="1"/>
    <col min="13071" max="13076" width="10.7109375" style="426" customWidth="1"/>
    <col min="13077" max="13304" width="8.85546875" style="426"/>
    <col min="13305" max="13305" width="7.7109375" style="426" customWidth="1"/>
    <col min="13306" max="13306" width="6.28515625" style="426" bestFit="1" customWidth="1"/>
    <col min="13307" max="13307" width="28.7109375" style="426" customWidth="1"/>
    <col min="13308" max="13308" width="14.7109375" style="426" customWidth="1"/>
    <col min="13309" max="13326" width="12.7109375" style="426" customWidth="1"/>
    <col min="13327" max="13332" width="10.7109375" style="426" customWidth="1"/>
    <col min="13333" max="13560" width="8.85546875" style="426"/>
    <col min="13561" max="13561" width="7.7109375" style="426" customWidth="1"/>
    <col min="13562" max="13562" width="6.28515625" style="426" bestFit="1" customWidth="1"/>
    <col min="13563" max="13563" width="28.7109375" style="426" customWidth="1"/>
    <col min="13564" max="13564" width="14.7109375" style="426" customWidth="1"/>
    <col min="13565" max="13582" width="12.7109375" style="426" customWidth="1"/>
    <col min="13583" max="13588" width="10.7109375" style="426" customWidth="1"/>
    <col min="13589" max="13816" width="8.85546875" style="426"/>
    <col min="13817" max="13817" width="7.7109375" style="426" customWidth="1"/>
    <col min="13818" max="13818" width="6.28515625" style="426" bestFit="1" customWidth="1"/>
    <col min="13819" max="13819" width="28.7109375" style="426" customWidth="1"/>
    <col min="13820" max="13820" width="14.7109375" style="426" customWidth="1"/>
    <col min="13821" max="13838" width="12.7109375" style="426" customWidth="1"/>
    <col min="13839" max="13844" width="10.7109375" style="426" customWidth="1"/>
    <col min="13845" max="14072" width="8.85546875" style="426"/>
    <col min="14073" max="14073" width="7.7109375" style="426" customWidth="1"/>
    <col min="14074" max="14074" width="6.28515625" style="426" bestFit="1" customWidth="1"/>
    <col min="14075" max="14075" width="28.7109375" style="426" customWidth="1"/>
    <col min="14076" max="14076" width="14.7109375" style="426" customWidth="1"/>
    <col min="14077" max="14094" width="12.7109375" style="426" customWidth="1"/>
    <col min="14095" max="14100" width="10.7109375" style="426" customWidth="1"/>
    <col min="14101" max="14328" width="8.85546875" style="426"/>
    <col min="14329" max="14329" width="7.7109375" style="426" customWidth="1"/>
    <col min="14330" max="14330" width="6.28515625" style="426" bestFit="1" customWidth="1"/>
    <col min="14331" max="14331" width="28.7109375" style="426" customWidth="1"/>
    <col min="14332" max="14332" width="14.7109375" style="426" customWidth="1"/>
    <col min="14333" max="14350" width="12.7109375" style="426" customWidth="1"/>
    <col min="14351" max="14356" width="10.7109375" style="426" customWidth="1"/>
    <col min="14357" max="14584" width="8.85546875" style="426"/>
    <col min="14585" max="14585" width="7.7109375" style="426" customWidth="1"/>
    <col min="14586" max="14586" width="6.28515625" style="426" bestFit="1" customWidth="1"/>
    <col min="14587" max="14587" width="28.7109375" style="426" customWidth="1"/>
    <col min="14588" max="14588" width="14.7109375" style="426" customWidth="1"/>
    <col min="14589" max="14606" width="12.7109375" style="426" customWidth="1"/>
    <col min="14607" max="14612" width="10.7109375" style="426" customWidth="1"/>
    <col min="14613" max="14840" width="8.85546875" style="426"/>
    <col min="14841" max="14841" width="7.7109375" style="426" customWidth="1"/>
    <col min="14842" max="14842" width="6.28515625" style="426" bestFit="1" customWidth="1"/>
    <col min="14843" max="14843" width="28.7109375" style="426" customWidth="1"/>
    <col min="14844" max="14844" width="14.7109375" style="426" customWidth="1"/>
    <col min="14845" max="14862" width="12.7109375" style="426" customWidth="1"/>
    <col min="14863" max="14868" width="10.7109375" style="426" customWidth="1"/>
    <col min="14869" max="15096" width="8.85546875" style="426"/>
    <col min="15097" max="15097" width="7.7109375" style="426" customWidth="1"/>
    <col min="15098" max="15098" width="6.28515625" style="426" bestFit="1" customWidth="1"/>
    <col min="15099" max="15099" width="28.7109375" style="426" customWidth="1"/>
    <col min="15100" max="15100" width="14.7109375" style="426" customWidth="1"/>
    <col min="15101" max="15118" width="12.7109375" style="426" customWidth="1"/>
    <col min="15119" max="15124" width="10.7109375" style="426" customWidth="1"/>
    <col min="15125" max="15352" width="8.85546875" style="426"/>
    <col min="15353" max="15353" width="7.7109375" style="426" customWidth="1"/>
    <col min="15354" max="15354" width="6.28515625" style="426" bestFit="1" customWidth="1"/>
    <col min="15355" max="15355" width="28.7109375" style="426" customWidth="1"/>
    <col min="15356" max="15356" width="14.7109375" style="426" customWidth="1"/>
    <col min="15357" max="15374" width="12.7109375" style="426" customWidth="1"/>
    <col min="15375" max="15380" width="10.7109375" style="426" customWidth="1"/>
    <col min="15381" max="15608" width="8.85546875" style="426"/>
    <col min="15609" max="15609" width="7.7109375" style="426" customWidth="1"/>
    <col min="15610" max="15610" width="6.28515625" style="426" bestFit="1" customWidth="1"/>
    <col min="15611" max="15611" width="28.7109375" style="426" customWidth="1"/>
    <col min="15612" max="15612" width="14.7109375" style="426" customWidth="1"/>
    <col min="15613" max="15630" width="12.7109375" style="426" customWidth="1"/>
    <col min="15631" max="15636" width="10.7109375" style="426" customWidth="1"/>
    <col min="15637" max="15864" width="8.85546875" style="426"/>
    <col min="15865" max="15865" width="7.7109375" style="426" customWidth="1"/>
    <col min="15866" max="15866" width="6.28515625" style="426" bestFit="1" customWidth="1"/>
    <col min="15867" max="15867" width="28.7109375" style="426" customWidth="1"/>
    <col min="15868" max="15868" width="14.7109375" style="426" customWidth="1"/>
    <col min="15869" max="15886" width="12.7109375" style="426" customWidth="1"/>
    <col min="15887" max="15892" width="10.7109375" style="426" customWidth="1"/>
    <col min="15893" max="16120" width="8.85546875" style="426"/>
    <col min="16121" max="16121" width="7.7109375" style="426" customWidth="1"/>
    <col min="16122" max="16122" width="6.28515625" style="426" bestFit="1" customWidth="1"/>
    <col min="16123" max="16123" width="28.7109375" style="426" customWidth="1"/>
    <col min="16124" max="16124" width="14.7109375" style="426" customWidth="1"/>
    <col min="16125" max="16142" width="12.7109375" style="426" customWidth="1"/>
    <col min="16143" max="16148" width="10.7109375" style="426" customWidth="1"/>
    <col min="16149" max="16384" width="8.85546875" style="426"/>
  </cols>
  <sheetData>
    <row r="1" spans="1:20" ht="23.45" customHeight="1" thickBot="1" x14ac:dyDescent="0.25">
      <c r="A1" s="421">
        <v>122</v>
      </c>
      <c r="B1" s="422"/>
      <c r="C1" s="423"/>
      <c r="D1" s="423"/>
      <c r="E1" s="424"/>
      <c r="F1" s="424"/>
      <c r="G1" s="424"/>
      <c r="H1" s="424"/>
      <c r="I1" s="424"/>
      <c r="J1" s="424"/>
      <c r="K1" s="424"/>
      <c r="L1" s="424"/>
      <c r="M1" s="424"/>
      <c r="N1" s="557" t="s">
        <v>2549</v>
      </c>
      <c r="O1" s="57"/>
      <c r="P1" s="57"/>
      <c r="Q1" s="57"/>
      <c r="R1" s="57"/>
    </row>
    <row r="2" spans="1:20" ht="31.5" thickTop="1" thickBot="1" x14ac:dyDescent="0.45">
      <c r="A2" s="423"/>
      <c r="B2" s="479" t="s">
        <v>2279</v>
      </c>
      <c r="C2" s="480"/>
      <c r="D2" s="481"/>
      <c r="E2" s="481"/>
      <c r="F2" s="481"/>
      <c r="G2" s="481"/>
      <c r="H2" s="481"/>
      <c r="I2" s="481"/>
      <c r="J2" s="481"/>
      <c r="K2" s="481"/>
      <c r="L2" s="482"/>
      <c r="N2" s="425" t="s">
        <v>2231</v>
      </c>
      <c r="O2" s="57"/>
      <c r="P2" s="57"/>
      <c r="Q2" s="57"/>
      <c r="R2" s="57"/>
      <c r="S2" s="57"/>
      <c r="T2" s="57"/>
    </row>
    <row r="3" spans="1:20" ht="34.9" customHeight="1" thickTop="1" x14ac:dyDescent="0.25">
      <c r="B3" s="437" t="str">
        <f>VLOOKUP($A$1,'Physical Effects'!$A$6:$B$174,2,FALSE)</f>
        <v>Sediment Basin</v>
      </c>
      <c r="C3" s="438"/>
      <c r="D3" s="439"/>
      <c r="E3" s="439"/>
      <c r="F3" s="439"/>
      <c r="G3" s="439"/>
      <c r="H3" s="439"/>
      <c r="I3" s="439"/>
      <c r="J3" s="440" t="s">
        <v>2232</v>
      </c>
      <c r="K3" s="441">
        <f>VLOOKUP($A$1,'Physical Effects'!$A$6:D$174,4,FALSE)</f>
        <v>350</v>
      </c>
      <c r="L3" s="625" t="s">
        <v>2590</v>
      </c>
      <c r="N3" s="54"/>
      <c r="O3" s="69"/>
      <c r="P3" s="70"/>
      <c r="Q3" s="57"/>
      <c r="R3" s="57"/>
      <c r="S3" s="57"/>
      <c r="T3" s="57"/>
    </row>
    <row r="4" spans="1:20" s="428" customFormat="1" ht="40.9" customHeight="1" x14ac:dyDescent="0.25">
      <c r="A4" s="427"/>
      <c r="B4" s="618" t="str">
        <f>VLOOKUP($K$3,'Practice Descriptions'!E11:F186,2,FALSE)</f>
        <v>A basin constructed with an engineered outlet, formed by an embankment or excavation or a combination of the two.</v>
      </c>
      <c r="C4" s="619"/>
      <c r="D4" s="619"/>
      <c r="E4" s="619"/>
      <c r="F4" s="619"/>
      <c r="G4" s="619"/>
      <c r="H4" s="619"/>
      <c r="I4" s="619"/>
      <c r="J4" s="442" t="s">
        <v>2233</v>
      </c>
      <c r="K4" s="443" t="str">
        <f>VLOOKUP($A$1,'Physical Effects'!$A$6:E$174,5,FALSE)</f>
        <v>no.</v>
      </c>
      <c r="L4" s="626"/>
      <c r="N4" s="54"/>
      <c r="O4" s="78"/>
      <c r="P4" s="54"/>
      <c r="Q4" s="54"/>
      <c r="R4" s="54"/>
      <c r="T4" s="54"/>
    </row>
    <row r="5" spans="1:20" ht="15.75" x14ac:dyDescent="0.2">
      <c r="A5" s="423"/>
      <c r="B5" s="620"/>
      <c r="C5" s="619"/>
      <c r="D5" s="619"/>
      <c r="E5" s="619"/>
      <c r="F5" s="619"/>
      <c r="G5" s="619"/>
      <c r="H5" s="619"/>
      <c r="I5" s="619"/>
      <c r="J5" s="627" t="s">
        <v>2235</v>
      </c>
      <c r="K5" s="628"/>
      <c r="L5" s="444" t="str">
        <f>+VLOOKUP($K$3,'Practice-LandUse'!$C$3:$O$175,13,FALSE)</f>
        <v>C  F  R  P  Pr  FS  D    O  AL</v>
      </c>
      <c r="M5" s="428"/>
      <c r="N5" s="54"/>
      <c r="O5" s="57"/>
      <c r="P5" s="57"/>
      <c r="Q5" s="57"/>
      <c r="R5" s="57"/>
      <c r="T5" s="57"/>
    </row>
    <row r="6" spans="1:20" s="425" customFormat="1" ht="15" x14ac:dyDescent="0.2">
      <c r="A6" s="424"/>
      <c r="B6" s="445" t="s">
        <v>1945</v>
      </c>
      <c r="C6" s="439"/>
      <c r="D6" s="446" t="s">
        <v>2038</v>
      </c>
      <c r="E6" s="447" t="s">
        <v>475</v>
      </c>
      <c r="F6" s="439"/>
      <c r="G6" s="439"/>
      <c r="H6" s="439"/>
      <c r="I6" s="439"/>
      <c r="J6" s="439"/>
      <c r="K6" s="439"/>
      <c r="L6" s="448"/>
      <c r="M6" s="428"/>
      <c r="N6" s="56"/>
      <c r="O6" s="130"/>
      <c r="P6" s="87"/>
      <c r="Q6" s="56"/>
      <c r="R6" s="56"/>
      <c r="T6" s="87"/>
    </row>
    <row r="7" spans="1:20" s="425" customFormat="1" ht="30" customHeight="1" x14ac:dyDescent="0.2">
      <c r="A7" s="429"/>
      <c r="B7" s="449" t="str">
        <f>+'Physical Effects-Numbers'!D$1</f>
        <v>Soil Erosion - Sheet and Rill Erosion</v>
      </c>
      <c r="C7" s="439"/>
      <c r="D7" s="450">
        <f>VLOOKUP($A$1,'Physical Effects-Numbers'!$A$2:$AU$175,4,FALSE)</f>
        <v>0</v>
      </c>
      <c r="E7" s="621" t="str">
        <f>VLOOKUP($A$1,'Physical Effects'!$A$6:$CP$174,7,FALSE)</f>
        <v>Not Applicable</v>
      </c>
      <c r="F7" s="619"/>
      <c r="G7" s="619"/>
      <c r="H7" s="619"/>
      <c r="I7" s="619"/>
      <c r="J7" s="619"/>
      <c r="K7" s="619"/>
      <c r="L7" s="622"/>
      <c r="M7" s="428"/>
      <c r="N7" s="536"/>
      <c r="O7" s="126"/>
      <c r="P7" s="87"/>
      <c r="Q7" s="56"/>
      <c r="R7" s="56"/>
      <c r="T7" s="87"/>
    </row>
    <row r="8" spans="1:20" s="425" customFormat="1" ht="30" customHeight="1" x14ac:dyDescent="0.2">
      <c r="A8" s="429"/>
      <c r="B8" s="449" t="str">
        <f>+'Physical Effects-Numbers'!E$1</f>
        <v>Soil Erosion - Wind Erosion</v>
      </c>
      <c r="C8" s="439"/>
      <c r="D8" s="450">
        <f>VLOOKUP($A$1,'Physical Effects-Numbers'!$A$2:$AU$175,5,FALSE)</f>
        <v>0</v>
      </c>
      <c r="E8" s="623" t="str">
        <f>VLOOKUP($A$1,'Physical Effects'!$A$6:$CP$174,9,FALSE)</f>
        <v>Not Applicable</v>
      </c>
      <c r="F8" s="619"/>
      <c r="G8" s="619"/>
      <c r="H8" s="619"/>
      <c r="I8" s="619"/>
      <c r="J8" s="619"/>
      <c r="K8" s="619"/>
      <c r="L8" s="622"/>
      <c r="N8" s="536"/>
      <c r="O8" s="126"/>
      <c r="P8" s="87"/>
      <c r="Q8" s="56"/>
      <c r="R8" s="56"/>
    </row>
    <row r="9" spans="1:20" s="425" customFormat="1" ht="30" customHeight="1" x14ac:dyDescent="0.2">
      <c r="A9" s="429"/>
      <c r="B9" s="449" t="str">
        <f>+'Physical Effects-Numbers'!F$1</f>
        <v>Soil Erosion - Ephemeral Gully Erosion</v>
      </c>
      <c r="C9" s="439"/>
      <c r="D9" s="450">
        <f>VLOOKUP($A$1,'Physical Effects-Numbers'!$A$2:$AU$175,6,FALSE)</f>
        <v>2</v>
      </c>
      <c r="E9" s="623" t="str">
        <f>VLOOKUP($A$1,'Physical Effects'!$A$6:$CP$174,11,FALSE)</f>
        <v>Controlled flow will reduce gulley erosion down slope of basin</v>
      </c>
      <c r="F9" s="623"/>
      <c r="G9" s="623"/>
      <c r="H9" s="623"/>
      <c r="I9" s="623"/>
      <c r="J9" s="623"/>
      <c r="K9" s="623"/>
      <c r="L9" s="624"/>
      <c r="N9" s="536"/>
      <c r="O9" s="126"/>
      <c r="P9" s="87"/>
      <c r="Q9" s="56"/>
      <c r="R9" s="56"/>
    </row>
    <row r="10" spans="1:20" s="425" customFormat="1" ht="30" customHeight="1" x14ac:dyDescent="0.2">
      <c r="A10" s="429"/>
      <c r="B10" s="449" t="str">
        <f>+'Physical Effects-Numbers'!G$1</f>
        <v>Soil Erosion - Classic Gully Erosion</v>
      </c>
      <c r="C10" s="439"/>
      <c r="D10" s="450">
        <f>VLOOKUP($A$1,'Physical Effects-Numbers'!$A$2:$AU$175,7,FALSE)</f>
        <v>2</v>
      </c>
      <c r="E10" s="623" t="str">
        <f>VLOOKUP($A$1,'Physical Effects'!$A$6:$CP$174,13,FALSE)</f>
        <v xml:space="preserve">Controlled flow will reduce gulley erosion down slope of basin. </v>
      </c>
      <c r="F10" s="623"/>
      <c r="G10" s="623"/>
      <c r="H10" s="623"/>
      <c r="I10" s="623"/>
      <c r="J10" s="623"/>
      <c r="K10" s="623"/>
      <c r="L10" s="624"/>
      <c r="N10" s="536"/>
      <c r="O10" s="126"/>
      <c r="P10" s="87"/>
      <c r="Q10" s="56"/>
      <c r="R10" s="56"/>
    </row>
    <row r="11" spans="1:20" s="425" customFormat="1" ht="30" customHeight="1" x14ac:dyDescent="0.2">
      <c r="A11" s="429"/>
      <c r="B11" s="449" t="str">
        <f>+'Physical Effects-Numbers'!H$1</f>
        <v>Soil Erosion - Streambank, Shoreline, Water Conveyance Channels</v>
      </c>
      <c r="C11" s="439"/>
      <c r="D11" s="450">
        <f>VLOOKUP($A$1,'Physical Effects-Numbers'!$A$2:$AU$175,8,FALSE)</f>
        <v>0</v>
      </c>
      <c r="E11" s="623" t="str">
        <f>VLOOKUP($A$1,'Physical Effects'!$A$6:$CP$174,15,FALSE)</f>
        <v>Stream bank erosion due to flows are reduced because of controlled flows, but 'clean' water from basin could create stream bank erosion.</v>
      </c>
      <c r="F11" s="623"/>
      <c r="G11" s="623"/>
      <c r="H11" s="623"/>
      <c r="I11" s="623"/>
      <c r="J11" s="623"/>
      <c r="K11" s="623"/>
      <c r="L11" s="624"/>
      <c r="N11" s="536"/>
      <c r="O11" s="126"/>
      <c r="P11" s="87"/>
      <c r="Q11" s="56"/>
      <c r="R11" s="56"/>
    </row>
    <row r="12" spans="1:20" s="425" customFormat="1" ht="15.75" x14ac:dyDescent="0.2">
      <c r="A12" s="424"/>
      <c r="B12" s="445" t="s">
        <v>1946</v>
      </c>
      <c r="C12" s="439"/>
      <c r="D12" s="451"/>
      <c r="E12" s="451"/>
      <c r="F12" s="452"/>
      <c r="G12" s="452"/>
      <c r="H12" s="452"/>
      <c r="I12" s="452"/>
      <c r="J12" s="452"/>
      <c r="K12" s="452"/>
      <c r="L12" s="453"/>
      <c r="N12" s="536"/>
      <c r="O12" s="130"/>
      <c r="P12" s="87"/>
      <c r="Q12" s="56"/>
      <c r="R12" s="56"/>
      <c r="T12" s="87"/>
    </row>
    <row r="13" spans="1:20" s="425" customFormat="1" ht="30" customHeight="1" x14ac:dyDescent="0.2">
      <c r="A13" s="429"/>
      <c r="B13" s="449" t="s">
        <v>2341</v>
      </c>
      <c r="C13" s="439"/>
      <c r="D13" s="450">
        <f>VLOOKUP($A$1,'Physical Effects-Numbers'!$A$2:$AU$175,9,FALSE)</f>
        <v>0</v>
      </c>
      <c r="E13" s="621" t="str">
        <f>VLOOKUP($A$1,'Physical Effects'!$A$6:$CP$174,17,FALSE)</f>
        <v>Not Applicable</v>
      </c>
      <c r="F13" s="619"/>
      <c r="G13" s="619"/>
      <c r="H13" s="619"/>
      <c r="I13" s="619"/>
      <c r="J13" s="619"/>
      <c r="K13" s="619"/>
      <c r="L13" s="622"/>
      <c r="N13" s="536"/>
      <c r="O13" s="126"/>
      <c r="P13" s="87"/>
      <c r="Q13" s="56"/>
      <c r="R13" s="56"/>
      <c r="T13" s="87"/>
    </row>
    <row r="14" spans="1:20" s="425" customFormat="1" ht="30" customHeight="1" x14ac:dyDescent="0.2">
      <c r="A14" s="429"/>
      <c r="B14" s="449" t="s">
        <v>2342</v>
      </c>
      <c r="C14" s="439"/>
      <c r="D14" s="450">
        <f>VLOOKUP($A$1,'Physical Effects-Numbers'!$A$2:$AU$175,10,FALSE)</f>
        <v>0</v>
      </c>
      <c r="E14" s="623" t="str">
        <f>VLOOKUP($A$1,'Physical Effects'!$A$6:$CP$174,19,FALSE)</f>
        <v>Not Applicable</v>
      </c>
      <c r="F14" s="619"/>
      <c r="G14" s="619"/>
      <c r="H14" s="619"/>
      <c r="I14" s="619"/>
      <c r="J14" s="619"/>
      <c r="K14" s="619"/>
      <c r="L14" s="622"/>
      <c r="N14" s="536"/>
      <c r="O14" s="126"/>
      <c r="P14" s="87" t="s">
        <v>2231</v>
      </c>
      <c r="Q14" s="56"/>
      <c r="R14" s="56"/>
    </row>
    <row r="15" spans="1:20" s="425" customFormat="1" ht="30" customHeight="1" x14ac:dyDescent="0.2">
      <c r="A15" s="429"/>
      <c r="B15" s="449" t="s">
        <v>2343</v>
      </c>
      <c r="C15" s="439"/>
      <c r="D15" s="450">
        <f>VLOOKUP($A$1,'Physical Effects-Numbers'!$A$2:$AU$175,11,FALSE)</f>
        <v>0</v>
      </c>
      <c r="E15" s="623" t="str">
        <f>VLOOKUP($A$1,'Physical Effects'!$A$6:$CP$174,21,FALSE)</f>
        <v>Not Applicable</v>
      </c>
      <c r="F15" s="623"/>
      <c r="G15" s="623"/>
      <c r="H15" s="623"/>
      <c r="I15" s="623"/>
      <c r="J15" s="623"/>
      <c r="K15" s="623"/>
      <c r="L15" s="624"/>
      <c r="N15" s="536"/>
      <c r="O15" s="126"/>
      <c r="P15" s="87"/>
      <c r="Q15" s="56"/>
      <c r="R15" s="56"/>
    </row>
    <row r="16" spans="1:20" s="425" customFormat="1" ht="30" customHeight="1" x14ac:dyDescent="0.2">
      <c r="A16" s="429"/>
      <c r="B16" s="449" t="s">
        <v>2344</v>
      </c>
      <c r="C16" s="439"/>
      <c r="D16" s="450">
        <f>VLOOKUP($A$1,'Physical Effects-Numbers'!$A$2:$AU$175,12,FALSE)</f>
        <v>0</v>
      </c>
      <c r="E16" s="623" t="str">
        <f>VLOOKUP($A$1,'Physical Effects'!$A$6:$CP$174,23,FALSE)</f>
        <v>Not Applicable</v>
      </c>
      <c r="F16" s="623"/>
      <c r="G16" s="623"/>
      <c r="H16" s="623"/>
      <c r="I16" s="623"/>
      <c r="J16" s="623"/>
      <c r="K16" s="623"/>
      <c r="L16" s="624"/>
      <c r="N16" s="56"/>
      <c r="O16" s="126"/>
      <c r="P16" s="87"/>
      <c r="Q16" s="56"/>
      <c r="R16" s="56"/>
    </row>
    <row r="17" spans="1:20" s="425" customFormat="1" x14ac:dyDescent="0.2">
      <c r="A17" s="424"/>
      <c r="B17" s="445" t="s">
        <v>1947</v>
      </c>
      <c r="C17" s="439"/>
      <c r="D17" s="451"/>
      <c r="E17" s="451"/>
      <c r="F17" s="452"/>
      <c r="G17" s="452"/>
      <c r="H17" s="452"/>
      <c r="I17" s="452"/>
      <c r="J17" s="452"/>
      <c r="K17" s="452"/>
      <c r="L17" s="453"/>
      <c r="N17" s="56"/>
      <c r="O17" s="130"/>
      <c r="P17" s="87"/>
      <c r="Q17" s="56"/>
      <c r="R17" s="56"/>
      <c r="T17" s="87"/>
    </row>
    <row r="18" spans="1:20" s="425" customFormat="1" ht="30" customHeight="1" x14ac:dyDescent="0.2">
      <c r="A18" s="429"/>
      <c r="B18" s="449" t="s">
        <v>2345</v>
      </c>
      <c r="C18" s="439"/>
      <c r="D18" s="450">
        <f>VLOOKUP($A$1,'Physical Effects-Numbers'!$A$2:$AU$175,13,FALSE)</f>
        <v>-2</v>
      </c>
      <c r="E18" s="621" t="str">
        <f>VLOOKUP($A$1,'Physical Effects'!$A$6:$CP$174,25,FALSE)</f>
        <v>Stored water in basin will infiltrate adding to seepage problem.</v>
      </c>
      <c r="F18" s="619"/>
      <c r="G18" s="619"/>
      <c r="H18" s="619"/>
      <c r="I18" s="619"/>
      <c r="J18" s="619"/>
      <c r="K18" s="619"/>
      <c r="L18" s="622"/>
      <c r="N18" s="56"/>
      <c r="O18" s="126"/>
      <c r="P18" s="87"/>
      <c r="Q18" s="56"/>
      <c r="R18" s="56"/>
      <c r="T18" s="87"/>
    </row>
    <row r="19" spans="1:20" s="425" customFormat="1" ht="30" customHeight="1" x14ac:dyDescent="0.2">
      <c r="A19" s="429"/>
      <c r="B19" s="449" t="s">
        <v>2346</v>
      </c>
      <c r="C19" s="439"/>
      <c r="D19" s="450">
        <f>VLOOKUP($A$1,'Physical Effects-Numbers'!$A$2:$AU$175,14,FALSE)</f>
        <v>2</v>
      </c>
      <c r="E19" s="623" t="str">
        <f>VLOOKUP($A$1,'Physical Effects'!$A$6:$CP$174,27,FALSE)</f>
        <v>Basin will retard flows reducing the runoff and controlling water releases.</v>
      </c>
      <c r="F19" s="619"/>
      <c r="G19" s="619"/>
      <c r="H19" s="619"/>
      <c r="I19" s="619"/>
      <c r="J19" s="619"/>
      <c r="K19" s="619"/>
      <c r="L19" s="622"/>
      <c r="N19" s="56"/>
      <c r="O19" s="126"/>
      <c r="P19" s="87"/>
      <c r="Q19" s="56"/>
      <c r="R19" s="56"/>
    </row>
    <row r="20" spans="1:20" s="425" customFormat="1" ht="30" customHeight="1" x14ac:dyDescent="0.2">
      <c r="A20" s="429"/>
      <c r="B20" s="449" t="s">
        <v>2347</v>
      </c>
      <c r="C20" s="439"/>
      <c r="D20" s="450">
        <f>VLOOKUP($A$1,'Physical Effects-Numbers'!$A$2:$AU$175,15,FALSE)</f>
        <v>-2</v>
      </c>
      <c r="E20" s="623" t="str">
        <f>VLOOKUP($A$1,'Physical Effects'!$A$6:$CP$174,29,FALSE)</f>
        <v>Retarded water in basin will infiltrate adding to subsurface water.</v>
      </c>
      <c r="F20" s="623"/>
      <c r="G20" s="623"/>
      <c r="H20" s="623"/>
      <c r="I20" s="623"/>
      <c r="J20" s="623"/>
      <c r="K20" s="623"/>
      <c r="L20" s="624"/>
      <c r="N20" s="56"/>
      <c r="O20" s="126"/>
      <c r="P20" s="87"/>
      <c r="Q20" s="56"/>
      <c r="R20" s="56"/>
    </row>
    <row r="21" spans="1:20" s="425" customFormat="1" ht="30" customHeight="1" x14ac:dyDescent="0.2">
      <c r="A21" s="429"/>
      <c r="B21" s="449" t="s">
        <v>2348</v>
      </c>
      <c r="C21" s="439"/>
      <c r="D21" s="450">
        <f>VLOOKUP($A$1,'Physical Effects-Numbers'!$A$2:$AU$175,16,FALSE)</f>
        <v>0</v>
      </c>
      <c r="E21" s="623" t="str">
        <f>VLOOKUP($A$1,'Physical Effects'!$A$6:$CP$174,31,FALSE)</f>
        <v>Not Applicable</v>
      </c>
      <c r="F21" s="623"/>
      <c r="G21" s="623"/>
      <c r="H21" s="623"/>
      <c r="I21" s="623"/>
      <c r="J21" s="623"/>
      <c r="K21" s="623"/>
      <c r="L21" s="624"/>
      <c r="N21" s="56"/>
      <c r="O21" s="126"/>
      <c r="P21" s="87"/>
      <c r="Q21" s="56"/>
      <c r="R21" s="56"/>
    </row>
    <row r="22" spans="1:20" s="425" customFormat="1" x14ac:dyDescent="0.2">
      <c r="A22" s="424"/>
      <c r="B22" s="445" t="s">
        <v>1948</v>
      </c>
      <c r="C22" s="439"/>
      <c r="D22" s="451"/>
      <c r="E22" s="451"/>
      <c r="F22" s="452"/>
      <c r="G22" s="452"/>
      <c r="H22" s="452"/>
      <c r="I22" s="452"/>
      <c r="J22" s="452"/>
      <c r="K22" s="452"/>
      <c r="L22" s="453"/>
      <c r="N22" s="56"/>
      <c r="O22" s="130"/>
      <c r="P22" s="87"/>
      <c r="Q22" s="56"/>
      <c r="R22" s="56"/>
      <c r="T22" s="87"/>
    </row>
    <row r="23" spans="1:20" ht="30" customHeight="1" x14ac:dyDescent="0.25">
      <c r="A23" s="430"/>
      <c r="B23" s="449" t="s">
        <v>2349</v>
      </c>
      <c r="C23" s="439"/>
      <c r="D23" s="450">
        <f>VLOOKUP($A$1,'Physical Effects-Numbers'!$A$2:$AU$175,17,FALSE)</f>
        <v>0</v>
      </c>
      <c r="E23" s="623" t="str">
        <f>VLOOKUP($A$1,'Physical Effects'!$A$6:$CP$174,33,FALSE)</f>
        <v>Not Applicable</v>
      </c>
      <c r="F23" s="619"/>
      <c r="G23" s="619"/>
      <c r="H23" s="619"/>
      <c r="I23" s="619"/>
      <c r="J23" s="619"/>
      <c r="K23" s="619"/>
      <c r="L23" s="622"/>
      <c r="N23" s="54"/>
      <c r="O23" s="89"/>
      <c r="P23" s="87"/>
      <c r="Q23" s="57"/>
      <c r="R23" s="57"/>
    </row>
    <row r="24" spans="1:20" ht="30" customHeight="1" x14ac:dyDescent="0.25">
      <c r="A24" s="430"/>
      <c r="B24" s="449" t="s">
        <v>2350</v>
      </c>
      <c r="C24" s="439"/>
      <c r="D24" s="450">
        <f>VLOOKUP($A$1,'Physical Effects-Numbers'!$A$2:$AU$175,18,FALSE)</f>
        <v>0</v>
      </c>
      <c r="E24" s="623" t="str">
        <f>VLOOKUP($A$1,'Physical Effects'!$A$6:$CP$174,35,FALSE)</f>
        <v>Not Applicable</v>
      </c>
      <c r="F24" s="619"/>
      <c r="G24" s="619"/>
      <c r="H24" s="619"/>
      <c r="I24" s="619"/>
      <c r="J24" s="619"/>
      <c r="K24" s="619"/>
      <c r="L24" s="622"/>
      <c r="N24" s="54"/>
      <c r="O24" s="89"/>
      <c r="P24" s="87"/>
      <c r="Q24" s="57"/>
      <c r="R24" s="57"/>
    </row>
    <row r="25" spans="1:20" s="425" customFormat="1" x14ac:dyDescent="0.2">
      <c r="A25" s="424"/>
      <c r="B25" s="445" t="s">
        <v>1949</v>
      </c>
      <c r="C25" s="439"/>
      <c r="D25" s="451"/>
      <c r="E25" s="451"/>
      <c r="F25" s="452"/>
      <c r="G25" s="452"/>
      <c r="H25" s="452"/>
      <c r="I25" s="452"/>
      <c r="J25" s="452"/>
      <c r="K25" s="452"/>
      <c r="L25" s="453"/>
      <c r="N25" s="56"/>
      <c r="O25" s="130"/>
      <c r="P25" s="87"/>
      <c r="Q25" s="56"/>
      <c r="R25" s="56"/>
      <c r="T25" s="87"/>
    </row>
    <row r="26" spans="1:20" s="425" customFormat="1" ht="30" customHeight="1" x14ac:dyDescent="0.2">
      <c r="A26" s="429"/>
      <c r="B26" s="449" t="s">
        <v>2351</v>
      </c>
      <c r="C26" s="439"/>
      <c r="D26" s="450">
        <f>VLOOKUP($A$1,'Physical Effects-Numbers'!$A$2:$AU$175,19,FALSE)</f>
        <v>2</v>
      </c>
      <c r="E26" s="623" t="str">
        <f>VLOOKUP($A$1,'Physical Effects'!$A$6:$CP$174,37,FALSE)</f>
        <v>The action collects and stores adsorbed pesticides.</v>
      </c>
      <c r="F26" s="619"/>
      <c r="G26" s="619"/>
      <c r="H26" s="619"/>
      <c r="I26" s="619"/>
      <c r="J26" s="619"/>
      <c r="K26" s="619"/>
      <c r="L26" s="622"/>
      <c r="N26" s="56"/>
      <c r="O26" s="126"/>
      <c r="P26" s="87"/>
      <c r="Q26" s="56"/>
      <c r="R26" s="56"/>
    </row>
    <row r="27" spans="1:20" s="425" customFormat="1" ht="30" customHeight="1" x14ac:dyDescent="0.2">
      <c r="A27" s="429"/>
      <c r="B27" s="449" t="s">
        <v>2352</v>
      </c>
      <c r="C27" s="439"/>
      <c r="D27" s="450">
        <f>VLOOKUP($A$1,'Physical Effects-Numbers'!$A$2:$AU$175,20,FALSE)</f>
        <v>-1</v>
      </c>
      <c r="E27" s="623" t="str">
        <f>VLOOKUP($A$1,'Physical Effects'!$A$6:$CP$174,39,FALSE)</f>
        <v>Water containing pesticides may seep from the basin.</v>
      </c>
      <c r="F27" s="619"/>
      <c r="G27" s="619"/>
      <c r="H27" s="619"/>
      <c r="I27" s="619"/>
      <c r="J27" s="619"/>
      <c r="K27" s="619"/>
      <c r="L27" s="622"/>
      <c r="N27" s="56"/>
      <c r="O27" s="126"/>
      <c r="P27" s="87"/>
      <c r="Q27" s="56"/>
      <c r="R27" s="56"/>
    </row>
    <row r="28" spans="1:20" s="425" customFormat="1" ht="30" customHeight="1" x14ac:dyDescent="0.2">
      <c r="A28" s="429"/>
      <c r="B28" s="449" t="s">
        <v>2379</v>
      </c>
      <c r="C28" s="439"/>
      <c r="D28" s="450">
        <f>VLOOKUP($A$1,'Physical Effects-Numbers'!$A$2:$AU$175,21,FALSE)</f>
        <v>5</v>
      </c>
      <c r="E28" s="623" t="str">
        <f>VLOOKUP($A$1,'Physical Effects'!$A$6:$CP$174,41,FALSE)</f>
        <v>The action will tend to accumulate contaminants attached to sediments, and infiltrating waters will remove soluble contaminants.</v>
      </c>
      <c r="F28" s="619"/>
      <c r="G28" s="619"/>
      <c r="H28" s="619"/>
      <c r="I28" s="619"/>
      <c r="J28" s="619"/>
      <c r="K28" s="619"/>
      <c r="L28" s="622"/>
      <c r="N28" s="56"/>
      <c r="O28" s="126"/>
      <c r="P28" s="87"/>
      <c r="Q28" s="56"/>
      <c r="R28" s="56"/>
    </row>
    <row r="29" spans="1:20" s="425" customFormat="1" ht="30" customHeight="1" x14ac:dyDescent="0.2">
      <c r="A29" s="429"/>
      <c r="B29" s="449" t="s">
        <v>2353</v>
      </c>
      <c r="C29" s="439"/>
      <c r="D29" s="450">
        <f>VLOOKUP($A$1,'Physical Effects-Numbers'!$A$2:$AU$175,22,FALSE)</f>
        <v>-1</v>
      </c>
      <c r="E29" s="623" t="str">
        <f>VLOOKUP($A$1,'Physical Effects'!$A$6:$CP$174,43,FALSE)</f>
        <v>Nutrients impounded could contaminate groundwater.</v>
      </c>
      <c r="F29" s="619"/>
      <c r="G29" s="619"/>
      <c r="H29" s="619"/>
      <c r="I29" s="619"/>
      <c r="J29" s="619"/>
      <c r="K29" s="619"/>
      <c r="L29" s="622"/>
      <c r="N29" s="56"/>
      <c r="O29" s="126"/>
      <c r="P29" s="87"/>
      <c r="Q29" s="56"/>
      <c r="R29" s="56"/>
    </row>
    <row r="30" spans="1:20" s="425" customFormat="1" ht="30" customHeight="1" x14ac:dyDescent="0.2">
      <c r="A30" s="429"/>
      <c r="B30" s="449" t="s">
        <v>2354</v>
      </c>
      <c r="C30" s="439"/>
      <c r="D30" s="450">
        <f>VLOOKUP($A$1,'Physical Effects-Numbers'!$A$2:$AU$175,23,FALSE)</f>
        <v>2</v>
      </c>
      <c r="E30" s="623" t="str">
        <f>VLOOKUP($A$1,'Physical Effects'!$A$6:$CP$174,45,FALSE)</f>
        <v>Basins will tend to accumulate contaminants attached to sediments, and infiltrating waters will remove soluble contaminants.</v>
      </c>
      <c r="F30" s="619"/>
      <c r="G30" s="619"/>
      <c r="H30" s="619"/>
      <c r="I30" s="619"/>
      <c r="J30" s="619"/>
      <c r="K30" s="619"/>
      <c r="L30" s="622"/>
      <c r="N30" s="56"/>
      <c r="O30" s="126"/>
      <c r="P30" s="87"/>
      <c r="Q30" s="56"/>
      <c r="R30" s="56"/>
    </row>
    <row r="31" spans="1:20" s="425" customFormat="1" ht="30" customHeight="1" x14ac:dyDescent="0.2">
      <c r="A31" s="429"/>
      <c r="B31" s="449" t="s">
        <v>2355</v>
      </c>
      <c r="C31" s="439"/>
      <c r="D31" s="450">
        <f>VLOOKUP($A$1,'Physical Effects-Numbers'!$A$2:$AU$175,24,FALSE)</f>
        <v>-1</v>
      </c>
      <c r="E31" s="623" t="str">
        <f>VLOOKUP($A$1,'Physical Effects'!$A$6:$CP$174,47,FALSE)</f>
        <v>Infiltrating water in the basin may move soluble salts to ground water.</v>
      </c>
      <c r="F31" s="619"/>
      <c r="G31" s="619"/>
      <c r="H31" s="619"/>
      <c r="I31" s="619"/>
      <c r="J31" s="619"/>
      <c r="K31" s="619"/>
      <c r="L31" s="622"/>
      <c r="N31" s="56"/>
      <c r="O31" s="126"/>
      <c r="P31" s="87"/>
      <c r="Q31" s="56"/>
      <c r="R31" s="56"/>
    </row>
    <row r="32" spans="1:20" s="425" customFormat="1" ht="30" customHeight="1" x14ac:dyDescent="0.2">
      <c r="A32" s="429"/>
      <c r="B32" s="449" t="s">
        <v>2356</v>
      </c>
      <c r="C32" s="439"/>
      <c r="D32" s="450">
        <f>VLOOKUP($A$1,'Physical Effects-Numbers'!$A$2:$AU$175,25,FALSE)</f>
        <v>2</v>
      </c>
      <c r="E32" s="623" t="str">
        <f>VLOOKUP($A$1,'Physical Effects'!$A$6:$CP$174,49,FALSE)</f>
        <v>Basins will tend to accumulate contaminants attached to sediments, and infiltrating waters will remove soluble contaminants</v>
      </c>
      <c r="F32" s="619"/>
      <c r="G32" s="619"/>
      <c r="H32" s="619"/>
      <c r="I32" s="619"/>
      <c r="J32" s="619"/>
      <c r="K32" s="619"/>
      <c r="L32" s="622"/>
      <c r="N32" s="56"/>
      <c r="O32" s="126"/>
      <c r="P32" s="87"/>
      <c r="Q32" s="56"/>
      <c r="R32" s="56"/>
    </row>
    <row r="33" spans="1:18" s="425" customFormat="1" ht="30" customHeight="1" x14ac:dyDescent="0.2">
      <c r="A33" s="429"/>
      <c r="B33" s="449" t="s">
        <v>2357</v>
      </c>
      <c r="C33" s="439"/>
      <c r="D33" s="450">
        <f>VLOOKUP($A$1,'Physical Effects-Numbers'!$A$2:$AU$175,26,FALSE)</f>
        <v>-1</v>
      </c>
      <c r="E33" s="623" t="str">
        <f>VLOOKUP($A$1,'Physical Effects'!$A$6:$CP$174,51,FALSE)</f>
        <v>Infiltrating water in the basin may move pathogens to the ground water.</v>
      </c>
      <c r="F33" s="619"/>
      <c r="G33" s="619"/>
      <c r="H33" s="619"/>
      <c r="I33" s="619"/>
      <c r="J33" s="619"/>
      <c r="K33" s="619"/>
      <c r="L33" s="622"/>
      <c r="N33" s="56"/>
      <c r="O33" s="126"/>
      <c r="P33" s="87"/>
      <c r="Q33" s="56"/>
      <c r="R33" s="56"/>
    </row>
    <row r="34" spans="1:18" s="425" customFormat="1" ht="30" customHeight="1" x14ac:dyDescent="0.2">
      <c r="A34" s="429"/>
      <c r="B34" s="449" t="s">
        <v>2358</v>
      </c>
      <c r="C34" s="439"/>
      <c r="D34" s="450">
        <f>VLOOKUP($A$1,'Physical Effects-Numbers'!$A$2:$AU$175,27,FALSE)</f>
        <v>4</v>
      </c>
      <c r="E34" s="623" t="str">
        <f>VLOOKUP($A$1,'Physical Effects'!$A$6:$CP$174,53,FALSE)</f>
        <v>Basin retains sediment, decreasing runoff turbidity.</v>
      </c>
      <c r="F34" s="619"/>
      <c r="G34" s="619"/>
      <c r="H34" s="619"/>
      <c r="I34" s="619"/>
      <c r="J34" s="619"/>
      <c r="K34" s="619"/>
      <c r="L34" s="622"/>
      <c r="N34" s="56"/>
      <c r="O34" s="126"/>
      <c r="P34" s="87"/>
      <c r="Q34" s="56"/>
      <c r="R34" s="56"/>
    </row>
    <row r="35" spans="1:18" s="425" customFormat="1" ht="30" customHeight="1" x14ac:dyDescent="0.2">
      <c r="A35" s="429"/>
      <c r="B35" s="449" t="s">
        <v>2359</v>
      </c>
      <c r="C35" s="439"/>
      <c r="D35" s="450">
        <f>VLOOKUP($A$1,'Physical Effects-Numbers'!$A$2:$AU$175,28,FALSE)</f>
        <v>0</v>
      </c>
      <c r="E35" s="623" t="str">
        <f>VLOOKUP($A$1,'Physical Effects'!$A$6:$CP$174,55,FALSE)</f>
        <v xml:space="preserve">Although water retained in basin is warmer than flowing surface water, discharge to surface waters is unlikely. </v>
      </c>
      <c r="F35" s="619"/>
      <c r="G35" s="619"/>
      <c r="H35" s="619"/>
      <c r="I35" s="619"/>
      <c r="J35" s="619"/>
      <c r="K35" s="619"/>
      <c r="L35" s="622"/>
      <c r="N35" s="56"/>
      <c r="O35" s="126"/>
      <c r="P35" s="87"/>
      <c r="Q35" s="56"/>
      <c r="R35" s="56"/>
    </row>
    <row r="36" spans="1:18" s="425" customFormat="1" ht="30" customHeight="1" x14ac:dyDescent="0.2">
      <c r="A36" s="429"/>
      <c r="B36" s="449" t="s">
        <v>2361</v>
      </c>
      <c r="C36" s="439"/>
      <c r="D36" s="450">
        <f>VLOOKUP($A$1,'Physical Effects-Numbers'!$A$2:$AU$175,29,FALSE)</f>
        <v>2</v>
      </c>
      <c r="E36" s="623" t="str">
        <f>VLOOKUP($A$1,'Physical Effects'!$A$6:$CP$174,57,FALSE)</f>
        <v>Basins will tend to accumulate contaminants attached to sediments.</v>
      </c>
      <c r="F36" s="619"/>
      <c r="G36" s="619"/>
      <c r="H36" s="619"/>
      <c r="I36" s="619"/>
      <c r="J36" s="619"/>
      <c r="K36" s="619"/>
      <c r="L36" s="622"/>
      <c r="N36" s="56"/>
      <c r="O36" s="126"/>
      <c r="P36" s="87"/>
      <c r="Q36" s="56"/>
      <c r="R36" s="56"/>
    </row>
    <row r="37" spans="1:18" s="425" customFormat="1" ht="30" customHeight="1" x14ac:dyDescent="0.2">
      <c r="A37" s="429"/>
      <c r="B37" s="449" t="s">
        <v>2360</v>
      </c>
      <c r="C37" s="439"/>
      <c r="D37" s="450">
        <f>VLOOKUP($A$1,'Physical Effects-Numbers'!$A$2:$AU$175,30,FALSE)</f>
        <v>-1</v>
      </c>
      <c r="E37" s="623" t="str">
        <f>VLOOKUP($A$1,'Physical Effects'!$A$6:$CP$174,59,FALSE)</f>
        <v>Infiltrating water in the basin may move soluble contaminants to the ground water.</v>
      </c>
      <c r="F37" s="619"/>
      <c r="G37" s="619"/>
      <c r="H37" s="619"/>
      <c r="I37" s="619"/>
      <c r="J37" s="619"/>
      <c r="K37" s="619"/>
      <c r="L37" s="622"/>
      <c r="N37" s="56"/>
      <c r="O37" s="126"/>
      <c r="P37" s="87"/>
      <c r="Q37" s="56"/>
      <c r="R37" s="56"/>
    </row>
    <row r="38" spans="1:18" ht="15.75" x14ac:dyDescent="0.25">
      <c r="A38" s="430"/>
      <c r="B38" s="445" t="s">
        <v>1968</v>
      </c>
      <c r="C38" s="439"/>
      <c r="D38" s="450"/>
      <c r="E38" s="623"/>
      <c r="F38" s="619"/>
      <c r="G38" s="619"/>
      <c r="H38" s="619"/>
      <c r="I38" s="619"/>
      <c r="J38" s="619"/>
      <c r="K38" s="619"/>
      <c r="L38" s="622"/>
      <c r="N38" s="54"/>
      <c r="O38" s="89"/>
      <c r="P38" s="87"/>
      <c r="Q38" s="57"/>
      <c r="R38" s="57"/>
    </row>
    <row r="39" spans="1:18" ht="30" customHeight="1" x14ac:dyDescent="0.25">
      <c r="A39" s="430"/>
      <c r="B39" s="449" t="s">
        <v>2362</v>
      </c>
      <c r="C39" s="439"/>
      <c r="D39" s="450">
        <f>VLOOKUP($A$1,'Physical Effects-Numbers'!$A$2:$AU$175,31,FALSE)</f>
        <v>0</v>
      </c>
      <c r="E39" s="623" t="str">
        <f>VLOOKUP($A$1,'Physical Effects'!$A$6:$CP$174,61,FALSE)</f>
        <v>Not Applicable</v>
      </c>
      <c r="F39" s="619"/>
      <c r="G39" s="619"/>
      <c r="H39" s="619"/>
      <c r="I39" s="619"/>
      <c r="J39" s="619"/>
      <c r="K39" s="619"/>
      <c r="L39" s="622"/>
      <c r="N39" s="54"/>
      <c r="O39" s="89"/>
      <c r="P39" s="87"/>
      <c r="Q39" s="57"/>
      <c r="R39" s="57"/>
    </row>
    <row r="40" spans="1:18" ht="30" customHeight="1" x14ac:dyDescent="0.25">
      <c r="A40" s="430"/>
      <c r="B40" s="449" t="s">
        <v>2364</v>
      </c>
      <c r="C40" s="439"/>
      <c r="D40" s="450">
        <f>VLOOKUP($A$1,'Physical Effects-Numbers'!$A$2:$AU$175,32,FALSE)</f>
        <v>0</v>
      </c>
      <c r="E40" s="623" t="str">
        <f>VLOOKUP($A$1,'Physical Effects'!$A$6:$CP$174,63,FALSE)</f>
        <v>Not Applicable</v>
      </c>
      <c r="F40" s="619"/>
      <c r="G40" s="619"/>
      <c r="H40" s="619"/>
      <c r="I40" s="619"/>
      <c r="J40" s="619"/>
      <c r="K40" s="619"/>
      <c r="L40" s="622"/>
      <c r="N40" s="54"/>
      <c r="O40" s="89"/>
      <c r="P40" s="87"/>
      <c r="Q40" s="57"/>
      <c r="R40" s="57"/>
    </row>
    <row r="41" spans="1:18" ht="30" customHeight="1" x14ac:dyDescent="0.25">
      <c r="A41" s="430"/>
      <c r="B41" s="449" t="s">
        <v>2363</v>
      </c>
      <c r="C41" s="439"/>
      <c r="D41" s="450">
        <f>VLOOKUP($A$1,'Physical Effects-Numbers'!$A$2:$AU$175,33,FALSE)</f>
        <v>0</v>
      </c>
      <c r="E41" s="623" t="str">
        <f>VLOOKUP($A$1,'Physical Effects'!$A$6:$CP$174,65,FALSE)</f>
        <v>Not Applicable</v>
      </c>
      <c r="F41" s="619"/>
      <c r="G41" s="619"/>
      <c r="H41" s="619"/>
      <c r="I41" s="619"/>
      <c r="J41" s="619"/>
      <c r="K41" s="619"/>
      <c r="L41" s="622"/>
      <c r="N41" s="54"/>
      <c r="O41" s="89"/>
      <c r="P41" s="87"/>
      <c r="Q41" s="57"/>
      <c r="R41" s="57"/>
    </row>
    <row r="42" spans="1:18" ht="30" customHeight="1" x14ac:dyDescent="0.25">
      <c r="A42" s="430"/>
      <c r="B42" s="449" t="s">
        <v>2365</v>
      </c>
      <c r="C42" s="439"/>
      <c r="D42" s="450">
        <f>VLOOKUP($A$1,'Physical Effects-Numbers'!$A$2:$AU$175,34,FALSE)</f>
        <v>0</v>
      </c>
      <c r="E42" s="623" t="str">
        <f>VLOOKUP($A$1,'Physical Effects'!$A$6:$CP$174,67,FALSE)</f>
        <v xml:space="preserve">Proper siting and management are required If used as part of an agricultural waste management system </v>
      </c>
      <c r="F42" s="619"/>
      <c r="G42" s="619"/>
      <c r="H42" s="619"/>
      <c r="I42" s="619"/>
      <c r="J42" s="619"/>
      <c r="K42" s="619"/>
      <c r="L42" s="622"/>
      <c r="N42" s="54"/>
      <c r="O42" s="89"/>
      <c r="P42" s="87"/>
      <c r="Q42" s="57"/>
      <c r="R42" s="57"/>
    </row>
    <row r="43" spans="1:18" ht="15.75" x14ac:dyDescent="0.25">
      <c r="A43" s="430"/>
      <c r="B43" s="445" t="s">
        <v>1970</v>
      </c>
      <c r="C43" s="439"/>
      <c r="D43" s="450"/>
      <c r="E43" s="623"/>
      <c r="F43" s="619"/>
      <c r="G43" s="619"/>
      <c r="H43" s="619"/>
      <c r="I43" s="619"/>
      <c r="J43" s="619"/>
      <c r="K43" s="619"/>
      <c r="L43" s="622"/>
      <c r="N43" s="54"/>
      <c r="O43" s="89"/>
      <c r="P43" s="87"/>
      <c r="Q43" s="57"/>
      <c r="R43" s="57"/>
    </row>
    <row r="44" spans="1:18" ht="30" customHeight="1" x14ac:dyDescent="0.25">
      <c r="A44" s="430"/>
      <c r="B44" s="449" t="s">
        <v>2366</v>
      </c>
      <c r="C44" s="439"/>
      <c r="D44" s="450">
        <f>VLOOKUP($A$1,'Physical Effects-Numbers'!$A$2:$AU$175,35,FALSE)</f>
        <v>0</v>
      </c>
      <c r="E44" s="623" t="str">
        <f>VLOOKUP($A$1,'Physical Effects'!$A$6:$CP$174,69,FALSE)</f>
        <v>Not Applicable</v>
      </c>
      <c r="F44" s="619"/>
      <c r="G44" s="619"/>
      <c r="H44" s="619"/>
      <c r="I44" s="619"/>
      <c r="J44" s="619"/>
      <c r="K44" s="619"/>
      <c r="L44" s="622"/>
      <c r="N44" s="54"/>
      <c r="O44" s="89"/>
      <c r="P44" s="87"/>
      <c r="Q44" s="57"/>
      <c r="R44" s="57"/>
    </row>
    <row r="45" spans="1:18" ht="30" customHeight="1" x14ac:dyDescent="0.25">
      <c r="A45" s="430"/>
      <c r="B45" s="449" t="s">
        <v>2367</v>
      </c>
      <c r="C45" s="439"/>
      <c r="D45" s="450">
        <f>VLOOKUP($A$1,'Physical Effects-Numbers'!$A$2:$AU$175,36,FALSE)</f>
        <v>0</v>
      </c>
      <c r="E45" s="623" t="str">
        <f>VLOOKUP($A$1,'Physical Effects'!$A$6:$CP$174,71,FALSE)</f>
        <v>Not Applicable</v>
      </c>
      <c r="F45" s="619"/>
      <c r="G45" s="619"/>
      <c r="H45" s="619"/>
      <c r="I45" s="619"/>
      <c r="J45" s="619"/>
      <c r="K45" s="619"/>
      <c r="L45" s="622"/>
      <c r="N45" s="54"/>
      <c r="O45" s="89"/>
      <c r="P45" s="87"/>
      <c r="Q45" s="57"/>
      <c r="R45" s="57"/>
    </row>
    <row r="46" spans="1:18" ht="30" customHeight="1" x14ac:dyDescent="0.25">
      <c r="A46" s="430"/>
      <c r="B46" s="449" t="s">
        <v>2368</v>
      </c>
      <c r="C46" s="439"/>
      <c r="D46" s="450">
        <f>VLOOKUP($A$1,'Physical Effects-Numbers'!$A$2:$AU$175,37,FALSE)</f>
        <v>0</v>
      </c>
      <c r="E46" s="623" t="str">
        <f>VLOOKUP($A$1,'Physical Effects'!$A$6:$CP$174,73,FALSE)</f>
        <v>Not Applicable</v>
      </c>
      <c r="F46" s="619"/>
      <c r="G46" s="619"/>
      <c r="H46" s="619"/>
      <c r="I46" s="619"/>
      <c r="J46" s="619"/>
      <c r="K46" s="619"/>
      <c r="L46" s="622"/>
      <c r="N46" s="54"/>
      <c r="O46" s="89"/>
      <c r="P46" s="87"/>
      <c r="Q46" s="57"/>
      <c r="R46" s="57"/>
    </row>
    <row r="47" spans="1:18" ht="30" customHeight="1" x14ac:dyDescent="0.25">
      <c r="A47" s="430"/>
      <c r="B47" s="449" t="s">
        <v>2369</v>
      </c>
      <c r="C47" s="439"/>
      <c r="D47" s="450">
        <f>VLOOKUP($A$1,'Physical Effects-Numbers'!$A$2:$AU$175,38,FALSE)</f>
        <v>0</v>
      </c>
      <c r="E47" s="623" t="str">
        <f>VLOOKUP($A$1,'Physical Effects'!$A$6:$CP$174,75,FALSE)</f>
        <v>Not Applicable</v>
      </c>
      <c r="F47" s="619"/>
      <c r="G47" s="619"/>
      <c r="H47" s="619"/>
      <c r="I47" s="619"/>
      <c r="J47" s="619"/>
      <c r="K47" s="619"/>
      <c r="L47" s="622"/>
      <c r="N47" s="54"/>
      <c r="O47" s="89"/>
      <c r="P47" s="87"/>
      <c r="Q47" s="57"/>
      <c r="R47" s="57"/>
    </row>
    <row r="48" spans="1:18" ht="15.75" x14ac:dyDescent="0.25">
      <c r="A48" s="430"/>
      <c r="B48" s="445" t="s">
        <v>1950</v>
      </c>
      <c r="C48" s="439"/>
      <c r="D48" s="450"/>
      <c r="E48" s="623"/>
      <c r="F48" s="619"/>
      <c r="G48" s="619"/>
      <c r="H48" s="619"/>
      <c r="I48" s="619"/>
      <c r="J48" s="619"/>
      <c r="K48" s="619"/>
      <c r="L48" s="622"/>
      <c r="N48" s="54"/>
      <c r="O48" s="89"/>
      <c r="P48" s="87"/>
      <c r="Q48" s="57"/>
      <c r="R48" s="57"/>
    </row>
    <row r="49" spans="1:18" ht="30" customHeight="1" x14ac:dyDescent="0.25">
      <c r="A49" s="430"/>
      <c r="B49" s="449" t="s">
        <v>2370</v>
      </c>
      <c r="C49" s="439"/>
      <c r="D49" s="450">
        <f>VLOOKUP($A$1,'Physical Effects-Numbers'!$A$2:$AU$175,39,FALSE)</f>
        <v>-1</v>
      </c>
      <c r="E49" s="623" t="str">
        <f>VLOOKUP($A$1,'Physical Effects'!$A$6:$CP$174,77,FALSE)</f>
        <v>Any food species are eliminated in the area used for the basin.</v>
      </c>
      <c r="F49" s="619"/>
      <c r="G49" s="619"/>
      <c r="H49" s="619"/>
      <c r="I49" s="619"/>
      <c r="J49" s="619"/>
      <c r="K49" s="619"/>
      <c r="L49" s="622"/>
      <c r="N49" s="54"/>
      <c r="O49" s="89"/>
      <c r="P49" s="87"/>
      <c r="Q49" s="57"/>
      <c r="R49" s="57"/>
    </row>
    <row r="50" spans="1:18" ht="30" customHeight="1" x14ac:dyDescent="0.25">
      <c r="A50" s="430"/>
      <c r="B50" s="449" t="s">
        <v>2371</v>
      </c>
      <c r="C50" s="439"/>
      <c r="D50" s="450">
        <f>VLOOKUP($A$1,'Physical Effects-Numbers'!$A$2:$AU$175,40,FALSE)</f>
        <v>-1</v>
      </c>
      <c r="E50" s="623" t="str">
        <f>VLOOKUP($A$1,'Physical Effects'!$A$6:$CP$174,79,FALSE)</f>
        <v>Any cover is eliminated in the area used for the basin.</v>
      </c>
      <c r="F50" s="619"/>
      <c r="G50" s="619"/>
      <c r="H50" s="619"/>
      <c r="I50" s="619"/>
      <c r="J50" s="619"/>
      <c r="K50" s="619"/>
      <c r="L50" s="622"/>
      <c r="N50" s="54"/>
      <c r="O50" s="89"/>
      <c r="P50" s="87"/>
      <c r="Q50" s="57"/>
      <c r="R50" s="57"/>
    </row>
    <row r="51" spans="1:18" ht="30" customHeight="1" x14ac:dyDescent="0.25">
      <c r="A51" s="430"/>
      <c r="B51" s="449" t="s">
        <v>2372</v>
      </c>
      <c r="C51" s="439"/>
      <c r="D51" s="450">
        <f>VLOOKUP($A$1,'Physical Effects-Numbers'!$A$2:$AU$175,41,FALSE)</f>
        <v>1</v>
      </c>
      <c r="E51" s="623" t="str">
        <f>VLOOKUP($A$1,'Physical Effects'!$A$6:$CP$174,81,FALSE)</f>
        <v>Water is temporarily stored, and sediment and debris are removed from runoff.</v>
      </c>
      <c r="F51" s="619"/>
      <c r="G51" s="619"/>
      <c r="H51" s="619"/>
      <c r="I51" s="619"/>
      <c r="J51" s="619"/>
      <c r="K51" s="619"/>
      <c r="L51" s="622"/>
      <c r="N51" s="54"/>
      <c r="O51" s="89"/>
      <c r="P51" s="87"/>
      <c r="Q51" s="57"/>
      <c r="R51" s="57"/>
    </row>
    <row r="52" spans="1:18" ht="30" customHeight="1" x14ac:dyDescent="0.25">
      <c r="A52" s="430"/>
      <c r="B52" s="449" t="s">
        <v>2373</v>
      </c>
      <c r="C52" s="439"/>
      <c r="D52" s="450">
        <f>VLOOKUP($A$1,'Physical Effects-Numbers'!$A$2:$AU$175,42,FALSE)</f>
        <v>0</v>
      </c>
      <c r="E52" s="623" t="str">
        <f>VLOOKUP($A$1,'Physical Effects'!$A$6:$CP$174,83,FALSE)</f>
        <v>Not Applicable</v>
      </c>
      <c r="F52" s="619"/>
      <c r="G52" s="619"/>
      <c r="H52" s="619"/>
      <c r="I52" s="619"/>
      <c r="J52" s="619"/>
      <c r="K52" s="619"/>
      <c r="L52" s="622"/>
      <c r="N52" s="54"/>
      <c r="O52" s="89"/>
      <c r="P52" s="87"/>
      <c r="Q52" s="57"/>
      <c r="R52" s="57"/>
    </row>
    <row r="53" spans="1:18" ht="15.75" x14ac:dyDescent="0.25">
      <c r="A53" s="430"/>
      <c r="B53" s="445" t="s">
        <v>1951</v>
      </c>
      <c r="C53" s="439"/>
      <c r="D53" s="450"/>
      <c r="E53" s="623"/>
      <c r="F53" s="619"/>
      <c r="G53" s="619"/>
      <c r="H53" s="619"/>
      <c r="I53" s="619"/>
      <c r="J53" s="619"/>
      <c r="K53" s="619"/>
      <c r="L53" s="622"/>
      <c r="N53" s="54"/>
      <c r="O53" s="89"/>
      <c r="P53" s="87"/>
      <c r="Q53" s="57"/>
      <c r="R53" s="57"/>
    </row>
    <row r="54" spans="1:18" ht="30" customHeight="1" x14ac:dyDescent="0.25">
      <c r="A54" s="430"/>
      <c r="B54" s="449" t="s">
        <v>2374</v>
      </c>
      <c r="C54" s="439"/>
      <c r="D54" s="450">
        <f>VLOOKUP($A$1,'Physical Effects-Numbers'!$A$2:$AU$175,43,FALSE)</f>
        <v>0</v>
      </c>
      <c r="E54" s="623" t="str">
        <f>VLOOKUP($A$1,'Physical Effects'!$A$6:$CP$174,85,FALSE)</f>
        <v>Not Applicable</v>
      </c>
      <c r="F54" s="619"/>
      <c r="G54" s="619"/>
      <c r="H54" s="619"/>
      <c r="I54" s="619"/>
      <c r="J54" s="619"/>
      <c r="K54" s="619"/>
      <c r="L54" s="622"/>
      <c r="N54" s="54"/>
      <c r="O54" s="89"/>
      <c r="P54" s="87"/>
      <c r="Q54" s="57"/>
      <c r="R54" s="57"/>
    </row>
    <row r="55" spans="1:18" ht="30" customHeight="1" x14ac:dyDescent="0.25">
      <c r="A55" s="430"/>
      <c r="B55" s="449" t="s">
        <v>2375</v>
      </c>
      <c r="C55" s="439"/>
      <c r="D55" s="450">
        <f>VLOOKUP($A$1,'Physical Effects-Numbers'!$A$2:$AU$175,44,FALSE)</f>
        <v>0</v>
      </c>
      <c r="E55" s="623" t="str">
        <f>VLOOKUP($A$1,'Physical Effects'!$A$6:$CP$174,87,FALSE)</f>
        <v>Not Applicable</v>
      </c>
      <c r="F55" s="619"/>
      <c r="G55" s="619"/>
      <c r="H55" s="619"/>
      <c r="I55" s="619"/>
      <c r="J55" s="619"/>
      <c r="K55" s="619"/>
      <c r="L55" s="622"/>
      <c r="N55" s="54"/>
      <c r="O55" s="89"/>
      <c r="P55" s="87"/>
      <c r="Q55" s="57"/>
      <c r="R55" s="57"/>
    </row>
    <row r="56" spans="1:18" ht="30" customHeight="1" x14ac:dyDescent="0.25">
      <c r="A56" s="430"/>
      <c r="B56" s="449" t="s">
        <v>2376</v>
      </c>
      <c r="C56" s="439"/>
      <c r="D56" s="450">
        <f>VLOOKUP($A$1,'Physical Effects-Numbers'!$A$2:$AU$175,45,FALSE)</f>
        <v>0</v>
      </c>
      <c r="E56" s="623" t="str">
        <f>VLOOKUP($A$1,'Physical Effects'!$A$6:$CP$174,89,FALSE)</f>
        <v>Captured water in basins can supplement stock water.</v>
      </c>
      <c r="F56" s="619"/>
      <c r="G56" s="619"/>
      <c r="H56" s="619"/>
      <c r="I56" s="619"/>
      <c r="J56" s="619"/>
      <c r="K56" s="619"/>
      <c r="L56" s="622"/>
      <c r="N56" s="54"/>
      <c r="O56" s="89"/>
      <c r="P56" s="87"/>
      <c r="Q56" s="57"/>
      <c r="R56" s="57"/>
    </row>
    <row r="57" spans="1:18" ht="15.75" x14ac:dyDescent="0.25">
      <c r="A57" s="430"/>
      <c r="B57" s="445" t="s">
        <v>1952</v>
      </c>
      <c r="C57" s="439"/>
      <c r="D57" s="450"/>
      <c r="E57" s="623"/>
      <c r="F57" s="619"/>
      <c r="G57" s="619"/>
      <c r="H57" s="619"/>
      <c r="I57" s="619"/>
      <c r="J57" s="619"/>
      <c r="K57" s="619"/>
      <c r="L57" s="622"/>
      <c r="N57" s="54"/>
      <c r="O57" s="89"/>
      <c r="P57" s="87"/>
      <c r="Q57" s="57"/>
      <c r="R57" s="57"/>
    </row>
    <row r="58" spans="1:18" ht="30" customHeight="1" x14ac:dyDescent="0.25">
      <c r="A58" s="430"/>
      <c r="B58" s="449" t="s">
        <v>2377</v>
      </c>
      <c r="C58" s="439"/>
      <c r="D58" s="450">
        <f>VLOOKUP($A$1,'Physical Effects-Numbers'!$A$2:$AU$175,46,FALSE)</f>
        <v>0</v>
      </c>
      <c r="E58" s="623" t="str">
        <f>VLOOKUP($A$1,'Physical Effects'!$A$6:$CP$174,91,FALSE)</f>
        <v>Not Applicable</v>
      </c>
      <c r="F58" s="619"/>
      <c r="G58" s="619"/>
      <c r="H58" s="619"/>
      <c r="I58" s="619"/>
      <c r="J58" s="619"/>
      <c r="K58" s="619"/>
      <c r="L58" s="622"/>
      <c r="N58" s="54"/>
      <c r="O58" s="89"/>
      <c r="P58" s="87"/>
      <c r="Q58" s="57"/>
      <c r="R58" s="57"/>
    </row>
    <row r="59" spans="1:18" ht="30" customHeight="1" x14ac:dyDescent="0.25">
      <c r="A59" s="430"/>
      <c r="B59" s="449" t="s">
        <v>2378</v>
      </c>
      <c r="C59" s="439"/>
      <c r="D59" s="450">
        <f>VLOOKUP($A$1,'Physical Effects-Numbers'!$A$2:$AU$175,47,FALSE)</f>
        <v>0</v>
      </c>
      <c r="E59" s="623" t="str">
        <f>VLOOKUP($A$1,'Physical Effects'!$A$6:$CP$174,93,FALSE)</f>
        <v>Not Applicable</v>
      </c>
      <c r="F59" s="619"/>
      <c r="G59" s="619"/>
      <c r="H59" s="619"/>
      <c r="I59" s="619"/>
      <c r="J59" s="619"/>
      <c r="K59" s="619"/>
      <c r="L59" s="622"/>
      <c r="N59" s="54"/>
      <c r="O59" s="89"/>
      <c r="P59" s="87"/>
      <c r="Q59" s="57"/>
      <c r="R59" s="57"/>
    </row>
    <row r="60" spans="1:18" ht="16.5" thickBot="1" x14ac:dyDescent="0.3">
      <c r="A60" s="430"/>
      <c r="B60" s="454"/>
      <c r="C60" s="455"/>
      <c r="D60" s="456"/>
      <c r="E60" s="457"/>
      <c r="F60" s="455"/>
      <c r="G60" s="455"/>
      <c r="H60" s="455"/>
      <c r="I60" s="455"/>
      <c r="J60" s="455"/>
      <c r="K60" s="455"/>
      <c r="L60" s="458"/>
      <c r="N60" s="54"/>
      <c r="O60" s="89"/>
      <c r="P60" s="87"/>
      <c r="Q60" s="57"/>
      <c r="R60" s="57"/>
    </row>
    <row r="61" spans="1:18" ht="16.5" thickTop="1" x14ac:dyDescent="0.25">
      <c r="A61" s="423"/>
      <c r="B61" s="459"/>
      <c r="C61" s="455"/>
      <c r="D61" s="455"/>
      <c r="E61" s="460"/>
      <c r="F61" s="455"/>
      <c r="G61" s="455"/>
      <c r="H61" s="461" t="s">
        <v>2261</v>
      </c>
      <c r="I61" s="462"/>
      <c r="J61" s="463" t="s">
        <v>2262</v>
      </c>
      <c r="K61" s="326"/>
      <c r="L61" s="464"/>
      <c r="N61" s="54"/>
      <c r="O61" s="89"/>
      <c r="P61" s="87"/>
      <c r="Q61" s="57"/>
      <c r="R61" s="57"/>
    </row>
    <row r="62" spans="1:18" ht="15.75" x14ac:dyDescent="0.25">
      <c r="A62" s="423"/>
      <c r="B62" s="454"/>
      <c r="C62" s="455"/>
      <c r="D62" s="465"/>
      <c r="E62" s="460"/>
      <c r="F62" s="455"/>
      <c r="G62" s="455"/>
      <c r="H62" s="466" t="s">
        <v>2264</v>
      </c>
      <c r="I62" s="455"/>
      <c r="J62" s="467" t="s">
        <v>2001</v>
      </c>
      <c r="K62" s="468"/>
      <c r="L62" s="469"/>
      <c r="N62" s="99"/>
      <c r="O62" s="89"/>
      <c r="P62" s="87"/>
      <c r="Q62" s="57"/>
      <c r="R62" s="57"/>
    </row>
    <row r="63" spans="1:18" ht="15.75" x14ac:dyDescent="0.25">
      <c r="A63" s="423"/>
      <c r="B63" s="454"/>
      <c r="C63" s="455"/>
      <c r="D63" s="470"/>
      <c r="E63" s="460"/>
      <c r="F63" s="471"/>
      <c r="G63" s="455"/>
      <c r="H63" s="466" t="s">
        <v>2266</v>
      </c>
      <c r="I63" s="455"/>
      <c r="J63" s="467" t="s">
        <v>2267</v>
      </c>
      <c r="K63" s="468"/>
      <c r="L63" s="469"/>
      <c r="N63" s="54"/>
      <c r="O63" s="89"/>
      <c r="P63" s="87"/>
      <c r="Q63" s="57"/>
      <c r="R63" s="57"/>
    </row>
    <row r="64" spans="1:18" ht="15" x14ac:dyDescent="0.2">
      <c r="A64" s="423"/>
      <c r="B64" s="454"/>
      <c r="C64" s="455"/>
      <c r="D64" s="472"/>
      <c r="E64" s="460"/>
      <c r="F64" s="471"/>
      <c r="G64" s="455"/>
      <c r="H64" s="466" t="s">
        <v>2269</v>
      </c>
      <c r="I64" s="455"/>
      <c r="J64" s="467" t="s">
        <v>2270</v>
      </c>
      <c r="K64" s="468"/>
      <c r="L64" s="469"/>
      <c r="N64" s="54"/>
      <c r="O64" s="57"/>
      <c r="P64" s="57"/>
      <c r="Q64" s="57"/>
      <c r="R64" s="57"/>
    </row>
    <row r="65" spans="1:18" x14ac:dyDescent="0.2">
      <c r="A65" s="423"/>
      <c r="B65" s="454"/>
      <c r="C65" s="455"/>
      <c r="D65" s="472"/>
      <c r="E65" s="460"/>
      <c r="F65" s="471"/>
      <c r="G65" s="455"/>
      <c r="H65" s="466" t="s">
        <v>2272</v>
      </c>
      <c r="I65" s="455"/>
      <c r="J65" s="467" t="s">
        <v>2273</v>
      </c>
      <c r="K65" s="468"/>
      <c r="L65" s="469"/>
      <c r="N65" s="107"/>
      <c r="O65" s="57"/>
      <c r="P65" s="57"/>
      <c r="Q65" s="57"/>
      <c r="R65" s="57"/>
    </row>
    <row r="66" spans="1:18" s="432" customFormat="1" ht="16.5" thickBot="1" x14ac:dyDescent="0.3">
      <c r="A66" s="431"/>
      <c r="B66" s="473"/>
      <c r="C66" s="474"/>
      <c r="D66" s="475"/>
      <c r="E66" s="475"/>
      <c r="F66" s="475"/>
      <c r="G66" s="475"/>
      <c r="H66" s="476" t="s">
        <v>2275</v>
      </c>
      <c r="I66" s="475"/>
      <c r="J66" s="477" t="s">
        <v>2276</v>
      </c>
      <c r="K66" s="327"/>
      <c r="L66" s="478"/>
      <c r="N66" s="54"/>
      <c r="O66" s="115"/>
      <c r="P66" s="116"/>
      <c r="Q66" s="57"/>
      <c r="R66" s="107"/>
    </row>
    <row r="67" spans="1:18" ht="15.75" thickTop="1" x14ac:dyDescent="0.2">
      <c r="A67" s="423"/>
      <c r="B67" s="423"/>
      <c r="C67" s="423"/>
      <c r="D67" s="423"/>
      <c r="E67" s="424"/>
      <c r="F67" s="424"/>
      <c r="G67" s="424"/>
      <c r="H67" s="424"/>
      <c r="I67" s="424"/>
      <c r="J67" s="424"/>
      <c r="K67" s="424"/>
      <c r="L67" s="424"/>
      <c r="M67" s="424"/>
      <c r="N67" s="54"/>
      <c r="O67" s="57"/>
      <c r="P67" s="57"/>
      <c r="Q67" s="57"/>
      <c r="R67" s="57"/>
    </row>
    <row r="68" spans="1:18" ht="15" x14ac:dyDescent="0.2">
      <c r="B68" s="423"/>
      <c r="C68" s="433"/>
      <c r="D68" s="423"/>
      <c r="E68" s="424"/>
      <c r="F68" s="424"/>
      <c r="G68" s="424"/>
      <c r="H68" s="119"/>
      <c r="I68" s="424"/>
      <c r="J68" s="424" t="s">
        <v>2380</v>
      </c>
      <c r="K68" s="424"/>
      <c r="L68" s="424"/>
      <c r="N68" s="54"/>
      <c r="O68" s="107"/>
      <c r="P68" s="107"/>
      <c r="Q68" s="107"/>
      <c r="R68" s="57"/>
    </row>
    <row r="69" spans="1:18" ht="15" x14ac:dyDescent="0.2">
      <c r="A69" s="423"/>
      <c r="B69" s="423"/>
      <c r="C69" s="434"/>
      <c r="E69" s="434"/>
      <c r="F69" s="424"/>
      <c r="G69" s="424"/>
      <c r="H69" s="119"/>
      <c r="I69" s="424"/>
      <c r="J69" s="424" t="s">
        <v>2278</v>
      </c>
      <c r="K69" s="424"/>
      <c r="L69" s="424"/>
      <c r="N69" s="54"/>
      <c r="O69" s="107"/>
      <c r="P69" s="107"/>
      <c r="Q69" s="107"/>
      <c r="R69" s="57"/>
    </row>
    <row r="70" spans="1:18" ht="15" x14ac:dyDescent="0.2">
      <c r="A70" s="423"/>
      <c r="B70" s="423"/>
      <c r="C70" s="423"/>
      <c r="D70" s="423"/>
      <c r="E70" s="424"/>
      <c r="F70" s="424"/>
      <c r="G70" s="424"/>
      <c r="H70" s="119"/>
      <c r="I70" s="424"/>
      <c r="K70" s="435"/>
      <c r="L70" s="436">
        <v>42261</v>
      </c>
      <c r="N70" s="54"/>
      <c r="O70" s="107"/>
      <c r="P70" s="107"/>
      <c r="Q70" s="107"/>
      <c r="R70" s="57"/>
    </row>
    <row r="71" spans="1:18" ht="15" x14ac:dyDescent="0.2">
      <c r="A71" s="423"/>
      <c r="B71" s="423"/>
      <c r="C71" s="423"/>
      <c r="D71" s="423"/>
      <c r="E71" s="424"/>
      <c r="F71" s="424"/>
      <c r="G71" s="424"/>
      <c r="H71" s="119"/>
      <c r="I71" s="424"/>
      <c r="J71" s="424"/>
      <c r="K71" s="424"/>
      <c r="L71" s="424"/>
      <c r="M71" s="424"/>
      <c r="N71" s="54"/>
      <c r="O71" s="107"/>
      <c r="P71" s="107"/>
      <c r="Q71" s="107"/>
      <c r="R71" s="57"/>
    </row>
    <row r="72" spans="1:18" ht="15" x14ac:dyDescent="0.2">
      <c r="A72" s="423"/>
      <c r="B72" s="423"/>
      <c r="C72" s="423"/>
      <c r="D72" s="423"/>
      <c r="E72" s="424"/>
      <c r="F72" s="424"/>
      <c r="G72" s="424"/>
      <c r="H72" s="119"/>
      <c r="I72" s="424"/>
      <c r="J72" s="424"/>
      <c r="K72" s="424"/>
      <c r="L72" s="424"/>
      <c r="M72" s="424"/>
      <c r="N72" s="54"/>
      <c r="O72" s="107"/>
      <c r="P72" s="107"/>
      <c r="Q72" s="107"/>
      <c r="R72" s="57"/>
    </row>
    <row r="73" spans="1:18" ht="15" x14ac:dyDescent="0.2">
      <c r="A73" s="423"/>
      <c r="B73" s="423"/>
      <c r="C73" s="423"/>
      <c r="D73" s="423"/>
      <c r="E73" s="424"/>
      <c r="F73" s="424"/>
      <c r="G73" s="424"/>
      <c r="H73" s="119"/>
      <c r="I73" s="424"/>
      <c r="J73" s="424"/>
      <c r="K73" s="424"/>
      <c r="L73" s="424"/>
      <c r="M73" s="424"/>
      <c r="N73" s="99"/>
      <c r="O73" s="107"/>
      <c r="P73" s="107"/>
      <c r="Q73" s="107"/>
      <c r="R73" s="57"/>
    </row>
  </sheetData>
  <mergeCells count="52">
    <mergeCell ref="E56:L56"/>
    <mergeCell ref="E57:L57"/>
    <mergeCell ref="E58:L58"/>
    <mergeCell ref="E59:L59"/>
    <mergeCell ref="E50:L50"/>
    <mergeCell ref="E51:L51"/>
    <mergeCell ref="E52:L52"/>
    <mergeCell ref="E53:L53"/>
    <mergeCell ref="E54:L54"/>
    <mergeCell ref="E55:L55"/>
    <mergeCell ref="E49:L49"/>
    <mergeCell ref="E38:L38"/>
    <mergeCell ref="E39:L39"/>
    <mergeCell ref="E40:L40"/>
    <mergeCell ref="E41:L41"/>
    <mergeCell ref="E42:L42"/>
    <mergeCell ref="E43:L43"/>
    <mergeCell ref="E44:L44"/>
    <mergeCell ref="E45:L45"/>
    <mergeCell ref="E46:L46"/>
    <mergeCell ref="E47:L47"/>
    <mergeCell ref="E48:L48"/>
    <mergeCell ref="E37:L37"/>
    <mergeCell ref="E26:L26"/>
    <mergeCell ref="E27:L27"/>
    <mergeCell ref="E28:L28"/>
    <mergeCell ref="E29:L29"/>
    <mergeCell ref="E30:L30"/>
    <mergeCell ref="E31:L31"/>
    <mergeCell ref="E32:L32"/>
    <mergeCell ref="E33:L33"/>
    <mergeCell ref="E34:L34"/>
    <mergeCell ref="E35:L35"/>
    <mergeCell ref="E36:L36"/>
    <mergeCell ref="E20:L20"/>
    <mergeCell ref="E21:L21"/>
    <mergeCell ref="E23:L23"/>
    <mergeCell ref="E24:L24"/>
    <mergeCell ref="E14:L14"/>
    <mergeCell ref="E15:L15"/>
    <mergeCell ref="E16:L16"/>
    <mergeCell ref="E18:L18"/>
    <mergeCell ref="E19:L19"/>
    <mergeCell ref="B4:I5"/>
    <mergeCell ref="E13:L13"/>
    <mergeCell ref="E7:L7"/>
    <mergeCell ref="E8:L8"/>
    <mergeCell ref="E9:L9"/>
    <mergeCell ref="E10:L10"/>
    <mergeCell ref="E11:L11"/>
    <mergeCell ref="L3:L4"/>
    <mergeCell ref="J5:K5"/>
  </mergeCells>
  <pageMargins left="0.5" right="0.5" top="0.5" bottom="0.5" header="0.5" footer="0.5"/>
  <pageSetup scale="65" fitToHeight="74" orientation="landscape" horizontalDpi="150" verticalDpi="150" r:id="rId1"/>
  <headerFooter alignWithMargins="0"/>
  <ignoredErrors>
    <ignoredError sqref="B4"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1505" r:id="rId4" name="Drop Down 1">
              <controlPr defaultSize="0" autoLine="0" autoPict="0">
                <anchor moveWithCells="1">
                  <from>
                    <xdr:col>1</xdr:col>
                    <xdr:colOff>19050</xdr:colOff>
                    <xdr:row>0</xdr:row>
                    <xdr:rowOff>38100</xdr:rowOff>
                  </from>
                  <to>
                    <xdr:col>4</xdr:col>
                    <xdr:colOff>257175</xdr:colOff>
                    <xdr:row>0</xdr:row>
                    <xdr:rowOff>257175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5" tint="0.39997558519241921"/>
  </sheetPr>
  <dimension ref="A1:BU323"/>
  <sheetViews>
    <sheetView zoomScale="90" zoomScaleNormal="90" workbookViewId="0">
      <pane xSplit="6" ySplit="2" topLeftCell="Y3" activePane="bottomRight" state="frozen"/>
      <selection pane="topRight" activeCell="G1" sqref="G1"/>
      <selection pane="bottomLeft" activeCell="A3" sqref="A3"/>
      <selection pane="bottomRight" activeCell="Y2" sqref="Y2"/>
    </sheetView>
  </sheetViews>
  <sheetFormatPr defaultColWidth="9.140625" defaultRowHeight="12.75" x14ac:dyDescent="0.2"/>
  <cols>
    <col min="1" max="1" width="2.7109375" style="173" customWidth="1"/>
    <col min="2" max="2" width="27.42578125" style="175" customWidth="1"/>
    <col min="3" max="3" width="11.85546875" style="175" customWidth="1"/>
    <col min="4" max="4" width="9.140625" style="201"/>
    <col min="5" max="5" width="8.28515625" style="175" customWidth="1"/>
    <col min="6" max="6" width="15.28515625" style="175" customWidth="1"/>
    <col min="7" max="7" width="12.28515625" style="175" customWidth="1"/>
    <col min="8" max="8" width="16.7109375" style="175" customWidth="1"/>
    <col min="9" max="9" width="13.28515625" style="175" customWidth="1"/>
    <col min="10" max="13" width="11.85546875" style="202" customWidth="1"/>
    <col min="14" max="14" width="15" style="175" customWidth="1"/>
    <col min="15" max="15" width="12.85546875" style="175" customWidth="1"/>
    <col min="16" max="16" width="11.5703125" style="175" customWidth="1"/>
    <col min="17" max="18" width="11.5703125" style="203" customWidth="1"/>
    <col min="19" max="19" width="10" style="203" customWidth="1"/>
    <col min="20" max="20" width="15.42578125" style="175" customWidth="1"/>
    <col min="21" max="21" width="13" style="175" customWidth="1"/>
    <col min="22" max="22" width="10.5703125" style="175" customWidth="1"/>
    <col min="23" max="23" width="10.140625" style="175" customWidth="1"/>
    <col min="24" max="24" width="12.85546875" style="175" customWidth="1"/>
    <col min="25" max="25" width="10.7109375" style="175" customWidth="1"/>
    <col min="26" max="26" width="10.7109375" style="204" customWidth="1"/>
    <col min="27" max="29" width="10.7109375" style="175" customWidth="1"/>
    <col min="30" max="30" width="12.28515625" style="204" customWidth="1"/>
    <col min="31" max="31" width="12.28515625" style="206" customWidth="1"/>
    <col min="32" max="32" width="13.7109375" style="206" customWidth="1"/>
    <col min="33" max="33" width="12.7109375" style="206" customWidth="1"/>
    <col min="34" max="34" width="12.28515625" style="207" customWidth="1"/>
    <col min="35" max="35" width="13" style="206" customWidth="1"/>
    <col min="36" max="36" width="13.28515625" style="206" customWidth="1"/>
    <col min="37" max="37" width="12.28515625" style="206" customWidth="1"/>
    <col min="38" max="38" width="12.28515625" style="207" customWidth="1"/>
    <col min="39" max="40" width="13.7109375" style="206" customWidth="1"/>
    <col min="41" max="41" width="14.7109375" style="206" customWidth="1"/>
    <col min="42" max="42" width="13.7109375" style="207" customWidth="1"/>
    <col min="43" max="43" width="13.85546875" style="206" customWidth="1"/>
    <col min="44" max="44" width="13.5703125" style="206" customWidth="1"/>
    <col min="45" max="45" width="12.28515625" style="206" customWidth="1"/>
    <col min="46" max="46" width="12.28515625" style="207" customWidth="1"/>
    <col min="47" max="48" width="12.28515625" style="206" customWidth="1"/>
    <col min="49" max="49" width="11.140625" style="58" customWidth="1"/>
    <col min="50" max="50" width="12.28515625" style="207" customWidth="1"/>
    <col min="51" max="51" width="12.28515625" style="206" customWidth="1"/>
    <col min="52" max="52" width="12.28515625" style="175" customWidth="1"/>
    <col min="53" max="53" width="12" style="58" customWidth="1"/>
    <col min="54" max="54" width="12.28515625" style="204" customWidth="1"/>
    <col min="55" max="57" width="12.28515625" style="175" customWidth="1"/>
    <col min="58" max="58" width="12.28515625" style="204" customWidth="1"/>
    <col min="59" max="60" width="12.28515625" style="175" customWidth="1"/>
    <col min="61" max="61" width="10.7109375" style="58" customWidth="1"/>
    <col min="62" max="62" width="12.28515625" style="204" customWidth="1"/>
    <col min="63" max="64" width="12.28515625" style="175" customWidth="1"/>
    <col min="65" max="65" width="12.140625" style="58" customWidth="1"/>
    <col min="66" max="66" width="12.28515625" style="204" customWidth="1"/>
    <col min="67" max="67" width="13.5703125" style="175" customWidth="1"/>
    <col min="68" max="68" width="13.42578125" style="175" customWidth="1"/>
    <col min="69" max="69" width="12" style="58" customWidth="1"/>
    <col min="70" max="70" width="12.28515625" style="204" customWidth="1"/>
    <col min="71" max="71" width="14.28515625" style="175" customWidth="1"/>
    <col min="72" max="72" width="12.28515625" style="175" customWidth="1"/>
    <col min="73" max="16384" width="9.140625" style="175"/>
  </cols>
  <sheetData>
    <row r="1" spans="1:73" ht="13.5" thickBot="1" x14ac:dyDescent="0.25">
      <c r="B1" s="629" t="s">
        <v>2045</v>
      </c>
      <c r="C1" s="630"/>
      <c r="D1" s="630"/>
      <c r="E1" s="630"/>
      <c r="F1" s="174"/>
      <c r="G1" s="631" t="s">
        <v>2754</v>
      </c>
      <c r="H1" s="632"/>
      <c r="I1" s="632"/>
      <c r="J1" s="632"/>
      <c r="K1" s="632"/>
      <c r="L1" s="633"/>
      <c r="M1" s="632"/>
      <c r="N1" s="632"/>
      <c r="O1" s="634" t="s">
        <v>2755</v>
      </c>
      <c r="P1" s="635"/>
      <c r="Q1" s="635"/>
      <c r="R1" s="635"/>
      <c r="S1" s="635"/>
      <c r="T1" s="635"/>
      <c r="U1" s="636" t="s">
        <v>2591</v>
      </c>
      <c r="V1" s="637"/>
      <c r="W1" s="637"/>
      <c r="X1" s="637"/>
      <c r="Y1" s="298" t="s">
        <v>2592</v>
      </c>
      <c r="Z1" s="299" t="s">
        <v>2593</v>
      </c>
      <c r="AA1" s="300" t="s">
        <v>2594</v>
      </c>
      <c r="AB1" s="300" t="s">
        <v>2594</v>
      </c>
      <c r="AC1" s="300" t="s">
        <v>2593</v>
      </c>
      <c r="AD1" s="299" t="s">
        <v>2595</v>
      </c>
      <c r="AE1" s="300" t="s">
        <v>2593</v>
      </c>
      <c r="AF1" s="300" t="s">
        <v>2594</v>
      </c>
      <c r="AG1" s="300" t="s">
        <v>2593</v>
      </c>
      <c r="AH1" s="299" t="s">
        <v>2595</v>
      </c>
      <c r="AI1" s="300" t="s">
        <v>2593</v>
      </c>
      <c r="AJ1" s="300" t="s">
        <v>2594</v>
      </c>
      <c r="AK1" s="300" t="s">
        <v>2593</v>
      </c>
      <c r="AL1" s="299" t="s">
        <v>2595</v>
      </c>
      <c r="AM1" s="300" t="s">
        <v>2593</v>
      </c>
      <c r="AN1" s="300" t="s">
        <v>2594</v>
      </c>
      <c r="AO1" s="300" t="s">
        <v>2593</v>
      </c>
      <c r="AP1" s="299" t="s">
        <v>2595</v>
      </c>
      <c r="AQ1" s="300" t="s">
        <v>2593</v>
      </c>
      <c r="AR1" s="300" t="s">
        <v>2594</v>
      </c>
      <c r="AS1" s="300" t="s">
        <v>2593</v>
      </c>
      <c r="AT1" s="299" t="s">
        <v>2595</v>
      </c>
      <c r="AU1" s="300" t="s">
        <v>2593</v>
      </c>
      <c r="AV1" s="300" t="s">
        <v>2593</v>
      </c>
      <c r="AW1" s="299" t="s">
        <v>2593</v>
      </c>
      <c r="AX1" s="299" t="s">
        <v>2593</v>
      </c>
      <c r="AY1" s="298" t="s">
        <v>2592</v>
      </c>
      <c r="AZ1" s="300" t="s">
        <v>2594</v>
      </c>
      <c r="BA1" s="299" t="s">
        <v>2593</v>
      </c>
      <c r="BB1" s="299" t="s">
        <v>2593</v>
      </c>
      <c r="BC1" s="298" t="s">
        <v>2592</v>
      </c>
      <c r="BD1" s="300" t="s">
        <v>2594</v>
      </c>
      <c r="BE1" s="300" t="s">
        <v>2593</v>
      </c>
      <c r="BF1" s="299" t="s">
        <v>2595</v>
      </c>
      <c r="BG1" s="300" t="s">
        <v>2593</v>
      </c>
      <c r="BH1" s="300" t="s">
        <v>2594</v>
      </c>
      <c r="BI1" s="299" t="s">
        <v>2593</v>
      </c>
      <c r="BJ1" s="299" t="s">
        <v>2593</v>
      </c>
      <c r="BK1" s="298" t="s">
        <v>2592</v>
      </c>
      <c r="BL1" s="300" t="s">
        <v>2594</v>
      </c>
      <c r="BM1" s="299" t="s">
        <v>2593</v>
      </c>
      <c r="BN1" s="299" t="s">
        <v>2593</v>
      </c>
      <c r="BO1" s="298" t="s">
        <v>2592</v>
      </c>
      <c r="BP1" s="300" t="s">
        <v>2594</v>
      </c>
      <c r="BQ1" s="299" t="s">
        <v>2593</v>
      </c>
      <c r="BR1" s="299" t="s">
        <v>2593</v>
      </c>
      <c r="BS1" s="298" t="s">
        <v>2592</v>
      </c>
      <c r="BT1" s="300" t="s">
        <v>2594</v>
      </c>
    </row>
    <row r="2" spans="1:73" ht="149.44999999999999" customHeight="1" thickBot="1" x14ac:dyDescent="0.25">
      <c r="B2" s="324" t="s">
        <v>3868</v>
      </c>
      <c r="C2" s="176" t="s">
        <v>1423</v>
      </c>
      <c r="D2" s="177" t="s">
        <v>1424</v>
      </c>
      <c r="E2" s="177" t="s">
        <v>1694</v>
      </c>
      <c r="F2" s="177" t="s">
        <v>2394</v>
      </c>
      <c r="G2" s="279" t="s">
        <v>2756</v>
      </c>
      <c r="H2" s="279" t="s">
        <v>3576</v>
      </c>
      <c r="I2" s="279" t="s">
        <v>2596</v>
      </c>
      <c r="J2" s="280" t="s">
        <v>2597</v>
      </c>
      <c r="K2" s="280" t="s">
        <v>3620</v>
      </c>
      <c r="L2" s="280" t="s">
        <v>3650</v>
      </c>
      <c r="M2" s="280" t="s">
        <v>3577</v>
      </c>
      <c r="N2" s="279" t="s">
        <v>2598</v>
      </c>
      <c r="O2" s="274" t="s">
        <v>3578</v>
      </c>
      <c r="P2" s="274" t="s">
        <v>2599</v>
      </c>
      <c r="Q2" s="275" t="s">
        <v>2600</v>
      </c>
      <c r="R2" s="275" t="s">
        <v>3611</v>
      </c>
      <c r="S2" s="275" t="s">
        <v>2601</v>
      </c>
      <c r="T2" s="276" t="s">
        <v>2602</v>
      </c>
      <c r="U2" s="277" t="s">
        <v>2603</v>
      </c>
      <c r="V2" s="277" t="s">
        <v>2604</v>
      </c>
      <c r="W2" s="277" t="s">
        <v>2605</v>
      </c>
      <c r="X2" s="277" t="s">
        <v>3223</v>
      </c>
      <c r="Y2" s="284" t="s">
        <v>416</v>
      </c>
      <c r="Z2" s="285" t="s">
        <v>416</v>
      </c>
      <c r="AA2" s="286" t="s">
        <v>417</v>
      </c>
      <c r="AB2" s="286" t="s">
        <v>418</v>
      </c>
      <c r="AC2" s="288" t="s">
        <v>1658</v>
      </c>
      <c r="AD2" s="287" t="s">
        <v>1658</v>
      </c>
      <c r="AE2" s="288" t="s">
        <v>2606</v>
      </c>
      <c r="AF2" s="288" t="s">
        <v>2607</v>
      </c>
      <c r="AG2" s="289" t="s">
        <v>2982</v>
      </c>
      <c r="AH2" s="289" t="s">
        <v>2982</v>
      </c>
      <c r="AI2" s="289" t="s">
        <v>2983</v>
      </c>
      <c r="AJ2" s="289" t="s">
        <v>2984</v>
      </c>
      <c r="AK2" s="278" t="s">
        <v>1661</v>
      </c>
      <c r="AL2" s="283" t="s">
        <v>2608</v>
      </c>
      <c r="AM2" s="278" t="s">
        <v>2609</v>
      </c>
      <c r="AN2" s="278" t="s">
        <v>2610</v>
      </c>
      <c r="AO2" s="279" t="s">
        <v>2611</v>
      </c>
      <c r="AP2" s="290" t="s">
        <v>2611</v>
      </c>
      <c r="AQ2" s="290" t="s">
        <v>2612</v>
      </c>
      <c r="AR2" s="290" t="s">
        <v>2613</v>
      </c>
      <c r="AS2" s="274" t="s">
        <v>2614</v>
      </c>
      <c r="AT2" s="291" t="s">
        <v>2614</v>
      </c>
      <c r="AU2" s="274" t="s">
        <v>2615</v>
      </c>
      <c r="AV2" s="274" t="s">
        <v>2616</v>
      </c>
      <c r="AW2" s="293" t="s">
        <v>1655</v>
      </c>
      <c r="AX2" s="292" t="s">
        <v>1655</v>
      </c>
      <c r="AY2" s="293" t="s">
        <v>2617</v>
      </c>
      <c r="AZ2" s="293" t="s">
        <v>2618</v>
      </c>
      <c r="BA2" s="274" t="s">
        <v>1656</v>
      </c>
      <c r="BB2" s="291" t="s">
        <v>1656</v>
      </c>
      <c r="BC2" s="274" t="s">
        <v>2619</v>
      </c>
      <c r="BD2" s="274" t="s">
        <v>2620</v>
      </c>
      <c r="BE2" s="293" t="s">
        <v>1657</v>
      </c>
      <c r="BF2" s="292" t="s">
        <v>1657</v>
      </c>
      <c r="BG2" s="293" t="s">
        <v>2621</v>
      </c>
      <c r="BH2" s="293" t="s">
        <v>2622</v>
      </c>
      <c r="BI2" s="295" t="s">
        <v>1659</v>
      </c>
      <c r="BJ2" s="294" t="s">
        <v>1659</v>
      </c>
      <c r="BK2" s="295" t="s">
        <v>2623</v>
      </c>
      <c r="BL2" s="295" t="s">
        <v>2624</v>
      </c>
      <c r="BM2" s="297" t="s">
        <v>1660</v>
      </c>
      <c r="BN2" s="296" t="s">
        <v>1660</v>
      </c>
      <c r="BO2" s="297" t="s">
        <v>2625</v>
      </c>
      <c r="BP2" s="297" t="s">
        <v>2626</v>
      </c>
      <c r="BQ2" s="284" t="s">
        <v>2627</v>
      </c>
      <c r="BR2" s="285" t="s">
        <v>2627</v>
      </c>
      <c r="BS2" s="284" t="s">
        <v>2628</v>
      </c>
      <c r="BT2" s="284" t="s">
        <v>2629</v>
      </c>
    </row>
    <row r="3" spans="1:73" ht="39.950000000000003" customHeight="1" thickBot="1" x14ac:dyDescent="0.25">
      <c r="A3" s="173">
        <v>1</v>
      </c>
      <c r="B3" s="178" t="s">
        <v>13</v>
      </c>
      <c r="C3" s="179" t="s">
        <v>1598</v>
      </c>
      <c r="D3" s="180">
        <v>472</v>
      </c>
      <c r="E3" s="180" t="s">
        <v>3646</v>
      </c>
      <c r="F3" s="273" t="str">
        <f>VLOOKUP($D3,'Practice Descriptions'!$E$11:$F$186,2,FALSE)</f>
        <v>The temporary or permanent exclusion of animals, people, vehicles, and/or equipment from an area.</v>
      </c>
      <c r="G3" s="182">
        <v>10</v>
      </c>
      <c r="H3" s="183">
        <v>12</v>
      </c>
      <c r="I3" s="184">
        <v>0</v>
      </c>
      <c r="J3" s="184">
        <v>0.03</v>
      </c>
      <c r="K3" s="419">
        <f>IF(E3="No.",1,IF(E3="Ac.",1,(SQRT(VLOOKUP(O3,Lookup!$F$9:$H$18,3,FALSE)))*208/VLOOKUP(O3,Lookup!$F$9:$H$18,3,FALSE)))</f>
        <v>1</v>
      </c>
      <c r="L3" s="185" t="str">
        <f t="shared" ref="L3:L67" si="0">IF(K3&gt;1,"Assume length 1 side of square field (208'/Ac)","")</f>
        <v/>
      </c>
      <c r="M3" s="184">
        <v>0.5</v>
      </c>
      <c r="N3" s="186">
        <f>IF(G3=1,H3,PMT(Lookup!$G$4,G3,-H3)+(H3*J3)+(M3*P3))*K3</f>
        <v>51.923502566820765</v>
      </c>
      <c r="O3" s="187" t="s">
        <v>301</v>
      </c>
      <c r="P3" s="186">
        <f>VLOOKUP($O3,Lookup!$F$9:$I$18,4,FALSE)</f>
        <v>100</v>
      </c>
      <c r="Q3" s="184">
        <v>0</v>
      </c>
      <c r="R3" s="183">
        <v>1</v>
      </c>
      <c r="S3" s="188" t="s">
        <v>3579</v>
      </c>
      <c r="T3" s="186">
        <f>+P3*Q3+R3</f>
        <v>1</v>
      </c>
      <c r="U3" s="189">
        <f>+T3/N3</f>
        <v>1.9259101381173045E-2</v>
      </c>
      <c r="V3" s="189">
        <f t="shared" ref="V3:V67" si="1">IF(N3&gt;T3,0,(H3*K3)/T3)</f>
        <v>0</v>
      </c>
      <c r="W3" s="190">
        <f>IF(P3=0,0,IF(Q3+R3=0,0,PV(Lookup!$G$4,G3,-T3)/H3))</f>
        <v>0.63958961195273589</v>
      </c>
      <c r="X3" s="190">
        <f>IF(I3=0,0,PMT(Lookup!$G$4,G3,-(H3*I3*K3))/P3)</f>
        <v>0</v>
      </c>
      <c r="Y3" s="42" t="s">
        <v>962</v>
      </c>
      <c r="Z3" s="192">
        <f>VLOOKUP(Y3,Lookup!$B$4:$C$14,2,FALSE)</f>
        <v>-4</v>
      </c>
      <c r="AA3" s="281" t="s">
        <v>801</v>
      </c>
      <c r="AB3" s="282" t="s">
        <v>1072</v>
      </c>
      <c r="AC3" s="181" t="str">
        <f>VLOOKUP(AD3,Lookup!$C$4:$D$14,2,FALSE)</f>
        <v>Slight to Moderate Worsening</v>
      </c>
      <c r="AD3" s="193">
        <f>IF(P3/H3&lt;Lookup!$F$33,-5,IF(P3/H3&lt;Lookup!$F$32,-4,IF(P3/H3&lt;Lookup!$F$31,-3,IF(P3/H3&lt;Lookup!$F$30,-2,IF(P3/H3&lt;Lookup!$F$29,-1,-5)))))</f>
        <v>-2</v>
      </c>
      <c r="AE3" s="194" t="str">
        <f>VLOOKUP(AD3,Lookup!$G$28:$J$33,2,FALSE)</f>
        <v>One-time practice implementation cost 5 to 100% of enterprise annual net income</v>
      </c>
      <c r="AF3" s="281" t="s">
        <v>2952</v>
      </c>
      <c r="AG3" s="181" t="str">
        <f>VLOOKUP(AH3,Lookup!$C$4:$D$14,2,FALSE)</f>
        <v>Moderate Worsening</v>
      </c>
      <c r="AH3" s="193">
        <f>IF(J3&gt;Lookup!$F$43,-5,IF(J3&gt;Lookup!$F$42,-4,IF(J3&gt;Lookup!$F$41,-3,IF(J3&gt;Lookup!$F$40,-2,IF(J3&gt;Lookup!$F$39,-1,0)))))</f>
        <v>-3</v>
      </c>
      <c r="AI3" s="194" t="str">
        <f>VLOOKUP(AH3,Lookup!$G$38:$J$43,2,FALSE)</f>
        <v>Annual O&amp;M costs 2 to 3% of total installation costs</v>
      </c>
      <c r="AJ3" s="281" t="s">
        <v>2630</v>
      </c>
      <c r="AK3" s="181" t="str">
        <f>VLOOKUP(AL3,Lookup!$C$4:$D$14,2,FALSE)</f>
        <v>Substantial Worsening</v>
      </c>
      <c r="AL3" s="346">
        <f>IF(N3=0,0,IF(U3&lt;Lookup!$F$58,-5,IF(U3&lt;Lookup!$F$57,-4,IF(U3&lt;Lookup!$F$56,-3,IF(U3&lt;Lookup!$F$55,-2,IF(U3&lt;Lookup!$F$54,-1,IF(U3&lt;Lookup!$F$53,0,IF(U3&lt;Lookup!$F$52,1,IF(U3&lt;Lookup!$F$51,2,IF(U3&lt;Lookup!$F$50,3,IF(U3&lt;Lookup!$F$49,4,5)))))))))))</f>
        <v>-5</v>
      </c>
      <c r="AM3" s="194" t="str">
        <f>VLOOKUP(AL3,Lookup!$G$48:$J$58,2,FALSE)</f>
        <v>B/C Ratio less than .02</v>
      </c>
      <c r="AN3" s="281" t="s">
        <v>1843</v>
      </c>
      <c r="AO3" s="181" t="str">
        <f>VLOOKUP(AP3,Lookup!$C$4:$D$14,2,FALSE)</f>
        <v>No Effect</v>
      </c>
      <c r="AP3" s="193">
        <f>IF(Q3=0,0,IF(Q3&gt;Lookup!$F$63,5,IF(Q3&gt;Lookup!$F$64,4,IF(Q3&gt;Lookup!$F$65,3,IF(Q3&gt;Lookup!$F$66,2,IF(Q3&gt;Lookup!$F$67,1,IF(Q3&gt;Lookup!$F$69,-1,IF(Q3&gt;Lookup!$F$70,-2,IF(Q3&gt;Lookup!$F$71,-3,IF(Q3&gt;Lookup!$F$72,-4,-5))))))))))</f>
        <v>0</v>
      </c>
      <c r="AQ3" s="194" t="str">
        <f>VLOOKUP(AP3,Lookup!$G$63:$J$73,2,FALSE)</f>
        <v>No change in yield</v>
      </c>
      <c r="AR3" s="281" t="s">
        <v>3078</v>
      </c>
      <c r="AS3" s="181" t="str">
        <f>VLOOKUP(AT3,Lookup!$C$4:$D$14,2,FALSE)</f>
        <v>No Effect</v>
      </c>
      <c r="AT3" s="193">
        <f>IF(V3=0,0,IF(V3&lt;Lookup!$F$79,5,IF(V3&lt;Lookup!$F$80,4,IF(V3&lt;Lookup!$F$81,3,IF(V3&lt;Lookup!$F$82,2,IF(V3&lt;Lookup!$F$83,1,IF(V3&lt;Lookup!$F$85,-1,IF(V3&lt;Lookup!$F$86,-2,IF(V3&lt;Lookup!$F$87,-3,IF(V3&lt;Lookup!$F$88,-4,-5))))))))))</f>
        <v>0</v>
      </c>
      <c r="AU3" s="194" t="str">
        <f>VLOOKUP(AT3,Lookup!$G$79:$J$89,2,FALSE)</f>
        <v>No breakeven</v>
      </c>
      <c r="AV3" s="345" t="str">
        <f>VLOOKUP(AT3,Lookup!$G$79:$J$89,4,FALSE)</f>
        <v>Annual costs greater than annual benefits</v>
      </c>
      <c r="AW3" s="181" t="str">
        <f>VLOOKUP(AX3,Lookup!$C$4:$D$14,2,FALSE)</f>
        <v>Moderate Improvement</v>
      </c>
      <c r="AX3" s="193">
        <f>VLOOKUP(AY3,Lookup!$G$92:$J$97,4,FALSE)</f>
        <v>3</v>
      </c>
      <c r="AY3" s="181" t="s">
        <v>2631</v>
      </c>
      <c r="AZ3" s="281" t="s">
        <v>3152</v>
      </c>
      <c r="BA3" s="181" t="str">
        <f>VLOOKUP(BB3,Lookup!$C$4:$D$14,2,FALSE)</f>
        <v>Moderate Worsening</v>
      </c>
      <c r="BB3" s="193">
        <f>VLOOKUP(BC3,Lookup!$G$100:$K$110,5,FALSE)</f>
        <v>-3</v>
      </c>
      <c r="BC3" s="181" t="s">
        <v>2632</v>
      </c>
      <c r="BD3" s="281" t="s">
        <v>3185</v>
      </c>
      <c r="BE3" s="181" t="str">
        <f>VLOOKUP(BF3,Lookup!$C$4:$D$14,2,FALSE)</f>
        <v>No Effect</v>
      </c>
      <c r="BF3" s="193">
        <f>IF(X3=0,0,IF(X3&gt;Lookup!$F$113,-5,IF(X3&gt;Lookup!$F$114,-4,IF(X3&gt;Lookup!$F$115,-3,IF(X3&gt;Lookup!$F$116,-2,IF(X3&gt;Lookup!$F$117,-1,0))))))</f>
        <v>0</v>
      </c>
      <c r="BG3" s="195" t="str">
        <f>VLOOKUP(BF3,Lookup!$G$113:$H$118,2,FALSE)</f>
        <v>No change in on-farm equipment</v>
      </c>
      <c r="BH3" s="281" t="s">
        <v>3230</v>
      </c>
      <c r="BI3" s="181" t="str">
        <f>VLOOKUP(BJ3,Lookup!$C$4:$D$14,2,FALSE)</f>
        <v>Moderate Improvement</v>
      </c>
      <c r="BJ3" s="193">
        <f>VLOOKUP(BK3,Lookup!$G$121:$L$131,6,FALSE)</f>
        <v>3</v>
      </c>
      <c r="BK3" s="181" t="s">
        <v>2726</v>
      </c>
      <c r="BL3" s="281" t="s">
        <v>3252</v>
      </c>
      <c r="BM3" s="181" t="str">
        <f>VLOOKUP(BN3,Lookup!$C$4:$D$14,2,FALSE)</f>
        <v>Moderate Improvement</v>
      </c>
      <c r="BN3" s="193">
        <f>VLOOKUP(BO3,Lookup!$G$134:$L$144,6,FALSE)</f>
        <v>3</v>
      </c>
      <c r="BO3" s="181" t="s">
        <v>2634</v>
      </c>
      <c r="BP3" s="281" t="s">
        <v>3363</v>
      </c>
      <c r="BQ3" s="181" t="str">
        <f>VLOOKUP(BR3,Lookup!$C$4:$D$14,2,FALSE)</f>
        <v>Moderate Worsening</v>
      </c>
      <c r="BR3" s="193">
        <f>VLOOKUP(BS3,Lookup!$G$147:$L$157,6,FALSE)</f>
        <v>-3</v>
      </c>
      <c r="BS3" s="181" t="s">
        <v>2635</v>
      </c>
      <c r="BT3" s="281" t="s">
        <v>3524</v>
      </c>
      <c r="BU3" s="175" t="s">
        <v>2231</v>
      </c>
    </row>
    <row r="4" spans="1:73" ht="39.950000000000003" customHeight="1" thickBot="1" x14ac:dyDescent="0.25">
      <c r="A4" s="173">
        <f>+A3+1</f>
        <v>2</v>
      </c>
      <c r="B4" s="178" t="s">
        <v>1269</v>
      </c>
      <c r="C4" s="179" t="s">
        <v>1597</v>
      </c>
      <c r="D4" s="180">
        <v>560</v>
      </c>
      <c r="E4" s="180" t="s">
        <v>1944</v>
      </c>
      <c r="F4" s="273" t="str">
        <f>VLOOKUP($D4,'Practice Descriptions'!$E$11:$F$186,2,FALSE)</f>
        <v>A travel-way for equipment and vehicles constructed as part of a conservation plan.</v>
      </c>
      <c r="G4" s="182">
        <v>10</v>
      </c>
      <c r="H4" s="183">
        <v>20</v>
      </c>
      <c r="I4" s="184">
        <v>0</v>
      </c>
      <c r="J4" s="184">
        <v>0.15</v>
      </c>
      <c r="K4" s="419">
        <f>IF(E4="No.",1,IF(E4="Ac.",1,(SQRT(VLOOKUP(O4,Lookup!$F$9:$H$18,3,FALSE)))*208/VLOOKUP(O4,Lookup!$F$9:$H$18,3,FALSE)))</f>
        <v>16.443843832875572</v>
      </c>
      <c r="L4" s="185" t="str">
        <f t="shared" si="0"/>
        <v>Assume length 1 side of square field (208'/Ac)</v>
      </c>
      <c r="M4" s="184">
        <f>(25*K4)/43560</f>
        <v>9.437467764506182E-3</v>
      </c>
      <c r="N4" s="186">
        <f>IF(G4=1,H4,PMT(Lookup!$G$4,G4,-H4)+(H4*J4)+(M4*P4))*K4</f>
        <v>99.940930538661547</v>
      </c>
      <c r="O4" s="187" t="s">
        <v>1260</v>
      </c>
      <c r="P4" s="186">
        <f>VLOOKUP($O4,Lookup!$F$9:$I$18,4,FALSE)</f>
        <v>50</v>
      </c>
      <c r="Q4" s="184">
        <v>0.05</v>
      </c>
      <c r="R4" s="183">
        <v>2</v>
      </c>
      <c r="S4" s="188" t="s">
        <v>1886</v>
      </c>
      <c r="T4" s="186">
        <f t="shared" ref="T4:T68" si="2">+P4*Q4+R4</f>
        <v>4.5</v>
      </c>
      <c r="U4" s="189">
        <f t="shared" ref="U4:U68" si="3">+T4/N4</f>
        <v>4.5026596968288202E-2</v>
      </c>
      <c r="V4" s="189">
        <f t="shared" si="1"/>
        <v>0</v>
      </c>
      <c r="W4" s="190">
        <f>IF(P4=0,0,IF(Q4+R4=0,0,PV(Lookup!$G$4,G4,-T4)/H4))</f>
        <v>1.7268919522723867</v>
      </c>
      <c r="X4" s="190">
        <f>IF(I4=0,0,PMT(Lookup!$G$4,G4,-(H4*I4*K4))/P4)</f>
        <v>0</v>
      </c>
      <c r="Y4" s="42" t="s">
        <v>962</v>
      </c>
      <c r="Z4" s="192">
        <f>VLOOKUP(Y4,Lookup!$B$4:$C$14,2,FALSE)</f>
        <v>-4</v>
      </c>
      <c r="AA4" s="281" t="s">
        <v>1844</v>
      </c>
      <c r="AB4" s="282" t="s">
        <v>1072</v>
      </c>
      <c r="AC4" s="181" t="str">
        <f>VLOOKUP(AD4,Lookup!$C$4:$D$14,2,FALSE)</f>
        <v>Slight to Moderate Worsening</v>
      </c>
      <c r="AD4" s="193">
        <f>IF(P4/H4&lt;Lookup!$F$33,-5,IF(P4/H4&lt;Lookup!$F$32,-4,IF(P4/H4&lt;Lookup!$F$31,-3,IF(P4/H4&lt;Lookup!$F$30,-2,IF(P4/H4&lt;Lookup!$F$29,-1,-5)))))</f>
        <v>-2</v>
      </c>
      <c r="AE4" s="194" t="str">
        <f>VLOOKUP(AD4,Lookup!$G$28:$J$33,2,FALSE)</f>
        <v>One-time practice implementation cost 5 to 100% of enterprise annual net income</v>
      </c>
      <c r="AF4" s="281" t="s">
        <v>1842</v>
      </c>
      <c r="AG4" s="181" t="str">
        <f>VLOOKUP(AH4,Lookup!$C$4:$D$14,2,FALSE)</f>
        <v>Substantial Worsening</v>
      </c>
      <c r="AH4" s="193">
        <f>IF(J4&gt;Lookup!$F$43,-5,IF(J4&gt;Lookup!$F$42,-4,IF(J4&gt;Lookup!$F$41,-3,IF(J4&gt;Lookup!$F$40,-2,IF(J4&gt;Lookup!$F$39,-1,0)))))</f>
        <v>-5</v>
      </c>
      <c r="AI4" s="194" t="str">
        <f>VLOOKUP(AH4,Lookup!$G$38:$J$43,2,FALSE)</f>
        <v>Annual O&amp;M costs greater than 4% of total installation costs</v>
      </c>
      <c r="AJ4" s="281" t="s">
        <v>3006</v>
      </c>
      <c r="AK4" s="181" t="str">
        <f>VLOOKUP(AL4,Lookup!$C$4:$D$14,2,FALSE)</f>
        <v>Moderate to Substantial Worsening</v>
      </c>
      <c r="AL4" s="346">
        <f>IF(N4=0,0,IF(U4&lt;Lookup!$F$58,-5,IF(U4&lt;Lookup!$F$57,-4,IF(U4&lt;Lookup!$F$56,-3,IF(U4&lt;Lookup!$F$55,-2,IF(U4&lt;Lookup!$F$54,-1,IF(U4&lt;Lookup!$F$53,0,IF(U4&lt;Lookup!$F$52,1,IF(U4&lt;Lookup!$F$51,2,IF(U4&lt;Lookup!$F$50,3,IF(U4&lt;Lookup!$F$49,4,5)))))))))))</f>
        <v>-4</v>
      </c>
      <c r="AM4" s="194" t="str">
        <f>VLOOKUP(AL4,Lookup!$G$48:$J$58,2,FALSE)</f>
        <v>B/C Ratio .05 to .10</v>
      </c>
      <c r="AN4" s="281" t="s">
        <v>3029</v>
      </c>
      <c r="AO4" s="181" t="str">
        <f>VLOOKUP(AP4,Lookup!$C$4:$D$14,2,FALSE)</f>
        <v>Slight to Moderate Improvement</v>
      </c>
      <c r="AP4" s="193">
        <f>IF(Q4=0,0,IF(Q4&gt;Lookup!$F$63,5,IF(Q4&gt;Lookup!$F$64,4,IF(Q4&gt;Lookup!$F$65,3,IF(Q4&gt;Lookup!$F$66,2,IF(Q4&gt;Lookup!$F$67,1,IF(Q4&gt;Lookup!$F$69,-1,IF(Q4&gt;Lookup!$F$70,-2,IF(Q4&gt;Lookup!$F$71,-3,IF(Q4&gt;Lookup!$F$72,-4,-5))))))))))</f>
        <v>2</v>
      </c>
      <c r="AQ4" s="194" t="str">
        <f>VLOOKUP(AP4,Lookup!$G$63:$J$73,2,FALSE)</f>
        <v>5 to 10% yield increase</v>
      </c>
      <c r="AR4" s="281" t="s">
        <v>3079</v>
      </c>
      <c r="AS4" s="181" t="str">
        <f>VLOOKUP(AT4,Lookup!$C$4:$D$14,2,FALSE)</f>
        <v>No Effect</v>
      </c>
      <c r="AT4" s="193">
        <f>IF(V4=0,0,IF(V4&lt;Lookup!$F$79,5,IF(V4&lt;Lookup!$F$80,4,IF(V4&lt;Lookup!$F$81,3,IF(V4&lt;Lookup!$F$82,2,IF(V4&lt;Lookup!$F$83,1,IF(V4&lt;Lookup!$F$85,-1,IF(V4&lt;Lookup!$F$86,-2,IF(V4&lt;Lookup!$F$87,-3,IF(V4&lt;Lookup!$F$88,-4,-5))))))))))</f>
        <v>0</v>
      </c>
      <c r="AU4" s="194" t="str">
        <f>VLOOKUP(AT4,Lookup!$G$79:$J$89,2,FALSE)</f>
        <v>No breakeven</v>
      </c>
      <c r="AV4" s="345" t="str">
        <f>VLOOKUP(AT4,Lookup!$G$79:$J$89,4,FALSE)</f>
        <v>Annual costs greater than annual benefits</v>
      </c>
      <c r="AW4" s="181" t="str">
        <f>VLOOKUP(AX4,Lookup!$C$4:$D$14,2,FALSE)</f>
        <v>Slight Improvement</v>
      </c>
      <c r="AX4" s="193">
        <f>VLOOKUP(AY4,Lookup!$G$92:$J$97,4,FALSE)</f>
        <v>1</v>
      </c>
      <c r="AY4" s="181" t="s">
        <v>2636</v>
      </c>
      <c r="AZ4" s="281" t="s">
        <v>3153</v>
      </c>
      <c r="BA4" s="181" t="str">
        <f>VLOOKUP(BB4,Lookup!$C$4:$D$14,2,FALSE)</f>
        <v>Slight Worsening</v>
      </c>
      <c r="BB4" s="193">
        <f>VLOOKUP(BC4,Lookup!$G$100:$K$110,5,FALSE)</f>
        <v>-1</v>
      </c>
      <c r="BC4" s="181" t="s">
        <v>2637</v>
      </c>
      <c r="BD4" s="281" t="s">
        <v>3184</v>
      </c>
      <c r="BE4" s="181" t="str">
        <f>VLOOKUP(BF4,Lookup!$C$4:$D$14,2,FALSE)</f>
        <v>No Effect</v>
      </c>
      <c r="BF4" s="193">
        <f>IF(X4=0,0,IF(X4&gt;Lookup!$F$113,-5,IF(X4&gt;Lookup!$F$114,-4,IF(X4&gt;Lookup!$F$115,-3,IF(X4&gt;Lookup!$F$116,-2,IF(X4&gt;Lookup!$F$117,-1,0))))))</f>
        <v>0</v>
      </c>
      <c r="BG4" s="195" t="str">
        <f>VLOOKUP(BF4,Lookup!$G$113:$H$118,2,FALSE)</f>
        <v>No change in on-farm equipment</v>
      </c>
      <c r="BH4" s="281" t="s">
        <v>3230</v>
      </c>
      <c r="BI4" s="181" t="str">
        <f>VLOOKUP(BJ4,Lookup!$C$4:$D$14,2,FALSE)</f>
        <v>Slight Improvement</v>
      </c>
      <c r="BJ4" s="193">
        <f>VLOOKUP(BK4,Lookup!$G$121:$L$131,6,FALSE)</f>
        <v>1</v>
      </c>
      <c r="BK4" s="181" t="s">
        <v>2638</v>
      </c>
      <c r="BL4" s="281" t="s">
        <v>3251</v>
      </c>
      <c r="BM4" s="181" t="str">
        <f>VLOOKUP(BN4,Lookup!$C$4:$D$14,2,FALSE)</f>
        <v>Slight Improvement</v>
      </c>
      <c r="BN4" s="193">
        <f>VLOOKUP(BO4,Lookup!$G$134:$L$144,6,FALSE)</f>
        <v>1</v>
      </c>
      <c r="BO4" s="181" t="s">
        <v>3370</v>
      </c>
      <c r="BP4" s="281" t="s">
        <v>3361</v>
      </c>
      <c r="BQ4" s="181" t="str">
        <f>VLOOKUP(BR4,Lookup!$C$4:$D$14,2,FALSE)</f>
        <v>Substantial Improvement</v>
      </c>
      <c r="BR4" s="193">
        <f>VLOOKUP(BS4,Lookup!$G$147:$L$157,6,FALSE)</f>
        <v>5</v>
      </c>
      <c r="BS4" s="181" t="s">
        <v>2639</v>
      </c>
      <c r="BT4" s="281" t="s">
        <v>3487</v>
      </c>
      <c r="BU4" s="175" t="s">
        <v>2231</v>
      </c>
    </row>
    <row r="5" spans="1:73" ht="39.950000000000003" customHeight="1" thickBot="1" x14ac:dyDescent="0.25">
      <c r="A5" s="173">
        <f t="shared" ref="A5:A69" si="4">+A4+1</f>
        <v>3</v>
      </c>
      <c r="B5" s="178" t="s">
        <v>783</v>
      </c>
      <c r="C5" s="179" t="s">
        <v>1599</v>
      </c>
      <c r="D5" s="180">
        <v>309</v>
      </c>
      <c r="E5" s="180" t="s">
        <v>3647</v>
      </c>
      <c r="F5" s="273" t="str">
        <f>VLOOKUP($D5,'Practice Descriptions'!$E$11:$F$186,2,FALSE)</f>
        <v>A facility with an impervious surface to provide an environmentally safe area for the handling of on-farm agrichemicals.</v>
      </c>
      <c r="G5" s="182">
        <v>15</v>
      </c>
      <c r="H5" s="183">
        <v>20000</v>
      </c>
      <c r="I5" s="184">
        <v>1</v>
      </c>
      <c r="J5" s="184">
        <v>0.01</v>
      </c>
      <c r="K5" s="419">
        <f>IF(E5="No.",1,IF(E5="Ac.",1,(SQRT(VLOOKUP(O5,Lookup!$F$9:$H$18,3,FALSE)))*208/VLOOKUP(O5,Lookup!$F$9:$H$18,3,FALSE)))</f>
        <v>1</v>
      </c>
      <c r="L5" s="185" t="str">
        <f t="shared" si="0"/>
        <v/>
      </c>
      <c r="M5" s="184">
        <v>0.05</v>
      </c>
      <c r="N5" s="186">
        <f>IF(G5=1,H5,PMT(Lookup!$G$4,G5,-H5)+(H5*J5)+(M5*P5))*K5</f>
        <v>2143.2102452975523</v>
      </c>
      <c r="O5" s="187" t="s">
        <v>2221</v>
      </c>
      <c r="P5" s="186">
        <f>VLOOKUP($O5,Lookup!$F$9:$I$18,4,FALSE)</f>
        <v>1</v>
      </c>
      <c r="Q5" s="184">
        <v>0.01</v>
      </c>
      <c r="R5" s="183">
        <v>2</v>
      </c>
      <c r="S5" s="188" t="s">
        <v>3609</v>
      </c>
      <c r="T5" s="186">
        <f t="shared" si="2"/>
        <v>2.0099999999999998</v>
      </c>
      <c r="U5" s="189">
        <f t="shared" si="3"/>
        <v>9.3784546075690385E-4</v>
      </c>
      <c r="V5" s="189">
        <f t="shared" si="1"/>
        <v>0</v>
      </c>
      <c r="W5" s="190">
        <f>IF(P5=0,0,IF(Q5+R5=0,0,PV(Lookup!$G$4,G5,-T5)/H5))</f>
        <v>1.0343974486222637E-3</v>
      </c>
      <c r="X5" s="190">
        <f>IF(I5=0,0,PMT(Lookup!$G$4,G5,-(H5*I5*K5))/P5)</f>
        <v>1943.1602452975521</v>
      </c>
      <c r="Y5" s="42" t="s">
        <v>965</v>
      </c>
      <c r="Z5" s="192">
        <f>VLOOKUP(Y5,Lookup!$B$4:$C$14,2,FALSE)</f>
        <v>1</v>
      </c>
      <c r="AA5" s="281" t="s">
        <v>1845</v>
      </c>
      <c r="AB5" s="282" t="s">
        <v>1072</v>
      </c>
      <c r="AC5" s="181" t="str">
        <f>VLOOKUP(AD5,Lookup!$C$4:$D$14,2,FALSE)</f>
        <v>Substantial Worsening</v>
      </c>
      <c r="AD5" s="193">
        <f>IF(P5/H5&lt;Lookup!$F$33,-5,IF(P5/H5&lt;Lookup!$F$32,-4,IF(P5/H5&lt;Lookup!$F$31,-3,IF(P5/H5&lt;Lookup!$F$30,-2,IF(P5/H5&lt;Lookup!$F$29,-1,-5)))))</f>
        <v>-5</v>
      </c>
      <c r="AE5" s="194" t="str">
        <f>VLOOKUP(AD5,Lookup!$G$28:$J$33,2,FALSE)</f>
        <v>One-time practice implementation cost 5 times or greater enterprise annual net income</v>
      </c>
      <c r="AF5" s="281" t="s">
        <v>1847</v>
      </c>
      <c r="AG5" s="181" t="str">
        <f>VLOOKUP(AH5,Lookup!$C$4:$D$14,2,FALSE)</f>
        <v>Slight Worsening</v>
      </c>
      <c r="AH5" s="193">
        <f>IF(J5&gt;Lookup!$F$43,-5,IF(J5&gt;Lookup!$F$42,-4,IF(J5&gt;Lookup!$F$41,-3,IF(J5&gt;Lookup!$F$40,-2,IF(J5&gt;Lookup!$F$39,-1,0)))))</f>
        <v>-1</v>
      </c>
      <c r="AI5" s="194" t="str">
        <f>VLOOKUP(AH5,Lookup!$G$38:$J$43,2,FALSE)</f>
        <v>Annual O&amp;M costs less than 1% of total installation costs</v>
      </c>
      <c r="AJ5" s="281" t="s">
        <v>2975</v>
      </c>
      <c r="AK5" s="181" t="str">
        <f>VLOOKUP(AL5,Lookup!$C$4:$D$14,2,FALSE)</f>
        <v>Substantial Worsening</v>
      </c>
      <c r="AL5" s="346">
        <f>IF(N5=0,0,IF(U5&lt;Lookup!$F$58,-5,IF(U5&lt;Lookup!$F$57,-4,IF(U5&lt;Lookup!$F$56,-3,IF(U5&lt;Lookup!$F$55,-2,IF(U5&lt;Lookup!$F$54,-1,IF(U5&lt;Lookup!$F$53,0,IF(U5&lt;Lookup!$F$52,1,IF(U5&lt;Lookup!$F$51,2,IF(U5&lt;Lookup!$F$50,3,IF(U5&lt;Lookup!$F$49,4,5)))))))))))</f>
        <v>-5</v>
      </c>
      <c r="AM5" s="194" t="str">
        <f>VLOOKUP(AL5,Lookup!$G$48:$J$58,2,FALSE)</f>
        <v>B/C Ratio less than .02</v>
      </c>
      <c r="AN5" s="281" t="s">
        <v>3029</v>
      </c>
      <c r="AO5" s="181" t="str">
        <f>VLOOKUP(AP5,Lookup!$C$4:$D$14,2,FALSE)</f>
        <v>Slight Improvement</v>
      </c>
      <c r="AP5" s="193">
        <f>IF(Q5=0,0,IF(Q5&gt;Lookup!$F$63,5,IF(Q5&gt;Lookup!$F$64,4,IF(Q5&gt;Lookup!$F$65,3,IF(Q5&gt;Lookup!$F$66,2,IF(Q5&gt;Lookup!$F$67,1,IF(Q5&gt;Lookup!$F$69,-1,IF(Q5&gt;Lookup!$F$70,-2,IF(Q5&gt;Lookup!$F$71,-3,IF(Q5&gt;Lookup!$F$72,-4,-5))))))))))</f>
        <v>1</v>
      </c>
      <c r="AQ5" s="194" t="str">
        <f>VLOOKUP(AP5,Lookup!$G$63:$J$73,2,FALSE)</f>
        <v>5% or less yield increase</v>
      </c>
      <c r="AR5" s="281" t="s">
        <v>3080</v>
      </c>
      <c r="AS5" s="181" t="str">
        <f>VLOOKUP(AT5,Lookup!$C$4:$D$14,2,FALSE)</f>
        <v>No Effect</v>
      </c>
      <c r="AT5" s="193">
        <f>IF(V5=0,0,IF(V5&lt;Lookup!$F$79,5,IF(V5&lt;Lookup!$F$80,4,IF(V5&lt;Lookup!$F$81,3,IF(V5&lt;Lookup!$F$82,2,IF(V5&lt;Lookup!$F$83,1,IF(V5&lt;Lookup!$F$85,-1,IF(V5&lt;Lookup!$F$86,-2,IF(V5&lt;Lookup!$F$87,-3,IF(V5&lt;Lookup!$F$88,-4,-5))))))))))</f>
        <v>0</v>
      </c>
      <c r="AU5" s="194" t="str">
        <f>VLOOKUP(AT5,Lookup!$G$79:$J$89,2,FALSE)</f>
        <v>No breakeven</v>
      </c>
      <c r="AV5" s="345" t="str">
        <f>VLOOKUP(AT5,Lookup!$G$79:$J$89,4,FALSE)</f>
        <v>Annual costs greater than annual benefits</v>
      </c>
      <c r="AW5" s="181" t="str">
        <f>VLOOKUP(AX5,Lookup!$C$4:$D$14,2,FALSE)</f>
        <v>Slight Improvement</v>
      </c>
      <c r="AX5" s="193">
        <f>VLOOKUP(AY5,Lookup!$G$92:$J$97,4,FALSE)</f>
        <v>1</v>
      </c>
      <c r="AY5" s="181" t="s">
        <v>2636</v>
      </c>
      <c r="AZ5" s="281" t="s">
        <v>3162</v>
      </c>
      <c r="BA5" s="181" t="str">
        <f>VLOOKUP(BB5,Lookup!$C$4:$D$14,2,FALSE)</f>
        <v>Slight Worsening</v>
      </c>
      <c r="BB5" s="193">
        <f>VLOOKUP(BC5,Lookup!$G$100:$K$110,5,FALSE)</f>
        <v>-1</v>
      </c>
      <c r="BC5" s="181" t="s">
        <v>2637</v>
      </c>
      <c r="BD5" s="281" t="s">
        <v>3184</v>
      </c>
      <c r="BE5" s="181" t="str">
        <f>VLOOKUP(BF5,Lookup!$C$4:$D$14,2,FALSE)</f>
        <v>Substantial Worsening</v>
      </c>
      <c r="BF5" s="193">
        <f>IF(X5=0,0,IF(X5&gt;Lookup!$F$113,-5,IF(X5&gt;Lookup!$F$114,-4,IF(X5&gt;Lookup!$F$115,-3,IF(X5&gt;Lookup!$F$116,-2,IF(X5&gt;Lookup!$F$117,-1,0))))))</f>
        <v>-5</v>
      </c>
      <c r="BG5" s="195" t="str">
        <f>VLOOKUP(BF5,Lookup!$G$113:$H$118,2,FALSE)</f>
        <v>Annual on-farm equipment costs 75% or greater of enterprise annual net income</v>
      </c>
      <c r="BH5" s="281" t="s">
        <v>3525</v>
      </c>
      <c r="BI5" s="181" t="str">
        <f>VLOOKUP(BJ5,Lookup!$C$4:$D$14,2,FALSE)</f>
        <v>Slight Worsening</v>
      </c>
      <c r="BJ5" s="193">
        <f>VLOOKUP(BK5,Lookup!$G$121:$L$131,6,FALSE)</f>
        <v>-1</v>
      </c>
      <c r="BK5" s="181" t="s">
        <v>2640</v>
      </c>
      <c r="BL5" s="281" t="s">
        <v>3253</v>
      </c>
      <c r="BM5" s="181" t="str">
        <f>VLOOKUP(BN5,Lookup!$C$4:$D$14,2,FALSE)</f>
        <v>Slight to Moderate Worsening</v>
      </c>
      <c r="BN5" s="193">
        <f>VLOOKUP(BO5,Lookup!$G$134:$L$144,6,FALSE)</f>
        <v>-2</v>
      </c>
      <c r="BO5" s="181" t="s">
        <v>3374</v>
      </c>
      <c r="BP5" s="281" t="s">
        <v>3362</v>
      </c>
      <c r="BQ5" s="181" t="str">
        <f>VLOOKUP(BR5,Lookup!$C$4:$D$14,2,FALSE)</f>
        <v>Slight to Moderate Improvement</v>
      </c>
      <c r="BR5" s="193">
        <f>VLOOKUP(BS5,Lookup!$G$147:$L$157,6,FALSE)</f>
        <v>2</v>
      </c>
      <c r="BS5" s="181" t="s">
        <v>2641</v>
      </c>
      <c r="BT5" s="281" t="s">
        <v>3429</v>
      </c>
      <c r="BU5" s="175" t="s">
        <v>2231</v>
      </c>
    </row>
    <row r="6" spans="1:73" ht="39.950000000000003" customHeight="1" thickBot="1" x14ac:dyDescent="0.25">
      <c r="A6" s="173">
        <f t="shared" si="4"/>
        <v>4</v>
      </c>
      <c r="B6" s="178" t="s">
        <v>1771</v>
      </c>
      <c r="C6" s="179" t="s">
        <v>2056</v>
      </c>
      <c r="D6" s="180">
        <v>371</v>
      </c>
      <c r="E6" s="180" t="s">
        <v>3647</v>
      </c>
      <c r="F6" s="273" t="str">
        <f>VLOOKUP($D6,'Practice Descriptions'!$E$11:$F$186,2,FALSE)</f>
        <v>A device or system for reducing emissions of air contaminants from a structure via interception and/or collection.</v>
      </c>
      <c r="G6" s="182">
        <v>5</v>
      </c>
      <c r="H6" s="183">
        <v>10000</v>
      </c>
      <c r="I6" s="184">
        <v>1</v>
      </c>
      <c r="J6" s="184">
        <v>0.2</v>
      </c>
      <c r="K6" s="419">
        <f>IF(E6="No.",1,IF(E6="Ac.",1,(SQRT(VLOOKUP(O6,Lookup!$F$9:$H$18,3,FALSE)))*208/VLOOKUP(O6,Lookup!$F$9:$H$18,3,FALSE)))</f>
        <v>1</v>
      </c>
      <c r="L6" s="185" t="str">
        <f t="shared" si="0"/>
        <v/>
      </c>
      <c r="M6" s="184">
        <v>0</v>
      </c>
      <c r="N6" s="186">
        <f>IF(G6=1,H6,PMT(Lookup!$G$4,G6,-H6)+(H6*J6)+(M6*P6))*K6</f>
        <v>4317.7348118111477</v>
      </c>
      <c r="O6" s="187" t="s">
        <v>2221</v>
      </c>
      <c r="P6" s="186">
        <f>VLOOKUP($O6,Lookup!$F$9:$I$18,4,FALSE)</f>
        <v>1</v>
      </c>
      <c r="Q6" s="184">
        <v>0</v>
      </c>
      <c r="R6" s="183">
        <v>2</v>
      </c>
      <c r="S6" s="188" t="s">
        <v>3145</v>
      </c>
      <c r="T6" s="186">
        <f t="shared" si="2"/>
        <v>2</v>
      </c>
      <c r="U6" s="189">
        <f t="shared" si="3"/>
        <v>4.6320584453890204E-4</v>
      </c>
      <c r="V6" s="189">
        <f t="shared" si="1"/>
        <v>0</v>
      </c>
      <c r="W6" s="190">
        <f>IF(P6=0,0,IF(Q6+R6=0,0,PV(Lookup!$G$4,G6,-T6)/H6))</f>
        <v>8.6291149004969229E-4</v>
      </c>
      <c r="X6" s="190">
        <f>IF(I6=0,0,PMT(Lookup!$G$4,G6,-(H6*I6*K6))/P6)</f>
        <v>2317.7348118111472</v>
      </c>
      <c r="Y6" s="42" t="s">
        <v>986</v>
      </c>
      <c r="Z6" s="192">
        <f>VLOOKUP(Y6,Lookup!$B$4:$C$14,2,FALSE)</f>
        <v>0</v>
      </c>
      <c r="AA6" s="281" t="s">
        <v>2953</v>
      </c>
      <c r="AB6" s="282" t="s">
        <v>1072</v>
      </c>
      <c r="AC6" s="181" t="str">
        <f>VLOOKUP(AD6,Lookup!$C$4:$D$14,2,FALSE)</f>
        <v>Substantial Worsening</v>
      </c>
      <c r="AD6" s="193">
        <f>IF(P6/H6&lt;Lookup!$F$33,-5,IF(P6/H6&lt;Lookup!$F$32,-4,IF(P6/H6&lt;Lookup!$F$31,-3,IF(P6/H6&lt;Lookup!$F$30,-2,IF(P6/H6&lt;Lookup!$F$29,-1,-5)))))</f>
        <v>-5</v>
      </c>
      <c r="AE6" s="194" t="str">
        <f>VLOOKUP(AD6,Lookup!$G$28:$J$33,2,FALSE)</f>
        <v>One-time practice implementation cost 5 times or greater enterprise annual net income</v>
      </c>
      <c r="AF6" s="281" t="s">
        <v>1847</v>
      </c>
      <c r="AG6" s="181" t="str">
        <f>VLOOKUP(AH6,Lookup!$C$4:$D$14,2,FALSE)</f>
        <v>Substantial Worsening</v>
      </c>
      <c r="AH6" s="193">
        <f>IF(J6&gt;Lookup!$F$43,-5,IF(J6&gt;Lookup!$F$42,-4,IF(J6&gt;Lookup!$F$41,-3,IF(J6&gt;Lookup!$F$40,-2,IF(J6&gt;Lookup!$F$39,-1,0)))))</f>
        <v>-5</v>
      </c>
      <c r="AI6" s="194" t="str">
        <f>VLOOKUP(AH6,Lookup!$G$38:$J$43,2,FALSE)</f>
        <v>Annual O&amp;M costs greater than 4% of total installation costs</v>
      </c>
      <c r="AJ6" s="281" t="s">
        <v>2977</v>
      </c>
      <c r="AK6" s="181" t="str">
        <f>VLOOKUP(AL6,Lookup!$C$4:$D$14,2,FALSE)</f>
        <v>Substantial Worsening</v>
      </c>
      <c r="AL6" s="346">
        <f>IF(N6=0,0,IF(U6&lt;Lookup!$F$58,-5,IF(U6&lt;Lookup!$F$57,-4,IF(U6&lt;Lookup!$F$56,-3,IF(U6&lt;Lookup!$F$55,-2,IF(U6&lt;Lookup!$F$54,-1,IF(U6&lt;Lookup!$F$53,0,IF(U6&lt;Lookup!$F$52,1,IF(U6&lt;Lookup!$F$51,2,IF(U6&lt;Lookup!$F$50,3,IF(U6&lt;Lookup!$F$49,4,5)))))))))))</f>
        <v>-5</v>
      </c>
      <c r="AM6" s="194" t="str">
        <f>VLOOKUP(AL6,Lookup!$G$48:$J$58,2,FALSE)</f>
        <v>B/C Ratio less than .02</v>
      </c>
      <c r="AN6" s="281" t="s">
        <v>3020</v>
      </c>
      <c r="AO6" s="181" t="str">
        <f>VLOOKUP(AP6,Lookup!$C$4:$D$14,2,FALSE)</f>
        <v>No Effect</v>
      </c>
      <c r="AP6" s="193">
        <f>IF(Q6=0,0,IF(Q6&gt;Lookup!$F$63,5,IF(Q6&gt;Lookup!$F$64,4,IF(Q6&gt;Lookup!$F$65,3,IF(Q6&gt;Lookup!$F$66,2,IF(Q6&gt;Lookup!$F$67,1,IF(Q6&gt;Lookup!$F$69,-1,IF(Q6&gt;Lookup!$F$70,-2,IF(Q6&gt;Lookup!$F$71,-3,IF(Q6&gt;Lookup!$F$72,-4,-5))))))))))</f>
        <v>0</v>
      </c>
      <c r="AQ6" s="194" t="str">
        <f>VLOOKUP(AP6,Lookup!$G$63:$J$73,2,FALSE)</f>
        <v>No change in yield</v>
      </c>
      <c r="AR6" s="281" t="s">
        <v>3081</v>
      </c>
      <c r="AS6" s="181" t="str">
        <f>VLOOKUP(AT6,Lookup!$C$4:$D$14,2,FALSE)</f>
        <v>No Effect</v>
      </c>
      <c r="AT6" s="193">
        <f>IF(V6=0,0,IF(V6&lt;Lookup!$F$79,5,IF(V6&lt;Lookup!$F$80,4,IF(V6&lt;Lookup!$F$81,3,IF(V6&lt;Lookup!$F$82,2,IF(V6&lt;Lookup!$F$83,1,IF(V6&lt;Lookup!$F$85,-1,IF(V6&lt;Lookup!$F$86,-2,IF(V6&lt;Lookup!$F$87,-3,IF(V6&lt;Lookup!$F$88,-4,-5))))))))))</f>
        <v>0</v>
      </c>
      <c r="AU6" s="194" t="str">
        <f>VLOOKUP(AT6,Lookup!$G$79:$J$89,2,FALSE)</f>
        <v>No breakeven</v>
      </c>
      <c r="AV6" s="345" t="str">
        <f>VLOOKUP(AT6,Lookup!$G$79:$J$89,4,FALSE)</f>
        <v>Annual costs greater than annual benefits</v>
      </c>
      <c r="AW6" s="181" t="str">
        <f>VLOOKUP(AX6,Lookup!$C$4:$D$14,2,FALSE)</f>
        <v>No Effect</v>
      </c>
      <c r="AX6" s="193">
        <f>VLOOKUP(AY6,Lookup!$G$92:$J$97,4,FALSE)</f>
        <v>0</v>
      </c>
      <c r="AY6" s="181" t="s">
        <v>2642</v>
      </c>
      <c r="AZ6" s="281" t="s">
        <v>3154</v>
      </c>
      <c r="BA6" s="181" t="str">
        <f>VLOOKUP(BB6,Lookup!$C$4:$D$14,2,FALSE)</f>
        <v>No Effect</v>
      </c>
      <c r="BB6" s="193">
        <f>VLOOKUP(BC6,Lookup!$G$100:$K$110,5,FALSE)</f>
        <v>0</v>
      </c>
      <c r="BC6" s="181" t="s">
        <v>2643</v>
      </c>
      <c r="BD6" s="281" t="s">
        <v>3154</v>
      </c>
      <c r="BE6" s="181" t="str">
        <f>VLOOKUP(BF6,Lookup!$C$4:$D$14,2,FALSE)</f>
        <v>Substantial Worsening</v>
      </c>
      <c r="BF6" s="193">
        <f>IF(X6=0,0,IF(X6&gt;Lookup!$F$113,-5,IF(X6&gt;Lookup!$F$114,-4,IF(X6&gt;Lookup!$F$115,-3,IF(X6&gt;Lookup!$F$116,-2,IF(X6&gt;Lookup!$F$117,-1,0))))))</f>
        <v>-5</v>
      </c>
      <c r="BG6" s="195" t="str">
        <f>VLOOKUP(BF6,Lookup!$G$113:$H$118,2,FALSE)</f>
        <v>Annual on-farm equipment costs 75% or greater of enterprise annual net income</v>
      </c>
      <c r="BH6" s="281" t="s">
        <v>3525</v>
      </c>
      <c r="BI6" s="181" t="str">
        <f>VLOOKUP(BJ6,Lookup!$C$4:$D$14,2,FALSE)</f>
        <v>Slight Worsening</v>
      </c>
      <c r="BJ6" s="193">
        <f>VLOOKUP(BK6,Lookup!$G$121:$L$131,6,FALSE)</f>
        <v>-1</v>
      </c>
      <c r="BK6" s="181" t="s">
        <v>2640</v>
      </c>
      <c r="BL6" s="281" t="s">
        <v>3254</v>
      </c>
      <c r="BM6" s="181" t="str">
        <f>VLOOKUP(BN6,Lookup!$C$4:$D$14,2,FALSE)</f>
        <v>No Effect</v>
      </c>
      <c r="BN6" s="193">
        <f>VLOOKUP(BO6,Lookup!$G$134:$L$144,6,FALSE)</f>
        <v>0</v>
      </c>
      <c r="BO6" s="181" t="s">
        <v>2646</v>
      </c>
      <c r="BP6" s="281" t="s">
        <v>3154</v>
      </c>
      <c r="BQ6" s="181" t="str">
        <f>VLOOKUP(BR6,Lookup!$C$4:$D$14,2,FALSE)</f>
        <v>Slight to Moderate Improvement</v>
      </c>
      <c r="BR6" s="193">
        <f>VLOOKUP(BS6,Lookup!$G$147:$L$157,6,FALSE)</f>
        <v>2</v>
      </c>
      <c r="BS6" s="181" t="s">
        <v>2641</v>
      </c>
      <c r="BT6" s="281" t="s">
        <v>3446</v>
      </c>
      <c r="BU6" s="175" t="s">
        <v>2231</v>
      </c>
    </row>
    <row r="7" spans="1:73" ht="39.950000000000003" customHeight="1" thickBot="1" x14ac:dyDescent="0.25">
      <c r="A7" s="173">
        <f t="shared" si="4"/>
        <v>5</v>
      </c>
      <c r="B7" s="178" t="s">
        <v>1270</v>
      </c>
      <c r="C7" s="179" t="s">
        <v>1598</v>
      </c>
      <c r="D7" s="180">
        <v>311</v>
      </c>
      <c r="E7" s="180" t="s">
        <v>3646</v>
      </c>
      <c r="F7" s="273" t="str">
        <f>VLOOKUP($D7,'Practice Descriptions'!$E$11:$F$186,2,FALSE)</f>
        <v>Trees or shrubs planted in a set or series of single or multiple rows with agronomic, horticultural crops or forages produced in the alleys between the rows of woody plants.</v>
      </c>
      <c r="G7" s="182">
        <v>15</v>
      </c>
      <c r="H7" s="183">
        <v>15</v>
      </c>
      <c r="I7" s="184">
        <v>0</v>
      </c>
      <c r="J7" s="184">
        <v>0.01</v>
      </c>
      <c r="K7" s="419">
        <f>IF(E7="No.",1,IF(E7="Ac.",1,(SQRT(VLOOKUP(O7,Lookup!$F$9:$H$18,3,FALSE)))*208/VLOOKUP(O7,Lookup!$F$9:$H$18,3,FALSE)))</f>
        <v>1</v>
      </c>
      <c r="L7" s="185" t="str">
        <f t="shared" si="0"/>
        <v/>
      </c>
      <c r="M7" s="184">
        <v>0.25</v>
      </c>
      <c r="N7" s="186">
        <f>IF(G7=1,H7,PMT(Lookup!$G$4,G7,-H7)+(H7*J7)+(M7*P7))*K7</f>
        <v>76.60737018397316</v>
      </c>
      <c r="O7" s="187" t="s">
        <v>1110</v>
      </c>
      <c r="P7" s="186">
        <f>VLOOKUP($O7,Lookup!$F$9:$I$18,4,FALSE)</f>
        <v>300</v>
      </c>
      <c r="Q7" s="184">
        <v>0.05</v>
      </c>
      <c r="R7" s="183">
        <v>0</v>
      </c>
      <c r="S7" s="188"/>
      <c r="T7" s="186">
        <f t="shared" si="2"/>
        <v>15</v>
      </c>
      <c r="U7" s="189">
        <f t="shared" si="3"/>
        <v>0.19580361476940653</v>
      </c>
      <c r="V7" s="189">
        <f t="shared" si="1"/>
        <v>0</v>
      </c>
      <c r="W7" s="190">
        <f>IF(P7=0,0,IF(Q7+R7=0,0,PV(Lookup!$G$4,G7,-T7)/H7))</f>
        <v>10.292511926589691</v>
      </c>
      <c r="X7" s="190">
        <f>IF(I7=0,0,PMT(Lookup!$G$4,G7,-(H7*I7*K7))/P7)</f>
        <v>0</v>
      </c>
      <c r="Y7" s="42" t="s">
        <v>963</v>
      </c>
      <c r="Z7" s="192">
        <f>VLOOKUP(Y7,Lookup!$B$4:$C$14,2,FALSE)</f>
        <v>2</v>
      </c>
      <c r="AA7" s="281" t="s">
        <v>1848</v>
      </c>
      <c r="AB7" s="282" t="s">
        <v>1072</v>
      </c>
      <c r="AC7" s="181" t="str">
        <f>VLOOKUP(AD7,Lookup!$C$4:$D$14,2,FALSE)</f>
        <v>Slight Worsening</v>
      </c>
      <c r="AD7" s="193">
        <f>IF(P7/H7&lt;Lookup!$F$33,-5,IF(P7/H7&lt;Lookup!$F$32,-4,IF(P7/H7&lt;Lookup!$F$31,-3,IF(P7/H7&lt;Lookup!$F$30,-2,IF(P7/H7&lt;Lookup!$F$29,-1,-5)))))</f>
        <v>-1</v>
      </c>
      <c r="AE7" s="194" t="str">
        <f>VLOOKUP(AD7,Lookup!$G$28:$J$33,2,FALSE)</f>
        <v>One-time practice implementation cost 5% or less of enterprise annual net income</v>
      </c>
      <c r="AF7" s="281" t="s">
        <v>3526</v>
      </c>
      <c r="AG7" s="181" t="str">
        <f>VLOOKUP(AH7,Lookup!$C$4:$D$14,2,FALSE)</f>
        <v>Slight Worsening</v>
      </c>
      <c r="AH7" s="193">
        <f>IF(J7&gt;Lookup!$F$43,-5,IF(J7&gt;Lookup!$F$42,-4,IF(J7&gt;Lookup!$F$41,-3,IF(J7&gt;Lookup!$F$40,-2,IF(J7&gt;Lookup!$F$39,-1,0)))))</f>
        <v>-1</v>
      </c>
      <c r="AI7" s="194" t="str">
        <f>VLOOKUP(AH7,Lookup!$G$38:$J$43,2,FALSE)</f>
        <v>Annual O&amp;M costs less than 1% of total installation costs</v>
      </c>
      <c r="AJ7" s="281" t="s">
        <v>2978</v>
      </c>
      <c r="AK7" s="181" t="str">
        <f>VLOOKUP(AL7,Lookup!$C$4:$D$14,2,FALSE)</f>
        <v>Moderate Worsening</v>
      </c>
      <c r="AL7" s="346">
        <f>IF(N7=0,0,IF(U7&lt;Lookup!$F$58,-5,IF(U7&lt;Lookup!$F$57,-4,IF(U7&lt;Lookup!$F$56,-3,IF(U7&lt;Lookup!$F$55,-2,IF(U7&lt;Lookup!$F$54,-1,IF(U7&lt;Lookup!$F$53,0,IF(U7&lt;Lookup!$F$52,1,IF(U7&lt;Lookup!$F$51,2,IF(U7&lt;Lookup!$F$50,3,IF(U7&lt;Lookup!$F$49,4,5)))))))))))</f>
        <v>-3</v>
      </c>
      <c r="AM7" s="194" t="str">
        <f>VLOOKUP(AL7,Lookup!$G$48:$J$58,2,FALSE)</f>
        <v>B/C Ratio .10 to .25</v>
      </c>
      <c r="AN7" s="281" t="s">
        <v>3030</v>
      </c>
      <c r="AO7" s="181" t="str">
        <f>VLOOKUP(AP7,Lookup!$C$4:$D$14,2,FALSE)</f>
        <v>Slight to Moderate Improvement</v>
      </c>
      <c r="AP7" s="193">
        <f>IF(Q7=0,0,IF(Q7&gt;Lookup!$F$63,5,IF(Q7&gt;Lookup!$F$64,4,IF(Q7&gt;Lookup!$F$65,3,IF(Q7&gt;Lookup!$F$66,2,IF(Q7&gt;Lookup!$F$67,1,IF(Q7&gt;Lookup!$F$69,-1,IF(Q7&gt;Lookup!$F$70,-2,IF(Q7&gt;Lookup!$F$71,-3,IF(Q7&gt;Lookup!$F$72,-4,-5))))))))))</f>
        <v>2</v>
      </c>
      <c r="AQ7" s="194" t="str">
        <f>VLOOKUP(AP7,Lookup!$G$63:$J$73,2,FALSE)</f>
        <v>5 to 10% yield increase</v>
      </c>
      <c r="AR7" s="281" t="s">
        <v>3527</v>
      </c>
      <c r="AS7" s="181" t="str">
        <f>VLOOKUP(AT7,Lookup!$C$4:$D$14,2,FALSE)</f>
        <v>No Effect</v>
      </c>
      <c r="AT7" s="193">
        <f>IF(V7=0,0,IF(V7&lt;Lookup!$F$79,5,IF(V7&lt;Lookup!$F$80,4,IF(V7&lt;Lookup!$F$81,3,IF(V7&lt;Lookup!$F$82,2,IF(V7&lt;Lookup!$F$83,1,IF(V7&lt;Lookup!$F$85,-1,IF(V7&lt;Lookup!$F$86,-2,IF(V7&lt;Lookup!$F$87,-3,IF(V7&lt;Lookup!$F$88,-4,-5))))))))))</f>
        <v>0</v>
      </c>
      <c r="AU7" s="194" t="str">
        <f>VLOOKUP(AT7,Lookup!$G$79:$J$89,2,FALSE)</f>
        <v>No breakeven</v>
      </c>
      <c r="AV7" s="345" t="str">
        <f>VLOOKUP(AT7,Lookup!$G$79:$J$89,4,FALSE)</f>
        <v>Annual costs greater than annual benefits</v>
      </c>
      <c r="AW7" s="181" t="str">
        <f>VLOOKUP(AX7,Lookup!$C$4:$D$14,2,FALSE)</f>
        <v>Moderate Improvement</v>
      </c>
      <c r="AX7" s="193">
        <f>VLOOKUP(AY7,Lookup!$G$92:$J$97,4,FALSE)</f>
        <v>3</v>
      </c>
      <c r="AY7" s="181" t="s">
        <v>2631</v>
      </c>
      <c r="AZ7" s="281" t="s">
        <v>3155</v>
      </c>
      <c r="BA7" s="181" t="str">
        <f>VLOOKUP(BB7,Lookup!$C$4:$D$14,2,FALSE)</f>
        <v>Moderate Worsening</v>
      </c>
      <c r="BB7" s="193">
        <f>VLOOKUP(BC7,Lookup!$G$100:$K$110,5,FALSE)</f>
        <v>-3</v>
      </c>
      <c r="BC7" s="181" t="s">
        <v>2632</v>
      </c>
      <c r="BD7" s="281" t="s">
        <v>3186</v>
      </c>
      <c r="BE7" s="181" t="str">
        <f>VLOOKUP(BF7,Lookup!$C$4:$D$14,2,FALSE)</f>
        <v>No Effect</v>
      </c>
      <c r="BF7" s="193">
        <f>IF(X7=0,0,IF(X7&gt;Lookup!$F$113,-5,IF(X7&gt;Lookup!$F$114,-4,IF(X7&gt;Lookup!$F$115,-3,IF(X7&gt;Lookup!$F$116,-2,IF(X7&gt;Lookup!$F$117,-1,0))))))</f>
        <v>0</v>
      </c>
      <c r="BG7" s="195" t="str">
        <f>VLOOKUP(BF7,Lookup!$G$113:$H$118,2,FALSE)</f>
        <v>No change in on-farm equipment</v>
      </c>
      <c r="BH7" s="281" t="s">
        <v>3230</v>
      </c>
      <c r="BI7" s="181" t="str">
        <f>VLOOKUP(BJ7,Lookup!$C$4:$D$14,2,FALSE)</f>
        <v>Slight to Moderate Improvement</v>
      </c>
      <c r="BJ7" s="193">
        <f>VLOOKUP(BK7,Lookup!$G$121:$L$131,6,FALSE)</f>
        <v>2</v>
      </c>
      <c r="BK7" s="181" t="s">
        <v>2633</v>
      </c>
      <c r="BL7" s="281" t="s">
        <v>3255</v>
      </c>
      <c r="BM7" s="181" t="str">
        <f>VLOOKUP(BN7,Lookup!$C$4:$D$14,2,FALSE)</f>
        <v>Slight to Moderate Worsening</v>
      </c>
      <c r="BN7" s="193">
        <f>VLOOKUP(BO7,Lookup!$G$134:$L$144,6,FALSE)</f>
        <v>-2</v>
      </c>
      <c r="BO7" s="181" t="s">
        <v>3374</v>
      </c>
      <c r="BP7" s="281" t="s">
        <v>3364</v>
      </c>
      <c r="BQ7" s="181" t="str">
        <f>VLOOKUP(BR7,Lookup!$C$4:$D$14,2,FALSE)</f>
        <v>Moderate Worsening</v>
      </c>
      <c r="BR7" s="193">
        <f>VLOOKUP(BS7,Lookup!$G$147:$L$157,6,FALSE)</f>
        <v>-3</v>
      </c>
      <c r="BS7" s="181" t="s">
        <v>2635</v>
      </c>
      <c r="BT7" s="281" t="s">
        <v>3430</v>
      </c>
      <c r="BU7" s="175" t="s">
        <v>2231</v>
      </c>
    </row>
    <row r="8" spans="1:73" ht="39.950000000000003" customHeight="1" thickBot="1" x14ac:dyDescent="0.25">
      <c r="A8" s="173">
        <f t="shared" si="4"/>
        <v>6</v>
      </c>
      <c r="B8" s="178" t="s">
        <v>1271</v>
      </c>
      <c r="C8" s="179" t="s">
        <v>1599</v>
      </c>
      <c r="D8" s="180">
        <v>591</v>
      </c>
      <c r="E8" s="180" t="s">
        <v>1541</v>
      </c>
      <c r="F8" s="273" t="str">
        <f>VLOOKUP($D8,'Practice Descriptions'!$E$11:$F$186,2,FALSE)</f>
        <v>Treatment of manure, process wastewater, storm water runoff from lots or other high intensity areas, and other wastes, with chemical or biological additives</v>
      </c>
      <c r="G8" s="182">
        <v>1</v>
      </c>
      <c r="H8" s="183">
        <v>10</v>
      </c>
      <c r="I8" s="184">
        <v>0</v>
      </c>
      <c r="J8" s="184">
        <v>0</v>
      </c>
      <c r="K8" s="419">
        <v>3</v>
      </c>
      <c r="L8" s="185" t="s">
        <v>3651</v>
      </c>
      <c r="M8" s="184">
        <v>0</v>
      </c>
      <c r="N8" s="186">
        <f>IF(G8=1,H8,PMT(Lookup!$G$4,G8,-H8)+(H8*J8)+(M8*P8))*K8</f>
        <v>30</v>
      </c>
      <c r="O8" s="187" t="s">
        <v>1110</v>
      </c>
      <c r="P8" s="186">
        <f>VLOOKUP($O8,Lookup!$F$9:$I$18,4,FALSE)</f>
        <v>300</v>
      </c>
      <c r="Q8" s="184">
        <v>0</v>
      </c>
      <c r="R8" s="183">
        <v>5</v>
      </c>
      <c r="S8" s="188" t="s">
        <v>3580</v>
      </c>
      <c r="T8" s="186">
        <f t="shared" si="2"/>
        <v>5</v>
      </c>
      <c r="U8" s="189">
        <f t="shared" si="3"/>
        <v>0.16666666666666666</v>
      </c>
      <c r="V8" s="189">
        <f t="shared" si="1"/>
        <v>0</v>
      </c>
      <c r="W8" s="190">
        <f>IF(P8=0,0,IF(Q8+R8=0,0,PV(Lookup!$G$4,G8,-T8)/H8))</f>
        <v>0.47562425683709886</v>
      </c>
      <c r="X8" s="190">
        <f>IF(I8=0,0,PMT(Lookup!$G$4,G8,-(H8*I8*K8))/P8)</f>
        <v>0</v>
      </c>
      <c r="Y8" s="42" t="s">
        <v>963</v>
      </c>
      <c r="Z8" s="192">
        <f>VLOOKUP(Y8,Lookup!$B$4:$C$14,2,FALSE)</f>
        <v>2</v>
      </c>
      <c r="AA8" s="281" t="s">
        <v>899</v>
      </c>
      <c r="AB8" s="282" t="s">
        <v>1072</v>
      </c>
      <c r="AC8" s="181" t="str">
        <f>VLOOKUP(AD8,Lookup!$C$4:$D$14,2,FALSE)</f>
        <v>Slight Worsening</v>
      </c>
      <c r="AD8" s="193">
        <f>IF(P8/H8&lt;Lookup!$F$33,-5,IF(P8/H8&lt;Lookup!$F$32,-4,IF(P8/H8&lt;Lookup!$F$31,-3,IF(P8/H8&lt;Lookup!$F$30,-2,IF(P8/H8&lt;Lookup!$F$29,-1,-5)))))</f>
        <v>-1</v>
      </c>
      <c r="AE8" s="194" t="str">
        <f>VLOOKUP(AD8,Lookup!$G$28:$J$33,2,FALSE)</f>
        <v>One-time practice implementation cost 5% or less of enterprise annual net income</v>
      </c>
      <c r="AF8" s="281" t="s">
        <v>1850</v>
      </c>
      <c r="AG8" s="181" t="str">
        <f>VLOOKUP(AH8,Lookup!$C$4:$D$14,2,FALSE)</f>
        <v>No Effect</v>
      </c>
      <c r="AH8" s="193">
        <f>IF(J8&gt;Lookup!$F$43,-5,IF(J8&gt;Lookup!$F$42,-4,IF(J8&gt;Lookup!$F$41,-3,IF(J8&gt;Lookup!$F$40,-2,IF(J8&gt;Lookup!$F$39,-1,0)))))</f>
        <v>0</v>
      </c>
      <c r="AI8" s="194" t="str">
        <f>VLOOKUP(AH8,Lookup!$G$38:$J$43,2,FALSE)</f>
        <v>No O&amp;M costs</v>
      </c>
      <c r="AJ8" s="281" t="s">
        <v>3005</v>
      </c>
      <c r="AK8" s="181" t="str">
        <f>VLOOKUP(AL8,Lookup!$C$4:$D$14,2,FALSE)</f>
        <v>Moderate Worsening</v>
      </c>
      <c r="AL8" s="346">
        <f>IF(N8=0,0,IF(U8&lt;Lookup!$F$58,-5,IF(U8&lt;Lookup!$F$57,-4,IF(U8&lt;Lookup!$F$56,-3,IF(U8&lt;Lookup!$F$55,-2,IF(U8&lt;Lookup!$F$54,-1,IF(U8&lt;Lookup!$F$53,0,IF(U8&lt;Lookup!$F$52,1,IF(U8&lt;Lookup!$F$51,2,IF(U8&lt;Lookup!$F$50,3,IF(U8&lt;Lookup!$F$49,4,5)))))))))))</f>
        <v>-3</v>
      </c>
      <c r="AM8" s="194" t="str">
        <f>VLOOKUP(AL8,Lookup!$G$48:$J$58,2,FALSE)</f>
        <v>B/C Ratio .10 to .25</v>
      </c>
      <c r="AN8" s="281" t="s">
        <v>3021</v>
      </c>
      <c r="AO8" s="181" t="str">
        <f>VLOOKUP(AP8,Lookup!$C$4:$D$14,2,FALSE)</f>
        <v>No Effect</v>
      </c>
      <c r="AP8" s="193">
        <f>IF(Q8=0,0,IF(Q8&gt;Lookup!$F$63,5,IF(Q8&gt;Lookup!$F$64,4,IF(Q8&gt;Lookup!$F$65,3,IF(Q8&gt;Lookup!$F$66,2,IF(Q8&gt;Lookup!$F$67,1,IF(Q8&gt;Lookup!$F$69,-1,IF(Q8&gt;Lookup!$F$70,-2,IF(Q8&gt;Lookup!$F$71,-3,IF(Q8&gt;Lookup!$F$72,-4,-5))))))))))</f>
        <v>0</v>
      </c>
      <c r="AQ8" s="194" t="str">
        <f>VLOOKUP(AP8,Lookup!$G$63:$J$73,2,FALSE)</f>
        <v>No change in yield</v>
      </c>
      <c r="AR8" s="281" t="s">
        <v>3081</v>
      </c>
      <c r="AS8" s="181" t="str">
        <f>VLOOKUP(AT8,Lookup!$C$4:$D$14,2,FALSE)</f>
        <v>No Effect</v>
      </c>
      <c r="AT8" s="193">
        <f>IF(V8=0,0,IF(V8&lt;Lookup!$F$79,5,IF(V8&lt;Lookup!$F$80,4,IF(V8&lt;Lookup!$F$81,3,IF(V8&lt;Lookup!$F$82,2,IF(V8&lt;Lookup!$F$83,1,IF(V8&lt;Lookup!$F$85,-1,IF(V8&lt;Lookup!$F$86,-2,IF(V8&lt;Lookup!$F$87,-3,IF(V8&lt;Lookup!$F$88,-4,-5))))))))))</f>
        <v>0</v>
      </c>
      <c r="AU8" s="194" t="str">
        <f>VLOOKUP(AT8,Lookup!$G$79:$J$89,2,FALSE)</f>
        <v>No breakeven</v>
      </c>
      <c r="AV8" s="345" t="str">
        <f>VLOOKUP(AT8,Lookup!$G$79:$J$89,4,FALSE)</f>
        <v>Annual costs greater than annual benefits</v>
      </c>
      <c r="AW8" s="181" t="str">
        <f>VLOOKUP(AX8,Lookup!$C$4:$D$14,2,FALSE)</f>
        <v>No Effect</v>
      </c>
      <c r="AX8" s="193">
        <f>VLOOKUP(AY8,Lookup!$G$92:$J$97,4,FALSE)</f>
        <v>0</v>
      </c>
      <c r="AY8" s="181" t="s">
        <v>2642</v>
      </c>
      <c r="AZ8" s="281" t="s">
        <v>3154</v>
      </c>
      <c r="BA8" s="181" t="str">
        <f>VLOOKUP(BB8,Lookup!$C$4:$D$14,2,FALSE)</f>
        <v>No Effect</v>
      </c>
      <c r="BB8" s="193">
        <f>VLOOKUP(BC8,Lookup!$G$100:$K$110,5,FALSE)</f>
        <v>0</v>
      </c>
      <c r="BC8" s="181" t="s">
        <v>2643</v>
      </c>
      <c r="BD8" s="281" t="s">
        <v>3154</v>
      </c>
      <c r="BE8" s="181" t="str">
        <f>VLOOKUP(BF8,Lookup!$C$4:$D$14,2,FALSE)</f>
        <v>No Effect</v>
      </c>
      <c r="BF8" s="193">
        <f>IF(X8=0,0,IF(X8&gt;Lookup!$F$113,-5,IF(X8&gt;Lookup!$F$114,-4,IF(X8&gt;Lookup!$F$115,-3,IF(X8&gt;Lookup!$F$116,-2,IF(X8&gt;Lookup!$F$117,-1,0))))))</f>
        <v>0</v>
      </c>
      <c r="BG8" s="195" t="str">
        <f>VLOOKUP(BF8,Lookup!$G$113:$H$118,2,FALSE)</f>
        <v>No change in on-farm equipment</v>
      </c>
      <c r="BH8" s="281" t="s">
        <v>3230</v>
      </c>
      <c r="BI8" s="181" t="str">
        <f>VLOOKUP(BJ8,Lookup!$C$4:$D$14,2,FALSE)</f>
        <v>Slight Worsening</v>
      </c>
      <c r="BJ8" s="193">
        <f>VLOOKUP(BK8,Lookup!$G$121:$L$131,6,FALSE)</f>
        <v>-1</v>
      </c>
      <c r="BK8" s="181" t="s">
        <v>2640</v>
      </c>
      <c r="BL8" s="281" t="s">
        <v>3256</v>
      </c>
      <c r="BM8" s="181" t="str">
        <f>VLOOKUP(BN8,Lookup!$C$4:$D$14,2,FALSE)</f>
        <v>Slight Worsening</v>
      </c>
      <c r="BN8" s="193">
        <f>VLOOKUP(BO8,Lookup!$G$134:$L$144,6,FALSE)</f>
        <v>-1</v>
      </c>
      <c r="BO8" s="181" t="s">
        <v>3373</v>
      </c>
      <c r="BP8" s="281" t="s">
        <v>3365</v>
      </c>
      <c r="BQ8" s="181" t="str">
        <f>VLOOKUP(BR8,Lookup!$C$4:$D$14,2,FALSE)</f>
        <v>Moderate to Substantial Improvement</v>
      </c>
      <c r="BR8" s="193">
        <f>VLOOKUP(BS8,Lookup!$G$147:$L$157,6,FALSE)</f>
        <v>4</v>
      </c>
      <c r="BS8" s="181" t="s">
        <v>2645</v>
      </c>
      <c r="BT8" s="281" t="s">
        <v>3431</v>
      </c>
      <c r="BU8" s="175" t="s">
        <v>2231</v>
      </c>
    </row>
    <row r="9" spans="1:73" ht="39.950000000000003" customHeight="1" thickBot="1" x14ac:dyDescent="0.25">
      <c r="A9" s="173">
        <f t="shared" si="4"/>
        <v>7</v>
      </c>
      <c r="B9" s="178" t="s">
        <v>528</v>
      </c>
      <c r="C9" s="179" t="s">
        <v>1599</v>
      </c>
      <c r="D9" s="180">
        <v>366</v>
      </c>
      <c r="E9" s="180" t="s">
        <v>3647</v>
      </c>
      <c r="F9" s="273" t="str">
        <f>VLOOKUP($D9,'Practice Descriptions'!$E$11:$F$186,2,FALSE)</f>
        <v>A device or system for reducing emissions of air contaminants from a structure via interception and/or collection.</v>
      </c>
      <c r="G9" s="182">
        <v>25</v>
      </c>
      <c r="H9" s="183">
        <v>350000</v>
      </c>
      <c r="I9" s="184">
        <v>1</v>
      </c>
      <c r="J9" s="184">
        <v>0.05</v>
      </c>
      <c r="K9" s="419">
        <f>IF(E9="No.",1,IF(E9="Ac.",1,(SQRT(VLOOKUP(O9,Lookup!$F$9:$H$18,3,FALSE)))*208/VLOOKUP(O9,Lookup!$F$9:$H$18,3,FALSE)))</f>
        <v>1</v>
      </c>
      <c r="L9" s="185" t="str">
        <f t="shared" si="0"/>
        <v/>
      </c>
      <c r="M9" s="184">
        <v>0</v>
      </c>
      <c r="N9" s="186">
        <f>IF(G9=1,H9,PMT(Lookup!$G$4,G9,-H9)+(H9*J9)+(M9*P9))*K9</f>
        <v>42645.390126824743</v>
      </c>
      <c r="O9" s="187" t="s">
        <v>2221</v>
      </c>
      <c r="P9" s="186">
        <f>VLOOKUP($O9,Lookup!$F$9:$I$18,4,FALSE)</f>
        <v>1</v>
      </c>
      <c r="Q9" s="184">
        <v>0</v>
      </c>
      <c r="R9" s="183">
        <v>5000</v>
      </c>
      <c r="S9" s="188" t="s">
        <v>3581</v>
      </c>
      <c r="T9" s="186">
        <f t="shared" si="2"/>
        <v>5000</v>
      </c>
      <c r="U9" s="189">
        <f t="shared" si="3"/>
        <v>0.11724596691765066</v>
      </c>
      <c r="V9" s="189">
        <f t="shared" si="1"/>
        <v>0</v>
      </c>
      <c r="W9" s="190">
        <f>IF(P9=0,0,IF(Q9+R9=0,0,PV(Lookup!$G$4,G9,-T9)/H9))</f>
        <v>0.19884360412710686</v>
      </c>
      <c r="X9" s="190">
        <f>IF(I9=0,0,PMT(Lookup!$G$4,G9,-(H9*I9*K9))/P9)</f>
        <v>25145.390126824739</v>
      </c>
      <c r="Y9" s="42" t="s">
        <v>963</v>
      </c>
      <c r="Z9" s="192">
        <f>VLOOKUP(Y9,Lookup!$B$4:$C$14,2,FALSE)</f>
        <v>2</v>
      </c>
      <c r="AA9" s="281" t="s">
        <v>209</v>
      </c>
      <c r="AB9" s="282" t="s">
        <v>1072</v>
      </c>
      <c r="AC9" s="181" t="str">
        <f>VLOOKUP(AD9,Lookup!$C$4:$D$14,2,FALSE)</f>
        <v>Substantial Worsening</v>
      </c>
      <c r="AD9" s="193">
        <f>IF(P9/H9&lt;Lookup!$F$33,-5,IF(P9/H9&lt;Lookup!$F$32,-4,IF(P9/H9&lt;Lookup!$F$31,-3,IF(P9/H9&lt;Lookup!$F$30,-2,IF(P9/H9&lt;Lookup!$F$29,-1,-5)))))</f>
        <v>-5</v>
      </c>
      <c r="AE9" s="194" t="str">
        <f>VLOOKUP(AD9,Lookup!$G$28:$J$33,2,FALSE)</f>
        <v>One-time practice implementation cost 5 times or greater enterprise annual net income</v>
      </c>
      <c r="AF9" s="281" t="s">
        <v>1847</v>
      </c>
      <c r="AG9" s="181" t="str">
        <f>VLOOKUP(AH9,Lookup!$C$4:$D$14,2,FALSE)</f>
        <v>Substantial Worsening</v>
      </c>
      <c r="AH9" s="193">
        <f>IF(J9&gt;Lookup!$F$43,-5,IF(J9&gt;Lookup!$F$42,-4,IF(J9&gt;Lookup!$F$41,-3,IF(J9&gt;Lookup!$F$40,-2,IF(J9&gt;Lookup!$F$39,-1,0)))))</f>
        <v>-5</v>
      </c>
      <c r="AI9" s="194" t="str">
        <f>VLOOKUP(AH9,Lookup!$G$38:$J$43,2,FALSE)</f>
        <v>Annual O&amp;M costs greater than 4% of total installation costs</v>
      </c>
      <c r="AJ9" s="281" t="s">
        <v>2979</v>
      </c>
      <c r="AK9" s="181" t="str">
        <f>VLOOKUP(AL9,Lookup!$C$4:$D$14,2,FALSE)</f>
        <v>Moderate Worsening</v>
      </c>
      <c r="AL9" s="346">
        <f>IF(N9=0,0,IF(U9&lt;Lookup!$F$58,-5,IF(U9&lt;Lookup!$F$57,-4,IF(U9&lt;Lookup!$F$56,-3,IF(U9&lt;Lookup!$F$55,-2,IF(U9&lt;Lookup!$F$54,-1,IF(U9&lt;Lookup!$F$53,0,IF(U9&lt;Lookup!$F$52,1,IF(U9&lt;Lookup!$F$51,2,IF(U9&lt;Lookup!$F$50,3,IF(U9&lt;Lookup!$F$49,4,5)))))))))))</f>
        <v>-3</v>
      </c>
      <c r="AM9" s="194" t="str">
        <f>VLOOKUP(AL9,Lookup!$G$48:$J$58,2,FALSE)</f>
        <v>B/C Ratio .10 to .25</v>
      </c>
      <c r="AN9" s="281" t="s">
        <v>3031</v>
      </c>
      <c r="AO9" s="181" t="str">
        <f>VLOOKUP(AP9,Lookup!$C$4:$D$14,2,FALSE)</f>
        <v>No Effect</v>
      </c>
      <c r="AP9" s="193">
        <f>IF(Q9=0,0,IF(Q9&gt;Lookup!$F$63,5,IF(Q9&gt;Lookup!$F$64,4,IF(Q9&gt;Lookup!$F$65,3,IF(Q9&gt;Lookup!$F$66,2,IF(Q9&gt;Lookup!$F$67,1,IF(Q9&gt;Lookup!$F$69,-1,IF(Q9&gt;Lookup!$F$70,-2,IF(Q9&gt;Lookup!$F$71,-3,IF(Q9&gt;Lookup!$F$72,-4,-5))))))))))</f>
        <v>0</v>
      </c>
      <c r="AQ9" s="194" t="str">
        <f>VLOOKUP(AP9,Lookup!$G$63:$J$73,2,FALSE)</f>
        <v>No change in yield</v>
      </c>
      <c r="AR9" s="281" t="s">
        <v>3081</v>
      </c>
      <c r="AS9" s="181" t="str">
        <f>VLOOKUP(AT9,Lookup!$C$4:$D$14,2,FALSE)</f>
        <v>No Effect</v>
      </c>
      <c r="AT9" s="193">
        <f>IF(V9=0,0,IF(V9&lt;Lookup!$F$79,5,IF(V9&lt;Lookup!$F$80,4,IF(V9&lt;Lookup!$F$81,3,IF(V9&lt;Lookup!$F$82,2,IF(V9&lt;Lookup!$F$83,1,IF(V9&lt;Lookup!$F$85,-1,IF(V9&lt;Lookup!$F$86,-2,IF(V9&lt;Lookup!$F$87,-3,IF(V9&lt;Lookup!$F$88,-4,-5))))))))))</f>
        <v>0</v>
      </c>
      <c r="AU9" s="194" t="str">
        <f>VLOOKUP(AT9,Lookup!$G$79:$J$89,2,FALSE)</f>
        <v>No breakeven</v>
      </c>
      <c r="AV9" s="345" t="str">
        <f>VLOOKUP(AT9,Lookup!$G$79:$J$89,4,FALSE)</f>
        <v>Annual costs greater than annual benefits</v>
      </c>
      <c r="AW9" s="181" t="str">
        <f>VLOOKUP(AX9,Lookup!$C$4:$D$14,2,FALSE)</f>
        <v>Slight Improvement</v>
      </c>
      <c r="AX9" s="193">
        <f>VLOOKUP(AY9,Lookup!$G$92:$J$97,4,FALSE)</f>
        <v>1</v>
      </c>
      <c r="AY9" s="181" t="s">
        <v>2636</v>
      </c>
      <c r="AZ9" s="281" t="s">
        <v>3162</v>
      </c>
      <c r="BA9" s="181" t="str">
        <f>VLOOKUP(BB9,Lookup!$C$4:$D$14,2,FALSE)</f>
        <v>Slight Worsening</v>
      </c>
      <c r="BB9" s="193">
        <f>VLOOKUP(BC9,Lookup!$G$100:$K$110,5,FALSE)</f>
        <v>-1</v>
      </c>
      <c r="BC9" s="181" t="s">
        <v>2637</v>
      </c>
      <c r="BD9" s="281" t="s">
        <v>3184</v>
      </c>
      <c r="BE9" s="181" t="str">
        <f>VLOOKUP(BF9,Lookup!$C$4:$D$14,2,FALSE)</f>
        <v>Substantial Worsening</v>
      </c>
      <c r="BF9" s="193">
        <f>IF(X9=0,0,IF(X9&gt;Lookup!$F$113,-5,IF(X9&gt;Lookup!$F$114,-4,IF(X9&gt;Lookup!$F$115,-3,IF(X9&gt;Lookup!$F$116,-2,IF(X9&gt;Lookup!$F$117,-1,0))))))</f>
        <v>-5</v>
      </c>
      <c r="BG9" s="195" t="str">
        <f>VLOOKUP(BF9,Lookup!$G$113:$H$118,2,FALSE)</f>
        <v>Annual on-farm equipment costs 75% or greater of enterprise annual net income</v>
      </c>
      <c r="BH9" s="281" t="s">
        <v>3525</v>
      </c>
      <c r="BI9" s="181" t="str">
        <f>VLOOKUP(BJ9,Lookup!$C$4:$D$14,2,FALSE)</f>
        <v>Moderate Worsening</v>
      </c>
      <c r="BJ9" s="193">
        <f>VLOOKUP(BK9,Lookup!$G$121:$L$131,6,FALSE)</f>
        <v>-3</v>
      </c>
      <c r="BK9" s="181" t="s">
        <v>2647</v>
      </c>
      <c r="BL9" s="281" t="s">
        <v>3257</v>
      </c>
      <c r="BM9" s="181" t="str">
        <f>VLOOKUP(BN9,Lookup!$C$4:$D$14,2,FALSE)</f>
        <v>Moderate Worsening</v>
      </c>
      <c r="BN9" s="193">
        <f>VLOOKUP(BO9,Lookup!$G$134:$L$144,6,FALSE)</f>
        <v>-3</v>
      </c>
      <c r="BO9" s="181" t="s">
        <v>2654</v>
      </c>
      <c r="BP9" s="281" t="s">
        <v>3376</v>
      </c>
      <c r="BQ9" s="181" t="str">
        <f>VLOOKUP(BR9,Lookup!$C$4:$D$14,2,FALSE)</f>
        <v>Slight to Moderate Improvement</v>
      </c>
      <c r="BR9" s="193">
        <f>VLOOKUP(BS9,Lookup!$G$147:$L$157,6,FALSE)</f>
        <v>2</v>
      </c>
      <c r="BS9" s="181" t="s">
        <v>2641</v>
      </c>
      <c r="BT9" s="281" t="s">
        <v>3432</v>
      </c>
      <c r="BU9" s="175" t="s">
        <v>2231</v>
      </c>
    </row>
    <row r="10" spans="1:73" ht="39.950000000000003" customHeight="1" thickBot="1" x14ac:dyDescent="0.25">
      <c r="A10" s="173">
        <f t="shared" si="4"/>
        <v>8</v>
      </c>
      <c r="B10" s="178" t="s">
        <v>1272</v>
      </c>
      <c r="C10" s="179" t="s">
        <v>1599</v>
      </c>
      <c r="D10" s="180">
        <v>316</v>
      </c>
      <c r="E10" s="180" t="s">
        <v>3647</v>
      </c>
      <c r="F10" s="273" t="str">
        <f>VLOOKUP($D10,'Practice Descriptions'!$E$11:$F$186,2,FALSE)</f>
        <v>An on-farm facility for the treatment or disposal of livestock and poultry carcasses for routine and catastrophic mortality events.</v>
      </c>
      <c r="G10" s="182">
        <v>15</v>
      </c>
      <c r="H10" s="183">
        <v>25000</v>
      </c>
      <c r="I10" s="184">
        <v>1</v>
      </c>
      <c r="J10" s="184">
        <v>0.05</v>
      </c>
      <c r="K10" s="419">
        <f>IF(E10="No.",1,IF(E10="Ac.",1,(SQRT(VLOOKUP(O10,Lookup!$F$9:$H$18,3,FALSE)))*208/VLOOKUP(O10,Lookup!$F$9:$H$18,3,FALSE)))</f>
        <v>1</v>
      </c>
      <c r="L10" s="185" t="str">
        <f t="shared" si="0"/>
        <v/>
      </c>
      <c r="M10" s="184">
        <v>0</v>
      </c>
      <c r="N10" s="186">
        <f>IF(G10=1,H10,PMT(Lookup!$G$4,G10,-H10)+(H10*J10)+(M10*P10))*K10</f>
        <v>3678.9503066219399</v>
      </c>
      <c r="O10" s="187" t="s">
        <v>2221</v>
      </c>
      <c r="P10" s="186">
        <f>VLOOKUP($O10,Lookup!$F$9:$I$18,4,FALSE)</f>
        <v>1</v>
      </c>
      <c r="Q10" s="184">
        <v>0</v>
      </c>
      <c r="R10" s="183">
        <v>2500</v>
      </c>
      <c r="S10" s="188" t="s">
        <v>3582</v>
      </c>
      <c r="T10" s="186">
        <f t="shared" si="2"/>
        <v>2500</v>
      </c>
      <c r="U10" s="189">
        <f t="shared" si="3"/>
        <v>0.67954166042963826</v>
      </c>
      <c r="V10" s="189">
        <f t="shared" si="1"/>
        <v>0</v>
      </c>
      <c r="W10" s="190">
        <f>IF(P10=0,0,IF(Q10+R10=0,0,PV(Lookup!$G$4,G10,-T10)/H10))</f>
        <v>1.0292511926589691</v>
      </c>
      <c r="X10" s="190">
        <f>IF(I10=0,0,PMT(Lookup!$G$4,G10,-(H10*I10*K10))/P10)</f>
        <v>2428.9503066219399</v>
      </c>
      <c r="Y10" s="42" t="s">
        <v>963</v>
      </c>
      <c r="Z10" s="192">
        <f>VLOOKUP(Y10,Lookup!$B$4:$C$14,2,FALSE)</f>
        <v>2</v>
      </c>
      <c r="AA10" s="281" t="s">
        <v>1851</v>
      </c>
      <c r="AB10" s="282" t="s">
        <v>1072</v>
      </c>
      <c r="AC10" s="181" t="str">
        <f>VLOOKUP(AD10,Lookup!$C$4:$D$14,2,FALSE)</f>
        <v>Substantial Worsening</v>
      </c>
      <c r="AD10" s="193">
        <f>IF(P10/H10&lt;Lookup!$F$33,-5,IF(P10/H10&lt;Lookup!$F$32,-4,IF(P10/H10&lt;Lookup!$F$31,-3,IF(P10/H10&lt;Lookup!$F$30,-2,IF(P10/H10&lt;Lookup!$F$29,-1,-5)))))</f>
        <v>-5</v>
      </c>
      <c r="AE10" s="194" t="str">
        <f>VLOOKUP(AD10,Lookup!$G$28:$J$33,2,FALSE)</f>
        <v>One-time practice implementation cost 5 times or greater enterprise annual net income</v>
      </c>
      <c r="AF10" s="281" t="s">
        <v>1847</v>
      </c>
      <c r="AG10" s="181" t="str">
        <f>VLOOKUP(AH10,Lookup!$C$4:$D$14,2,FALSE)</f>
        <v>Substantial Worsening</v>
      </c>
      <c r="AH10" s="193">
        <f>IF(J10&gt;Lookup!$F$43,-5,IF(J10&gt;Lookup!$F$42,-4,IF(J10&gt;Lookup!$F$41,-3,IF(J10&gt;Lookup!$F$40,-2,IF(J10&gt;Lookup!$F$39,-1,0)))))</f>
        <v>-5</v>
      </c>
      <c r="AI10" s="194" t="str">
        <f>VLOOKUP(AH10,Lookup!$G$38:$J$43,2,FALSE)</f>
        <v>Annual O&amp;M costs greater than 4% of total installation costs</v>
      </c>
      <c r="AJ10" s="281" t="s">
        <v>2979</v>
      </c>
      <c r="AK10" s="181" t="str">
        <f>VLOOKUP(AL10,Lookup!$C$4:$D$14,2,FALSE)</f>
        <v>Slight Worsening</v>
      </c>
      <c r="AL10" s="346">
        <f>IF(N10=0,0,IF(U10&lt;Lookup!$F$58,-5,IF(U10&lt;Lookup!$F$57,-4,IF(U10&lt;Lookup!$F$56,-3,IF(U10&lt;Lookup!$F$55,-2,IF(U10&lt;Lookup!$F$54,-1,IF(U10&lt;Lookup!$F$53,0,IF(U10&lt;Lookup!$F$52,1,IF(U10&lt;Lookup!$F$51,2,IF(U10&lt;Lookup!$F$50,3,IF(U10&lt;Lookup!$F$49,4,5)))))))))))</f>
        <v>-1</v>
      </c>
      <c r="AM10" s="194" t="str">
        <f>VLOOKUP(AL10,Lookup!$G$48:$J$58,2,FALSE)</f>
        <v>B/C Ratio .50 to .75</v>
      </c>
      <c r="AN10" s="281" t="s">
        <v>3021</v>
      </c>
      <c r="AO10" s="181" t="str">
        <f>VLOOKUP(AP10,Lookup!$C$4:$D$14,2,FALSE)</f>
        <v>No Effect</v>
      </c>
      <c r="AP10" s="193">
        <f>IF(Q10=0,0,IF(Q10&gt;Lookup!$F$63,5,IF(Q10&gt;Lookup!$F$64,4,IF(Q10&gt;Lookup!$F$65,3,IF(Q10&gt;Lookup!$F$66,2,IF(Q10&gt;Lookup!$F$67,1,IF(Q10&gt;Lookup!$F$69,-1,IF(Q10&gt;Lookup!$F$70,-2,IF(Q10&gt;Lookup!$F$71,-3,IF(Q10&gt;Lookup!$F$72,-4,-5))))))))))</f>
        <v>0</v>
      </c>
      <c r="AQ10" s="194" t="str">
        <f>VLOOKUP(AP10,Lookup!$G$63:$J$73,2,FALSE)</f>
        <v>No change in yield</v>
      </c>
      <c r="AR10" s="281" t="s">
        <v>3081</v>
      </c>
      <c r="AS10" s="181" t="str">
        <f>VLOOKUP(AT10,Lookup!$C$4:$D$14,2,FALSE)</f>
        <v>No Effect</v>
      </c>
      <c r="AT10" s="193">
        <f>IF(V10=0,0,IF(V10&lt;Lookup!$F$79,5,IF(V10&lt;Lookup!$F$80,4,IF(V10&lt;Lookup!$F$81,3,IF(V10&lt;Lookup!$F$82,2,IF(V10&lt;Lookup!$F$83,1,IF(V10&lt;Lookup!$F$85,-1,IF(V10&lt;Lookup!$F$86,-2,IF(V10&lt;Lookup!$F$87,-3,IF(V10&lt;Lookup!$F$88,-4,-5))))))))))</f>
        <v>0</v>
      </c>
      <c r="AU10" s="194" t="str">
        <f>VLOOKUP(AT10,Lookup!$G$79:$J$89,2,FALSE)</f>
        <v>No breakeven</v>
      </c>
      <c r="AV10" s="345" t="str">
        <f>VLOOKUP(AT10,Lookup!$G$79:$J$89,4,FALSE)</f>
        <v>Annual costs greater than annual benefits</v>
      </c>
      <c r="AW10" s="181" t="str">
        <f>VLOOKUP(AX10,Lookup!$C$4:$D$14,2,FALSE)</f>
        <v>Slight Improvement</v>
      </c>
      <c r="AX10" s="193">
        <f>VLOOKUP(AY10,Lookup!$G$92:$J$97,4,FALSE)</f>
        <v>1</v>
      </c>
      <c r="AY10" s="181" t="s">
        <v>2636</v>
      </c>
      <c r="AZ10" s="281" t="s">
        <v>3162</v>
      </c>
      <c r="BA10" s="181" t="str">
        <f>VLOOKUP(BB10,Lookup!$C$4:$D$14,2,FALSE)</f>
        <v>Slight Worsening</v>
      </c>
      <c r="BB10" s="193">
        <f>VLOOKUP(BC10,Lookup!$G$100:$K$110,5,FALSE)</f>
        <v>-1</v>
      </c>
      <c r="BC10" s="181" t="s">
        <v>2637</v>
      </c>
      <c r="BD10" s="281" t="s">
        <v>3184</v>
      </c>
      <c r="BE10" s="181" t="str">
        <f>VLOOKUP(BF10,Lookup!$C$4:$D$14,2,FALSE)</f>
        <v>Substantial Worsening</v>
      </c>
      <c r="BF10" s="193">
        <f>IF(X10=0,0,IF(X10&gt;Lookup!$F$113,-5,IF(X10&gt;Lookup!$F$114,-4,IF(X10&gt;Lookup!$F$115,-3,IF(X10&gt;Lookup!$F$116,-2,IF(X10&gt;Lookup!$F$117,-1,0))))))</f>
        <v>-5</v>
      </c>
      <c r="BG10" s="195" t="str">
        <f>VLOOKUP(BF10,Lookup!$G$113:$H$118,2,FALSE)</f>
        <v>Annual on-farm equipment costs 75% or greater of enterprise annual net income</v>
      </c>
      <c r="BH10" s="281" t="s">
        <v>3525</v>
      </c>
      <c r="BI10" s="181" t="str">
        <f>VLOOKUP(BJ10,Lookup!$C$4:$D$14,2,FALSE)</f>
        <v>Slight to Moderate Worsening</v>
      </c>
      <c r="BJ10" s="193">
        <f>VLOOKUP(BK10,Lookup!$G$121:$L$131,6,FALSE)</f>
        <v>-2</v>
      </c>
      <c r="BK10" s="181" t="s">
        <v>2649</v>
      </c>
      <c r="BL10" s="281" t="s">
        <v>3257</v>
      </c>
      <c r="BM10" s="181" t="str">
        <f>VLOOKUP(BN10,Lookup!$C$4:$D$14,2,FALSE)</f>
        <v>Moderate Worsening</v>
      </c>
      <c r="BN10" s="193">
        <f>VLOOKUP(BO10,Lookup!$G$134:$L$144,6,FALSE)</f>
        <v>-3</v>
      </c>
      <c r="BO10" s="181" t="s">
        <v>2654</v>
      </c>
      <c r="BP10" s="281" t="s">
        <v>3376</v>
      </c>
      <c r="BQ10" s="181" t="str">
        <f>VLOOKUP(BR10,Lookup!$C$4:$D$14,2,FALSE)</f>
        <v>Slight to Moderate Improvement</v>
      </c>
      <c r="BR10" s="193">
        <f>VLOOKUP(BS10,Lookup!$G$147:$L$157,6,FALSE)</f>
        <v>2</v>
      </c>
      <c r="BS10" s="181" t="s">
        <v>2641</v>
      </c>
      <c r="BT10" s="281" t="s">
        <v>3433</v>
      </c>
      <c r="BU10" s="175" t="s">
        <v>2231</v>
      </c>
    </row>
    <row r="11" spans="1:73" ht="39.950000000000003" customHeight="1" thickBot="1" x14ac:dyDescent="0.25">
      <c r="A11" s="173">
        <f t="shared" si="4"/>
        <v>9</v>
      </c>
      <c r="B11" s="178" t="s">
        <v>1273</v>
      </c>
      <c r="C11" s="179" t="s">
        <v>1600</v>
      </c>
      <c r="D11" s="180">
        <v>575</v>
      </c>
      <c r="E11" s="180" t="s">
        <v>1944</v>
      </c>
      <c r="F11" s="273" t="e">
        <f>VLOOKUP($D11,'Practice Descriptions'!$E$11:$F$186,2,FALSE)</f>
        <v>#N/A</v>
      </c>
      <c r="G11" s="182">
        <v>10</v>
      </c>
      <c r="H11" s="183">
        <v>0.95</v>
      </c>
      <c r="I11" s="184">
        <v>0</v>
      </c>
      <c r="J11" s="184">
        <v>0.01</v>
      </c>
      <c r="K11" s="419">
        <f>IF(E11="No.",1,IF(E11="Ac.",1,(SQRT(VLOOKUP(O11,Lookup!$F$9:$H$18,3,FALSE)))*208/VLOOKUP(O11,Lookup!$F$9:$H$18,3,FALSE)))</f>
        <v>16.443843832875572</v>
      </c>
      <c r="L11" s="185" t="str">
        <f t="shared" si="0"/>
        <v>Assume length 1 side of square field (208'/Ac)</v>
      </c>
      <c r="M11" s="184">
        <v>0</v>
      </c>
      <c r="N11" s="186">
        <f>IF(G11=1,H11,PMT(Lookup!$G$4,G11,-H11)+(H11*J11)+(M11*P11))*K11</f>
        <v>2.1915908863327962</v>
      </c>
      <c r="O11" s="187" t="s">
        <v>1260</v>
      </c>
      <c r="P11" s="186">
        <f>VLOOKUP($O11,Lookup!$F$9:$I$18,4,FALSE)</f>
        <v>50</v>
      </c>
      <c r="Q11" s="184">
        <v>0</v>
      </c>
      <c r="R11" s="183">
        <v>2</v>
      </c>
      <c r="S11" s="188" t="s">
        <v>3583</v>
      </c>
      <c r="T11" s="186">
        <f t="shared" si="2"/>
        <v>2</v>
      </c>
      <c r="U11" s="189">
        <f t="shared" si="3"/>
        <v>0.91257908237910834</v>
      </c>
      <c r="V11" s="189">
        <f t="shared" si="1"/>
        <v>0</v>
      </c>
      <c r="W11" s="190">
        <f>IF(P11=0,0,IF(Q11+R11=0,0,PV(Lookup!$G$4,G11,-T11)/H11))</f>
        <v>16.158053354595435</v>
      </c>
      <c r="X11" s="190">
        <f>IF(I11=0,0,PMT(Lookup!$G$4,G11,-(H11*I11*K11))/P11)</f>
        <v>0</v>
      </c>
      <c r="Y11" s="42" t="s">
        <v>963</v>
      </c>
      <c r="Z11" s="192">
        <f>VLOOKUP(Y11,Lookup!$B$4:$C$14,2,FALSE)</f>
        <v>2</v>
      </c>
      <c r="AA11" s="281" t="s">
        <v>2650</v>
      </c>
      <c r="AB11" s="282" t="s">
        <v>1072</v>
      </c>
      <c r="AC11" s="181" t="str">
        <f>VLOOKUP(AD11,Lookup!$C$4:$D$14,2,FALSE)</f>
        <v>Slight Worsening</v>
      </c>
      <c r="AD11" s="193">
        <f>IF(P11/H11&lt;Lookup!$F$33,-5,IF(P11/H11&lt;Lookup!$F$32,-4,IF(P11/H11&lt;Lookup!$F$31,-3,IF(P11/H11&lt;Lookup!$F$30,-2,IF(P11/H11&lt;Lookup!$F$29,-1,-5)))))</f>
        <v>-1</v>
      </c>
      <c r="AE11" s="194" t="str">
        <f>VLOOKUP(AD11,Lookup!$G$28:$J$33,2,FALSE)</f>
        <v>One-time practice implementation cost 5% or less of enterprise annual net income</v>
      </c>
      <c r="AF11" s="281" t="s">
        <v>1842</v>
      </c>
      <c r="AG11" s="181" t="str">
        <f>VLOOKUP(AH11,Lookup!$C$4:$D$14,2,FALSE)</f>
        <v>Slight Worsening</v>
      </c>
      <c r="AH11" s="193">
        <f>IF(J11&gt;Lookup!$F$43,-5,IF(J11&gt;Lookup!$F$42,-4,IF(J11&gt;Lookup!$F$41,-3,IF(J11&gt;Lookup!$F$40,-2,IF(J11&gt;Lookup!$F$39,-1,0)))))</f>
        <v>-1</v>
      </c>
      <c r="AI11" s="194" t="str">
        <f>VLOOKUP(AH11,Lookup!$G$38:$J$43,2,FALSE)</f>
        <v>Annual O&amp;M costs less than 1% of total installation costs</v>
      </c>
      <c r="AJ11" s="281" t="s">
        <v>2980</v>
      </c>
      <c r="AK11" s="181" t="str">
        <f>VLOOKUP(AL11,Lookup!$C$4:$D$14,2,FALSE)</f>
        <v>No Effect</v>
      </c>
      <c r="AL11" s="346">
        <f>IF(N11=0,0,IF(U11&lt;Lookup!$F$58,-5,IF(U11&lt;Lookup!$F$57,-4,IF(U11&lt;Lookup!$F$56,-3,IF(U11&lt;Lookup!$F$55,-2,IF(U11&lt;Lookup!$F$54,-1,IF(U11&lt;Lookup!$F$53,0,IF(U11&lt;Lookup!$F$52,1,IF(U11&lt;Lookup!$F$51,2,IF(U11&lt;Lookup!$F$50,3,IF(U11&lt;Lookup!$F$49,4,5)))))))))))</f>
        <v>0</v>
      </c>
      <c r="AM11" s="194" t="str">
        <f>VLOOKUP(AL11,Lookup!$G$48:$J$58,2,FALSE)</f>
        <v>B/C Ratio .75 to 1.25</v>
      </c>
      <c r="AN11" s="281" t="s">
        <v>3019</v>
      </c>
      <c r="AO11" s="181" t="str">
        <f>VLOOKUP(AP11,Lookup!$C$4:$D$14,2,FALSE)</f>
        <v>No Effect</v>
      </c>
      <c r="AP11" s="193">
        <f>IF(Q11=0,0,IF(Q11&gt;Lookup!$F$63,5,IF(Q11&gt;Lookup!$F$64,4,IF(Q11&gt;Lookup!$F$65,3,IF(Q11&gt;Lookup!$F$66,2,IF(Q11&gt;Lookup!$F$67,1,IF(Q11&gt;Lookup!$F$69,-1,IF(Q11&gt;Lookup!$F$70,-2,IF(Q11&gt;Lookup!$F$71,-3,IF(Q11&gt;Lookup!$F$72,-4,-5))))))))))</f>
        <v>0</v>
      </c>
      <c r="AQ11" s="194" t="str">
        <f>VLOOKUP(AP11,Lookup!$G$63:$J$73,2,FALSE)</f>
        <v>No change in yield</v>
      </c>
      <c r="AR11" s="281" t="s">
        <v>3081</v>
      </c>
      <c r="AS11" s="181" t="str">
        <f>VLOOKUP(AT11,Lookup!$C$4:$D$14,2,FALSE)</f>
        <v>No Effect</v>
      </c>
      <c r="AT11" s="193">
        <f>IF(V11=0,0,IF(V11&lt;Lookup!$F$79,5,IF(V11&lt;Lookup!$F$80,4,IF(V11&lt;Lookup!$F$81,3,IF(V11&lt;Lookup!$F$82,2,IF(V11&lt;Lookup!$F$83,1,IF(V11&lt;Lookup!$F$85,-1,IF(V11&lt;Lookup!$F$86,-2,IF(V11&lt;Lookup!$F$87,-3,IF(V11&lt;Lookup!$F$88,-4,-5))))))))))</f>
        <v>0</v>
      </c>
      <c r="AU11" s="194" t="str">
        <f>VLOOKUP(AT11,Lookup!$G$79:$J$89,2,FALSE)</f>
        <v>No breakeven</v>
      </c>
      <c r="AV11" s="345" t="str">
        <f>VLOOKUP(AT11,Lookup!$G$79:$J$89,4,FALSE)</f>
        <v>Annual costs greater than annual benefits</v>
      </c>
      <c r="AW11" s="181" t="str">
        <f>VLOOKUP(AX11,Lookup!$C$4:$D$14,2,FALSE)</f>
        <v>Slight Improvement</v>
      </c>
      <c r="AX11" s="193">
        <f>VLOOKUP(AY11,Lookup!$G$92:$J$97,4,FALSE)</f>
        <v>1</v>
      </c>
      <c r="AY11" s="181" t="s">
        <v>2636</v>
      </c>
      <c r="AZ11" s="281" t="s">
        <v>3156</v>
      </c>
      <c r="BA11" s="181" t="str">
        <f>VLOOKUP(BB11,Lookup!$C$4:$D$14,2,FALSE)</f>
        <v>Slight Worsening</v>
      </c>
      <c r="BB11" s="193">
        <f>VLOOKUP(BC11,Lookup!$G$100:$K$110,5,FALSE)</f>
        <v>-1</v>
      </c>
      <c r="BC11" s="181" t="s">
        <v>2637</v>
      </c>
      <c r="BD11" s="281" t="s">
        <v>3184</v>
      </c>
      <c r="BE11" s="181" t="str">
        <f>VLOOKUP(BF11,Lookup!$C$4:$D$14,2,FALSE)</f>
        <v>No Effect</v>
      </c>
      <c r="BF11" s="193">
        <f>IF(X11=0,0,IF(X11&gt;Lookup!$F$113,-5,IF(X11&gt;Lookup!$F$114,-4,IF(X11&gt;Lookup!$F$115,-3,IF(X11&gt;Lookup!$F$116,-2,IF(X11&gt;Lookup!$F$117,-1,0))))))</f>
        <v>0</v>
      </c>
      <c r="BG11" s="195" t="str">
        <f>VLOOKUP(BF11,Lookup!$G$113:$H$118,2,FALSE)</f>
        <v>No change in on-farm equipment</v>
      </c>
      <c r="BH11" s="281" t="s">
        <v>3230</v>
      </c>
      <c r="BI11" s="181" t="str">
        <f>VLOOKUP(BJ11,Lookup!$C$4:$D$14,2,FALSE)</f>
        <v>Slight to Moderate Improvement</v>
      </c>
      <c r="BJ11" s="193">
        <f>VLOOKUP(BK11,Lookup!$G$121:$L$131,6,FALSE)</f>
        <v>2</v>
      </c>
      <c r="BK11" s="181" t="s">
        <v>2633</v>
      </c>
      <c r="BL11" s="281" t="s">
        <v>3258</v>
      </c>
      <c r="BM11" s="181" t="str">
        <f>VLOOKUP(BN11,Lookup!$C$4:$D$14,2,FALSE)</f>
        <v>Slight to Moderate Improvement</v>
      </c>
      <c r="BN11" s="193">
        <f>VLOOKUP(BO11,Lookup!$G$134:$L$144,6,FALSE)</f>
        <v>2</v>
      </c>
      <c r="BO11" s="181" t="s">
        <v>3371</v>
      </c>
      <c r="BP11" s="281" t="s">
        <v>3363</v>
      </c>
      <c r="BQ11" s="181" t="str">
        <f>VLOOKUP(BR11,Lookup!$C$4:$D$14,2,FALSE)</f>
        <v>Moderate to Substantial Improvement</v>
      </c>
      <c r="BR11" s="193">
        <f>VLOOKUP(BS11,Lookup!$G$147:$L$157,6,FALSE)</f>
        <v>4</v>
      </c>
      <c r="BS11" s="181" t="s">
        <v>2645</v>
      </c>
      <c r="BT11" s="281" t="s">
        <v>3427</v>
      </c>
      <c r="BU11" s="175" t="s">
        <v>2231</v>
      </c>
    </row>
    <row r="12" spans="1:73" ht="39.950000000000003" customHeight="1" thickBot="1" x14ac:dyDescent="0.25">
      <c r="A12" s="173">
        <f t="shared" si="4"/>
        <v>10</v>
      </c>
      <c r="B12" s="178" t="s">
        <v>606</v>
      </c>
      <c r="C12" s="179" t="s">
        <v>1601</v>
      </c>
      <c r="D12" s="180">
        <v>450</v>
      </c>
      <c r="E12" s="180" t="s">
        <v>3646</v>
      </c>
      <c r="F12" s="273" t="str">
        <f>VLOOKUP($D12,'Practice Descriptions'!$E$11:$F$186,2,FALSE)</f>
        <v>Application of water-soluble Anionic Polyacrylamide (PAM) to meet a resource concern.</v>
      </c>
      <c r="G12" s="182">
        <v>1</v>
      </c>
      <c r="H12" s="183">
        <v>15</v>
      </c>
      <c r="I12" s="184">
        <v>0.05</v>
      </c>
      <c r="J12" s="184">
        <v>0</v>
      </c>
      <c r="K12" s="419">
        <f>IF(E12="No.",1,IF(E12="Ac.",1,(SQRT(VLOOKUP(O12,Lookup!$F$9:$H$18,3,FALSE)))*208/VLOOKUP(O12,Lookup!$F$9:$H$18,3,FALSE)))</f>
        <v>1</v>
      </c>
      <c r="L12" s="185" t="str">
        <f t="shared" si="0"/>
        <v/>
      </c>
      <c r="M12" s="184">
        <v>0</v>
      </c>
      <c r="N12" s="186">
        <f>IF(G12=1,H12,PMT(Lookup!$G$4,G12,-H12)+(H12*J12)+(M12*P12))*K12</f>
        <v>15</v>
      </c>
      <c r="O12" s="187" t="s">
        <v>1110</v>
      </c>
      <c r="P12" s="186">
        <f>VLOOKUP($O12,Lookup!$F$9:$I$18,4,FALSE)</f>
        <v>300</v>
      </c>
      <c r="Q12" s="184">
        <v>0.05</v>
      </c>
      <c r="R12" s="183">
        <v>0.5</v>
      </c>
      <c r="S12" s="188" t="s">
        <v>3584</v>
      </c>
      <c r="T12" s="186">
        <f t="shared" si="2"/>
        <v>15.5</v>
      </c>
      <c r="U12" s="189">
        <f t="shared" si="3"/>
        <v>1.0333333333333334</v>
      </c>
      <c r="V12" s="189">
        <f t="shared" si="1"/>
        <v>0.967741935483871</v>
      </c>
      <c r="W12" s="190">
        <f>IF(P12=0,0,IF(Q12+R12=0,0,PV(Lookup!$G$4,G12,-T12)/H12))</f>
        <v>0.98295679746333775</v>
      </c>
      <c r="X12" s="190">
        <f>IF(I12=0,0,PMT(Lookup!$G$4,G12,-(H12*I12*K12))/P12)</f>
        <v>2.6281250000000003E-3</v>
      </c>
      <c r="Y12" s="42" t="s">
        <v>986</v>
      </c>
      <c r="Z12" s="192">
        <f>VLOOKUP(Y12,Lookup!$B$4:$C$14,2,FALSE)</f>
        <v>0</v>
      </c>
      <c r="AA12" s="281" t="s">
        <v>1767</v>
      </c>
      <c r="AB12" s="282" t="s">
        <v>1072</v>
      </c>
      <c r="AC12" s="181" t="str">
        <f>VLOOKUP(AD12,Lookup!$C$4:$D$14,2,FALSE)</f>
        <v>Slight Worsening</v>
      </c>
      <c r="AD12" s="193">
        <f>IF(P12/H12&lt;Lookup!$F$33,-5,IF(P12/H12&lt;Lookup!$F$32,-4,IF(P12/H12&lt;Lookup!$F$31,-3,IF(P12/H12&lt;Lookup!$F$30,-2,IF(P12/H12&lt;Lookup!$F$29,-1,-5)))))</f>
        <v>-1</v>
      </c>
      <c r="AE12" s="194" t="str">
        <f>VLOOKUP(AD12,Lookup!$G$28:$J$33,2,FALSE)</f>
        <v>One-time practice implementation cost 5% or less of enterprise annual net income</v>
      </c>
      <c r="AF12" s="281" t="s">
        <v>1850</v>
      </c>
      <c r="AG12" s="181" t="str">
        <f>VLOOKUP(AH12,Lookup!$C$4:$D$14,2,FALSE)</f>
        <v>No Effect</v>
      </c>
      <c r="AH12" s="193">
        <f>IF(J12&gt;Lookup!$F$43,-5,IF(J12&gt;Lookup!$F$42,-4,IF(J12&gt;Lookup!$F$41,-3,IF(J12&gt;Lookup!$F$40,-2,IF(J12&gt;Lookup!$F$39,-1,0)))))</f>
        <v>0</v>
      </c>
      <c r="AI12" s="194" t="str">
        <f>VLOOKUP(AH12,Lookup!$G$38:$J$43,2,FALSE)</f>
        <v>No O&amp;M costs</v>
      </c>
      <c r="AJ12" s="281" t="s">
        <v>3005</v>
      </c>
      <c r="AK12" s="181" t="str">
        <f>VLOOKUP(AL12,Lookup!$C$4:$D$14,2,FALSE)</f>
        <v>No Effect</v>
      </c>
      <c r="AL12" s="346">
        <f>IF(N12=0,0,IF(U12&lt;Lookup!$F$58,-5,IF(U12&lt;Lookup!$F$57,-4,IF(U12&lt;Lookup!$F$56,-3,IF(U12&lt;Lookup!$F$55,-2,IF(U12&lt;Lookup!$F$54,-1,IF(U12&lt;Lookup!$F$53,0,IF(U12&lt;Lookup!$F$52,1,IF(U12&lt;Lookup!$F$51,2,IF(U12&lt;Lookup!$F$50,3,IF(U12&lt;Lookup!$F$49,4,5)))))))))))</f>
        <v>0</v>
      </c>
      <c r="AM12" s="194" t="str">
        <f>VLOOKUP(AL12,Lookup!$G$48:$J$58,2,FALSE)</f>
        <v>B/C Ratio .75 to 1.25</v>
      </c>
      <c r="AN12" s="281" t="s">
        <v>3018</v>
      </c>
      <c r="AO12" s="181" t="str">
        <f>VLOOKUP(AP12,Lookup!$C$4:$D$14,2,FALSE)</f>
        <v>Slight to Moderate Improvement</v>
      </c>
      <c r="AP12" s="193">
        <f>IF(Q12=0,0,IF(Q12&gt;Lookup!$F$63,5,IF(Q12&gt;Lookup!$F$64,4,IF(Q12&gt;Lookup!$F$65,3,IF(Q12&gt;Lookup!$F$66,2,IF(Q12&gt;Lookup!$F$67,1,IF(Q12&gt;Lookup!$F$69,-1,IF(Q12&gt;Lookup!$F$70,-2,IF(Q12&gt;Lookup!$F$71,-3,IF(Q12&gt;Lookup!$F$72,-4,-5))))))))))</f>
        <v>2</v>
      </c>
      <c r="AQ12" s="194" t="str">
        <f>VLOOKUP(AP12,Lookup!$G$63:$J$73,2,FALSE)</f>
        <v>5 to 10% yield increase</v>
      </c>
      <c r="AR12" s="281" t="s">
        <v>3083</v>
      </c>
      <c r="AS12" s="181" t="str">
        <f>VLOOKUP(AT12,Lookup!$C$4:$D$14,2,FALSE)</f>
        <v>Substantial Improvement</v>
      </c>
      <c r="AT12" s="193">
        <f>IF(V12=0,0,IF(V12&lt;Lookup!$F$79,5,IF(V12&lt;Lookup!$F$80,4,IF(V12&lt;Lookup!$F$81,3,IF(V12&lt;Lookup!$F$82,2,IF(V12&lt;Lookup!$F$83,1,IF(V12&lt;Lookup!$F$85,-1,IF(V12&lt;Lookup!$F$86,-2,IF(V12&lt;Lookup!$F$87,-3,IF(V12&lt;Lookup!$F$88,-4,-5))))))))))</f>
        <v>5</v>
      </c>
      <c r="AU12" s="194" t="str">
        <f>VLOOKUP(AT12,Lookup!$G$79:$J$89,2,FALSE)</f>
        <v>1 or less years to breakeven</v>
      </c>
      <c r="AV12" s="345" t="str">
        <f>VLOOKUP(AT12,Lookup!$G$79:$J$89,4,FALSE)</f>
        <v>Annual benefits significantly greater than annual costs</v>
      </c>
      <c r="AW12" s="181" t="str">
        <f>VLOOKUP(AX12,Lookup!$C$4:$D$14,2,FALSE)</f>
        <v>No Effect</v>
      </c>
      <c r="AX12" s="193">
        <f>VLOOKUP(AY12,Lookup!$G$92:$J$97,4,FALSE)</f>
        <v>0</v>
      </c>
      <c r="AY12" s="181" t="s">
        <v>2642</v>
      </c>
      <c r="AZ12" s="281" t="s">
        <v>3154</v>
      </c>
      <c r="BA12" s="181" t="str">
        <f>VLOOKUP(BB12,Lookup!$C$4:$D$14,2,FALSE)</f>
        <v>No Effect</v>
      </c>
      <c r="BB12" s="193">
        <f>VLOOKUP(BC12,Lookup!$G$100:$K$110,5,FALSE)</f>
        <v>0</v>
      </c>
      <c r="BC12" s="181" t="s">
        <v>2643</v>
      </c>
      <c r="BD12" s="281" t="s">
        <v>3154</v>
      </c>
      <c r="BE12" s="181" t="str">
        <f>VLOOKUP(BF12,Lookup!$C$4:$D$14,2,FALSE)</f>
        <v>Slight Worsening</v>
      </c>
      <c r="BF12" s="193">
        <f>IF(X12=0,0,IF(X12&gt;Lookup!$F$113,-5,IF(X12&gt;Lookup!$F$114,-4,IF(X12&gt;Lookup!$F$115,-3,IF(X12&gt;Lookup!$F$116,-2,IF(X12&gt;Lookup!$F$117,-1,0))))))</f>
        <v>-1</v>
      </c>
      <c r="BG12" s="195" t="str">
        <f>VLOOKUP(BF12,Lookup!$G$113:$H$118,2,FALSE)</f>
        <v>Annual on-farm equipment costs 5% or less of enterprise annual net income</v>
      </c>
      <c r="BH12" s="281" t="s">
        <v>3235</v>
      </c>
      <c r="BI12" s="181" t="str">
        <f>VLOOKUP(BJ12,Lookup!$C$4:$D$14,2,FALSE)</f>
        <v>Slight Improvement</v>
      </c>
      <c r="BJ12" s="193">
        <f>VLOOKUP(BK12,Lookup!$G$121:$L$131,6,FALSE)</f>
        <v>1</v>
      </c>
      <c r="BK12" s="181" t="s">
        <v>2638</v>
      </c>
      <c r="BL12" s="281" t="s">
        <v>3259</v>
      </c>
      <c r="BM12" s="181" t="str">
        <f>VLOOKUP(BN12,Lookup!$C$4:$D$14,2,FALSE)</f>
        <v>Slight Worsening</v>
      </c>
      <c r="BN12" s="193">
        <f>VLOOKUP(BO12,Lookup!$G$134:$L$144,6,FALSE)</f>
        <v>-1</v>
      </c>
      <c r="BO12" s="181" t="s">
        <v>3373</v>
      </c>
      <c r="BP12" s="281" t="s">
        <v>3367</v>
      </c>
      <c r="BQ12" s="181" t="str">
        <f>VLOOKUP(BR12,Lookup!$C$4:$D$14,2,FALSE)</f>
        <v>Slight to Moderate Improvement</v>
      </c>
      <c r="BR12" s="193">
        <f>VLOOKUP(BS12,Lookup!$G$147:$L$157,6,FALSE)</f>
        <v>2</v>
      </c>
      <c r="BS12" s="181" t="s">
        <v>2641</v>
      </c>
      <c r="BT12" s="281" t="s">
        <v>3434</v>
      </c>
      <c r="BU12" s="175" t="s">
        <v>2231</v>
      </c>
    </row>
    <row r="13" spans="1:73" ht="39.950000000000003" customHeight="1" thickBot="1" x14ac:dyDescent="0.25">
      <c r="A13" s="173">
        <f t="shared" si="4"/>
        <v>11</v>
      </c>
      <c r="B13" s="178" t="s">
        <v>607</v>
      </c>
      <c r="C13" s="179" t="s">
        <v>1602</v>
      </c>
      <c r="D13" s="180">
        <v>397</v>
      </c>
      <c r="E13" s="180" t="s">
        <v>3646</v>
      </c>
      <c r="F13" s="273" t="str">
        <f>VLOOKUP($D13,'Practice Descriptions'!$E$11:$F$186,2,FALSE)</f>
        <v>A water impoundment constructed and managed for farming of freshwater and saltwater organisms including fish, mollusks, crustaceans and aquatic plants.</v>
      </c>
      <c r="G13" s="182">
        <v>15</v>
      </c>
      <c r="H13" s="183">
        <v>10000</v>
      </c>
      <c r="I13" s="184">
        <v>0.01</v>
      </c>
      <c r="J13" s="184">
        <v>0.03</v>
      </c>
      <c r="K13" s="419">
        <f>IF(E13="No.",1,IF(E13="Ac.",1,(SQRT(VLOOKUP(O13,Lookup!$F$9:$H$18,3,FALSE)))*208/VLOOKUP(O13,Lookup!$F$9:$H$18,3,FALSE)))</f>
        <v>1</v>
      </c>
      <c r="L13" s="185" t="str">
        <f t="shared" si="0"/>
        <v/>
      </c>
      <c r="M13" s="184">
        <v>0</v>
      </c>
      <c r="N13" s="186">
        <f>IF(G13=1,H13,PMT(Lookup!$G$4,G13,-H13)+(H13*J13)+(M13*P13))*K13</f>
        <v>1271.5801226487761</v>
      </c>
      <c r="O13" s="187" t="s">
        <v>2223</v>
      </c>
      <c r="P13" s="186">
        <f>VLOOKUP($O13,Lookup!$F$9:$I$18,4,FALSE)</f>
        <v>500</v>
      </c>
      <c r="Q13" s="184">
        <v>3</v>
      </c>
      <c r="R13" s="183">
        <v>0</v>
      </c>
      <c r="S13" s="188"/>
      <c r="T13" s="186">
        <f t="shared" si="2"/>
        <v>1500</v>
      </c>
      <c r="U13" s="189">
        <f t="shared" si="3"/>
        <v>1.1796346712902464</v>
      </c>
      <c r="V13" s="189">
        <f t="shared" si="1"/>
        <v>6.666666666666667</v>
      </c>
      <c r="W13" s="190">
        <f>IF(P13=0,0,IF(Q13+R13=0,0,PV(Lookup!$G$4,G13,-T13)/H13))</f>
        <v>1.5438767889884535</v>
      </c>
      <c r="X13" s="190">
        <f>IF(I13=0,0,PMT(Lookup!$G$4,G13,-(H13*I13*K13))/P13)</f>
        <v>1.9431602452975521E-2</v>
      </c>
      <c r="Y13" s="42" t="s">
        <v>963</v>
      </c>
      <c r="Z13" s="192">
        <f>VLOOKUP(Y13,Lookup!$B$4:$C$14,2,FALSE)</f>
        <v>2</v>
      </c>
      <c r="AA13" s="281" t="s">
        <v>2652</v>
      </c>
      <c r="AB13" s="282" t="s">
        <v>1072</v>
      </c>
      <c r="AC13" s="181" t="str">
        <f>VLOOKUP(AD13,Lookup!$C$4:$D$14,2,FALSE)</f>
        <v>Substantial Worsening</v>
      </c>
      <c r="AD13" s="193">
        <f>IF(P13/H13&lt;Lookup!$F$33,-5,IF(P13/H13&lt;Lookup!$F$32,-4,IF(P13/H13&lt;Lookup!$F$31,-3,IF(P13/H13&lt;Lookup!$F$30,-2,IF(P13/H13&lt;Lookup!$F$29,-1,-5)))))</f>
        <v>-5</v>
      </c>
      <c r="AE13" s="194" t="str">
        <f>VLOOKUP(AD13,Lookup!$G$28:$J$33,2,FALSE)</f>
        <v>One-time practice implementation cost 5 times or greater enterprise annual net income</v>
      </c>
      <c r="AF13" s="281" t="s">
        <v>1847</v>
      </c>
      <c r="AG13" s="181" t="str">
        <f>VLOOKUP(AH13,Lookup!$C$4:$D$14,2,FALSE)</f>
        <v>Moderate Worsening</v>
      </c>
      <c r="AH13" s="193">
        <f>IF(J13&gt;Lookup!$F$43,-5,IF(J13&gt;Lookup!$F$42,-4,IF(J13&gt;Lookup!$F$41,-3,IF(J13&gt;Lookup!$F$40,-2,IF(J13&gt;Lookup!$F$39,-1,0)))))</f>
        <v>-3</v>
      </c>
      <c r="AI13" s="194" t="str">
        <f>VLOOKUP(AH13,Lookup!$G$38:$J$43,2,FALSE)</f>
        <v>Annual O&amp;M costs 2 to 3% of total installation costs</v>
      </c>
      <c r="AJ13" s="281" t="s">
        <v>2986</v>
      </c>
      <c r="AK13" s="181" t="str">
        <f>VLOOKUP(AL13,Lookup!$C$4:$D$14,2,FALSE)</f>
        <v>No Effect</v>
      </c>
      <c r="AL13" s="346">
        <f>IF(N13=0,0,IF(U13&lt;Lookup!$F$58,-5,IF(U13&lt;Lookup!$F$57,-4,IF(U13&lt;Lookup!$F$56,-3,IF(U13&lt;Lookup!$F$55,-2,IF(U13&lt;Lookup!$F$54,-1,IF(U13&lt;Lookup!$F$53,0,IF(U13&lt;Lookup!$F$52,1,IF(U13&lt;Lookup!$F$51,2,IF(U13&lt;Lookup!$F$50,3,IF(U13&lt;Lookup!$F$49,4,5)))))))))))</f>
        <v>0</v>
      </c>
      <c r="AM13" s="194" t="str">
        <f>VLOOKUP(AL13,Lookup!$G$48:$J$58,2,FALSE)</f>
        <v>B/C Ratio .75 to 1.25</v>
      </c>
      <c r="AN13" s="281" t="s">
        <v>3032</v>
      </c>
      <c r="AO13" s="181" t="str">
        <f>VLOOKUP(AP13,Lookup!$C$4:$D$14,2,FALSE)</f>
        <v>Substantial Improvement</v>
      </c>
      <c r="AP13" s="193">
        <f>IF(Q13=0,0,IF(Q13&gt;Lookup!$F$63,5,IF(Q13&gt;Lookup!$F$64,4,IF(Q13&gt;Lookup!$F$65,3,IF(Q13&gt;Lookup!$F$66,2,IF(Q13&gt;Lookup!$F$67,1,IF(Q13&gt;Lookup!$F$69,-1,IF(Q13&gt;Lookup!$F$70,-2,IF(Q13&gt;Lookup!$F$71,-3,IF(Q13&gt;Lookup!$F$72,-4,-5))))))))))</f>
        <v>5</v>
      </c>
      <c r="AQ13" s="194" t="str">
        <f>VLOOKUP(AP13,Lookup!$G$63:$J$73,2,FALSE)</f>
        <v>Greater than 50% yield increase</v>
      </c>
      <c r="AR13" s="281" t="s">
        <v>3093</v>
      </c>
      <c r="AS13" s="181" t="str">
        <f>VLOOKUP(AT13,Lookup!$C$4:$D$14,2,FALSE)</f>
        <v>Slight to Moderate Worsening</v>
      </c>
      <c r="AT13" s="193">
        <f>IF(V13=0,0,IF(V13&lt;Lookup!$F$79,5,IF(V13&lt;Lookup!$F$80,4,IF(V13&lt;Lookup!$F$81,3,IF(V13&lt;Lookup!$F$82,2,IF(V13&lt;Lookup!$F$83,1,IF(V13&lt;Lookup!$F$85,-1,IF(V13&lt;Lookup!$F$86,-2,IF(V13&lt;Lookup!$F$87,-3,IF(V13&lt;Lookup!$F$88,-4,-5))))))))))</f>
        <v>-2</v>
      </c>
      <c r="AU13" s="194" t="str">
        <f>VLOOKUP(AT13,Lookup!$G$79:$J$89,2,FALSE)</f>
        <v>6-7 years to breakeven</v>
      </c>
      <c r="AV13" s="345" t="str">
        <f>VLOOKUP(AT13,Lookup!$G$79:$J$89,4,FALSE)</f>
        <v>Annual benefits moderately greater than annual costs</v>
      </c>
      <c r="AW13" s="181" t="str">
        <f>VLOOKUP(AX13,Lookup!$C$4:$D$14,2,FALSE)</f>
        <v>Slight to Moderate Improvement</v>
      </c>
      <c r="AX13" s="193">
        <f>VLOOKUP(AY13,Lookup!$G$92:$J$97,4,FALSE)</f>
        <v>2</v>
      </c>
      <c r="AY13" s="181" t="s">
        <v>2653</v>
      </c>
      <c r="AZ13" s="281" t="s">
        <v>3163</v>
      </c>
      <c r="BA13" s="181" t="str">
        <f>VLOOKUP(BB13,Lookup!$C$4:$D$14,2,FALSE)</f>
        <v>Slight Worsening</v>
      </c>
      <c r="BB13" s="193">
        <f>VLOOKUP(BC13,Lookup!$G$100:$K$110,5,FALSE)</f>
        <v>-1</v>
      </c>
      <c r="BC13" s="181" t="s">
        <v>2637</v>
      </c>
      <c r="BD13" s="281" t="s">
        <v>3184</v>
      </c>
      <c r="BE13" s="181" t="str">
        <f>VLOOKUP(BF13,Lookup!$C$4:$D$14,2,FALSE)</f>
        <v>Slight Worsening</v>
      </c>
      <c r="BF13" s="193">
        <f>IF(X13=0,0,IF(X13&gt;Lookup!$F$113,-5,IF(X13&gt;Lookup!$F$114,-4,IF(X13&gt;Lookup!$F$115,-3,IF(X13&gt;Lookup!$F$116,-2,IF(X13&gt;Lookup!$F$117,-1,0))))))</f>
        <v>-1</v>
      </c>
      <c r="BG13" s="195" t="str">
        <f>VLOOKUP(BF13,Lookup!$G$113:$H$118,2,FALSE)</f>
        <v>Annual on-farm equipment costs 5% or less of enterprise annual net income</v>
      </c>
      <c r="BH13" s="281" t="s">
        <v>3237</v>
      </c>
      <c r="BI13" s="181" t="str">
        <f>VLOOKUP(BJ13,Lookup!$C$4:$D$14,2,FALSE)</f>
        <v>Slight to Moderate Worsening</v>
      </c>
      <c r="BJ13" s="193">
        <f>VLOOKUP(BK13,Lookup!$G$121:$L$131,6,FALSE)</f>
        <v>-2</v>
      </c>
      <c r="BK13" s="181" t="s">
        <v>2649</v>
      </c>
      <c r="BL13" s="281" t="s">
        <v>3260</v>
      </c>
      <c r="BM13" s="181" t="str">
        <f>VLOOKUP(BN13,Lookup!$C$4:$D$14,2,FALSE)</f>
        <v>Moderate to Substantial Worsening</v>
      </c>
      <c r="BN13" s="193">
        <f>VLOOKUP(BO13,Lookup!$G$134:$L$144,6,FALSE)</f>
        <v>-4</v>
      </c>
      <c r="BO13" s="181" t="s">
        <v>2648</v>
      </c>
      <c r="BP13" s="281" t="s">
        <v>3368</v>
      </c>
      <c r="BQ13" s="181" t="str">
        <f>VLOOKUP(BR13,Lookup!$C$4:$D$14,2,FALSE)</f>
        <v>Slight to Moderate Improvement</v>
      </c>
      <c r="BR13" s="193">
        <f>VLOOKUP(BS13,Lookup!$G$147:$L$157,6,FALSE)</f>
        <v>2</v>
      </c>
      <c r="BS13" s="181" t="s">
        <v>2641</v>
      </c>
      <c r="BT13" s="281" t="s">
        <v>3435</v>
      </c>
      <c r="BU13" s="175" t="s">
        <v>2231</v>
      </c>
    </row>
    <row r="14" spans="1:73" ht="39.950000000000003" customHeight="1" thickBot="1" x14ac:dyDescent="0.25">
      <c r="A14" s="173">
        <f t="shared" si="4"/>
        <v>12</v>
      </c>
      <c r="B14" s="178" t="s">
        <v>1790</v>
      </c>
      <c r="C14" s="179" t="s">
        <v>1466</v>
      </c>
      <c r="D14" s="180">
        <v>396</v>
      </c>
      <c r="E14" s="180" t="s">
        <v>3648</v>
      </c>
      <c r="F14" s="273" t="str">
        <f>VLOOKUP($D14,'Practice Descriptions'!$E$11:$F$186,2,FALSE)</f>
        <v>Modification or removal of barriers that restrict or impede movement of aquatic organisms.</v>
      </c>
      <c r="G14" s="182">
        <v>15</v>
      </c>
      <c r="H14" s="183">
        <v>2500</v>
      </c>
      <c r="I14" s="184">
        <v>0.05</v>
      </c>
      <c r="J14" s="184">
        <v>0.03</v>
      </c>
      <c r="K14" s="419">
        <v>1</v>
      </c>
      <c r="L14" s="185" t="str">
        <f t="shared" si="0"/>
        <v/>
      </c>
      <c r="M14" s="184">
        <v>0</v>
      </c>
      <c r="N14" s="186">
        <f>IF(G14=1,H14,PMT(Lookup!$G$4,G14,-H14)+(H14*J14)+(M14*P14))*K14</f>
        <v>317.89503066219402</v>
      </c>
      <c r="O14" s="187" t="s">
        <v>2225</v>
      </c>
      <c r="P14" s="186">
        <f>VLOOKUP($O14,Lookup!$F$9:$I$18,4,FALSE)</f>
        <v>100</v>
      </c>
      <c r="Q14" s="184">
        <v>0</v>
      </c>
      <c r="R14" s="183">
        <v>500</v>
      </c>
      <c r="S14" s="188" t="s">
        <v>3610</v>
      </c>
      <c r="T14" s="186">
        <f t="shared" si="2"/>
        <v>500</v>
      </c>
      <c r="U14" s="189">
        <f t="shared" si="3"/>
        <v>1.5728462283869951</v>
      </c>
      <c r="V14" s="189">
        <f t="shared" si="1"/>
        <v>5</v>
      </c>
      <c r="W14" s="190">
        <f>IF(P14=0,0,IF(Q14+R14=0,0,PV(Lookup!$G$4,G14,-T14)/H14))</f>
        <v>2.0585023853179383</v>
      </c>
      <c r="X14" s="190">
        <f>IF(I14=0,0,PMT(Lookup!$G$4,G14,-(H14*I14*K14))/P14)</f>
        <v>0.121447515331097</v>
      </c>
      <c r="Y14" s="42" t="s">
        <v>963</v>
      </c>
      <c r="Z14" s="192">
        <f>VLOOKUP(Y14,Lookup!$B$4:$C$14,2,FALSE)</f>
        <v>2</v>
      </c>
      <c r="AA14" s="281" t="s">
        <v>1852</v>
      </c>
      <c r="AB14" s="282" t="s">
        <v>1072</v>
      </c>
      <c r="AC14" s="181" t="str">
        <f>VLOOKUP(AD14,Lookup!$C$4:$D$14,2,FALSE)</f>
        <v>Substantial Worsening</v>
      </c>
      <c r="AD14" s="193">
        <f>IF(P14/H14&lt;Lookup!$F$33,-5,IF(P14/H14&lt;Lookup!$F$32,-4,IF(P14/H14&lt;Lookup!$F$31,-3,IF(P14/H14&lt;Lookup!$F$30,-2,IF(P14/H14&lt;Lookup!$F$29,-1,-5)))))</f>
        <v>-5</v>
      </c>
      <c r="AE14" s="194" t="str">
        <f>VLOOKUP(AD14,Lookup!$G$28:$J$33,2,FALSE)</f>
        <v>One-time practice implementation cost 5 times or greater enterprise annual net income</v>
      </c>
      <c r="AF14" s="281" t="s">
        <v>1847</v>
      </c>
      <c r="AG14" s="181" t="str">
        <f>VLOOKUP(AH14,Lookup!$C$4:$D$14,2,FALSE)</f>
        <v>Moderate Worsening</v>
      </c>
      <c r="AH14" s="193">
        <f>IF(J14&gt;Lookup!$F$43,-5,IF(J14&gt;Lookup!$F$42,-4,IF(J14&gt;Lookup!$F$41,-3,IF(J14&gt;Lookup!$F$40,-2,IF(J14&gt;Lookup!$F$39,-1,0)))))</f>
        <v>-3</v>
      </c>
      <c r="AI14" s="194" t="str">
        <f>VLOOKUP(AH14,Lookup!$G$38:$J$43,2,FALSE)</f>
        <v>Annual O&amp;M costs 2 to 3% of total installation costs</v>
      </c>
      <c r="AJ14" s="281" t="s">
        <v>2987</v>
      </c>
      <c r="AK14" s="181" t="str">
        <f>VLOOKUP(AL14,Lookup!$C$4:$D$14,2,FALSE)</f>
        <v>Slight to Moderate Improvement</v>
      </c>
      <c r="AL14" s="346">
        <f>IF(N14=0,0,IF(U14&lt;Lookup!$F$58,-5,IF(U14&lt;Lookup!$F$57,-4,IF(U14&lt;Lookup!$F$56,-3,IF(U14&lt;Lookup!$F$55,-2,IF(U14&lt;Lookup!$F$54,-1,IF(U14&lt;Lookup!$F$53,0,IF(U14&lt;Lookup!$F$52,1,IF(U14&lt;Lookup!$F$51,2,IF(U14&lt;Lookup!$F$50,3,IF(U14&lt;Lookup!$F$49,4,5)))))))))))</f>
        <v>2</v>
      </c>
      <c r="AM14" s="194" t="str">
        <f>VLOOKUP(AL14,Lookup!$G$48:$J$58,2,FALSE)</f>
        <v>B/C Ratio 1.50 to 1.75</v>
      </c>
      <c r="AN14" s="281" t="s">
        <v>3029</v>
      </c>
      <c r="AO14" s="181" t="str">
        <f>VLOOKUP(AP14,Lookup!$C$4:$D$14,2,FALSE)</f>
        <v>No Effect</v>
      </c>
      <c r="AP14" s="193">
        <f>IF(Q14=0,0,IF(Q14&gt;Lookup!$F$63,5,IF(Q14&gt;Lookup!$F$64,4,IF(Q14&gt;Lookup!$F$65,3,IF(Q14&gt;Lookup!$F$66,2,IF(Q14&gt;Lookup!$F$67,1,IF(Q14&gt;Lookup!$F$69,-1,IF(Q14&gt;Lookup!$F$70,-2,IF(Q14&gt;Lookup!$F$71,-3,IF(Q14&gt;Lookup!$F$72,-4,-5))))))))))</f>
        <v>0</v>
      </c>
      <c r="AQ14" s="194" t="str">
        <f>VLOOKUP(AP14,Lookup!$G$63:$J$73,2,FALSE)</f>
        <v>No change in yield</v>
      </c>
      <c r="AR14" s="281" t="s">
        <v>3081</v>
      </c>
      <c r="AS14" s="181" t="str">
        <f>VLOOKUP(AT14,Lookup!$C$4:$D$14,2,FALSE)</f>
        <v>Slight Worsening</v>
      </c>
      <c r="AT14" s="193">
        <f>IF(V14=0,0,IF(V14&lt;Lookup!$F$79,5,IF(V14&lt;Lookup!$F$80,4,IF(V14&lt;Lookup!$F$81,3,IF(V14&lt;Lookup!$F$82,2,IF(V14&lt;Lookup!$F$83,1,IF(V14&lt;Lookup!$F$85,-1,IF(V14&lt;Lookup!$F$86,-2,IF(V14&lt;Lookup!$F$87,-3,IF(V14&lt;Lookup!$F$88,-4,-5))))))))))</f>
        <v>-1</v>
      </c>
      <c r="AU14" s="194" t="str">
        <f>VLOOKUP(AT14,Lookup!$G$79:$J$89,2,FALSE)</f>
        <v>5-6 years to breakeven</v>
      </c>
      <c r="AV14" s="345" t="str">
        <f>VLOOKUP(AT14,Lookup!$G$79:$J$89,4,FALSE)</f>
        <v>Annual benefits moderately greater than annual costs</v>
      </c>
      <c r="AW14" s="181" t="str">
        <f>VLOOKUP(AX14,Lookup!$C$4:$D$14,2,FALSE)</f>
        <v>No Effect</v>
      </c>
      <c r="AX14" s="193">
        <f>VLOOKUP(AY14,Lookup!$G$92:$J$97,4,FALSE)</f>
        <v>0</v>
      </c>
      <c r="AY14" s="181" t="s">
        <v>2642</v>
      </c>
      <c r="AZ14" s="281" t="s">
        <v>3154</v>
      </c>
      <c r="BA14" s="181" t="str">
        <f>VLOOKUP(BB14,Lookup!$C$4:$D$14,2,FALSE)</f>
        <v>No Effect</v>
      </c>
      <c r="BB14" s="193">
        <f>VLOOKUP(BC14,Lookup!$G$100:$K$110,5,FALSE)</f>
        <v>0</v>
      </c>
      <c r="BC14" s="181" t="s">
        <v>2643</v>
      </c>
      <c r="BD14" s="281" t="s">
        <v>3154</v>
      </c>
      <c r="BE14" s="181" t="str">
        <f>VLOOKUP(BF14,Lookup!$C$4:$D$14,2,FALSE)</f>
        <v>Slight to Moderate Worsening</v>
      </c>
      <c r="BF14" s="193">
        <f>IF(X14=0,0,IF(X14&gt;Lookup!$F$113,-5,IF(X14&gt;Lookup!$F$114,-4,IF(X14&gt;Lookup!$F$115,-3,IF(X14&gt;Lookup!$F$116,-2,IF(X14&gt;Lookup!$F$117,-1,0))))))</f>
        <v>-2</v>
      </c>
      <c r="BG14" s="195" t="str">
        <f>VLOOKUP(BF14,Lookup!$G$113:$H$118,2,FALSE)</f>
        <v>Annual on-farm equipment costs 25 to 5% of enterprise annual net income</v>
      </c>
      <c r="BH14" s="281" t="s">
        <v>1930</v>
      </c>
      <c r="BI14" s="181" t="str">
        <f>VLOOKUP(BJ14,Lookup!$C$4:$D$14,2,FALSE)</f>
        <v>Slight Worsening</v>
      </c>
      <c r="BJ14" s="193">
        <f>VLOOKUP(BK14,Lookup!$G$121:$L$131,6,FALSE)</f>
        <v>-1</v>
      </c>
      <c r="BK14" s="181" t="s">
        <v>2640</v>
      </c>
      <c r="BL14" s="281" t="s">
        <v>3261</v>
      </c>
      <c r="BM14" s="181" t="str">
        <f>VLOOKUP(BN14,Lookup!$C$4:$D$14,2,FALSE)</f>
        <v>Slight to Moderate Improvement</v>
      </c>
      <c r="BN14" s="193">
        <f>VLOOKUP(BO14,Lookup!$G$134:$L$144,6,FALSE)</f>
        <v>2</v>
      </c>
      <c r="BO14" s="181" t="s">
        <v>3371</v>
      </c>
      <c r="BP14" s="281" t="s">
        <v>3369</v>
      </c>
      <c r="BQ14" s="181" t="str">
        <f>VLOOKUP(BR14,Lookup!$C$4:$D$14,2,FALSE)</f>
        <v>Slight to Moderate Improvement</v>
      </c>
      <c r="BR14" s="193">
        <f>VLOOKUP(BS14,Lookup!$G$147:$L$157,6,FALSE)</f>
        <v>2</v>
      </c>
      <c r="BS14" s="181" t="s">
        <v>2641</v>
      </c>
      <c r="BT14" s="281" t="s">
        <v>3435</v>
      </c>
      <c r="BU14" s="175" t="s">
        <v>2231</v>
      </c>
    </row>
    <row r="15" spans="1:73" ht="39.950000000000003" customHeight="1" thickBot="1" x14ac:dyDescent="0.25">
      <c r="A15" s="173">
        <f t="shared" si="4"/>
        <v>13</v>
      </c>
      <c r="B15" s="178" t="s">
        <v>608</v>
      </c>
      <c r="C15" s="179" t="s">
        <v>1601</v>
      </c>
      <c r="D15" s="180">
        <v>310</v>
      </c>
      <c r="E15" s="180" t="s">
        <v>3646</v>
      </c>
      <c r="F15" s="273" t="str">
        <f>VLOOKUP($D15,'Practice Descriptions'!$E$11:$F$186,2,FALSE)</f>
        <v>Plowing, blading, or otherwise elevating the surface of flat land into a series of broad, low ridges separated by shallow, parallel channels with positive drainage.</v>
      </c>
      <c r="G15" s="182">
        <v>3</v>
      </c>
      <c r="H15" s="183">
        <v>200</v>
      </c>
      <c r="I15" s="184">
        <v>0.1</v>
      </c>
      <c r="J15" s="184">
        <v>0</v>
      </c>
      <c r="K15" s="419">
        <f>IF(E15="No.",1,IF(E15="Ac.",1,(SQRT(VLOOKUP(O15,Lookup!$F$9:$H$18,3,FALSE)))*208/VLOOKUP(O15,Lookup!$F$9:$H$18,3,FALSE)))</f>
        <v>1</v>
      </c>
      <c r="L15" s="185" t="str">
        <f t="shared" si="0"/>
        <v/>
      </c>
      <c r="M15" s="184">
        <v>0</v>
      </c>
      <c r="N15" s="186">
        <f>IF(G15=1,H15,PMT(Lookup!$G$4,G15,-H15)+(H15*J15)+(M15*P15))*K15</f>
        <v>73.613795808187888</v>
      </c>
      <c r="O15" s="187" t="s">
        <v>1110</v>
      </c>
      <c r="P15" s="186">
        <f>VLOOKUP($O15,Lookup!$F$9:$I$18,4,FALSE)</f>
        <v>300</v>
      </c>
      <c r="Q15" s="184">
        <v>0.2</v>
      </c>
      <c r="R15" s="183">
        <v>0</v>
      </c>
      <c r="S15" s="188"/>
      <c r="T15" s="186">
        <f t="shared" si="2"/>
        <v>60</v>
      </c>
      <c r="U15" s="189">
        <f t="shared" si="3"/>
        <v>0.81506461311055423</v>
      </c>
      <c r="V15" s="189">
        <f t="shared" si="1"/>
        <v>0</v>
      </c>
      <c r="W15" s="190">
        <f>IF(P15=0,0,IF(Q15+R15=0,0,PV(Lookup!$G$4,G15,-T15)/H15))</f>
        <v>0.81506461311055389</v>
      </c>
      <c r="X15" s="190">
        <f>IF(I15=0,0,PMT(Lookup!$G$4,G15,-(H15*I15*K15))/P15)</f>
        <v>2.4537931936062626E-2</v>
      </c>
      <c r="Y15" s="42" t="s">
        <v>986</v>
      </c>
      <c r="Z15" s="192">
        <f>VLOOKUP(Y15,Lookup!$B$4:$C$14,2,FALSE)</f>
        <v>0</v>
      </c>
      <c r="AA15" s="281" t="s">
        <v>2759</v>
      </c>
      <c r="AB15" s="282" t="s">
        <v>1072</v>
      </c>
      <c r="AC15" s="181" t="str">
        <f>VLOOKUP(AD15,Lookup!$C$4:$D$14,2,FALSE)</f>
        <v>Slight to Moderate Worsening</v>
      </c>
      <c r="AD15" s="193">
        <f>IF(P15/H15&lt;Lookup!$F$33,-5,IF(P15/H15&lt;Lookup!$F$32,-4,IF(P15/H15&lt;Lookup!$F$31,-3,IF(P15/H15&lt;Lookup!$F$30,-2,IF(P15/H15&lt;Lookup!$F$29,-1,-5)))))</f>
        <v>-2</v>
      </c>
      <c r="AE15" s="194" t="str">
        <f>VLOOKUP(AD15,Lookup!$G$28:$J$33,2,FALSE)</f>
        <v>One-time practice implementation cost 5 to 100% of enterprise annual net income</v>
      </c>
      <c r="AF15" s="281" t="s">
        <v>1850</v>
      </c>
      <c r="AG15" s="181" t="str">
        <f>VLOOKUP(AH15,Lookup!$C$4:$D$14,2,FALSE)</f>
        <v>No Effect</v>
      </c>
      <c r="AH15" s="193">
        <f>IF(J15&gt;Lookup!$F$43,-5,IF(J15&gt;Lookup!$F$42,-4,IF(J15&gt;Lookup!$F$41,-3,IF(J15&gt;Lookup!$F$40,-2,IF(J15&gt;Lookup!$F$39,-1,0)))))</f>
        <v>0</v>
      </c>
      <c r="AI15" s="194" t="str">
        <f>VLOOKUP(AH15,Lookup!$G$38:$J$43,2,FALSE)</f>
        <v>No O&amp;M costs</v>
      </c>
      <c r="AJ15" s="281" t="s">
        <v>3005</v>
      </c>
      <c r="AK15" s="181" t="str">
        <f>VLOOKUP(AL15,Lookup!$C$4:$D$14,2,FALSE)</f>
        <v>No Effect</v>
      </c>
      <c r="AL15" s="346">
        <f>IF(N15=0,0,IF(U15&lt;Lookup!$F$58,-5,IF(U15&lt;Lookup!$F$57,-4,IF(U15&lt;Lookup!$F$56,-3,IF(U15&lt;Lookup!$F$55,-2,IF(U15&lt;Lookup!$F$54,-1,IF(U15&lt;Lookup!$F$53,0,IF(U15&lt;Lookup!$F$52,1,IF(U15&lt;Lookup!$F$51,2,IF(U15&lt;Lookup!$F$50,3,IF(U15&lt;Lookup!$F$49,4,5)))))))))))</f>
        <v>0</v>
      </c>
      <c r="AM15" s="194" t="str">
        <f>VLOOKUP(AL15,Lookup!$G$48:$J$58,2,FALSE)</f>
        <v>B/C Ratio .75 to 1.25</v>
      </c>
      <c r="AN15" s="281" t="s">
        <v>3033</v>
      </c>
      <c r="AO15" s="181" t="str">
        <f>VLOOKUP(AP15,Lookup!$C$4:$D$14,2,FALSE)</f>
        <v>Slight to Moderate Improvement</v>
      </c>
      <c r="AP15" s="193">
        <f>IF(Q15=0,0,IF(Q15&gt;Lookup!$F$63,5,IF(Q15&gt;Lookup!$F$64,4,IF(Q15&gt;Lookup!$F$65,3,IF(Q15&gt;Lookup!$F$66,2,IF(Q15&gt;Lookup!$F$67,1,IF(Q15&gt;Lookup!$F$69,-1,IF(Q15&gt;Lookup!$F$70,-2,IF(Q15&gt;Lookup!$F$71,-3,IF(Q15&gt;Lookup!$F$72,-4,-5))))))))))</f>
        <v>2</v>
      </c>
      <c r="AQ15" s="194" t="str">
        <f>VLOOKUP(AP15,Lookup!$G$63:$J$73,2,FALSE)</f>
        <v>5 to 10% yield increase</v>
      </c>
      <c r="AR15" s="281" t="s">
        <v>3094</v>
      </c>
      <c r="AS15" s="181" t="str">
        <f>VLOOKUP(AT15,Lookup!$C$4:$D$14,2,FALSE)</f>
        <v>No Effect</v>
      </c>
      <c r="AT15" s="193">
        <f>IF(V15=0,0,IF(V15&lt;Lookup!$F$79,5,IF(V15&lt;Lookup!$F$80,4,IF(V15&lt;Lookup!$F$81,3,IF(V15&lt;Lookup!$F$82,2,IF(V15&lt;Lookup!$F$83,1,IF(V15&lt;Lookup!$F$85,-1,IF(V15&lt;Lookup!$F$86,-2,IF(V15&lt;Lookup!$F$87,-3,IF(V15&lt;Lookup!$F$88,-4,-5))))))))))</f>
        <v>0</v>
      </c>
      <c r="AU15" s="194" t="str">
        <f>VLOOKUP(AT15,Lookup!$G$79:$J$89,2,FALSE)</f>
        <v>No breakeven</v>
      </c>
      <c r="AV15" s="345" t="str">
        <f>VLOOKUP(AT15,Lookup!$G$79:$J$89,4,FALSE)</f>
        <v>Annual costs greater than annual benefits</v>
      </c>
      <c r="AW15" s="181" t="str">
        <f>VLOOKUP(AX15,Lookup!$C$4:$D$14,2,FALSE)</f>
        <v>No Effect</v>
      </c>
      <c r="AX15" s="193">
        <f>VLOOKUP(AY15,Lookup!$G$92:$J$97,4,FALSE)</f>
        <v>0</v>
      </c>
      <c r="AY15" s="181" t="s">
        <v>2642</v>
      </c>
      <c r="AZ15" s="281" t="s">
        <v>3154</v>
      </c>
      <c r="BA15" s="181" t="str">
        <f>VLOOKUP(BB15,Lookup!$C$4:$D$14,2,FALSE)</f>
        <v>No Effect</v>
      </c>
      <c r="BB15" s="193">
        <f>VLOOKUP(BC15,Lookup!$G$100:$K$110,5,FALSE)</f>
        <v>0</v>
      </c>
      <c r="BC15" s="181" t="s">
        <v>2643</v>
      </c>
      <c r="BD15" s="281" t="s">
        <v>3154</v>
      </c>
      <c r="BE15" s="181" t="str">
        <f>VLOOKUP(BF15,Lookup!$C$4:$D$14,2,FALSE)</f>
        <v>Slight Worsening</v>
      </c>
      <c r="BF15" s="193">
        <f>IF(X15=0,0,IF(X15&gt;Lookup!$F$113,-5,IF(X15&gt;Lookup!$F$114,-4,IF(X15&gt;Lookup!$F$115,-3,IF(X15&gt;Lookup!$F$116,-2,IF(X15&gt;Lookup!$F$117,-1,0))))))</f>
        <v>-1</v>
      </c>
      <c r="BG15" s="195" t="str">
        <f>VLOOKUP(BF15,Lookup!$G$113:$H$118,2,FALSE)</f>
        <v>Annual on-farm equipment costs 5% or less of enterprise annual net income</v>
      </c>
      <c r="BH15" s="281" t="s">
        <v>3236</v>
      </c>
      <c r="BI15" s="181" t="str">
        <f>VLOOKUP(BJ15,Lookup!$C$4:$D$14,2,FALSE)</f>
        <v>Slight Worsening</v>
      </c>
      <c r="BJ15" s="193">
        <f>VLOOKUP(BK15,Lookup!$G$121:$L$131,6,FALSE)</f>
        <v>-1</v>
      </c>
      <c r="BK15" s="181" t="s">
        <v>2640</v>
      </c>
      <c r="BL15" s="281" t="s">
        <v>3528</v>
      </c>
      <c r="BM15" s="181" t="str">
        <f>VLOOKUP(BN15,Lookup!$C$4:$D$14,2,FALSE)</f>
        <v>Slight Worsening</v>
      </c>
      <c r="BN15" s="193">
        <f>VLOOKUP(BO15,Lookup!$G$134:$L$144,6,FALSE)</f>
        <v>-1</v>
      </c>
      <c r="BO15" s="181" t="s">
        <v>3373</v>
      </c>
      <c r="BP15" s="281" t="s">
        <v>3529</v>
      </c>
      <c r="BQ15" s="181" t="str">
        <f>VLOOKUP(BR15,Lookup!$C$4:$D$14,2,FALSE)</f>
        <v>Moderate to Substantial Improvement</v>
      </c>
      <c r="BR15" s="193">
        <f>VLOOKUP(BS15,Lookup!$G$147:$L$157,6,FALSE)</f>
        <v>4</v>
      </c>
      <c r="BS15" s="181" t="s">
        <v>2645</v>
      </c>
      <c r="BT15" s="281" t="s">
        <v>3530</v>
      </c>
      <c r="BU15" s="175" t="s">
        <v>2231</v>
      </c>
    </row>
    <row r="16" spans="1:73" ht="39.950000000000003" customHeight="1" thickBot="1" x14ac:dyDescent="0.25">
      <c r="A16" s="173">
        <f t="shared" si="4"/>
        <v>14</v>
      </c>
      <c r="B16" s="178" t="s">
        <v>1984</v>
      </c>
      <c r="C16" s="179" t="s">
        <v>1805</v>
      </c>
      <c r="D16" s="180">
        <v>400</v>
      </c>
      <c r="E16" s="180" t="s">
        <v>3647</v>
      </c>
      <c r="F16" s="273" t="str">
        <f>VLOOKUP($D16,'Practice Descriptions'!$E$11:$F$186,2,FALSE)</f>
        <v xml:space="preserve">Actions that reduce, clean or remove biofouling organisms and other waste from bivalve production areas while minimizing environmental risk. </v>
      </c>
      <c r="G16" s="182">
        <v>10</v>
      </c>
      <c r="H16" s="183">
        <v>10000</v>
      </c>
      <c r="I16" s="184">
        <v>0.1</v>
      </c>
      <c r="J16" s="184">
        <v>0.03</v>
      </c>
      <c r="K16" s="419">
        <f>IF(E16="No.",1,IF(E16="Ac.",1,(SQRT(VLOOKUP(O16,Lookup!$F$9:$H$18,3,FALSE)))*208/VLOOKUP(O16,Lookup!$F$9:$H$18,3,FALSE)))</f>
        <v>1</v>
      </c>
      <c r="L16" s="185" t="str">
        <f t="shared" si="0"/>
        <v/>
      </c>
      <c r="M16" s="184">
        <v>0</v>
      </c>
      <c r="N16" s="186">
        <f>IF(G16=1,H16,PMT(Lookup!$G$4,G16,-H16)+(H16*J16)+(M16*P16))*K16</f>
        <v>1602.9188056839719</v>
      </c>
      <c r="O16" s="187" t="s">
        <v>2225</v>
      </c>
      <c r="P16" s="186">
        <f>VLOOKUP($O16,Lookup!$F$9:$I$18,4,FALSE)</f>
        <v>100</v>
      </c>
      <c r="Q16" s="184">
        <v>0</v>
      </c>
      <c r="R16" s="183">
        <v>1500</v>
      </c>
      <c r="S16" s="188" t="s">
        <v>3610</v>
      </c>
      <c r="T16" s="186">
        <f t="shared" si="2"/>
        <v>1500</v>
      </c>
      <c r="U16" s="189">
        <f t="shared" si="3"/>
        <v>0.93579287652061949</v>
      </c>
      <c r="V16" s="189">
        <f t="shared" si="1"/>
        <v>0</v>
      </c>
      <c r="W16" s="190">
        <f>IF(P16=0,0,IF(Q16+R16=0,0,PV(Lookup!$G$4,G16,-T16)/H16))</f>
        <v>1.1512613015149245</v>
      </c>
      <c r="X16" s="190">
        <f>IF(I16=0,0,PMT(Lookup!$G$4,G16,-(H16*I16*K16))/P16)</f>
        <v>1.3029188056839718</v>
      </c>
      <c r="Y16" s="42" t="s">
        <v>986</v>
      </c>
      <c r="Z16" s="192">
        <f>VLOOKUP(Y16,Lookup!$B$4:$C$14,2,FALSE)</f>
        <v>0</v>
      </c>
      <c r="AA16" s="281" t="s">
        <v>2759</v>
      </c>
      <c r="AB16" s="282" t="s">
        <v>1072</v>
      </c>
      <c r="AC16" s="181" t="str">
        <f>VLOOKUP(AD16,Lookup!$C$4:$D$14,2,FALSE)</f>
        <v>Substantial Worsening</v>
      </c>
      <c r="AD16" s="193">
        <f>IF(P16/H16&lt;Lookup!$F$33,-5,IF(P16/H16&lt;Lookup!$F$32,-4,IF(P16/H16&lt;Lookup!$F$31,-3,IF(P16/H16&lt;Lookup!$F$30,-2,IF(P16/H16&lt;Lookup!$F$29,-1,-5)))))</f>
        <v>-5</v>
      </c>
      <c r="AE16" s="194" t="str">
        <f>VLOOKUP(AD16,Lookup!$G$28:$J$33,2,FALSE)</f>
        <v>One-time practice implementation cost 5 times or greater enterprise annual net income</v>
      </c>
      <c r="AF16" s="281" t="s">
        <v>1847</v>
      </c>
      <c r="AG16" s="181" t="str">
        <f>VLOOKUP(AH16,Lookup!$C$4:$D$14,2,FALSE)</f>
        <v>Moderate Worsening</v>
      </c>
      <c r="AH16" s="193">
        <f>IF(J16&gt;Lookup!$F$43,-5,IF(J16&gt;Lookup!$F$42,-4,IF(J16&gt;Lookup!$F$41,-3,IF(J16&gt;Lookup!$F$40,-2,IF(J16&gt;Lookup!$F$39,-1,0)))))</f>
        <v>-3</v>
      </c>
      <c r="AI16" s="194" t="str">
        <f>VLOOKUP(AH16,Lookup!$G$38:$J$43,2,FALSE)</f>
        <v>Annual O&amp;M costs 2 to 3% of total installation costs</v>
      </c>
      <c r="AJ16" s="281" t="s">
        <v>2987</v>
      </c>
      <c r="AK16" s="181" t="str">
        <f>VLOOKUP(AL16,Lookup!$C$4:$D$14,2,FALSE)</f>
        <v>No Effect</v>
      </c>
      <c r="AL16" s="346">
        <f>IF(N16=0,0,IF(U16&lt;Lookup!$F$58,-5,IF(U16&lt;Lookup!$F$57,-4,IF(U16&lt;Lookup!$F$56,-3,IF(U16&lt;Lookup!$F$55,-2,IF(U16&lt;Lookup!$F$54,-1,IF(U16&lt;Lookup!$F$53,0,IF(U16&lt;Lookup!$F$52,1,IF(U16&lt;Lookup!$F$51,2,IF(U16&lt;Lookup!$F$50,3,IF(U16&lt;Lookup!$F$49,4,5)))))))))))</f>
        <v>0</v>
      </c>
      <c r="AM16" s="194" t="str">
        <f>VLOOKUP(AL16,Lookup!$G$48:$J$58,2,FALSE)</f>
        <v>B/C Ratio .75 to 1.25</v>
      </c>
      <c r="AN16" s="281" t="s">
        <v>3021</v>
      </c>
      <c r="AO16" s="181" t="str">
        <f>VLOOKUP(AP16,Lookup!$C$4:$D$14,2,FALSE)</f>
        <v>No Effect</v>
      </c>
      <c r="AP16" s="193">
        <f>IF(Q16=0,0,IF(Q16&gt;Lookup!$F$63,5,IF(Q16&gt;Lookup!$F$64,4,IF(Q16&gt;Lookup!$F$65,3,IF(Q16&gt;Lookup!$F$66,2,IF(Q16&gt;Lookup!$F$67,1,IF(Q16&gt;Lookup!$F$69,-1,IF(Q16&gt;Lookup!$F$70,-2,IF(Q16&gt;Lookup!$F$71,-3,IF(Q16&gt;Lookup!$F$72,-4,-5))))))))))</f>
        <v>0</v>
      </c>
      <c r="AQ16" s="194" t="str">
        <f>VLOOKUP(AP16,Lookup!$G$63:$J$73,2,FALSE)</f>
        <v>No change in yield</v>
      </c>
      <c r="AR16" s="281" t="s">
        <v>3531</v>
      </c>
      <c r="AS16" s="181" t="str">
        <f>VLOOKUP(AT16,Lookup!$C$4:$D$14,2,FALSE)</f>
        <v>No Effect</v>
      </c>
      <c r="AT16" s="193">
        <f>IF(V16=0,0,IF(V16&lt;Lookup!$F$79,5,IF(V16&lt;Lookup!$F$80,4,IF(V16&lt;Lookup!$F$81,3,IF(V16&lt;Lookup!$F$82,2,IF(V16&lt;Lookup!$F$83,1,IF(V16&lt;Lookup!$F$85,-1,IF(V16&lt;Lookup!$F$86,-2,IF(V16&lt;Lookup!$F$87,-3,IF(V16&lt;Lookup!$F$88,-4,-5))))))))))</f>
        <v>0</v>
      </c>
      <c r="AU16" s="194" t="str">
        <f>VLOOKUP(AT16,Lookup!$G$79:$J$89,2,FALSE)</f>
        <v>No breakeven</v>
      </c>
      <c r="AV16" s="345" t="str">
        <f>VLOOKUP(AT16,Lookup!$G$79:$J$89,4,FALSE)</f>
        <v>Annual costs greater than annual benefits</v>
      </c>
      <c r="AW16" s="181" t="str">
        <f>VLOOKUP(AX16,Lookup!$C$4:$D$14,2,FALSE)</f>
        <v>No Effect</v>
      </c>
      <c r="AX16" s="193">
        <f>VLOOKUP(AY16,Lookup!$G$92:$J$97,4,FALSE)</f>
        <v>0</v>
      </c>
      <c r="AY16" s="181" t="s">
        <v>2642</v>
      </c>
      <c r="AZ16" s="281" t="s">
        <v>3154</v>
      </c>
      <c r="BA16" s="181" t="str">
        <f>VLOOKUP(BB16,Lookup!$C$4:$D$14,2,FALSE)</f>
        <v>No Effect</v>
      </c>
      <c r="BB16" s="193">
        <f>VLOOKUP(BC16,Lookup!$G$100:$K$110,5,FALSE)</f>
        <v>0</v>
      </c>
      <c r="BC16" s="181" t="s">
        <v>2643</v>
      </c>
      <c r="BD16" s="281" t="s">
        <v>3154</v>
      </c>
      <c r="BE16" s="181" t="str">
        <f>VLOOKUP(BF16,Lookup!$C$4:$D$14,2,FALSE)</f>
        <v>Substantial Worsening</v>
      </c>
      <c r="BF16" s="193">
        <f>IF(X16=0,0,IF(X16&gt;Lookup!$F$113,-5,IF(X16&gt;Lookup!$F$114,-4,IF(X16&gt;Lookup!$F$115,-3,IF(X16&gt;Lookup!$F$116,-2,IF(X16&gt;Lookup!$F$117,-1,0))))))</f>
        <v>-5</v>
      </c>
      <c r="BG16" s="195" t="str">
        <f>VLOOKUP(BF16,Lookup!$G$113:$H$118,2,FALSE)</f>
        <v>Annual on-farm equipment costs 75% or greater of enterprise annual net income</v>
      </c>
      <c r="BH16" s="281" t="s">
        <v>3238</v>
      </c>
      <c r="BI16" s="181" t="str">
        <f>VLOOKUP(BJ16,Lookup!$C$4:$D$14,2,FALSE)</f>
        <v>Slight Worsening</v>
      </c>
      <c r="BJ16" s="193">
        <f>VLOOKUP(BK16,Lookup!$G$121:$L$131,6,FALSE)</f>
        <v>-1</v>
      </c>
      <c r="BK16" s="181" t="s">
        <v>2640</v>
      </c>
      <c r="BL16" s="281" t="s">
        <v>3261</v>
      </c>
      <c r="BM16" s="181" t="str">
        <f>VLOOKUP(BN16,Lookup!$C$4:$D$14,2,FALSE)</f>
        <v>Slight to Moderate Improvement</v>
      </c>
      <c r="BN16" s="193">
        <f>VLOOKUP(BO16,Lookup!$G$134:$L$144,6,FALSE)</f>
        <v>2</v>
      </c>
      <c r="BO16" s="181" t="s">
        <v>3371</v>
      </c>
      <c r="BP16" s="281" t="s">
        <v>3369</v>
      </c>
      <c r="BQ16" s="181" t="str">
        <f>VLOOKUP(BR16,Lookup!$C$4:$D$14,2,FALSE)</f>
        <v>Slight to Moderate Improvement</v>
      </c>
      <c r="BR16" s="193">
        <f>VLOOKUP(BS16,Lookup!$G$147:$L$157,6,FALSE)</f>
        <v>2</v>
      </c>
      <c r="BS16" s="181" t="s">
        <v>2641</v>
      </c>
      <c r="BT16" s="281" t="s">
        <v>3435</v>
      </c>
      <c r="BU16" s="175" t="s">
        <v>2231</v>
      </c>
    </row>
    <row r="17" spans="1:73" ht="39.950000000000003" customHeight="1" thickBot="1" x14ac:dyDescent="0.25">
      <c r="A17" s="173">
        <f t="shared" si="4"/>
        <v>15</v>
      </c>
      <c r="B17" s="178" t="s">
        <v>609</v>
      </c>
      <c r="C17" s="179" t="s">
        <v>1603</v>
      </c>
      <c r="D17" s="180">
        <v>314</v>
      </c>
      <c r="E17" s="180" t="s">
        <v>3646</v>
      </c>
      <c r="F17" s="273" t="str">
        <f>VLOOKUP($D17,'Practice Descriptions'!$E$11:$F$186,2,FALSE)</f>
        <v>The management or removal of woody (non-herbaceous or succulent) plants including those that are invasive and noxious.</v>
      </c>
      <c r="G17" s="182">
        <v>10</v>
      </c>
      <c r="H17" s="183">
        <v>75</v>
      </c>
      <c r="I17" s="184">
        <v>0</v>
      </c>
      <c r="J17" s="184">
        <v>0.01</v>
      </c>
      <c r="K17" s="419">
        <f>IF(E17="No.",1,IF(E17="Ac.",1,(SQRT(VLOOKUP(O17,Lookup!$F$9:$H$18,3,FALSE)))*208/VLOOKUP(O17,Lookup!$F$9:$H$18,3,FALSE)))</f>
        <v>1</v>
      </c>
      <c r="L17" s="185" t="str">
        <f t="shared" si="0"/>
        <v/>
      </c>
      <c r="M17" s="184">
        <v>0</v>
      </c>
      <c r="N17" s="186">
        <f>IF(G17=1,H17,PMT(Lookup!$G$4,G17,-H17)+(H17*J17)+(M17*P17))*K17</f>
        <v>10.521891042629788</v>
      </c>
      <c r="O17" s="187" t="s">
        <v>1260</v>
      </c>
      <c r="P17" s="186">
        <f>VLOOKUP($O17,Lookup!$F$9:$I$18,4,FALSE)</f>
        <v>50</v>
      </c>
      <c r="Q17" s="184">
        <v>0.5</v>
      </c>
      <c r="R17" s="183">
        <v>0.5</v>
      </c>
      <c r="S17" s="188" t="s">
        <v>2667</v>
      </c>
      <c r="T17" s="186">
        <f t="shared" si="2"/>
        <v>25.5</v>
      </c>
      <c r="U17" s="189">
        <f t="shared" si="3"/>
        <v>2.4235187284002384</v>
      </c>
      <c r="V17" s="189">
        <f t="shared" si="1"/>
        <v>2.9411764705882355</v>
      </c>
      <c r="W17" s="190">
        <f>IF(P17=0,0,IF(Q17+R17=0,0,PV(Lookup!$G$4,G17,-T17)/H17))</f>
        <v>2.6095256167671628</v>
      </c>
      <c r="X17" s="190">
        <f>IF(I17=0,0,PMT(Lookup!$G$4,G17,-(H17*I17*K17))/P17)</f>
        <v>0</v>
      </c>
      <c r="Y17" s="42" t="s">
        <v>963</v>
      </c>
      <c r="Z17" s="192">
        <f>VLOOKUP(Y17,Lookup!$B$4:$C$14,2,FALSE)</f>
        <v>2</v>
      </c>
      <c r="AA17" s="281" t="s">
        <v>1855</v>
      </c>
      <c r="AB17" s="282" t="s">
        <v>1072</v>
      </c>
      <c r="AC17" s="181" t="str">
        <f>VLOOKUP(AD17,Lookup!$C$4:$D$14,2,FALSE)</f>
        <v>Moderate Worsening</v>
      </c>
      <c r="AD17" s="193">
        <f>IF(P17/H17&lt;Lookup!$F$33,-5,IF(P17/H17&lt;Lookup!$F$32,-4,IF(P17/H17&lt;Lookup!$F$31,-3,IF(P17/H17&lt;Lookup!$F$30,-2,IF(P17/H17&lt;Lookup!$F$29,-1,-5)))))</f>
        <v>-3</v>
      </c>
      <c r="AE17" s="194" t="str">
        <f>VLOOKUP(AD17,Lookup!$G$28:$J$33,2,FALSE)</f>
        <v>One-time practice implementation cost 1 to 2 times enterprise annual net income</v>
      </c>
      <c r="AF17" s="281" t="s">
        <v>1857</v>
      </c>
      <c r="AG17" s="181" t="str">
        <f>VLOOKUP(AH17,Lookup!$C$4:$D$14,2,FALSE)</f>
        <v>Slight Worsening</v>
      </c>
      <c r="AH17" s="193">
        <f>IF(J17&gt;Lookup!$F$43,-5,IF(J17&gt;Lookup!$F$42,-4,IF(J17&gt;Lookup!$F$41,-3,IF(J17&gt;Lookup!$F$40,-2,IF(J17&gt;Lookup!$F$39,-1,0)))))</f>
        <v>-1</v>
      </c>
      <c r="AI17" s="194" t="str">
        <f>VLOOKUP(AH17,Lookup!$G$38:$J$43,2,FALSE)</f>
        <v>Annual O&amp;M costs less than 1% of total installation costs</v>
      </c>
      <c r="AJ17" s="281" t="s">
        <v>3007</v>
      </c>
      <c r="AK17" s="181" t="str">
        <f>VLOOKUP(AL17,Lookup!$C$4:$D$14,2,FALSE)</f>
        <v>Substantial Improvement</v>
      </c>
      <c r="AL17" s="346">
        <f>IF(N17=0,0,IF(U17&lt;Lookup!$F$58,-5,IF(U17&lt;Lookup!$F$57,-4,IF(U17&lt;Lookup!$F$56,-3,IF(U17&lt;Lookup!$F$55,-2,IF(U17&lt;Lookup!$F$54,-1,IF(U17&lt;Lookup!$F$53,0,IF(U17&lt;Lookup!$F$52,1,IF(U17&lt;Lookup!$F$51,2,IF(U17&lt;Lookup!$F$50,3,IF(U17&lt;Lookup!$F$49,4,5)))))))))))</f>
        <v>5</v>
      </c>
      <c r="AM17" s="194" t="str">
        <f>VLOOKUP(AL17,Lookup!$G$48:$J$58,2,FALSE)</f>
        <v>B/C Ratio greater than 2.25</v>
      </c>
      <c r="AN17" s="281" t="s">
        <v>3034</v>
      </c>
      <c r="AO17" s="181" t="str">
        <f>VLOOKUP(AP17,Lookup!$C$4:$D$14,2,FALSE)</f>
        <v>Substantial Improvement</v>
      </c>
      <c r="AP17" s="193">
        <f>IF(Q17=0,0,IF(Q17&gt;Lookup!$F$63,5,IF(Q17&gt;Lookup!$F$64,4,IF(Q17&gt;Lookup!$F$65,3,IF(Q17&gt;Lookup!$F$66,2,IF(Q17&gt;Lookup!$F$67,1,IF(Q17&gt;Lookup!$F$69,-1,IF(Q17&gt;Lookup!$F$70,-2,IF(Q17&gt;Lookup!$F$71,-3,IF(Q17&gt;Lookup!$F$72,-4,-5))))))))))</f>
        <v>5</v>
      </c>
      <c r="AQ17" s="194" t="str">
        <f>VLOOKUP(AP17,Lookup!$G$63:$J$73,2,FALSE)</f>
        <v>Greater than 50% yield increase</v>
      </c>
      <c r="AR17" s="281" t="s">
        <v>3095</v>
      </c>
      <c r="AS17" s="181" t="str">
        <f>VLOOKUP(AT17,Lookup!$C$4:$D$14,2,FALSE)</f>
        <v>Moderate Improvement</v>
      </c>
      <c r="AT17" s="193">
        <f>IF(V17=0,0,IF(V17&lt;Lookup!$F$79,5,IF(V17&lt;Lookup!$F$80,4,IF(V17&lt;Lookup!$F$81,3,IF(V17&lt;Lookup!$F$82,2,IF(V17&lt;Lookup!$F$83,1,IF(V17&lt;Lookup!$F$85,-1,IF(V17&lt;Lookup!$F$86,-2,IF(V17&lt;Lookup!$F$87,-3,IF(V17&lt;Lookup!$F$88,-4,-5))))))))))</f>
        <v>3</v>
      </c>
      <c r="AU17" s="194" t="str">
        <f>VLOOKUP(AT17,Lookup!$G$79:$J$89,2,FALSE)</f>
        <v>2-3 years to breakeven</v>
      </c>
      <c r="AV17" s="345" t="str">
        <f>VLOOKUP(AT17,Lookup!$G$79:$J$89,4,FALSE)</f>
        <v>Annual benefits significantly greater than annual costs</v>
      </c>
      <c r="AW17" s="181" t="str">
        <f>VLOOKUP(AX17,Lookup!$C$4:$D$14,2,FALSE)</f>
        <v>No Effect</v>
      </c>
      <c r="AX17" s="193">
        <f>VLOOKUP(AY17,Lookup!$G$92:$J$97,4,FALSE)</f>
        <v>0</v>
      </c>
      <c r="AY17" s="181" t="s">
        <v>2642</v>
      </c>
      <c r="AZ17" s="281" t="s">
        <v>3158</v>
      </c>
      <c r="BA17" s="181" t="str">
        <f>VLOOKUP(BB17,Lookup!$C$4:$D$14,2,FALSE)</f>
        <v>Moderate to Substantial Improvement</v>
      </c>
      <c r="BB17" s="193">
        <f>VLOOKUP(BC17,Lookup!$G$100:$K$110,5,FALSE)</f>
        <v>4</v>
      </c>
      <c r="BC17" s="181" t="s">
        <v>2673</v>
      </c>
      <c r="BD17" s="281" t="s">
        <v>1856</v>
      </c>
      <c r="BE17" s="181" t="str">
        <f>VLOOKUP(BF17,Lookup!$C$4:$D$14,2,FALSE)</f>
        <v>No Effect</v>
      </c>
      <c r="BF17" s="193">
        <f>IF(X17=0,0,IF(X17&gt;Lookup!$F$113,-5,IF(X17&gt;Lookup!$F$114,-4,IF(X17&gt;Lookup!$F$115,-3,IF(X17&gt;Lookup!$F$116,-2,IF(X17&gt;Lookup!$F$117,-1,0))))))</f>
        <v>0</v>
      </c>
      <c r="BG17" s="195" t="str">
        <f>VLOOKUP(BF17,Lookup!$G$113:$H$118,2,FALSE)</f>
        <v>No change in on-farm equipment</v>
      </c>
      <c r="BH17" s="281" t="s">
        <v>3230</v>
      </c>
      <c r="BI17" s="181" t="str">
        <f>VLOOKUP(BJ17,Lookup!$C$4:$D$14,2,FALSE)</f>
        <v>Slight Improvement</v>
      </c>
      <c r="BJ17" s="193">
        <f>VLOOKUP(BK17,Lookup!$G$121:$L$131,6,FALSE)</f>
        <v>1</v>
      </c>
      <c r="BK17" s="181" t="s">
        <v>2638</v>
      </c>
      <c r="BL17" s="281" t="s">
        <v>3262</v>
      </c>
      <c r="BM17" s="181" t="str">
        <f>VLOOKUP(BN17,Lookup!$C$4:$D$14,2,FALSE)</f>
        <v>Slight to Moderate Improvement</v>
      </c>
      <c r="BN17" s="193">
        <f>VLOOKUP(BO17,Lookup!$G$134:$L$144,6,FALSE)</f>
        <v>2</v>
      </c>
      <c r="BO17" s="181" t="s">
        <v>3371</v>
      </c>
      <c r="BP17" s="281" t="s">
        <v>3377</v>
      </c>
      <c r="BQ17" s="181" t="str">
        <f>VLOOKUP(BR17,Lookup!$C$4:$D$14,2,FALSE)</f>
        <v>Moderate to Substantial Improvement</v>
      </c>
      <c r="BR17" s="193">
        <f>VLOOKUP(BS17,Lookup!$G$147:$L$157,6,FALSE)</f>
        <v>4</v>
      </c>
      <c r="BS17" s="181" t="s">
        <v>2645</v>
      </c>
      <c r="BT17" s="281" t="s">
        <v>3436</v>
      </c>
      <c r="BU17" s="175" t="s">
        <v>2231</v>
      </c>
    </row>
    <row r="18" spans="1:73" ht="39.950000000000003" customHeight="1" thickBot="1" x14ac:dyDescent="0.25">
      <c r="A18" s="173">
        <f t="shared" si="4"/>
        <v>16</v>
      </c>
      <c r="B18" s="178" t="s">
        <v>2798</v>
      </c>
      <c r="C18" s="179" t="s">
        <v>3663</v>
      </c>
      <c r="D18" s="180">
        <v>672</v>
      </c>
      <c r="E18" s="180" t="s">
        <v>3647</v>
      </c>
      <c r="F18" s="273" t="str">
        <f>VLOOKUP($D18,'Practice Descriptions'!$E$11:$F$186,2,FALSE)</f>
        <v>Modification or retrofit of the building envelope of an existing agricultural structure.</v>
      </c>
      <c r="G18" s="182">
        <v>15</v>
      </c>
      <c r="H18" s="183">
        <v>5000</v>
      </c>
      <c r="I18" s="184">
        <v>0</v>
      </c>
      <c r="J18" s="184">
        <v>0</v>
      </c>
      <c r="K18" s="419">
        <v>1</v>
      </c>
      <c r="L18" s="185" t="s">
        <v>2231</v>
      </c>
      <c r="M18" s="184">
        <v>0</v>
      </c>
      <c r="N18" s="186">
        <f>IF(G18=1,H18,PMT(Lookup!$G$4,G18,-H18)+(H18*J18)+(M18*P18))*K18</f>
        <v>485.79006132438803</v>
      </c>
      <c r="O18" s="187" t="s">
        <v>2221</v>
      </c>
      <c r="P18" s="186">
        <f>VLOOKUP($O18,Lookup!$F$9:$I$18,4,FALSE)</f>
        <v>1</v>
      </c>
      <c r="Q18" s="184">
        <v>0</v>
      </c>
      <c r="R18" s="183">
        <v>600</v>
      </c>
      <c r="S18" s="188" t="s">
        <v>3603</v>
      </c>
      <c r="T18" s="186">
        <f t="shared" ref="T18" si="5">+P18*Q18+R18</f>
        <v>600</v>
      </c>
      <c r="U18" s="189">
        <f t="shared" ref="U18" si="6">+T18/N18</f>
        <v>1.2351014311907627</v>
      </c>
      <c r="V18" s="189">
        <f t="shared" ref="V18" si="7">IF(N18&gt;T18,0,(H18*K18)/T18)</f>
        <v>8.3333333333333339</v>
      </c>
      <c r="W18" s="190">
        <f>IF(P18=0,0,IF(Q18+R18=0,0,PV(Lookup!$G$4,G18,-T18)/H18))</f>
        <v>1.2351014311907629</v>
      </c>
      <c r="X18" s="190">
        <f>IF(I18=0,0,PMT(Lookup!$G$4,G18,-(H18*I18*K18))/P18)</f>
        <v>0</v>
      </c>
      <c r="Y18" s="42" t="s">
        <v>986</v>
      </c>
      <c r="Z18" s="192">
        <f>VLOOKUP(Y18,Lookup!$B$4:$C$14,2,FALSE)</f>
        <v>0</v>
      </c>
      <c r="AA18" s="281" t="s">
        <v>2231</v>
      </c>
      <c r="AB18" s="282" t="s">
        <v>1072</v>
      </c>
      <c r="AC18" s="181" t="str">
        <f>VLOOKUP(AD18,Lookup!$C$4:$D$14,2,FALSE)</f>
        <v>Substantial Worsening</v>
      </c>
      <c r="AD18" s="193">
        <f>IF(P18/H18&lt;Lookup!$F$33,-5,IF(P18/H18&lt;Lookup!$F$32,-4,IF(P18/H18&lt;Lookup!$F$31,-3,IF(P18/H18&lt;Lookup!$F$30,-2,IF(P18/H18&lt;Lookup!$F$29,-1,-5)))))</f>
        <v>-5</v>
      </c>
      <c r="AE18" s="194" t="str">
        <f>VLOOKUP(AD18,Lookup!$G$28:$J$33,2,FALSE)</f>
        <v>One-time practice implementation cost 5 times or greater enterprise annual net income</v>
      </c>
      <c r="AF18" s="281" t="s">
        <v>1854</v>
      </c>
      <c r="AG18" s="181" t="str">
        <f>VLOOKUP(AH18,Lookup!$C$4:$D$14,2,FALSE)</f>
        <v>No Effect</v>
      </c>
      <c r="AH18" s="193">
        <f>IF(J18&gt;Lookup!$F$43,-5,IF(J18&gt;Lookup!$F$42,-4,IF(J18&gt;Lookup!$F$41,-3,IF(J18&gt;Lookup!$F$40,-2,IF(J18&gt;Lookup!$F$39,-1,0)))))</f>
        <v>0</v>
      </c>
      <c r="AI18" s="194" t="str">
        <f>VLOOKUP(AH18,Lookup!$G$38:$J$43,2,FALSE)</f>
        <v>No O&amp;M costs</v>
      </c>
      <c r="AJ18" s="281" t="s">
        <v>3005</v>
      </c>
      <c r="AK18" s="181" t="str">
        <f>VLOOKUP(AL18,Lookup!$C$4:$D$14,2,FALSE)</f>
        <v>No Effect</v>
      </c>
      <c r="AL18" s="346">
        <f>IF(N18=0,0,IF(U18&lt;Lookup!$F$58,-5,IF(U18&lt;Lookup!$F$57,-4,IF(U18&lt;Lookup!$F$56,-3,IF(U18&lt;Lookup!$F$55,-2,IF(U18&lt;Lookup!$F$54,-1,IF(U18&lt;Lookup!$F$53,0,IF(U18&lt;Lookup!$F$52,1,IF(U18&lt;Lookup!$F$51,2,IF(U18&lt;Lookup!$F$50,3,IF(U18&lt;Lookup!$F$49,4,5)))))))))))</f>
        <v>0</v>
      </c>
      <c r="AM18" s="194" t="str">
        <f>VLOOKUP(AL18,Lookup!$G$48:$J$58,2,FALSE)</f>
        <v>B/C Ratio .75 to 1.25</v>
      </c>
      <c r="AN18" s="281" t="s">
        <v>3661</v>
      </c>
      <c r="AO18" s="181" t="str">
        <f>VLOOKUP(AP18,Lookup!$C$4:$D$14,2,FALSE)</f>
        <v>No Effect</v>
      </c>
      <c r="AP18" s="193">
        <f>IF(Q18=0,0,IF(Q18&gt;Lookup!$F$63,5,IF(Q18&gt;Lookup!$F$64,4,IF(Q18&gt;Lookup!$F$65,3,IF(Q18&gt;Lookup!$F$66,2,IF(Q18&gt;Lookup!$F$67,1,IF(Q18&gt;Lookup!$F$69,-1,IF(Q18&gt;Lookup!$F$70,-2,IF(Q18&gt;Lookup!$F$71,-3,IF(Q18&gt;Lookup!$F$72,-4,-5))))))))))</f>
        <v>0</v>
      </c>
      <c r="AQ18" s="194" t="str">
        <f>VLOOKUP(AP18,Lookup!$G$63:$J$73,2,FALSE)</f>
        <v>No change in yield</v>
      </c>
      <c r="AR18" s="281" t="s">
        <v>3081</v>
      </c>
      <c r="AS18" s="181" t="str">
        <f>VLOOKUP(AT18,Lookup!$C$4:$D$14,2,FALSE)</f>
        <v>Moderate to Substantial Worsening</v>
      </c>
      <c r="AT18" s="193">
        <f>IF(V18=0,0,IF(V18&lt;Lookup!$F$79,5,IF(V18&lt;Lookup!$F$80,4,IF(V18&lt;Lookup!$F$81,3,IF(V18&lt;Lookup!$F$82,2,IF(V18&lt;Lookup!$F$83,1,IF(V18&lt;Lookup!$F$85,-1,IF(V18&lt;Lookup!$F$86,-2,IF(V18&lt;Lookup!$F$87,-3,IF(V18&lt;Lookup!$F$88,-4,-5))))))))))</f>
        <v>-4</v>
      </c>
      <c r="AU18" s="194" t="str">
        <f>VLOOKUP(AT18,Lookup!$G$79:$J$89,2,FALSE)</f>
        <v>8-9 years to breakeven</v>
      </c>
      <c r="AV18" s="345" t="str">
        <f>VLOOKUP(AT18,Lookup!$G$79:$J$89,4,FALSE)</f>
        <v>Annual benefits slightly greater than annual costs</v>
      </c>
      <c r="AW18" s="181" t="str">
        <f>VLOOKUP(AX18,Lookup!$C$4:$D$14,2,FALSE)</f>
        <v>No Effect</v>
      </c>
      <c r="AX18" s="193">
        <f>VLOOKUP(AY18,Lookup!$G$92:$J$97,4,FALSE)</f>
        <v>0</v>
      </c>
      <c r="AY18" s="181" t="s">
        <v>2642</v>
      </c>
      <c r="AZ18" s="281" t="s">
        <v>3154</v>
      </c>
      <c r="BA18" s="181" t="str">
        <f>VLOOKUP(BB18,Lookup!$C$4:$D$14,2,FALSE)</f>
        <v>No Effect</v>
      </c>
      <c r="BB18" s="193">
        <f>VLOOKUP(BC18,Lookup!$G$100:$K$110,5,FALSE)</f>
        <v>0</v>
      </c>
      <c r="BC18" s="181" t="s">
        <v>2643</v>
      </c>
      <c r="BD18" s="281" t="s">
        <v>3154</v>
      </c>
      <c r="BE18" s="181" t="str">
        <f>VLOOKUP(BF18,Lookup!$C$4:$D$14,2,FALSE)</f>
        <v>No Effect</v>
      </c>
      <c r="BF18" s="193">
        <f>IF(X18=0,0,IF(X18&gt;Lookup!$F$113,-5,IF(X18&gt;Lookup!$F$114,-4,IF(X18&gt;Lookup!$F$115,-3,IF(X18&gt;Lookup!$F$116,-2,IF(X18&gt;Lookup!$F$117,-1,0))))))</f>
        <v>0</v>
      </c>
      <c r="BG18" s="195" t="str">
        <f>VLOOKUP(BF18,Lookup!$G$113:$H$118,2,FALSE)</f>
        <v>No change in on-farm equipment</v>
      </c>
      <c r="BH18" s="281" t="s">
        <v>3230</v>
      </c>
      <c r="BI18" s="181" t="str">
        <f>VLOOKUP(BJ18,Lookup!$C$4:$D$14,2,FALSE)</f>
        <v>No Effect</v>
      </c>
      <c r="BJ18" s="193">
        <f>VLOOKUP(BK18,Lookup!$G$121:$L$131,6,FALSE)</f>
        <v>0</v>
      </c>
      <c r="BK18" s="181" t="s">
        <v>2656</v>
      </c>
      <c r="BL18" s="281" t="s">
        <v>3154</v>
      </c>
      <c r="BM18" s="181" t="str">
        <f>VLOOKUP(BN18,Lookup!$C$4:$D$14,2,FALSE)</f>
        <v>No Effect</v>
      </c>
      <c r="BN18" s="193">
        <f>VLOOKUP(BO18,Lookup!$G$134:$L$144,6,FALSE)</f>
        <v>0</v>
      </c>
      <c r="BO18" s="181" t="s">
        <v>2646</v>
      </c>
      <c r="BP18" s="281" t="s">
        <v>3154</v>
      </c>
      <c r="BQ18" s="181" t="str">
        <f>VLOOKUP(BR18,Lookup!$C$4:$D$14,2,FALSE)</f>
        <v>Slight to Moderate Improvement</v>
      </c>
      <c r="BR18" s="193">
        <f>VLOOKUP(BS18,Lookup!$G$147:$L$157,6,FALSE)</f>
        <v>2</v>
      </c>
      <c r="BS18" s="181" t="s">
        <v>2641</v>
      </c>
      <c r="BT18" s="281" t="s">
        <v>3662</v>
      </c>
    </row>
    <row r="19" spans="1:73" ht="39.950000000000003" customHeight="1" thickBot="1" x14ac:dyDescent="0.25">
      <c r="A19" s="173">
        <f t="shared" si="4"/>
        <v>17</v>
      </c>
      <c r="B19" s="178" t="s">
        <v>1797</v>
      </c>
      <c r="C19" s="179" t="s">
        <v>1604</v>
      </c>
      <c r="D19" s="180">
        <v>584</v>
      </c>
      <c r="E19" s="180" t="s">
        <v>1944</v>
      </c>
      <c r="F19" s="273" t="str">
        <f>VLOOKUP($D19,'Practice Descriptions'!$E$11:$F$186,2,FALSE)</f>
        <v>Measure(s) used to stabilize the bed or bottom of a channel.</v>
      </c>
      <c r="G19" s="182">
        <v>10</v>
      </c>
      <c r="H19" s="183">
        <v>80</v>
      </c>
      <c r="I19" s="184">
        <v>0</v>
      </c>
      <c r="J19" s="184">
        <v>0.05</v>
      </c>
      <c r="K19" s="419">
        <f>IF(E19="No.",1,IF(E19="Ac.",1,(SQRT(VLOOKUP(O19,Lookup!$F$9:$H$18,3,FALSE)))*208/VLOOKUP(O19,Lookup!$F$9:$H$18,3,FALSE)))</f>
        <v>46.510213931995629</v>
      </c>
      <c r="L19" s="185" t="str">
        <f t="shared" si="0"/>
        <v>Assume length 1 side of square field (208'/Ac)</v>
      </c>
      <c r="M19" s="184">
        <v>0</v>
      </c>
      <c r="N19" s="186">
        <f>IF(G19=1,H19,PMT(Lookup!$G$4,G19,-H19)+(H19*J19)+(M19*P19))*K19</f>
        <v>670.83311483503667</v>
      </c>
      <c r="O19" s="187" t="s">
        <v>2225</v>
      </c>
      <c r="P19" s="186">
        <f>VLOOKUP($O19,Lookup!$F$9:$I$18,4,FALSE)</f>
        <v>100</v>
      </c>
      <c r="Q19" s="184">
        <v>0</v>
      </c>
      <c r="R19" s="183">
        <v>200</v>
      </c>
      <c r="S19" s="188" t="s">
        <v>3585</v>
      </c>
      <c r="T19" s="186">
        <f t="shared" si="2"/>
        <v>200</v>
      </c>
      <c r="U19" s="189">
        <f t="shared" si="3"/>
        <v>0.29813674306937221</v>
      </c>
      <c r="V19" s="189">
        <f t="shared" si="1"/>
        <v>0</v>
      </c>
      <c r="W19" s="190">
        <f>IF(P19=0,0,IF(Q19+R19=0,0,PV(Lookup!$G$4,G19,-T19)/H19))</f>
        <v>19.187688358582076</v>
      </c>
      <c r="X19" s="190">
        <f>IF(I19=0,0,PMT(Lookup!$G$4,G19,-(H19*I19*K19))/P19)</f>
        <v>0</v>
      </c>
      <c r="Y19" s="42" t="s">
        <v>963</v>
      </c>
      <c r="Z19" s="192">
        <f>VLOOKUP(Y19,Lookup!$B$4:$C$14,2,FALSE)</f>
        <v>2</v>
      </c>
      <c r="AA19" s="281" t="s">
        <v>1855</v>
      </c>
      <c r="AB19" s="282" t="s">
        <v>1072</v>
      </c>
      <c r="AC19" s="181" t="str">
        <f>VLOOKUP(AD19,Lookup!$C$4:$D$14,2,FALSE)</f>
        <v>Slight to Moderate Worsening</v>
      </c>
      <c r="AD19" s="193">
        <f>IF(P19/H19&lt;Lookup!$F$33,-5,IF(P19/H19&lt;Lookup!$F$32,-4,IF(P19/H19&lt;Lookup!$F$31,-3,IF(P19/H19&lt;Lookup!$F$30,-2,IF(P19/H19&lt;Lookup!$F$29,-1,-5)))))</f>
        <v>-2</v>
      </c>
      <c r="AE19" s="194" t="str">
        <f>VLOOKUP(AD19,Lookup!$G$28:$J$33,2,FALSE)</f>
        <v>One-time practice implementation cost 5 to 100% of enterprise annual net income</v>
      </c>
      <c r="AF19" s="281" t="s">
        <v>1854</v>
      </c>
      <c r="AG19" s="181" t="str">
        <f>VLOOKUP(AH19,Lookup!$C$4:$D$14,2,FALSE)</f>
        <v>Substantial Worsening</v>
      </c>
      <c r="AH19" s="193">
        <f>IF(J19&gt;Lookup!$F$43,-5,IF(J19&gt;Lookup!$F$42,-4,IF(J19&gt;Lookup!$F$41,-3,IF(J19&gt;Lookup!$F$40,-2,IF(J19&gt;Lookup!$F$39,-1,0)))))</f>
        <v>-5</v>
      </c>
      <c r="AI19" s="194" t="str">
        <f>VLOOKUP(AH19,Lookup!$G$38:$J$43,2,FALSE)</f>
        <v>Annual O&amp;M costs greater than 4% of total installation costs</v>
      </c>
      <c r="AJ19" s="281" t="s">
        <v>3008</v>
      </c>
      <c r="AK19" s="181" t="str">
        <f>VLOOKUP(AL19,Lookup!$C$4:$D$14,2,FALSE)</f>
        <v>Slight to Moderate Worsening</v>
      </c>
      <c r="AL19" s="346">
        <f>IF(N19=0,0,IF(U19&lt;Lookup!$F$58,-5,IF(U19&lt;Lookup!$F$57,-4,IF(U19&lt;Lookup!$F$56,-3,IF(U19&lt;Lookup!$F$55,-2,IF(U19&lt;Lookup!$F$54,-1,IF(U19&lt;Lookup!$F$53,0,IF(U19&lt;Lookup!$F$52,1,IF(U19&lt;Lookup!$F$51,2,IF(U19&lt;Lookup!$F$50,3,IF(U19&lt;Lookup!$F$49,4,5)))))))))))</f>
        <v>-2</v>
      </c>
      <c r="AM19" s="194" t="str">
        <f>VLOOKUP(AL19,Lookup!$G$48:$J$58,2,FALSE)</f>
        <v>B/C Ratio .25 to .50</v>
      </c>
      <c r="AN19" s="281" t="s">
        <v>3035</v>
      </c>
      <c r="AO19" s="181" t="str">
        <f>VLOOKUP(AP19,Lookup!$C$4:$D$14,2,FALSE)</f>
        <v>No Effect</v>
      </c>
      <c r="AP19" s="193">
        <f>IF(Q19=0,0,IF(Q19&gt;Lookup!$F$63,5,IF(Q19&gt;Lookup!$F$64,4,IF(Q19&gt;Lookup!$F$65,3,IF(Q19&gt;Lookup!$F$66,2,IF(Q19&gt;Lookup!$F$67,1,IF(Q19&gt;Lookup!$F$69,-1,IF(Q19&gt;Lookup!$F$70,-2,IF(Q19&gt;Lookup!$F$71,-3,IF(Q19&gt;Lookup!$F$72,-4,-5))))))))))</f>
        <v>0</v>
      </c>
      <c r="AQ19" s="194" t="str">
        <f>VLOOKUP(AP19,Lookup!$G$63:$J$73,2,FALSE)</f>
        <v>No change in yield</v>
      </c>
      <c r="AR19" s="281" t="s">
        <v>3081</v>
      </c>
      <c r="AS19" s="181" t="str">
        <f>VLOOKUP(AT19,Lookup!$C$4:$D$14,2,FALSE)</f>
        <v>No Effect</v>
      </c>
      <c r="AT19" s="193">
        <f>IF(V19=0,0,IF(V19&lt;Lookup!$F$79,5,IF(V19&lt;Lookup!$F$80,4,IF(V19&lt;Lookup!$F$81,3,IF(V19&lt;Lookup!$F$82,2,IF(V19&lt;Lookup!$F$83,1,IF(V19&lt;Lookup!$F$85,-1,IF(V19&lt;Lookup!$F$86,-2,IF(V19&lt;Lookup!$F$87,-3,IF(V19&lt;Lookup!$F$88,-4,-5))))))))))</f>
        <v>0</v>
      </c>
      <c r="AU19" s="194" t="str">
        <f>VLOOKUP(AT19,Lookup!$G$79:$J$89,2,FALSE)</f>
        <v>No breakeven</v>
      </c>
      <c r="AV19" s="345" t="str">
        <f>VLOOKUP(AT19,Lookup!$G$79:$J$89,4,FALSE)</f>
        <v>Annual costs greater than annual benefits</v>
      </c>
      <c r="AW19" s="181" t="str">
        <f>VLOOKUP(AX19,Lookup!$C$4:$D$14,2,FALSE)</f>
        <v>No Effect</v>
      </c>
      <c r="AX19" s="193">
        <f>VLOOKUP(AY19,Lookup!$G$92:$J$97,4,FALSE)</f>
        <v>0</v>
      </c>
      <c r="AY19" s="181" t="s">
        <v>2642</v>
      </c>
      <c r="AZ19" s="281" t="s">
        <v>3154</v>
      </c>
      <c r="BA19" s="181" t="str">
        <f>VLOOKUP(BB19,Lookup!$C$4:$D$14,2,FALSE)</f>
        <v>No Effect</v>
      </c>
      <c r="BB19" s="193">
        <f>VLOOKUP(BC19,Lookup!$G$100:$K$110,5,FALSE)</f>
        <v>0</v>
      </c>
      <c r="BC19" s="181" t="s">
        <v>2643</v>
      </c>
      <c r="BD19" s="281" t="s">
        <v>3187</v>
      </c>
      <c r="BE19" s="181" t="str">
        <f>VLOOKUP(BF19,Lookup!$C$4:$D$14,2,FALSE)</f>
        <v>No Effect</v>
      </c>
      <c r="BF19" s="193">
        <f>IF(X19=0,0,IF(X19&gt;Lookup!$F$113,-5,IF(X19&gt;Lookup!$F$114,-4,IF(X19&gt;Lookup!$F$115,-3,IF(X19&gt;Lookup!$F$116,-2,IF(X19&gt;Lookup!$F$117,-1,0))))))</f>
        <v>0</v>
      </c>
      <c r="BG19" s="195" t="str">
        <f>VLOOKUP(BF19,Lookup!$G$113:$H$118,2,FALSE)</f>
        <v>No change in on-farm equipment</v>
      </c>
      <c r="BH19" s="281" t="s">
        <v>3230</v>
      </c>
      <c r="BI19" s="181" t="str">
        <f>VLOOKUP(BJ19,Lookup!$C$4:$D$14,2,FALSE)</f>
        <v>Slight Improvement</v>
      </c>
      <c r="BJ19" s="193">
        <f>VLOOKUP(BK19,Lookup!$G$121:$L$131,6,FALSE)</f>
        <v>1</v>
      </c>
      <c r="BK19" s="181" t="s">
        <v>2638</v>
      </c>
      <c r="BL19" s="281" t="s">
        <v>3259</v>
      </c>
      <c r="BM19" s="181" t="str">
        <f>VLOOKUP(BN19,Lookup!$C$4:$D$14,2,FALSE)</f>
        <v>Slight Improvement</v>
      </c>
      <c r="BN19" s="193">
        <f>VLOOKUP(BO19,Lookup!$G$134:$L$144,6,FALSE)</f>
        <v>1</v>
      </c>
      <c r="BO19" s="181" t="s">
        <v>3370</v>
      </c>
      <c r="BP19" s="281" t="s">
        <v>3378</v>
      </c>
      <c r="BQ19" s="181" t="str">
        <f>VLOOKUP(BR19,Lookup!$C$4:$D$14,2,FALSE)</f>
        <v>Slight to Moderate Improvement</v>
      </c>
      <c r="BR19" s="193">
        <f>VLOOKUP(BS19,Lookup!$G$147:$L$157,6,FALSE)</f>
        <v>2</v>
      </c>
      <c r="BS19" s="181" t="s">
        <v>2641</v>
      </c>
      <c r="BT19" s="281" t="s">
        <v>3437</v>
      </c>
      <c r="BU19" s="175" t="s">
        <v>2231</v>
      </c>
    </row>
    <row r="20" spans="1:73" ht="39.950000000000003" customHeight="1" thickBot="1" x14ac:dyDescent="0.25">
      <c r="A20" s="173">
        <f t="shared" si="4"/>
        <v>18</v>
      </c>
      <c r="B20" s="178" t="s">
        <v>610</v>
      </c>
      <c r="C20" s="179" t="s">
        <v>1474</v>
      </c>
      <c r="D20" s="180">
        <v>326</v>
      </c>
      <c r="E20" s="180" t="s">
        <v>1944</v>
      </c>
      <c r="F20" s="273" t="str">
        <f>VLOOKUP($D20,'Practice Descriptions'!$E$11:$F$186,2,FALSE)</f>
        <v>Removal of vegetation along the bank (clearing) and/or selective removal of snags, drifts, or other obstructions (snagging) from natural or improved channels and streams</v>
      </c>
      <c r="G20" s="182">
        <v>5</v>
      </c>
      <c r="H20" s="183">
        <v>100</v>
      </c>
      <c r="I20" s="184">
        <v>0</v>
      </c>
      <c r="J20" s="184">
        <v>0.05</v>
      </c>
      <c r="K20" s="419">
        <f>IF(E20="No.",1,IF(E20="Ac.",1,(SQRT(VLOOKUP(O20,Lookup!$F$9:$H$18,3,FALSE)))*208/VLOOKUP(O20,Lookup!$F$9:$H$18,3,FALSE)))</f>
        <v>46.510213931995629</v>
      </c>
      <c r="L20" s="185" t="str">
        <f t="shared" si="0"/>
        <v>Assume length 1 side of square field (208'/Ac)</v>
      </c>
      <c r="M20" s="184">
        <v>0</v>
      </c>
      <c r="N20" s="186">
        <f>IF(G20=1,H20,PMT(Lookup!$G$4,G20,-H20)+(H20*J20)+(M20*P20))*K20</f>
        <v>1310.5344890096792</v>
      </c>
      <c r="O20" s="187" t="s">
        <v>2225</v>
      </c>
      <c r="P20" s="186">
        <f>VLOOKUP($O20,Lookup!$F$9:$I$18,4,FALSE)</f>
        <v>100</v>
      </c>
      <c r="Q20" s="184">
        <v>0</v>
      </c>
      <c r="R20" s="183">
        <v>200</v>
      </c>
      <c r="S20" s="188" t="s">
        <v>3585</v>
      </c>
      <c r="T20" s="186">
        <f t="shared" si="2"/>
        <v>200</v>
      </c>
      <c r="U20" s="189">
        <f t="shared" si="3"/>
        <v>0.1526094900036796</v>
      </c>
      <c r="V20" s="189">
        <f t="shared" si="1"/>
        <v>0</v>
      </c>
      <c r="W20" s="190">
        <f>IF(P20=0,0,IF(Q20+R20=0,0,PV(Lookup!$G$4,G20,-T20)/H20))</f>
        <v>8.6291149004969228</v>
      </c>
      <c r="X20" s="190">
        <f>IF(I20=0,0,PMT(Lookup!$G$4,G20,-(H20*I20*K20))/P20)</f>
        <v>0</v>
      </c>
      <c r="Y20" s="42" t="s">
        <v>963</v>
      </c>
      <c r="Z20" s="192">
        <f>VLOOKUP(Y20,Lookup!$B$4:$C$14,2,FALSE)</f>
        <v>2</v>
      </c>
      <c r="AA20" s="281" t="s">
        <v>1858</v>
      </c>
      <c r="AB20" s="282" t="s">
        <v>1072</v>
      </c>
      <c r="AC20" s="181" t="str">
        <f>VLOOKUP(AD20,Lookup!$C$4:$D$14,2,FALSE)</f>
        <v>Slight to Moderate Worsening</v>
      </c>
      <c r="AD20" s="193">
        <f>IF(P20/H20&lt;Lookup!$F$33,-5,IF(P20/H20&lt;Lookup!$F$32,-4,IF(P20/H20&lt;Lookup!$F$31,-3,IF(P20/H20&lt;Lookup!$F$30,-2,IF(P20/H20&lt;Lookup!$F$29,-1,-5)))))</f>
        <v>-2</v>
      </c>
      <c r="AE20" s="194" t="str">
        <f>VLOOKUP(AD20,Lookup!$G$28:$J$33,2,FALSE)</f>
        <v>One-time practice implementation cost 5 to 100% of enterprise annual net income</v>
      </c>
      <c r="AF20" s="281" t="s">
        <v>1854</v>
      </c>
      <c r="AG20" s="181" t="str">
        <f>VLOOKUP(AH20,Lookup!$C$4:$D$14,2,FALSE)</f>
        <v>Substantial Worsening</v>
      </c>
      <c r="AH20" s="193">
        <f>IF(J20&gt;Lookup!$F$43,-5,IF(J20&gt;Lookup!$F$42,-4,IF(J20&gt;Lookup!$F$41,-3,IF(J20&gt;Lookup!$F$40,-2,IF(J20&gt;Lookup!$F$39,-1,0)))))</f>
        <v>-5</v>
      </c>
      <c r="AI20" s="194" t="str">
        <f>VLOOKUP(AH20,Lookup!$G$38:$J$43,2,FALSE)</f>
        <v>Annual O&amp;M costs greater than 4% of total installation costs</v>
      </c>
      <c r="AJ20" s="281" t="s">
        <v>3008</v>
      </c>
      <c r="AK20" s="181" t="str">
        <f>VLOOKUP(AL20,Lookup!$C$4:$D$14,2,FALSE)</f>
        <v>Moderate Worsening</v>
      </c>
      <c r="AL20" s="346">
        <f>IF(N20=0,0,IF(U20&lt;Lookup!$F$58,-5,IF(U20&lt;Lookup!$F$57,-4,IF(U20&lt;Lookup!$F$56,-3,IF(U20&lt;Lookup!$F$55,-2,IF(U20&lt;Lookup!$F$54,-1,IF(U20&lt;Lookup!$F$53,0,IF(U20&lt;Lookup!$F$52,1,IF(U20&lt;Lookup!$F$51,2,IF(U20&lt;Lookup!$F$50,3,IF(U20&lt;Lookup!$F$49,4,5)))))))))))</f>
        <v>-3</v>
      </c>
      <c r="AM20" s="194" t="str">
        <f>VLOOKUP(AL20,Lookup!$G$48:$J$58,2,FALSE)</f>
        <v>B/C Ratio .10 to .25</v>
      </c>
      <c r="AN20" s="281" t="s">
        <v>3035</v>
      </c>
      <c r="AO20" s="181" t="str">
        <f>VLOOKUP(AP20,Lookup!$C$4:$D$14,2,FALSE)</f>
        <v>No Effect</v>
      </c>
      <c r="AP20" s="193">
        <f>IF(Q20=0,0,IF(Q20&gt;Lookup!$F$63,5,IF(Q20&gt;Lookup!$F$64,4,IF(Q20&gt;Lookup!$F$65,3,IF(Q20&gt;Lookup!$F$66,2,IF(Q20&gt;Lookup!$F$67,1,IF(Q20&gt;Lookup!$F$69,-1,IF(Q20&gt;Lookup!$F$70,-2,IF(Q20&gt;Lookup!$F$71,-3,IF(Q20&gt;Lookup!$F$72,-4,-5))))))))))</f>
        <v>0</v>
      </c>
      <c r="AQ20" s="194" t="str">
        <f>VLOOKUP(AP20,Lookup!$G$63:$J$73,2,FALSE)</f>
        <v>No change in yield</v>
      </c>
      <c r="AR20" s="281" t="s">
        <v>3081</v>
      </c>
      <c r="AS20" s="181" t="str">
        <f>VLOOKUP(AT20,Lookup!$C$4:$D$14,2,FALSE)</f>
        <v>No Effect</v>
      </c>
      <c r="AT20" s="193">
        <f>IF(V20=0,0,IF(V20&lt;Lookup!$F$79,5,IF(V20&lt;Lookup!$F$80,4,IF(V20&lt;Lookup!$F$81,3,IF(V20&lt;Lookup!$F$82,2,IF(V20&lt;Lookup!$F$83,1,IF(V20&lt;Lookup!$F$85,-1,IF(V20&lt;Lookup!$F$86,-2,IF(V20&lt;Lookup!$F$87,-3,IF(V20&lt;Lookup!$F$88,-4,-5))))))))))</f>
        <v>0</v>
      </c>
      <c r="AU20" s="194" t="str">
        <f>VLOOKUP(AT20,Lookup!$G$79:$J$89,2,FALSE)</f>
        <v>No breakeven</v>
      </c>
      <c r="AV20" s="345" t="str">
        <f>VLOOKUP(AT20,Lookup!$G$79:$J$89,4,FALSE)</f>
        <v>Annual costs greater than annual benefits</v>
      </c>
      <c r="AW20" s="181" t="str">
        <f>VLOOKUP(AX20,Lookup!$C$4:$D$14,2,FALSE)</f>
        <v>No Effect</v>
      </c>
      <c r="AX20" s="193">
        <f>VLOOKUP(AY20,Lookup!$G$92:$J$97,4,FALSE)</f>
        <v>0</v>
      </c>
      <c r="AY20" s="181" t="s">
        <v>2642</v>
      </c>
      <c r="AZ20" s="281" t="s">
        <v>3154</v>
      </c>
      <c r="BA20" s="181" t="str">
        <f>VLOOKUP(BB20,Lookup!$C$4:$D$14,2,FALSE)</f>
        <v>No Effect</v>
      </c>
      <c r="BB20" s="193">
        <f>VLOOKUP(BC20,Lookup!$G$100:$K$110,5,FALSE)</f>
        <v>0</v>
      </c>
      <c r="BC20" s="181" t="s">
        <v>2643</v>
      </c>
      <c r="BD20" s="281" t="s">
        <v>3154</v>
      </c>
      <c r="BE20" s="181" t="str">
        <f>VLOOKUP(BF20,Lookup!$C$4:$D$14,2,FALSE)</f>
        <v>No Effect</v>
      </c>
      <c r="BF20" s="193">
        <f>IF(X20=0,0,IF(X20&gt;Lookup!$F$113,-5,IF(X20&gt;Lookup!$F$114,-4,IF(X20&gt;Lookup!$F$115,-3,IF(X20&gt;Lookup!$F$116,-2,IF(X20&gt;Lookup!$F$117,-1,0))))))</f>
        <v>0</v>
      </c>
      <c r="BG20" s="195" t="str">
        <f>VLOOKUP(BF20,Lookup!$G$113:$H$118,2,FALSE)</f>
        <v>No change in on-farm equipment</v>
      </c>
      <c r="BH20" s="281" t="s">
        <v>3230</v>
      </c>
      <c r="BI20" s="181" t="str">
        <f>VLOOKUP(BJ20,Lookup!$C$4:$D$14,2,FALSE)</f>
        <v>Slight Improvement</v>
      </c>
      <c r="BJ20" s="193">
        <f>VLOOKUP(BK20,Lookup!$G$121:$L$131,6,FALSE)</f>
        <v>1</v>
      </c>
      <c r="BK20" s="181" t="s">
        <v>2638</v>
      </c>
      <c r="BL20" s="281" t="s">
        <v>3263</v>
      </c>
      <c r="BM20" s="181" t="str">
        <f>VLOOKUP(BN20,Lookup!$C$4:$D$14,2,FALSE)</f>
        <v>Slight Improvement</v>
      </c>
      <c r="BN20" s="193">
        <f>VLOOKUP(BO20,Lookup!$G$134:$L$144,6,FALSE)</f>
        <v>1</v>
      </c>
      <c r="BO20" s="181" t="s">
        <v>3370</v>
      </c>
      <c r="BP20" s="281" t="s">
        <v>3378</v>
      </c>
      <c r="BQ20" s="181" t="str">
        <f>VLOOKUP(BR20,Lookup!$C$4:$D$14,2,FALSE)</f>
        <v>Slight to Moderate Improvement</v>
      </c>
      <c r="BR20" s="193">
        <f>VLOOKUP(BS20,Lookup!$G$147:$L$157,6,FALSE)</f>
        <v>2</v>
      </c>
      <c r="BS20" s="181" t="s">
        <v>2641</v>
      </c>
      <c r="BT20" s="281" t="s">
        <v>3438</v>
      </c>
      <c r="BU20" s="175" t="s">
        <v>2231</v>
      </c>
    </row>
    <row r="21" spans="1:73" ht="39.950000000000003" customHeight="1" thickBot="1" x14ac:dyDescent="0.25">
      <c r="A21" s="173">
        <f t="shared" si="4"/>
        <v>19</v>
      </c>
      <c r="B21" s="178" t="s">
        <v>1775</v>
      </c>
      <c r="C21" s="179" t="s">
        <v>2057</v>
      </c>
      <c r="D21" s="180">
        <v>372</v>
      </c>
      <c r="E21" s="180" t="s">
        <v>3647</v>
      </c>
      <c r="F21" s="273" t="str">
        <f>VLOOKUP($D21,'Practice Descriptions'!$E$11:$F$186,2,FALSE)</f>
        <v>Installing, replacing, or retrofitting agricultural combustion systems and/or related components or devices for air quality and energy efficiency improvement.</v>
      </c>
      <c r="G21" s="182">
        <v>10</v>
      </c>
      <c r="H21" s="183">
        <v>10000</v>
      </c>
      <c r="I21" s="184">
        <v>1</v>
      </c>
      <c r="J21" s="184">
        <v>0.02</v>
      </c>
      <c r="K21" s="419">
        <f>IF(E21="No.",1,IF(E21="Ac.",1,(SQRT(VLOOKUP(O21,Lookup!$F$9:$H$18,3,FALSE)))*208/VLOOKUP(O21,Lookup!$F$9:$H$18,3,FALSE)))</f>
        <v>1</v>
      </c>
      <c r="L21" s="185" t="str">
        <f t="shared" si="0"/>
        <v/>
      </c>
      <c r="M21" s="184">
        <v>0</v>
      </c>
      <c r="N21" s="186">
        <f>IF(G21=1,H21,PMT(Lookup!$G$4,G21,-H21)+(H21*J21)+(M21*P21))*K21</f>
        <v>1502.9188056839719</v>
      </c>
      <c r="O21" s="187" t="s">
        <v>1110</v>
      </c>
      <c r="P21" s="186">
        <f>VLOOKUP($O21,Lookup!$F$9:$I$18,4,FALSE)</f>
        <v>300</v>
      </c>
      <c r="Q21" s="184">
        <v>0</v>
      </c>
      <c r="R21" s="183">
        <v>3</v>
      </c>
      <c r="S21" s="188" t="s">
        <v>2655</v>
      </c>
      <c r="T21" s="186">
        <f t="shared" si="2"/>
        <v>3</v>
      </c>
      <c r="U21" s="189">
        <f t="shared" si="3"/>
        <v>1.9961158172045849E-3</v>
      </c>
      <c r="V21" s="189">
        <f t="shared" si="1"/>
        <v>0</v>
      </c>
      <c r="W21" s="190">
        <f>IF(P21=0,0,IF(Q21+R21=0,0,PV(Lookup!$G$4,G21,-T21)/H21))</f>
        <v>2.3025226030298491E-3</v>
      </c>
      <c r="X21" s="190">
        <f>IF(I21=0,0,PMT(Lookup!$G$4,G21,-(H21*I21*K21))/P21)</f>
        <v>4.3430626856132397</v>
      </c>
      <c r="Y21" s="42" t="s">
        <v>986</v>
      </c>
      <c r="Z21" s="192">
        <f>VLOOKUP(Y21,Lookup!$B$4:$C$14,2,FALSE)</f>
        <v>0</v>
      </c>
      <c r="AA21" s="281" t="s">
        <v>2759</v>
      </c>
      <c r="AB21" s="282" t="s">
        <v>1072</v>
      </c>
      <c r="AC21" s="181" t="str">
        <f>VLOOKUP(AD21,Lookup!$C$4:$D$14,2,FALSE)</f>
        <v>Substantial Worsening</v>
      </c>
      <c r="AD21" s="193">
        <f>IF(P21/H21&lt;Lookup!$F$33,-5,IF(P21/H21&lt;Lookup!$F$32,-4,IF(P21/H21&lt;Lookup!$F$31,-3,IF(P21/H21&lt;Lookup!$F$30,-2,IF(P21/H21&lt;Lookup!$F$29,-1,-5)))))</f>
        <v>-5</v>
      </c>
      <c r="AE21" s="194" t="str">
        <f>VLOOKUP(AD21,Lookup!$G$28:$J$33,2,FALSE)</f>
        <v>One-time practice implementation cost 5 times or greater enterprise annual net income</v>
      </c>
      <c r="AF21" s="281" t="s">
        <v>1847</v>
      </c>
      <c r="AG21" s="181" t="str">
        <f>VLOOKUP(AH21,Lookup!$C$4:$D$14,2,FALSE)</f>
        <v>Slight to Moderate Worsening</v>
      </c>
      <c r="AH21" s="193">
        <f>IF(J21&gt;Lookup!$F$43,-5,IF(J21&gt;Lookup!$F$42,-4,IF(J21&gt;Lookup!$F$41,-3,IF(J21&gt;Lookup!$F$40,-2,IF(J21&gt;Lookup!$F$39,-1,0)))))</f>
        <v>-2</v>
      </c>
      <c r="AI21" s="194" t="str">
        <f>VLOOKUP(AH21,Lookup!$G$38:$J$43,2,FALSE)</f>
        <v>Annual O&amp;M costs 1 to 2% of total installation costs</v>
      </c>
      <c r="AJ21" s="281" t="s">
        <v>3009</v>
      </c>
      <c r="AK21" s="181" t="str">
        <f>VLOOKUP(AL21,Lookup!$C$4:$D$14,2,FALSE)</f>
        <v>Substantial Worsening</v>
      </c>
      <c r="AL21" s="346">
        <f>IF(N21=0,0,IF(U21&lt;Lookup!$F$58,-5,IF(U21&lt;Lookup!$F$57,-4,IF(U21&lt;Lookup!$F$56,-3,IF(U21&lt;Lookup!$F$55,-2,IF(U21&lt;Lookup!$F$54,-1,IF(U21&lt;Lookup!$F$53,0,IF(U21&lt;Lookup!$F$52,1,IF(U21&lt;Lookup!$F$51,2,IF(U21&lt;Lookup!$F$50,3,IF(U21&lt;Lookup!$F$49,4,5)))))))))))</f>
        <v>-5</v>
      </c>
      <c r="AM21" s="194" t="str">
        <f>VLOOKUP(AL21,Lookup!$G$48:$J$58,2,FALSE)</f>
        <v>B/C Ratio less than .02</v>
      </c>
      <c r="AN21" s="281" t="s">
        <v>3021</v>
      </c>
      <c r="AO21" s="181" t="str">
        <f>VLOOKUP(AP21,Lookup!$C$4:$D$14,2,FALSE)</f>
        <v>No Effect</v>
      </c>
      <c r="AP21" s="193">
        <f>IF(Q21=0,0,IF(Q21&gt;Lookup!$F$63,5,IF(Q21&gt;Lookup!$F$64,4,IF(Q21&gt;Lookup!$F$65,3,IF(Q21&gt;Lookup!$F$66,2,IF(Q21&gt;Lookup!$F$67,1,IF(Q21&gt;Lookup!$F$69,-1,IF(Q21&gt;Lookup!$F$70,-2,IF(Q21&gt;Lookup!$F$71,-3,IF(Q21&gt;Lookup!$F$72,-4,-5))))))))))</f>
        <v>0</v>
      </c>
      <c r="AQ21" s="194" t="str">
        <f>VLOOKUP(AP21,Lookup!$G$63:$J$73,2,FALSE)</f>
        <v>No change in yield</v>
      </c>
      <c r="AR21" s="281" t="s">
        <v>3081</v>
      </c>
      <c r="AS21" s="181" t="str">
        <f>VLOOKUP(AT21,Lookup!$C$4:$D$14,2,FALSE)</f>
        <v>No Effect</v>
      </c>
      <c r="AT21" s="193">
        <f>IF(V21=0,0,IF(V21&lt;Lookup!$F$79,5,IF(V21&lt;Lookup!$F$80,4,IF(V21&lt;Lookup!$F$81,3,IF(V21&lt;Lookup!$F$82,2,IF(V21&lt;Lookup!$F$83,1,IF(V21&lt;Lookup!$F$85,-1,IF(V21&lt;Lookup!$F$86,-2,IF(V21&lt;Lookup!$F$87,-3,IF(V21&lt;Lookup!$F$88,-4,-5))))))))))</f>
        <v>0</v>
      </c>
      <c r="AU21" s="194" t="str">
        <f>VLOOKUP(AT21,Lookup!$G$79:$J$89,2,FALSE)</f>
        <v>No breakeven</v>
      </c>
      <c r="AV21" s="345" t="str">
        <f>VLOOKUP(AT21,Lookup!$G$79:$J$89,4,FALSE)</f>
        <v>Annual costs greater than annual benefits</v>
      </c>
      <c r="AW21" s="181" t="str">
        <f>VLOOKUP(AX21,Lookup!$C$4:$D$14,2,FALSE)</f>
        <v>No Effect</v>
      </c>
      <c r="AX21" s="193">
        <f>VLOOKUP(AY21,Lookup!$G$92:$J$97,4,FALSE)</f>
        <v>0</v>
      </c>
      <c r="AY21" s="181" t="s">
        <v>2642</v>
      </c>
      <c r="AZ21" s="281" t="s">
        <v>3154</v>
      </c>
      <c r="BA21" s="181" t="str">
        <f>VLOOKUP(BB21,Lookup!$C$4:$D$14,2,FALSE)</f>
        <v>No Effect</v>
      </c>
      <c r="BB21" s="193">
        <f>VLOOKUP(BC21,Lookup!$G$100:$K$110,5,FALSE)</f>
        <v>0</v>
      </c>
      <c r="BC21" s="181" t="s">
        <v>2643</v>
      </c>
      <c r="BD21" s="281" t="s">
        <v>3154</v>
      </c>
      <c r="BE21" s="181" t="str">
        <f>VLOOKUP(BF21,Lookup!$C$4:$D$14,2,FALSE)</f>
        <v>Substantial Worsening</v>
      </c>
      <c r="BF21" s="193">
        <f>IF(X21=0,0,IF(X21&gt;Lookup!$F$113,-5,IF(X21&gt;Lookup!$F$114,-4,IF(X21&gt;Lookup!$F$115,-3,IF(X21&gt;Lookup!$F$116,-2,IF(X21&gt;Lookup!$F$117,-1,0))))))</f>
        <v>-5</v>
      </c>
      <c r="BG21" s="195" t="str">
        <f>VLOOKUP(BF21,Lookup!$G$113:$H$118,2,FALSE)</f>
        <v>Annual on-farm equipment costs 75% or greater of enterprise annual net income</v>
      </c>
      <c r="BH21" s="281" t="s">
        <v>3247</v>
      </c>
      <c r="BI21" s="181" t="str">
        <f>VLOOKUP(BJ21,Lookup!$C$4:$D$14,2,FALSE)</f>
        <v>No Effect</v>
      </c>
      <c r="BJ21" s="193">
        <f>VLOOKUP(BK21,Lookup!$G$121:$L$131,6,FALSE)</f>
        <v>0</v>
      </c>
      <c r="BK21" s="181" t="s">
        <v>2656</v>
      </c>
      <c r="BL21" s="281" t="s">
        <v>3154</v>
      </c>
      <c r="BM21" s="181" t="str">
        <f>VLOOKUP(BN21,Lookup!$C$4:$D$14,2,FALSE)</f>
        <v>No Effect</v>
      </c>
      <c r="BN21" s="193">
        <f>VLOOKUP(BO21,Lookup!$G$134:$L$144,6,FALSE)</f>
        <v>0</v>
      </c>
      <c r="BO21" s="181" t="s">
        <v>2646</v>
      </c>
      <c r="BP21" s="281" t="s">
        <v>3154</v>
      </c>
      <c r="BQ21" s="181" t="str">
        <f>VLOOKUP(BR21,Lookup!$C$4:$D$14,2,FALSE)</f>
        <v>No Effect</v>
      </c>
      <c r="BR21" s="193">
        <f>VLOOKUP(BS21,Lookup!$G$147:$L$157,6,FALSE)</f>
        <v>0</v>
      </c>
      <c r="BS21" s="181" t="s">
        <v>2676</v>
      </c>
      <c r="BT21" s="281" t="s">
        <v>3154</v>
      </c>
      <c r="BU21" s="175" t="s">
        <v>2231</v>
      </c>
    </row>
    <row r="22" spans="1:73" ht="39.950000000000003" customHeight="1" thickBot="1" x14ac:dyDescent="0.25">
      <c r="A22" s="173">
        <f t="shared" si="4"/>
        <v>20</v>
      </c>
      <c r="B22" s="178" t="s">
        <v>611</v>
      </c>
      <c r="C22" s="179" t="s">
        <v>1461</v>
      </c>
      <c r="D22" s="180">
        <v>317</v>
      </c>
      <c r="E22" s="180" t="s">
        <v>3647</v>
      </c>
      <c r="F22" s="273" t="str">
        <f>VLOOKUP($D22,'Practice Descriptions'!$E$11:$F$186,2,FALSE)</f>
        <v>A structure or device to contain and facilitate the controlled aerobic decomposition of manure or other organic material by micro-organisms into a biologically stable organic material that is suitable for use as a soil amendment.</v>
      </c>
      <c r="G22" s="182">
        <v>15</v>
      </c>
      <c r="H22" s="183">
        <v>5000</v>
      </c>
      <c r="I22" s="184">
        <v>1</v>
      </c>
      <c r="J22" s="184">
        <v>0.02</v>
      </c>
      <c r="K22" s="419">
        <f>IF(E22="No.",1,IF(E22="Ac.",1,(SQRT(VLOOKUP(O22,Lookup!$F$9:$H$18,3,FALSE)))*208/VLOOKUP(O22,Lookup!$F$9:$H$18,3,FALSE)))</f>
        <v>1</v>
      </c>
      <c r="L22" s="185" t="str">
        <f t="shared" si="0"/>
        <v/>
      </c>
      <c r="M22" s="184">
        <v>0</v>
      </c>
      <c r="N22" s="186">
        <f>IF(G22=1,H22,PMT(Lookup!$G$4,G22,-H22)+(H22*J22)+(M22*P22))*K22</f>
        <v>585.79006132438803</v>
      </c>
      <c r="O22" s="187" t="s">
        <v>2221</v>
      </c>
      <c r="P22" s="186">
        <f>VLOOKUP($O22,Lookup!$F$9:$I$18,4,FALSE)</f>
        <v>1</v>
      </c>
      <c r="Q22" s="184">
        <v>0</v>
      </c>
      <c r="R22" s="183">
        <v>10</v>
      </c>
      <c r="S22" s="188" t="s">
        <v>3586</v>
      </c>
      <c r="T22" s="186">
        <f t="shared" si="2"/>
        <v>10</v>
      </c>
      <c r="U22" s="189">
        <f t="shared" si="3"/>
        <v>1.707096221023522E-2</v>
      </c>
      <c r="V22" s="189">
        <f t="shared" si="1"/>
        <v>0</v>
      </c>
      <c r="W22" s="190">
        <f>IF(P22=0,0,IF(Q22+R22=0,0,PV(Lookup!$G$4,G22,-T22)/H22))</f>
        <v>2.0585023853179382E-2</v>
      </c>
      <c r="X22" s="190">
        <f>IF(I22=0,0,PMT(Lookup!$G$4,G22,-(H22*I22*K22))/P22)</f>
        <v>485.79006132438803</v>
      </c>
      <c r="Y22" s="42" t="s">
        <v>963</v>
      </c>
      <c r="Z22" s="192">
        <f>VLOOKUP(Y22,Lookup!$B$4:$C$14,2,FALSE)</f>
        <v>2</v>
      </c>
      <c r="AA22" s="281" t="s">
        <v>1859</v>
      </c>
      <c r="AB22" s="282" t="s">
        <v>1072</v>
      </c>
      <c r="AC22" s="181" t="str">
        <f>VLOOKUP(AD22,Lookup!$C$4:$D$14,2,FALSE)</f>
        <v>Substantial Worsening</v>
      </c>
      <c r="AD22" s="193">
        <f>IF(P22/H22&lt;Lookup!$F$33,-5,IF(P22/H22&lt;Lookup!$F$32,-4,IF(P22/H22&lt;Lookup!$F$31,-3,IF(P22/H22&lt;Lookup!$F$30,-2,IF(P22/H22&lt;Lookup!$F$29,-1,-5)))))</f>
        <v>-5</v>
      </c>
      <c r="AE22" s="194" t="str">
        <f>VLOOKUP(AD22,Lookup!$G$28:$J$33,2,FALSE)</f>
        <v>One-time practice implementation cost 5 times or greater enterprise annual net income</v>
      </c>
      <c r="AF22" s="281" t="s">
        <v>1847</v>
      </c>
      <c r="AG22" s="181" t="str">
        <f>VLOOKUP(AH22,Lookup!$C$4:$D$14,2,FALSE)</f>
        <v>Slight to Moderate Worsening</v>
      </c>
      <c r="AH22" s="193">
        <f>IF(J22&gt;Lookup!$F$43,-5,IF(J22&gt;Lookup!$F$42,-4,IF(J22&gt;Lookup!$F$41,-3,IF(J22&gt;Lookup!$F$40,-2,IF(J22&gt;Lookup!$F$39,-1,0)))))</f>
        <v>-2</v>
      </c>
      <c r="AI22" s="194" t="str">
        <f>VLOOKUP(AH22,Lookup!$G$38:$J$43,2,FALSE)</f>
        <v>Annual O&amp;M costs 1 to 2% of total installation costs</v>
      </c>
      <c r="AJ22" s="281" t="s">
        <v>2987</v>
      </c>
      <c r="AK22" s="181" t="str">
        <f>VLOOKUP(AL22,Lookup!$C$4:$D$14,2,FALSE)</f>
        <v>Substantial Worsening</v>
      </c>
      <c r="AL22" s="346">
        <f>IF(N22=0,0,IF(U22&lt;Lookup!$F$58,-5,IF(U22&lt;Lookup!$F$57,-4,IF(U22&lt;Lookup!$F$56,-3,IF(U22&lt;Lookup!$F$55,-2,IF(U22&lt;Lookup!$F$54,-1,IF(U22&lt;Lookup!$F$53,0,IF(U22&lt;Lookup!$F$52,1,IF(U22&lt;Lookup!$F$51,2,IF(U22&lt;Lookup!$F$50,3,IF(U22&lt;Lookup!$F$49,4,5)))))))))))</f>
        <v>-5</v>
      </c>
      <c r="AM22" s="194" t="str">
        <f>VLOOKUP(AL22,Lookup!$G$48:$J$58,2,FALSE)</f>
        <v>B/C Ratio less than .02</v>
      </c>
      <c r="AN22" s="281" t="s">
        <v>3036</v>
      </c>
      <c r="AO22" s="181" t="str">
        <f>VLOOKUP(AP22,Lookup!$C$4:$D$14,2,FALSE)</f>
        <v>No Effect</v>
      </c>
      <c r="AP22" s="193">
        <f>IF(Q22=0,0,IF(Q22&gt;Lookup!$F$63,5,IF(Q22&gt;Lookup!$F$64,4,IF(Q22&gt;Lookup!$F$65,3,IF(Q22&gt;Lookup!$F$66,2,IF(Q22&gt;Lookup!$F$67,1,IF(Q22&gt;Lookup!$F$69,-1,IF(Q22&gt;Lookup!$F$70,-2,IF(Q22&gt;Lookup!$F$71,-3,IF(Q22&gt;Lookup!$F$72,-4,-5))))))))))</f>
        <v>0</v>
      </c>
      <c r="AQ22" s="194" t="str">
        <f>VLOOKUP(AP22,Lookup!$G$63:$J$73,2,FALSE)</f>
        <v>No change in yield</v>
      </c>
      <c r="AR22" s="281" t="s">
        <v>3081</v>
      </c>
      <c r="AS22" s="181" t="str">
        <f>VLOOKUP(AT22,Lookup!$C$4:$D$14,2,FALSE)</f>
        <v>No Effect</v>
      </c>
      <c r="AT22" s="193">
        <f>IF(V22=0,0,IF(V22&lt;Lookup!$F$79,5,IF(V22&lt;Lookup!$F$80,4,IF(V22&lt;Lookup!$F$81,3,IF(V22&lt;Lookup!$F$82,2,IF(V22&lt;Lookup!$F$83,1,IF(V22&lt;Lookup!$F$85,-1,IF(V22&lt;Lookup!$F$86,-2,IF(V22&lt;Lookup!$F$87,-3,IF(V22&lt;Lookup!$F$88,-4,-5))))))))))</f>
        <v>0</v>
      </c>
      <c r="AU22" s="194" t="str">
        <f>VLOOKUP(AT22,Lookup!$G$79:$J$89,2,FALSE)</f>
        <v>No breakeven</v>
      </c>
      <c r="AV22" s="345" t="str">
        <f>VLOOKUP(AT22,Lookup!$G$79:$J$89,4,FALSE)</f>
        <v>Annual costs greater than annual benefits</v>
      </c>
      <c r="AW22" s="181" t="str">
        <f>VLOOKUP(AX22,Lookup!$C$4:$D$14,2,FALSE)</f>
        <v>Slight Improvement</v>
      </c>
      <c r="AX22" s="193">
        <f>VLOOKUP(AY22,Lookup!$G$92:$J$97,4,FALSE)</f>
        <v>1</v>
      </c>
      <c r="AY22" s="181" t="s">
        <v>2636</v>
      </c>
      <c r="AZ22" s="281" t="s">
        <v>3162</v>
      </c>
      <c r="BA22" s="181" t="str">
        <f>VLOOKUP(BB22,Lookup!$C$4:$D$14,2,FALSE)</f>
        <v>Slight Worsening</v>
      </c>
      <c r="BB22" s="193">
        <f>VLOOKUP(BC22,Lookup!$G$100:$K$110,5,FALSE)</f>
        <v>-1</v>
      </c>
      <c r="BC22" s="181" t="s">
        <v>2637</v>
      </c>
      <c r="BD22" s="281" t="s">
        <v>3184</v>
      </c>
      <c r="BE22" s="181" t="str">
        <f>VLOOKUP(BF22,Lookup!$C$4:$D$14,2,FALSE)</f>
        <v>Substantial Worsening</v>
      </c>
      <c r="BF22" s="193">
        <f>IF(X22=0,0,IF(X22&gt;Lookup!$F$113,-5,IF(X22&gt;Lookup!$F$114,-4,IF(X22&gt;Lookup!$F$115,-3,IF(X22&gt;Lookup!$F$116,-2,IF(X22&gt;Lookup!$F$117,-1,0))))))</f>
        <v>-5</v>
      </c>
      <c r="BG22" s="195" t="str">
        <f>VLOOKUP(BF22,Lookup!$G$113:$H$118,2,FALSE)</f>
        <v>Annual on-farm equipment costs 75% or greater of enterprise annual net income</v>
      </c>
      <c r="BH22" s="281" t="s">
        <v>3525</v>
      </c>
      <c r="BI22" s="181" t="str">
        <f>VLOOKUP(BJ22,Lookup!$C$4:$D$14,2,FALSE)</f>
        <v>Slight to Moderate Worsening</v>
      </c>
      <c r="BJ22" s="193">
        <f>VLOOKUP(BK22,Lookup!$G$121:$L$131,6,FALSE)</f>
        <v>-2</v>
      </c>
      <c r="BK22" s="181" t="s">
        <v>2649</v>
      </c>
      <c r="BL22" s="281" t="s">
        <v>3257</v>
      </c>
      <c r="BM22" s="181" t="str">
        <f>VLOOKUP(BN22,Lookup!$C$4:$D$14,2,FALSE)</f>
        <v>Slight to Moderate Worsening</v>
      </c>
      <c r="BN22" s="193">
        <f>VLOOKUP(BO22,Lookup!$G$134:$L$144,6,FALSE)</f>
        <v>-2</v>
      </c>
      <c r="BO22" s="181" t="s">
        <v>3374</v>
      </c>
      <c r="BP22" s="281" t="s">
        <v>3376</v>
      </c>
      <c r="BQ22" s="181" t="str">
        <f>VLOOKUP(BR22,Lookup!$C$4:$D$14,2,FALSE)</f>
        <v>Slight to Moderate Improvement</v>
      </c>
      <c r="BR22" s="193">
        <f>VLOOKUP(BS22,Lookup!$G$147:$L$157,6,FALSE)</f>
        <v>2</v>
      </c>
      <c r="BS22" s="181" t="s">
        <v>2641</v>
      </c>
      <c r="BT22" s="281" t="s">
        <v>3433</v>
      </c>
      <c r="BU22" s="175" t="s">
        <v>2231</v>
      </c>
    </row>
    <row r="23" spans="1:73" ht="39.950000000000003" customHeight="1" thickBot="1" x14ac:dyDescent="0.25">
      <c r="A23" s="173">
        <f t="shared" si="4"/>
        <v>21</v>
      </c>
      <c r="B23" s="178" t="s">
        <v>612</v>
      </c>
      <c r="C23" s="179" t="s">
        <v>1605</v>
      </c>
      <c r="D23" s="180">
        <v>327</v>
      </c>
      <c r="E23" s="180" t="s">
        <v>3646</v>
      </c>
      <c r="F23" s="273" t="str">
        <f>VLOOKUP($D23,'Practice Descriptions'!$E$11:$F$186,2,FALSE)</f>
        <v>Establishing and maintaining permanent vegetative cover</v>
      </c>
      <c r="G23" s="182">
        <v>3</v>
      </c>
      <c r="H23" s="183">
        <v>75</v>
      </c>
      <c r="I23" s="184">
        <v>0</v>
      </c>
      <c r="J23" s="184">
        <v>0.03</v>
      </c>
      <c r="K23" s="419">
        <f>IF(E23="No.",1,IF(E23="Ac.",1,(SQRT(VLOOKUP(O23,Lookup!$F$9:$H$18,3,FALSE)))*208/VLOOKUP(O23,Lookup!$F$9:$H$18,3,FALSE)))</f>
        <v>1</v>
      </c>
      <c r="L23" s="185" t="str">
        <f t="shared" si="0"/>
        <v/>
      </c>
      <c r="M23" s="184">
        <v>0.8</v>
      </c>
      <c r="N23" s="186">
        <f>IF(G23=1,H23,PMT(Lookup!$G$4,G23,-H23)+(H23*J23)+(M23*P23))*K23</f>
        <v>269.85517342807043</v>
      </c>
      <c r="O23" s="187" t="s">
        <v>1110</v>
      </c>
      <c r="P23" s="186">
        <f>VLOOKUP($O23,Lookup!$F$9:$I$18,4,FALSE)</f>
        <v>300</v>
      </c>
      <c r="Q23" s="184">
        <v>0</v>
      </c>
      <c r="R23" s="183">
        <v>5</v>
      </c>
      <c r="S23" s="188" t="s">
        <v>3612</v>
      </c>
      <c r="T23" s="186">
        <f t="shared" si="2"/>
        <v>5</v>
      </c>
      <c r="U23" s="189">
        <f t="shared" si="3"/>
        <v>1.8528457084899076E-2</v>
      </c>
      <c r="V23" s="189">
        <f t="shared" si="1"/>
        <v>0</v>
      </c>
      <c r="W23" s="190">
        <f>IF(P23=0,0,IF(Q23+R23=0,0,PV(Lookup!$G$4,G23,-T23)/H23))</f>
        <v>0.1811254695801231</v>
      </c>
      <c r="X23" s="190">
        <f>IF(I23=0,0,PMT(Lookup!$G$4,G23,-(H23*I23*K23))/P23)</f>
        <v>0</v>
      </c>
      <c r="Y23" s="42" t="s">
        <v>961</v>
      </c>
      <c r="Z23" s="192">
        <f>VLOOKUP(Y23,Lookup!$B$4:$C$14,2,FALSE)</f>
        <v>-2</v>
      </c>
      <c r="AA23" s="281" t="s">
        <v>1861</v>
      </c>
      <c r="AB23" s="282" t="s">
        <v>1072</v>
      </c>
      <c r="AC23" s="181" t="str">
        <f>VLOOKUP(AD23,Lookup!$C$4:$D$14,2,FALSE)</f>
        <v>Slight to Moderate Worsening</v>
      </c>
      <c r="AD23" s="193">
        <f>IF(P23/H23&lt;Lookup!$F$33,-5,IF(P23/H23&lt;Lookup!$F$32,-4,IF(P23/H23&lt;Lookup!$F$31,-3,IF(P23/H23&lt;Lookup!$F$30,-2,IF(P23/H23&lt;Lookup!$F$29,-1,-5)))))</f>
        <v>-2</v>
      </c>
      <c r="AE23" s="194" t="str">
        <f>VLOOKUP(AD23,Lookup!$G$28:$J$33,2,FALSE)</f>
        <v>One-time practice implementation cost 5 to 100% of enterprise annual net income</v>
      </c>
      <c r="AF23" s="281" t="s">
        <v>1891</v>
      </c>
      <c r="AG23" s="181" t="str">
        <f>VLOOKUP(AH23,Lookup!$C$4:$D$14,2,FALSE)</f>
        <v>Moderate Worsening</v>
      </c>
      <c r="AH23" s="193">
        <f>IF(J23&gt;Lookup!$F$43,-5,IF(J23&gt;Lookup!$F$42,-4,IF(J23&gt;Lookup!$F$41,-3,IF(J23&gt;Lookup!$F$40,-2,IF(J23&gt;Lookup!$F$39,-1,0)))))</f>
        <v>-3</v>
      </c>
      <c r="AI23" s="194" t="str">
        <f>VLOOKUP(AH23,Lookup!$G$38:$J$43,2,FALSE)</f>
        <v>Annual O&amp;M costs 2 to 3% of total installation costs</v>
      </c>
      <c r="AJ23" s="281" t="s">
        <v>2978</v>
      </c>
      <c r="AK23" s="181" t="str">
        <f>VLOOKUP(AL23,Lookup!$C$4:$D$14,2,FALSE)</f>
        <v>Substantial Worsening</v>
      </c>
      <c r="AL23" s="346">
        <f>IF(N23=0,0,IF(U23&lt;Lookup!$F$58,-5,IF(U23&lt;Lookup!$F$57,-4,IF(U23&lt;Lookup!$F$56,-3,IF(U23&lt;Lookup!$F$55,-2,IF(U23&lt;Lookup!$F$54,-1,IF(U23&lt;Lookup!$F$53,0,IF(U23&lt;Lookup!$F$52,1,IF(U23&lt;Lookup!$F$51,2,IF(U23&lt;Lookup!$F$50,3,IF(U23&lt;Lookup!$F$49,4,5)))))))))))</f>
        <v>-5</v>
      </c>
      <c r="AM23" s="194" t="str">
        <f>VLOOKUP(AL23,Lookup!$G$48:$J$58,2,FALSE)</f>
        <v>B/C Ratio less than .02</v>
      </c>
      <c r="AN23" s="281" t="s">
        <v>1843</v>
      </c>
      <c r="AO23" s="181" t="str">
        <f>VLOOKUP(AP23,Lookup!$C$4:$D$14,2,FALSE)</f>
        <v>No Effect</v>
      </c>
      <c r="AP23" s="193">
        <f>IF(Q23=0,0,IF(Q23&gt;Lookup!$F$63,5,IF(Q23&gt;Lookup!$F$64,4,IF(Q23&gt;Lookup!$F$65,3,IF(Q23&gt;Lookup!$F$66,2,IF(Q23&gt;Lookup!$F$67,1,IF(Q23&gt;Lookup!$F$69,-1,IF(Q23&gt;Lookup!$F$70,-2,IF(Q23&gt;Lookup!$F$71,-3,IF(Q23&gt;Lookup!$F$72,-4,-5))))))))))</f>
        <v>0</v>
      </c>
      <c r="AQ23" s="194" t="str">
        <f>VLOOKUP(AP23,Lookup!$G$63:$J$73,2,FALSE)</f>
        <v>No change in yield</v>
      </c>
      <c r="AR23" s="281" t="s">
        <v>3085</v>
      </c>
      <c r="AS23" s="181" t="str">
        <f>VLOOKUP(AT23,Lookup!$C$4:$D$14,2,FALSE)</f>
        <v>No Effect</v>
      </c>
      <c r="AT23" s="193">
        <f>IF(V23=0,0,IF(V23&lt;Lookup!$F$79,5,IF(V23&lt;Lookup!$F$80,4,IF(V23&lt;Lookup!$F$81,3,IF(V23&lt;Lookup!$F$82,2,IF(V23&lt;Lookup!$F$83,1,IF(V23&lt;Lookup!$F$85,-1,IF(V23&lt;Lookup!$F$86,-2,IF(V23&lt;Lookup!$F$87,-3,IF(V23&lt;Lookup!$F$88,-4,-5))))))))))</f>
        <v>0</v>
      </c>
      <c r="AU23" s="194" t="str">
        <f>VLOOKUP(AT23,Lookup!$G$79:$J$89,2,FALSE)</f>
        <v>No breakeven</v>
      </c>
      <c r="AV23" s="345" t="str">
        <f>VLOOKUP(AT23,Lookup!$G$79:$J$89,4,FALSE)</f>
        <v>Annual costs greater than annual benefits</v>
      </c>
      <c r="AW23" s="181" t="str">
        <f>VLOOKUP(AX23,Lookup!$C$4:$D$14,2,FALSE)</f>
        <v>Substantial Improvement</v>
      </c>
      <c r="AX23" s="193">
        <f>VLOOKUP(AY23,Lookup!$G$92:$J$97,4,FALSE)</f>
        <v>5</v>
      </c>
      <c r="AY23" s="181" t="s">
        <v>2657</v>
      </c>
      <c r="AZ23" s="281" t="s">
        <v>3157</v>
      </c>
      <c r="BA23" s="181" t="str">
        <f>VLOOKUP(BB23,Lookup!$C$4:$D$14,2,FALSE)</f>
        <v>Moderate Worsening</v>
      </c>
      <c r="BB23" s="193">
        <f>VLOOKUP(BC23,Lookup!$G$100:$K$110,5,FALSE)</f>
        <v>-3</v>
      </c>
      <c r="BC23" s="181" t="s">
        <v>2632</v>
      </c>
      <c r="BD23" s="281" t="s">
        <v>3188</v>
      </c>
      <c r="BE23" s="181" t="str">
        <f>VLOOKUP(BF23,Lookup!$C$4:$D$14,2,FALSE)</f>
        <v>No Effect</v>
      </c>
      <c r="BF23" s="193">
        <f>IF(X23=0,0,IF(X23&gt;Lookup!$F$113,-5,IF(X23&gt;Lookup!$F$114,-4,IF(X23&gt;Lookup!$F$115,-3,IF(X23&gt;Lookup!$F$116,-2,IF(X23&gt;Lookup!$F$117,-1,0))))))</f>
        <v>0</v>
      </c>
      <c r="BG23" s="195" t="str">
        <f>VLOOKUP(BF23,Lookup!$G$113:$H$118,2,FALSE)</f>
        <v>No change in on-farm equipment</v>
      </c>
      <c r="BH23" s="281" t="s">
        <v>1849</v>
      </c>
      <c r="BI23" s="181" t="str">
        <f>VLOOKUP(BJ23,Lookup!$C$4:$D$14,2,FALSE)</f>
        <v>Slight Improvement</v>
      </c>
      <c r="BJ23" s="193">
        <f>VLOOKUP(BK23,Lookup!$G$121:$L$131,6,FALSE)</f>
        <v>1</v>
      </c>
      <c r="BK23" s="181" t="s">
        <v>2638</v>
      </c>
      <c r="BL23" s="281" t="s">
        <v>3264</v>
      </c>
      <c r="BM23" s="181" t="str">
        <f>VLOOKUP(BN23,Lookup!$C$4:$D$14,2,FALSE)</f>
        <v>Slight to Moderate Improvement</v>
      </c>
      <c r="BN23" s="193">
        <f>VLOOKUP(BO23,Lookup!$G$134:$L$144,6,FALSE)</f>
        <v>2</v>
      </c>
      <c r="BO23" s="181" t="s">
        <v>3371</v>
      </c>
      <c r="BP23" s="281" t="s">
        <v>3379</v>
      </c>
      <c r="BQ23" s="181" t="str">
        <f>VLOOKUP(BR23,Lookup!$C$4:$D$14,2,FALSE)</f>
        <v>Moderate Worsening</v>
      </c>
      <c r="BR23" s="193">
        <f>VLOOKUP(BS23,Lookup!$G$147:$L$157,6,FALSE)</f>
        <v>-3</v>
      </c>
      <c r="BS23" s="181" t="s">
        <v>2635</v>
      </c>
      <c r="BT23" s="281" t="s">
        <v>3442</v>
      </c>
      <c r="BU23" s="175" t="s">
        <v>2231</v>
      </c>
    </row>
    <row r="24" spans="1:73" ht="39.950000000000003" customHeight="1" thickBot="1" x14ac:dyDescent="0.25">
      <c r="A24" s="173">
        <f t="shared" si="4"/>
        <v>22</v>
      </c>
      <c r="B24" s="178" t="s">
        <v>578</v>
      </c>
      <c r="C24" s="179" t="s">
        <v>1605</v>
      </c>
      <c r="D24" s="180">
        <v>328</v>
      </c>
      <c r="E24" s="180" t="s">
        <v>3646</v>
      </c>
      <c r="F24" s="273" t="str">
        <f>VLOOKUP($D24,'Practice Descriptions'!$E$11:$F$186,2,FALSE)</f>
        <v>Growing crops in a planned sequence on the same field.</v>
      </c>
      <c r="G24" s="182">
        <v>1</v>
      </c>
      <c r="H24" s="183">
        <v>30</v>
      </c>
      <c r="I24" s="184">
        <v>0</v>
      </c>
      <c r="J24" s="184">
        <v>0</v>
      </c>
      <c r="K24" s="419">
        <f>IF(E24="No.",1,IF(E24="Ac.",1,(SQRT(VLOOKUP(O24,Lookup!$F$9:$H$18,3,FALSE)))*208/VLOOKUP(O24,Lookup!$F$9:$H$18,3,FALSE)))</f>
        <v>1</v>
      </c>
      <c r="L24" s="185" t="str">
        <f t="shared" si="0"/>
        <v/>
      </c>
      <c r="M24" s="184">
        <v>0.1</v>
      </c>
      <c r="N24" s="186">
        <f>IF(G24=1,H24,PMT(Lookup!$G$4,G24,-H24)+(H24*J24)+(M24*P24))*K24</f>
        <v>30</v>
      </c>
      <c r="O24" s="187" t="s">
        <v>1110</v>
      </c>
      <c r="P24" s="186">
        <f>VLOOKUP($O24,Lookup!$F$9:$I$18,4,FALSE)</f>
        <v>300</v>
      </c>
      <c r="Q24" s="184">
        <v>0.1</v>
      </c>
      <c r="R24" s="183">
        <v>5</v>
      </c>
      <c r="S24" s="188" t="s">
        <v>3612</v>
      </c>
      <c r="T24" s="186">
        <f t="shared" si="2"/>
        <v>35</v>
      </c>
      <c r="U24" s="189">
        <f t="shared" si="3"/>
        <v>1.1666666666666667</v>
      </c>
      <c r="V24" s="189">
        <f t="shared" si="1"/>
        <v>0.8571428571428571</v>
      </c>
      <c r="W24" s="190">
        <f>IF(P24=0,0,IF(Q24+R24=0,0,PV(Lookup!$G$4,G24,-T24)/H24))</f>
        <v>1.1097899326198974</v>
      </c>
      <c r="X24" s="190">
        <f>IF(I24=0,0,PMT(Lookup!$G$4,G24,-(H24*I24*K24))/P24)</f>
        <v>0</v>
      </c>
      <c r="Y24" s="42" t="s">
        <v>986</v>
      </c>
      <c r="Z24" s="192">
        <f>VLOOKUP(Y24,Lookup!$B$4:$C$14,2,FALSE)</f>
        <v>0</v>
      </c>
      <c r="AA24" s="281" t="s">
        <v>1862</v>
      </c>
      <c r="AB24" s="282" t="s">
        <v>1072</v>
      </c>
      <c r="AC24" s="181" t="str">
        <f>VLOOKUP(AD24,Lookup!$C$4:$D$14,2,FALSE)</f>
        <v>Slight to Moderate Worsening</v>
      </c>
      <c r="AD24" s="193">
        <f>IF(P24/H24&lt;Lookup!$F$33,-5,IF(P24/H24&lt;Lookup!$F$32,-4,IF(P24/H24&lt;Lookup!$F$31,-3,IF(P24/H24&lt;Lookup!$F$30,-2,IF(P24/H24&lt;Lookup!$F$29,-1,-5)))))</f>
        <v>-2</v>
      </c>
      <c r="AE24" s="194" t="str">
        <f>VLOOKUP(AD24,Lookup!$G$28:$J$33,2,FALSE)</f>
        <v>One-time practice implementation cost 5 to 100% of enterprise annual net income</v>
      </c>
      <c r="AF24" s="281" t="s">
        <v>2954</v>
      </c>
      <c r="AG24" s="181" t="str">
        <f>VLOOKUP(AH24,Lookup!$C$4:$D$14,2,FALSE)</f>
        <v>No Effect</v>
      </c>
      <c r="AH24" s="193">
        <f>IF(J24&gt;Lookup!$F$43,-5,IF(J24&gt;Lookup!$F$42,-4,IF(J24&gt;Lookup!$F$41,-3,IF(J24&gt;Lookup!$F$40,-2,IF(J24&gt;Lookup!$F$39,-1,0)))))</f>
        <v>0</v>
      </c>
      <c r="AI24" s="194" t="str">
        <f>VLOOKUP(AH24,Lookup!$G$38:$J$43,2,FALSE)</f>
        <v>No O&amp;M costs</v>
      </c>
      <c r="AJ24" s="281" t="s">
        <v>3005</v>
      </c>
      <c r="AK24" s="181" t="str">
        <f>VLOOKUP(AL24,Lookup!$C$4:$D$14,2,FALSE)</f>
        <v>No Effect</v>
      </c>
      <c r="AL24" s="346">
        <f>IF(N24=0,0,IF(U24&lt;Lookup!$F$58,-5,IF(U24&lt;Lookup!$F$57,-4,IF(U24&lt;Lookup!$F$56,-3,IF(U24&lt;Lookup!$F$55,-2,IF(U24&lt;Lookup!$F$54,-1,IF(U24&lt;Lookup!$F$53,0,IF(U24&lt;Lookup!$F$52,1,IF(U24&lt;Lookup!$F$51,2,IF(U24&lt;Lookup!$F$50,3,IF(U24&lt;Lookup!$F$49,4,5)))))))))))</f>
        <v>0</v>
      </c>
      <c r="AM24" s="194" t="str">
        <f>VLOOKUP(AL24,Lookup!$G$48:$J$58,2,FALSE)</f>
        <v>B/C Ratio .75 to 1.25</v>
      </c>
      <c r="AN24" s="281" t="s">
        <v>3022</v>
      </c>
      <c r="AO24" s="181" t="str">
        <f>VLOOKUP(AP24,Lookup!$C$4:$D$14,2,FALSE)</f>
        <v>Slight to Moderate Improvement</v>
      </c>
      <c r="AP24" s="193">
        <f>IF(Q24=0,0,IF(Q24&gt;Lookup!$F$63,5,IF(Q24&gt;Lookup!$F$64,4,IF(Q24&gt;Lookup!$F$65,3,IF(Q24&gt;Lookup!$F$66,2,IF(Q24&gt;Lookup!$F$67,1,IF(Q24&gt;Lookup!$F$69,-1,IF(Q24&gt;Lookup!$F$70,-2,IF(Q24&gt;Lookup!$F$71,-3,IF(Q24&gt;Lookup!$F$72,-4,-5))))))))))</f>
        <v>2</v>
      </c>
      <c r="AQ24" s="194" t="str">
        <f>VLOOKUP(AP24,Lookup!$G$63:$J$73,2,FALSE)</f>
        <v>5 to 10% yield increase</v>
      </c>
      <c r="AR24" s="281" t="s">
        <v>3096</v>
      </c>
      <c r="AS24" s="181" t="str">
        <f>VLOOKUP(AT24,Lookup!$C$4:$D$14,2,FALSE)</f>
        <v>Substantial Improvement</v>
      </c>
      <c r="AT24" s="193">
        <f>IF(V24=0,0,IF(V24&lt;Lookup!$F$79,5,IF(V24&lt;Lookup!$F$80,4,IF(V24&lt;Lookup!$F$81,3,IF(V24&lt;Lookup!$F$82,2,IF(V24&lt;Lookup!$F$83,1,IF(V24&lt;Lookup!$F$85,-1,IF(V24&lt;Lookup!$F$86,-2,IF(V24&lt;Lookup!$F$87,-3,IF(V24&lt;Lookup!$F$88,-4,-5))))))))))</f>
        <v>5</v>
      </c>
      <c r="AU24" s="194" t="str">
        <f>VLOOKUP(AT24,Lookup!$G$79:$J$89,2,FALSE)</f>
        <v>1 or less years to breakeven</v>
      </c>
      <c r="AV24" s="345" t="str">
        <f>VLOOKUP(AT24,Lookup!$G$79:$J$89,4,FALSE)</f>
        <v>Annual benefits significantly greater than annual costs</v>
      </c>
      <c r="AW24" s="181" t="str">
        <f>VLOOKUP(AX24,Lookup!$C$4:$D$14,2,FALSE)</f>
        <v>No Effect</v>
      </c>
      <c r="AX24" s="193">
        <f>VLOOKUP(AY24,Lookup!$G$92:$J$97,4,FALSE)</f>
        <v>0</v>
      </c>
      <c r="AY24" s="181" t="s">
        <v>2642</v>
      </c>
      <c r="AZ24" s="281" t="s">
        <v>3158</v>
      </c>
      <c r="BA24" s="181" t="str">
        <f>VLOOKUP(BB24,Lookup!$C$4:$D$14,2,FALSE)</f>
        <v>No Effect</v>
      </c>
      <c r="BB24" s="193">
        <f>VLOOKUP(BC24,Lookup!$G$100:$K$110,5,FALSE)</f>
        <v>0</v>
      </c>
      <c r="BC24" s="181" t="s">
        <v>2643</v>
      </c>
      <c r="BD24" s="281" t="s">
        <v>3154</v>
      </c>
      <c r="BE24" s="181" t="str">
        <f>VLOOKUP(BF24,Lookup!$C$4:$D$14,2,FALSE)</f>
        <v>No Effect</v>
      </c>
      <c r="BF24" s="193">
        <f>IF(X24=0,0,IF(X24&gt;Lookup!$F$113,-5,IF(X24&gt;Lookup!$F$114,-4,IF(X24&gt;Lookup!$F$115,-3,IF(X24&gt;Lookup!$F$116,-2,IF(X24&gt;Lookup!$F$117,-1,0))))))</f>
        <v>0</v>
      </c>
      <c r="BG24" s="195" t="str">
        <f>VLOOKUP(BF24,Lookup!$G$113:$H$118,2,FALSE)</f>
        <v>No change in on-farm equipment</v>
      </c>
      <c r="BH24" s="281" t="s">
        <v>1849</v>
      </c>
      <c r="BI24" s="181" t="str">
        <f>VLOOKUP(BJ24,Lookup!$C$4:$D$14,2,FALSE)</f>
        <v>Slight Worsening</v>
      </c>
      <c r="BJ24" s="193">
        <f>VLOOKUP(BK24,Lookup!$G$121:$L$131,6,FALSE)</f>
        <v>-1</v>
      </c>
      <c r="BK24" s="181" t="s">
        <v>2640</v>
      </c>
      <c r="BL24" s="281" t="s">
        <v>3265</v>
      </c>
      <c r="BM24" s="181" t="str">
        <f>VLOOKUP(BN24,Lookup!$C$4:$D$14,2,FALSE)</f>
        <v>Slight to Moderate Worsening</v>
      </c>
      <c r="BN24" s="193">
        <f>VLOOKUP(BO24,Lookup!$G$134:$L$144,6,FALSE)</f>
        <v>-2</v>
      </c>
      <c r="BO24" s="181" t="s">
        <v>3374</v>
      </c>
      <c r="BP24" s="281" t="s">
        <v>3380</v>
      </c>
      <c r="BQ24" s="181" t="str">
        <f>VLOOKUP(BR24,Lookup!$C$4:$D$14,2,FALSE)</f>
        <v>Slight to Moderate Improvement</v>
      </c>
      <c r="BR24" s="193">
        <f>VLOOKUP(BS24,Lookup!$G$147:$L$157,6,FALSE)</f>
        <v>2</v>
      </c>
      <c r="BS24" s="181" t="s">
        <v>2641</v>
      </c>
      <c r="BT24" s="281" t="s">
        <v>3428</v>
      </c>
      <c r="BU24" s="175" t="s">
        <v>2231</v>
      </c>
    </row>
    <row r="25" spans="1:73" ht="39.950000000000003" customHeight="1" thickBot="1" x14ac:dyDescent="0.25">
      <c r="A25" s="173">
        <f t="shared" si="4"/>
        <v>23</v>
      </c>
      <c r="B25" s="178" t="s">
        <v>579</v>
      </c>
      <c r="C25" s="179" t="s">
        <v>1599</v>
      </c>
      <c r="D25" s="180">
        <v>656</v>
      </c>
      <c r="E25" s="180" t="s">
        <v>3646</v>
      </c>
      <c r="F25" s="273" t="str">
        <f>VLOOKUP($D25,'Practice Descriptions'!$E$11:$F$186,2,FALSE)</f>
        <v>An artificial ecosystem with hydrophytic vegetation for water treatment.</v>
      </c>
      <c r="G25" s="182">
        <v>15</v>
      </c>
      <c r="H25" s="183">
        <v>25000</v>
      </c>
      <c r="I25" s="184">
        <v>0</v>
      </c>
      <c r="J25" s="184">
        <v>0.01</v>
      </c>
      <c r="K25" s="419">
        <f>IF(E25="No.",1,IF(E25="Ac.",1,(SQRT(VLOOKUP(O25,Lookup!$F$9:$H$18,3,FALSE)))*208/VLOOKUP(O25,Lookup!$F$9:$H$18,3,FALSE)))</f>
        <v>1</v>
      </c>
      <c r="L25" s="185" t="str">
        <f t="shared" si="0"/>
        <v/>
      </c>
      <c r="M25" s="184">
        <v>0</v>
      </c>
      <c r="N25" s="186">
        <f>IF(G25=1,H25,PMT(Lookup!$G$4,G25,-H25)+(H25*J25)+(M25*P25))*K25</f>
        <v>2678.9503066219399</v>
      </c>
      <c r="O25" s="181" t="s">
        <v>1260</v>
      </c>
      <c r="P25" s="186">
        <f>VLOOKUP($O25,Lookup!$F$9:$I$18,4,FALSE)</f>
        <v>50</v>
      </c>
      <c r="Q25" s="184">
        <v>0</v>
      </c>
      <c r="R25" s="183">
        <v>2000</v>
      </c>
      <c r="S25" s="188" t="s">
        <v>3613</v>
      </c>
      <c r="T25" s="186">
        <f t="shared" si="2"/>
        <v>2000</v>
      </c>
      <c r="U25" s="189">
        <f t="shared" si="3"/>
        <v>0.74656106724201543</v>
      </c>
      <c r="V25" s="189">
        <f t="shared" si="1"/>
        <v>0</v>
      </c>
      <c r="W25" s="190">
        <f>IF(P25=0,0,IF(Q25+R25=0,0,PV(Lookup!$G$4,G25,-T25)/H25))</f>
        <v>0.8234009541271754</v>
      </c>
      <c r="X25" s="190">
        <f>IF(I25=0,0,PMT(Lookup!$G$4,G25,-(H25*I25*K25))/P25)</f>
        <v>0</v>
      </c>
      <c r="Y25" s="42" t="s">
        <v>963</v>
      </c>
      <c r="Z25" s="192">
        <f>VLOOKUP(Y25,Lookup!$B$4:$C$14,2,FALSE)</f>
        <v>2</v>
      </c>
      <c r="AA25" s="281" t="s">
        <v>803</v>
      </c>
      <c r="AB25" s="282" t="s">
        <v>1072</v>
      </c>
      <c r="AC25" s="181" t="str">
        <f>VLOOKUP(AD25,Lookup!$C$4:$D$14,2,FALSE)</f>
        <v>Substantial Worsening</v>
      </c>
      <c r="AD25" s="193">
        <f>IF(P25/H25&lt;Lookup!$F$33,-5,IF(P25/H25&lt;Lookup!$F$32,-4,IF(P25/H25&lt;Lookup!$F$31,-3,IF(P25/H25&lt;Lookup!$F$30,-2,IF(P25/H25&lt;Lookup!$F$29,-1,-5)))))</f>
        <v>-5</v>
      </c>
      <c r="AE25" s="194" t="str">
        <f>VLOOKUP(AD25,Lookup!$G$28:$J$33,2,FALSE)</f>
        <v>One-time practice implementation cost 5 times or greater enterprise annual net income</v>
      </c>
      <c r="AF25" s="281" t="s">
        <v>1842</v>
      </c>
      <c r="AG25" s="181" t="str">
        <f>VLOOKUP(AH25,Lookup!$C$4:$D$14,2,FALSE)</f>
        <v>Slight Worsening</v>
      </c>
      <c r="AH25" s="193">
        <f>IF(J25&gt;Lookup!$F$43,-5,IF(J25&gt;Lookup!$F$42,-4,IF(J25&gt;Lookup!$F$41,-3,IF(J25&gt;Lookup!$F$40,-2,IF(J25&gt;Lookup!$F$39,-1,0)))))</f>
        <v>-1</v>
      </c>
      <c r="AI25" s="194" t="str">
        <f>VLOOKUP(AH25,Lookup!$G$38:$J$43,2,FALSE)</f>
        <v>Annual O&amp;M costs less than 1% of total installation costs</v>
      </c>
      <c r="AJ25" s="281" t="s">
        <v>1865</v>
      </c>
      <c r="AK25" s="181" t="str">
        <f>VLOOKUP(AL25,Lookup!$C$4:$D$14,2,FALSE)</f>
        <v>Slight Worsening</v>
      </c>
      <c r="AL25" s="346">
        <f>IF(N25=0,0,IF(U25&lt;Lookup!$F$58,-5,IF(U25&lt;Lookup!$F$57,-4,IF(U25&lt;Lookup!$F$56,-3,IF(U25&lt;Lookup!$F$55,-2,IF(U25&lt;Lookup!$F$54,-1,IF(U25&lt;Lookup!$F$53,0,IF(U25&lt;Lookup!$F$52,1,IF(U25&lt;Lookup!$F$51,2,IF(U25&lt;Lookup!$F$50,3,IF(U25&lt;Lookup!$F$49,4,5)))))))))))</f>
        <v>-1</v>
      </c>
      <c r="AM25" s="194" t="str">
        <f>VLOOKUP(AL25,Lookup!$G$48:$J$58,2,FALSE)</f>
        <v>B/C Ratio .50 to .75</v>
      </c>
      <c r="AN25" s="281" t="s">
        <v>1866</v>
      </c>
      <c r="AO25" s="181" t="str">
        <f>VLOOKUP(AP25,Lookup!$C$4:$D$14,2,FALSE)</f>
        <v>No Effect</v>
      </c>
      <c r="AP25" s="193">
        <f>IF(Q25=0,0,IF(Q25&gt;Lookup!$F$63,5,IF(Q25&gt;Lookup!$F$64,4,IF(Q25&gt;Lookup!$F$65,3,IF(Q25&gt;Lookup!$F$66,2,IF(Q25&gt;Lookup!$F$67,1,IF(Q25&gt;Lookup!$F$69,-1,IF(Q25&gt;Lookup!$F$70,-2,IF(Q25&gt;Lookup!$F$71,-3,IF(Q25&gt;Lookup!$F$72,-4,-5))))))))))</f>
        <v>0</v>
      </c>
      <c r="AQ25" s="194" t="str">
        <f>VLOOKUP(AP25,Lookup!$G$63:$J$73,2,FALSE)</f>
        <v>No change in yield</v>
      </c>
      <c r="AR25" s="281" t="s">
        <v>3085</v>
      </c>
      <c r="AS25" s="181" t="str">
        <f>VLOOKUP(AT25,Lookup!$C$4:$D$14,2,FALSE)</f>
        <v>No Effect</v>
      </c>
      <c r="AT25" s="193">
        <f>IF(V25=0,0,IF(V25&lt;Lookup!$F$79,5,IF(V25&lt;Lookup!$F$80,4,IF(V25&lt;Lookup!$F$81,3,IF(V25&lt;Lookup!$F$82,2,IF(V25&lt;Lookup!$F$83,1,IF(V25&lt;Lookup!$F$85,-1,IF(V25&lt;Lookup!$F$86,-2,IF(V25&lt;Lookup!$F$87,-3,IF(V25&lt;Lookup!$F$88,-4,-5))))))))))</f>
        <v>0</v>
      </c>
      <c r="AU25" s="194" t="str">
        <f>VLOOKUP(AT25,Lookup!$G$79:$J$89,2,FALSE)</f>
        <v>No breakeven</v>
      </c>
      <c r="AV25" s="345" t="str">
        <f>VLOOKUP(AT25,Lookup!$G$79:$J$89,4,FALSE)</f>
        <v>Annual costs greater than annual benefits</v>
      </c>
      <c r="AW25" s="181" t="str">
        <f>VLOOKUP(AX25,Lookup!$C$4:$D$14,2,FALSE)</f>
        <v>Substantial Improvement</v>
      </c>
      <c r="AX25" s="193">
        <f>VLOOKUP(AY25,Lookup!$G$92:$J$97,4,FALSE)</f>
        <v>5</v>
      </c>
      <c r="AY25" s="181" t="s">
        <v>2657</v>
      </c>
      <c r="AZ25" s="281" t="s">
        <v>1864</v>
      </c>
      <c r="BA25" s="181" t="str">
        <f>VLOOKUP(BB25,Lookup!$C$4:$D$14,2,FALSE)</f>
        <v>Moderate Worsening</v>
      </c>
      <c r="BB25" s="193">
        <f>VLOOKUP(BC25,Lookup!$G$100:$K$110,5,FALSE)</f>
        <v>-3</v>
      </c>
      <c r="BC25" s="181" t="s">
        <v>2632</v>
      </c>
      <c r="BD25" s="281" t="s">
        <v>3189</v>
      </c>
      <c r="BE25" s="181" t="str">
        <f>VLOOKUP(BF25,Lookup!$C$4:$D$14,2,FALSE)</f>
        <v>No Effect</v>
      </c>
      <c r="BF25" s="193">
        <f>IF(X25=0,0,IF(X25&gt;Lookup!$F$113,-5,IF(X25&gt;Lookup!$F$114,-4,IF(X25&gt;Lookup!$F$115,-3,IF(X25&gt;Lookup!$F$116,-2,IF(X25&gt;Lookup!$F$117,-1,0))))))</f>
        <v>0</v>
      </c>
      <c r="BG25" s="195" t="str">
        <f>VLOOKUP(BF25,Lookup!$G$113:$H$118,2,FALSE)</f>
        <v>No change in on-farm equipment</v>
      </c>
      <c r="BH25" s="281" t="s">
        <v>3230</v>
      </c>
      <c r="BI25" s="181" t="str">
        <f>VLOOKUP(BJ25,Lookup!$C$4:$D$14,2,FALSE)</f>
        <v>Slight to Moderate Improvement</v>
      </c>
      <c r="BJ25" s="193">
        <f>VLOOKUP(BK25,Lookup!$G$121:$L$131,6,FALSE)</f>
        <v>2</v>
      </c>
      <c r="BK25" s="181" t="s">
        <v>2633</v>
      </c>
      <c r="BL25" s="281" t="s">
        <v>3266</v>
      </c>
      <c r="BM25" s="181" t="str">
        <f>VLOOKUP(BN25,Lookup!$C$4:$D$14,2,FALSE)</f>
        <v>Slight Improvement</v>
      </c>
      <c r="BN25" s="193">
        <f>VLOOKUP(BO25,Lookup!$G$134:$L$144,6,FALSE)</f>
        <v>1</v>
      </c>
      <c r="BO25" s="181" t="s">
        <v>3370</v>
      </c>
      <c r="BP25" s="281" t="s">
        <v>3381</v>
      </c>
      <c r="BQ25" s="181" t="str">
        <f>VLOOKUP(BR25,Lookup!$C$4:$D$14,2,FALSE)</f>
        <v>Slight Worsening</v>
      </c>
      <c r="BR25" s="193">
        <f>VLOOKUP(BS25,Lookup!$G$147:$L$157,6,FALSE)</f>
        <v>-1</v>
      </c>
      <c r="BS25" s="181" t="s">
        <v>2658</v>
      </c>
      <c r="BT25" s="281" t="s">
        <v>3439</v>
      </c>
      <c r="BU25" s="175" t="s">
        <v>2231</v>
      </c>
    </row>
    <row r="26" spans="1:73" ht="39.950000000000003" customHeight="1" thickBot="1" x14ac:dyDescent="0.25">
      <c r="A26" s="173">
        <f t="shared" si="4"/>
        <v>24</v>
      </c>
      <c r="B26" s="178" t="s">
        <v>580</v>
      </c>
      <c r="C26" s="179" t="s">
        <v>1605</v>
      </c>
      <c r="D26" s="180">
        <v>332</v>
      </c>
      <c r="E26" s="180" t="s">
        <v>3646</v>
      </c>
      <c r="F26" s="273" t="str">
        <f>VLOOKUP($D26,'Practice Descriptions'!$E$11:$F$186,2,FALSE)</f>
        <v>Narrow strips of permanent, herbaceous vegetative cover established around the hill slope, and alternated down the slope with wider cropped strips that are farmed on the contour.</v>
      </c>
      <c r="G26" s="182">
        <v>10</v>
      </c>
      <c r="H26" s="183">
        <v>50</v>
      </c>
      <c r="I26" s="184">
        <v>0</v>
      </c>
      <c r="J26" s="184">
        <v>0.02</v>
      </c>
      <c r="K26" s="419">
        <f>IF(E26="No.",1,IF(E26="Ac.",1,(SQRT(VLOOKUP(O26,Lookup!$F$9:$H$18,3,FALSE)))*208/VLOOKUP(O26,Lookup!$F$9:$H$18,3,FALSE)))</f>
        <v>1</v>
      </c>
      <c r="L26" s="185" t="str">
        <f t="shared" si="0"/>
        <v/>
      </c>
      <c r="M26" s="184">
        <v>0.05</v>
      </c>
      <c r="N26" s="186">
        <f>IF(G26=1,H26,PMT(Lookup!$G$4,G26,-H26)+(H26*J26)+(M26*P26))*K26</f>
        <v>22.514594028419857</v>
      </c>
      <c r="O26" s="187" t="s">
        <v>1110</v>
      </c>
      <c r="P26" s="186">
        <f>VLOOKUP($O26,Lookup!$F$9:$I$18,4,FALSE)</f>
        <v>300</v>
      </c>
      <c r="Q26" s="184">
        <v>0.1</v>
      </c>
      <c r="R26" s="183">
        <v>0</v>
      </c>
      <c r="S26" s="188"/>
      <c r="T26" s="186">
        <f t="shared" si="2"/>
        <v>30</v>
      </c>
      <c r="U26" s="189">
        <f t="shared" si="3"/>
        <v>1.3324690626058555</v>
      </c>
      <c r="V26" s="189">
        <f t="shared" si="1"/>
        <v>1.6666666666666667</v>
      </c>
      <c r="W26" s="190">
        <f>IF(P26=0,0,IF(Q26+R26=0,0,PV(Lookup!$G$4,G26,-T26)/H26))</f>
        <v>4.6050452060596978</v>
      </c>
      <c r="X26" s="190">
        <f>IF(I26=0,0,PMT(Lookup!$G$4,G26,-(H26*I26*K26))/P26)</f>
        <v>0</v>
      </c>
      <c r="Y26" s="42" t="s">
        <v>963</v>
      </c>
      <c r="Z26" s="192">
        <f>VLOOKUP(Y26,Lookup!$B$4:$C$14,2,FALSE)</f>
        <v>2</v>
      </c>
      <c r="AA26" s="281" t="s">
        <v>1848</v>
      </c>
      <c r="AB26" s="282" t="s">
        <v>1072</v>
      </c>
      <c r="AC26" s="181" t="str">
        <f>VLOOKUP(AD26,Lookup!$C$4:$D$14,2,FALSE)</f>
        <v>Slight to Moderate Worsening</v>
      </c>
      <c r="AD26" s="193">
        <f>IF(P26/H26&lt;Lookup!$F$33,-5,IF(P26/H26&lt;Lookup!$F$32,-4,IF(P26/H26&lt;Lookup!$F$31,-3,IF(P26/H26&lt;Lookup!$F$30,-2,IF(P26/H26&lt;Lookup!$F$29,-1,-5)))))</f>
        <v>-2</v>
      </c>
      <c r="AE26" s="194" t="str">
        <f>VLOOKUP(AD26,Lookup!$G$28:$J$33,2,FALSE)</f>
        <v>One-time practice implementation cost 5 to 100% of enterprise annual net income</v>
      </c>
      <c r="AF26" s="281" t="s">
        <v>1868</v>
      </c>
      <c r="AG26" s="181" t="str">
        <f>VLOOKUP(AH26,Lookup!$C$4:$D$14,2,FALSE)</f>
        <v>Slight to Moderate Worsening</v>
      </c>
      <c r="AH26" s="193">
        <f>IF(J26&gt;Lookup!$F$43,-5,IF(J26&gt;Lookup!$F$42,-4,IF(J26&gt;Lookup!$F$41,-3,IF(J26&gt;Lookup!$F$40,-2,IF(J26&gt;Lookup!$F$39,-1,0)))))</f>
        <v>-2</v>
      </c>
      <c r="AI26" s="194" t="str">
        <f>VLOOKUP(AH26,Lookup!$G$38:$J$43,2,FALSE)</f>
        <v>Annual O&amp;M costs 1 to 2% of total installation costs</v>
      </c>
      <c r="AJ26" s="281" t="s">
        <v>2978</v>
      </c>
      <c r="AK26" s="181" t="str">
        <f>VLOOKUP(AL26,Lookup!$C$4:$D$14,2,FALSE)</f>
        <v>Slight Improvement</v>
      </c>
      <c r="AL26" s="346">
        <f>IF(N26=0,0,IF(U26&lt;Lookup!$F$58,-5,IF(U26&lt;Lookup!$F$57,-4,IF(U26&lt;Lookup!$F$56,-3,IF(U26&lt;Lookup!$F$55,-2,IF(U26&lt;Lookup!$F$54,-1,IF(U26&lt;Lookup!$F$53,0,IF(U26&lt;Lookup!$F$52,1,IF(U26&lt;Lookup!$F$51,2,IF(U26&lt;Lookup!$F$50,3,IF(U26&lt;Lookup!$F$49,4,5)))))))))))</f>
        <v>1</v>
      </c>
      <c r="AM26" s="194" t="str">
        <f>VLOOKUP(AL26,Lookup!$G$48:$J$58,2,FALSE)</f>
        <v>B/C Ratio 1.25 to 1.50</v>
      </c>
      <c r="AN26" s="281" t="s">
        <v>1843</v>
      </c>
      <c r="AO26" s="181" t="str">
        <f>VLOOKUP(AP26,Lookup!$C$4:$D$14,2,FALSE)</f>
        <v>Slight to Moderate Improvement</v>
      </c>
      <c r="AP26" s="193">
        <f>IF(Q26=0,0,IF(Q26&gt;Lookup!$F$63,5,IF(Q26&gt;Lookup!$F$64,4,IF(Q26&gt;Lookup!$F$65,3,IF(Q26&gt;Lookup!$F$66,2,IF(Q26&gt;Lookup!$F$67,1,IF(Q26&gt;Lookup!$F$69,-1,IF(Q26&gt;Lookup!$F$70,-2,IF(Q26&gt;Lookup!$F$71,-3,IF(Q26&gt;Lookup!$F$72,-4,-5))))))))))</f>
        <v>2</v>
      </c>
      <c r="AQ26" s="194" t="str">
        <f>VLOOKUP(AP26,Lookup!$G$63:$J$73,2,FALSE)</f>
        <v>5 to 10% yield increase</v>
      </c>
      <c r="AR26" s="281" t="s">
        <v>3083</v>
      </c>
      <c r="AS26" s="181" t="str">
        <f>VLOOKUP(AT26,Lookup!$C$4:$D$14,2,FALSE)</f>
        <v>Moderate to Substantial Improvement</v>
      </c>
      <c r="AT26" s="193">
        <f>IF(V26=0,0,IF(V26&lt;Lookup!$F$79,5,IF(V26&lt;Lookup!$F$80,4,IF(V26&lt;Lookup!$F$81,3,IF(V26&lt;Lookup!$F$82,2,IF(V26&lt;Lookup!$F$83,1,IF(V26&lt;Lookup!$F$85,-1,IF(V26&lt;Lookup!$F$86,-2,IF(V26&lt;Lookup!$F$87,-3,IF(V26&lt;Lookup!$F$88,-4,-5))))))))))</f>
        <v>4</v>
      </c>
      <c r="AU26" s="194" t="str">
        <f>VLOOKUP(AT26,Lookup!$G$79:$J$89,2,FALSE)</f>
        <v>1-2 years to breakeven</v>
      </c>
      <c r="AV26" s="345" t="str">
        <f>VLOOKUP(AT26,Lookup!$G$79:$J$89,4,FALSE)</f>
        <v>Annual benefits significantly greater than annual costs</v>
      </c>
      <c r="AW26" s="181" t="str">
        <f>VLOOKUP(AX26,Lookup!$C$4:$D$14,2,FALSE)</f>
        <v>Slight to Moderate Improvement</v>
      </c>
      <c r="AX26" s="193">
        <f>VLOOKUP(AY26,Lookup!$G$92:$J$97,4,FALSE)</f>
        <v>2</v>
      </c>
      <c r="AY26" s="181" t="s">
        <v>2653</v>
      </c>
      <c r="AZ26" s="281" t="s">
        <v>1867</v>
      </c>
      <c r="BA26" s="181" t="str">
        <f>VLOOKUP(BB26,Lookup!$C$4:$D$14,2,FALSE)</f>
        <v>Slight Worsening</v>
      </c>
      <c r="BB26" s="193">
        <f>VLOOKUP(BC26,Lookup!$G$100:$K$110,5,FALSE)</f>
        <v>-1</v>
      </c>
      <c r="BC26" s="181" t="s">
        <v>2637</v>
      </c>
      <c r="BD26" s="281" t="s">
        <v>3190</v>
      </c>
      <c r="BE26" s="181" t="str">
        <f>VLOOKUP(BF26,Lookup!$C$4:$D$14,2,FALSE)</f>
        <v>No Effect</v>
      </c>
      <c r="BF26" s="193">
        <f>IF(X26=0,0,IF(X26&gt;Lookup!$F$113,-5,IF(X26&gt;Lookup!$F$114,-4,IF(X26&gt;Lookup!$F$115,-3,IF(X26&gt;Lookup!$F$116,-2,IF(X26&gt;Lookup!$F$117,-1,0))))))</f>
        <v>0</v>
      </c>
      <c r="BG26" s="195" t="str">
        <f>VLOOKUP(BF26,Lookup!$G$113:$H$118,2,FALSE)</f>
        <v>No change in on-farm equipment</v>
      </c>
      <c r="BH26" s="281" t="s">
        <v>3230</v>
      </c>
      <c r="BI26" s="181" t="str">
        <f>VLOOKUP(BJ26,Lookup!$C$4:$D$14,2,FALSE)</f>
        <v>Slight Worsening</v>
      </c>
      <c r="BJ26" s="193">
        <f>VLOOKUP(BK26,Lookup!$G$121:$L$131,6,FALSE)</f>
        <v>-1</v>
      </c>
      <c r="BK26" s="181" t="s">
        <v>2640</v>
      </c>
      <c r="BL26" s="281" t="s">
        <v>3267</v>
      </c>
      <c r="BM26" s="181" t="str">
        <f>VLOOKUP(BN26,Lookup!$C$4:$D$14,2,FALSE)</f>
        <v>Slight Worsening</v>
      </c>
      <c r="BN26" s="193">
        <f>VLOOKUP(BO26,Lookup!$G$134:$L$144,6,FALSE)</f>
        <v>-1</v>
      </c>
      <c r="BO26" s="181" t="s">
        <v>3373</v>
      </c>
      <c r="BP26" s="281" t="s">
        <v>3380</v>
      </c>
      <c r="BQ26" s="181" t="str">
        <f>VLOOKUP(BR26,Lookup!$C$4:$D$14,2,FALSE)</f>
        <v>Slight Worsening</v>
      </c>
      <c r="BR26" s="193">
        <f>VLOOKUP(BS26,Lookup!$G$147:$L$157,6,FALSE)</f>
        <v>-1</v>
      </c>
      <c r="BS26" s="181" t="s">
        <v>2658</v>
      </c>
      <c r="BT26" s="281" t="s">
        <v>3532</v>
      </c>
      <c r="BU26" s="175" t="s">
        <v>2231</v>
      </c>
    </row>
    <row r="27" spans="1:73" ht="39.950000000000003" customHeight="1" thickBot="1" x14ac:dyDescent="0.25">
      <c r="A27" s="173">
        <f t="shared" si="4"/>
        <v>25</v>
      </c>
      <c r="B27" s="178" t="s">
        <v>581</v>
      </c>
      <c r="C27" s="179" t="s">
        <v>1605</v>
      </c>
      <c r="D27" s="180">
        <v>330</v>
      </c>
      <c r="E27" s="180" t="s">
        <v>3646</v>
      </c>
      <c r="F27" s="273" t="str">
        <f>VLOOKUP($D27,'Practice Descriptions'!$E$11:$F$186,2,FALSE)</f>
        <v>Using ridges and furrows formed by tillage, planting and other farming operations to change the direction of runoff from directly downslope to around the hillslope</v>
      </c>
      <c r="G27" s="182">
        <v>1</v>
      </c>
      <c r="H27" s="183">
        <v>5</v>
      </c>
      <c r="I27" s="184">
        <v>0</v>
      </c>
      <c r="J27" s="184">
        <v>0</v>
      </c>
      <c r="K27" s="419">
        <f>IF(E27="No.",1,IF(E27="Ac.",1,(SQRT(VLOOKUP(O27,Lookup!$F$9:$H$18,3,FALSE)))*208/VLOOKUP(O27,Lookup!$F$9:$H$18,3,FALSE)))</f>
        <v>1</v>
      </c>
      <c r="L27" s="185" t="str">
        <f t="shared" si="0"/>
        <v/>
      </c>
      <c r="M27" s="184">
        <v>0</v>
      </c>
      <c r="N27" s="186">
        <f>IF(G27=1,H27,PMT(Lookup!$G$4,G27,-H27)+(H27*J27)+(M27*P27))*K27</f>
        <v>5</v>
      </c>
      <c r="O27" s="187" t="s">
        <v>1110</v>
      </c>
      <c r="P27" s="186">
        <f>VLOOKUP($O27,Lookup!$F$9:$I$18,4,FALSE)</f>
        <v>300</v>
      </c>
      <c r="Q27" s="184">
        <v>0.02</v>
      </c>
      <c r="R27" s="183">
        <v>0</v>
      </c>
      <c r="S27" s="188"/>
      <c r="T27" s="186">
        <f t="shared" si="2"/>
        <v>6</v>
      </c>
      <c r="U27" s="189">
        <f t="shared" si="3"/>
        <v>1.2</v>
      </c>
      <c r="V27" s="189">
        <f t="shared" si="1"/>
        <v>0.83333333333333337</v>
      </c>
      <c r="W27" s="190">
        <f>IF(P27=0,0,IF(Q27+R27=0,0,PV(Lookup!$G$4,G27,-T27)/H27))</f>
        <v>1.1414982164090373</v>
      </c>
      <c r="X27" s="190">
        <f>IF(I27=0,0,PMT(Lookup!$G$4,G27,-(H27*I27*K27))/P27)</f>
        <v>0</v>
      </c>
      <c r="Y27" s="42" t="s">
        <v>986</v>
      </c>
      <c r="Z27" s="192">
        <f>VLOOKUP(Y27,Lookup!$B$4:$C$14,2,FALSE)</f>
        <v>0</v>
      </c>
      <c r="AA27" s="281" t="s">
        <v>2759</v>
      </c>
      <c r="AB27" s="282" t="s">
        <v>1072</v>
      </c>
      <c r="AC27" s="181" t="str">
        <f>VLOOKUP(AD27,Lookup!$C$4:$D$14,2,FALSE)</f>
        <v>Slight Worsening</v>
      </c>
      <c r="AD27" s="193">
        <f>IF(P27/H27&lt;Lookup!$F$33,-5,IF(P27/H27&lt;Lookup!$F$32,-4,IF(P27/H27&lt;Lookup!$F$31,-3,IF(P27/H27&lt;Lookup!$F$30,-2,IF(P27/H27&lt;Lookup!$F$29,-1,-5)))))</f>
        <v>-1</v>
      </c>
      <c r="AE27" s="194" t="str">
        <f>VLOOKUP(AD27,Lookup!$G$28:$J$33,2,FALSE)</f>
        <v>One-time practice implementation cost 5% or less of enterprise annual net income</v>
      </c>
      <c r="AF27" s="281" t="s">
        <v>1863</v>
      </c>
      <c r="AG27" s="181" t="str">
        <f>VLOOKUP(AH27,Lookup!$C$4:$D$14,2,FALSE)</f>
        <v>No Effect</v>
      </c>
      <c r="AH27" s="193">
        <f>IF(J27&gt;Lookup!$F$43,-5,IF(J27&gt;Lookup!$F$42,-4,IF(J27&gt;Lookup!$F$41,-3,IF(J27&gt;Lookup!$F$40,-2,IF(J27&gt;Lookup!$F$39,-1,0)))))</f>
        <v>0</v>
      </c>
      <c r="AI27" s="194" t="str">
        <f>VLOOKUP(AH27,Lookup!$G$38:$J$43,2,FALSE)</f>
        <v>No O&amp;M costs</v>
      </c>
      <c r="AJ27" s="281" t="s">
        <v>3005</v>
      </c>
      <c r="AK27" s="181" t="str">
        <f>VLOOKUP(AL27,Lookup!$C$4:$D$14,2,FALSE)</f>
        <v>No Effect</v>
      </c>
      <c r="AL27" s="346">
        <f>IF(N27=0,0,IF(U27&lt;Lookup!$F$58,-5,IF(U27&lt;Lookup!$F$57,-4,IF(U27&lt;Lookup!$F$56,-3,IF(U27&lt;Lookup!$F$55,-2,IF(U27&lt;Lookup!$F$54,-1,IF(U27&lt;Lookup!$F$53,0,IF(U27&lt;Lookup!$F$52,1,IF(U27&lt;Lookup!$F$51,2,IF(U27&lt;Lookup!$F$50,3,IF(U27&lt;Lookup!$F$49,4,5)))))))))))</f>
        <v>0</v>
      </c>
      <c r="AM27" s="194" t="str">
        <f>VLOOKUP(AL27,Lookup!$G$48:$J$58,2,FALSE)</f>
        <v>B/C Ratio .75 to 1.25</v>
      </c>
      <c r="AN27" s="281" t="s">
        <v>3023</v>
      </c>
      <c r="AO27" s="181" t="str">
        <f>VLOOKUP(AP27,Lookup!$C$4:$D$14,2,FALSE)</f>
        <v>Slight Improvement</v>
      </c>
      <c r="AP27" s="193">
        <f>IF(Q27=0,0,IF(Q27&gt;Lookup!$F$63,5,IF(Q27&gt;Lookup!$F$64,4,IF(Q27&gt;Lookup!$F$65,3,IF(Q27&gt;Lookup!$F$66,2,IF(Q27&gt;Lookup!$F$67,1,IF(Q27&gt;Lookup!$F$69,-1,IF(Q27&gt;Lookup!$F$70,-2,IF(Q27&gt;Lookup!$F$71,-3,IF(Q27&gt;Lookup!$F$72,-4,-5))))))))))</f>
        <v>1</v>
      </c>
      <c r="AQ27" s="194" t="str">
        <f>VLOOKUP(AP27,Lookup!$G$63:$J$73,2,FALSE)</f>
        <v>5% or less yield increase</v>
      </c>
      <c r="AR27" s="281" t="s">
        <v>3083</v>
      </c>
      <c r="AS27" s="181" t="str">
        <f>VLOOKUP(AT27,Lookup!$C$4:$D$14,2,FALSE)</f>
        <v>Substantial Improvement</v>
      </c>
      <c r="AT27" s="193">
        <f>IF(V27=0,0,IF(V27&lt;Lookup!$F$79,5,IF(V27&lt;Lookup!$F$80,4,IF(V27&lt;Lookup!$F$81,3,IF(V27&lt;Lookup!$F$82,2,IF(V27&lt;Lookup!$F$83,1,IF(V27&lt;Lookup!$F$85,-1,IF(V27&lt;Lookup!$F$86,-2,IF(V27&lt;Lookup!$F$87,-3,IF(V27&lt;Lookup!$F$88,-4,-5))))))))))</f>
        <v>5</v>
      </c>
      <c r="AU27" s="194" t="str">
        <f>VLOOKUP(AT27,Lookup!$G$79:$J$89,2,FALSE)</f>
        <v>1 or less years to breakeven</v>
      </c>
      <c r="AV27" s="345" t="str">
        <f>VLOOKUP(AT27,Lookup!$G$79:$J$89,4,FALSE)</f>
        <v>Annual benefits significantly greater than annual costs</v>
      </c>
      <c r="AW27" s="181" t="str">
        <f>VLOOKUP(AX27,Lookup!$C$4:$D$14,2,FALSE)</f>
        <v>No Effect</v>
      </c>
      <c r="AX27" s="193">
        <f>VLOOKUP(AY27,Lookup!$G$92:$J$97,4,FALSE)</f>
        <v>0</v>
      </c>
      <c r="AY27" s="181" t="s">
        <v>2642</v>
      </c>
      <c r="AZ27" s="281" t="s">
        <v>3154</v>
      </c>
      <c r="BA27" s="181" t="str">
        <f>VLOOKUP(BB27,Lookup!$C$4:$D$14,2,FALSE)</f>
        <v>No Effect</v>
      </c>
      <c r="BB27" s="193">
        <f>VLOOKUP(BC27,Lookup!$G$100:$K$110,5,FALSE)</f>
        <v>0</v>
      </c>
      <c r="BC27" s="181" t="s">
        <v>2643</v>
      </c>
      <c r="BD27" s="281" t="s">
        <v>3191</v>
      </c>
      <c r="BE27" s="181" t="str">
        <f>VLOOKUP(BF27,Lookup!$C$4:$D$14,2,FALSE)</f>
        <v>No Effect</v>
      </c>
      <c r="BF27" s="193">
        <f>IF(X27=0,0,IF(X27&gt;Lookup!$F$113,-5,IF(X27&gt;Lookup!$F$114,-4,IF(X27&gt;Lookup!$F$115,-3,IF(X27&gt;Lookup!$F$116,-2,IF(X27&gt;Lookup!$F$117,-1,0))))))</f>
        <v>0</v>
      </c>
      <c r="BG27" s="195" t="str">
        <f>VLOOKUP(BF27,Lookup!$G$113:$H$118,2,FALSE)</f>
        <v>No change in on-farm equipment</v>
      </c>
      <c r="BH27" s="281" t="s">
        <v>3230</v>
      </c>
      <c r="BI27" s="181" t="str">
        <f>VLOOKUP(BJ27,Lookup!$C$4:$D$14,2,FALSE)</f>
        <v>Slight Worsening</v>
      </c>
      <c r="BJ27" s="193">
        <f>VLOOKUP(BK27,Lookup!$G$121:$L$131,6,FALSE)</f>
        <v>-1</v>
      </c>
      <c r="BK27" s="181" t="s">
        <v>2640</v>
      </c>
      <c r="BL27" s="281" t="s">
        <v>3268</v>
      </c>
      <c r="BM27" s="181" t="str">
        <f>VLOOKUP(BN27,Lookup!$C$4:$D$14,2,FALSE)</f>
        <v>Slight Worsening</v>
      </c>
      <c r="BN27" s="193">
        <f>VLOOKUP(BO27,Lookup!$G$134:$L$144,6,FALSE)</f>
        <v>-1</v>
      </c>
      <c r="BO27" s="181" t="s">
        <v>3373</v>
      </c>
      <c r="BP27" s="281" t="s">
        <v>3380</v>
      </c>
      <c r="BQ27" s="181" t="str">
        <f>VLOOKUP(BR27,Lookup!$C$4:$D$14,2,FALSE)</f>
        <v>Slight Worsening</v>
      </c>
      <c r="BR27" s="193">
        <f>VLOOKUP(BS27,Lookup!$G$147:$L$157,6,FALSE)</f>
        <v>-1</v>
      </c>
      <c r="BS27" s="181" t="s">
        <v>2658</v>
      </c>
      <c r="BT27" s="281" t="s">
        <v>3440</v>
      </c>
      <c r="BU27" s="175" t="s">
        <v>2231</v>
      </c>
    </row>
    <row r="28" spans="1:73" ht="39.950000000000003" customHeight="1" thickBot="1" x14ac:dyDescent="0.25">
      <c r="A28" s="173">
        <f t="shared" si="4"/>
        <v>26</v>
      </c>
      <c r="B28" s="178" t="s">
        <v>2188</v>
      </c>
      <c r="C28" s="179" t="s">
        <v>1605</v>
      </c>
      <c r="D28" s="180">
        <v>331</v>
      </c>
      <c r="E28" s="180" t="s">
        <v>3646</v>
      </c>
      <c r="F28" s="273" t="str">
        <f>VLOOKUP($D28,'Practice Descriptions'!$E$11:$F$186,2,FALSE)</f>
        <v>Planting orchards, vineyards, or other perennial crops so that all cultural operations are done on or near the contour.</v>
      </c>
      <c r="G28" s="182">
        <v>10</v>
      </c>
      <c r="H28" s="183">
        <v>10</v>
      </c>
      <c r="I28" s="184">
        <v>0</v>
      </c>
      <c r="J28" s="184">
        <v>0.01</v>
      </c>
      <c r="K28" s="419">
        <f>IF(E28="No.",1,IF(E28="Ac.",1,(SQRT(VLOOKUP(O28,Lookup!$F$9:$H$18,3,FALSE)))*208/VLOOKUP(O28,Lookup!$F$9:$H$18,3,FALSE)))</f>
        <v>1</v>
      </c>
      <c r="L28" s="185" t="str">
        <f t="shared" si="0"/>
        <v/>
      </c>
      <c r="M28" s="184">
        <v>0</v>
      </c>
      <c r="N28" s="186">
        <f>IF(G28=1,H28,PMT(Lookup!$G$4,G28,-H28)+(H28*J28)+(M28*P28))*K28</f>
        <v>1.4029188056839719</v>
      </c>
      <c r="O28" s="187" t="s">
        <v>1110</v>
      </c>
      <c r="P28" s="186">
        <f>VLOOKUP($O28,Lookup!$F$9:$I$18,4,FALSE)</f>
        <v>300</v>
      </c>
      <c r="Q28" s="184">
        <v>0.01</v>
      </c>
      <c r="R28" s="183">
        <v>0</v>
      </c>
      <c r="S28" s="188"/>
      <c r="T28" s="186">
        <f t="shared" si="2"/>
        <v>3</v>
      </c>
      <c r="U28" s="189">
        <f t="shared" si="3"/>
        <v>2.1383988780002099</v>
      </c>
      <c r="V28" s="189">
        <f t="shared" si="1"/>
        <v>3.3333333333333335</v>
      </c>
      <c r="W28" s="190">
        <f>IF(P28=0,0,IF(Q28+R28=0,0,PV(Lookup!$G$4,G28,-T28)/H28))</f>
        <v>2.3025226030298489</v>
      </c>
      <c r="X28" s="190">
        <f>IF(I28=0,0,PMT(Lookup!$G$4,G28,-(H28*I28*K28))/P28)</f>
        <v>0</v>
      </c>
      <c r="Y28" s="42" t="s">
        <v>963</v>
      </c>
      <c r="Z28" s="192">
        <f>VLOOKUP(Y28,Lookup!$B$4:$C$14,2,FALSE)</f>
        <v>2</v>
      </c>
      <c r="AA28" s="281" t="s">
        <v>1768</v>
      </c>
      <c r="AB28" s="282" t="s">
        <v>1072</v>
      </c>
      <c r="AC28" s="181" t="str">
        <f>VLOOKUP(AD28,Lookup!$C$4:$D$14,2,FALSE)</f>
        <v>Slight Worsening</v>
      </c>
      <c r="AD28" s="193">
        <f>IF(P28/H28&lt;Lookup!$F$33,-5,IF(P28/H28&lt;Lookup!$F$32,-4,IF(P28/H28&lt;Lookup!$F$31,-3,IF(P28/H28&lt;Lookup!$F$30,-2,IF(P28/H28&lt;Lookup!$F$29,-1,-5)))))</f>
        <v>-1</v>
      </c>
      <c r="AE28" s="194" t="str">
        <f>VLOOKUP(AD28,Lookup!$G$28:$J$33,2,FALSE)</f>
        <v>One-time practice implementation cost 5% or less of enterprise annual net income</v>
      </c>
      <c r="AF28" s="281" t="s">
        <v>1863</v>
      </c>
      <c r="AG28" s="181" t="str">
        <f>VLOOKUP(AH28,Lookup!$C$4:$D$14,2,FALSE)</f>
        <v>Slight Worsening</v>
      </c>
      <c r="AH28" s="193">
        <f>IF(J28&gt;Lookup!$F$43,-5,IF(J28&gt;Lookup!$F$42,-4,IF(J28&gt;Lookup!$F$41,-3,IF(J28&gt;Lookup!$F$40,-2,IF(J28&gt;Lookup!$F$39,-1,0)))))</f>
        <v>-1</v>
      </c>
      <c r="AI28" s="194" t="str">
        <f>VLOOKUP(AH28,Lookup!$G$38:$J$43,2,FALSE)</f>
        <v>Annual O&amp;M costs less than 1% of total installation costs</v>
      </c>
      <c r="AJ28" s="281" t="s">
        <v>2978</v>
      </c>
      <c r="AK28" s="181" t="str">
        <f>VLOOKUP(AL28,Lookup!$C$4:$D$14,2,FALSE)</f>
        <v>Moderate to Substantial Improvement</v>
      </c>
      <c r="AL28" s="346">
        <f>IF(N28=0,0,IF(U28&lt;Lookup!$F$58,-5,IF(U28&lt;Lookup!$F$57,-4,IF(U28&lt;Lookup!$F$56,-3,IF(U28&lt;Lookup!$F$55,-2,IF(U28&lt;Lookup!$F$54,-1,IF(U28&lt;Lookup!$F$53,0,IF(U28&lt;Lookup!$F$52,1,IF(U28&lt;Lookup!$F$51,2,IF(U28&lt;Lookup!$F$50,3,IF(U28&lt;Lookup!$F$49,4,5)))))))))))</f>
        <v>4</v>
      </c>
      <c r="AM28" s="194" t="str">
        <f>VLOOKUP(AL28,Lookup!$G$48:$J$58,2,FALSE)</f>
        <v>B/C Ratio 2.00 to 2.25</v>
      </c>
      <c r="AN28" s="281" t="s">
        <v>3023</v>
      </c>
      <c r="AO28" s="181" t="str">
        <f>VLOOKUP(AP28,Lookup!$C$4:$D$14,2,FALSE)</f>
        <v>Slight Improvement</v>
      </c>
      <c r="AP28" s="193">
        <f>IF(Q28=0,0,IF(Q28&gt;Lookup!$F$63,5,IF(Q28&gt;Lookup!$F$64,4,IF(Q28&gt;Lookup!$F$65,3,IF(Q28&gt;Lookup!$F$66,2,IF(Q28&gt;Lookup!$F$67,1,IF(Q28&gt;Lookup!$F$69,-1,IF(Q28&gt;Lookup!$F$70,-2,IF(Q28&gt;Lookup!$F$71,-3,IF(Q28&gt;Lookup!$F$72,-4,-5))))))))))</f>
        <v>1</v>
      </c>
      <c r="AQ28" s="194" t="str">
        <f>VLOOKUP(AP28,Lookup!$G$63:$J$73,2,FALSE)</f>
        <v>5% or less yield increase</v>
      </c>
      <c r="AR28" s="281" t="s">
        <v>3083</v>
      </c>
      <c r="AS28" s="181" t="str">
        <f>VLOOKUP(AT28,Lookup!$C$4:$D$14,2,FALSE)</f>
        <v>Slight to Moderate Improvement</v>
      </c>
      <c r="AT28" s="193">
        <f>IF(V28=0,0,IF(V28&lt;Lookup!$F$79,5,IF(V28&lt;Lookup!$F$80,4,IF(V28&lt;Lookup!$F$81,3,IF(V28&lt;Lookup!$F$82,2,IF(V28&lt;Lookup!$F$83,1,IF(V28&lt;Lookup!$F$85,-1,IF(V28&lt;Lookup!$F$86,-2,IF(V28&lt;Lookup!$F$87,-3,IF(V28&lt;Lookup!$F$88,-4,-5))))))))))</f>
        <v>2</v>
      </c>
      <c r="AU28" s="194" t="str">
        <f>VLOOKUP(AT28,Lookup!$G$79:$J$89,2,FALSE)</f>
        <v>3-4 years to breakeven</v>
      </c>
      <c r="AV28" s="345" t="str">
        <f>VLOOKUP(AT28,Lookup!$G$79:$J$89,4,FALSE)</f>
        <v>Annual benefits moderately greater than annual costs</v>
      </c>
      <c r="AW28" s="181" t="str">
        <f>VLOOKUP(AX28,Lookup!$C$4:$D$14,2,FALSE)</f>
        <v>No Effect</v>
      </c>
      <c r="AX28" s="193">
        <f>VLOOKUP(AY28,Lookup!$G$92:$J$97,4,FALSE)</f>
        <v>0</v>
      </c>
      <c r="AY28" s="181" t="s">
        <v>2642</v>
      </c>
      <c r="AZ28" s="281" t="s">
        <v>3154</v>
      </c>
      <c r="BA28" s="181" t="str">
        <f>VLOOKUP(BB28,Lookup!$C$4:$D$14,2,FALSE)</f>
        <v>No Effect</v>
      </c>
      <c r="BB28" s="193">
        <f>VLOOKUP(BC28,Lookup!$G$100:$K$110,5,FALSE)</f>
        <v>0</v>
      </c>
      <c r="BC28" s="181" t="s">
        <v>2643</v>
      </c>
      <c r="BD28" s="281" t="s">
        <v>3191</v>
      </c>
      <c r="BE28" s="181" t="str">
        <f>VLOOKUP(BF28,Lookup!$C$4:$D$14,2,FALSE)</f>
        <v>No Effect</v>
      </c>
      <c r="BF28" s="193">
        <f>IF(X28=0,0,IF(X28&gt;Lookup!$F$113,-5,IF(X28&gt;Lookup!$F$114,-4,IF(X28&gt;Lookup!$F$115,-3,IF(X28&gt;Lookup!$F$116,-2,IF(X28&gt;Lookup!$F$117,-1,0))))))</f>
        <v>0</v>
      </c>
      <c r="BG28" s="195" t="str">
        <f>VLOOKUP(BF28,Lookup!$G$113:$H$118,2,FALSE)</f>
        <v>No change in on-farm equipment</v>
      </c>
      <c r="BH28" s="281" t="s">
        <v>3230</v>
      </c>
      <c r="BI28" s="181" t="str">
        <f>VLOOKUP(BJ28,Lookup!$C$4:$D$14,2,FALSE)</f>
        <v>Slight Worsening</v>
      </c>
      <c r="BJ28" s="193">
        <f>VLOOKUP(BK28,Lookup!$G$121:$L$131,6,FALSE)</f>
        <v>-1</v>
      </c>
      <c r="BK28" s="181" t="s">
        <v>2640</v>
      </c>
      <c r="BL28" s="281" t="s">
        <v>3268</v>
      </c>
      <c r="BM28" s="181" t="str">
        <f>VLOOKUP(BN28,Lookup!$C$4:$D$14,2,FALSE)</f>
        <v>Slight Worsening</v>
      </c>
      <c r="BN28" s="193">
        <f>VLOOKUP(BO28,Lookup!$G$134:$L$144,6,FALSE)</f>
        <v>-1</v>
      </c>
      <c r="BO28" s="181" t="s">
        <v>3373</v>
      </c>
      <c r="BP28" s="281" t="s">
        <v>3380</v>
      </c>
      <c r="BQ28" s="181" t="str">
        <f>VLOOKUP(BR28,Lookup!$C$4:$D$14,2,FALSE)</f>
        <v>Slight Worsening</v>
      </c>
      <c r="BR28" s="193">
        <f>VLOOKUP(BS28,Lookup!$G$147:$L$157,6,FALSE)</f>
        <v>-1</v>
      </c>
      <c r="BS28" s="181" t="s">
        <v>2658</v>
      </c>
      <c r="BT28" s="281" t="s">
        <v>3440</v>
      </c>
      <c r="BU28" s="175" t="s">
        <v>2231</v>
      </c>
    </row>
    <row r="29" spans="1:73" ht="39.950000000000003" customHeight="1" thickBot="1" x14ac:dyDescent="0.25">
      <c r="A29" s="173">
        <f t="shared" si="4"/>
        <v>27</v>
      </c>
      <c r="B29" s="178" t="s">
        <v>582</v>
      </c>
      <c r="C29" s="179" t="s">
        <v>1605</v>
      </c>
      <c r="D29" s="180">
        <v>340</v>
      </c>
      <c r="E29" s="180" t="s">
        <v>3646</v>
      </c>
      <c r="F29" s="273" t="str">
        <f>VLOOKUP($D29,'Practice Descriptions'!$E$11:$F$186,2,FALSE)</f>
        <v>Crops including grasses, legumes, and forbs for seasonal cover and other conservation purposes.</v>
      </c>
      <c r="G29" s="182">
        <v>1</v>
      </c>
      <c r="H29" s="183">
        <v>50</v>
      </c>
      <c r="I29" s="184">
        <v>0</v>
      </c>
      <c r="J29" s="184">
        <v>0</v>
      </c>
      <c r="K29" s="419">
        <f>IF(E29="No.",1,IF(E29="Ac.",1,(SQRT(VLOOKUP(O29,Lookup!$F$9:$H$18,3,FALSE)))*208/VLOOKUP(O29,Lookup!$F$9:$H$18,3,FALSE)))</f>
        <v>1</v>
      </c>
      <c r="L29" s="185" t="str">
        <f t="shared" si="0"/>
        <v/>
      </c>
      <c r="M29" s="184">
        <v>0</v>
      </c>
      <c r="N29" s="186">
        <f>IF(G29=1,H29,PMT(Lookup!$G$4,G29,-H29)+(H29*J29)+(M29*P29))*K29</f>
        <v>50</v>
      </c>
      <c r="O29" s="187" t="s">
        <v>1110</v>
      </c>
      <c r="P29" s="186">
        <f>VLOOKUP($O29,Lookup!$F$9:$I$18,4,FALSE)</f>
        <v>300</v>
      </c>
      <c r="Q29" s="184">
        <v>0.1</v>
      </c>
      <c r="R29" s="183">
        <v>6</v>
      </c>
      <c r="S29" s="188" t="s">
        <v>3614</v>
      </c>
      <c r="T29" s="186">
        <f t="shared" si="2"/>
        <v>36</v>
      </c>
      <c r="U29" s="189">
        <f t="shared" si="3"/>
        <v>0.72</v>
      </c>
      <c r="V29" s="189">
        <f t="shared" si="1"/>
        <v>0</v>
      </c>
      <c r="W29" s="190">
        <f>IF(P29=0,0,IF(Q29+R29=0,0,PV(Lookup!$G$4,G29,-T29)/H29))</f>
        <v>0.68489892984542233</v>
      </c>
      <c r="X29" s="190">
        <f>IF(I29=0,0,PMT(Lookup!$G$4,G29,-(H29*I29*K29))/P29)</f>
        <v>0</v>
      </c>
      <c r="Y29" s="42" t="s">
        <v>961</v>
      </c>
      <c r="Z29" s="192">
        <f>VLOOKUP(Y29,Lookup!$B$4:$C$14,2,FALSE)</f>
        <v>-2</v>
      </c>
      <c r="AA29" s="281" t="s">
        <v>1861</v>
      </c>
      <c r="AB29" s="282" t="s">
        <v>1072</v>
      </c>
      <c r="AC29" s="181" t="str">
        <f>VLOOKUP(AD29,Lookup!$C$4:$D$14,2,FALSE)</f>
        <v>Slight to Moderate Worsening</v>
      </c>
      <c r="AD29" s="193">
        <f>IF(P29/H29&lt;Lookup!$F$33,-5,IF(P29/H29&lt;Lookup!$F$32,-4,IF(P29/H29&lt;Lookup!$F$31,-3,IF(P29/H29&lt;Lookup!$F$30,-2,IF(P29/H29&lt;Lookup!$F$29,-1,-5)))))</f>
        <v>-2</v>
      </c>
      <c r="AE29" s="194" t="str">
        <f>VLOOKUP(AD29,Lookup!$G$28:$J$33,2,FALSE)</f>
        <v>One-time practice implementation cost 5 to 100% of enterprise annual net income</v>
      </c>
      <c r="AF29" s="281" t="s">
        <v>1891</v>
      </c>
      <c r="AG29" s="181" t="str">
        <f>VLOOKUP(AH29,Lookup!$C$4:$D$14,2,FALSE)</f>
        <v>No Effect</v>
      </c>
      <c r="AH29" s="193">
        <f>IF(J29&gt;Lookup!$F$43,-5,IF(J29&gt;Lookup!$F$42,-4,IF(J29&gt;Lookup!$F$41,-3,IF(J29&gt;Lookup!$F$40,-2,IF(J29&gt;Lookup!$F$39,-1,0)))))</f>
        <v>0</v>
      </c>
      <c r="AI29" s="194" t="str">
        <f>VLOOKUP(AH29,Lookup!$G$38:$J$43,2,FALSE)</f>
        <v>No O&amp;M costs</v>
      </c>
      <c r="AJ29" s="281" t="s">
        <v>3005</v>
      </c>
      <c r="AK29" s="181" t="str">
        <f>VLOOKUP(AL29,Lookup!$C$4:$D$14,2,FALSE)</f>
        <v>Slight Worsening</v>
      </c>
      <c r="AL29" s="346">
        <f>IF(N29=0,0,IF(U29&lt;Lookup!$F$58,-5,IF(U29&lt;Lookup!$F$57,-4,IF(U29&lt;Lookup!$F$56,-3,IF(U29&lt;Lookup!$F$55,-2,IF(U29&lt;Lookup!$F$54,-1,IF(U29&lt;Lookup!$F$53,0,IF(U29&lt;Lookup!$F$52,1,IF(U29&lt;Lookup!$F$51,2,IF(U29&lt;Lookup!$F$50,3,IF(U29&lt;Lookup!$F$49,4,5)))))))))))</f>
        <v>-1</v>
      </c>
      <c r="AM29" s="194" t="str">
        <f>VLOOKUP(AL29,Lookup!$G$48:$J$58,2,FALSE)</f>
        <v>B/C Ratio .50 to .75</v>
      </c>
      <c r="AN29" s="281" t="s">
        <v>3037</v>
      </c>
      <c r="AO29" s="181" t="str">
        <f>VLOOKUP(AP29,Lookup!$C$4:$D$14,2,FALSE)</f>
        <v>Slight to Moderate Improvement</v>
      </c>
      <c r="AP29" s="193">
        <f>IF(Q29=0,0,IF(Q29&gt;Lookup!$F$63,5,IF(Q29&gt;Lookup!$F$64,4,IF(Q29&gt;Lookup!$F$65,3,IF(Q29&gt;Lookup!$F$66,2,IF(Q29&gt;Lookup!$F$67,1,IF(Q29&gt;Lookup!$F$69,-1,IF(Q29&gt;Lookup!$F$70,-2,IF(Q29&gt;Lookup!$F$71,-3,IF(Q29&gt;Lookup!$F$72,-4,-5))))))))))</f>
        <v>2</v>
      </c>
      <c r="AQ29" s="194" t="str">
        <f>VLOOKUP(AP29,Lookup!$G$63:$J$73,2,FALSE)</f>
        <v>5 to 10% yield increase</v>
      </c>
      <c r="AR29" s="281" t="s">
        <v>3084</v>
      </c>
      <c r="AS29" s="181" t="str">
        <f>VLOOKUP(AT29,Lookup!$C$4:$D$14,2,FALSE)</f>
        <v>No Effect</v>
      </c>
      <c r="AT29" s="193">
        <f>IF(V29=0,0,IF(V29&lt;Lookup!$F$79,5,IF(V29&lt;Lookup!$F$80,4,IF(V29&lt;Lookup!$F$81,3,IF(V29&lt;Lookup!$F$82,2,IF(V29&lt;Lookup!$F$83,1,IF(V29&lt;Lookup!$F$85,-1,IF(V29&lt;Lookup!$F$86,-2,IF(V29&lt;Lookup!$F$87,-3,IF(V29&lt;Lookup!$F$88,-4,-5))))))))))</f>
        <v>0</v>
      </c>
      <c r="AU29" s="194" t="str">
        <f>VLOOKUP(AT29,Lookup!$G$79:$J$89,2,FALSE)</f>
        <v>No breakeven</v>
      </c>
      <c r="AV29" s="345" t="str">
        <f>VLOOKUP(AT29,Lookup!$G$79:$J$89,4,FALSE)</f>
        <v>Annual costs greater than annual benefits</v>
      </c>
      <c r="AW29" s="181" t="str">
        <f>VLOOKUP(AX29,Lookup!$C$4:$D$14,2,FALSE)</f>
        <v>No Effect</v>
      </c>
      <c r="AX29" s="193">
        <f>VLOOKUP(AY29,Lookup!$G$92:$J$97,4,FALSE)</f>
        <v>0</v>
      </c>
      <c r="AY29" s="181" t="s">
        <v>2642</v>
      </c>
      <c r="AZ29" s="281" t="s">
        <v>3158</v>
      </c>
      <c r="BA29" s="181" t="str">
        <f>VLOOKUP(BB29,Lookup!$C$4:$D$14,2,FALSE)</f>
        <v>Moderate Improvement</v>
      </c>
      <c r="BB29" s="193">
        <f>VLOOKUP(BC29,Lookup!$G$100:$K$110,5,FALSE)</f>
        <v>3</v>
      </c>
      <c r="BC29" s="181" t="s">
        <v>2644</v>
      </c>
      <c r="BD29" s="281" t="s">
        <v>3192</v>
      </c>
      <c r="BE29" s="181" t="str">
        <f>VLOOKUP(BF29,Lookup!$C$4:$D$14,2,FALSE)</f>
        <v>No Effect</v>
      </c>
      <c r="BF29" s="193">
        <f>IF(X29=0,0,IF(X29&gt;Lookup!$F$113,-5,IF(X29&gt;Lookup!$F$114,-4,IF(X29&gt;Lookup!$F$115,-3,IF(X29&gt;Lookup!$F$116,-2,IF(X29&gt;Lookup!$F$117,-1,0))))))</f>
        <v>0</v>
      </c>
      <c r="BG29" s="195" t="str">
        <f>VLOOKUP(BF29,Lookup!$G$113:$H$118,2,FALSE)</f>
        <v>No change in on-farm equipment</v>
      </c>
      <c r="BH29" s="281" t="s">
        <v>1849</v>
      </c>
      <c r="BI29" s="181" t="str">
        <f>VLOOKUP(BJ29,Lookup!$C$4:$D$14,2,FALSE)</f>
        <v>Slight Worsening</v>
      </c>
      <c r="BJ29" s="193">
        <f>VLOOKUP(BK29,Lookup!$G$121:$L$131,6,FALSE)</f>
        <v>-1</v>
      </c>
      <c r="BK29" s="181" t="s">
        <v>2640</v>
      </c>
      <c r="BL29" s="281" t="s">
        <v>3269</v>
      </c>
      <c r="BM29" s="181" t="str">
        <f>VLOOKUP(BN29,Lookup!$C$4:$D$14,2,FALSE)</f>
        <v>Slight Worsening</v>
      </c>
      <c r="BN29" s="193">
        <f>VLOOKUP(BO29,Lookup!$G$134:$L$144,6,FALSE)</f>
        <v>-1</v>
      </c>
      <c r="BO29" s="181" t="s">
        <v>3373</v>
      </c>
      <c r="BP29" s="281" t="s">
        <v>3380</v>
      </c>
      <c r="BQ29" s="181" t="str">
        <f>VLOOKUP(BR29,Lookup!$C$4:$D$14,2,FALSE)</f>
        <v>Slight Worsening</v>
      </c>
      <c r="BR29" s="193">
        <f>VLOOKUP(BS29,Lookup!$G$147:$L$157,6,FALSE)</f>
        <v>-1</v>
      </c>
      <c r="BS29" s="181" t="s">
        <v>2658</v>
      </c>
      <c r="BT29" s="281" t="s">
        <v>3441</v>
      </c>
      <c r="BU29" s="175" t="s">
        <v>2231</v>
      </c>
    </row>
    <row r="30" spans="1:73" ht="39.950000000000003" customHeight="1" thickBot="1" x14ac:dyDescent="0.25">
      <c r="A30" s="173">
        <f t="shared" si="4"/>
        <v>28</v>
      </c>
      <c r="B30" s="178" t="s">
        <v>583</v>
      </c>
      <c r="C30" s="179" t="s">
        <v>1463</v>
      </c>
      <c r="D30" s="180">
        <v>342</v>
      </c>
      <c r="E30" s="180" t="s">
        <v>3646</v>
      </c>
      <c r="F30" s="273" t="str">
        <f>VLOOKUP($D30,'Practice Descriptions'!$E$11:$F$186,2,FALSE)</f>
        <v>Establishing permanent vegetation on sites that have, or are expected to have, high erosion rates, and on sites that have physical, chemical or biological conditions that prevent the establishment of vegetation with normal practices.</v>
      </c>
      <c r="G30" s="182">
        <v>10</v>
      </c>
      <c r="H30" s="183">
        <v>150</v>
      </c>
      <c r="I30" s="184">
        <v>0</v>
      </c>
      <c r="J30" s="184">
        <v>0.03</v>
      </c>
      <c r="K30" s="419">
        <f>IF(E30="No.",1,IF(E30="Ac.",1,(SQRT(VLOOKUP(O30,Lookup!$F$9:$H$18,3,FALSE)))*208/VLOOKUP(O30,Lookup!$F$9:$H$18,3,FALSE)))</f>
        <v>1</v>
      </c>
      <c r="L30" s="185" t="str">
        <f t="shared" si="0"/>
        <v/>
      </c>
      <c r="M30" s="184">
        <v>1</v>
      </c>
      <c r="N30" s="186">
        <f>IF(G30=1,H30,PMT(Lookup!$G$4,G30,-H30)+(H30*J30)+(M30*P30))*K30</f>
        <v>324.04378208525958</v>
      </c>
      <c r="O30" s="187" t="s">
        <v>1110</v>
      </c>
      <c r="P30" s="186">
        <f>VLOOKUP($O30,Lookup!$F$9:$I$18,4,FALSE)</f>
        <v>300</v>
      </c>
      <c r="Q30" s="184">
        <v>0</v>
      </c>
      <c r="R30" s="183">
        <v>5</v>
      </c>
      <c r="S30" s="188" t="s">
        <v>3587</v>
      </c>
      <c r="T30" s="186">
        <f t="shared" si="2"/>
        <v>5</v>
      </c>
      <c r="U30" s="189">
        <f t="shared" si="3"/>
        <v>1.5430013709334016E-2</v>
      </c>
      <c r="V30" s="189">
        <f t="shared" si="1"/>
        <v>0</v>
      </c>
      <c r="W30" s="190">
        <f>IF(P30=0,0,IF(Q30+R30=0,0,PV(Lookup!$G$4,G30,-T30)/H30))</f>
        <v>0.25583584478109433</v>
      </c>
      <c r="X30" s="190">
        <f>IF(I30=0,0,PMT(Lookup!$G$4,G30,-(H30*I30*K30))/P30)</f>
        <v>0</v>
      </c>
      <c r="Y30" s="42" t="s">
        <v>961</v>
      </c>
      <c r="Z30" s="192">
        <f>VLOOKUP(Y30,Lookup!$B$4:$C$14,2,FALSE)</f>
        <v>-2</v>
      </c>
      <c r="AA30" s="281" t="s">
        <v>1861</v>
      </c>
      <c r="AB30" s="282" t="s">
        <v>1072</v>
      </c>
      <c r="AC30" s="181" t="str">
        <f>VLOOKUP(AD30,Lookup!$C$4:$D$14,2,FALSE)</f>
        <v>Slight to Moderate Worsening</v>
      </c>
      <c r="AD30" s="193">
        <f>IF(P30/H30&lt;Lookup!$F$33,-5,IF(P30/H30&lt;Lookup!$F$32,-4,IF(P30/H30&lt;Lookup!$F$31,-3,IF(P30/H30&lt;Lookup!$F$30,-2,IF(P30/H30&lt;Lookup!$F$29,-1,-5)))))</f>
        <v>-2</v>
      </c>
      <c r="AE30" s="194" t="str">
        <f>VLOOKUP(AD30,Lookup!$G$28:$J$33,2,FALSE)</f>
        <v>One-time practice implementation cost 5 to 100% of enterprise annual net income</v>
      </c>
      <c r="AF30" s="281" t="s">
        <v>1891</v>
      </c>
      <c r="AG30" s="181" t="str">
        <f>VLOOKUP(AH30,Lookup!$C$4:$D$14,2,FALSE)</f>
        <v>Moderate Worsening</v>
      </c>
      <c r="AH30" s="193">
        <f>IF(J30&gt;Lookup!$F$43,-5,IF(J30&gt;Lookup!$F$42,-4,IF(J30&gt;Lookup!$F$41,-3,IF(J30&gt;Lookup!$F$40,-2,IF(J30&gt;Lookup!$F$39,-1,0)))))</f>
        <v>-3</v>
      </c>
      <c r="AI30" s="194" t="str">
        <f>VLOOKUP(AH30,Lookup!$G$38:$J$43,2,FALSE)</f>
        <v>Annual O&amp;M costs 2 to 3% of total installation costs</v>
      </c>
      <c r="AJ30" s="281" t="s">
        <v>2978</v>
      </c>
      <c r="AK30" s="181" t="str">
        <f>VLOOKUP(AL30,Lookup!$C$4:$D$14,2,FALSE)</f>
        <v>Substantial Worsening</v>
      </c>
      <c r="AL30" s="346">
        <f>IF(N30=0,0,IF(U30&lt;Lookup!$F$58,-5,IF(U30&lt;Lookup!$F$57,-4,IF(U30&lt;Lookup!$F$56,-3,IF(U30&lt;Lookup!$F$55,-2,IF(U30&lt;Lookup!$F$54,-1,IF(U30&lt;Lookup!$F$53,0,IF(U30&lt;Lookup!$F$52,1,IF(U30&lt;Lookup!$F$51,2,IF(U30&lt;Lookup!$F$50,3,IF(U30&lt;Lookup!$F$49,4,5)))))))))))</f>
        <v>-5</v>
      </c>
      <c r="AM30" s="194" t="str">
        <f>VLOOKUP(AL30,Lookup!$G$48:$J$58,2,FALSE)</f>
        <v>B/C Ratio less than .02</v>
      </c>
      <c r="AN30" s="281" t="s">
        <v>1843</v>
      </c>
      <c r="AO30" s="181" t="str">
        <f>VLOOKUP(AP30,Lookup!$C$4:$D$14,2,FALSE)</f>
        <v>No Effect</v>
      </c>
      <c r="AP30" s="193">
        <f>IF(Q30=0,0,IF(Q30&gt;Lookup!$F$63,5,IF(Q30&gt;Lookup!$F$64,4,IF(Q30&gt;Lookup!$F$65,3,IF(Q30&gt;Lookup!$F$66,2,IF(Q30&gt;Lookup!$F$67,1,IF(Q30&gt;Lookup!$F$69,-1,IF(Q30&gt;Lookup!$F$70,-2,IF(Q30&gt;Lookup!$F$71,-3,IF(Q30&gt;Lookup!$F$72,-4,-5))))))))))</f>
        <v>0</v>
      </c>
      <c r="AQ30" s="194" t="str">
        <f>VLOOKUP(AP30,Lookup!$G$63:$J$73,2,FALSE)</f>
        <v>No change in yield</v>
      </c>
      <c r="AR30" s="281" t="s">
        <v>3085</v>
      </c>
      <c r="AS30" s="181" t="str">
        <f>VLOOKUP(AT30,Lookup!$C$4:$D$14,2,FALSE)</f>
        <v>No Effect</v>
      </c>
      <c r="AT30" s="193">
        <f>IF(V30=0,0,IF(V30&lt;Lookup!$F$79,5,IF(V30&lt;Lookup!$F$80,4,IF(V30&lt;Lookup!$F$81,3,IF(V30&lt;Lookup!$F$82,2,IF(V30&lt;Lookup!$F$83,1,IF(V30&lt;Lookup!$F$85,-1,IF(V30&lt;Lookup!$F$86,-2,IF(V30&lt;Lookup!$F$87,-3,IF(V30&lt;Lookup!$F$88,-4,-5))))))))))</f>
        <v>0</v>
      </c>
      <c r="AU30" s="194" t="str">
        <f>VLOOKUP(AT30,Lookup!$G$79:$J$89,2,FALSE)</f>
        <v>No breakeven</v>
      </c>
      <c r="AV30" s="345" t="str">
        <f>VLOOKUP(AT30,Lookup!$G$79:$J$89,4,FALSE)</f>
        <v>Annual costs greater than annual benefits</v>
      </c>
      <c r="AW30" s="181" t="str">
        <f>VLOOKUP(AX30,Lookup!$C$4:$D$14,2,FALSE)</f>
        <v>Slight to Moderate Improvement</v>
      </c>
      <c r="AX30" s="193">
        <f>VLOOKUP(AY30,Lookup!$G$92:$J$97,4,FALSE)</f>
        <v>2</v>
      </c>
      <c r="AY30" s="181" t="s">
        <v>2653</v>
      </c>
      <c r="AZ30" s="281" t="s">
        <v>3157</v>
      </c>
      <c r="BA30" s="181" t="str">
        <f>VLOOKUP(BB30,Lookup!$C$4:$D$14,2,FALSE)</f>
        <v>Slight Worsening</v>
      </c>
      <c r="BB30" s="193">
        <f>VLOOKUP(BC30,Lookup!$G$100:$K$110,5,FALSE)</f>
        <v>-1</v>
      </c>
      <c r="BC30" s="181" t="s">
        <v>2637</v>
      </c>
      <c r="BD30" s="281" t="s">
        <v>3184</v>
      </c>
      <c r="BE30" s="181" t="str">
        <f>VLOOKUP(BF30,Lookup!$C$4:$D$14,2,FALSE)</f>
        <v>No Effect</v>
      </c>
      <c r="BF30" s="193">
        <f>IF(X30=0,0,IF(X30&gt;Lookup!$F$113,-5,IF(X30&gt;Lookup!$F$114,-4,IF(X30&gt;Lookup!$F$115,-3,IF(X30&gt;Lookup!$F$116,-2,IF(X30&gt;Lookup!$F$117,-1,0))))))</f>
        <v>0</v>
      </c>
      <c r="BG30" s="195" t="str">
        <f>VLOOKUP(BF30,Lookup!$G$113:$H$118,2,FALSE)</f>
        <v>No change in on-farm equipment</v>
      </c>
      <c r="BH30" s="281" t="s">
        <v>1849</v>
      </c>
      <c r="BI30" s="181" t="str">
        <f>VLOOKUP(BJ30,Lookup!$C$4:$D$14,2,FALSE)</f>
        <v>Slight Improvement</v>
      </c>
      <c r="BJ30" s="193">
        <f>VLOOKUP(BK30,Lookup!$G$121:$L$131,6,FALSE)</f>
        <v>1</v>
      </c>
      <c r="BK30" s="181" t="s">
        <v>2638</v>
      </c>
      <c r="BL30" s="281" t="s">
        <v>3270</v>
      </c>
      <c r="BM30" s="181" t="str">
        <f>VLOOKUP(BN30,Lookup!$C$4:$D$14,2,FALSE)</f>
        <v>Slight to Moderate Improvement</v>
      </c>
      <c r="BN30" s="193">
        <f>VLOOKUP(BO30,Lookup!$G$134:$L$144,6,FALSE)</f>
        <v>2</v>
      </c>
      <c r="BO30" s="181" t="s">
        <v>3371</v>
      </c>
      <c r="BP30" s="281" t="s">
        <v>3382</v>
      </c>
      <c r="BQ30" s="181" t="str">
        <f>VLOOKUP(BR30,Lookup!$C$4:$D$14,2,FALSE)</f>
        <v>Slight Worsening</v>
      </c>
      <c r="BR30" s="193">
        <f>VLOOKUP(BS30,Lookup!$G$147:$L$157,6,FALSE)</f>
        <v>-1</v>
      </c>
      <c r="BS30" s="181" t="s">
        <v>2658</v>
      </c>
      <c r="BT30" s="281" t="s">
        <v>3442</v>
      </c>
      <c r="BU30" s="175" t="s">
        <v>2231</v>
      </c>
    </row>
    <row r="31" spans="1:73" ht="39.950000000000003" customHeight="1" thickBot="1" x14ac:dyDescent="0.25">
      <c r="A31" s="173">
        <f t="shared" si="4"/>
        <v>29</v>
      </c>
      <c r="B31" s="178" t="s">
        <v>584</v>
      </c>
      <c r="C31" s="179" t="s">
        <v>1605</v>
      </c>
      <c r="D31" s="180">
        <v>588</v>
      </c>
      <c r="E31" s="180" t="s">
        <v>3646</v>
      </c>
      <c r="F31" s="273" t="str">
        <f>VLOOKUP($D31,'Practice Descriptions'!$E$11:$F$186,2,FALSE)</f>
        <v>Ridges formed by tillage, planting or other operations and aligned across the direction of erosive wind</v>
      </c>
      <c r="G31" s="182">
        <v>5</v>
      </c>
      <c r="H31" s="183">
        <v>90</v>
      </c>
      <c r="I31" s="184">
        <v>0</v>
      </c>
      <c r="J31" s="184">
        <v>0.05</v>
      </c>
      <c r="K31" s="419">
        <f>IF(E31="No.",1,IF(E31="Ac.",1,(SQRT(VLOOKUP(O31,Lookup!$F$9:$H$18,3,FALSE)))*208/VLOOKUP(O31,Lookup!$F$9:$H$18,3,FALSE)))</f>
        <v>1</v>
      </c>
      <c r="L31" s="185" t="str">
        <f t="shared" si="0"/>
        <v/>
      </c>
      <c r="M31" s="184">
        <v>0.05</v>
      </c>
      <c r="N31" s="186">
        <f>IF(G31=1,H31,PMT(Lookup!$G$4,G31,-H31)+(H31*J31)+(M31*P31))*K31</f>
        <v>40.359613306300325</v>
      </c>
      <c r="O31" s="187" t="s">
        <v>1110</v>
      </c>
      <c r="P31" s="186">
        <f>VLOOKUP($O31,Lookup!$F$9:$I$18,4,FALSE)</f>
        <v>300</v>
      </c>
      <c r="Q31" s="184">
        <v>0.1</v>
      </c>
      <c r="R31" s="183">
        <v>2</v>
      </c>
      <c r="S31" s="188" t="s">
        <v>3615</v>
      </c>
      <c r="T31" s="186">
        <f t="shared" si="2"/>
        <v>32</v>
      </c>
      <c r="U31" s="189">
        <f t="shared" si="3"/>
        <v>0.79287181859605804</v>
      </c>
      <c r="V31" s="189">
        <f t="shared" si="1"/>
        <v>0</v>
      </c>
      <c r="W31" s="190">
        <f>IF(P31=0,0,IF(Q31+R31=0,0,PV(Lookup!$G$4,G31,-T31)/H31))</f>
        <v>1.5340648711994529</v>
      </c>
      <c r="X31" s="190">
        <f>IF(I31=0,0,PMT(Lookup!$G$4,G31,-(H31*I31*K31))/P31)</f>
        <v>0</v>
      </c>
      <c r="Y31" s="42" t="s">
        <v>961</v>
      </c>
      <c r="Z31" s="192">
        <f>VLOOKUP(Y31,Lookup!$B$4:$C$14,2,FALSE)</f>
        <v>-2</v>
      </c>
      <c r="AA31" s="281" t="s">
        <v>1861</v>
      </c>
      <c r="AB31" s="282" t="s">
        <v>1072</v>
      </c>
      <c r="AC31" s="181" t="str">
        <f>VLOOKUP(AD31,Lookup!$C$4:$D$14,2,FALSE)</f>
        <v>Slight to Moderate Worsening</v>
      </c>
      <c r="AD31" s="193">
        <f>IF(P31/H31&lt;Lookup!$F$33,-5,IF(P31/H31&lt;Lookup!$F$32,-4,IF(P31/H31&lt;Lookup!$F$31,-3,IF(P31/H31&lt;Lookup!$F$30,-2,IF(P31/H31&lt;Lookup!$F$29,-1,-5)))))</f>
        <v>-2</v>
      </c>
      <c r="AE31" s="194" t="str">
        <f>VLOOKUP(AD31,Lookup!$G$28:$J$33,2,FALSE)</f>
        <v>One-time practice implementation cost 5 to 100% of enterprise annual net income</v>
      </c>
      <c r="AF31" s="281" t="s">
        <v>1868</v>
      </c>
      <c r="AG31" s="181" t="str">
        <f>VLOOKUP(AH31,Lookup!$C$4:$D$14,2,FALSE)</f>
        <v>Substantial Worsening</v>
      </c>
      <c r="AH31" s="193">
        <f>IF(J31&gt;Lookup!$F$43,-5,IF(J31&gt;Lookup!$F$42,-4,IF(J31&gt;Lookup!$F$41,-3,IF(J31&gt;Lookup!$F$40,-2,IF(J31&gt;Lookup!$F$39,-1,0)))))</f>
        <v>-5</v>
      </c>
      <c r="AI31" s="194" t="str">
        <f>VLOOKUP(AH31,Lookup!$G$38:$J$43,2,FALSE)</f>
        <v>Annual O&amp;M costs greater than 4% of total installation costs</v>
      </c>
      <c r="AJ31" s="281" t="s">
        <v>2978</v>
      </c>
      <c r="AK31" s="181" t="str">
        <f>VLOOKUP(AL31,Lookup!$C$4:$D$14,2,FALSE)</f>
        <v>No Effect</v>
      </c>
      <c r="AL31" s="346">
        <f>IF(N31=0,0,IF(U31&lt;Lookup!$F$58,-5,IF(U31&lt;Lookup!$F$57,-4,IF(U31&lt;Lookup!$F$56,-3,IF(U31&lt;Lookup!$F$55,-2,IF(U31&lt;Lookup!$F$54,-1,IF(U31&lt;Lookup!$F$53,0,IF(U31&lt;Lookup!$F$52,1,IF(U31&lt;Lookup!$F$51,2,IF(U31&lt;Lookup!$F$50,3,IF(U31&lt;Lookup!$F$49,4,5)))))))))))</f>
        <v>0</v>
      </c>
      <c r="AM31" s="194" t="str">
        <f>VLOOKUP(AL31,Lookup!$G$48:$J$58,2,FALSE)</f>
        <v>B/C Ratio .75 to 1.25</v>
      </c>
      <c r="AN31" s="281" t="s">
        <v>3533</v>
      </c>
      <c r="AO31" s="181" t="str">
        <f>VLOOKUP(AP31,Lookup!$C$4:$D$14,2,FALSE)</f>
        <v>Slight to Moderate Improvement</v>
      </c>
      <c r="AP31" s="193">
        <f>IF(Q31=0,0,IF(Q31&gt;Lookup!$F$63,5,IF(Q31&gt;Lookup!$F$64,4,IF(Q31&gt;Lookup!$F$65,3,IF(Q31&gt;Lookup!$F$66,2,IF(Q31&gt;Lookup!$F$67,1,IF(Q31&gt;Lookup!$F$69,-1,IF(Q31&gt;Lookup!$F$70,-2,IF(Q31&gt;Lookup!$F$71,-3,IF(Q31&gt;Lookup!$F$72,-4,-5))))))))))</f>
        <v>2</v>
      </c>
      <c r="AQ31" s="194" t="str">
        <f>VLOOKUP(AP31,Lookup!$G$63:$J$73,2,FALSE)</f>
        <v>5 to 10% yield increase</v>
      </c>
      <c r="AR31" s="281" t="s">
        <v>3083</v>
      </c>
      <c r="AS31" s="181" t="str">
        <f>VLOOKUP(AT31,Lookup!$C$4:$D$14,2,FALSE)</f>
        <v>No Effect</v>
      </c>
      <c r="AT31" s="193">
        <f>IF(V31=0,0,IF(V31&lt;Lookup!$F$79,5,IF(V31&lt;Lookup!$F$80,4,IF(V31&lt;Lookup!$F$81,3,IF(V31&lt;Lookup!$F$82,2,IF(V31&lt;Lookup!$F$83,1,IF(V31&lt;Lookup!$F$85,-1,IF(V31&lt;Lookup!$F$86,-2,IF(V31&lt;Lookup!$F$87,-3,IF(V31&lt;Lookup!$F$88,-4,-5))))))))))</f>
        <v>0</v>
      </c>
      <c r="AU31" s="194" t="str">
        <f>VLOOKUP(AT31,Lookup!$G$79:$J$89,2,FALSE)</f>
        <v>No breakeven</v>
      </c>
      <c r="AV31" s="345" t="str">
        <f>VLOOKUP(AT31,Lookup!$G$79:$J$89,4,FALSE)</f>
        <v>Annual costs greater than annual benefits</v>
      </c>
      <c r="AW31" s="181" t="str">
        <f>VLOOKUP(AX31,Lookup!$C$4:$D$14,2,FALSE)</f>
        <v>No Effect</v>
      </c>
      <c r="AX31" s="193">
        <f>VLOOKUP(AY31,Lookup!$G$92:$J$97,4,FALSE)</f>
        <v>0</v>
      </c>
      <c r="AY31" s="181" t="s">
        <v>2642</v>
      </c>
      <c r="AZ31" s="281" t="s">
        <v>3154</v>
      </c>
      <c r="BA31" s="181" t="str">
        <f>VLOOKUP(BB31,Lookup!$C$4:$D$14,2,FALSE)</f>
        <v>Slight Worsening</v>
      </c>
      <c r="BB31" s="193">
        <f>VLOOKUP(BC31,Lookup!$G$100:$K$110,5,FALSE)</f>
        <v>-1</v>
      </c>
      <c r="BC31" s="181" t="s">
        <v>2637</v>
      </c>
      <c r="BD31" s="281" t="s">
        <v>3184</v>
      </c>
      <c r="BE31" s="181" t="str">
        <f>VLOOKUP(BF31,Lookup!$C$4:$D$14,2,FALSE)</f>
        <v>No Effect</v>
      </c>
      <c r="BF31" s="193">
        <f>IF(X31=0,0,IF(X31&gt;Lookup!$F$113,-5,IF(X31&gt;Lookup!$F$114,-4,IF(X31&gt;Lookup!$F$115,-3,IF(X31&gt;Lookup!$F$116,-2,IF(X31&gt;Lookup!$F$117,-1,0))))))</f>
        <v>0</v>
      </c>
      <c r="BG31" s="195" t="str">
        <f>VLOOKUP(BF31,Lookup!$G$113:$H$118,2,FALSE)</f>
        <v>No change in on-farm equipment</v>
      </c>
      <c r="BH31" s="281" t="s">
        <v>1849</v>
      </c>
      <c r="BI31" s="181" t="str">
        <f>VLOOKUP(BJ31,Lookup!$C$4:$D$14,2,FALSE)</f>
        <v>Slight Worsening</v>
      </c>
      <c r="BJ31" s="193">
        <f>VLOOKUP(BK31,Lookup!$G$121:$L$131,6,FALSE)</f>
        <v>-1</v>
      </c>
      <c r="BK31" s="181" t="s">
        <v>2640</v>
      </c>
      <c r="BL31" s="281" t="s">
        <v>3271</v>
      </c>
      <c r="BM31" s="181" t="str">
        <f>VLOOKUP(BN31,Lookup!$C$4:$D$14,2,FALSE)</f>
        <v>Slight Worsening</v>
      </c>
      <c r="BN31" s="193">
        <f>VLOOKUP(BO31,Lookup!$G$134:$L$144,6,FALSE)</f>
        <v>-1</v>
      </c>
      <c r="BO31" s="181" t="s">
        <v>3373</v>
      </c>
      <c r="BP31" s="281" t="s">
        <v>3383</v>
      </c>
      <c r="BQ31" s="181" t="str">
        <f>VLOOKUP(BR31,Lookup!$C$4:$D$14,2,FALSE)</f>
        <v>Slight Worsening</v>
      </c>
      <c r="BR31" s="193">
        <f>VLOOKUP(BS31,Lookup!$G$147:$L$157,6,FALSE)</f>
        <v>-1</v>
      </c>
      <c r="BS31" s="181" t="s">
        <v>2658</v>
      </c>
      <c r="BT31" s="281" t="s">
        <v>3442</v>
      </c>
      <c r="BU31" s="175" t="s">
        <v>2231</v>
      </c>
    </row>
    <row r="32" spans="1:73" ht="39.950000000000003" customHeight="1" thickBot="1" x14ac:dyDescent="0.25">
      <c r="A32" s="173">
        <f t="shared" si="4"/>
        <v>30</v>
      </c>
      <c r="B32" s="178" t="s">
        <v>585</v>
      </c>
      <c r="C32" s="179" t="s">
        <v>1605</v>
      </c>
      <c r="D32" s="180" t="s">
        <v>1478</v>
      </c>
      <c r="E32" s="180" t="s">
        <v>3646</v>
      </c>
      <c r="F32" s="273" t="str">
        <f>VLOOKUP($D32,'Practice Descriptions'!$E$11:$F$186,2,FALSE)</f>
        <v>Herbaceous cover established in one or more strips typically perpendicular to the most erosive wind events.</v>
      </c>
      <c r="G32" s="182">
        <v>5</v>
      </c>
      <c r="H32" s="183">
        <v>90</v>
      </c>
      <c r="I32" s="184">
        <v>0</v>
      </c>
      <c r="J32" s="184">
        <v>0.05</v>
      </c>
      <c r="K32" s="419">
        <f>IF(E32="No.",1,IF(E32="Ac.",1,(SQRT(VLOOKUP(O32,Lookup!$F$9:$H$18,3,FALSE)))*208/VLOOKUP(O32,Lookup!$F$9:$H$18,3,FALSE)))</f>
        <v>1</v>
      </c>
      <c r="L32" s="185" t="str">
        <f t="shared" si="0"/>
        <v/>
      </c>
      <c r="M32" s="184">
        <v>0.05</v>
      </c>
      <c r="N32" s="186">
        <f>IF(G32=1,H32,PMT(Lookup!$G$4,G32,-H32)+(H32*J32)+(M32*P32))*K32</f>
        <v>40.359613306300325</v>
      </c>
      <c r="O32" s="187" t="s">
        <v>1110</v>
      </c>
      <c r="P32" s="186">
        <f>VLOOKUP($O32,Lookup!$F$9:$I$18,4,FALSE)</f>
        <v>300</v>
      </c>
      <c r="Q32" s="184">
        <v>0.1</v>
      </c>
      <c r="R32" s="183">
        <v>2</v>
      </c>
      <c r="S32" s="188" t="s">
        <v>3615</v>
      </c>
      <c r="T32" s="186">
        <f t="shared" si="2"/>
        <v>32</v>
      </c>
      <c r="U32" s="189">
        <f t="shared" si="3"/>
        <v>0.79287181859605804</v>
      </c>
      <c r="V32" s="189">
        <f t="shared" si="1"/>
        <v>0</v>
      </c>
      <c r="W32" s="190">
        <f>IF(P32=0,0,IF(Q32+R32=0,0,PV(Lookup!$G$4,G32,-T32)/H32))</f>
        <v>1.5340648711994529</v>
      </c>
      <c r="X32" s="190">
        <f>IF(I32=0,0,PMT(Lookup!$G$4,G32,-(H32*I32*K32))/P32)</f>
        <v>0</v>
      </c>
      <c r="Y32" s="42" t="s">
        <v>961</v>
      </c>
      <c r="Z32" s="192">
        <f>VLOOKUP(Y32,Lookup!$B$4:$C$14,2,FALSE)</f>
        <v>-2</v>
      </c>
      <c r="AA32" s="281" t="s">
        <v>1861</v>
      </c>
      <c r="AB32" s="282" t="s">
        <v>1072</v>
      </c>
      <c r="AC32" s="181" t="str">
        <f>VLOOKUP(AD32,Lookup!$C$4:$D$14,2,FALSE)</f>
        <v>Slight to Moderate Worsening</v>
      </c>
      <c r="AD32" s="193">
        <f>IF(P32/H32&lt;Lookup!$F$33,-5,IF(P32/H32&lt;Lookup!$F$32,-4,IF(P32/H32&lt;Lookup!$F$31,-3,IF(P32/H32&lt;Lookup!$F$30,-2,IF(P32/H32&lt;Lookup!$F$29,-1,-5)))))</f>
        <v>-2</v>
      </c>
      <c r="AE32" s="194" t="str">
        <f>VLOOKUP(AD32,Lookup!$G$28:$J$33,2,FALSE)</f>
        <v>One-time practice implementation cost 5 to 100% of enterprise annual net income</v>
      </c>
      <c r="AF32" s="281" t="s">
        <v>1868</v>
      </c>
      <c r="AG32" s="181" t="str">
        <f>VLOOKUP(AH32,Lookup!$C$4:$D$14,2,FALSE)</f>
        <v>Substantial Worsening</v>
      </c>
      <c r="AH32" s="193">
        <f>IF(J32&gt;Lookup!$F$43,-5,IF(J32&gt;Lookup!$F$42,-4,IF(J32&gt;Lookup!$F$41,-3,IF(J32&gt;Lookup!$F$40,-2,IF(J32&gt;Lookup!$F$39,-1,0)))))</f>
        <v>-5</v>
      </c>
      <c r="AI32" s="194" t="str">
        <f>VLOOKUP(AH32,Lookup!$G$38:$J$43,2,FALSE)</f>
        <v>Annual O&amp;M costs greater than 4% of total installation costs</v>
      </c>
      <c r="AJ32" s="281" t="s">
        <v>2978</v>
      </c>
      <c r="AK32" s="181" t="str">
        <f>VLOOKUP(AL32,Lookup!$C$4:$D$14,2,FALSE)</f>
        <v>No Effect</v>
      </c>
      <c r="AL32" s="346">
        <f>IF(N32=0,0,IF(U32&lt;Lookup!$F$58,-5,IF(U32&lt;Lookup!$F$57,-4,IF(U32&lt;Lookup!$F$56,-3,IF(U32&lt;Lookup!$F$55,-2,IF(U32&lt;Lookup!$F$54,-1,IF(U32&lt;Lookup!$F$53,0,IF(U32&lt;Lookup!$F$52,1,IF(U32&lt;Lookup!$F$51,2,IF(U32&lt;Lookup!$F$50,3,IF(U32&lt;Lookup!$F$49,4,5)))))))))))</f>
        <v>0</v>
      </c>
      <c r="AM32" s="194" t="str">
        <f>VLOOKUP(AL32,Lookup!$G$48:$J$58,2,FALSE)</f>
        <v>B/C Ratio .75 to 1.25</v>
      </c>
      <c r="AN32" s="281" t="s">
        <v>3533</v>
      </c>
      <c r="AO32" s="181" t="str">
        <f>VLOOKUP(AP32,Lookup!$C$4:$D$14,2,FALSE)</f>
        <v>Slight to Moderate Improvement</v>
      </c>
      <c r="AP32" s="193">
        <f>IF(Q32=0,0,IF(Q32&gt;Lookup!$F$63,5,IF(Q32&gt;Lookup!$F$64,4,IF(Q32&gt;Lookup!$F$65,3,IF(Q32&gt;Lookup!$F$66,2,IF(Q32&gt;Lookup!$F$67,1,IF(Q32&gt;Lookup!$F$69,-1,IF(Q32&gt;Lookup!$F$70,-2,IF(Q32&gt;Lookup!$F$71,-3,IF(Q32&gt;Lookup!$F$72,-4,-5))))))))))</f>
        <v>2</v>
      </c>
      <c r="AQ32" s="194" t="str">
        <f>VLOOKUP(AP32,Lookup!$G$63:$J$73,2,FALSE)</f>
        <v>5 to 10% yield increase</v>
      </c>
      <c r="AR32" s="281" t="s">
        <v>3083</v>
      </c>
      <c r="AS32" s="181" t="str">
        <f>VLOOKUP(AT32,Lookup!$C$4:$D$14,2,FALSE)</f>
        <v>No Effect</v>
      </c>
      <c r="AT32" s="193">
        <f>IF(V32=0,0,IF(V32&lt;Lookup!$F$79,5,IF(V32&lt;Lookup!$F$80,4,IF(V32&lt;Lookup!$F$81,3,IF(V32&lt;Lookup!$F$82,2,IF(V32&lt;Lookup!$F$83,1,IF(V32&lt;Lookup!$F$85,-1,IF(V32&lt;Lookup!$F$86,-2,IF(V32&lt;Lookup!$F$87,-3,IF(V32&lt;Lookup!$F$88,-4,-5))))))))))</f>
        <v>0</v>
      </c>
      <c r="AU32" s="194" t="str">
        <f>VLOOKUP(AT32,Lookup!$G$79:$J$89,2,FALSE)</f>
        <v>No breakeven</v>
      </c>
      <c r="AV32" s="345" t="str">
        <f>VLOOKUP(AT32,Lookup!$G$79:$J$89,4,FALSE)</f>
        <v>Annual costs greater than annual benefits</v>
      </c>
      <c r="AW32" s="181" t="str">
        <f>VLOOKUP(AX32,Lookup!$C$4:$D$14,2,FALSE)</f>
        <v>No Effect</v>
      </c>
      <c r="AX32" s="193">
        <f>VLOOKUP(AY32,Lookup!$G$92:$J$97,4,FALSE)</f>
        <v>0</v>
      </c>
      <c r="AY32" s="181" t="s">
        <v>2642</v>
      </c>
      <c r="AZ32" s="281" t="s">
        <v>3154</v>
      </c>
      <c r="BA32" s="181" t="str">
        <f>VLOOKUP(BB32,Lookup!$C$4:$D$14,2,FALSE)</f>
        <v>Slight Worsening</v>
      </c>
      <c r="BB32" s="193">
        <f>VLOOKUP(BC32,Lookup!$G$100:$K$110,5,FALSE)</f>
        <v>-1</v>
      </c>
      <c r="BC32" s="181" t="s">
        <v>2637</v>
      </c>
      <c r="BD32" s="281" t="s">
        <v>3184</v>
      </c>
      <c r="BE32" s="181" t="str">
        <f>VLOOKUP(BF32,Lookup!$C$4:$D$14,2,FALSE)</f>
        <v>No Effect</v>
      </c>
      <c r="BF32" s="193">
        <f>IF(X32=0,0,IF(X32&gt;Lookup!$F$113,-5,IF(X32&gt;Lookup!$F$114,-4,IF(X32&gt;Lookup!$F$115,-3,IF(X32&gt;Lookup!$F$116,-2,IF(X32&gt;Lookup!$F$117,-1,0))))))</f>
        <v>0</v>
      </c>
      <c r="BG32" s="195" t="str">
        <f>VLOOKUP(BF32,Lookup!$G$113:$H$118,2,FALSE)</f>
        <v>No change in on-farm equipment</v>
      </c>
      <c r="BH32" s="281" t="s">
        <v>1849</v>
      </c>
      <c r="BI32" s="181" t="str">
        <f>VLOOKUP(BJ32,Lookup!$C$4:$D$14,2,FALSE)</f>
        <v>Slight Worsening</v>
      </c>
      <c r="BJ32" s="193">
        <f>VLOOKUP(BK32,Lookup!$G$121:$L$131,6,FALSE)</f>
        <v>-1</v>
      </c>
      <c r="BK32" s="181" t="s">
        <v>2640</v>
      </c>
      <c r="BL32" s="281" t="s">
        <v>3271</v>
      </c>
      <c r="BM32" s="181" t="str">
        <f>VLOOKUP(BN32,Lookup!$C$4:$D$14,2,FALSE)</f>
        <v>Slight Improvement</v>
      </c>
      <c r="BN32" s="193">
        <f>VLOOKUP(BO32,Lookup!$G$134:$L$144,6,FALSE)</f>
        <v>1</v>
      </c>
      <c r="BO32" s="181" t="s">
        <v>3370</v>
      </c>
      <c r="BP32" s="281" t="s">
        <v>3383</v>
      </c>
      <c r="BQ32" s="181" t="str">
        <f>VLOOKUP(BR32,Lookup!$C$4:$D$14,2,FALSE)</f>
        <v>Slight Worsening</v>
      </c>
      <c r="BR32" s="193">
        <f>VLOOKUP(BS32,Lookup!$G$147:$L$157,6,FALSE)</f>
        <v>-1</v>
      </c>
      <c r="BS32" s="181" t="s">
        <v>2658</v>
      </c>
      <c r="BT32" s="281" t="s">
        <v>3442</v>
      </c>
      <c r="BU32" s="175" t="s">
        <v>2231</v>
      </c>
    </row>
    <row r="33" spans="1:73" ht="39.950000000000003" customHeight="1" thickBot="1" x14ac:dyDescent="0.25">
      <c r="A33" s="173">
        <f t="shared" si="4"/>
        <v>31</v>
      </c>
      <c r="B33" s="178" t="s">
        <v>586</v>
      </c>
      <c r="C33" s="179" t="s">
        <v>1606</v>
      </c>
      <c r="D33" s="180">
        <v>402</v>
      </c>
      <c r="E33" s="180" t="s">
        <v>1538</v>
      </c>
      <c r="F33" s="273" t="str">
        <f>VLOOKUP($D33,'Practice Descriptions'!$E$11:$F$186,2,FALSE)</f>
        <v>An artificial barrier that can impound water for one or more beneficial purposes.</v>
      </c>
      <c r="G33" s="182">
        <v>15</v>
      </c>
      <c r="H33" s="183">
        <v>5000</v>
      </c>
      <c r="I33" s="184">
        <v>0.01</v>
      </c>
      <c r="J33" s="184">
        <v>0.03</v>
      </c>
      <c r="K33" s="419">
        <v>1</v>
      </c>
      <c r="L33" s="185" t="str">
        <f t="shared" si="0"/>
        <v/>
      </c>
      <c r="M33" s="184">
        <v>0</v>
      </c>
      <c r="N33" s="186">
        <f>IF(G33=1,H33,PMT(Lookup!$G$4,G33,-H33)+(H33*J33)+(M33*P33))*K33</f>
        <v>635.79006132438803</v>
      </c>
      <c r="O33" s="187" t="s">
        <v>2225</v>
      </c>
      <c r="P33" s="186">
        <f>VLOOKUP($O33,Lookup!$F$9:$I$18,4,FALSE)</f>
        <v>100</v>
      </c>
      <c r="Q33" s="184">
        <v>0</v>
      </c>
      <c r="R33" s="183">
        <v>500</v>
      </c>
      <c r="S33" s="188" t="s">
        <v>3588</v>
      </c>
      <c r="T33" s="186">
        <f t="shared" si="2"/>
        <v>500</v>
      </c>
      <c r="U33" s="189">
        <f t="shared" si="3"/>
        <v>0.78642311419349753</v>
      </c>
      <c r="V33" s="189">
        <f t="shared" si="1"/>
        <v>0</v>
      </c>
      <c r="W33" s="190">
        <f>IF(P33=0,0,IF(Q33+R33=0,0,PV(Lookup!$G$4,G33,-T33)/H33))</f>
        <v>1.0292511926589691</v>
      </c>
      <c r="X33" s="190">
        <f>IF(I33=0,0,PMT(Lookup!$G$4,G33,-(H33*I33*K33))/P33)</f>
        <v>4.8579006132438804E-2</v>
      </c>
      <c r="Y33" s="42" t="s">
        <v>964</v>
      </c>
      <c r="Z33" s="192">
        <f>VLOOKUP(Y33,Lookup!$B$4:$C$14,2,FALSE)</f>
        <v>4</v>
      </c>
      <c r="AA33" s="281" t="s">
        <v>1869</v>
      </c>
      <c r="AB33" s="282" t="s">
        <v>1072</v>
      </c>
      <c r="AC33" s="181" t="str">
        <f>VLOOKUP(AD33,Lookup!$C$4:$D$14,2,FALSE)</f>
        <v>Substantial Worsening</v>
      </c>
      <c r="AD33" s="193">
        <f>IF(P33/H33&lt;Lookup!$F$33,-5,IF(P33/H33&lt;Lookup!$F$32,-4,IF(P33/H33&lt;Lookup!$F$31,-3,IF(P33/H33&lt;Lookup!$F$30,-2,IF(P33/H33&lt;Lookup!$F$29,-1,-5)))))</f>
        <v>-5</v>
      </c>
      <c r="AE33" s="194" t="str">
        <f>VLOOKUP(AD33,Lookup!$G$28:$J$33,2,FALSE)</f>
        <v>One-time practice implementation cost 5 times or greater enterprise annual net income</v>
      </c>
      <c r="AF33" s="281" t="s">
        <v>1847</v>
      </c>
      <c r="AG33" s="181" t="str">
        <f>VLOOKUP(AH33,Lookup!$C$4:$D$14,2,FALSE)</f>
        <v>Moderate Worsening</v>
      </c>
      <c r="AH33" s="193">
        <f>IF(J33&gt;Lookup!$F$43,-5,IF(J33&gt;Lookup!$F$42,-4,IF(J33&gt;Lookup!$F$41,-3,IF(J33&gt;Lookup!$F$40,-2,IF(J33&gt;Lookup!$F$39,-1,0)))))</f>
        <v>-3</v>
      </c>
      <c r="AI33" s="194" t="str">
        <f>VLOOKUP(AH33,Lookup!$G$38:$J$43,2,FALSE)</f>
        <v>Annual O&amp;M costs 2 to 3% of total installation costs</v>
      </c>
      <c r="AJ33" s="281" t="s">
        <v>2987</v>
      </c>
      <c r="AK33" s="181" t="str">
        <f>VLOOKUP(AL33,Lookup!$C$4:$D$14,2,FALSE)</f>
        <v>No Effect</v>
      </c>
      <c r="AL33" s="346">
        <f>IF(N33=0,0,IF(U33&lt;Lookup!$F$58,-5,IF(U33&lt;Lookup!$F$57,-4,IF(U33&lt;Lookup!$F$56,-3,IF(U33&lt;Lookup!$F$55,-2,IF(U33&lt;Lookup!$F$54,-1,IF(U33&lt;Lookup!$F$53,0,IF(U33&lt;Lookup!$F$52,1,IF(U33&lt;Lookup!$F$51,2,IF(U33&lt;Lookup!$F$50,3,IF(U33&lt;Lookup!$F$49,4,5)))))))))))</f>
        <v>0</v>
      </c>
      <c r="AM33" s="194" t="str">
        <f>VLOOKUP(AL33,Lookup!$G$48:$J$58,2,FALSE)</f>
        <v>B/C Ratio .75 to 1.25</v>
      </c>
      <c r="AN33" s="281" t="s">
        <v>3534</v>
      </c>
      <c r="AO33" s="181" t="str">
        <f>VLOOKUP(AP33,Lookup!$C$4:$D$14,2,FALSE)</f>
        <v>No Effect</v>
      </c>
      <c r="AP33" s="193">
        <f>IF(Q33=0,0,IF(Q33&gt;Lookup!$F$63,5,IF(Q33&gt;Lookup!$F$64,4,IF(Q33&gt;Lookup!$F$65,3,IF(Q33&gt;Lookup!$F$66,2,IF(Q33&gt;Lookup!$F$67,1,IF(Q33&gt;Lookup!$F$69,-1,IF(Q33&gt;Lookup!$F$70,-2,IF(Q33&gt;Lookup!$F$71,-3,IF(Q33&gt;Lookup!$F$72,-4,-5))))))))))</f>
        <v>0</v>
      </c>
      <c r="AQ33" s="194" t="str">
        <f>VLOOKUP(AP33,Lookup!$G$63:$J$73,2,FALSE)</f>
        <v>No change in yield</v>
      </c>
      <c r="AR33" s="281" t="s">
        <v>3081</v>
      </c>
      <c r="AS33" s="181" t="str">
        <f>VLOOKUP(AT33,Lookup!$C$4:$D$14,2,FALSE)</f>
        <v>No Effect</v>
      </c>
      <c r="AT33" s="193">
        <f>IF(V33=0,0,IF(V33&lt;Lookup!$F$79,5,IF(V33&lt;Lookup!$F$80,4,IF(V33&lt;Lookup!$F$81,3,IF(V33&lt;Lookup!$F$82,2,IF(V33&lt;Lookup!$F$83,1,IF(V33&lt;Lookup!$F$85,-1,IF(V33&lt;Lookup!$F$86,-2,IF(V33&lt;Lookup!$F$87,-3,IF(V33&lt;Lookup!$F$88,-4,-5))))))))))</f>
        <v>0</v>
      </c>
      <c r="AU33" s="194" t="str">
        <f>VLOOKUP(AT33,Lookup!$G$79:$J$89,2,FALSE)</f>
        <v>No breakeven</v>
      </c>
      <c r="AV33" s="345" t="str">
        <f>VLOOKUP(AT33,Lookup!$G$79:$J$89,4,FALSE)</f>
        <v>Annual costs greater than annual benefits</v>
      </c>
      <c r="AW33" s="181" t="str">
        <f>VLOOKUP(AX33,Lookup!$C$4:$D$14,2,FALSE)</f>
        <v>Substantial Improvement</v>
      </c>
      <c r="AX33" s="193">
        <f>VLOOKUP(AY33,Lookup!$G$92:$J$97,4,FALSE)</f>
        <v>5</v>
      </c>
      <c r="AY33" s="181" t="s">
        <v>2657</v>
      </c>
      <c r="AZ33" s="281" t="s">
        <v>3159</v>
      </c>
      <c r="BA33" s="181" t="str">
        <f>VLOOKUP(BB33,Lookup!$C$4:$D$14,2,FALSE)</f>
        <v>Slight to Moderate Worsening</v>
      </c>
      <c r="BB33" s="193">
        <f>VLOOKUP(BC33,Lookup!$G$100:$K$110,5,FALSE)</f>
        <v>-2</v>
      </c>
      <c r="BC33" s="181" t="s">
        <v>2659</v>
      </c>
      <c r="BD33" s="281" t="s">
        <v>3193</v>
      </c>
      <c r="BE33" s="181" t="str">
        <f>VLOOKUP(BF33,Lookup!$C$4:$D$14,2,FALSE)</f>
        <v>Slight Worsening</v>
      </c>
      <c r="BF33" s="193">
        <f>IF(X33=0,0,IF(X33&gt;Lookup!$F$113,-5,IF(X33&gt;Lookup!$F$114,-4,IF(X33&gt;Lookup!$F$115,-3,IF(X33&gt;Lookup!$F$116,-2,IF(X33&gt;Lookup!$F$117,-1,0))))))</f>
        <v>-1</v>
      </c>
      <c r="BG33" s="195" t="str">
        <f>VLOOKUP(BF33,Lookup!$G$113:$H$118,2,FALSE)</f>
        <v>Annual on-farm equipment costs 5% or less of enterprise annual net income</v>
      </c>
      <c r="BH33" s="281" t="s">
        <v>3525</v>
      </c>
      <c r="BI33" s="181" t="str">
        <f>VLOOKUP(BJ33,Lookup!$C$4:$D$14,2,FALSE)</f>
        <v>Slight to Moderate Worsening</v>
      </c>
      <c r="BJ33" s="193">
        <f>VLOOKUP(BK33,Lookup!$G$121:$L$131,6,FALSE)</f>
        <v>-2</v>
      </c>
      <c r="BK33" s="181" t="s">
        <v>2649</v>
      </c>
      <c r="BL33" s="281" t="s">
        <v>3272</v>
      </c>
      <c r="BM33" s="181" t="str">
        <f>VLOOKUP(BN33,Lookup!$C$4:$D$14,2,FALSE)</f>
        <v>Moderate to Substantial Worsening</v>
      </c>
      <c r="BN33" s="193">
        <f>VLOOKUP(BO33,Lookup!$G$134:$L$144,6,FALSE)</f>
        <v>-4</v>
      </c>
      <c r="BO33" s="181" t="s">
        <v>2648</v>
      </c>
      <c r="BP33" s="281" t="s">
        <v>3384</v>
      </c>
      <c r="BQ33" s="181" t="str">
        <f>VLOOKUP(BR33,Lookup!$C$4:$D$14,2,FALSE)</f>
        <v>Moderate to Substantial Improvement</v>
      </c>
      <c r="BR33" s="193">
        <f>VLOOKUP(BS33,Lookup!$G$147:$L$157,6,FALSE)</f>
        <v>4</v>
      </c>
      <c r="BS33" s="181" t="s">
        <v>2645</v>
      </c>
      <c r="BT33" s="281" t="s">
        <v>3443</v>
      </c>
      <c r="BU33" s="175" t="s">
        <v>2231</v>
      </c>
    </row>
    <row r="34" spans="1:73" ht="39.950000000000003" customHeight="1" thickBot="1" x14ac:dyDescent="0.25">
      <c r="A34" s="173">
        <f t="shared" si="4"/>
        <v>32</v>
      </c>
      <c r="B34" s="178" t="s">
        <v>587</v>
      </c>
      <c r="C34" s="179" t="s">
        <v>1606</v>
      </c>
      <c r="D34" s="180">
        <v>348</v>
      </c>
      <c r="E34" s="180" t="s">
        <v>3647</v>
      </c>
      <c r="F34" s="273" t="str">
        <f>VLOOKUP($D34,'Practice Descriptions'!$E$11:$F$186,2,FALSE)</f>
        <v xml:space="preserve">A structure built to divert all or part of the water from a waterway or a stream. </v>
      </c>
      <c r="G34" s="182">
        <v>15</v>
      </c>
      <c r="H34" s="183">
        <v>5000</v>
      </c>
      <c r="I34" s="184">
        <v>0.05</v>
      </c>
      <c r="J34" s="184">
        <v>0.03</v>
      </c>
      <c r="K34" s="419">
        <f>IF(E34="No.",1,IF(E34="Ac.",1,(SQRT(VLOOKUP(O34,Lookup!$F$9:$H$18,3,FALSE)))*208/VLOOKUP(O34,Lookup!$F$9:$H$18,3,FALSE)))</f>
        <v>1</v>
      </c>
      <c r="L34" s="185" t="str">
        <f t="shared" si="0"/>
        <v/>
      </c>
      <c r="M34" s="184">
        <v>0</v>
      </c>
      <c r="N34" s="186">
        <f>IF(G34=1,H34,PMT(Lookup!$G$4,G34,-H34)+(H34*J34)+(M34*P34))*K34</f>
        <v>635.79006132438803</v>
      </c>
      <c r="O34" s="187" t="s">
        <v>2225</v>
      </c>
      <c r="P34" s="186">
        <f>VLOOKUP($O34,Lookup!$F$9:$I$18,4,FALSE)</f>
        <v>100</v>
      </c>
      <c r="Q34" s="184">
        <v>0.2</v>
      </c>
      <c r="R34" s="183">
        <v>600</v>
      </c>
      <c r="S34" s="188" t="s">
        <v>2660</v>
      </c>
      <c r="T34" s="186">
        <f t="shared" si="2"/>
        <v>620</v>
      </c>
      <c r="U34" s="189">
        <f t="shared" si="3"/>
        <v>0.97516466159993687</v>
      </c>
      <c r="V34" s="189">
        <f t="shared" si="1"/>
        <v>0</v>
      </c>
      <c r="W34" s="190">
        <f>IF(P34=0,0,IF(Q34+R34=0,0,PV(Lookup!$G$4,G34,-T34)/H34))</f>
        <v>1.2762714788971217</v>
      </c>
      <c r="X34" s="190">
        <f>IF(I34=0,0,PMT(Lookup!$G$4,G34,-(H34*I34*K34))/P34)</f>
        <v>0.24289503066219401</v>
      </c>
      <c r="Y34" s="42" t="s">
        <v>964</v>
      </c>
      <c r="Z34" s="192">
        <f>VLOOKUP(Y34,Lookup!$B$4:$C$14,2,FALSE)</f>
        <v>4</v>
      </c>
      <c r="AA34" s="281" t="s">
        <v>1869</v>
      </c>
      <c r="AB34" s="282" t="s">
        <v>1072</v>
      </c>
      <c r="AC34" s="181" t="str">
        <f>VLOOKUP(AD34,Lookup!$C$4:$D$14,2,FALSE)</f>
        <v>Substantial Worsening</v>
      </c>
      <c r="AD34" s="193">
        <f>IF(P34/H34&lt;Lookup!$F$33,-5,IF(P34/H34&lt;Lookup!$F$32,-4,IF(P34/H34&lt;Lookup!$F$31,-3,IF(P34/H34&lt;Lookup!$F$30,-2,IF(P34/H34&lt;Lookup!$F$29,-1,-5)))))</f>
        <v>-5</v>
      </c>
      <c r="AE34" s="194" t="str">
        <f>VLOOKUP(AD34,Lookup!$G$28:$J$33,2,FALSE)</f>
        <v>One-time practice implementation cost 5 times or greater enterprise annual net income</v>
      </c>
      <c r="AF34" s="281" t="s">
        <v>1847</v>
      </c>
      <c r="AG34" s="181" t="str">
        <f>VLOOKUP(AH34,Lookup!$C$4:$D$14,2,FALSE)</f>
        <v>Moderate Worsening</v>
      </c>
      <c r="AH34" s="193">
        <f>IF(J34&gt;Lookup!$F$43,-5,IF(J34&gt;Lookup!$F$42,-4,IF(J34&gt;Lookup!$F$41,-3,IF(J34&gt;Lookup!$F$40,-2,IF(J34&gt;Lookup!$F$39,-1,0)))))</f>
        <v>-3</v>
      </c>
      <c r="AI34" s="194" t="str">
        <f>VLOOKUP(AH34,Lookup!$G$38:$J$43,2,FALSE)</f>
        <v>Annual O&amp;M costs 2 to 3% of total installation costs</v>
      </c>
      <c r="AJ34" s="281" t="s">
        <v>2987</v>
      </c>
      <c r="AK34" s="181" t="str">
        <f>VLOOKUP(AL34,Lookup!$C$4:$D$14,2,FALSE)</f>
        <v>No Effect</v>
      </c>
      <c r="AL34" s="346">
        <f>IF(N34=0,0,IF(U34&lt;Lookup!$F$58,-5,IF(U34&lt;Lookup!$F$57,-4,IF(U34&lt;Lookup!$F$56,-3,IF(U34&lt;Lookup!$F$55,-2,IF(U34&lt;Lookup!$F$54,-1,IF(U34&lt;Lookup!$F$53,0,IF(U34&lt;Lookup!$F$52,1,IF(U34&lt;Lookup!$F$51,2,IF(U34&lt;Lookup!$F$50,3,IF(U34&lt;Lookup!$F$49,4,5)))))))))))</f>
        <v>0</v>
      </c>
      <c r="AM34" s="194" t="str">
        <f>VLOOKUP(AL34,Lookup!$G$48:$J$58,2,FALSE)</f>
        <v>B/C Ratio .75 to 1.25</v>
      </c>
      <c r="AN34" s="281" t="s">
        <v>3534</v>
      </c>
      <c r="AO34" s="181" t="str">
        <f>VLOOKUP(AP34,Lookup!$C$4:$D$14,2,FALSE)</f>
        <v>Slight to Moderate Improvement</v>
      </c>
      <c r="AP34" s="193">
        <f>IF(Q34=0,0,IF(Q34&gt;Lookup!$F$63,5,IF(Q34&gt;Lookup!$F$64,4,IF(Q34&gt;Lookup!$F$65,3,IF(Q34&gt;Lookup!$F$66,2,IF(Q34&gt;Lookup!$F$67,1,IF(Q34&gt;Lookup!$F$69,-1,IF(Q34&gt;Lookup!$F$70,-2,IF(Q34&gt;Lookup!$F$71,-3,IF(Q34&gt;Lookup!$F$72,-4,-5))))))))))</f>
        <v>2</v>
      </c>
      <c r="AQ34" s="194" t="str">
        <f>VLOOKUP(AP34,Lookup!$G$63:$J$73,2,FALSE)</f>
        <v>5 to 10% yield increase</v>
      </c>
      <c r="AR34" s="281" t="s">
        <v>3097</v>
      </c>
      <c r="AS34" s="181" t="str">
        <f>VLOOKUP(AT34,Lookup!$C$4:$D$14,2,FALSE)</f>
        <v>No Effect</v>
      </c>
      <c r="AT34" s="193">
        <f>IF(V34=0,0,IF(V34&lt;Lookup!$F$79,5,IF(V34&lt;Lookup!$F$80,4,IF(V34&lt;Lookup!$F$81,3,IF(V34&lt;Lookup!$F$82,2,IF(V34&lt;Lookup!$F$83,1,IF(V34&lt;Lookup!$F$85,-1,IF(V34&lt;Lookup!$F$86,-2,IF(V34&lt;Lookup!$F$87,-3,IF(V34&lt;Lookup!$F$88,-4,-5))))))))))</f>
        <v>0</v>
      </c>
      <c r="AU34" s="194" t="str">
        <f>VLOOKUP(AT34,Lookup!$G$79:$J$89,2,FALSE)</f>
        <v>No breakeven</v>
      </c>
      <c r="AV34" s="345" t="str">
        <f>VLOOKUP(AT34,Lookup!$G$79:$J$89,4,FALSE)</f>
        <v>Annual costs greater than annual benefits</v>
      </c>
      <c r="AW34" s="181" t="str">
        <f>VLOOKUP(AX34,Lookup!$C$4:$D$14,2,FALSE)</f>
        <v>Substantial Improvement</v>
      </c>
      <c r="AX34" s="193">
        <f>VLOOKUP(AY34,Lookup!$G$92:$J$97,4,FALSE)</f>
        <v>5</v>
      </c>
      <c r="AY34" s="181" t="s">
        <v>2657</v>
      </c>
      <c r="AZ34" s="281" t="s">
        <v>3159</v>
      </c>
      <c r="BA34" s="181" t="str">
        <f>VLOOKUP(BB34,Lookup!$C$4:$D$14,2,FALSE)</f>
        <v>Slight to Moderate Worsening</v>
      </c>
      <c r="BB34" s="193">
        <f>VLOOKUP(BC34,Lookup!$G$100:$K$110,5,FALSE)</f>
        <v>-2</v>
      </c>
      <c r="BC34" s="181" t="s">
        <v>2659</v>
      </c>
      <c r="BD34" s="281" t="s">
        <v>3193</v>
      </c>
      <c r="BE34" s="181" t="str">
        <f>VLOOKUP(BF34,Lookup!$C$4:$D$14,2,FALSE)</f>
        <v>Slight to Moderate Worsening</v>
      </c>
      <c r="BF34" s="193">
        <f>IF(X34=0,0,IF(X34&gt;Lookup!$F$113,-5,IF(X34&gt;Lookup!$F$114,-4,IF(X34&gt;Lookup!$F$115,-3,IF(X34&gt;Lookup!$F$116,-2,IF(X34&gt;Lookup!$F$117,-1,0))))))</f>
        <v>-2</v>
      </c>
      <c r="BG34" s="195" t="str">
        <f>VLOOKUP(BF34,Lookup!$G$113:$H$118,2,FALSE)</f>
        <v>Annual on-farm equipment costs 25 to 5% of enterprise annual net income</v>
      </c>
      <c r="BH34" s="281" t="s">
        <v>3525</v>
      </c>
      <c r="BI34" s="181" t="str">
        <f>VLOOKUP(BJ34,Lookup!$C$4:$D$14,2,FALSE)</f>
        <v>Slight to Moderate Worsening</v>
      </c>
      <c r="BJ34" s="193">
        <f>VLOOKUP(BK34,Lookup!$G$121:$L$131,6,FALSE)</f>
        <v>-2</v>
      </c>
      <c r="BK34" s="181" t="s">
        <v>2649</v>
      </c>
      <c r="BL34" s="281" t="s">
        <v>3272</v>
      </c>
      <c r="BM34" s="181" t="str">
        <f>VLOOKUP(BN34,Lookup!$C$4:$D$14,2,FALSE)</f>
        <v>Moderate Worsening</v>
      </c>
      <c r="BN34" s="193">
        <f>VLOOKUP(BO34,Lookup!$G$134:$L$144,6,FALSE)</f>
        <v>-3</v>
      </c>
      <c r="BO34" s="181" t="s">
        <v>2654</v>
      </c>
      <c r="BP34" s="281" t="s">
        <v>3384</v>
      </c>
      <c r="BQ34" s="181" t="str">
        <f>VLOOKUP(BR34,Lookup!$C$4:$D$14,2,FALSE)</f>
        <v>Moderate to Substantial Improvement</v>
      </c>
      <c r="BR34" s="193">
        <f>VLOOKUP(BS34,Lookup!$G$147:$L$157,6,FALSE)</f>
        <v>4</v>
      </c>
      <c r="BS34" s="181" t="s">
        <v>2645</v>
      </c>
      <c r="BT34" s="281" t="s">
        <v>3444</v>
      </c>
      <c r="BU34" s="175" t="s">
        <v>2231</v>
      </c>
    </row>
    <row r="35" spans="1:73" ht="39.950000000000003" customHeight="1" thickBot="1" x14ac:dyDescent="0.25">
      <c r="A35" s="173">
        <f t="shared" si="4"/>
        <v>33</v>
      </c>
      <c r="B35" s="178" t="s">
        <v>588</v>
      </c>
      <c r="C35" s="179" t="s">
        <v>1605</v>
      </c>
      <c r="D35" s="180">
        <v>324</v>
      </c>
      <c r="E35" s="180" t="s">
        <v>3646</v>
      </c>
      <c r="F35" s="273" t="str">
        <f>VLOOKUP($D35,'Practice Descriptions'!$E$11:$F$186,2,FALSE)</f>
        <v>Performing tillage operations below the normal tillage depth to modify adverse physical or chemical properties of a soil.</v>
      </c>
      <c r="G35" s="182">
        <v>3</v>
      </c>
      <c r="H35" s="183">
        <v>20</v>
      </c>
      <c r="I35" s="184">
        <v>0.5</v>
      </c>
      <c r="J35" s="184">
        <v>0</v>
      </c>
      <c r="K35" s="419">
        <f>IF(E35="No.",1,IF(E35="Ac.",1,(SQRT(VLOOKUP(O35,Lookup!$F$9:$H$18,3,FALSE)))*208/VLOOKUP(O35,Lookup!$F$9:$H$18,3,FALSE)))</f>
        <v>1</v>
      </c>
      <c r="L35" s="185" t="str">
        <f t="shared" si="0"/>
        <v/>
      </c>
      <c r="M35" s="184">
        <v>0</v>
      </c>
      <c r="N35" s="186">
        <f>IF(G35=1,H35,PMT(Lookup!$G$4,G35,-H35)+(H35*J35)+(M35*P35))*K35</f>
        <v>7.3613795808187881</v>
      </c>
      <c r="O35" s="187" t="s">
        <v>1110</v>
      </c>
      <c r="P35" s="186">
        <f>VLOOKUP($O35,Lookup!$F$9:$I$18,4,FALSE)</f>
        <v>300</v>
      </c>
      <c r="Q35" s="184">
        <v>0.03</v>
      </c>
      <c r="R35" s="183">
        <v>2</v>
      </c>
      <c r="S35" s="188" t="s">
        <v>3616</v>
      </c>
      <c r="T35" s="186">
        <f t="shared" si="2"/>
        <v>11</v>
      </c>
      <c r="U35" s="189">
        <f t="shared" si="3"/>
        <v>1.4942851240360162</v>
      </c>
      <c r="V35" s="189">
        <f t="shared" si="1"/>
        <v>1.8181818181818181</v>
      </c>
      <c r="W35" s="190">
        <f>IF(P35=0,0,IF(Q35+R35=0,0,PV(Lookup!$G$4,G35,-T35)/H35))</f>
        <v>1.4942851240360155</v>
      </c>
      <c r="X35" s="190">
        <f>IF(I35=0,0,PMT(Lookup!$G$4,G35,-(H35*I35*K35))/P35)</f>
        <v>1.2268965968031313E-2</v>
      </c>
      <c r="Y35" s="42" t="s">
        <v>963</v>
      </c>
      <c r="Z35" s="192">
        <f>VLOOKUP(Y35,Lookup!$B$4:$C$14,2,FALSE)</f>
        <v>2</v>
      </c>
      <c r="AA35" s="281" t="s">
        <v>1870</v>
      </c>
      <c r="AB35" s="282" t="s">
        <v>1072</v>
      </c>
      <c r="AC35" s="181" t="str">
        <f>VLOOKUP(AD35,Lookup!$C$4:$D$14,2,FALSE)</f>
        <v>Slight to Moderate Worsening</v>
      </c>
      <c r="AD35" s="193">
        <f>IF(P35/H35&lt;Lookup!$F$33,-5,IF(P35/H35&lt;Lookup!$F$32,-4,IF(P35/H35&lt;Lookup!$F$31,-3,IF(P35/H35&lt;Lookup!$F$30,-2,IF(P35/H35&lt;Lookup!$F$29,-1,-5)))))</f>
        <v>-2</v>
      </c>
      <c r="AE35" s="194" t="str">
        <f>VLOOKUP(AD35,Lookup!$G$28:$J$33,2,FALSE)</f>
        <v>One-time practice implementation cost 5 to 100% of enterprise annual net income</v>
      </c>
      <c r="AF35" s="281" t="s">
        <v>2955</v>
      </c>
      <c r="AG35" s="181" t="str">
        <f>VLOOKUP(AH35,Lookup!$C$4:$D$14,2,FALSE)</f>
        <v>No Effect</v>
      </c>
      <c r="AH35" s="193">
        <f>IF(J35&gt;Lookup!$F$43,-5,IF(J35&gt;Lookup!$F$42,-4,IF(J35&gt;Lookup!$F$41,-3,IF(J35&gt;Lookup!$F$40,-2,IF(J35&gt;Lookup!$F$39,-1,0)))))</f>
        <v>0</v>
      </c>
      <c r="AI35" s="194" t="str">
        <f>VLOOKUP(AH35,Lookup!$G$38:$J$43,2,FALSE)</f>
        <v>No O&amp;M costs</v>
      </c>
      <c r="AJ35" s="281" t="s">
        <v>3005</v>
      </c>
      <c r="AK35" s="181" t="str">
        <f>VLOOKUP(AL35,Lookup!$C$4:$D$14,2,FALSE)</f>
        <v>Slight Improvement</v>
      </c>
      <c r="AL35" s="346">
        <f>IF(N35=0,0,IF(U35&lt;Lookup!$F$58,-5,IF(U35&lt;Lookup!$F$57,-4,IF(U35&lt;Lookup!$F$56,-3,IF(U35&lt;Lookup!$F$55,-2,IF(U35&lt;Lookup!$F$54,-1,IF(U35&lt;Lookup!$F$53,0,IF(U35&lt;Lookup!$F$52,1,IF(U35&lt;Lookup!$F$51,2,IF(U35&lt;Lookup!$F$50,3,IF(U35&lt;Lookup!$F$49,4,5)))))))))))</f>
        <v>1</v>
      </c>
      <c r="AM35" s="194" t="str">
        <f>VLOOKUP(AL35,Lookup!$G$48:$J$58,2,FALSE)</f>
        <v>B/C Ratio 1.25 to 1.50</v>
      </c>
      <c r="AN35" s="281" t="s">
        <v>3024</v>
      </c>
      <c r="AO35" s="181" t="str">
        <f>VLOOKUP(AP35,Lookup!$C$4:$D$14,2,FALSE)</f>
        <v>Slight Improvement</v>
      </c>
      <c r="AP35" s="193">
        <f>IF(Q35=0,0,IF(Q35&gt;Lookup!$F$63,5,IF(Q35&gt;Lookup!$F$64,4,IF(Q35&gt;Lookup!$F$65,3,IF(Q35&gt;Lookup!$F$66,2,IF(Q35&gt;Lookup!$F$67,1,IF(Q35&gt;Lookup!$F$69,-1,IF(Q35&gt;Lookup!$F$70,-2,IF(Q35&gt;Lookup!$F$71,-3,IF(Q35&gt;Lookup!$F$72,-4,-5))))))))))</f>
        <v>1</v>
      </c>
      <c r="AQ35" s="194" t="str">
        <f>VLOOKUP(AP35,Lookup!$G$63:$J$73,2,FALSE)</f>
        <v>5% or less yield increase</v>
      </c>
      <c r="AR35" s="281" t="s">
        <v>3098</v>
      </c>
      <c r="AS35" s="181" t="str">
        <f>VLOOKUP(AT35,Lookup!$C$4:$D$14,2,FALSE)</f>
        <v>Moderate to Substantial Improvement</v>
      </c>
      <c r="AT35" s="193">
        <f>IF(V35=0,0,IF(V35&lt;Lookup!$F$79,5,IF(V35&lt;Lookup!$F$80,4,IF(V35&lt;Lookup!$F$81,3,IF(V35&lt;Lookup!$F$82,2,IF(V35&lt;Lookup!$F$83,1,IF(V35&lt;Lookup!$F$85,-1,IF(V35&lt;Lookup!$F$86,-2,IF(V35&lt;Lookup!$F$87,-3,IF(V35&lt;Lookup!$F$88,-4,-5))))))))))</f>
        <v>4</v>
      </c>
      <c r="AU35" s="194" t="str">
        <f>VLOOKUP(AT35,Lookup!$G$79:$J$89,2,FALSE)</f>
        <v>1-2 years to breakeven</v>
      </c>
      <c r="AV35" s="345" t="str">
        <f>VLOOKUP(AT35,Lookup!$G$79:$J$89,4,FALSE)</f>
        <v>Annual benefits significantly greater than annual costs</v>
      </c>
      <c r="AW35" s="181" t="str">
        <f>VLOOKUP(AX35,Lookup!$C$4:$D$14,2,FALSE)</f>
        <v>No Effect</v>
      </c>
      <c r="AX35" s="193">
        <f>VLOOKUP(AY35,Lookup!$G$92:$J$97,4,FALSE)</f>
        <v>0</v>
      </c>
      <c r="AY35" s="181" t="s">
        <v>2642</v>
      </c>
      <c r="AZ35" s="281" t="s">
        <v>3154</v>
      </c>
      <c r="BA35" s="181" t="str">
        <f>VLOOKUP(BB35,Lookup!$C$4:$D$14,2,FALSE)</f>
        <v>No Effect</v>
      </c>
      <c r="BB35" s="193">
        <f>VLOOKUP(BC35,Lookup!$G$100:$K$110,5,FALSE)</f>
        <v>0</v>
      </c>
      <c r="BC35" s="181" t="s">
        <v>2643</v>
      </c>
      <c r="BD35" s="281" t="s">
        <v>3154</v>
      </c>
      <c r="BE35" s="181" t="str">
        <f>VLOOKUP(BF35,Lookup!$C$4:$D$14,2,FALSE)</f>
        <v>Slight Worsening</v>
      </c>
      <c r="BF35" s="193">
        <f>IF(X35=0,0,IF(X35&gt;Lookup!$F$113,-5,IF(X35&gt;Lookup!$F$114,-4,IF(X35&gt;Lookup!$F$115,-3,IF(X35&gt;Lookup!$F$116,-2,IF(X35&gt;Lookup!$F$117,-1,0))))))</f>
        <v>-1</v>
      </c>
      <c r="BG35" s="195" t="str">
        <f>VLOOKUP(BF35,Lookup!$G$113:$H$118,2,FALSE)</f>
        <v>Annual on-farm equipment costs 5% or less of enterprise annual net income</v>
      </c>
      <c r="BH35" s="281" t="s">
        <v>1913</v>
      </c>
      <c r="BI35" s="181" t="str">
        <f>VLOOKUP(BJ35,Lookup!$C$4:$D$14,2,FALSE)</f>
        <v>Slight Worsening</v>
      </c>
      <c r="BJ35" s="193">
        <f>VLOOKUP(BK35,Lookup!$G$121:$L$131,6,FALSE)</f>
        <v>-1</v>
      </c>
      <c r="BK35" s="181" t="s">
        <v>2640</v>
      </c>
      <c r="BL35" s="281" t="s">
        <v>3273</v>
      </c>
      <c r="BM35" s="181" t="str">
        <f>VLOOKUP(BN35,Lookup!$C$4:$D$14,2,FALSE)</f>
        <v>No Effect</v>
      </c>
      <c r="BN35" s="193">
        <f>VLOOKUP(BO35,Lookup!$G$134:$L$144,6,FALSE)</f>
        <v>0</v>
      </c>
      <c r="BO35" s="181" t="s">
        <v>2646</v>
      </c>
      <c r="BP35" s="281" t="s">
        <v>3154</v>
      </c>
      <c r="BQ35" s="181" t="str">
        <f>VLOOKUP(BR35,Lookup!$C$4:$D$14,2,FALSE)</f>
        <v>Slight to Moderate Improvement</v>
      </c>
      <c r="BR35" s="193">
        <f>VLOOKUP(BS35,Lookup!$G$147:$L$157,6,FALSE)</f>
        <v>2</v>
      </c>
      <c r="BS35" s="181" t="s">
        <v>2641</v>
      </c>
      <c r="BT35" s="281" t="s">
        <v>3445</v>
      </c>
      <c r="BU35" s="175" t="s">
        <v>2231</v>
      </c>
    </row>
    <row r="36" spans="1:73" ht="39.950000000000003" customHeight="1" thickBot="1" x14ac:dyDescent="0.25">
      <c r="A36" s="173">
        <f t="shared" si="4"/>
        <v>34</v>
      </c>
      <c r="B36" s="178" t="s">
        <v>589</v>
      </c>
      <c r="C36" s="179" t="s">
        <v>1464</v>
      </c>
      <c r="D36" s="180">
        <v>356</v>
      </c>
      <c r="E36" s="180" t="s">
        <v>1944</v>
      </c>
      <c r="F36" s="273" t="str">
        <f>VLOOKUP($D36,'Practice Descriptions'!$E$11:$F$186,2,FALSE)</f>
        <v>A barrier constucted of earth or manufactured materials</v>
      </c>
      <c r="G36" s="182">
        <v>20</v>
      </c>
      <c r="H36" s="183">
        <v>2</v>
      </c>
      <c r="I36" s="184">
        <v>0</v>
      </c>
      <c r="J36" s="184">
        <v>0.1</v>
      </c>
      <c r="K36" s="419">
        <f>IF(E36="No.",1,IF(E36="Ac.",1,(SQRT(VLOOKUP(O36,Lookup!$F$9:$H$18,3,FALSE)))*208/VLOOKUP(O36,Lookup!$F$9:$H$18,3,FALSE)))</f>
        <v>23.255106965997815</v>
      </c>
      <c r="L36" s="185" t="str">
        <f t="shared" si="0"/>
        <v>Assume length 1 side of square field (208'/Ac)</v>
      </c>
      <c r="M36" s="184">
        <v>0</v>
      </c>
      <c r="N36" s="186">
        <f>IF(G36=1,H36,PMT(Lookup!$G$4,G36,-H36)+(H36*J36)+(M36*P36))*K36</f>
        <v>8.4227789193770608</v>
      </c>
      <c r="O36" s="187" t="s">
        <v>1110</v>
      </c>
      <c r="P36" s="186">
        <f>VLOOKUP($O36,Lookup!$F$9:$I$18,4,FALSE)</f>
        <v>300</v>
      </c>
      <c r="Q36" s="184">
        <v>0.2</v>
      </c>
      <c r="R36" s="183">
        <v>25</v>
      </c>
      <c r="S36" s="188" t="s">
        <v>3588</v>
      </c>
      <c r="T36" s="186">
        <f t="shared" si="2"/>
        <v>85</v>
      </c>
      <c r="U36" s="189">
        <f t="shared" si="3"/>
        <v>10.091681238890514</v>
      </c>
      <c r="V36" s="189">
        <f t="shared" si="1"/>
        <v>0.54717898743524274</v>
      </c>
      <c r="W36" s="190">
        <f>IF(P36=0,0,IF(Q36+R36=0,0,PV(Lookup!$G$4,G36,-T36)/H36))</f>
        <v>524.07507067748645</v>
      </c>
      <c r="X36" s="190">
        <f>IF(I36=0,0,PMT(Lookup!$G$4,G36,-(H36*I36*K36))/P36)</f>
        <v>0</v>
      </c>
      <c r="Y36" s="42" t="s">
        <v>964</v>
      </c>
      <c r="Z36" s="192">
        <f>VLOOKUP(Y36,Lookup!$B$4:$C$14,2,FALSE)</f>
        <v>4</v>
      </c>
      <c r="AA36" s="281" t="s">
        <v>1869</v>
      </c>
      <c r="AB36" s="282" t="s">
        <v>1072</v>
      </c>
      <c r="AC36" s="181" t="str">
        <f>VLOOKUP(AD36,Lookup!$C$4:$D$14,2,FALSE)</f>
        <v>Substantial Worsening</v>
      </c>
      <c r="AD36" s="193">
        <f>IF(P36/H36&lt;Lookup!$F$33,-5,IF(P36/H36&lt;Lookup!$F$32,-4,IF(P36/H36&lt;Lookup!$F$31,-3,IF(P36/H36&lt;Lookup!$F$30,-2,IF(P36/H36&lt;Lookup!$F$29,-1,-5)))))</f>
        <v>-5</v>
      </c>
      <c r="AE36" s="194" t="str">
        <f>VLOOKUP(AD36,Lookup!$G$28:$J$33,2,FALSE)</f>
        <v>One-time practice implementation cost 5 times or greater enterprise annual net income</v>
      </c>
      <c r="AF36" s="281" t="s">
        <v>1842</v>
      </c>
      <c r="AG36" s="181" t="str">
        <f>VLOOKUP(AH36,Lookup!$C$4:$D$14,2,FALSE)</f>
        <v>Substantial Worsening</v>
      </c>
      <c r="AH36" s="193">
        <f>IF(J36&gt;Lookup!$F$43,-5,IF(J36&gt;Lookup!$F$42,-4,IF(J36&gt;Lookup!$F$41,-3,IF(J36&gt;Lookup!$F$40,-2,IF(J36&gt;Lookup!$F$39,-1,0)))))</f>
        <v>-5</v>
      </c>
      <c r="AI36" s="194" t="str">
        <f>VLOOKUP(AH36,Lookup!$G$38:$J$43,2,FALSE)</f>
        <v>Annual O&amp;M costs greater than 4% of total installation costs</v>
      </c>
      <c r="AJ36" s="281" t="s">
        <v>3010</v>
      </c>
      <c r="AK36" s="181" t="str">
        <f>VLOOKUP(AL36,Lookup!$C$4:$D$14,2,FALSE)</f>
        <v>Substantial Improvement</v>
      </c>
      <c r="AL36" s="346">
        <f>IF(N36=0,0,IF(U36&lt;Lookup!$F$58,-5,IF(U36&lt;Lookup!$F$57,-4,IF(U36&lt;Lookup!$F$56,-3,IF(U36&lt;Lookup!$F$55,-2,IF(U36&lt;Lookup!$F$54,-1,IF(U36&lt;Lookup!$F$53,0,IF(U36&lt;Lookup!$F$52,1,IF(U36&lt;Lookup!$F$51,2,IF(U36&lt;Lookup!$F$50,3,IF(U36&lt;Lookup!$F$49,4,5)))))))))))</f>
        <v>5</v>
      </c>
      <c r="AM36" s="194" t="str">
        <f>VLOOKUP(AL36,Lookup!$G$48:$J$58,2,FALSE)</f>
        <v>B/C Ratio greater than 2.25</v>
      </c>
      <c r="AN36" s="281" t="s">
        <v>3025</v>
      </c>
      <c r="AO36" s="181" t="str">
        <f>VLOOKUP(AP36,Lookup!$C$4:$D$14,2,FALSE)</f>
        <v>Slight to Moderate Improvement</v>
      </c>
      <c r="AP36" s="193">
        <f>IF(Q36=0,0,IF(Q36&gt;Lookup!$F$63,5,IF(Q36&gt;Lookup!$F$64,4,IF(Q36&gt;Lookup!$F$65,3,IF(Q36&gt;Lookup!$F$66,2,IF(Q36&gt;Lookup!$F$67,1,IF(Q36&gt;Lookup!$F$69,-1,IF(Q36&gt;Lookup!$F$70,-2,IF(Q36&gt;Lookup!$F$71,-3,IF(Q36&gt;Lookup!$F$72,-4,-5))))))))))</f>
        <v>2</v>
      </c>
      <c r="AQ36" s="194" t="str">
        <f>VLOOKUP(AP36,Lookup!$G$63:$J$73,2,FALSE)</f>
        <v>5 to 10% yield increase</v>
      </c>
      <c r="AR36" s="281" t="s">
        <v>3099</v>
      </c>
      <c r="AS36" s="181" t="str">
        <f>VLOOKUP(AT36,Lookup!$C$4:$D$14,2,FALSE)</f>
        <v>Substantial Improvement</v>
      </c>
      <c r="AT36" s="193">
        <f>IF(V36=0,0,IF(V36&lt;Lookup!$F$79,5,IF(V36&lt;Lookup!$F$80,4,IF(V36&lt;Lookup!$F$81,3,IF(V36&lt;Lookup!$F$82,2,IF(V36&lt;Lookup!$F$83,1,IF(V36&lt;Lookup!$F$85,-1,IF(V36&lt;Lookup!$F$86,-2,IF(V36&lt;Lookup!$F$87,-3,IF(V36&lt;Lookup!$F$88,-4,-5))))))))))</f>
        <v>5</v>
      </c>
      <c r="AU36" s="194" t="str">
        <f>VLOOKUP(AT36,Lookup!$G$79:$J$89,2,FALSE)</f>
        <v>1 or less years to breakeven</v>
      </c>
      <c r="AV36" s="345" t="str">
        <f>VLOOKUP(AT36,Lookup!$G$79:$J$89,4,FALSE)</f>
        <v>Annual benefits significantly greater than annual costs</v>
      </c>
      <c r="AW36" s="181" t="str">
        <f>VLOOKUP(AX36,Lookup!$C$4:$D$14,2,FALSE)</f>
        <v>Slight to Moderate Improvement</v>
      </c>
      <c r="AX36" s="193">
        <f>VLOOKUP(AY36,Lookup!$G$92:$J$97,4,FALSE)</f>
        <v>2</v>
      </c>
      <c r="AY36" s="181" t="s">
        <v>2653</v>
      </c>
      <c r="AZ36" s="281" t="s">
        <v>3160</v>
      </c>
      <c r="BA36" s="181" t="str">
        <f>VLOOKUP(BB36,Lookup!$C$4:$D$14,2,FALSE)</f>
        <v>Slight Worsening</v>
      </c>
      <c r="BB36" s="193">
        <f>VLOOKUP(BC36,Lookup!$G$100:$K$110,5,FALSE)</f>
        <v>-1</v>
      </c>
      <c r="BC36" s="181" t="s">
        <v>2637</v>
      </c>
      <c r="BD36" s="281" t="s">
        <v>3184</v>
      </c>
      <c r="BE36" s="181" t="str">
        <f>VLOOKUP(BF36,Lookup!$C$4:$D$14,2,FALSE)</f>
        <v>No Effect</v>
      </c>
      <c r="BF36" s="193">
        <f>IF(X36=0,0,IF(X36&gt;Lookup!$F$113,-5,IF(X36&gt;Lookup!$F$114,-4,IF(X36&gt;Lookup!$F$115,-3,IF(X36&gt;Lookup!$F$116,-2,IF(X36&gt;Lookup!$F$117,-1,0))))))</f>
        <v>0</v>
      </c>
      <c r="BG36" s="195" t="str">
        <f>VLOOKUP(BF36,Lookup!$G$113:$H$118,2,FALSE)</f>
        <v>No change in on-farm equipment</v>
      </c>
      <c r="BH36" s="281" t="s">
        <v>3230</v>
      </c>
      <c r="BI36" s="181" t="str">
        <f>VLOOKUP(BJ36,Lookup!$C$4:$D$14,2,FALSE)</f>
        <v>Slight Improvement</v>
      </c>
      <c r="BJ36" s="193">
        <f>VLOOKUP(BK36,Lookup!$G$121:$L$131,6,FALSE)</f>
        <v>1</v>
      </c>
      <c r="BK36" s="181" t="s">
        <v>2638</v>
      </c>
      <c r="BL36" s="281" t="s">
        <v>3270</v>
      </c>
      <c r="BM36" s="181" t="str">
        <f>VLOOKUP(BN36,Lookup!$C$4:$D$14,2,FALSE)</f>
        <v>Slight to Moderate Worsening</v>
      </c>
      <c r="BN36" s="193">
        <f>VLOOKUP(BO36,Lookup!$G$134:$L$144,6,FALSE)</f>
        <v>-2</v>
      </c>
      <c r="BO36" s="181" t="s">
        <v>3374</v>
      </c>
      <c r="BP36" s="281" t="s">
        <v>3384</v>
      </c>
      <c r="BQ36" s="181" t="str">
        <f>VLOOKUP(BR36,Lookup!$C$4:$D$14,2,FALSE)</f>
        <v>Moderate to Substantial Improvement</v>
      </c>
      <c r="BR36" s="193">
        <f>VLOOKUP(BS36,Lookup!$G$147:$L$157,6,FALSE)</f>
        <v>4</v>
      </c>
      <c r="BS36" s="181" t="s">
        <v>2645</v>
      </c>
      <c r="BT36" s="281" t="s">
        <v>3444</v>
      </c>
      <c r="BU36" s="175" t="s">
        <v>2231</v>
      </c>
    </row>
    <row r="37" spans="1:73" ht="39.950000000000003" customHeight="1" thickBot="1" x14ac:dyDescent="0.25">
      <c r="A37" s="173">
        <f t="shared" si="4"/>
        <v>35</v>
      </c>
      <c r="B37" s="178" t="s">
        <v>590</v>
      </c>
      <c r="C37" s="179" t="s">
        <v>1597</v>
      </c>
      <c r="D37" s="180">
        <v>362</v>
      </c>
      <c r="E37" s="180" t="s">
        <v>1944</v>
      </c>
      <c r="F37" s="273" t="str">
        <f>VLOOKUP($D37,'Practice Descriptions'!$E$11:$F$186,2,FALSE)</f>
        <v>A channel generally constructed across the slope with a supporting ridge on the lower side.</v>
      </c>
      <c r="G37" s="182">
        <v>10</v>
      </c>
      <c r="H37" s="183">
        <v>5</v>
      </c>
      <c r="I37" s="184">
        <v>0</v>
      </c>
      <c r="J37" s="184">
        <v>0.02</v>
      </c>
      <c r="K37" s="419">
        <f>IF(E37="No.",1,IF(E37="Ac.",1,(SQRT(VLOOKUP(O37,Lookup!$F$9:$H$18,3,FALSE)))*208/VLOOKUP(O37,Lookup!$F$9:$H$18,3,FALSE)))</f>
        <v>23.255106965997815</v>
      </c>
      <c r="L37" s="185" t="str">
        <f t="shared" si="0"/>
        <v>Assume length 1 side of square field (208'/Ac)</v>
      </c>
      <c r="M37" s="184">
        <v>0</v>
      </c>
      <c r="N37" s="186">
        <f>IF(G37=1,H37,PMT(Lookup!$G$4,G37,-H37)+(H37*J37)+(M37*P37))*K37</f>
        <v>17.475268793695225</v>
      </c>
      <c r="O37" s="187" t="s">
        <v>1110</v>
      </c>
      <c r="P37" s="186">
        <f>VLOOKUP($O37,Lookup!$F$9:$I$18,4,FALSE)</f>
        <v>300</v>
      </c>
      <c r="Q37" s="184">
        <v>0.05</v>
      </c>
      <c r="R37" s="183">
        <v>5</v>
      </c>
      <c r="S37" s="188" t="s">
        <v>3589</v>
      </c>
      <c r="T37" s="186">
        <f t="shared" si="2"/>
        <v>20</v>
      </c>
      <c r="U37" s="189">
        <f t="shared" si="3"/>
        <v>1.1444745277517936</v>
      </c>
      <c r="V37" s="189">
        <f t="shared" si="1"/>
        <v>5.8137767414994537</v>
      </c>
      <c r="W37" s="190">
        <f>IF(P37=0,0,IF(Q37+R37=0,0,PV(Lookup!$G$4,G37,-T37)/H37))</f>
        <v>30.700301373731321</v>
      </c>
      <c r="X37" s="190">
        <f>IF(I37=0,0,PMT(Lookup!$G$4,G37,-(H37*I37*K37))/P37)</f>
        <v>0</v>
      </c>
      <c r="Y37" s="42" t="s">
        <v>964</v>
      </c>
      <c r="Z37" s="192">
        <f>VLOOKUP(Y37,Lookup!$B$4:$C$14,2,FALSE)</f>
        <v>4</v>
      </c>
      <c r="AA37" s="281" t="s">
        <v>1872</v>
      </c>
      <c r="AB37" s="282" t="s">
        <v>1072</v>
      </c>
      <c r="AC37" s="181" t="str">
        <f>VLOOKUP(AD37,Lookup!$C$4:$D$14,2,FALSE)</f>
        <v>Slight Worsening</v>
      </c>
      <c r="AD37" s="193">
        <f>IF(P37/H37&lt;Lookup!$F$33,-5,IF(P37/H37&lt;Lookup!$F$32,-4,IF(P37/H37&lt;Lookup!$F$31,-3,IF(P37/H37&lt;Lookup!$F$30,-2,IF(P37/H37&lt;Lookup!$F$29,-1,-5)))))</f>
        <v>-1</v>
      </c>
      <c r="AE37" s="194" t="str">
        <f>VLOOKUP(AD37,Lookup!$G$28:$J$33,2,FALSE)</f>
        <v>One-time practice implementation cost 5% or less of enterprise annual net income</v>
      </c>
      <c r="AF37" s="281" t="s">
        <v>1847</v>
      </c>
      <c r="AG37" s="181" t="str">
        <f>VLOOKUP(AH37,Lookup!$C$4:$D$14,2,FALSE)</f>
        <v>Slight to Moderate Worsening</v>
      </c>
      <c r="AH37" s="193">
        <f>IF(J37&gt;Lookup!$F$43,-5,IF(J37&gt;Lookup!$F$42,-4,IF(J37&gt;Lookup!$F$41,-3,IF(J37&gt;Lookup!$F$40,-2,IF(J37&gt;Lookup!$F$39,-1,0)))))</f>
        <v>-2</v>
      </c>
      <c r="AI37" s="194" t="str">
        <f>VLOOKUP(AH37,Lookup!$G$38:$J$43,2,FALSE)</f>
        <v>Annual O&amp;M costs 1 to 2% of total installation costs</v>
      </c>
      <c r="AJ37" s="281" t="s">
        <v>3011</v>
      </c>
      <c r="AK37" s="181" t="str">
        <f>VLOOKUP(AL37,Lookup!$C$4:$D$14,2,FALSE)</f>
        <v>No Effect</v>
      </c>
      <c r="AL37" s="346">
        <f>IF(N37=0,0,IF(U37&lt;Lookup!$F$58,-5,IF(U37&lt;Lookup!$F$57,-4,IF(U37&lt;Lookup!$F$56,-3,IF(U37&lt;Lookup!$F$55,-2,IF(U37&lt;Lookup!$F$54,-1,IF(U37&lt;Lookup!$F$53,0,IF(U37&lt;Lookup!$F$52,1,IF(U37&lt;Lookup!$F$51,2,IF(U37&lt;Lookup!$F$50,3,IF(U37&lt;Lookup!$F$49,4,5)))))))))))</f>
        <v>0</v>
      </c>
      <c r="AM37" s="194" t="str">
        <f>VLOOKUP(AL37,Lookup!$G$48:$J$58,2,FALSE)</f>
        <v>B/C Ratio .75 to 1.25</v>
      </c>
      <c r="AN37" s="281" t="s">
        <v>3026</v>
      </c>
      <c r="AO37" s="181" t="str">
        <f>VLOOKUP(AP37,Lookup!$C$4:$D$14,2,FALSE)</f>
        <v>Slight to Moderate Improvement</v>
      </c>
      <c r="AP37" s="193">
        <f>IF(Q37=0,0,IF(Q37&gt;Lookup!$F$63,5,IF(Q37&gt;Lookup!$F$64,4,IF(Q37&gt;Lookup!$F$65,3,IF(Q37&gt;Lookup!$F$66,2,IF(Q37&gt;Lookup!$F$67,1,IF(Q37&gt;Lookup!$F$69,-1,IF(Q37&gt;Lookup!$F$70,-2,IF(Q37&gt;Lookup!$F$71,-3,IF(Q37&gt;Lookup!$F$72,-4,-5))))))))))</f>
        <v>2</v>
      </c>
      <c r="AQ37" s="194" t="str">
        <f>VLOOKUP(AP37,Lookup!$G$63:$J$73,2,FALSE)</f>
        <v>5 to 10% yield increase</v>
      </c>
      <c r="AR37" s="281" t="s">
        <v>3097</v>
      </c>
      <c r="AS37" s="181" t="str">
        <f>VLOOKUP(AT37,Lookup!$C$4:$D$14,2,FALSE)</f>
        <v>Slight Worsening</v>
      </c>
      <c r="AT37" s="193">
        <f>IF(V37=0,0,IF(V37&lt;Lookup!$F$79,5,IF(V37&lt;Lookup!$F$80,4,IF(V37&lt;Lookup!$F$81,3,IF(V37&lt;Lookup!$F$82,2,IF(V37&lt;Lookup!$F$83,1,IF(V37&lt;Lookup!$F$85,-1,IF(V37&lt;Lookup!$F$86,-2,IF(V37&lt;Lookup!$F$87,-3,IF(V37&lt;Lookup!$F$88,-4,-5))))))))))</f>
        <v>-1</v>
      </c>
      <c r="AU37" s="194" t="str">
        <f>VLOOKUP(AT37,Lookup!$G$79:$J$89,2,FALSE)</f>
        <v>5-6 years to breakeven</v>
      </c>
      <c r="AV37" s="345" t="str">
        <f>VLOOKUP(AT37,Lookup!$G$79:$J$89,4,FALSE)</f>
        <v>Annual benefits moderately greater than annual costs</v>
      </c>
      <c r="AW37" s="181" t="str">
        <f>VLOOKUP(AX37,Lookup!$C$4:$D$14,2,FALSE)</f>
        <v>Slight Improvement</v>
      </c>
      <c r="AX37" s="193">
        <f>VLOOKUP(AY37,Lookup!$G$92:$J$97,4,FALSE)</f>
        <v>1</v>
      </c>
      <c r="AY37" s="181" t="s">
        <v>2636</v>
      </c>
      <c r="AZ37" s="281" t="s">
        <v>3535</v>
      </c>
      <c r="BA37" s="181" t="str">
        <f>VLOOKUP(BB37,Lookup!$C$4:$D$14,2,FALSE)</f>
        <v>Slight Worsening</v>
      </c>
      <c r="BB37" s="193">
        <f>VLOOKUP(BC37,Lookup!$G$100:$K$110,5,FALSE)</f>
        <v>-1</v>
      </c>
      <c r="BC37" s="181" t="s">
        <v>2637</v>
      </c>
      <c r="BD37" s="281" t="s">
        <v>3184</v>
      </c>
      <c r="BE37" s="181" t="str">
        <f>VLOOKUP(BF37,Lookup!$C$4:$D$14,2,FALSE)</f>
        <v>No Effect</v>
      </c>
      <c r="BF37" s="193">
        <f>IF(X37=0,0,IF(X37&gt;Lookup!$F$113,-5,IF(X37&gt;Lookup!$F$114,-4,IF(X37&gt;Lookup!$F$115,-3,IF(X37&gt;Lookup!$F$116,-2,IF(X37&gt;Lookup!$F$117,-1,0))))))</f>
        <v>0</v>
      </c>
      <c r="BG37" s="195" t="str">
        <f>VLOOKUP(BF37,Lookup!$G$113:$H$118,2,FALSE)</f>
        <v>No change in on-farm equipment</v>
      </c>
      <c r="BH37" s="281" t="s">
        <v>3230</v>
      </c>
      <c r="BI37" s="181" t="str">
        <f>VLOOKUP(BJ37,Lookup!$C$4:$D$14,2,FALSE)</f>
        <v>Slight to Moderate Worsening</v>
      </c>
      <c r="BJ37" s="193">
        <f>VLOOKUP(BK37,Lookup!$G$121:$L$131,6,FALSE)</f>
        <v>-2</v>
      </c>
      <c r="BK37" s="181" t="s">
        <v>2649</v>
      </c>
      <c r="BL37" s="281" t="s">
        <v>3274</v>
      </c>
      <c r="BM37" s="181" t="str">
        <f>VLOOKUP(BN37,Lookup!$C$4:$D$14,2,FALSE)</f>
        <v>Slight to Moderate Worsening</v>
      </c>
      <c r="BN37" s="193">
        <f>VLOOKUP(BO37,Lookup!$G$134:$L$144,6,FALSE)</f>
        <v>-2</v>
      </c>
      <c r="BO37" s="181" t="s">
        <v>3374</v>
      </c>
      <c r="BP37" s="281" t="s">
        <v>3384</v>
      </c>
      <c r="BQ37" s="181" t="str">
        <f>VLOOKUP(BR37,Lookup!$C$4:$D$14,2,FALSE)</f>
        <v>Moderate to Substantial Improvement</v>
      </c>
      <c r="BR37" s="193">
        <f>VLOOKUP(BS37,Lookup!$G$147:$L$157,6,FALSE)</f>
        <v>4</v>
      </c>
      <c r="BS37" s="181" t="s">
        <v>2645</v>
      </c>
      <c r="BT37" s="281" t="s">
        <v>3444</v>
      </c>
      <c r="BU37" s="175" t="s">
        <v>2231</v>
      </c>
    </row>
    <row r="38" spans="1:73" ht="39.950000000000003" customHeight="1" thickBot="1" x14ac:dyDescent="0.25">
      <c r="A38" s="173">
        <f t="shared" si="4"/>
        <v>36</v>
      </c>
      <c r="B38" s="178" t="s">
        <v>591</v>
      </c>
      <c r="C38" s="179" t="s">
        <v>1601</v>
      </c>
      <c r="D38" s="180">
        <v>554</v>
      </c>
      <c r="E38" s="180" t="s">
        <v>3646</v>
      </c>
      <c r="F38" s="273" t="str">
        <f>VLOOKUP($D38,'Practice Descriptions'!$E$11:$F$186,2,FALSE)</f>
        <v>The process of managing water discharges from surface and/or subsurface agricultural drainage systems</v>
      </c>
      <c r="G38" s="182">
        <v>10</v>
      </c>
      <c r="H38" s="183">
        <v>100</v>
      </c>
      <c r="I38" s="184">
        <v>0.25</v>
      </c>
      <c r="J38" s="184">
        <v>0.03</v>
      </c>
      <c r="K38" s="419">
        <f>IF(E38="No.",1,IF(E38="Ac.",1,(SQRT(VLOOKUP(O38,Lookup!$F$9:$H$18,3,FALSE)))*208/VLOOKUP(O38,Lookup!$F$9:$H$18,3,FALSE)))</f>
        <v>1</v>
      </c>
      <c r="L38" s="185" t="str">
        <f t="shared" si="0"/>
        <v/>
      </c>
      <c r="M38" s="184">
        <v>0</v>
      </c>
      <c r="N38" s="186">
        <f>IF(G38=1,H38,PMT(Lookup!$G$4,G38,-H38)+(H38*J38)+(M38*P38))*K38</f>
        <v>16.029188056839718</v>
      </c>
      <c r="O38" s="187" t="s">
        <v>1110</v>
      </c>
      <c r="P38" s="186">
        <f>VLOOKUP($O38,Lookup!$F$9:$I$18,4,FALSE)</f>
        <v>300</v>
      </c>
      <c r="Q38" s="184">
        <v>0.2</v>
      </c>
      <c r="R38" s="183">
        <v>5</v>
      </c>
      <c r="S38" s="188" t="s">
        <v>3590</v>
      </c>
      <c r="T38" s="186">
        <f t="shared" si="2"/>
        <v>65</v>
      </c>
      <c r="U38" s="189">
        <f t="shared" si="3"/>
        <v>4.055102464922685</v>
      </c>
      <c r="V38" s="189">
        <f t="shared" si="1"/>
        <v>1.5384615384615385</v>
      </c>
      <c r="W38" s="190">
        <f>IF(P38=0,0,IF(Q38+R38=0,0,PV(Lookup!$G$4,G38,-T38)/H38))</f>
        <v>4.9887989732313391</v>
      </c>
      <c r="X38" s="190">
        <f>IF(I38=0,0,PMT(Lookup!$G$4,G38,-(H38*I38*K38))/P38)</f>
        <v>1.0857656714033099E-2</v>
      </c>
      <c r="Y38" s="42" t="s">
        <v>986</v>
      </c>
      <c r="Z38" s="192">
        <f>VLOOKUP(Y38,Lookup!$B$4:$C$14,2,FALSE)</f>
        <v>0</v>
      </c>
      <c r="AA38" s="281" t="s">
        <v>2759</v>
      </c>
      <c r="AB38" s="282" t="s">
        <v>1072</v>
      </c>
      <c r="AC38" s="181" t="str">
        <f>VLOOKUP(AD38,Lookup!$C$4:$D$14,2,FALSE)</f>
        <v>Slight to Moderate Worsening</v>
      </c>
      <c r="AD38" s="193">
        <f>IF(P38/H38&lt;Lookup!$F$33,-5,IF(P38/H38&lt;Lookup!$F$32,-4,IF(P38/H38&lt;Lookup!$F$31,-3,IF(P38/H38&lt;Lookup!$F$30,-2,IF(P38/H38&lt;Lookup!$F$29,-1,-5)))))</f>
        <v>-2</v>
      </c>
      <c r="AE38" s="194" t="str">
        <f>VLOOKUP(AD38,Lookup!$G$28:$J$33,2,FALSE)</f>
        <v>One-time practice implementation cost 5 to 100% of enterprise annual net income</v>
      </c>
      <c r="AF38" s="281" t="s">
        <v>2956</v>
      </c>
      <c r="AG38" s="181" t="str">
        <f>VLOOKUP(AH38,Lookup!$C$4:$D$14,2,FALSE)</f>
        <v>Moderate Worsening</v>
      </c>
      <c r="AH38" s="193">
        <f>IF(J38&gt;Lookup!$F$43,-5,IF(J38&gt;Lookup!$F$42,-4,IF(J38&gt;Lookup!$F$41,-3,IF(J38&gt;Lookup!$F$40,-2,IF(J38&gt;Lookup!$F$39,-1,0)))))</f>
        <v>-3</v>
      </c>
      <c r="AI38" s="194" t="str">
        <f>VLOOKUP(AH38,Lookup!$G$38:$J$43,2,FALSE)</f>
        <v>Annual O&amp;M costs 2 to 3% of total installation costs</v>
      </c>
      <c r="AJ38" s="281" t="s">
        <v>1873</v>
      </c>
      <c r="AK38" s="181" t="str">
        <f>VLOOKUP(AL38,Lookup!$C$4:$D$14,2,FALSE)</f>
        <v>Substantial Improvement</v>
      </c>
      <c r="AL38" s="346">
        <f>IF(N38=0,0,IF(U38&lt;Lookup!$F$58,-5,IF(U38&lt;Lookup!$F$57,-4,IF(U38&lt;Lookup!$F$56,-3,IF(U38&lt;Lookup!$F$55,-2,IF(U38&lt;Lookup!$F$54,-1,IF(U38&lt;Lookup!$F$53,0,IF(U38&lt;Lookup!$F$52,1,IF(U38&lt;Lookup!$F$51,2,IF(U38&lt;Lookup!$F$50,3,IF(U38&lt;Lookup!$F$49,4,5)))))))))))</f>
        <v>5</v>
      </c>
      <c r="AM38" s="194" t="str">
        <f>VLOOKUP(AL38,Lookup!$G$48:$J$58,2,FALSE)</f>
        <v>B/C Ratio greater than 2.25</v>
      </c>
      <c r="AN38" s="281" t="s">
        <v>3026</v>
      </c>
      <c r="AO38" s="181" t="str">
        <f>VLOOKUP(AP38,Lookup!$C$4:$D$14,2,FALSE)</f>
        <v>Slight to Moderate Improvement</v>
      </c>
      <c r="AP38" s="193">
        <f>IF(Q38=0,0,IF(Q38&gt;Lookup!$F$63,5,IF(Q38&gt;Lookup!$F$64,4,IF(Q38&gt;Lookup!$F$65,3,IF(Q38&gt;Lookup!$F$66,2,IF(Q38&gt;Lookup!$F$67,1,IF(Q38&gt;Lookup!$F$69,-1,IF(Q38&gt;Lookup!$F$70,-2,IF(Q38&gt;Lookup!$F$71,-3,IF(Q38&gt;Lookup!$F$72,-4,-5))))))))))</f>
        <v>2</v>
      </c>
      <c r="AQ38" s="194" t="str">
        <f>VLOOKUP(AP38,Lookup!$G$63:$J$73,2,FALSE)</f>
        <v>5 to 10% yield increase</v>
      </c>
      <c r="AR38" s="281" t="s">
        <v>3100</v>
      </c>
      <c r="AS38" s="181" t="str">
        <f>VLOOKUP(AT38,Lookup!$C$4:$D$14,2,FALSE)</f>
        <v>Moderate to Substantial Improvement</v>
      </c>
      <c r="AT38" s="193">
        <f>IF(V38=0,0,IF(V38&lt;Lookup!$F$79,5,IF(V38&lt;Lookup!$F$80,4,IF(V38&lt;Lookup!$F$81,3,IF(V38&lt;Lookup!$F$82,2,IF(V38&lt;Lookup!$F$83,1,IF(V38&lt;Lookup!$F$85,-1,IF(V38&lt;Lookup!$F$86,-2,IF(V38&lt;Lookup!$F$87,-3,IF(V38&lt;Lookup!$F$88,-4,-5))))))))))</f>
        <v>4</v>
      </c>
      <c r="AU38" s="194" t="str">
        <f>VLOOKUP(AT38,Lookup!$G$79:$J$89,2,FALSE)</f>
        <v>1-2 years to breakeven</v>
      </c>
      <c r="AV38" s="345" t="str">
        <f>VLOOKUP(AT38,Lookup!$G$79:$J$89,4,FALSE)</f>
        <v>Annual benefits significantly greater than annual costs</v>
      </c>
      <c r="AW38" s="181" t="str">
        <f>VLOOKUP(AX38,Lookup!$C$4:$D$14,2,FALSE)</f>
        <v>Moderate to Substantial Improvement</v>
      </c>
      <c r="AX38" s="193">
        <f>VLOOKUP(AY38,Lookup!$G$92:$J$97,4,FALSE)</f>
        <v>4</v>
      </c>
      <c r="AY38" s="181" t="s">
        <v>2664</v>
      </c>
      <c r="AZ38" s="281" t="s">
        <v>3158</v>
      </c>
      <c r="BA38" s="181" t="str">
        <f>VLOOKUP(BB38,Lookup!$C$4:$D$14,2,FALSE)</f>
        <v>Moderate Improvement</v>
      </c>
      <c r="BB38" s="193">
        <f>VLOOKUP(BC38,Lookup!$G$100:$K$110,5,FALSE)</f>
        <v>3</v>
      </c>
      <c r="BC38" s="181" t="s">
        <v>2644</v>
      </c>
      <c r="BD38" s="281" t="s">
        <v>3194</v>
      </c>
      <c r="BE38" s="181" t="str">
        <f>VLOOKUP(BF38,Lookup!$C$4:$D$14,2,FALSE)</f>
        <v>Slight Worsening</v>
      </c>
      <c r="BF38" s="193">
        <f>IF(X38=0,0,IF(X38&gt;Lookup!$F$113,-5,IF(X38&gt;Lookup!$F$114,-4,IF(X38&gt;Lookup!$F$115,-3,IF(X38&gt;Lookup!$F$116,-2,IF(X38&gt;Lookup!$F$117,-1,0))))))</f>
        <v>-1</v>
      </c>
      <c r="BG38" s="195" t="str">
        <f>VLOOKUP(BF38,Lookup!$G$113:$H$118,2,FALSE)</f>
        <v>Annual on-farm equipment costs 5% or less of enterprise annual net income</v>
      </c>
      <c r="BH38" s="281" t="s">
        <v>3525</v>
      </c>
      <c r="BI38" s="181" t="str">
        <f>VLOOKUP(BJ38,Lookup!$C$4:$D$14,2,FALSE)</f>
        <v>Slight Worsening</v>
      </c>
      <c r="BJ38" s="193">
        <f>VLOOKUP(BK38,Lookup!$G$121:$L$131,6,FALSE)</f>
        <v>-1</v>
      </c>
      <c r="BK38" s="181" t="s">
        <v>2640</v>
      </c>
      <c r="BL38" s="281" t="s">
        <v>3274</v>
      </c>
      <c r="BM38" s="181" t="str">
        <f>VLOOKUP(BN38,Lookup!$C$4:$D$14,2,FALSE)</f>
        <v>Moderate Worsening</v>
      </c>
      <c r="BN38" s="193">
        <f>VLOOKUP(BO38,Lookup!$G$134:$L$144,6,FALSE)</f>
        <v>-3</v>
      </c>
      <c r="BO38" s="181" t="s">
        <v>2654</v>
      </c>
      <c r="BP38" s="281" t="s">
        <v>3385</v>
      </c>
      <c r="BQ38" s="181" t="str">
        <f>VLOOKUP(BR38,Lookup!$C$4:$D$14,2,FALSE)</f>
        <v>Moderate to Substantial Improvement</v>
      </c>
      <c r="BR38" s="193">
        <f>VLOOKUP(BS38,Lookup!$G$147:$L$157,6,FALSE)</f>
        <v>4</v>
      </c>
      <c r="BS38" s="181" t="s">
        <v>2645</v>
      </c>
      <c r="BT38" s="281" t="s">
        <v>3444</v>
      </c>
      <c r="BU38" s="175" t="s">
        <v>2231</v>
      </c>
    </row>
    <row r="39" spans="1:73" ht="39.950000000000003" customHeight="1" thickBot="1" x14ac:dyDescent="0.25">
      <c r="A39" s="173">
        <f t="shared" si="4"/>
        <v>37</v>
      </c>
      <c r="B39" s="178" t="s">
        <v>592</v>
      </c>
      <c r="C39" s="179" t="s">
        <v>1464</v>
      </c>
      <c r="D39" s="180">
        <v>432</v>
      </c>
      <c r="E39" s="180" t="s">
        <v>3647</v>
      </c>
      <c r="F39" s="273" t="str">
        <f>VLOOKUP($D39,'Practice Descriptions'!$E$11:$F$186,2,FALSE)</f>
        <v>A non-pressurized permanent pipe assembly system installed into water sources that permits the withdrawal of water by suction.</v>
      </c>
      <c r="G39" s="182">
        <v>15</v>
      </c>
      <c r="H39" s="183">
        <v>1000</v>
      </c>
      <c r="I39" s="184">
        <v>0.1</v>
      </c>
      <c r="J39" s="184">
        <v>0.01</v>
      </c>
      <c r="K39" s="419">
        <f>IF(E39="No.",1,IF(E39="Ac.",1,(SQRT(VLOOKUP(O39,Lookup!$F$9:$H$18,3,FALSE)))*208/VLOOKUP(O39,Lookup!$F$9:$H$18,3,FALSE)))</f>
        <v>1</v>
      </c>
      <c r="L39" s="185" t="str">
        <f t="shared" si="0"/>
        <v/>
      </c>
      <c r="M39" s="184">
        <v>0</v>
      </c>
      <c r="N39" s="186">
        <f>IF(G39=1,H39,PMT(Lookup!$G$4,G39,-H39)+(H39*J39)+(M39*P39))*K39</f>
        <v>107.1580122648776</v>
      </c>
      <c r="O39" s="187" t="s">
        <v>1110</v>
      </c>
      <c r="P39" s="186">
        <f>VLOOKUP($O39,Lookup!$F$9:$I$18,4,FALSE)</f>
        <v>300</v>
      </c>
      <c r="Q39" s="184">
        <v>0</v>
      </c>
      <c r="R39" s="183">
        <v>2</v>
      </c>
      <c r="S39" s="188" t="s">
        <v>3617</v>
      </c>
      <c r="T39" s="186">
        <f t="shared" si="2"/>
        <v>2</v>
      </c>
      <c r="U39" s="189">
        <f t="shared" si="3"/>
        <v>1.8664026681050386E-2</v>
      </c>
      <c r="V39" s="189">
        <f t="shared" si="1"/>
        <v>0</v>
      </c>
      <c r="W39" s="190">
        <f>IF(P39=0,0,IF(Q39+R39=0,0,PV(Lookup!$G$4,G39,-T39)/H39))</f>
        <v>2.0585023853179382E-2</v>
      </c>
      <c r="X39" s="190">
        <f>IF(I39=0,0,PMT(Lookup!$G$4,G39,-(H39*I39*K39))/P39)</f>
        <v>3.2386004088292536E-2</v>
      </c>
      <c r="Y39" s="42" t="s">
        <v>963</v>
      </c>
      <c r="Z39" s="192">
        <f>VLOOKUP(Y39,Lookup!$B$4:$C$14,2,FALSE)</f>
        <v>2</v>
      </c>
      <c r="AA39" s="281" t="s">
        <v>1874</v>
      </c>
      <c r="AB39" s="282" t="s">
        <v>1072</v>
      </c>
      <c r="AC39" s="181" t="str">
        <f>VLOOKUP(AD39,Lookup!$C$4:$D$14,2,FALSE)</f>
        <v>Moderate to Substantial Worsening</v>
      </c>
      <c r="AD39" s="193">
        <f>IF(P39/H39&lt;Lookup!$F$33,-5,IF(P39/H39&lt;Lookup!$F$32,-4,IF(P39/H39&lt;Lookup!$F$31,-3,IF(P39/H39&lt;Lookup!$F$30,-2,IF(P39/H39&lt;Lookup!$F$29,-1,-5)))))</f>
        <v>-4</v>
      </c>
      <c r="AE39" s="194" t="str">
        <f>VLOOKUP(AD39,Lookup!$G$28:$J$33,2,FALSE)</f>
        <v>One-time practice implementation cost 2 to 5 times enterprise annual net income</v>
      </c>
      <c r="AF39" s="281" t="s">
        <v>2956</v>
      </c>
      <c r="AG39" s="181" t="str">
        <f>VLOOKUP(AH39,Lookup!$C$4:$D$14,2,FALSE)</f>
        <v>Slight Worsening</v>
      </c>
      <c r="AH39" s="193">
        <f>IF(J39&gt;Lookup!$F$43,-5,IF(J39&gt;Lookup!$F$42,-4,IF(J39&gt;Lookup!$F$41,-3,IF(J39&gt;Lookup!$F$40,-2,IF(J39&gt;Lookup!$F$39,-1,0)))))</f>
        <v>-1</v>
      </c>
      <c r="AI39" s="194" t="str">
        <f>VLOOKUP(AH39,Lookup!$G$38:$J$43,2,FALSE)</f>
        <v>Annual O&amp;M costs less than 1% of total installation costs</v>
      </c>
      <c r="AJ39" s="281" t="s">
        <v>2976</v>
      </c>
      <c r="AK39" s="181" t="str">
        <f>VLOOKUP(AL39,Lookup!$C$4:$D$14,2,FALSE)</f>
        <v>Substantial Worsening</v>
      </c>
      <c r="AL39" s="346">
        <f>IF(N39=0,0,IF(U39&lt;Lookup!$F$58,-5,IF(U39&lt;Lookup!$F$57,-4,IF(U39&lt;Lookup!$F$56,-3,IF(U39&lt;Lookup!$F$55,-2,IF(U39&lt;Lookup!$F$54,-1,IF(U39&lt;Lookup!$F$53,0,IF(U39&lt;Lookup!$F$52,1,IF(U39&lt;Lookup!$F$51,2,IF(U39&lt;Lookup!$F$50,3,IF(U39&lt;Lookup!$F$49,4,5)))))))))))</f>
        <v>-5</v>
      </c>
      <c r="AM39" s="194" t="str">
        <f>VLOOKUP(AL39,Lookup!$G$48:$J$58,2,FALSE)</f>
        <v>B/C Ratio less than .02</v>
      </c>
      <c r="AN39" s="281" t="s">
        <v>3027</v>
      </c>
      <c r="AO39" s="181" t="str">
        <f>VLOOKUP(AP39,Lookup!$C$4:$D$14,2,FALSE)</f>
        <v>No Effect</v>
      </c>
      <c r="AP39" s="193">
        <f>IF(Q39=0,0,IF(Q39&gt;Lookup!$F$63,5,IF(Q39&gt;Lookup!$F$64,4,IF(Q39&gt;Lookup!$F$65,3,IF(Q39&gt;Lookup!$F$66,2,IF(Q39&gt;Lookup!$F$67,1,IF(Q39&gt;Lookup!$F$69,-1,IF(Q39&gt;Lookup!$F$70,-2,IF(Q39&gt;Lookup!$F$71,-3,IF(Q39&gt;Lookup!$F$72,-4,-5))))))))))</f>
        <v>0</v>
      </c>
      <c r="AQ39" s="194" t="str">
        <f>VLOOKUP(AP39,Lookup!$G$63:$J$73,2,FALSE)</f>
        <v>No change in yield</v>
      </c>
      <c r="AR39" s="281" t="s">
        <v>3081</v>
      </c>
      <c r="AS39" s="181" t="str">
        <f>VLOOKUP(AT39,Lookup!$C$4:$D$14,2,FALSE)</f>
        <v>No Effect</v>
      </c>
      <c r="AT39" s="193">
        <f>IF(V39=0,0,IF(V39&lt;Lookup!$F$79,5,IF(V39&lt;Lookup!$F$80,4,IF(V39&lt;Lookup!$F$81,3,IF(V39&lt;Lookup!$F$82,2,IF(V39&lt;Lookup!$F$83,1,IF(V39&lt;Lookup!$F$85,-1,IF(V39&lt;Lookup!$F$86,-2,IF(V39&lt;Lookup!$F$87,-3,IF(V39&lt;Lookup!$F$88,-4,-5))))))))))</f>
        <v>0</v>
      </c>
      <c r="AU39" s="194" t="str">
        <f>VLOOKUP(AT39,Lookup!$G$79:$J$89,2,FALSE)</f>
        <v>No breakeven</v>
      </c>
      <c r="AV39" s="345" t="str">
        <f>VLOOKUP(AT39,Lookup!$G$79:$J$89,4,FALSE)</f>
        <v>Annual costs greater than annual benefits</v>
      </c>
      <c r="AW39" s="181" t="str">
        <f>VLOOKUP(AX39,Lookup!$C$4:$D$14,2,FALSE)</f>
        <v>No Effect</v>
      </c>
      <c r="AX39" s="193">
        <f>VLOOKUP(AY39,Lookup!$G$92:$J$97,4,FALSE)</f>
        <v>0</v>
      </c>
      <c r="AY39" s="181" t="s">
        <v>2642</v>
      </c>
      <c r="AZ39" s="281" t="s">
        <v>3154</v>
      </c>
      <c r="BA39" s="181" t="str">
        <f>VLOOKUP(BB39,Lookup!$C$4:$D$14,2,FALSE)</f>
        <v>No Effect</v>
      </c>
      <c r="BB39" s="193">
        <f>VLOOKUP(BC39,Lookup!$G$100:$K$110,5,FALSE)</f>
        <v>0</v>
      </c>
      <c r="BC39" s="181" t="s">
        <v>2643</v>
      </c>
      <c r="BD39" s="281" t="s">
        <v>3154</v>
      </c>
      <c r="BE39" s="181" t="str">
        <f>VLOOKUP(BF39,Lookup!$C$4:$D$14,2,FALSE)</f>
        <v>Slight Worsening</v>
      </c>
      <c r="BF39" s="193">
        <f>IF(X39=0,0,IF(X39&gt;Lookup!$F$113,-5,IF(X39&gt;Lookup!$F$114,-4,IF(X39&gt;Lookup!$F$115,-3,IF(X39&gt;Lookup!$F$116,-2,IF(X39&gt;Lookup!$F$117,-1,0))))))</f>
        <v>-1</v>
      </c>
      <c r="BG39" s="195" t="str">
        <f>VLOOKUP(BF39,Lookup!$G$113:$H$118,2,FALSE)</f>
        <v>Annual on-farm equipment costs 5% or less of enterprise annual net income</v>
      </c>
      <c r="BH39" s="281" t="s">
        <v>3525</v>
      </c>
      <c r="BI39" s="181" t="str">
        <f>VLOOKUP(BJ39,Lookup!$C$4:$D$14,2,FALSE)</f>
        <v>Slight Worsening</v>
      </c>
      <c r="BJ39" s="193">
        <f>VLOOKUP(BK39,Lookup!$G$121:$L$131,6,FALSE)</f>
        <v>-1</v>
      </c>
      <c r="BK39" s="181" t="s">
        <v>2640</v>
      </c>
      <c r="BL39" s="281" t="s">
        <v>3274</v>
      </c>
      <c r="BM39" s="181" t="str">
        <f>VLOOKUP(BN39,Lookup!$C$4:$D$14,2,FALSE)</f>
        <v>No Effect</v>
      </c>
      <c r="BN39" s="193">
        <f>VLOOKUP(BO39,Lookup!$G$134:$L$144,6,FALSE)</f>
        <v>0</v>
      </c>
      <c r="BO39" s="181" t="s">
        <v>2646</v>
      </c>
      <c r="BP39" s="281" t="s">
        <v>3154</v>
      </c>
      <c r="BQ39" s="181" t="str">
        <f>VLOOKUP(BR39,Lookup!$C$4:$D$14,2,FALSE)</f>
        <v>Slight to Moderate Improvement</v>
      </c>
      <c r="BR39" s="193">
        <f>VLOOKUP(BS39,Lookup!$G$147:$L$157,6,FALSE)</f>
        <v>2</v>
      </c>
      <c r="BS39" s="181" t="s">
        <v>2641</v>
      </c>
      <c r="BT39" s="281" t="s">
        <v>3536</v>
      </c>
      <c r="BU39" s="175" t="s">
        <v>2231</v>
      </c>
    </row>
    <row r="40" spans="1:73" ht="39.950000000000003" customHeight="1" thickBot="1" x14ac:dyDescent="0.25">
      <c r="A40" s="173">
        <f>+A39+1</f>
        <v>38</v>
      </c>
      <c r="B40" s="178" t="s">
        <v>1783</v>
      </c>
      <c r="C40" s="179" t="s">
        <v>2058</v>
      </c>
      <c r="D40" s="180">
        <v>375</v>
      </c>
      <c r="E40" s="180" t="s">
        <v>3646</v>
      </c>
      <c r="F40" s="273" t="str">
        <f>VLOOKUP($D40,'Practice Descriptions'!$E$11:$F$186,2,FALSE)</f>
        <v>Reducing or preventing the emissions of particulate matter arising from animal activity on open lot surfaces at animal feeding operations.</v>
      </c>
      <c r="G40" s="182">
        <v>1</v>
      </c>
      <c r="H40" s="183">
        <v>100</v>
      </c>
      <c r="I40" s="184">
        <v>0.25</v>
      </c>
      <c r="J40" s="184">
        <v>0</v>
      </c>
      <c r="K40" s="419">
        <f>IF(E40="No.",1,IF(E40="Ac.",1,(SQRT(VLOOKUP(O40,Lookup!$F$9:$H$18,3,FALSE)))*208/VLOOKUP(O40,Lookup!$F$9:$H$18,3,FALSE)))</f>
        <v>1</v>
      </c>
      <c r="L40" s="185" t="str">
        <f t="shared" si="0"/>
        <v/>
      </c>
      <c r="M40" s="184">
        <v>0</v>
      </c>
      <c r="N40" s="186">
        <f>IF(G40=1,H40,PMT(Lookup!$G$4,G40,-H40)+(H40*J40)+(M40*P40))*K40</f>
        <v>100</v>
      </c>
      <c r="O40" s="187" t="s">
        <v>2221</v>
      </c>
      <c r="P40" s="186">
        <f>VLOOKUP($O40,Lookup!$F$9:$I$18,4,FALSE)</f>
        <v>1</v>
      </c>
      <c r="Q40" s="184">
        <v>0</v>
      </c>
      <c r="R40" s="183">
        <v>25</v>
      </c>
      <c r="S40" s="188" t="s">
        <v>3592</v>
      </c>
      <c r="T40" s="186">
        <f t="shared" si="2"/>
        <v>25</v>
      </c>
      <c r="U40" s="189">
        <f t="shared" si="3"/>
        <v>0.25</v>
      </c>
      <c r="V40" s="189">
        <f t="shared" si="1"/>
        <v>0</v>
      </c>
      <c r="W40" s="190">
        <f>IF(P40=0,0,IF(Q40+R40=0,0,PV(Lookup!$G$4,G40,-T40)/H40))</f>
        <v>0.23781212841854946</v>
      </c>
      <c r="X40" s="190">
        <f>IF(I40=0,0,PMT(Lookup!$G$4,G40,-(H40*I40*K40))/P40)</f>
        <v>26.281250000000007</v>
      </c>
      <c r="Y40" s="42" t="s">
        <v>986</v>
      </c>
      <c r="Z40" s="192">
        <f>VLOOKUP(Y40,Lookup!$B$4:$C$14,2,FALSE)</f>
        <v>0</v>
      </c>
      <c r="AA40" s="281"/>
      <c r="AB40" s="282"/>
      <c r="AC40" s="181" t="str">
        <f>VLOOKUP(AD40,Lookup!$C$4:$D$14,2,FALSE)</f>
        <v>Substantial Worsening</v>
      </c>
      <c r="AD40" s="193">
        <f>IF(P40/H40&lt;Lookup!$F$33,-5,IF(P40/H40&lt;Lookup!$F$32,-4,IF(P40/H40&lt;Lookup!$F$31,-3,IF(P40/H40&lt;Lookup!$F$30,-2,IF(P40/H40&lt;Lookup!$F$29,-1,-5)))))</f>
        <v>-5</v>
      </c>
      <c r="AE40" s="194" t="str">
        <f>VLOOKUP(AD40,Lookup!$G$28:$J$33,2,FALSE)</f>
        <v>One-time practice implementation cost 5 times or greater enterprise annual net income</v>
      </c>
      <c r="AF40" s="281" t="s">
        <v>2957</v>
      </c>
      <c r="AG40" s="181" t="str">
        <f>VLOOKUP(AH40,Lookup!$C$4:$D$14,2,FALSE)</f>
        <v>No Effect</v>
      </c>
      <c r="AH40" s="193">
        <f>IF(J40&gt;Lookup!$F$43,-5,IF(J40&gt;Lookup!$F$42,-4,IF(J40&gt;Lookup!$F$41,-3,IF(J40&gt;Lookup!$F$40,-2,IF(J40&gt;Lookup!$F$39,-1,0)))))</f>
        <v>0</v>
      </c>
      <c r="AI40" s="194" t="str">
        <f>VLOOKUP(AH40,Lookup!$G$38:$J$43,2,FALSE)</f>
        <v>No O&amp;M costs</v>
      </c>
      <c r="AJ40" s="281" t="s">
        <v>3005</v>
      </c>
      <c r="AK40" s="181" t="str">
        <f>VLOOKUP(AL40,Lookup!$C$4:$D$14,2,FALSE)</f>
        <v>Slight to Moderate Worsening</v>
      </c>
      <c r="AL40" s="346">
        <f>IF(N40=0,0,IF(U40&lt;Lookup!$F$58,-5,IF(U40&lt;Lookup!$F$57,-4,IF(U40&lt;Lookup!$F$56,-3,IF(U40&lt;Lookup!$F$55,-2,IF(U40&lt;Lookup!$F$54,-1,IF(U40&lt;Lookup!$F$53,0,IF(U40&lt;Lookup!$F$52,1,IF(U40&lt;Lookup!$F$51,2,IF(U40&lt;Lookup!$F$50,3,IF(U40&lt;Lookup!$F$49,4,5)))))))))))</f>
        <v>-2</v>
      </c>
      <c r="AM40" s="194" t="str">
        <f>VLOOKUP(AL40,Lookup!$G$48:$J$58,2,FALSE)</f>
        <v>B/C Ratio .25 to .50</v>
      </c>
      <c r="AN40" s="281" t="s">
        <v>3029</v>
      </c>
      <c r="AO40" s="181" t="str">
        <f>VLOOKUP(AP40,Lookup!$C$4:$D$14,2,FALSE)</f>
        <v>No Effect</v>
      </c>
      <c r="AP40" s="193">
        <f>IF(Q40=0,0,IF(Q40&gt;Lookup!$F$63,5,IF(Q40&gt;Lookup!$F$64,4,IF(Q40&gt;Lookup!$F$65,3,IF(Q40&gt;Lookup!$F$66,2,IF(Q40&gt;Lookup!$F$67,1,IF(Q40&gt;Lookup!$F$69,-1,IF(Q40&gt;Lookup!$F$70,-2,IF(Q40&gt;Lookup!$F$71,-3,IF(Q40&gt;Lookup!$F$72,-4,-5))))))))))</f>
        <v>0</v>
      </c>
      <c r="AQ40" s="194" t="str">
        <f>VLOOKUP(AP40,Lookup!$G$63:$J$73,2,FALSE)</f>
        <v>No change in yield</v>
      </c>
      <c r="AR40" s="281" t="s">
        <v>3081</v>
      </c>
      <c r="AS40" s="181" t="str">
        <f>VLOOKUP(AT40,Lookup!$C$4:$D$14,2,FALSE)</f>
        <v>No Effect</v>
      </c>
      <c r="AT40" s="193">
        <f>IF(V40=0,0,IF(V40&lt;Lookup!$F$79,5,IF(V40&lt;Lookup!$F$80,4,IF(V40&lt;Lookup!$F$81,3,IF(V40&lt;Lookup!$F$82,2,IF(V40&lt;Lookup!$F$83,1,IF(V40&lt;Lookup!$F$85,-1,IF(V40&lt;Lookup!$F$86,-2,IF(V40&lt;Lookup!$F$87,-3,IF(V40&lt;Lookup!$F$88,-4,-5))))))))))</f>
        <v>0</v>
      </c>
      <c r="AU40" s="194" t="str">
        <f>VLOOKUP(AT40,Lookup!$G$79:$J$89,2,FALSE)</f>
        <v>No breakeven</v>
      </c>
      <c r="AV40" s="345" t="str">
        <f>VLOOKUP(AT40,Lookup!$G$79:$J$89,4,FALSE)</f>
        <v>Annual costs greater than annual benefits</v>
      </c>
      <c r="AW40" s="181" t="str">
        <f>VLOOKUP(AX40,Lookup!$C$4:$D$14,2,FALSE)</f>
        <v>No Effect</v>
      </c>
      <c r="AX40" s="193">
        <f>VLOOKUP(AY40,Lookup!$G$92:$J$97,4,FALSE)</f>
        <v>0</v>
      </c>
      <c r="AY40" s="181" t="s">
        <v>2642</v>
      </c>
      <c r="AZ40" s="281" t="s">
        <v>3154</v>
      </c>
      <c r="BA40" s="181" t="str">
        <f>VLOOKUP(BB40,Lookup!$C$4:$D$14,2,FALSE)</f>
        <v>No Effect</v>
      </c>
      <c r="BB40" s="193">
        <f>VLOOKUP(BC40,Lookup!$G$100:$K$110,5,FALSE)</f>
        <v>0</v>
      </c>
      <c r="BC40" s="181" t="s">
        <v>2643</v>
      </c>
      <c r="BD40" s="281" t="s">
        <v>3154</v>
      </c>
      <c r="BE40" s="181" t="str">
        <f>VLOOKUP(BF40,Lookup!$C$4:$D$14,2,FALSE)</f>
        <v>Substantial Worsening</v>
      </c>
      <c r="BF40" s="193">
        <f>IF(X40=0,0,IF(X40&gt;Lookup!$F$113,-5,IF(X40&gt;Lookup!$F$114,-4,IF(X40&gt;Lookup!$F$115,-3,IF(X40&gt;Lookup!$F$116,-2,IF(X40&gt;Lookup!$F$117,-1,0))))))</f>
        <v>-5</v>
      </c>
      <c r="BG40" s="195" t="str">
        <f>VLOOKUP(BF40,Lookup!$G$113:$H$118,2,FALSE)</f>
        <v>Annual on-farm equipment costs 75% or greater of enterprise annual net income</v>
      </c>
      <c r="BH40" s="281" t="s">
        <v>3239</v>
      </c>
      <c r="BI40" s="181" t="str">
        <f>VLOOKUP(BJ40,Lookup!$C$4:$D$14,2,FALSE)</f>
        <v>Slight Worsening</v>
      </c>
      <c r="BJ40" s="193">
        <f>VLOOKUP(BK40,Lookup!$G$121:$L$131,6,FALSE)</f>
        <v>-1</v>
      </c>
      <c r="BK40" s="181" t="s">
        <v>2640</v>
      </c>
      <c r="BL40" s="281" t="s">
        <v>3275</v>
      </c>
      <c r="BM40" s="181" t="str">
        <f>VLOOKUP(BN40,Lookup!$C$4:$D$14,2,FALSE)</f>
        <v>Slight Improvement</v>
      </c>
      <c r="BN40" s="193">
        <f>VLOOKUP(BO40,Lookup!$G$134:$L$144,6,FALSE)</f>
        <v>1</v>
      </c>
      <c r="BO40" s="181" t="s">
        <v>3370</v>
      </c>
      <c r="BP40" s="281" t="s">
        <v>3386</v>
      </c>
      <c r="BQ40" s="181" t="str">
        <f>VLOOKUP(BR40,Lookup!$C$4:$D$14,2,FALSE)</f>
        <v>Slight to Moderate Improvement</v>
      </c>
      <c r="BR40" s="193">
        <f>VLOOKUP(BS40,Lookup!$G$147:$L$157,6,FALSE)</f>
        <v>2</v>
      </c>
      <c r="BS40" s="181" t="s">
        <v>2641</v>
      </c>
      <c r="BT40" s="281" t="s">
        <v>3446</v>
      </c>
      <c r="BU40" s="175" t="s">
        <v>2231</v>
      </c>
    </row>
    <row r="41" spans="1:73" ht="39.950000000000003" customHeight="1" thickBot="1" x14ac:dyDescent="0.25">
      <c r="A41" s="173">
        <f t="shared" si="4"/>
        <v>39</v>
      </c>
      <c r="B41" s="178" t="s">
        <v>1779</v>
      </c>
      <c r="C41" s="179" t="s">
        <v>2058</v>
      </c>
      <c r="D41" s="180">
        <v>373</v>
      </c>
      <c r="E41" s="180" t="s">
        <v>3646</v>
      </c>
      <c r="F41" s="273" t="str">
        <f>VLOOKUP($D41,'Practice Descriptions'!$E$11:$F$186,2,FALSE)</f>
        <v>Controlling direct particulate matter emissions produced by vehicle and machinery traffic or wind action from unpaved roads and other surfaces by applying a palliative on the surface.</v>
      </c>
      <c r="G41" s="182">
        <v>1</v>
      </c>
      <c r="H41" s="183">
        <v>100</v>
      </c>
      <c r="I41" s="184">
        <v>0.25</v>
      </c>
      <c r="J41" s="184">
        <v>0</v>
      </c>
      <c r="K41" s="419">
        <f>IF(E41="No.",1,IF(E41="Ac.",1,(SQRT(VLOOKUP(O41,Lookup!$F$9:$H$18,3,FALSE)))*208/VLOOKUP(O41,Lookup!$F$9:$H$18,3,FALSE)))</f>
        <v>1</v>
      </c>
      <c r="L41" s="185" t="str">
        <f t="shared" si="0"/>
        <v/>
      </c>
      <c r="M41" s="184">
        <v>0</v>
      </c>
      <c r="N41" s="186">
        <f>IF(G41=1,H41,PMT(Lookup!$G$4,G41,-H41)+(H41*J41)+(M41*P41))*K41</f>
        <v>100</v>
      </c>
      <c r="O41" s="187" t="s">
        <v>2221</v>
      </c>
      <c r="P41" s="186">
        <f>VLOOKUP($O41,Lookup!$F$9:$I$18,4,FALSE)</f>
        <v>1</v>
      </c>
      <c r="Q41" s="184">
        <v>0</v>
      </c>
      <c r="R41" s="183">
        <v>25</v>
      </c>
      <c r="S41" s="188" t="s">
        <v>3592</v>
      </c>
      <c r="T41" s="186">
        <f t="shared" si="2"/>
        <v>25</v>
      </c>
      <c r="U41" s="189">
        <f t="shared" si="3"/>
        <v>0.25</v>
      </c>
      <c r="V41" s="189">
        <f t="shared" si="1"/>
        <v>0</v>
      </c>
      <c r="W41" s="190">
        <f>IF(P41=0,0,IF(Q41+R41=0,0,PV(Lookup!$G$4,G41,-T41)/H41))</f>
        <v>0.23781212841854946</v>
      </c>
      <c r="X41" s="190">
        <f>IF(I41=0,0,PMT(Lookup!$G$4,G41,-(H41*I41*K41))/P41)</f>
        <v>26.281250000000007</v>
      </c>
      <c r="Y41" s="42" t="s">
        <v>986</v>
      </c>
      <c r="Z41" s="192">
        <f>VLOOKUP(Y41,Lookup!$B$4:$C$14,2,FALSE)</f>
        <v>0</v>
      </c>
      <c r="AA41" s="281"/>
      <c r="AB41" s="282"/>
      <c r="AC41" s="181" t="str">
        <f>VLOOKUP(AD41,Lookup!$C$4:$D$14,2,FALSE)</f>
        <v>Substantial Worsening</v>
      </c>
      <c r="AD41" s="193">
        <f>IF(P41/H41&lt;Lookup!$F$33,-5,IF(P41/H41&lt;Lookup!$F$32,-4,IF(P41/H41&lt;Lookup!$F$31,-3,IF(P41/H41&lt;Lookup!$F$30,-2,IF(P41/H41&lt;Lookup!$F$29,-1,-5)))))</f>
        <v>-5</v>
      </c>
      <c r="AE41" s="194" t="str">
        <f>VLOOKUP(AD41,Lookup!$G$28:$J$33,2,FALSE)</f>
        <v>One-time practice implementation cost 5 times or greater enterprise annual net income</v>
      </c>
      <c r="AF41" s="281" t="s">
        <v>2957</v>
      </c>
      <c r="AG41" s="181" t="str">
        <f>VLOOKUP(AH41,Lookup!$C$4:$D$14,2,FALSE)</f>
        <v>No Effect</v>
      </c>
      <c r="AH41" s="193">
        <f>IF(J41&gt;Lookup!$F$43,-5,IF(J41&gt;Lookup!$F$42,-4,IF(J41&gt;Lookup!$F$41,-3,IF(J41&gt;Lookup!$F$40,-2,IF(J41&gt;Lookup!$F$39,-1,0)))))</f>
        <v>0</v>
      </c>
      <c r="AI41" s="194" t="str">
        <f>VLOOKUP(AH41,Lookup!$G$38:$J$43,2,FALSE)</f>
        <v>No O&amp;M costs</v>
      </c>
      <c r="AJ41" s="281" t="s">
        <v>3005</v>
      </c>
      <c r="AK41" s="181" t="str">
        <f>VLOOKUP(AL41,Lookup!$C$4:$D$14,2,FALSE)</f>
        <v>Slight to Moderate Worsening</v>
      </c>
      <c r="AL41" s="346">
        <f>IF(N41=0,0,IF(U41&lt;Lookup!$F$58,-5,IF(U41&lt;Lookup!$F$57,-4,IF(U41&lt;Lookup!$F$56,-3,IF(U41&lt;Lookup!$F$55,-2,IF(U41&lt;Lookup!$F$54,-1,IF(U41&lt;Lookup!$F$53,0,IF(U41&lt;Lookup!$F$52,1,IF(U41&lt;Lookup!$F$51,2,IF(U41&lt;Lookup!$F$50,3,IF(U41&lt;Lookup!$F$49,4,5)))))))))))</f>
        <v>-2</v>
      </c>
      <c r="AM41" s="194" t="str">
        <f>VLOOKUP(AL41,Lookup!$G$48:$J$58,2,FALSE)</f>
        <v>B/C Ratio .25 to .50</v>
      </c>
      <c r="AN41" s="281" t="s">
        <v>3029</v>
      </c>
      <c r="AO41" s="181" t="str">
        <f>VLOOKUP(AP41,Lookup!$C$4:$D$14,2,FALSE)</f>
        <v>No Effect</v>
      </c>
      <c r="AP41" s="193">
        <f>IF(Q41=0,0,IF(Q41&gt;Lookup!$F$63,5,IF(Q41&gt;Lookup!$F$64,4,IF(Q41&gt;Lookup!$F$65,3,IF(Q41&gt;Lookup!$F$66,2,IF(Q41&gt;Lookup!$F$67,1,IF(Q41&gt;Lookup!$F$69,-1,IF(Q41&gt;Lookup!$F$70,-2,IF(Q41&gt;Lookup!$F$71,-3,IF(Q41&gt;Lookup!$F$72,-4,-5))))))))))</f>
        <v>0</v>
      </c>
      <c r="AQ41" s="194" t="str">
        <f>VLOOKUP(AP41,Lookup!$G$63:$J$73,2,FALSE)</f>
        <v>No change in yield</v>
      </c>
      <c r="AR41" s="281" t="s">
        <v>3081</v>
      </c>
      <c r="AS41" s="181" t="str">
        <f>VLOOKUP(AT41,Lookup!$C$4:$D$14,2,FALSE)</f>
        <v>No Effect</v>
      </c>
      <c r="AT41" s="193">
        <f>IF(V41=0,0,IF(V41&lt;Lookup!$F$79,5,IF(V41&lt;Lookup!$F$80,4,IF(V41&lt;Lookup!$F$81,3,IF(V41&lt;Lookup!$F$82,2,IF(V41&lt;Lookup!$F$83,1,IF(V41&lt;Lookup!$F$85,-1,IF(V41&lt;Lookup!$F$86,-2,IF(V41&lt;Lookup!$F$87,-3,IF(V41&lt;Lookup!$F$88,-4,-5))))))))))</f>
        <v>0</v>
      </c>
      <c r="AU41" s="194" t="str">
        <f>VLOOKUP(AT41,Lookup!$G$79:$J$89,2,FALSE)</f>
        <v>No breakeven</v>
      </c>
      <c r="AV41" s="345" t="str">
        <f>VLOOKUP(AT41,Lookup!$G$79:$J$89,4,FALSE)</f>
        <v>Annual costs greater than annual benefits</v>
      </c>
      <c r="AW41" s="181" t="str">
        <f>VLOOKUP(AX41,Lookup!$C$4:$D$14,2,FALSE)</f>
        <v>No Effect</v>
      </c>
      <c r="AX41" s="193">
        <f>VLOOKUP(AY41,Lookup!$G$92:$J$97,4,FALSE)</f>
        <v>0</v>
      </c>
      <c r="AY41" s="181" t="s">
        <v>2642</v>
      </c>
      <c r="AZ41" s="281" t="s">
        <v>3154</v>
      </c>
      <c r="BA41" s="181" t="str">
        <f>VLOOKUP(BB41,Lookup!$C$4:$D$14,2,FALSE)</f>
        <v>No Effect</v>
      </c>
      <c r="BB41" s="193">
        <f>VLOOKUP(BC41,Lookup!$G$100:$K$110,5,FALSE)</f>
        <v>0</v>
      </c>
      <c r="BC41" s="181" t="s">
        <v>2643</v>
      </c>
      <c r="BD41" s="281" t="s">
        <v>3154</v>
      </c>
      <c r="BE41" s="181" t="str">
        <f>VLOOKUP(BF41,Lookup!$C$4:$D$14,2,FALSE)</f>
        <v>Substantial Worsening</v>
      </c>
      <c r="BF41" s="193">
        <f>IF(X41=0,0,IF(X41&gt;Lookup!$F$113,-5,IF(X41&gt;Lookup!$F$114,-4,IF(X41&gt;Lookup!$F$115,-3,IF(X41&gt;Lookup!$F$116,-2,IF(X41&gt;Lookup!$F$117,-1,0))))))</f>
        <v>-5</v>
      </c>
      <c r="BG41" s="195" t="str">
        <f>VLOOKUP(BF41,Lookup!$G$113:$H$118,2,FALSE)</f>
        <v>Annual on-farm equipment costs 75% or greater of enterprise annual net income</v>
      </c>
      <c r="BH41" s="281" t="s">
        <v>3239</v>
      </c>
      <c r="BI41" s="181" t="str">
        <f>VLOOKUP(BJ41,Lookup!$C$4:$D$14,2,FALSE)</f>
        <v>Slight Worsening</v>
      </c>
      <c r="BJ41" s="193">
        <f>VLOOKUP(BK41,Lookup!$G$121:$L$131,6,FALSE)</f>
        <v>-1</v>
      </c>
      <c r="BK41" s="181" t="s">
        <v>2640</v>
      </c>
      <c r="BL41" s="281" t="s">
        <v>3275</v>
      </c>
      <c r="BM41" s="181" t="str">
        <f>VLOOKUP(BN41,Lookup!$C$4:$D$14,2,FALSE)</f>
        <v>Slight Worsening</v>
      </c>
      <c r="BN41" s="193">
        <f>VLOOKUP(BO41,Lookup!$G$134:$L$144,6,FALSE)</f>
        <v>-1</v>
      </c>
      <c r="BO41" s="181" t="s">
        <v>3373</v>
      </c>
      <c r="BP41" s="281" t="s">
        <v>3386</v>
      </c>
      <c r="BQ41" s="181" t="str">
        <f>VLOOKUP(BR41,Lookup!$C$4:$D$14,2,FALSE)</f>
        <v>Slight to Moderate Improvement</v>
      </c>
      <c r="BR41" s="193">
        <f>VLOOKUP(BS41,Lookup!$G$147:$L$157,6,FALSE)</f>
        <v>2</v>
      </c>
      <c r="BS41" s="181" t="s">
        <v>2641</v>
      </c>
      <c r="BT41" s="281" t="s">
        <v>3446</v>
      </c>
      <c r="BU41" s="175" t="s">
        <v>2231</v>
      </c>
    </row>
    <row r="42" spans="1:73" ht="39.950000000000003" customHeight="1" thickBot="1" x14ac:dyDescent="0.25">
      <c r="A42" s="173">
        <f t="shared" si="4"/>
        <v>40</v>
      </c>
      <c r="B42" s="178" t="s">
        <v>593</v>
      </c>
      <c r="C42" s="179" t="s">
        <v>1465</v>
      </c>
      <c r="D42" s="180">
        <v>647</v>
      </c>
      <c r="E42" s="180" t="s">
        <v>3646</v>
      </c>
      <c r="F42" s="273" t="str">
        <f>VLOOKUP($D42,'Practice Descriptions'!$E$11:$F$186,2,FALSE)</f>
        <v>Manage plant succession to develop and maintain early successional habitat to benefit desired wildlife and/or natural communities.</v>
      </c>
      <c r="G42" s="182">
        <v>15</v>
      </c>
      <c r="H42" s="183">
        <v>100</v>
      </c>
      <c r="I42" s="184">
        <v>0</v>
      </c>
      <c r="J42" s="184">
        <v>0.01</v>
      </c>
      <c r="K42" s="419">
        <f>IF(E42="No.",1,IF(E42="Ac.",1,(SQRT(VLOOKUP(O42,Lookup!$F$9:$H$18,3,FALSE)))*208/VLOOKUP(O42,Lookup!$F$9:$H$18,3,FALSE)))</f>
        <v>1</v>
      </c>
      <c r="L42" s="185" t="str">
        <f t="shared" si="0"/>
        <v/>
      </c>
      <c r="M42" s="184">
        <v>0.2</v>
      </c>
      <c r="N42" s="186">
        <f>IF(G42=1,H42,PMT(Lookup!$G$4,G42,-H42)+(H42*J42)+(M42*P42))*K42</f>
        <v>20.715801226487763</v>
      </c>
      <c r="O42" s="181" t="s">
        <v>1260</v>
      </c>
      <c r="P42" s="186">
        <f>VLOOKUP($O42,Lookup!$F$9:$I$18,4,FALSE)</f>
        <v>50</v>
      </c>
      <c r="Q42" s="184">
        <v>0</v>
      </c>
      <c r="R42" s="183">
        <v>2</v>
      </c>
      <c r="S42" s="188" t="s">
        <v>3618</v>
      </c>
      <c r="T42" s="186">
        <f t="shared" si="2"/>
        <v>2</v>
      </c>
      <c r="U42" s="189">
        <f t="shared" si="3"/>
        <v>9.6544660673937535E-2</v>
      </c>
      <c r="V42" s="189">
        <f t="shared" si="1"/>
        <v>0</v>
      </c>
      <c r="W42" s="190">
        <f>IF(P42=0,0,IF(Q42+R42=0,0,PV(Lookup!$G$4,G42,-T42)/H42))</f>
        <v>0.20585023853179382</v>
      </c>
      <c r="X42" s="190">
        <f>IF(I42=0,0,PMT(Lookup!$G$4,G42,-(H42*I42*K42))/P42)</f>
        <v>0</v>
      </c>
      <c r="Y42" s="42" t="s">
        <v>986</v>
      </c>
      <c r="Z42" s="192">
        <f>VLOOKUP(Y42,Lookup!$B$4:$C$14,2,FALSE)</f>
        <v>0</v>
      </c>
      <c r="AA42" s="281" t="s">
        <v>2759</v>
      </c>
      <c r="AB42" s="282" t="s">
        <v>1072</v>
      </c>
      <c r="AC42" s="181" t="str">
        <f>VLOOKUP(AD42,Lookup!$C$4:$D$14,2,FALSE)</f>
        <v>Moderate Worsening</v>
      </c>
      <c r="AD42" s="193">
        <f>IF(P42/H42&lt;Lookup!$F$33,-5,IF(P42/H42&lt;Lookup!$F$32,-4,IF(P42/H42&lt;Lookup!$F$31,-3,IF(P42/H42&lt;Lookup!$F$30,-2,IF(P42/H42&lt;Lookup!$F$29,-1,-5)))))</f>
        <v>-3</v>
      </c>
      <c r="AE42" s="194" t="str">
        <f>VLOOKUP(AD42,Lookup!$G$28:$J$33,2,FALSE)</f>
        <v>One-time practice implementation cost 1 to 2 times enterprise annual net income</v>
      </c>
      <c r="AF42" s="281" t="s">
        <v>2957</v>
      </c>
      <c r="AG42" s="181" t="str">
        <f>VLOOKUP(AH42,Lookup!$C$4:$D$14,2,FALSE)</f>
        <v>Slight Worsening</v>
      </c>
      <c r="AH42" s="193">
        <f>IF(J42&gt;Lookup!$F$43,-5,IF(J42&gt;Lookup!$F$42,-4,IF(J42&gt;Lookup!$F$41,-3,IF(J42&gt;Lookup!$F$40,-2,IF(J42&gt;Lookup!$F$39,-1,0)))))</f>
        <v>-1</v>
      </c>
      <c r="AI42" s="194" t="str">
        <f>VLOOKUP(AH42,Lookup!$G$38:$J$43,2,FALSE)</f>
        <v>Annual O&amp;M costs less than 1% of total installation costs</v>
      </c>
      <c r="AJ42" s="281" t="s">
        <v>2978</v>
      </c>
      <c r="AK42" s="181" t="str">
        <f>VLOOKUP(AL42,Lookup!$C$4:$D$14,2,FALSE)</f>
        <v>Moderate to Substantial Worsening</v>
      </c>
      <c r="AL42" s="346">
        <f>IF(N42=0,0,IF(U42&lt;Lookup!$F$58,-5,IF(U42&lt;Lookup!$F$57,-4,IF(U42&lt;Lookup!$F$56,-3,IF(U42&lt;Lookup!$F$55,-2,IF(U42&lt;Lookup!$F$54,-1,IF(U42&lt;Lookup!$F$53,0,IF(U42&lt;Lookup!$F$52,1,IF(U42&lt;Lookup!$F$51,2,IF(U42&lt;Lookup!$F$50,3,IF(U42&lt;Lookup!$F$49,4,5)))))))))))</f>
        <v>-4</v>
      </c>
      <c r="AM42" s="194" t="str">
        <f>VLOOKUP(AL42,Lookup!$G$48:$J$58,2,FALSE)</f>
        <v>B/C Ratio .05 to .10</v>
      </c>
      <c r="AN42" s="281" t="s">
        <v>1843</v>
      </c>
      <c r="AO42" s="181" t="str">
        <f>VLOOKUP(AP42,Lookup!$C$4:$D$14,2,FALSE)</f>
        <v>No Effect</v>
      </c>
      <c r="AP42" s="193">
        <f>IF(Q42=0,0,IF(Q42&gt;Lookup!$F$63,5,IF(Q42&gt;Lookup!$F$64,4,IF(Q42&gt;Lookup!$F$65,3,IF(Q42&gt;Lookup!$F$66,2,IF(Q42&gt;Lookup!$F$67,1,IF(Q42&gt;Lookup!$F$69,-1,IF(Q42&gt;Lookup!$F$70,-2,IF(Q42&gt;Lookup!$F$71,-3,IF(Q42&gt;Lookup!$F$72,-4,-5))))))))))</f>
        <v>0</v>
      </c>
      <c r="AQ42" s="194" t="str">
        <f>VLOOKUP(AP42,Lookup!$G$63:$J$73,2,FALSE)</f>
        <v>No change in yield</v>
      </c>
      <c r="AR42" s="281" t="s">
        <v>3081</v>
      </c>
      <c r="AS42" s="181" t="str">
        <f>VLOOKUP(AT42,Lookup!$C$4:$D$14,2,FALSE)</f>
        <v>No Effect</v>
      </c>
      <c r="AT42" s="193">
        <f>IF(V42=0,0,IF(V42&lt;Lookup!$F$79,5,IF(V42&lt;Lookup!$F$80,4,IF(V42&lt;Lookup!$F$81,3,IF(V42&lt;Lookup!$F$82,2,IF(V42&lt;Lookup!$F$83,1,IF(V42&lt;Lookup!$F$85,-1,IF(V42&lt;Lookup!$F$86,-2,IF(V42&lt;Lookup!$F$87,-3,IF(V42&lt;Lookup!$F$88,-4,-5))))))))))</f>
        <v>0</v>
      </c>
      <c r="AU42" s="194" t="str">
        <f>VLOOKUP(AT42,Lookup!$G$79:$J$89,2,FALSE)</f>
        <v>No breakeven</v>
      </c>
      <c r="AV42" s="345" t="str">
        <f>VLOOKUP(AT42,Lookup!$G$79:$J$89,4,FALSE)</f>
        <v>Annual costs greater than annual benefits</v>
      </c>
      <c r="AW42" s="181" t="str">
        <f>VLOOKUP(AX42,Lookup!$C$4:$D$14,2,FALSE)</f>
        <v>Moderate to Substantial Improvement</v>
      </c>
      <c r="AX42" s="193">
        <f>VLOOKUP(AY42,Lookup!$G$92:$J$97,4,FALSE)</f>
        <v>4</v>
      </c>
      <c r="AY42" s="181" t="s">
        <v>2664</v>
      </c>
      <c r="AZ42" s="281" t="s">
        <v>3537</v>
      </c>
      <c r="BA42" s="181" t="str">
        <f>VLOOKUP(BB42,Lookup!$C$4:$D$14,2,FALSE)</f>
        <v>Moderate Worsening</v>
      </c>
      <c r="BB42" s="193">
        <f>VLOOKUP(BC42,Lookup!$G$100:$K$110,5,FALSE)</f>
        <v>-3</v>
      </c>
      <c r="BC42" s="181" t="s">
        <v>2632</v>
      </c>
      <c r="BD42" s="281" t="s">
        <v>3195</v>
      </c>
      <c r="BE42" s="181" t="str">
        <f>VLOOKUP(BF42,Lookup!$C$4:$D$14,2,FALSE)</f>
        <v>No Effect</v>
      </c>
      <c r="BF42" s="193">
        <f>IF(X42=0,0,IF(X42&gt;Lookup!$F$113,-5,IF(X42&gt;Lookup!$F$114,-4,IF(X42&gt;Lookup!$F$115,-3,IF(X42&gt;Lookup!$F$116,-2,IF(X42&gt;Lookup!$F$117,-1,0))))))</f>
        <v>0</v>
      </c>
      <c r="BG42" s="195" t="str">
        <f>VLOOKUP(BF42,Lookup!$G$113:$H$118,2,FALSE)</f>
        <v>No change in on-farm equipment</v>
      </c>
      <c r="BH42" s="281" t="s">
        <v>3231</v>
      </c>
      <c r="BI42" s="181" t="str">
        <f>VLOOKUP(BJ42,Lookup!$C$4:$D$14,2,FALSE)</f>
        <v>Slight Worsening</v>
      </c>
      <c r="BJ42" s="193">
        <f>VLOOKUP(BK42,Lookup!$G$121:$L$131,6,FALSE)</f>
        <v>-1</v>
      </c>
      <c r="BK42" s="181" t="s">
        <v>2640</v>
      </c>
      <c r="BL42" s="281" t="s">
        <v>3276</v>
      </c>
      <c r="BM42" s="181" t="str">
        <f>VLOOKUP(BN42,Lookup!$C$4:$D$14,2,FALSE)</f>
        <v>Slight to Moderate Worsening</v>
      </c>
      <c r="BN42" s="193">
        <f>VLOOKUP(BO42,Lookup!$G$134:$L$144,6,FALSE)</f>
        <v>-2</v>
      </c>
      <c r="BO42" s="181" t="s">
        <v>3374</v>
      </c>
      <c r="BP42" s="281" t="s">
        <v>3387</v>
      </c>
      <c r="BQ42" s="181" t="str">
        <f>VLOOKUP(BR42,Lookup!$C$4:$D$14,2,FALSE)</f>
        <v>Slight to Moderate Improvement</v>
      </c>
      <c r="BR42" s="193">
        <f>VLOOKUP(BS42,Lookup!$G$147:$L$157,6,FALSE)</f>
        <v>2</v>
      </c>
      <c r="BS42" s="181" t="s">
        <v>2641</v>
      </c>
      <c r="BT42" s="281" t="s">
        <v>3447</v>
      </c>
      <c r="BU42" s="175" t="s">
        <v>2231</v>
      </c>
    </row>
    <row r="43" spans="1:73" ht="39.950000000000003" customHeight="1" thickBot="1" x14ac:dyDescent="0.25">
      <c r="A43" s="173">
        <f t="shared" si="4"/>
        <v>41</v>
      </c>
      <c r="B43" s="178" t="s">
        <v>1988</v>
      </c>
      <c r="C43" s="179" t="s">
        <v>2058</v>
      </c>
      <c r="D43" s="180">
        <v>374</v>
      </c>
      <c r="E43" s="180" t="s">
        <v>3647</v>
      </c>
      <c r="F43" s="273" t="str">
        <f>VLOOKUP($D43,'Practice Descriptions'!$E$11:$F$186,2,FALSE)</f>
        <v xml:space="preserve">Development and implementation of improvements to reduce, or improve the energy efficiency of on-farm energy use   </v>
      </c>
      <c r="G43" s="182">
        <v>10</v>
      </c>
      <c r="H43" s="183">
        <v>10000</v>
      </c>
      <c r="I43" s="184">
        <v>1</v>
      </c>
      <c r="J43" s="184">
        <v>0.01</v>
      </c>
      <c r="K43" s="419">
        <f>IF(E43="No.",1,IF(E43="Ac.",1,(SQRT(VLOOKUP(O43,Lookup!$F$9:$H$18,3,FALSE)))*208/VLOOKUP(O43,Lookup!$F$9:$H$18,3,FALSE)))</f>
        <v>1</v>
      </c>
      <c r="L43" s="185" t="str">
        <f t="shared" si="0"/>
        <v/>
      </c>
      <c r="M43" s="184">
        <v>0</v>
      </c>
      <c r="N43" s="186">
        <f>IF(G43=1,H43,PMT(Lookup!$G$4,G43,-H43)+(H43*J43)+(M43*P43))*K43</f>
        <v>1402.9188056839719</v>
      </c>
      <c r="O43" s="187" t="s">
        <v>2221</v>
      </c>
      <c r="P43" s="186">
        <f>VLOOKUP($O43,Lookup!$F$9:$I$18,4,FALSE)</f>
        <v>1</v>
      </c>
      <c r="Q43" s="184">
        <v>0</v>
      </c>
      <c r="R43" s="183">
        <v>2000</v>
      </c>
      <c r="S43" s="188" t="s">
        <v>3593</v>
      </c>
      <c r="T43" s="186">
        <f t="shared" si="2"/>
        <v>2000</v>
      </c>
      <c r="U43" s="189">
        <f t="shared" si="3"/>
        <v>1.4255992520001399</v>
      </c>
      <c r="V43" s="189">
        <f t="shared" si="1"/>
        <v>5</v>
      </c>
      <c r="W43" s="190">
        <f>IF(P43=0,0,IF(Q43+R43=0,0,PV(Lookup!$G$4,G43,-T43)/H43))</f>
        <v>1.535015068686566</v>
      </c>
      <c r="X43" s="190">
        <f>IF(I43=0,0,PMT(Lookup!$G$4,G43,-(H43*I43*K43))/P43)</f>
        <v>1302.9188056839719</v>
      </c>
      <c r="Y43" s="42" t="s">
        <v>986</v>
      </c>
      <c r="Z43" s="192">
        <f>VLOOKUP(Y43,Lookup!$B$4:$C$14,2,FALSE)</f>
        <v>0</v>
      </c>
      <c r="AA43" s="281" t="s">
        <v>2759</v>
      </c>
      <c r="AB43" s="282" t="s">
        <v>1072</v>
      </c>
      <c r="AC43" s="181" t="str">
        <f>VLOOKUP(AD43,Lookup!$C$4:$D$14,2,FALSE)</f>
        <v>Substantial Worsening</v>
      </c>
      <c r="AD43" s="193">
        <f>IF(P43/H43&lt;Lookup!$F$33,-5,IF(P43/H43&lt;Lookup!$F$32,-4,IF(P43/H43&lt;Lookup!$F$31,-3,IF(P43/H43&lt;Lookup!$F$30,-2,IF(P43/H43&lt;Lookup!$F$29,-1,-5)))))</f>
        <v>-5</v>
      </c>
      <c r="AE43" s="194" t="str">
        <f>VLOOKUP(AD43,Lookup!$G$28:$J$33,2,FALSE)</f>
        <v>One-time practice implementation cost 5 times or greater enterprise annual net income</v>
      </c>
      <c r="AF43" s="281" t="s">
        <v>2958</v>
      </c>
      <c r="AG43" s="181" t="str">
        <f>VLOOKUP(AH43,Lookup!$C$4:$D$14,2,FALSE)</f>
        <v>Slight Worsening</v>
      </c>
      <c r="AH43" s="193">
        <f>IF(J43&gt;Lookup!$F$43,-5,IF(J43&gt;Lookup!$F$42,-4,IF(J43&gt;Lookup!$F$41,-3,IF(J43&gt;Lookup!$F$40,-2,IF(J43&gt;Lookup!$F$39,-1,0)))))</f>
        <v>-1</v>
      </c>
      <c r="AI43" s="194" t="str">
        <f>VLOOKUP(AH43,Lookup!$G$38:$J$43,2,FALSE)</f>
        <v>Annual O&amp;M costs less than 1% of total installation costs</v>
      </c>
      <c r="AJ43" s="281" t="s">
        <v>2976</v>
      </c>
      <c r="AK43" s="181" t="str">
        <f>VLOOKUP(AL43,Lookup!$C$4:$D$14,2,FALSE)</f>
        <v>Slight Improvement</v>
      </c>
      <c r="AL43" s="346">
        <f>IF(N43=0,0,IF(U43&lt;Lookup!$F$58,-5,IF(U43&lt;Lookup!$F$57,-4,IF(U43&lt;Lookup!$F$56,-3,IF(U43&lt;Lookup!$F$55,-2,IF(U43&lt;Lookup!$F$54,-1,IF(U43&lt;Lookup!$F$53,0,IF(U43&lt;Lookup!$F$52,1,IF(U43&lt;Lookup!$F$51,2,IF(U43&lt;Lookup!$F$50,3,IF(U43&lt;Lookup!$F$49,4,5)))))))))))</f>
        <v>1</v>
      </c>
      <c r="AM43" s="194" t="str">
        <f>VLOOKUP(AL43,Lookup!$G$48:$J$58,2,FALSE)</f>
        <v>B/C Ratio 1.25 to 1.50</v>
      </c>
      <c r="AN43" s="281" t="s">
        <v>3028</v>
      </c>
      <c r="AO43" s="181" t="str">
        <f>VLOOKUP(AP43,Lookup!$C$4:$D$14,2,FALSE)</f>
        <v>No Effect</v>
      </c>
      <c r="AP43" s="193">
        <f>IF(Q43=0,0,IF(Q43&gt;Lookup!$F$63,5,IF(Q43&gt;Lookup!$F$64,4,IF(Q43&gt;Lookup!$F$65,3,IF(Q43&gt;Lookup!$F$66,2,IF(Q43&gt;Lookup!$F$67,1,IF(Q43&gt;Lookup!$F$69,-1,IF(Q43&gt;Lookup!$F$70,-2,IF(Q43&gt;Lookup!$F$71,-3,IF(Q43&gt;Lookup!$F$72,-4,-5))))))))))</f>
        <v>0</v>
      </c>
      <c r="AQ43" s="194" t="str">
        <f>VLOOKUP(AP43,Lookup!$G$63:$J$73,2,FALSE)</f>
        <v>No change in yield</v>
      </c>
      <c r="AR43" s="281" t="s">
        <v>3081</v>
      </c>
      <c r="AS43" s="181" t="str">
        <f>VLOOKUP(AT43,Lookup!$C$4:$D$14,2,FALSE)</f>
        <v>Slight Worsening</v>
      </c>
      <c r="AT43" s="193">
        <f>IF(V43=0,0,IF(V43&lt;Lookup!$F$79,5,IF(V43&lt;Lookup!$F$80,4,IF(V43&lt;Lookup!$F$81,3,IF(V43&lt;Lookup!$F$82,2,IF(V43&lt;Lookup!$F$83,1,IF(V43&lt;Lookup!$F$85,-1,IF(V43&lt;Lookup!$F$86,-2,IF(V43&lt;Lookup!$F$87,-3,IF(V43&lt;Lookup!$F$88,-4,-5))))))))))</f>
        <v>-1</v>
      </c>
      <c r="AU43" s="194" t="str">
        <f>VLOOKUP(AT43,Lookup!$G$79:$J$89,2,FALSE)</f>
        <v>5-6 years to breakeven</v>
      </c>
      <c r="AV43" s="345" t="str">
        <f>VLOOKUP(AT43,Lookup!$G$79:$J$89,4,FALSE)</f>
        <v>Annual benefits moderately greater than annual costs</v>
      </c>
      <c r="AW43" s="181" t="str">
        <f>VLOOKUP(AX43,Lookup!$C$4:$D$14,2,FALSE)</f>
        <v>No Effect</v>
      </c>
      <c r="AX43" s="193">
        <f>VLOOKUP(AY43,Lookup!$G$92:$J$97,4,FALSE)</f>
        <v>0</v>
      </c>
      <c r="AY43" s="181" t="s">
        <v>2642</v>
      </c>
      <c r="AZ43" s="281" t="s">
        <v>3154</v>
      </c>
      <c r="BA43" s="181" t="str">
        <f>VLOOKUP(BB43,Lookup!$C$4:$D$14,2,FALSE)</f>
        <v>No Effect</v>
      </c>
      <c r="BB43" s="193">
        <f>VLOOKUP(BC43,Lookup!$G$100:$K$110,5,FALSE)</f>
        <v>0</v>
      </c>
      <c r="BC43" s="181" t="s">
        <v>2643</v>
      </c>
      <c r="BD43" s="281" t="s">
        <v>3154</v>
      </c>
      <c r="BE43" s="181" t="str">
        <f>VLOOKUP(BF43,Lookup!$C$4:$D$14,2,FALSE)</f>
        <v>Substantial Worsening</v>
      </c>
      <c r="BF43" s="193">
        <f>IF(X43=0,0,IF(X43&gt;Lookup!$F$113,-5,IF(X43&gt;Lookup!$F$114,-4,IF(X43&gt;Lookup!$F$115,-3,IF(X43&gt;Lookup!$F$116,-2,IF(X43&gt;Lookup!$F$117,-1,0))))))</f>
        <v>-5</v>
      </c>
      <c r="BG43" s="195" t="str">
        <f>VLOOKUP(BF43,Lookup!$G$113:$H$118,2,FALSE)</f>
        <v>Annual on-farm equipment costs 75% or greater of enterprise annual net income</v>
      </c>
      <c r="BH43" s="281" t="s">
        <v>3525</v>
      </c>
      <c r="BI43" s="181" t="str">
        <f>VLOOKUP(BJ43,Lookup!$C$4:$D$14,2,FALSE)</f>
        <v>No Effect</v>
      </c>
      <c r="BJ43" s="193">
        <f>VLOOKUP(BK43,Lookup!$G$121:$L$131,6,FALSE)</f>
        <v>0</v>
      </c>
      <c r="BK43" s="181" t="s">
        <v>2656</v>
      </c>
      <c r="BL43" s="281" t="s">
        <v>3154</v>
      </c>
      <c r="BM43" s="181" t="str">
        <f>VLOOKUP(BN43,Lookup!$C$4:$D$14,2,FALSE)</f>
        <v>Slight Worsening</v>
      </c>
      <c r="BN43" s="193">
        <f>VLOOKUP(BO43,Lookup!$G$134:$L$144,6,FALSE)</f>
        <v>-1</v>
      </c>
      <c r="BO43" s="181" t="s">
        <v>3373</v>
      </c>
      <c r="BP43" s="281" t="s">
        <v>3386</v>
      </c>
      <c r="BQ43" s="181" t="str">
        <f>VLOOKUP(BR43,Lookup!$C$4:$D$14,2,FALSE)</f>
        <v>Slight to Moderate Improvement</v>
      </c>
      <c r="BR43" s="193">
        <f>VLOOKUP(BS43,Lookup!$G$147:$L$157,6,FALSE)</f>
        <v>2</v>
      </c>
      <c r="BS43" s="181" t="s">
        <v>2641</v>
      </c>
      <c r="BT43" s="281" t="s">
        <v>3538</v>
      </c>
      <c r="BU43" s="175" t="s">
        <v>2231</v>
      </c>
    </row>
    <row r="44" spans="1:73" ht="39.950000000000003" customHeight="1" thickBot="1" x14ac:dyDescent="0.25">
      <c r="A44" s="173">
        <f t="shared" si="4"/>
        <v>42</v>
      </c>
      <c r="B44" s="178" t="s">
        <v>594</v>
      </c>
      <c r="C44" s="179" t="s">
        <v>2059</v>
      </c>
      <c r="D44" s="180">
        <v>592</v>
      </c>
      <c r="E44" s="180" t="s">
        <v>3647</v>
      </c>
      <c r="F44" s="273" t="str">
        <f>VLOOKUP($D44,'Practice Descriptions'!$E$11:$F$186,2,FALSE)</f>
        <v>Manipulating and controlling the quantity and quality of available nutrients, feedstuffs, or additives fed to livestock and poultry.</v>
      </c>
      <c r="G44" s="182">
        <v>1</v>
      </c>
      <c r="H44" s="183">
        <v>30</v>
      </c>
      <c r="I44" s="184">
        <v>0</v>
      </c>
      <c r="J44" s="184">
        <v>0</v>
      </c>
      <c r="K44" s="419">
        <f>IF(E44="No.",1,IF(E44="Ac.",1,(SQRT(VLOOKUP(O44,Lookup!$F$9:$H$18,3,FALSE)))*208/VLOOKUP(O44,Lookup!$F$9:$H$18,3,FALSE)))</f>
        <v>1</v>
      </c>
      <c r="L44" s="185" t="str">
        <f t="shared" si="0"/>
        <v/>
      </c>
      <c r="M44" s="184">
        <v>0</v>
      </c>
      <c r="N44" s="186">
        <f>IF(G44=1,H44,PMT(Lookup!$G$4,G44,-H44)+(H44*J44)+(M44*P44))*K44</f>
        <v>30</v>
      </c>
      <c r="O44" s="187" t="s">
        <v>2221</v>
      </c>
      <c r="P44" s="186">
        <f>VLOOKUP($O44,Lookup!$F$9:$I$18,4,FALSE)</f>
        <v>1</v>
      </c>
      <c r="Q44" s="184">
        <v>0</v>
      </c>
      <c r="R44" s="183">
        <v>5</v>
      </c>
      <c r="S44" s="188" t="s">
        <v>3619</v>
      </c>
      <c r="T44" s="186">
        <f t="shared" si="2"/>
        <v>5</v>
      </c>
      <c r="U44" s="189">
        <f t="shared" si="3"/>
        <v>0.16666666666666666</v>
      </c>
      <c r="V44" s="189">
        <f t="shared" si="1"/>
        <v>0</v>
      </c>
      <c r="W44" s="190">
        <f>IF(P44=0,0,IF(Q44+R44=0,0,PV(Lookup!$G$4,G44,-T44)/H44))</f>
        <v>0.15854141894569962</v>
      </c>
      <c r="X44" s="190">
        <f>IF(I44=0,0,PMT(Lookup!$G$4,G44,-(H44*I44*K44))/P44)</f>
        <v>0</v>
      </c>
      <c r="Y44" s="42" t="s">
        <v>986</v>
      </c>
      <c r="Z44" s="192">
        <f>VLOOKUP(Y44,Lookup!$B$4:$C$14,2,FALSE)</f>
        <v>0</v>
      </c>
      <c r="AA44" s="281" t="s">
        <v>2759</v>
      </c>
      <c r="AB44" s="282" t="s">
        <v>1072</v>
      </c>
      <c r="AC44" s="181" t="str">
        <f>VLOOKUP(AD44,Lookup!$C$4:$D$14,2,FALSE)</f>
        <v>Substantial Worsening</v>
      </c>
      <c r="AD44" s="193">
        <f>IF(P44/H44&lt;Lookup!$F$33,-5,IF(P44/H44&lt;Lookup!$F$32,-4,IF(P44/H44&lt;Lookup!$F$31,-3,IF(P44/H44&lt;Lookup!$F$30,-2,IF(P44/H44&lt;Lookup!$F$29,-1,-5)))))</f>
        <v>-5</v>
      </c>
      <c r="AE44" s="194" t="str">
        <f>VLOOKUP(AD44,Lookup!$G$28:$J$33,2,FALSE)</f>
        <v>One-time practice implementation cost 5 times or greater enterprise annual net income</v>
      </c>
      <c r="AF44" s="281" t="s">
        <v>1850</v>
      </c>
      <c r="AG44" s="181" t="str">
        <f>VLOOKUP(AH44,Lookup!$C$4:$D$14,2,FALSE)</f>
        <v>No Effect</v>
      </c>
      <c r="AH44" s="193">
        <f>IF(J44&gt;Lookup!$F$43,-5,IF(J44&gt;Lookup!$F$42,-4,IF(J44&gt;Lookup!$F$41,-3,IF(J44&gt;Lookup!$F$40,-2,IF(J44&gt;Lookup!$F$39,-1,0)))))</f>
        <v>0</v>
      </c>
      <c r="AI44" s="194" t="str">
        <f>VLOOKUP(AH44,Lookup!$G$38:$J$43,2,FALSE)</f>
        <v>No O&amp;M costs</v>
      </c>
      <c r="AJ44" s="281" t="s">
        <v>3005</v>
      </c>
      <c r="AK44" s="181" t="str">
        <f>VLOOKUP(AL44,Lookup!$C$4:$D$14,2,FALSE)</f>
        <v>Moderate Worsening</v>
      </c>
      <c r="AL44" s="346">
        <f>IF(N44=0,0,IF(U44&lt;Lookup!$F$58,-5,IF(U44&lt;Lookup!$F$57,-4,IF(U44&lt;Lookup!$F$56,-3,IF(U44&lt;Lookup!$F$55,-2,IF(U44&lt;Lookup!$F$54,-1,IF(U44&lt;Lookup!$F$53,0,IF(U44&lt;Lookup!$F$52,1,IF(U44&lt;Lookup!$F$51,2,IF(U44&lt;Lookup!$F$50,3,IF(U44&lt;Lookup!$F$49,4,5)))))))))))</f>
        <v>-3</v>
      </c>
      <c r="AM44" s="194" t="str">
        <f>VLOOKUP(AL44,Lookup!$G$48:$J$58,2,FALSE)</f>
        <v>B/C Ratio .10 to .25</v>
      </c>
      <c r="AN44" s="281" t="s">
        <v>3038</v>
      </c>
      <c r="AO44" s="181" t="str">
        <f>VLOOKUP(AP44,Lookup!$C$4:$D$14,2,FALSE)</f>
        <v>No Effect</v>
      </c>
      <c r="AP44" s="193">
        <f>IF(Q44=0,0,IF(Q44&gt;Lookup!$F$63,5,IF(Q44&gt;Lookup!$F$64,4,IF(Q44&gt;Lookup!$F$65,3,IF(Q44&gt;Lookup!$F$66,2,IF(Q44&gt;Lookup!$F$67,1,IF(Q44&gt;Lookup!$F$69,-1,IF(Q44&gt;Lookup!$F$70,-2,IF(Q44&gt;Lookup!$F$71,-3,IF(Q44&gt;Lookup!$F$72,-4,-5))))))))))</f>
        <v>0</v>
      </c>
      <c r="AQ44" s="194" t="str">
        <f>VLOOKUP(AP44,Lookup!$G$63:$J$73,2,FALSE)</f>
        <v>No change in yield</v>
      </c>
      <c r="AR44" s="281" t="s">
        <v>3088</v>
      </c>
      <c r="AS44" s="181" t="str">
        <f>VLOOKUP(AT44,Lookup!$C$4:$D$14,2,FALSE)</f>
        <v>No Effect</v>
      </c>
      <c r="AT44" s="193">
        <f>IF(V44=0,0,IF(V44&lt;Lookup!$F$79,5,IF(V44&lt;Lookup!$F$80,4,IF(V44&lt;Lookup!$F$81,3,IF(V44&lt;Lookup!$F$82,2,IF(V44&lt;Lookup!$F$83,1,IF(V44&lt;Lookup!$F$85,-1,IF(V44&lt;Lookup!$F$86,-2,IF(V44&lt;Lookup!$F$87,-3,IF(V44&lt;Lookup!$F$88,-4,-5))))))))))</f>
        <v>0</v>
      </c>
      <c r="AU44" s="194" t="str">
        <f>VLOOKUP(AT44,Lookup!$G$79:$J$89,2,FALSE)</f>
        <v>No breakeven</v>
      </c>
      <c r="AV44" s="345" t="str">
        <f>VLOOKUP(AT44,Lookup!$G$79:$J$89,4,FALSE)</f>
        <v>Annual costs greater than annual benefits</v>
      </c>
      <c r="AW44" s="181" t="str">
        <f>VLOOKUP(AX44,Lookup!$C$4:$D$14,2,FALSE)</f>
        <v>No Effect</v>
      </c>
      <c r="AX44" s="193">
        <f>VLOOKUP(AY44,Lookup!$G$92:$J$97,4,FALSE)</f>
        <v>0</v>
      </c>
      <c r="AY44" s="181" t="s">
        <v>2642</v>
      </c>
      <c r="AZ44" s="281" t="s">
        <v>3154</v>
      </c>
      <c r="BA44" s="181" t="str">
        <f>VLOOKUP(BB44,Lookup!$C$4:$D$14,2,FALSE)</f>
        <v>No Effect</v>
      </c>
      <c r="BB44" s="193">
        <f>VLOOKUP(BC44,Lookup!$G$100:$K$110,5,FALSE)</f>
        <v>0</v>
      </c>
      <c r="BC44" s="181" t="s">
        <v>2643</v>
      </c>
      <c r="BD44" s="281" t="s">
        <v>3154</v>
      </c>
      <c r="BE44" s="181" t="str">
        <f>VLOOKUP(BF44,Lookup!$C$4:$D$14,2,FALSE)</f>
        <v>No Effect</v>
      </c>
      <c r="BF44" s="193">
        <f>IF(X44=0,0,IF(X44&gt;Lookup!$F$113,-5,IF(X44&gt;Lookup!$F$114,-4,IF(X44&gt;Lookup!$F$115,-3,IF(X44&gt;Lookup!$F$116,-2,IF(X44&gt;Lookup!$F$117,-1,0))))))</f>
        <v>0</v>
      </c>
      <c r="BG44" s="195" t="str">
        <f>VLOOKUP(BF44,Lookup!$G$113:$H$118,2,FALSE)</f>
        <v>No change in on-farm equipment</v>
      </c>
      <c r="BH44" s="281" t="s">
        <v>1849</v>
      </c>
      <c r="BI44" s="181" t="str">
        <f>VLOOKUP(BJ44,Lookup!$C$4:$D$14,2,FALSE)</f>
        <v>Slight to Moderate Worsening</v>
      </c>
      <c r="BJ44" s="193">
        <f>VLOOKUP(BK44,Lookup!$G$121:$L$131,6,FALSE)</f>
        <v>-2</v>
      </c>
      <c r="BK44" s="181" t="s">
        <v>2649</v>
      </c>
      <c r="BL44" s="281" t="s">
        <v>3277</v>
      </c>
      <c r="BM44" s="181" t="str">
        <f>VLOOKUP(BN44,Lookup!$C$4:$D$14,2,FALSE)</f>
        <v>Slight to Moderate Worsening</v>
      </c>
      <c r="BN44" s="193">
        <f>VLOOKUP(BO44,Lookup!$G$134:$L$144,6,FALSE)</f>
        <v>-2</v>
      </c>
      <c r="BO44" s="181" t="s">
        <v>3374</v>
      </c>
      <c r="BP44" s="281" t="s">
        <v>3388</v>
      </c>
      <c r="BQ44" s="181" t="str">
        <f>VLOOKUP(BR44,Lookup!$C$4:$D$14,2,FALSE)</f>
        <v>Slight Worsening</v>
      </c>
      <c r="BR44" s="193">
        <f>VLOOKUP(BS44,Lookup!$G$147:$L$157,6,FALSE)</f>
        <v>-1</v>
      </c>
      <c r="BS44" s="181" t="s">
        <v>2658</v>
      </c>
      <c r="BT44" s="281" t="s">
        <v>3448</v>
      </c>
      <c r="BU44" s="175" t="s">
        <v>2231</v>
      </c>
    </row>
    <row r="45" spans="1:73" ht="39.950000000000003" customHeight="1" thickBot="1" x14ac:dyDescent="0.25">
      <c r="A45" s="173">
        <f t="shared" si="4"/>
        <v>43</v>
      </c>
      <c r="B45" s="178" t="s">
        <v>595</v>
      </c>
      <c r="C45" s="179" t="s">
        <v>1603</v>
      </c>
      <c r="D45" s="180">
        <v>382</v>
      </c>
      <c r="E45" s="180" t="s">
        <v>1944</v>
      </c>
      <c r="F45" s="273" t="str">
        <f>VLOOKUP($D45,'Practice Descriptions'!$E$11:$F$186,2,FALSE)</f>
        <v>A constructed barrier to animals or people.</v>
      </c>
      <c r="G45" s="182">
        <v>20</v>
      </c>
      <c r="H45" s="183">
        <v>2.25</v>
      </c>
      <c r="I45" s="184">
        <v>0</v>
      </c>
      <c r="J45" s="184">
        <v>0.02</v>
      </c>
      <c r="K45" s="419">
        <f>IF(E45="No.",1,IF(E45="Ac.",1,(SQRT(VLOOKUP(O45,Lookup!$F$9:$H$18,3,FALSE)))*208/VLOOKUP(O45,Lookup!$F$9:$H$18,3,FALSE)))</f>
        <v>16.443843832875572</v>
      </c>
      <c r="L45" s="185" t="str">
        <f t="shared" si="0"/>
        <v>Assume length 1 side of square field (208'/Ac)</v>
      </c>
      <c r="M45" s="184">
        <v>0</v>
      </c>
      <c r="N45" s="186">
        <f>IF(G45=1,H45,PMT(Lookup!$G$4,G45,-H45)+(H45*J45)+(M45*P45))*K45</f>
        <v>3.740387711699845</v>
      </c>
      <c r="O45" s="181" t="s">
        <v>1260</v>
      </c>
      <c r="P45" s="186">
        <f>VLOOKUP($O45,Lookup!$F$9:$I$18,4,FALSE)</f>
        <v>50</v>
      </c>
      <c r="Q45" s="184">
        <v>0.05</v>
      </c>
      <c r="R45" s="183">
        <v>1.5</v>
      </c>
      <c r="S45" s="188" t="s">
        <v>3594</v>
      </c>
      <c r="T45" s="186">
        <f t="shared" si="2"/>
        <v>4</v>
      </c>
      <c r="U45" s="189">
        <f t="shared" si="3"/>
        <v>1.0694078550969712</v>
      </c>
      <c r="V45" s="189">
        <f t="shared" si="1"/>
        <v>9.2496621559925103</v>
      </c>
      <c r="W45" s="190">
        <f>IF(P45=0,0,IF(Q45+R45=0,0,PV(Lookup!$G$4,G45,-T45)/H45))</f>
        <v>21.922094459711854</v>
      </c>
      <c r="X45" s="190">
        <f>IF(I45=0,0,PMT(Lookup!$G$4,G45,-(H45*I45*K45))/P45)</f>
        <v>0</v>
      </c>
      <c r="Y45" s="42" t="s">
        <v>963</v>
      </c>
      <c r="Z45" s="192">
        <f>VLOOKUP(Y45,Lookup!$B$4:$C$14,2,FALSE)</f>
        <v>2</v>
      </c>
      <c r="AA45" s="281" t="s">
        <v>1875</v>
      </c>
      <c r="AB45" s="282" t="s">
        <v>1072</v>
      </c>
      <c r="AC45" s="181" t="str">
        <f>VLOOKUP(AD45,Lookup!$C$4:$D$14,2,FALSE)</f>
        <v>Slight Worsening</v>
      </c>
      <c r="AD45" s="193">
        <f>IF(P45/H45&lt;Lookup!$F$33,-5,IF(P45/H45&lt;Lookup!$F$32,-4,IF(P45/H45&lt;Lookup!$F$31,-3,IF(P45/H45&lt;Lookup!$F$30,-2,IF(P45/H45&lt;Lookup!$F$29,-1,-5)))))</f>
        <v>-1</v>
      </c>
      <c r="AE45" s="194" t="str">
        <f>VLOOKUP(AD45,Lookup!$G$28:$J$33,2,FALSE)</f>
        <v>One-time practice implementation cost 5% or less of enterprise annual net income</v>
      </c>
      <c r="AF45" s="281" t="s">
        <v>1847</v>
      </c>
      <c r="AG45" s="181" t="str">
        <f>VLOOKUP(AH45,Lookup!$C$4:$D$14,2,FALSE)</f>
        <v>Slight to Moderate Worsening</v>
      </c>
      <c r="AH45" s="193">
        <f>IF(J45&gt;Lookup!$F$43,-5,IF(J45&gt;Lookup!$F$42,-4,IF(J45&gt;Lookup!$F$41,-3,IF(J45&gt;Lookup!$F$40,-2,IF(J45&gt;Lookup!$F$39,-1,0)))))</f>
        <v>-2</v>
      </c>
      <c r="AI45" s="194" t="str">
        <f>VLOOKUP(AH45,Lookup!$G$38:$J$43,2,FALSE)</f>
        <v>Annual O&amp;M costs 1 to 2% of total installation costs</v>
      </c>
      <c r="AJ45" s="281" t="s">
        <v>3004</v>
      </c>
      <c r="AK45" s="181" t="str">
        <f>VLOOKUP(AL45,Lookup!$C$4:$D$14,2,FALSE)</f>
        <v>No Effect</v>
      </c>
      <c r="AL45" s="346">
        <f>IF(N45=0,0,IF(U45&lt;Lookup!$F$58,-5,IF(U45&lt;Lookup!$F$57,-4,IF(U45&lt;Lookup!$F$56,-3,IF(U45&lt;Lookup!$F$55,-2,IF(U45&lt;Lookup!$F$54,-1,IF(U45&lt;Lookup!$F$53,0,IF(U45&lt;Lookup!$F$52,1,IF(U45&lt;Lookup!$F$51,2,IF(U45&lt;Lookup!$F$50,3,IF(U45&lt;Lookup!$F$49,4,5)))))))))))</f>
        <v>0</v>
      </c>
      <c r="AM45" s="194" t="str">
        <f>VLOOKUP(AL45,Lookup!$G$48:$J$58,2,FALSE)</f>
        <v>B/C Ratio .75 to 1.25</v>
      </c>
      <c r="AN45" s="281" t="s">
        <v>1876</v>
      </c>
      <c r="AO45" s="181" t="str">
        <f>VLOOKUP(AP45,Lookup!$C$4:$D$14,2,FALSE)</f>
        <v>Slight to Moderate Improvement</v>
      </c>
      <c r="AP45" s="193">
        <f>IF(Q45=0,0,IF(Q45&gt;Lookup!$F$63,5,IF(Q45&gt;Lookup!$F$64,4,IF(Q45&gt;Lookup!$F$65,3,IF(Q45&gt;Lookup!$F$66,2,IF(Q45&gt;Lookup!$F$67,1,IF(Q45&gt;Lookup!$F$69,-1,IF(Q45&gt;Lookup!$F$70,-2,IF(Q45&gt;Lookup!$F$71,-3,IF(Q45&gt;Lookup!$F$72,-4,-5))))))))))</f>
        <v>2</v>
      </c>
      <c r="AQ45" s="194" t="str">
        <f>VLOOKUP(AP45,Lookup!$G$63:$J$73,2,FALSE)</f>
        <v>5 to 10% yield increase</v>
      </c>
      <c r="AR45" s="281" t="s">
        <v>3087</v>
      </c>
      <c r="AS45" s="181" t="str">
        <f>VLOOKUP(AT45,Lookup!$C$4:$D$14,2,FALSE)</f>
        <v>Substantial Worsening</v>
      </c>
      <c r="AT45" s="193">
        <f>IF(V45=0,0,IF(V45&lt;Lookup!$F$79,5,IF(V45&lt;Lookup!$F$80,4,IF(V45&lt;Lookup!$F$81,3,IF(V45&lt;Lookup!$F$82,2,IF(V45&lt;Lookup!$F$83,1,IF(V45&lt;Lookup!$F$85,-1,IF(V45&lt;Lookup!$F$86,-2,IF(V45&lt;Lookup!$F$87,-3,IF(V45&lt;Lookup!$F$88,-4,-5))))))))))</f>
        <v>-5</v>
      </c>
      <c r="AU45" s="194" t="str">
        <f>VLOOKUP(AT45,Lookup!$G$79:$J$89,2,FALSE)</f>
        <v>9 or more years to breakeven</v>
      </c>
      <c r="AV45" s="345" t="str">
        <f>VLOOKUP(AT45,Lookup!$G$79:$J$89,4,FALSE)</f>
        <v>Annual benefits slightly greater than annual costs</v>
      </c>
      <c r="AW45" s="181" t="str">
        <f>VLOOKUP(AX45,Lookup!$C$4:$D$14,2,FALSE)</f>
        <v>No Effect</v>
      </c>
      <c r="AX45" s="193">
        <f>VLOOKUP(AY45,Lookup!$G$92:$J$97,4,FALSE)</f>
        <v>0</v>
      </c>
      <c r="AY45" s="181" t="s">
        <v>2642</v>
      </c>
      <c r="AZ45" s="281" t="s">
        <v>3154</v>
      </c>
      <c r="BA45" s="181" t="str">
        <f>VLOOKUP(BB45,Lookup!$C$4:$D$14,2,FALSE)</f>
        <v>No Effect</v>
      </c>
      <c r="BB45" s="193">
        <f>VLOOKUP(BC45,Lookup!$G$100:$K$110,5,FALSE)</f>
        <v>0</v>
      </c>
      <c r="BC45" s="181" t="s">
        <v>2643</v>
      </c>
      <c r="BD45" s="281" t="s">
        <v>3154</v>
      </c>
      <c r="BE45" s="181" t="str">
        <f>VLOOKUP(BF45,Lookup!$C$4:$D$14,2,FALSE)</f>
        <v>No Effect</v>
      </c>
      <c r="BF45" s="193">
        <f>IF(X45=0,0,IF(X45&gt;Lookup!$F$113,-5,IF(X45&gt;Lookup!$F$114,-4,IF(X45&gt;Lookup!$F$115,-3,IF(X45&gt;Lookup!$F$116,-2,IF(X45&gt;Lookup!$F$117,-1,0))))))</f>
        <v>0</v>
      </c>
      <c r="BG45" s="195" t="str">
        <f>VLOOKUP(BF45,Lookup!$G$113:$H$118,2,FALSE)</f>
        <v>No change in on-farm equipment</v>
      </c>
      <c r="BH45" s="281" t="s">
        <v>3248</v>
      </c>
      <c r="BI45" s="181" t="str">
        <f>VLOOKUP(BJ45,Lookup!$C$4:$D$14,2,FALSE)</f>
        <v>Slight Improvement</v>
      </c>
      <c r="BJ45" s="193">
        <f>VLOOKUP(BK45,Lookup!$G$121:$L$131,6,FALSE)</f>
        <v>1</v>
      </c>
      <c r="BK45" s="181" t="s">
        <v>2638</v>
      </c>
      <c r="BL45" s="281" t="s">
        <v>3278</v>
      </c>
      <c r="BM45" s="181" t="str">
        <f>VLOOKUP(BN45,Lookup!$C$4:$D$14,2,FALSE)</f>
        <v>Slight Worsening</v>
      </c>
      <c r="BN45" s="193">
        <f>VLOOKUP(BO45,Lookup!$G$134:$L$144,6,FALSE)</f>
        <v>-1</v>
      </c>
      <c r="BO45" s="181" t="s">
        <v>3373</v>
      </c>
      <c r="BP45" s="281" t="s">
        <v>3389</v>
      </c>
      <c r="BQ45" s="181" t="str">
        <f>VLOOKUP(BR45,Lookup!$C$4:$D$14,2,FALSE)</f>
        <v>Moderate to Substantial Improvement</v>
      </c>
      <c r="BR45" s="193">
        <f>VLOOKUP(BS45,Lookup!$G$147:$L$157,6,FALSE)</f>
        <v>4</v>
      </c>
      <c r="BS45" s="181" t="s">
        <v>2645</v>
      </c>
      <c r="BT45" s="281" t="s">
        <v>3449</v>
      </c>
      <c r="BU45" s="175" t="s">
        <v>2231</v>
      </c>
    </row>
    <row r="46" spans="1:73" ht="39.950000000000003" customHeight="1" thickBot="1" x14ac:dyDescent="0.25">
      <c r="A46" s="173">
        <f t="shared" si="4"/>
        <v>44</v>
      </c>
      <c r="B46" s="178" t="s">
        <v>618</v>
      </c>
      <c r="C46" s="179" t="s">
        <v>1605</v>
      </c>
      <c r="D46" s="180">
        <v>386</v>
      </c>
      <c r="E46" s="180" t="s">
        <v>3646</v>
      </c>
      <c r="F46" s="273" t="str">
        <f>VLOOKUP($D46,'Practice Descriptions'!$E$11:$F$186,2,FALSE)</f>
        <v>A stripe of permanent vegetation established at the edge or around the perimeter or a field.</v>
      </c>
      <c r="G46" s="182">
        <v>10</v>
      </c>
      <c r="H46" s="183">
        <v>80</v>
      </c>
      <c r="I46" s="184">
        <v>0</v>
      </c>
      <c r="J46" s="184">
        <v>0.01</v>
      </c>
      <c r="K46" s="419">
        <f>IF(E46="No.",1,IF(E46="Ac.",1,(SQRT(VLOOKUP(O46,Lookup!$F$9:$H$18,3,FALSE)))*208/VLOOKUP(O46,Lookup!$F$9:$H$18,3,FALSE)))</f>
        <v>1</v>
      </c>
      <c r="L46" s="185" t="str">
        <f t="shared" si="0"/>
        <v/>
      </c>
      <c r="M46" s="184">
        <v>0.01</v>
      </c>
      <c r="N46" s="186">
        <f>IF(G46=1,H46,PMT(Lookup!$G$4,G46,-H46)+(H46*J46)+(M46*P46))*K46</f>
        <v>14.223350445471775</v>
      </c>
      <c r="O46" s="187" t="s">
        <v>1110</v>
      </c>
      <c r="P46" s="186">
        <f>VLOOKUP($O46,Lookup!$F$9:$I$18,4,FALSE)</f>
        <v>300</v>
      </c>
      <c r="Q46" s="184">
        <v>0.01</v>
      </c>
      <c r="R46" s="183">
        <v>0</v>
      </c>
      <c r="S46" s="188"/>
      <c r="T46" s="186">
        <f t="shared" si="2"/>
        <v>3</v>
      </c>
      <c r="U46" s="189">
        <f t="shared" si="3"/>
        <v>0.21092076803571247</v>
      </c>
      <c r="V46" s="189">
        <f t="shared" si="1"/>
        <v>0</v>
      </c>
      <c r="W46" s="190">
        <f>IF(P46=0,0,IF(Q46+R46=0,0,PV(Lookup!$G$4,G46,-T46)/H46))</f>
        <v>0.28781532537873111</v>
      </c>
      <c r="X46" s="190">
        <f>IF(I46=0,0,PMT(Lookup!$G$4,G46,-(H46*I46*K46))/P46)</f>
        <v>0</v>
      </c>
      <c r="Y46" s="42" t="s">
        <v>961</v>
      </c>
      <c r="Z46" s="192">
        <f>VLOOKUP(Y46,Lookup!$B$4:$C$14,2,FALSE)</f>
        <v>-2</v>
      </c>
      <c r="AA46" s="281" t="s">
        <v>1877</v>
      </c>
      <c r="AB46" s="282" t="s">
        <v>1072</v>
      </c>
      <c r="AC46" s="181" t="str">
        <f>VLOOKUP(AD46,Lookup!$C$4:$D$14,2,FALSE)</f>
        <v>Slight to Moderate Worsening</v>
      </c>
      <c r="AD46" s="193">
        <f>IF(P46/H46&lt;Lookup!$F$33,-5,IF(P46/H46&lt;Lookup!$F$32,-4,IF(P46/H46&lt;Lookup!$F$31,-3,IF(P46/H46&lt;Lookup!$F$30,-2,IF(P46/H46&lt;Lookup!$F$29,-1,-5)))))</f>
        <v>-2</v>
      </c>
      <c r="AE46" s="194" t="str">
        <f>VLOOKUP(AD46,Lookup!$G$28:$J$33,2,FALSE)</f>
        <v>One-time practice implementation cost 5 to 100% of enterprise annual net income</v>
      </c>
      <c r="AF46" s="281" t="s">
        <v>2959</v>
      </c>
      <c r="AG46" s="181" t="str">
        <f>VLOOKUP(AH46,Lookup!$C$4:$D$14,2,FALSE)</f>
        <v>Slight Worsening</v>
      </c>
      <c r="AH46" s="193">
        <f>IF(J46&gt;Lookup!$F$43,-5,IF(J46&gt;Lookup!$F$42,-4,IF(J46&gt;Lookup!$F$41,-3,IF(J46&gt;Lookup!$F$40,-2,IF(J46&gt;Lookup!$F$39,-1,0)))))</f>
        <v>-1</v>
      </c>
      <c r="AI46" s="194" t="str">
        <f>VLOOKUP(AH46,Lookup!$G$38:$J$43,2,FALSE)</f>
        <v>Annual O&amp;M costs less than 1% of total installation costs</v>
      </c>
      <c r="AJ46" s="281" t="s">
        <v>2978</v>
      </c>
      <c r="AK46" s="181" t="str">
        <f>VLOOKUP(AL46,Lookup!$C$4:$D$14,2,FALSE)</f>
        <v>Moderate Worsening</v>
      </c>
      <c r="AL46" s="346">
        <f>IF(N46=0,0,IF(U46&lt;Lookup!$F$58,-5,IF(U46&lt;Lookup!$F$57,-4,IF(U46&lt;Lookup!$F$56,-3,IF(U46&lt;Lookup!$F$55,-2,IF(U46&lt;Lookup!$F$54,-1,IF(U46&lt;Lookup!$F$53,0,IF(U46&lt;Lookup!$F$52,1,IF(U46&lt;Lookup!$F$51,2,IF(U46&lt;Lookup!$F$50,3,IF(U46&lt;Lookup!$F$49,4,5)))))))))))</f>
        <v>-3</v>
      </c>
      <c r="AM46" s="194" t="str">
        <f>VLOOKUP(AL46,Lookup!$G$48:$J$58,2,FALSE)</f>
        <v>B/C Ratio .10 to .25</v>
      </c>
      <c r="AN46" s="281" t="s">
        <v>717</v>
      </c>
      <c r="AO46" s="181" t="str">
        <f>VLOOKUP(AP46,Lookup!$C$4:$D$14,2,FALSE)</f>
        <v>Slight Improvement</v>
      </c>
      <c r="AP46" s="193">
        <f>IF(Q46=0,0,IF(Q46&gt;Lookup!$F$63,5,IF(Q46&gt;Lookup!$F$64,4,IF(Q46&gt;Lookup!$F$65,3,IF(Q46&gt;Lookup!$F$66,2,IF(Q46&gt;Lookup!$F$67,1,IF(Q46&gt;Lookup!$F$69,-1,IF(Q46&gt;Lookup!$F$70,-2,IF(Q46&gt;Lookup!$F$71,-3,IF(Q46&gt;Lookup!$F$72,-4,-5))))))))))</f>
        <v>1</v>
      </c>
      <c r="AQ46" s="194" t="str">
        <f>VLOOKUP(AP46,Lookup!$G$63:$J$73,2,FALSE)</f>
        <v>5% or less yield increase</v>
      </c>
      <c r="AR46" s="281" t="s">
        <v>3086</v>
      </c>
      <c r="AS46" s="181" t="str">
        <f>VLOOKUP(AT46,Lookup!$C$4:$D$14,2,FALSE)</f>
        <v>No Effect</v>
      </c>
      <c r="AT46" s="193">
        <f>IF(V46=0,0,IF(V46&lt;Lookup!$F$79,5,IF(V46&lt;Lookup!$F$80,4,IF(V46&lt;Lookup!$F$81,3,IF(V46&lt;Lookup!$F$82,2,IF(V46&lt;Lookup!$F$83,1,IF(V46&lt;Lookup!$F$85,-1,IF(V46&lt;Lookup!$F$86,-2,IF(V46&lt;Lookup!$F$87,-3,IF(V46&lt;Lookup!$F$88,-4,-5))))))))))</f>
        <v>0</v>
      </c>
      <c r="AU46" s="194" t="str">
        <f>VLOOKUP(AT46,Lookup!$G$79:$J$89,2,FALSE)</f>
        <v>No breakeven</v>
      </c>
      <c r="AV46" s="345" t="str">
        <f>VLOOKUP(AT46,Lookup!$G$79:$J$89,4,FALSE)</f>
        <v>Annual costs greater than annual benefits</v>
      </c>
      <c r="AW46" s="181" t="str">
        <f>VLOOKUP(AX46,Lookup!$C$4:$D$14,2,FALSE)</f>
        <v>Slight Improvement</v>
      </c>
      <c r="AX46" s="193">
        <f>VLOOKUP(AY46,Lookup!$G$92:$J$97,4,FALSE)</f>
        <v>1</v>
      </c>
      <c r="AY46" s="181" t="s">
        <v>2636</v>
      </c>
      <c r="AZ46" s="281" t="s">
        <v>1878</v>
      </c>
      <c r="BA46" s="181" t="str">
        <f>VLOOKUP(BB46,Lookup!$C$4:$D$14,2,FALSE)</f>
        <v>Slight Worsening</v>
      </c>
      <c r="BB46" s="193">
        <f>VLOOKUP(BC46,Lookup!$G$100:$K$110,5,FALSE)</f>
        <v>-1</v>
      </c>
      <c r="BC46" s="181" t="s">
        <v>2637</v>
      </c>
      <c r="BD46" s="281" t="s">
        <v>3184</v>
      </c>
      <c r="BE46" s="181" t="str">
        <f>VLOOKUP(BF46,Lookup!$C$4:$D$14,2,FALSE)</f>
        <v>No Effect</v>
      </c>
      <c r="BF46" s="193">
        <f>IF(X46=0,0,IF(X46&gt;Lookup!$F$113,-5,IF(X46&gt;Lookup!$F$114,-4,IF(X46&gt;Lookup!$F$115,-3,IF(X46&gt;Lookup!$F$116,-2,IF(X46&gt;Lookup!$F$117,-1,0))))))</f>
        <v>0</v>
      </c>
      <c r="BG46" s="195" t="str">
        <f>VLOOKUP(BF46,Lookup!$G$113:$H$118,2,FALSE)</f>
        <v>No change in on-farm equipment</v>
      </c>
      <c r="BH46" s="281" t="s">
        <v>3231</v>
      </c>
      <c r="BI46" s="181" t="str">
        <f>VLOOKUP(BJ46,Lookup!$C$4:$D$14,2,FALSE)</f>
        <v>Slight Worsening</v>
      </c>
      <c r="BJ46" s="193">
        <f>VLOOKUP(BK46,Lookup!$G$121:$L$131,6,FALSE)</f>
        <v>-1</v>
      </c>
      <c r="BK46" s="181" t="s">
        <v>2640</v>
      </c>
      <c r="BL46" s="281" t="s">
        <v>3279</v>
      </c>
      <c r="BM46" s="181" t="str">
        <f>VLOOKUP(BN46,Lookup!$C$4:$D$14,2,FALSE)</f>
        <v>Slight Worsening</v>
      </c>
      <c r="BN46" s="193">
        <f>VLOOKUP(BO46,Lookup!$G$134:$L$144,6,FALSE)</f>
        <v>-1</v>
      </c>
      <c r="BO46" s="181" t="s">
        <v>3373</v>
      </c>
      <c r="BP46" s="281" t="s">
        <v>3390</v>
      </c>
      <c r="BQ46" s="181" t="str">
        <f>VLOOKUP(BR46,Lookup!$C$4:$D$14,2,FALSE)</f>
        <v>Slight Worsening</v>
      </c>
      <c r="BR46" s="193">
        <f>VLOOKUP(BS46,Lookup!$G$147:$L$157,6,FALSE)</f>
        <v>-1</v>
      </c>
      <c r="BS46" s="181" t="s">
        <v>2658</v>
      </c>
      <c r="BT46" s="281" t="s">
        <v>3450</v>
      </c>
      <c r="BU46" s="175" t="s">
        <v>2231</v>
      </c>
    </row>
    <row r="47" spans="1:73" ht="39.950000000000003" customHeight="1" thickBot="1" x14ac:dyDescent="0.25">
      <c r="A47" s="173">
        <f t="shared" si="4"/>
        <v>45</v>
      </c>
      <c r="B47" s="178" t="s">
        <v>619</v>
      </c>
      <c r="C47" s="179" t="s">
        <v>1605</v>
      </c>
      <c r="D47" s="180">
        <v>393</v>
      </c>
      <c r="E47" s="180" t="s">
        <v>3646</v>
      </c>
      <c r="F47" s="273" t="str">
        <f>VLOOKUP($D47,'Practice Descriptions'!$E$11:$F$186,2,FALSE)</f>
        <v>A strip or area of herbaceous vegetation that removes contaminants from overland flow.</v>
      </c>
      <c r="G47" s="182">
        <v>10</v>
      </c>
      <c r="H47" s="183">
        <v>150</v>
      </c>
      <c r="I47" s="184">
        <v>0</v>
      </c>
      <c r="J47" s="184">
        <v>0.02</v>
      </c>
      <c r="K47" s="419">
        <f>IF(E47="No.",1,IF(E47="Ac.",1,(SQRT(VLOOKUP(O47,Lookup!$F$9:$H$18,3,FALSE)))*208/VLOOKUP(O47,Lookup!$F$9:$H$18,3,FALSE)))</f>
        <v>1</v>
      </c>
      <c r="L47" s="185" t="str">
        <f t="shared" si="0"/>
        <v/>
      </c>
      <c r="M47" s="184">
        <v>0.01</v>
      </c>
      <c r="N47" s="186">
        <f>IF(G47=1,H47,PMT(Lookup!$G$4,G47,-H47)+(H47*J47)+(M47*P47))*K47</f>
        <v>25.543782085259576</v>
      </c>
      <c r="O47" s="187" t="s">
        <v>1110</v>
      </c>
      <c r="P47" s="186">
        <f>VLOOKUP($O47,Lookup!$F$9:$I$18,4,FALSE)</f>
        <v>300</v>
      </c>
      <c r="Q47" s="184">
        <v>0.01</v>
      </c>
      <c r="R47" s="183">
        <v>2</v>
      </c>
      <c r="S47" s="188" t="s">
        <v>3595</v>
      </c>
      <c r="T47" s="186">
        <f t="shared" si="2"/>
        <v>5</v>
      </c>
      <c r="U47" s="189">
        <f t="shared" si="3"/>
        <v>0.19574235261290165</v>
      </c>
      <c r="V47" s="189">
        <f t="shared" si="1"/>
        <v>0</v>
      </c>
      <c r="W47" s="190">
        <f>IF(P47=0,0,IF(Q47+R47=0,0,PV(Lookup!$G$4,G47,-T47)/H47))</f>
        <v>0.25583584478109433</v>
      </c>
      <c r="X47" s="190">
        <f>IF(I47=0,0,PMT(Lookup!$G$4,G47,-(H47*I47*K47))/P47)</f>
        <v>0</v>
      </c>
      <c r="Y47" s="42" t="s">
        <v>960</v>
      </c>
      <c r="Z47" s="192">
        <f>VLOOKUP(Y47,Lookup!$B$4:$C$14,2,FALSE)</f>
        <v>-5</v>
      </c>
      <c r="AA47" s="281" t="s">
        <v>1877</v>
      </c>
      <c r="AB47" s="282" t="s">
        <v>1072</v>
      </c>
      <c r="AC47" s="181" t="str">
        <f>VLOOKUP(AD47,Lookup!$C$4:$D$14,2,FALSE)</f>
        <v>Slight to Moderate Worsening</v>
      </c>
      <c r="AD47" s="193">
        <f>IF(P47/H47&lt;Lookup!$F$33,-5,IF(P47/H47&lt;Lookup!$F$32,-4,IF(P47/H47&lt;Lookup!$F$31,-3,IF(P47/H47&lt;Lookup!$F$30,-2,IF(P47/H47&lt;Lookup!$F$29,-1,-5)))))</f>
        <v>-2</v>
      </c>
      <c r="AE47" s="194" t="str">
        <f>VLOOKUP(AD47,Lookup!$G$28:$J$33,2,FALSE)</f>
        <v>One-time practice implementation cost 5 to 100% of enterprise annual net income</v>
      </c>
      <c r="AF47" s="281" t="s">
        <v>2959</v>
      </c>
      <c r="AG47" s="181" t="str">
        <f>VLOOKUP(AH47,Lookup!$C$4:$D$14,2,FALSE)</f>
        <v>Slight to Moderate Worsening</v>
      </c>
      <c r="AH47" s="193">
        <f>IF(J47&gt;Lookup!$F$43,-5,IF(J47&gt;Lookup!$F$42,-4,IF(J47&gt;Lookup!$F$41,-3,IF(J47&gt;Lookup!$F$40,-2,IF(J47&gt;Lookup!$F$39,-1,0)))))</f>
        <v>-2</v>
      </c>
      <c r="AI47" s="194" t="str">
        <f>VLOOKUP(AH47,Lookup!$G$38:$J$43,2,FALSE)</f>
        <v>Annual O&amp;M costs 1 to 2% of total installation costs</v>
      </c>
      <c r="AJ47" s="281" t="s">
        <v>1880</v>
      </c>
      <c r="AK47" s="181" t="str">
        <f>VLOOKUP(AL47,Lookup!$C$4:$D$14,2,FALSE)</f>
        <v>Moderate Worsening</v>
      </c>
      <c r="AL47" s="346">
        <f>IF(N47=0,0,IF(U47&lt;Lookup!$F$58,-5,IF(U47&lt;Lookup!$F$57,-4,IF(U47&lt;Lookup!$F$56,-3,IF(U47&lt;Lookup!$F$55,-2,IF(U47&lt;Lookup!$F$54,-1,IF(U47&lt;Lookup!$F$53,0,IF(U47&lt;Lookup!$F$52,1,IF(U47&lt;Lookup!$F$51,2,IF(U47&lt;Lookup!$F$50,3,IF(U47&lt;Lookup!$F$49,4,5)))))))))))</f>
        <v>-3</v>
      </c>
      <c r="AM47" s="194" t="str">
        <f>VLOOKUP(AL47,Lookup!$G$48:$J$58,2,FALSE)</f>
        <v>B/C Ratio .10 to .25</v>
      </c>
      <c r="AN47" s="281" t="s">
        <v>717</v>
      </c>
      <c r="AO47" s="181" t="str">
        <f>VLOOKUP(AP47,Lookup!$C$4:$D$14,2,FALSE)</f>
        <v>Slight Improvement</v>
      </c>
      <c r="AP47" s="193">
        <f>IF(Q47=0,0,IF(Q47&gt;Lookup!$F$63,5,IF(Q47&gt;Lookup!$F$64,4,IF(Q47&gt;Lookup!$F$65,3,IF(Q47&gt;Lookup!$F$66,2,IF(Q47&gt;Lookup!$F$67,1,IF(Q47&gt;Lookup!$F$69,-1,IF(Q47&gt;Lookup!$F$70,-2,IF(Q47&gt;Lookup!$F$71,-3,IF(Q47&gt;Lookup!$F$72,-4,-5))))))))))</f>
        <v>1</v>
      </c>
      <c r="AQ47" s="194" t="str">
        <f>VLOOKUP(AP47,Lookup!$G$63:$J$73,2,FALSE)</f>
        <v>5% or less yield increase</v>
      </c>
      <c r="AR47" s="281" t="s">
        <v>3086</v>
      </c>
      <c r="AS47" s="181" t="str">
        <f>VLOOKUP(AT47,Lookup!$C$4:$D$14,2,FALSE)</f>
        <v>No Effect</v>
      </c>
      <c r="AT47" s="193">
        <f>IF(V47=0,0,IF(V47&lt;Lookup!$F$79,5,IF(V47&lt;Lookup!$F$80,4,IF(V47&lt;Lookup!$F$81,3,IF(V47&lt;Lookup!$F$82,2,IF(V47&lt;Lookup!$F$83,1,IF(V47&lt;Lookup!$F$85,-1,IF(V47&lt;Lookup!$F$86,-2,IF(V47&lt;Lookup!$F$87,-3,IF(V47&lt;Lookup!$F$88,-4,-5))))))))))</f>
        <v>0</v>
      </c>
      <c r="AU47" s="194" t="str">
        <f>VLOOKUP(AT47,Lookup!$G$79:$J$89,2,FALSE)</f>
        <v>No breakeven</v>
      </c>
      <c r="AV47" s="345" t="str">
        <f>VLOOKUP(AT47,Lookup!$G$79:$J$89,4,FALSE)</f>
        <v>Annual costs greater than annual benefits</v>
      </c>
      <c r="AW47" s="181" t="str">
        <f>VLOOKUP(AX47,Lookup!$C$4:$D$14,2,FALSE)</f>
        <v>Slight Improvement</v>
      </c>
      <c r="AX47" s="193">
        <f>VLOOKUP(AY47,Lookup!$G$92:$J$97,4,FALSE)</f>
        <v>1</v>
      </c>
      <c r="AY47" s="181" t="s">
        <v>2636</v>
      </c>
      <c r="AZ47" s="281" t="s">
        <v>1879</v>
      </c>
      <c r="BA47" s="181" t="str">
        <f>VLOOKUP(BB47,Lookup!$C$4:$D$14,2,FALSE)</f>
        <v>Slight Worsening</v>
      </c>
      <c r="BB47" s="193">
        <f>VLOOKUP(BC47,Lookup!$G$100:$K$110,5,FALSE)</f>
        <v>-1</v>
      </c>
      <c r="BC47" s="181" t="s">
        <v>2637</v>
      </c>
      <c r="BD47" s="281" t="s">
        <v>3184</v>
      </c>
      <c r="BE47" s="181" t="str">
        <f>VLOOKUP(BF47,Lookup!$C$4:$D$14,2,FALSE)</f>
        <v>No Effect</v>
      </c>
      <c r="BF47" s="193">
        <f>IF(X47=0,0,IF(X47&gt;Lookup!$F$113,-5,IF(X47&gt;Lookup!$F$114,-4,IF(X47&gt;Lookup!$F$115,-3,IF(X47&gt;Lookup!$F$116,-2,IF(X47&gt;Lookup!$F$117,-1,0))))))</f>
        <v>0</v>
      </c>
      <c r="BG47" s="195" t="str">
        <f>VLOOKUP(BF47,Lookup!$G$113:$H$118,2,FALSE)</f>
        <v>No change in on-farm equipment</v>
      </c>
      <c r="BH47" s="281" t="s">
        <v>3231</v>
      </c>
      <c r="BI47" s="181" t="str">
        <f>VLOOKUP(BJ47,Lookup!$C$4:$D$14,2,FALSE)</f>
        <v>Slight Worsening</v>
      </c>
      <c r="BJ47" s="193">
        <f>VLOOKUP(BK47,Lookup!$G$121:$L$131,6,FALSE)</f>
        <v>-1</v>
      </c>
      <c r="BK47" s="181" t="s">
        <v>2640</v>
      </c>
      <c r="BL47" s="281" t="s">
        <v>3280</v>
      </c>
      <c r="BM47" s="181" t="str">
        <f>VLOOKUP(BN47,Lookup!$C$4:$D$14,2,FALSE)</f>
        <v>Slight Worsening</v>
      </c>
      <c r="BN47" s="193">
        <f>VLOOKUP(BO47,Lookup!$G$134:$L$144,6,FALSE)</f>
        <v>-1</v>
      </c>
      <c r="BO47" s="181" t="s">
        <v>3373</v>
      </c>
      <c r="BP47" s="281" t="s">
        <v>3390</v>
      </c>
      <c r="BQ47" s="181" t="str">
        <f>VLOOKUP(BR47,Lookup!$C$4:$D$14,2,FALSE)</f>
        <v>Slight Worsening</v>
      </c>
      <c r="BR47" s="193">
        <f>VLOOKUP(BS47,Lookup!$G$147:$L$157,6,FALSE)</f>
        <v>-1</v>
      </c>
      <c r="BS47" s="181" t="s">
        <v>2658</v>
      </c>
      <c r="BT47" s="281" t="s">
        <v>3450</v>
      </c>
      <c r="BU47" s="175" t="s">
        <v>2231</v>
      </c>
    </row>
    <row r="48" spans="1:73" ht="39.950000000000003" customHeight="1" thickBot="1" x14ac:dyDescent="0.25">
      <c r="A48" s="173">
        <f t="shared" si="4"/>
        <v>46</v>
      </c>
      <c r="B48" s="178" t="s">
        <v>620</v>
      </c>
      <c r="C48" s="179" t="s">
        <v>1598</v>
      </c>
      <c r="D48" s="180">
        <v>394</v>
      </c>
      <c r="E48" s="180" t="s">
        <v>1944</v>
      </c>
      <c r="F48" s="273" t="str">
        <f>VLOOKUP($D48,'Practice Descriptions'!$E$11:$F$186,2,FALSE)</f>
        <v>A permanent or temporary strip of bare or vegetated land planned to retard fire.</v>
      </c>
      <c r="G48" s="182">
        <v>10</v>
      </c>
      <c r="H48" s="183">
        <v>0.4</v>
      </c>
      <c r="I48" s="184">
        <v>0</v>
      </c>
      <c r="J48" s="184">
        <v>0.2</v>
      </c>
      <c r="K48" s="419">
        <f>IF(E48="No.",1,IF(E48="Ac.",1,(SQRT(VLOOKUP(O48,Lookup!$F$9:$H$18,3,FALSE)))*208/VLOOKUP(O48,Lookup!$F$9:$H$18,3,FALSE)))</f>
        <v>16.443843832875572</v>
      </c>
      <c r="L48" s="185" t="str">
        <f t="shared" si="0"/>
        <v>Assume length 1 side of square field (208'/Ac)</v>
      </c>
      <c r="M48" s="184">
        <v>0</v>
      </c>
      <c r="N48" s="186">
        <f>IF(G48=1,H48,PMT(Lookup!$G$4,G48,-H48)+(H48*J48)+(M48*P48))*K48</f>
        <v>2.1725072413334052</v>
      </c>
      <c r="O48" s="187" t="s">
        <v>301</v>
      </c>
      <c r="P48" s="186">
        <f>VLOOKUP($O48,Lookup!$F$9:$I$18,4,FALSE)</f>
        <v>100</v>
      </c>
      <c r="Q48" s="184">
        <v>0</v>
      </c>
      <c r="R48" s="183">
        <v>0.5</v>
      </c>
      <c r="S48" s="188" t="s">
        <v>3591</v>
      </c>
      <c r="T48" s="186">
        <f t="shared" si="2"/>
        <v>0.5</v>
      </c>
      <c r="U48" s="189">
        <f t="shared" si="3"/>
        <v>0.23014883011074261</v>
      </c>
      <c r="V48" s="189">
        <f t="shared" si="1"/>
        <v>0</v>
      </c>
      <c r="W48" s="190">
        <f>IF(P48=0,0,IF(Q48+R48=0,0,PV(Lookup!$G$4,G48,-T48)/H48))</f>
        <v>9.5938441792910378</v>
      </c>
      <c r="X48" s="190">
        <f>IF(I48=0,0,PMT(Lookup!$G$4,G48,-(H48*I48*K48))/P48)</f>
        <v>0</v>
      </c>
      <c r="Y48" s="42" t="s">
        <v>963</v>
      </c>
      <c r="Z48" s="192">
        <f>VLOOKUP(Y48,Lookup!$B$4:$C$14,2,FALSE)</f>
        <v>2</v>
      </c>
      <c r="AA48" s="281" t="s">
        <v>1852</v>
      </c>
      <c r="AB48" s="282" t="s">
        <v>1072</v>
      </c>
      <c r="AC48" s="181" t="str">
        <f>VLOOKUP(AD48,Lookup!$C$4:$D$14,2,FALSE)</f>
        <v>Substantial Worsening</v>
      </c>
      <c r="AD48" s="193">
        <f>IF(P48/H48&lt;Lookup!$F$33,-5,IF(P48/H48&lt;Lookup!$F$32,-4,IF(P48/H48&lt;Lookup!$F$31,-3,IF(P48/H48&lt;Lookup!$F$30,-2,IF(P48/H48&lt;Lookup!$F$29,-1,-5)))))</f>
        <v>-5</v>
      </c>
      <c r="AE48" s="194" t="str">
        <f>VLOOKUP(AD48,Lookup!$G$28:$J$33,2,FALSE)</f>
        <v>One-time practice implementation cost 5 times or greater enterprise annual net income</v>
      </c>
      <c r="AF48" s="281" t="s">
        <v>1871</v>
      </c>
      <c r="AG48" s="181" t="str">
        <f>VLOOKUP(AH48,Lookup!$C$4:$D$14,2,FALSE)</f>
        <v>Substantial Worsening</v>
      </c>
      <c r="AH48" s="193">
        <f>IF(J48&gt;Lookup!$F$43,-5,IF(J48&gt;Lookup!$F$42,-4,IF(J48&gt;Lookup!$F$41,-3,IF(J48&gt;Lookup!$F$40,-2,IF(J48&gt;Lookup!$F$39,-1,0)))))</f>
        <v>-5</v>
      </c>
      <c r="AI48" s="194" t="str">
        <f>VLOOKUP(AH48,Lookup!$G$38:$J$43,2,FALSE)</f>
        <v>Annual O&amp;M costs greater than 4% of total installation costs</v>
      </c>
      <c r="AJ48" s="281" t="s">
        <v>3012</v>
      </c>
      <c r="AK48" s="181" t="str">
        <f>VLOOKUP(AL48,Lookup!$C$4:$D$14,2,FALSE)</f>
        <v>Moderate Worsening</v>
      </c>
      <c r="AL48" s="346">
        <f>IF(N48=0,0,IF(U48&lt;Lookup!$F$58,-5,IF(U48&lt;Lookup!$F$57,-4,IF(U48&lt;Lookup!$F$56,-3,IF(U48&lt;Lookup!$F$55,-2,IF(U48&lt;Lookup!$F$54,-1,IF(U48&lt;Lookup!$F$53,0,IF(U48&lt;Lookup!$F$52,1,IF(U48&lt;Lookup!$F$51,2,IF(U48&lt;Lookup!$F$50,3,IF(U48&lt;Lookup!$F$49,4,5)))))))))))</f>
        <v>-3</v>
      </c>
      <c r="AM48" s="194" t="str">
        <f>VLOOKUP(AL48,Lookup!$G$48:$J$58,2,FALSE)</f>
        <v>B/C Ratio .10 to .25</v>
      </c>
      <c r="AN48" s="281" t="s">
        <v>1843</v>
      </c>
      <c r="AO48" s="181" t="str">
        <f>VLOOKUP(AP48,Lookup!$C$4:$D$14,2,FALSE)</f>
        <v>No Effect</v>
      </c>
      <c r="AP48" s="193">
        <f>IF(Q48=0,0,IF(Q48&gt;Lookup!$F$63,5,IF(Q48&gt;Lookup!$F$64,4,IF(Q48&gt;Lookup!$F$65,3,IF(Q48&gt;Lookup!$F$66,2,IF(Q48&gt;Lookup!$F$67,1,IF(Q48&gt;Lookup!$F$69,-1,IF(Q48&gt;Lookup!$F$70,-2,IF(Q48&gt;Lookup!$F$71,-3,IF(Q48&gt;Lookup!$F$72,-4,-5))))))))))</f>
        <v>0</v>
      </c>
      <c r="AQ48" s="194" t="str">
        <f>VLOOKUP(AP48,Lookup!$G$63:$J$73,2,FALSE)</f>
        <v>No change in yield</v>
      </c>
      <c r="AR48" s="281" t="s">
        <v>3085</v>
      </c>
      <c r="AS48" s="181" t="str">
        <f>VLOOKUP(AT48,Lookup!$C$4:$D$14,2,FALSE)</f>
        <v>No Effect</v>
      </c>
      <c r="AT48" s="193">
        <f>IF(V48=0,0,IF(V48&lt;Lookup!$F$79,5,IF(V48&lt;Lookup!$F$80,4,IF(V48&lt;Lookup!$F$81,3,IF(V48&lt;Lookup!$F$82,2,IF(V48&lt;Lookup!$F$83,1,IF(V48&lt;Lookup!$F$85,-1,IF(V48&lt;Lookup!$F$86,-2,IF(V48&lt;Lookup!$F$87,-3,IF(V48&lt;Lookup!$F$88,-4,-5))))))))))</f>
        <v>0</v>
      </c>
      <c r="AU48" s="194" t="str">
        <f>VLOOKUP(AT48,Lookup!$G$79:$J$89,2,FALSE)</f>
        <v>No breakeven</v>
      </c>
      <c r="AV48" s="345" t="str">
        <f>VLOOKUP(AT48,Lookup!$G$79:$J$89,4,FALSE)</f>
        <v>Annual costs greater than annual benefits</v>
      </c>
      <c r="AW48" s="181" t="str">
        <f>VLOOKUP(AX48,Lookup!$C$4:$D$14,2,FALSE)</f>
        <v>Slight Improvement</v>
      </c>
      <c r="AX48" s="193">
        <f>VLOOKUP(AY48,Lookup!$G$92:$J$97,4,FALSE)</f>
        <v>1</v>
      </c>
      <c r="AY48" s="181" t="s">
        <v>2636</v>
      </c>
      <c r="AZ48" s="281" t="s">
        <v>1881</v>
      </c>
      <c r="BA48" s="181" t="str">
        <f>VLOOKUP(BB48,Lookup!$C$4:$D$14,2,FALSE)</f>
        <v>Slight Worsening</v>
      </c>
      <c r="BB48" s="193">
        <f>VLOOKUP(BC48,Lookup!$G$100:$K$110,5,FALSE)</f>
        <v>-1</v>
      </c>
      <c r="BC48" s="181" t="s">
        <v>2637</v>
      </c>
      <c r="BD48" s="281" t="s">
        <v>3184</v>
      </c>
      <c r="BE48" s="181" t="str">
        <f>VLOOKUP(BF48,Lookup!$C$4:$D$14,2,FALSE)</f>
        <v>No Effect</v>
      </c>
      <c r="BF48" s="193">
        <f>IF(X48=0,0,IF(X48&gt;Lookup!$F$113,-5,IF(X48&gt;Lookup!$F$114,-4,IF(X48&gt;Lookup!$F$115,-3,IF(X48&gt;Lookup!$F$116,-2,IF(X48&gt;Lookup!$F$117,-1,0))))))</f>
        <v>0</v>
      </c>
      <c r="BG48" s="195" t="str">
        <f>VLOOKUP(BF48,Lookup!$G$113:$H$118,2,FALSE)</f>
        <v>No change in on-farm equipment</v>
      </c>
      <c r="BH48" s="281" t="s">
        <v>3231</v>
      </c>
      <c r="BI48" s="181" t="str">
        <f>VLOOKUP(BJ48,Lookup!$C$4:$D$14,2,FALSE)</f>
        <v>Slight Worsening</v>
      </c>
      <c r="BJ48" s="193">
        <f>VLOOKUP(BK48,Lookup!$G$121:$L$131,6,FALSE)</f>
        <v>-1</v>
      </c>
      <c r="BK48" s="181" t="s">
        <v>2640</v>
      </c>
      <c r="BL48" s="281" t="s">
        <v>3284</v>
      </c>
      <c r="BM48" s="181" t="str">
        <f>VLOOKUP(BN48,Lookup!$C$4:$D$14,2,FALSE)</f>
        <v>Slight Worsening</v>
      </c>
      <c r="BN48" s="193">
        <f>VLOOKUP(BO48,Lookup!$G$134:$L$144,6,FALSE)</f>
        <v>-1</v>
      </c>
      <c r="BO48" s="181" t="s">
        <v>3373</v>
      </c>
      <c r="BP48" s="281" t="s">
        <v>3391</v>
      </c>
      <c r="BQ48" s="181" t="str">
        <f>VLOOKUP(BR48,Lookup!$C$4:$D$14,2,FALSE)</f>
        <v>Moderate to Substantial Improvement</v>
      </c>
      <c r="BR48" s="193">
        <f>VLOOKUP(BS48,Lookup!$G$147:$L$157,6,FALSE)</f>
        <v>4</v>
      </c>
      <c r="BS48" s="181" t="s">
        <v>2645</v>
      </c>
      <c r="BT48" s="281" t="s">
        <v>3451</v>
      </c>
      <c r="BU48" s="175" t="s">
        <v>2231</v>
      </c>
    </row>
    <row r="49" spans="1:73" ht="39.950000000000003" customHeight="1" thickBot="1" x14ac:dyDescent="0.25">
      <c r="A49" s="173">
        <f t="shared" si="4"/>
        <v>47</v>
      </c>
      <c r="B49" s="178" t="s">
        <v>621</v>
      </c>
      <c r="C49" s="179" t="s">
        <v>1467</v>
      </c>
      <c r="D49" s="180">
        <v>398</v>
      </c>
      <c r="E49" s="180" t="s">
        <v>1539</v>
      </c>
      <c r="F49" s="273" t="str">
        <f>VLOOKUP($D49,'Practice Descriptions'!$E$11:$F$186,2,FALSE)</f>
        <v>A channel or tank with a continuous flow or water constructed or used for high-density fish production.</v>
      </c>
      <c r="G49" s="182">
        <v>10</v>
      </c>
      <c r="H49" s="183">
        <v>75</v>
      </c>
      <c r="I49" s="184">
        <v>1</v>
      </c>
      <c r="J49" s="184">
        <v>0.03</v>
      </c>
      <c r="K49" s="419">
        <f>IF(E49="No.",1,IF(E49="Ac.",1,(SQRT(VLOOKUP(O49,Lookup!$F$9:$H$18,3,FALSE)))*208/VLOOKUP(O49,Lookup!$F$9:$H$18,3,FALSE)))</f>
        <v>65.775375331502289</v>
      </c>
      <c r="L49" s="185" t="str">
        <f t="shared" si="0"/>
        <v>Assume length 1 side of square field (208'/Ac)</v>
      </c>
      <c r="M49" s="184">
        <v>0</v>
      </c>
      <c r="N49" s="186">
        <f>IF(G49=1,H49,PMT(Lookup!$G$4,G49,-H49)+(H49*J49)+(M49*P49))*K49</f>
        <v>790.7443955233997</v>
      </c>
      <c r="O49" s="187" t="s">
        <v>2223</v>
      </c>
      <c r="P49" s="186">
        <f>VLOOKUP($O49,Lookup!$F$9:$I$18,4,FALSE)</f>
        <v>500</v>
      </c>
      <c r="Q49" s="184">
        <v>0</v>
      </c>
      <c r="R49" s="183">
        <v>8000</v>
      </c>
      <c r="S49" s="188" t="s">
        <v>3621</v>
      </c>
      <c r="T49" s="186">
        <f t="shared" si="2"/>
        <v>8000</v>
      </c>
      <c r="U49" s="189">
        <f t="shared" si="3"/>
        <v>10.117049258002947</v>
      </c>
      <c r="V49" s="189">
        <f t="shared" si="1"/>
        <v>0.61664414373283394</v>
      </c>
      <c r="W49" s="190">
        <f>IF(P49=0,0,IF(Q49+R49=0,0,PV(Lookup!$G$4,G49,-T49)/H49))</f>
        <v>818.67470329950186</v>
      </c>
      <c r="X49" s="190">
        <f>IF(I49=0,0,PMT(Lookup!$G$4,G49,-(H49*I49*K49))/P49)</f>
        <v>1.2854996020550393</v>
      </c>
      <c r="Y49" s="42" t="s">
        <v>963</v>
      </c>
      <c r="Z49" s="192">
        <f>VLOOKUP(Y49,Lookup!$B$4:$C$14,2,FALSE)</f>
        <v>2</v>
      </c>
      <c r="AA49" s="281" t="s">
        <v>802</v>
      </c>
      <c r="AB49" s="282" t="s">
        <v>1072</v>
      </c>
      <c r="AC49" s="181" t="str">
        <f>VLOOKUP(AD49,Lookup!$C$4:$D$14,2,FALSE)</f>
        <v>Slight to Moderate Worsening</v>
      </c>
      <c r="AD49" s="193">
        <f>IF(P49/H49&lt;Lookup!$F$33,-5,IF(P49/H49&lt;Lookup!$F$32,-4,IF(P49/H49&lt;Lookup!$F$31,-3,IF(P49/H49&lt;Lookup!$F$30,-2,IF(P49/H49&lt;Lookup!$F$29,-1,-5)))))</f>
        <v>-2</v>
      </c>
      <c r="AE49" s="194" t="str">
        <f>VLOOKUP(AD49,Lookup!$G$28:$J$33,2,FALSE)</f>
        <v>One-time practice implementation cost 5 to 100% of enterprise annual net income</v>
      </c>
      <c r="AF49" s="281" t="s">
        <v>1847</v>
      </c>
      <c r="AG49" s="181" t="str">
        <f>VLOOKUP(AH49,Lookup!$C$4:$D$14,2,FALSE)</f>
        <v>Moderate Worsening</v>
      </c>
      <c r="AH49" s="193">
        <f>IF(J49&gt;Lookup!$F$43,-5,IF(J49&gt;Lookup!$F$42,-4,IF(J49&gt;Lookup!$F$41,-3,IF(J49&gt;Lookup!$F$40,-2,IF(J49&gt;Lookup!$F$39,-1,0)))))</f>
        <v>-3</v>
      </c>
      <c r="AI49" s="194" t="str">
        <f>VLOOKUP(AH49,Lookup!$G$38:$J$43,2,FALSE)</f>
        <v>Annual O&amp;M costs 2 to 3% of total installation costs</v>
      </c>
      <c r="AJ49" s="281" t="s">
        <v>3011</v>
      </c>
      <c r="AK49" s="181" t="str">
        <f>VLOOKUP(AL49,Lookup!$C$4:$D$14,2,FALSE)</f>
        <v>Substantial Improvement</v>
      </c>
      <c r="AL49" s="346">
        <f>IF(N49=0,0,IF(U49&lt;Lookup!$F$58,-5,IF(U49&lt;Lookup!$F$57,-4,IF(U49&lt;Lookup!$F$56,-3,IF(U49&lt;Lookup!$F$55,-2,IF(U49&lt;Lookup!$F$54,-1,IF(U49&lt;Lookup!$F$53,0,IF(U49&lt;Lookup!$F$52,1,IF(U49&lt;Lookup!$F$51,2,IF(U49&lt;Lookup!$F$50,3,IF(U49&lt;Lookup!$F$49,4,5)))))))))))</f>
        <v>5</v>
      </c>
      <c r="AM49" s="194" t="str">
        <f>VLOOKUP(AL49,Lookup!$G$48:$J$58,2,FALSE)</f>
        <v>B/C Ratio greater than 2.25</v>
      </c>
      <c r="AN49" s="281" t="s">
        <v>3032</v>
      </c>
      <c r="AO49" s="181" t="str">
        <f>VLOOKUP(AP49,Lookup!$C$4:$D$14,2,FALSE)</f>
        <v>No Effect</v>
      </c>
      <c r="AP49" s="193">
        <f>IF(Q49=0,0,IF(Q49&gt;Lookup!$F$63,5,IF(Q49&gt;Lookup!$F$64,4,IF(Q49&gt;Lookup!$F$65,3,IF(Q49&gt;Lookup!$F$66,2,IF(Q49&gt;Lookup!$F$67,1,IF(Q49&gt;Lookup!$F$69,-1,IF(Q49&gt;Lookup!$F$70,-2,IF(Q49&gt;Lookup!$F$71,-3,IF(Q49&gt;Lookup!$F$72,-4,-5))))))))))</f>
        <v>0</v>
      </c>
      <c r="AQ49" s="194" t="str">
        <f>VLOOKUP(AP49,Lookup!$G$63:$J$73,2,FALSE)</f>
        <v>No change in yield</v>
      </c>
      <c r="AR49" s="281" t="s">
        <v>3092</v>
      </c>
      <c r="AS49" s="181" t="str">
        <f>VLOOKUP(AT49,Lookup!$C$4:$D$14,2,FALSE)</f>
        <v>Substantial Improvement</v>
      </c>
      <c r="AT49" s="193">
        <f>IF(V49=0,0,IF(V49&lt;Lookup!$F$79,5,IF(V49&lt;Lookup!$F$80,4,IF(V49&lt;Lookup!$F$81,3,IF(V49&lt;Lookup!$F$82,2,IF(V49&lt;Lookup!$F$83,1,IF(V49&lt;Lookup!$F$85,-1,IF(V49&lt;Lookup!$F$86,-2,IF(V49&lt;Lookup!$F$87,-3,IF(V49&lt;Lookup!$F$88,-4,-5))))))))))</f>
        <v>5</v>
      </c>
      <c r="AU49" s="194" t="str">
        <f>VLOOKUP(AT49,Lookup!$G$79:$J$89,2,FALSE)</f>
        <v>1 or less years to breakeven</v>
      </c>
      <c r="AV49" s="345" t="str">
        <f>VLOOKUP(AT49,Lookup!$G$79:$J$89,4,FALSE)</f>
        <v>Annual benefits significantly greater than annual costs</v>
      </c>
      <c r="AW49" s="181" t="str">
        <f>VLOOKUP(AX49,Lookup!$C$4:$D$14,2,FALSE)</f>
        <v>Slight to Moderate Improvement</v>
      </c>
      <c r="AX49" s="193">
        <f>VLOOKUP(AY49,Lookup!$G$92:$J$97,4,FALSE)</f>
        <v>2</v>
      </c>
      <c r="AY49" s="181" t="s">
        <v>2653</v>
      </c>
      <c r="AZ49" s="281" t="s">
        <v>1882</v>
      </c>
      <c r="BA49" s="181" t="str">
        <f>VLOOKUP(BB49,Lookup!$C$4:$D$14,2,FALSE)</f>
        <v>Slight Worsening</v>
      </c>
      <c r="BB49" s="193">
        <f>VLOOKUP(BC49,Lookup!$G$100:$K$110,5,FALSE)</f>
        <v>-1</v>
      </c>
      <c r="BC49" s="181" t="s">
        <v>2637</v>
      </c>
      <c r="BD49" s="281" t="s">
        <v>3184</v>
      </c>
      <c r="BE49" s="181" t="str">
        <f>VLOOKUP(BF49,Lookup!$C$4:$D$14,2,FALSE)</f>
        <v>Substantial Worsening</v>
      </c>
      <c r="BF49" s="193">
        <f>IF(X49=0,0,IF(X49&gt;Lookup!$F$113,-5,IF(X49&gt;Lookup!$F$114,-4,IF(X49&gt;Lookup!$F$115,-3,IF(X49&gt;Lookup!$F$116,-2,IF(X49&gt;Lookup!$F$117,-1,0))))))</f>
        <v>-5</v>
      </c>
      <c r="BG49" s="195" t="str">
        <f>VLOOKUP(BF49,Lookup!$G$113:$H$118,2,FALSE)</f>
        <v>Annual on-farm equipment costs 75% or greater of enterprise annual net income</v>
      </c>
      <c r="BH49" s="281" t="s">
        <v>3525</v>
      </c>
      <c r="BI49" s="181" t="str">
        <f>VLOOKUP(BJ49,Lookup!$C$4:$D$14,2,FALSE)</f>
        <v>Moderate Worsening</v>
      </c>
      <c r="BJ49" s="193">
        <f>VLOOKUP(BK49,Lookup!$G$121:$L$131,6,FALSE)</f>
        <v>-3</v>
      </c>
      <c r="BK49" s="181" t="s">
        <v>2647</v>
      </c>
      <c r="BL49" s="281" t="s">
        <v>3260</v>
      </c>
      <c r="BM49" s="181" t="str">
        <f>VLOOKUP(BN49,Lookup!$C$4:$D$14,2,FALSE)</f>
        <v>Moderate Worsening</v>
      </c>
      <c r="BN49" s="193">
        <f>VLOOKUP(BO49,Lookup!$G$134:$L$144,6,FALSE)</f>
        <v>-3</v>
      </c>
      <c r="BO49" s="181" t="s">
        <v>2654</v>
      </c>
      <c r="BP49" s="281" t="s">
        <v>3368</v>
      </c>
      <c r="BQ49" s="181" t="str">
        <f>VLOOKUP(BR49,Lookup!$C$4:$D$14,2,FALSE)</f>
        <v>Slight to Moderate Improvement</v>
      </c>
      <c r="BR49" s="193">
        <f>VLOOKUP(BS49,Lookup!$G$147:$L$157,6,FALSE)</f>
        <v>2</v>
      </c>
      <c r="BS49" s="181" t="s">
        <v>2641</v>
      </c>
      <c r="BT49" s="281" t="s">
        <v>3452</v>
      </c>
      <c r="BU49" s="175" t="s">
        <v>2231</v>
      </c>
    </row>
    <row r="50" spans="1:73" ht="39.950000000000003" customHeight="1" thickBot="1" x14ac:dyDescent="0.25">
      <c r="A50" s="173">
        <f t="shared" si="4"/>
        <v>48</v>
      </c>
      <c r="B50" s="178" t="s">
        <v>622</v>
      </c>
      <c r="C50" s="179" t="s">
        <v>1466</v>
      </c>
      <c r="D50" s="180">
        <v>399</v>
      </c>
      <c r="E50" s="180" t="s">
        <v>3646</v>
      </c>
      <c r="F50" s="273" t="str">
        <f>VLOOKUP($D50,'Practice Descriptions'!$E$11:$F$186,2,FALSE)</f>
        <v>Managing impounded aquatic habitat and water quality for the production of fish.</v>
      </c>
      <c r="G50" s="182">
        <v>1</v>
      </c>
      <c r="H50" s="183">
        <v>500</v>
      </c>
      <c r="I50" s="184">
        <v>0</v>
      </c>
      <c r="J50" s="184">
        <v>0</v>
      </c>
      <c r="K50" s="419">
        <f>IF(E50="No.",1,IF(E50="Ac.",1,(SQRT(VLOOKUP(O50,Lookup!$F$9:$H$18,3,FALSE)))*208/VLOOKUP(O50,Lookup!$F$9:$H$18,3,FALSE)))</f>
        <v>1</v>
      </c>
      <c r="L50" s="185" t="str">
        <f t="shared" si="0"/>
        <v/>
      </c>
      <c r="M50" s="184">
        <v>0</v>
      </c>
      <c r="N50" s="186">
        <f>IF(G50=1,H50,PMT(Lookup!$G$4,G50,-H50)+(H50*J50)+(M50*P50))*K50</f>
        <v>500</v>
      </c>
      <c r="O50" s="187" t="s">
        <v>2223</v>
      </c>
      <c r="P50" s="186">
        <f>VLOOKUP($O50,Lookup!$F$9:$I$18,4,FALSE)</f>
        <v>500</v>
      </c>
      <c r="Q50" s="184">
        <v>0.25</v>
      </c>
      <c r="R50" s="183">
        <v>100</v>
      </c>
      <c r="S50" s="188" t="s">
        <v>3621</v>
      </c>
      <c r="T50" s="186">
        <f t="shared" si="2"/>
        <v>225</v>
      </c>
      <c r="U50" s="189">
        <f t="shared" si="3"/>
        <v>0.45</v>
      </c>
      <c r="V50" s="189">
        <f t="shared" si="1"/>
        <v>0</v>
      </c>
      <c r="W50" s="190">
        <f>IF(P50=0,0,IF(Q50+R50=0,0,PV(Lookup!$G$4,G50,-T50)/H50))</f>
        <v>0.42806183115338903</v>
      </c>
      <c r="X50" s="190">
        <f>IF(I50=0,0,PMT(Lookup!$G$4,G50,-(H50*I50*K50))/P50)</f>
        <v>0</v>
      </c>
      <c r="Y50" s="42" t="s">
        <v>986</v>
      </c>
      <c r="Z50" s="192">
        <f>VLOOKUP(Y50,Lookup!$B$4:$C$14,2,FALSE)</f>
        <v>0</v>
      </c>
      <c r="AA50" s="281" t="s">
        <v>2759</v>
      </c>
      <c r="AB50" s="282" t="s">
        <v>1072</v>
      </c>
      <c r="AC50" s="181" t="str">
        <f>VLOOKUP(AD50,Lookup!$C$4:$D$14,2,FALSE)</f>
        <v>Slight to Moderate Worsening</v>
      </c>
      <c r="AD50" s="193">
        <f>IF(P50/H50&lt;Lookup!$F$33,-5,IF(P50/H50&lt;Lookup!$F$32,-4,IF(P50/H50&lt;Lookup!$F$31,-3,IF(P50/H50&lt;Lookup!$F$30,-2,IF(P50/H50&lt;Lookup!$F$29,-1,-5)))))</f>
        <v>-2</v>
      </c>
      <c r="AE50" s="194" t="str">
        <f>VLOOKUP(AD50,Lookup!$G$28:$J$33,2,FALSE)</f>
        <v>One-time practice implementation cost 5 to 100% of enterprise annual net income</v>
      </c>
      <c r="AF50" s="281" t="s">
        <v>1850</v>
      </c>
      <c r="AG50" s="181" t="str">
        <f>VLOOKUP(AH50,Lookup!$C$4:$D$14,2,FALSE)</f>
        <v>No Effect</v>
      </c>
      <c r="AH50" s="193">
        <f>IF(J50&gt;Lookup!$F$43,-5,IF(J50&gt;Lookup!$F$42,-4,IF(J50&gt;Lookup!$F$41,-3,IF(J50&gt;Lookup!$F$40,-2,IF(J50&gt;Lookup!$F$39,-1,0)))))</f>
        <v>0</v>
      </c>
      <c r="AI50" s="194" t="str">
        <f>VLOOKUP(AH50,Lookup!$G$38:$J$43,2,FALSE)</f>
        <v>No O&amp;M costs</v>
      </c>
      <c r="AJ50" s="281" t="s">
        <v>3005</v>
      </c>
      <c r="AK50" s="181" t="str">
        <f>VLOOKUP(AL50,Lookup!$C$4:$D$14,2,FALSE)</f>
        <v>Slight to Moderate Worsening</v>
      </c>
      <c r="AL50" s="346">
        <f>IF(N50=0,0,IF(U50&lt;Lookup!$F$58,-5,IF(U50&lt;Lookup!$F$57,-4,IF(U50&lt;Lookup!$F$56,-3,IF(U50&lt;Lookup!$F$55,-2,IF(U50&lt;Lookup!$F$54,-1,IF(U50&lt;Lookup!$F$53,0,IF(U50&lt;Lookup!$F$52,1,IF(U50&lt;Lookup!$F$51,2,IF(U50&lt;Lookup!$F$50,3,IF(U50&lt;Lookup!$F$49,4,5)))))))))))</f>
        <v>-2</v>
      </c>
      <c r="AM50" s="194" t="str">
        <f>VLOOKUP(AL50,Lookup!$G$48:$J$58,2,FALSE)</f>
        <v>B/C Ratio .25 to .50</v>
      </c>
      <c r="AN50" s="281" t="s">
        <v>3039</v>
      </c>
      <c r="AO50" s="181" t="str">
        <f>VLOOKUP(AP50,Lookup!$C$4:$D$14,2,FALSE)</f>
        <v>Moderate to Substantial Improvement</v>
      </c>
      <c r="AP50" s="193">
        <f>IF(Q50=0,0,IF(Q50&gt;Lookup!$F$63,5,IF(Q50&gt;Lookup!$F$64,4,IF(Q50&gt;Lookup!$F$65,3,IF(Q50&gt;Lookup!$F$66,2,IF(Q50&gt;Lookup!$F$67,1,IF(Q50&gt;Lookup!$F$69,-1,IF(Q50&gt;Lookup!$F$70,-2,IF(Q50&gt;Lookup!$F$71,-3,IF(Q50&gt;Lookup!$F$72,-4,-5))))))))))</f>
        <v>4</v>
      </c>
      <c r="AQ50" s="194" t="str">
        <f>VLOOKUP(AP50,Lookup!$G$63:$J$73,2,FALSE)</f>
        <v>25 to 50% yield increase</v>
      </c>
      <c r="AR50" s="281" t="s">
        <v>3092</v>
      </c>
      <c r="AS50" s="181" t="str">
        <f>VLOOKUP(AT50,Lookup!$C$4:$D$14,2,FALSE)</f>
        <v>No Effect</v>
      </c>
      <c r="AT50" s="193">
        <f>IF(V50=0,0,IF(V50&lt;Lookup!$F$79,5,IF(V50&lt;Lookup!$F$80,4,IF(V50&lt;Lookup!$F$81,3,IF(V50&lt;Lookup!$F$82,2,IF(V50&lt;Lookup!$F$83,1,IF(V50&lt;Lookup!$F$85,-1,IF(V50&lt;Lookup!$F$86,-2,IF(V50&lt;Lookup!$F$87,-3,IF(V50&lt;Lookup!$F$88,-4,-5))))))))))</f>
        <v>0</v>
      </c>
      <c r="AU50" s="194" t="str">
        <f>VLOOKUP(AT50,Lookup!$G$79:$J$89,2,FALSE)</f>
        <v>No breakeven</v>
      </c>
      <c r="AV50" s="345" t="str">
        <f>VLOOKUP(AT50,Lookup!$G$79:$J$89,4,FALSE)</f>
        <v>Annual costs greater than annual benefits</v>
      </c>
      <c r="AW50" s="181" t="str">
        <f>VLOOKUP(AX50,Lookup!$C$4:$D$14,2,FALSE)</f>
        <v>No Effect</v>
      </c>
      <c r="AX50" s="193">
        <f>VLOOKUP(AY50,Lookup!$G$92:$J$97,4,FALSE)</f>
        <v>0</v>
      </c>
      <c r="AY50" s="181" t="s">
        <v>2642</v>
      </c>
      <c r="AZ50" s="281" t="s">
        <v>3154</v>
      </c>
      <c r="BA50" s="181" t="str">
        <f>VLOOKUP(BB50,Lookup!$C$4:$D$14,2,FALSE)</f>
        <v>No Effect</v>
      </c>
      <c r="BB50" s="193">
        <f>VLOOKUP(BC50,Lookup!$G$100:$K$110,5,FALSE)</f>
        <v>0</v>
      </c>
      <c r="BC50" s="181" t="s">
        <v>2643</v>
      </c>
      <c r="BD50" s="281" t="s">
        <v>3154</v>
      </c>
      <c r="BE50" s="181" t="str">
        <f>VLOOKUP(BF50,Lookup!$C$4:$D$14,2,FALSE)</f>
        <v>No Effect</v>
      </c>
      <c r="BF50" s="193">
        <f>IF(X50=0,0,IF(X50&gt;Lookup!$F$113,-5,IF(X50&gt;Lookup!$F$114,-4,IF(X50&gt;Lookup!$F$115,-3,IF(X50&gt;Lookup!$F$116,-2,IF(X50&gt;Lookup!$F$117,-1,0))))))</f>
        <v>0</v>
      </c>
      <c r="BG50" s="195" t="str">
        <f>VLOOKUP(BF50,Lookup!$G$113:$H$118,2,FALSE)</f>
        <v>No change in on-farm equipment</v>
      </c>
      <c r="BH50" s="281" t="s">
        <v>1849</v>
      </c>
      <c r="BI50" s="181" t="str">
        <f>VLOOKUP(BJ50,Lookup!$C$4:$D$14,2,FALSE)</f>
        <v>Moderate Worsening</v>
      </c>
      <c r="BJ50" s="193">
        <f>VLOOKUP(BK50,Lookup!$G$121:$L$131,6,FALSE)</f>
        <v>-3</v>
      </c>
      <c r="BK50" s="181" t="s">
        <v>2647</v>
      </c>
      <c r="BL50" s="281" t="s">
        <v>3260</v>
      </c>
      <c r="BM50" s="181" t="str">
        <f>VLOOKUP(BN50,Lookup!$C$4:$D$14,2,FALSE)</f>
        <v>Moderate Improvement</v>
      </c>
      <c r="BN50" s="193">
        <f>VLOOKUP(BO50,Lookup!$G$134:$L$144,6,FALSE)</f>
        <v>3</v>
      </c>
      <c r="BO50" s="181" t="s">
        <v>2634</v>
      </c>
      <c r="BP50" s="281" t="s">
        <v>3360</v>
      </c>
      <c r="BQ50" s="181" t="str">
        <f>VLOOKUP(BR50,Lookup!$C$4:$D$14,2,FALSE)</f>
        <v>Slight to Moderate Improvement</v>
      </c>
      <c r="BR50" s="193">
        <f>VLOOKUP(BS50,Lookup!$G$147:$L$157,6,FALSE)</f>
        <v>2</v>
      </c>
      <c r="BS50" s="181" t="s">
        <v>2641</v>
      </c>
      <c r="BT50" s="281" t="s">
        <v>3452</v>
      </c>
      <c r="BU50" s="175" t="s">
        <v>2231</v>
      </c>
    </row>
    <row r="51" spans="1:73" ht="39.950000000000003" customHeight="1" thickBot="1" x14ac:dyDescent="0.25">
      <c r="A51" s="173">
        <f t="shared" si="4"/>
        <v>49</v>
      </c>
      <c r="B51" s="178" t="s">
        <v>679</v>
      </c>
      <c r="C51" s="179" t="s">
        <v>1603</v>
      </c>
      <c r="D51" s="180">
        <v>512</v>
      </c>
      <c r="E51" s="180" t="s">
        <v>3646</v>
      </c>
      <c r="F51" s="273" t="str">
        <f>VLOOKUP($D51,'Practice Descriptions'!$E$11:$F$186,2,FALSE)</f>
        <v>Establishing adapted and/or compatible species, varieties, or cultivars of herbaceous species suitable for pasture, hay, or biomass production.</v>
      </c>
      <c r="G51" s="182">
        <v>10</v>
      </c>
      <c r="H51" s="183">
        <v>90</v>
      </c>
      <c r="I51" s="184">
        <v>0</v>
      </c>
      <c r="J51" s="184">
        <v>0.01</v>
      </c>
      <c r="K51" s="419">
        <f>IF(E51="No.",1,IF(E51="Ac.",1,(SQRT(VLOOKUP(O51,Lookup!$F$9:$H$18,3,FALSE)))*208/VLOOKUP(O51,Lookup!$F$9:$H$18,3,FALSE)))</f>
        <v>1</v>
      </c>
      <c r="L51" s="185" t="str">
        <f t="shared" si="0"/>
        <v/>
      </c>
      <c r="M51" s="184">
        <v>0</v>
      </c>
      <c r="N51" s="186">
        <f>IF(G51=1,H51,PMT(Lookup!$G$4,G51,-H51)+(H51*J51)+(M51*P51))*K51</f>
        <v>12.626269251155746</v>
      </c>
      <c r="O51" s="181" t="s">
        <v>1260</v>
      </c>
      <c r="P51" s="186">
        <f>VLOOKUP($O51,Lookup!$F$9:$I$18,4,FALSE)</f>
        <v>50</v>
      </c>
      <c r="Q51" s="184">
        <v>0.25</v>
      </c>
      <c r="R51" s="183">
        <v>1</v>
      </c>
      <c r="S51" s="188" t="s">
        <v>3622</v>
      </c>
      <c r="T51" s="186">
        <f t="shared" si="2"/>
        <v>13.5</v>
      </c>
      <c r="U51" s="189">
        <f t="shared" si="3"/>
        <v>1.0691994390001052</v>
      </c>
      <c r="V51" s="189">
        <f t="shared" si="1"/>
        <v>6.666666666666667</v>
      </c>
      <c r="W51" s="190">
        <f>IF(P51=0,0,IF(Q51+R51=0,0,PV(Lookup!$G$4,G51,-T51)/H51))</f>
        <v>1.1512613015149245</v>
      </c>
      <c r="X51" s="190">
        <f>IF(I51=0,0,PMT(Lookup!$G$4,G51,-(H51*I51*K51))/P51)</f>
        <v>0</v>
      </c>
      <c r="Y51" s="42" t="s">
        <v>986</v>
      </c>
      <c r="Z51" s="192">
        <f>VLOOKUP(Y51,Lookup!$B$4:$C$14,2,FALSE)</f>
        <v>0</v>
      </c>
      <c r="AA51" s="281" t="s">
        <v>2759</v>
      </c>
      <c r="AB51" s="282" t="s">
        <v>1072</v>
      </c>
      <c r="AC51" s="181" t="str">
        <f>VLOOKUP(AD51,Lookup!$C$4:$D$14,2,FALSE)</f>
        <v>Moderate Worsening</v>
      </c>
      <c r="AD51" s="193">
        <f>IF(P51/H51&lt;Lookup!$F$33,-5,IF(P51/H51&lt;Lookup!$F$32,-4,IF(P51/H51&lt;Lookup!$F$31,-3,IF(P51/H51&lt;Lookup!$F$30,-2,IF(P51/H51&lt;Lookup!$F$29,-1,-5)))))</f>
        <v>-3</v>
      </c>
      <c r="AE51" s="194" t="str">
        <f>VLOOKUP(AD51,Lookup!$G$28:$J$33,2,FALSE)</f>
        <v>One-time practice implementation cost 1 to 2 times enterprise annual net income</v>
      </c>
      <c r="AF51" s="281" t="s">
        <v>1891</v>
      </c>
      <c r="AG51" s="181" t="str">
        <f>VLOOKUP(AH51,Lookup!$C$4:$D$14,2,FALSE)</f>
        <v>Slight Worsening</v>
      </c>
      <c r="AH51" s="193">
        <f>IF(J51&gt;Lookup!$F$43,-5,IF(J51&gt;Lookup!$F$42,-4,IF(J51&gt;Lookup!$F$41,-3,IF(J51&gt;Lookup!$F$40,-2,IF(J51&gt;Lookup!$F$39,-1,0)))))</f>
        <v>-1</v>
      </c>
      <c r="AI51" s="194" t="str">
        <f>VLOOKUP(AH51,Lookup!$G$38:$J$43,2,FALSE)</f>
        <v>Annual O&amp;M costs less than 1% of total installation costs</v>
      </c>
      <c r="AJ51" s="281" t="s">
        <v>2978</v>
      </c>
      <c r="AK51" s="181" t="str">
        <f>VLOOKUP(AL51,Lookup!$C$4:$D$14,2,FALSE)</f>
        <v>No Effect</v>
      </c>
      <c r="AL51" s="346">
        <f>IF(N51=0,0,IF(U51&lt;Lookup!$F$58,-5,IF(U51&lt;Lookup!$F$57,-4,IF(U51&lt;Lookup!$F$56,-3,IF(U51&lt;Lookup!$F$55,-2,IF(U51&lt;Lookup!$F$54,-1,IF(U51&lt;Lookup!$F$53,0,IF(U51&lt;Lookup!$F$52,1,IF(U51&lt;Lookup!$F$51,2,IF(U51&lt;Lookup!$F$50,3,IF(U51&lt;Lookup!$F$49,4,5)))))))))))</f>
        <v>0</v>
      </c>
      <c r="AM51" s="194" t="str">
        <f>VLOOKUP(AL51,Lookup!$G$48:$J$58,2,FALSE)</f>
        <v>B/C Ratio .75 to 1.25</v>
      </c>
      <c r="AN51" s="281" t="s">
        <v>3057</v>
      </c>
      <c r="AO51" s="181" t="str">
        <f>VLOOKUP(AP51,Lookup!$C$4:$D$14,2,FALSE)</f>
        <v>Moderate to Substantial Improvement</v>
      </c>
      <c r="AP51" s="193">
        <f>IF(Q51=0,0,IF(Q51&gt;Lookup!$F$63,5,IF(Q51&gt;Lookup!$F$64,4,IF(Q51&gt;Lookup!$F$65,3,IF(Q51&gt;Lookup!$F$66,2,IF(Q51&gt;Lookup!$F$67,1,IF(Q51&gt;Lookup!$F$69,-1,IF(Q51&gt;Lookup!$F$70,-2,IF(Q51&gt;Lookup!$F$71,-3,IF(Q51&gt;Lookup!$F$72,-4,-5))))))))))</f>
        <v>4</v>
      </c>
      <c r="AQ51" s="194" t="str">
        <f>VLOOKUP(AP51,Lookup!$G$63:$J$73,2,FALSE)</f>
        <v>25 to 50% yield increase</v>
      </c>
      <c r="AR51" s="281" t="s">
        <v>3091</v>
      </c>
      <c r="AS51" s="181" t="str">
        <f>VLOOKUP(AT51,Lookup!$C$4:$D$14,2,FALSE)</f>
        <v>Slight to Moderate Worsening</v>
      </c>
      <c r="AT51" s="193">
        <f>IF(V51=0,0,IF(V51&lt;Lookup!$F$79,5,IF(V51&lt;Lookup!$F$80,4,IF(V51&lt;Lookup!$F$81,3,IF(V51&lt;Lookup!$F$82,2,IF(V51&lt;Lookup!$F$83,1,IF(V51&lt;Lookup!$F$85,-1,IF(V51&lt;Lookup!$F$86,-2,IF(V51&lt;Lookup!$F$87,-3,IF(V51&lt;Lookup!$F$88,-4,-5))))))))))</f>
        <v>-2</v>
      </c>
      <c r="AU51" s="194" t="str">
        <f>VLOOKUP(AT51,Lookup!$G$79:$J$89,2,FALSE)</f>
        <v>6-7 years to breakeven</v>
      </c>
      <c r="AV51" s="345" t="str">
        <f>VLOOKUP(AT51,Lookup!$G$79:$J$89,4,FALSE)</f>
        <v>Annual benefits moderately greater than annual costs</v>
      </c>
      <c r="AW51" s="181" t="str">
        <f>VLOOKUP(AX51,Lookup!$C$4:$D$14,2,FALSE)</f>
        <v>Substantial Improvement</v>
      </c>
      <c r="AX51" s="193">
        <f>VLOOKUP(AY51,Lookup!$G$92:$J$97,4,FALSE)</f>
        <v>5</v>
      </c>
      <c r="AY51" s="181" t="s">
        <v>2657</v>
      </c>
      <c r="AZ51" s="281" t="s">
        <v>3164</v>
      </c>
      <c r="BA51" s="181" t="str">
        <f>VLOOKUP(BB51,Lookup!$C$4:$D$14,2,FALSE)</f>
        <v>Moderate Improvement</v>
      </c>
      <c r="BB51" s="193">
        <f>VLOOKUP(BC51,Lookup!$G$100:$K$110,5,FALSE)</f>
        <v>3</v>
      </c>
      <c r="BC51" s="181" t="s">
        <v>2644</v>
      </c>
      <c r="BD51" s="281" t="s">
        <v>1939</v>
      </c>
      <c r="BE51" s="181" t="str">
        <f>VLOOKUP(BF51,Lookup!$C$4:$D$14,2,FALSE)</f>
        <v>No Effect</v>
      </c>
      <c r="BF51" s="193">
        <f>IF(X51=0,0,IF(X51&gt;Lookup!$F$113,-5,IF(X51&gt;Lookup!$F$114,-4,IF(X51&gt;Lookup!$F$115,-3,IF(X51&gt;Lookup!$F$116,-2,IF(X51&gt;Lookup!$F$117,-1,0))))))</f>
        <v>0</v>
      </c>
      <c r="BG51" s="195" t="str">
        <f>VLOOKUP(BF51,Lookup!$G$113:$H$118,2,FALSE)</f>
        <v>No change in on-farm equipment</v>
      </c>
      <c r="BH51" s="281" t="s">
        <v>1849</v>
      </c>
      <c r="BI51" s="181" t="str">
        <f>VLOOKUP(BJ51,Lookup!$C$4:$D$14,2,FALSE)</f>
        <v>Slight to Moderate Improvement</v>
      </c>
      <c r="BJ51" s="193">
        <f>VLOOKUP(BK51,Lookup!$G$121:$L$131,6,FALSE)</f>
        <v>2</v>
      </c>
      <c r="BK51" s="181" t="s">
        <v>2633</v>
      </c>
      <c r="BL51" s="281" t="s">
        <v>3281</v>
      </c>
      <c r="BM51" s="181" t="str">
        <f>VLOOKUP(BN51,Lookup!$C$4:$D$14,2,FALSE)</f>
        <v>Slight Worsening</v>
      </c>
      <c r="BN51" s="193">
        <f>VLOOKUP(BO51,Lookup!$G$134:$L$144,6,FALSE)</f>
        <v>-1</v>
      </c>
      <c r="BO51" s="181" t="s">
        <v>3373</v>
      </c>
      <c r="BP51" s="281" t="s">
        <v>3390</v>
      </c>
      <c r="BQ51" s="181" t="str">
        <f>VLOOKUP(BR51,Lookup!$C$4:$D$14,2,FALSE)</f>
        <v>Slight to Moderate Improvement</v>
      </c>
      <c r="BR51" s="193">
        <f>VLOOKUP(BS51,Lookup!$G$147:$L$157,6,FALSE)</f>
        <v>2</v>
      </c>
      <c r="BS51" s="181" t="s">
        <v>2641</v>
      </c>
      <c r="BT51" s="281" t="s">
        <v>3539</v>
      </c>
      <c r="BU51" s="175" t="s">
        <v>2231</v>
      </c>
    </row>
    <row r="52" spans="1:73" ht="39.950000000000003" customHeight="1" thickBot="1" x14ac:dyDescent="0.25">
      <c r="A52" s="173">
        <f t="shared" si="4"/>
        <v>50</v>
      </c>
      <c r="B52" s="178" t="s">
        <v>623</v>
      </c>
      <c r="C52" s="179" t="s">
        <v>1468</v>
      </c>
      <c r="D52" s="180">
        <v>511</v>
      </c>
      <c r="E52" s="180" t="s">
        <v>3646</v>
      </c>
      <c r="F52" s="273" t="str">
        <f>VLOOKUP($D52,'Practice Descriptions'!$E$11:$F$186,2,FALSE)</f>
        <v>The timely cutting and removal or forages from the field as hay, green-chop, or ensilage.</v>
      </c>
      <c r="G52" s="182">
        <v>5</v>
      </c>
      <c r="H52" s="183">
        <v>6</v>
      </c>
      <c r="I52" s="184">
        <v>0</v>
      </c>
      <c r="J52" s="184">
        <v>0</v>
      </c>
      <c r="K52" s="419">
        <f>IF(E52="No.",1,IF(E52="Ac.",1,(SQRT(VLOOKUP(O52,Lookup!$F$9:$H$18,3,FALSE)))*208/VLOOKUP(O52,Lookup!$F$9:$H$18,3,FALSE)))</f>
        <v>1</v>
      </c>
      <c r="L52" s="185" t="str">
        <f t="shared" si="0"/>
        <v/>
      </c>
      <c r="M52" s="184">
        <v>0</v>
      </c>
      <c r="N52" s="186">
        <f>IF(G52=1,H52,PMT(Lookup!$G$4,G52,-H52)+(H52*J52)+(M52*P52))*K52</f>
        <v>1.3906408870866884</v>
      </c>
      <c r="O52" s="181" t="s">
        <v>1260</v>
      </c>
      <c r="P52" s="186">
        <f>VLOOKUP($O52,Lookup!$F$9:$I$18,4,FALSE)</f>
        <v>50</v>
      </c>
      <c r="Q52" s="184">
        <v>0.03</v>
      </c>
      <c r="R52" s="183">
        <v>0.5</v>
      </c>
      <c r="S52" s="188" t="s">
        <v>3618</v>
      </c>
      <c r="T52" s="186">
        <f t="shared" si="2"/>
        <v>2</v>
      </c>
      <c r="U52" s="189">
        <f t="shared" si="3"/>
        <v>1.438185816749487</v>
      </c>
      <c r="V52" s="189">
        <f t="shared" si="1"/>
        <v>3</v>
      </c>
      <c r="W52" s="190">
        <f>IF(P52=0,0,IF(Q52+R52=0,0,PV(Lookup!$G$4,G52,-T52)/H52))</f>
        <v>1.4381858167494872</v>
      </c>
      <c r="X52" s="190">
        <f>IF(I52=0,0,PMT(Lookup!$G$4,G52,-(H52*I52*K52))/P52)</f>
        <v>0</v>
      </c>
      <c r="Y52" s="42" t="s">
        <v>986</v>
      </c>
      <c r="Z52" s="192">
        <f>VLOOKUP(Y52,Lookup!$B$4:$C$14,2,FALSE)</f>
        <v>0</v>
      </c>
      <c r="AA52" s="281" t="s">
        <v>2759</v>
      </c>
      <c r="AB52" s="282" t="s">
        <v>1072</v>
      </c>
      <c r="AC52" s="181" t="str">
        <f>VLOOKUP(AD52,Lookup!$C$4:$D$14,2,FALSE)</f>
        <v>Slight to Moderate Worsening</v>
      </c>
      <c r="AD52" s="193">
        <f>IF(P52/H52&lt;Lookup!$F$33,-5,IF(P52/H52&lt;Lookup!$F$32,-4,IF(P52/H52&lt;Lookup!$F$31,-3,IF(P52/H52&lt;Lookup!$F$30,-2,IF(P52/H52&lt;Lookup!$F$29,-1,-5)))))</f>
        <v>-2</v>
      </c>
      <c r="AE52" s="194" t="str">
        <f>VLOOKUP(AD52,Lookup!$G$28:$J$33,2,FALSE)</f>
        <v>One-time practice implementation cost 5 to 100% of enterprise annual net income</v>
      </c>
      <c r="AF52" s="281" t="s">
        <v>1883</v>
      </c>
      <c r="AG52" s="181" t="str">
        <f>VLOOKUP(AH52,Lookup!$C$4:$D$14,2,FALSE)</f>
        <v>No Effect</v>
      </c>
      <c r="AH52" s="193">
        <f>IF(J52&gt;Lookup!$F$43,-5,IF(J52&gt;Lookup!$F$42,-4,IF(J52&gt;Lookup!$F$41,-3,IF(J52&gt;Lookup!$F$40,-2,IF(J52&gt;Lookup!$F$39,-1,0)))))</f>
        <v>0</v>
      </c>
      <c r="AI52" s="194" t="str">
        <f>VLOOKUP(AH52,Lookup!$G$38:$J$43,2,FALSE)</f>
        <v>No O&amp;M costs</v>
      </c>
      <c r="AJ52" s="281" t="s">
        <v>3005</v>
      </c>
      <c r="AK52" s="181" t="str">
        <f>VLOOKUP(AL52,Lookup!$C$4:$D$14,2,FALSE)</f>
        <v>Slight Improvement</v>
      </c>
      <c r="AL52" s="346">
        <f>IF(N52=0,0,IF(U52&lt;Lookup!$F$58,-5,IF(U52&lt;Lookup!$F$57,-4,IF(U52&lt;Lookup!$F$56,-3,IF(U52&lt;Lookup!$F$55,-2,IF(U52&lt;Lookup!$F$54,-1,IF(U52&lt;Lookup!$F$53,0,IF(U52&lt;Lookup!$F$52,1,IF(U52&lt;Lookup!$F$51,2,IF(U52&lt;Lookup!$F$50,3,IF(U52&lt;Lookup!$F$49,4,5)))))))))))</f>
        <v>1</v>
      </c>
      <c r="AM52" s="194" t="str">
        <f>VLOOKUP(AL52,Lookup!$G$48:$J$58,2,FALSE)</f>
        <v>B/C Ratio 1.25 to 1.50</v>
      </c>
      <c r="AN52" s="281" t="s">
        <v>3057</v>
      </c>
      <c r="AO52" s="181" t="str">
        <f>VLOOKUP(AP52,Lookup!$C$4:$D$14,2,FALSE)</f>
        <v>Slight Improvement</v>
      </c>
      <c r="AP52" s="193">
        <f>IF(Q52=0,0,IF(Q52&gt;Lookup!$F$63,5,IF(Q52&gt;Lookup!$F$64,4,IF(Q52&gt;Lookup!$F$65,3,IF(Q52&gt;Lookup!$F$66,2,IF(Q52&gt;Lookup!$F$67,1,IF(Q52&gt;Lookup!$F$69,-1,IF(Q52&gt;Lookup!$F$70,-2,IF(Q52&gt;Lookup!$F$71,-3,IF(Q52&gt;Lookup!$F$72,-4,-5))))))))))</f>
        <v>1</v>
      </c>
      <c r="AQ52" s="194" t="str">
        <f>VLOOKUP(AP52,Lookup!$G$63:$J$73,2,FALSE)</f>
        <v>5% or less yield increase</v>
      </c>
      <c r="AR52" s="281" t="s">
        <v>3090</v>
      </c>
      <c r="AS52" s="181" t="str">
        <f>VLOOKUP(AT52,Lookup!$C$4:$D$14,2,FALSE)</f>
        <v>Slight to Moderate Improvement</v>
      </c>
      <c r="AT52" s="193">
        <f>IF(V52=0,0,IF(V52&lt;Lookup!$F$79,5,IF(V52&lt;Lookup!$F$80,4,IF(V52&lt;Lookup!$F$81,3,IF(V52&lt;Lookup!$F$82,2,IF(V52&lt;Lookup!$F$83,1,IF(V52&lt;Lookup!$F$85,-1,IF(V52&lt;Lookup!$F$86,-2,IF(V52&lt;Lookup!$F$87,-3,IF(V52&lt;Lookup!$F$88,-4,-5))))))))))</f>
        <v>2</v>
      </c>
      <c r="AU52" s="194" t="str">
        <f>VLOOKUP(AT52,Lookup!$G$79:$J$89,2,FALSE)</f>
        <v>3-4 years to breakeven</v>
      </c>
      <c r="AV52" s="345" t="str">
        <f>VLOOKUP(AT52,Lookup!$G$79:$J$89,4,FALSE)</f>
        <v>Annual benefits moderately greater than annual costs</v>
      </c>
      <c r="AW52" s="181" t="str">
        <f>VLOOKUP(AX52,Lookup!$C$4:$D$14,2,FALSE)</f>
        <v>No Effect</v>
      </c>
      <c r="AX52" s="193">
        <f>VLOOKUP(AY52,Lookup!$G$92:$J$97,4,FALSE)</f>
        <v>0</v>
      </c>
      <c r="AY52" s="181" t="s">
        <v>2642</v>
      </c>
      <c r="AZ52" s="281" t="s">
        <v>3154</v>
      </c>
      <c r="BA52" s="181" t="str">
        <f>VLOOKUP(BB52,Lookup!$C$4:$D$14,2,FALSE)</f>
        <v>No Effect</v>
      </c>
      <c r="BB52" s="193">
        <f>VLOOKUP(BC52,Lookup!$G$100:$K$110,5,FALSE)</f>
        <v>0</v>
      </c>
      <c r="BC52" s="181" t="s">
        <v>2643</v>
      </c>
      <c r="BD52" s="281" t="s">
        <v>3154</v>
      </c>
      <c r="BE52" s="181" t="str">
        <f>VLOOKUP(BF52,Lookup!$C$4:$D$14,2,FALSE)</f>
        <v>No Effect</v>
      </c>
      <c r="BF52" s="193">
        <f>IF(X52=0,0,IF(X52&gt;Lookup!$F$113,-5,IF(X52&gt;Lookup!$F$114,-4,IF(X52&gt;Lookup!$F$115,-3,IF(X52&gt;Lookup!$F$116,-2,IF(X52&gt;Lookup!$F$117,-1,0))))))</f>
        <v>0</v>
      </c>
      <c r="BG52" s="195" t="str">
        <f>VLOOKUP(BF52,Lookup!$G$113:$H$118,2,FALSE)</f>
        <v>No change in on-farm equipment</v>
      </c>
      <c r="BH52" s="281" t="s">
        <v>1849</v>
      </c>
      <c r="BI52" s="181" t="str">
        <f>VLOOKUP(BJ52,Lookup!$C$4:$D$14,2,FALSE)</f>
        <v>Slight Worsening</v>
      </c>
      <c r="BJ52" s="193">
        <f>VLOOKUP(BK52,Lookup!$G$121:$L$131,6,FALSE)</f>
        <v>-1</v>
      </c>
      <c r="BK52" s="181" t="s">
        <v>2640</v>
      </c>
      <c r="BL52" s="281" t="s">
        <v>3282</v>
      </c>
      <c r="BM52" s="181" t="str">
        <f>VLOOKUP(BN52,Lookup!$C$4:$D$14,2,FALSE)</f>
        <v>Slight to Moderate Worsening</v>
      </c>
      <c r="BN52" s="193">
        <f>VLOOKUP(BO52,Lookup!$G$134:$L$144,6,FALSE)</f>
        <v>-2</v>
      </c>
      <c r="BO52" s="181" t="s">
        <v>3374</v>
      </c>
      <c r="BP52" s="281" t="s">
        <v>3392</v>
      </c>
      <c r="BQ52" s="181" t="str">
        <f>VLOOKUP(BR52,Lookup!$C$4:$D$14,2,FALSE)</f>
        <v>Slight Worsening</v>
      </c>
      <c r="BR52" s="193">
        <f>VLOOKUP(BS52,Lookup!$G$147:$L$157,6,FALSE)</f>
        <v>-1</v>
      </c>
      <c r="BS52" s="181" t="s">
        <v>2658</v>
      </c>
      <c r="BT52" s="281" t="s">
        <v>3453</v>
      </c>
      <c r="BU52" s="175" t="s">
        <v>2231</v>
      </c>
    </row>
    <row r="53" spans="1:73" ht="39.950000000000003" customHeight="1" thickBot="1" x14ac:dyDescent="0.25">
      <c r="A53" s="173">
        <f t="shared" si="4"/>
        <v>51</v>
      </c>
      <c r="B53" s="178" t="s">
        <v>624</v>
      </c>
      <c r="C53" s="179" t="s">
        <v>1598</v>
      </c>
      <c r="D53" s="180">
        <v>666</v>
      </c>
      <c r="E53" s="180" t="s">
        <v>3646</v>
      </c>
      <c r="F53" s="273" t="str">
        <f>VLOOKUP($D53,'Practice Descriptions'!$E$11:$F$186,2,FALSE)</f>
        <v>The manipulation of species composition, stand structure, and stocking by cutting or killing selected trees and understory vegetation.</v>
      </c>
      <c r="G53" s="182">
        <v>10</v>
      </c>
      <c r="H53" s="183">
        <v>300</v>
      </c>
      <c r="I53" s="184">
        <v>0</v>
      </c>
      <c r="J53" s="184">
        <v>0</v>
      </c>
      <c r="K53" s="419">
        <f>IF(E53="No.",1,IF(E53="Ac.",1,(SQRT(VLOOKUP(O53,Lookup!$F$9:$H$18,3,FALSE)))*208/VLOOKUP(O53,Lookup!$F$9:$H$18,3,FALSE)))</f>
        <v>1</v>
      </c>
      <c r="L53" s="185" t="str">
        <f t="shared" si="0"/>
        <v/>
      </c>
      <c r="M53" s="184">
        <v>0</v>
      </c>
      <c r="N53" s="186">
        <f>IF(G53=1,H53,PMT(Lookup!$G$4,G53,-H53)+(H53*J53)+(M53*P53))*K53</f>
        <v>39.087564170519151</v>
      </c>
      <c r="O53" s="187" t="s">
        <v>301</v>
      </c>
      <c r="P53" s="186">
        <f>VLOOKUP($O53,Lookup!$F$9:$I$18,4,FALSE)</f>
        <v>100</v>
      </c>
      <c r="Q53" s="184">
        <v>0.3</v>
      </c>
      <c r="R53" s="183">
        <v>10</v>
      </c>
      <c r="S53" s="188" t="s">
        <v>3623</v>
      </c>
      <c r="T53" s="186">
        <f t="shared" si="2"/>
        <v>40</v>
      </c>
      <c r="U53" s="189">
        <f t="shared" si="3"/>
        <v>1.0233433791243771</v>
      </c>
      <c r="V53" s="189">
        <f t="shared" si="1"/>
        <v>7.5</v>
      </c>
      <c r="W53" s="190">
        <f>IF(P53=0,0,IF(Q53+R53=0,0,PV(Lookup!$G$4,G53,-T53)/H53))</f>
        <v>1.0233433791243773</v>
      </c>
      <c r="X53" s="190">
        <f>IF(I53=0,0,PMT(Lookup!$G$4,G53,-(H53*I53*K53))/P53)</f>
        <v>0</v>
      </c>
      <c r="Y53" s="42" t="s">
        <v>963</v>
      </c>
      <c r="Z53" s="192">
        <f>VLOOKUP(Y53,Lookup!$B$4:$C$14,2,FALSE)</f>
        <v>2</v>
      </c>
      <c r="AA53" s="281" t="s">
        <v>227</v>
      </c>
      <c r="AB53" s="282" t="s">
        <v>1072</v>
      </c>
      <c r="AC53" s="181" t="str">
        <f>VLOOKUP(AD53,Lookup!$C$4:$D$14,2,FALSE)</f>
        <v>Moderate to Substantial Worsening</v>
      </c>
      <c r="AD53" s="193">
        <f>IF(P53/H53&lt;Lookup!$F$33,-5,IF(P53/H53&lt;Lookup!$F$32,-4,IF(P53/H53&lt;Lookup!$F$31,-3,IF(P53/H53&lt;Lookup!$F$30,-2,IF(P53/H53&lt;Lookup!$F$29,-1,-5)))))</f>
        <v>-4</v>
      </c>
      <c r="AE53" s="194" t="str">
        <f>VLOOKUP(AD53,Lookup!$G$28:$J$33,2,FALSE)</f>
        <v>One-time practice implementation cost 2 to 5 times enterprise annual net income</v>
      </c>
      <c r="AF53" s="281" t="s">
        <v>2960</v>
      </c>
      <c r="AG53" s="181" t="str">
        <f>VLOOKUP(AH53,Lookup!$C$4:$D$14,2,FALSE)</f>
        <v>No Effect</v>
      </c>
      <c r="AH53" s="193">
        <f>IF(J53&gt;Lookup!$F$43,-5,IF(J53&gt;Lookup!$F$42,-4,IF(J53&gt;Lookup!$F$41,-3,IF(J53&gt;Lookup!$F$40,-2,IF(J53&gt;Lookup!$F$39,-1,0)))))</f>
        <v>0</v>
      </c>
      <c r="AI53" s="194" t="str">
        <f>VLOOKUP(AH53,Lookup!$G$38:$J$43,2,FALSE)</f>
        <v>No O&amp;M costs</v>
      </c>
      <c r="AJ53" s="281" t="s">
        <v>3005</v>
      </c>
      <c r="AK53" s="181" t="str">
        <f>VLOOKUP(AL53,Lookup!$C$4:$D$14,2,FALSE)</f>
        <v>No Effect</v>
      </c>
      <c r="AL53" s="346">
        <f>IF(N53=0,0,IF(U53&lt;Lookup!$F$58,-5,IF(U53&lt;Lookup!$F$57,-4,IF(U53&lt;Lookup!$F$56,-3,IF(U53&lt;Lookup!$F$55,-2,IF(U53&lt;Lookup!$F$54,-1,IF(U53&lt;Lookup!$F$53,0,IF(U53&lt;Lookup!$F$52,1,IF(U53&lt;Lookup!$F$51,2,IF(U53&lt;Lookup!$F$50,3,IF(U53&lt;Lookup!$F$49,4,5)))))))))))</f>
        <v>0</v>
      </c>
      <c r="AM53" s="194" t="str">
        <f>VLOOKUP(AL53,Lookup!$G$48:$J$58,2,FALSE)</f>
        <v>B/C Ratio .75 to 1.25</v>
      </c>
      <c r="AN53" s="281" t="s">
        <v>3540</v>
      </c>
      <c r="AO53" s="181" t="str">
        <f>VLOOKUP(AP53,Lookup!$C$4:$D$14,2,FALSE)</f>
        <v>Moderate to Substantial Improvement</v>
      </c>
      <c r="AP53" s="193">
        <f>IF(Q53=0,0,IF(Q53&gt;Lookup!$F$63,5,IF(Q53&gt;Lookup!$F$64,4,IF(Q53&gt;Lookup!$F$65,3,IF(Q53&gt;Lookup!$F$66,2,IF(Q53&gt;Lookup!$F$67,1,IF(Q53&gt;Lookup!$F$69,-1,IF(Q53&gt;Lookup!$F$70,-2,IF(Q53&gt;Lookup!$F$71,-3,IF(Q53&gt;Lookup!$F$72,-4,-5))))))))))</f>
        <v>4</v>
      </c>
      <c r="AQ53" s="194" t="str">
        <f>VLOOKUP(AP53,Lookup!$G$63:$J$73,2,FALSE)</f>
        <v>25 to 50% yield increase</v>
      </c>
      <c r="AR53" s="281" t="s">
        <v>3089</v>
      </c>
      <c r="AS53" s="181" t="str">
        <f>VLOOKUP(AT53,Lookup!$C$4:$D$14,2,FALSE)</f>
        <v>Moderate Worsening</v>
      </c>
      <c r="AT53" s="193">
        <f>IF(V53=0,0,IF(V53&lt;Lookup!$F$79,5,IF(V53&lt;Lookup!$F$80,4,IF(V53&lt;Lookup!$F$81,3,IF(V53&lt;Lookup!$F$82,2,IF(V53&lt;Lookup!$F$83,1,IF(V53&lt;Lookup!$F$85,-1,IF(V53&lt;Lookup!$F$86,-2,IF(V53&lt;Lookup!$F$87,-3,IF(V53&lt;Lookup!$F$88,-4,-5))))))))))</f>
        <v>-3</v>
      </c>
      <c r="AU53" s="194" t="str">
        <f>VLOOKUP(AT53,Lookup!$G$79:$J$89,2,FALSE)</f>
        <v>7-8 years to breakeven</v>
      </c>
      <c r="AV53" s="345" t="str">
        <f>VLOOKUP(AT53,Lookup!$G$79:$J$89,4,FALSE)</f>
        <v>Annual benefits slightly greater than annual costs</v>
      </c>
      <c r="AW53" s="181" t="str">
        <f>VLOOKUP(AX53,Lookup!$C$4:$D$14,2,FALSE)</f>
        <v>No Effect</v>
      </c>
      <c r="AX53" s="193">
        <f>VLOOKUP(AY53,Lookup!$G$92:$J$97,4,FALSE)</f>
        <v>0</v>
      </c>
      <c r="AY53" s="181" t="s">
        <v>2642</v>
      </c>
      <c r="AZ53" s="281" t="s">
        <v>3154</v>
      </c>
      <c r="BA53" s="181" t="str">
        <f>VLOOKUP(BB53,Lookup!$C$4:$D$14,2,FALSE)</f>
        <v>Moderate Improvement</v>
      </c>
      <c r="BB53" s="193">
        <f>VLOOKUP(BC53,Lookup!$G$100:$K$110,5,FALSE)</f>
        <v>3</v>
      </c>
      <c r="BC53" s="181" t="s">
        <v>2644</v>
      </c>
      <c r="BD53" s="281" t="s">
        <v>3196</v>
      </c>
      <c r="BE53" s="181" t="str">
        <f>VLOOKUP(BF53,Lookup!$C$4:$D$14,2,FALSE)</f>
        <v>No Effect</v>
      </c>
      <c r="BF53" s="193">
        <f>IF(X53=0,0,IF(X53&gt;Lookup!$F$113,-5,IF(X53&gt;Lookup!$F$114,-4,IF(X53&gt;Lookup!$F$115,-3,IF(X53&gt;Lookup!$F$116,-2,IF(X53&gt;Lookup!$F$117,-1,0))))))</f>
        <v>0</v>
      </c>
      <c r="BG53" s="195" t="str">
        <f>VLOOKUP(BF53,Lookup!$G$113:$H$118,2,FALSE)</f>
        <v>No change in on-farm equipment</v>
      </c>
      <c r="BH53" s="281" t="s">
        <v>3249</v>
      </c>
      <c r="BI53" s="181" t="str">
        <f>VLOOKUP(BJ53,Lookup!$C$4:$D$14,2,FALSE)</f>
        <v>Slight Worsening</v>
      </c>
      <c r="BJ53" s="193">
        <f>VLOOKUP(BK53,Lookup!$G$121:$L$131,6,FALSE)</f>
        <v>-1</v>
      </c>
      <c r="BK53" s="181" t="s">
        <v>2640</v>
      </c>
      <c r="BL53" s="281" t="s">
        <v>3283</v>
      </c>
      <c r="BM53" s="181" t="str">
        <f>VLOOKUP(BN53,Lookup!$C$4:$D$14,2,FALSE)</f>
        <v>Slight to Moderate Worsening</v>
      </c>
      <c r="BN53" s="193">
        <f>VLOOKUP(BO53,Lookup!$G$134:$L$144,6,FALSE)</f>
        <v>-2</v>
      </c>
      <c r="BO53" s="181" t="s">
        <v>3374</v>
      </c>
      <c r="BP53" s="281" t="s">
        <v>3393</v>
      </c>
      <c r="BQ53" s="181" t="str">
        <f>VLOOKUP(BR53,Lookup!$C$4:$D$14,2,FALSE)</f>
        <v>Slight to Moderate Improvement</v>
      </c>
      <c r="BR53" s="193">
        <f>VLOOKUP(BS53,Lookup!$G$147:$L$157,6,FALSE)</f>
        <v>2</v>
      </c>
      <c r="BS53" s="181" t="s">
        <v>2641</v>
      </c>
      <c r="BT53" s="281" t="s">
        <v>3454</v>
      </c>
      <c r="BU53" s="175" t="s">
        <v>2231</v>
      </c>
    </row>
    <row r="54" spans="1:73" ht="39.950000000000003" customHeight="1" thickBot="1" x14ac:dyDescent="0.25">
      <c r="A54" s="173">
        <f t="shared" si="4"/>
        <v>52</v>
      </c>
      <c r="B54" s="178" t="s">
        <v>625</v>
      </c>
      <c r="C54" s="179" t="s">
        <v>1469</v>
      </c>
      <c r="D54" s="180">
        <v>655</v>
      </c>
      <c r="E54" s="180" t="s">
        <v>3646</v>
      </c>
      <c r="F54" s="273" t="str">
        <f>VLOOKUP($D54,'Practice Descriptions'!$E$11:$F$186,2,FALSE)</f>
        <v>A temporary or infrequently used route, path or cleared area.</v>
      </c>
      <c r="G54" s="182">
        <v>5</v>
      </c>
      <c r="H54" s="183">
        <v>500</v>
      </c>
      <c r="I54" s="184">
        <v>0</v>
      </c>
      <c r="J54" s="184">
        <v>0.02</v>
      </c>
      <c r="K54" s="419">
        <f>IF(E54="No.",1,IF(E54="Ac.",1,(SQRT(VLOOKUP(O54,Lookup!$F$9:$H$18,3,FALSE)))*208/VLOOKUP(O54,Lookup!$F$9:$H$18,3,FALSE)))</f>
        <v>1</v>
      </c>
      <c r="L54" s="185" t="str">
        <f t="shared" si="0"/>
        <v/>
      </c>
      <c r="M54" s="184">
        <v>0</v>
      </c>
      <c r="N54" s="186">
        <f>IF(G54=1,H54,PMT(Lookup!$G$4,G54,-H54)+(H54*J54)+(M54*P54))*K54</f>
        <v>125.88674059055735</v>
      </c>
      <c r="O54" s="187" t="s">
        <v>301</v>
      </c>
      <c r="P54" s="186">
        <f>VLOOKUP($O54,Lookup!$F$9:$I$18,4,FALSE)</f>
        <v>100</v>
      </c>
      <c r="Q54" s="184">
        <v>0</v>
      </c>
      <c r="R54" s="183">
        <v>2</v>
      </c>
      <c r="S54" s="188" t="s">
        <v>2662</v>
      </c>
      <c r="T54" s="186">
        <f t="shared" si="2"/>
        <v>2</v>
      </c>
      <c r="U54" s="189">
        <f t="shared" si="3"/>
        <v>1.5887296713042533E-2</v>
      </c>
      <c r="V54" s="189">
        <f t="shared" si="1"/>
        <v>0</v>
      </c>
      <c r="W54" s="190">
        <f>IF(P54=0,0,IF(Q54+R54=0,0,PV(Lookup!$G$4,G54,-T54)/H54))</f>
        <v>1.7258229800993844E-2</v>
      </c>
      <c r="X54" s="190">
        <f>IF(I54=0,0,PMT(Lookup!$G$4,G54,-(H54*I54*K54))/P54)</f>
        <v>0</v>
      </c>
      <c r="Y54" s="42" t="s">
        <v>986</v>
      </c>
      <c r="Z54" s="192">
        <f>VLOOKUP(Y54,Lookup!$B$4:$C$14,2,FALSE)</f>
        <v>0</v>
      </c>
      <c r="AA54" s="281" t="s">
        <v>1885</v>
      </c>
      <c r="AB54" s="282" t="s">
        <v>1072</v>
      </c>
      <c r="AC54" s="181" t="str">
        <f>VLOOKUP(AD54,Lookup!$C$4:$D$14,2,FALSE)</f>
        <v>Moderate to Substantial Worsening</v>
      </c>
      <c r="AD54" s="193">
        <f>IF(P54/H54&lt;Lookup!$F$33,-5,IF(P54/H54&lt;Lookup!$F$32,-4,IF(P54/H54&lt;Lookup!$F$31,-3,IF(P54/H54&lt;Lookup!$F$30,-2,IF(P54/H54&lt;Lookup!$F$29,-1,-5)))))</f>
        <v>-4</v>
      </c>
      <c r="AE54" s="194" t="str">
        <f>VLOOKUP(AD54,Lookup!$G$28:$J$33,2,FALSE)</f>
        <v>One-time practice implementation cost 2 to 5 times enterprise annual net income</v>
      </c>
      <c r="AF54" s="281" t="s">
        <v>2960</v>
      </c>
      <c r="AG54" s="181" t="str">
        <f>VLOOKUP(AH54,Lookup!$C$4:$D$14,2,FALSE)</f>
        <v>Slight to Moderate Worsening</v>
      </c>
      <c r="AH54" s="193">
        <f>IF(J54&gt;Lookup!$F$43,-5,IF(J54&gt;Lookup!$F$42,-4,IF(J54&gt;Lookup!$F$41,-3,IF(J54&gt;Lookup!$F$40,-2,IF(J54&gt;Lookup!$F$39,-1,0)))))</f>
        <v>-2</v>
      </c>
      <c r="AI54" s="194" t="str">
        <f>VLOOKUP(AH54,Lookup!$G$38:$J$43,2,FALSE)</f>
        <v>Annual O&amp;M costs 1 to 2% of total installation costs</v>
      </c>
      <c r="AJ54" s="281" t="s">
        <v>3005</v>
      </c>
      <c r="AK54" s="181" t="str">
        <f>VLOOKUP(AL54,Lookup!$C$4:$D$14,2,FALSE)</f>
        <v>Substantial Worsening</v>
      </c>
      <c r="AL54" s="346">
        <f>IF(N54=0,0,IF(U54&lt;Lookup!$F$58,-5,IF(U54&lt;Lookup!$F$57,-4,IF(U54&lt;Lookup!$F$56,-3,IF(U54&lt;Lookup!$F$55,-2,IF(U54&lt;Lookup!$F$54,-1,IF(U54&lt;Lookup!$F$53,0,IF(U54&lt;Lookup!$F$52,1,IF(U54&lt;Lookup!$F$51,2,IF(U54&lt;Lookup!$F$50,3,IF(U54&lt;Lookup!$F$49,4,5)))))))))))</f>
        <v>-5</v>
      </c>
      <c r="AM54" s="194" t="str">
        <f>VLOOKUP(AL54,Lookup!$G$48:$J$58,2,FALSE)</f>
        <v>B/C Ratio less than .02</v>
      </c>
      <c r="AN54" s="281" t="s">
        <v>3040</v>
      </c>
      <c r="AO54" s="181" t="str">
        <f>VLOOKUP(AP54,Lookup!$C$4:$D$14,2,FALSE)</f>
        <v>No Effect</v>
      </c>
      <c r="AP54" s="193">
        <f>IF(Q54=0,0,IF(Q54&gt;Lookup!$F$63,5,IF(Q54&gt;Lookup!$F$64,4,IF(Q54&gt;Lookup!$F$65,3,IF(Q54&gt;Lookup!$F$66,2,IF(Q54&gt;Lookup!$F$67,1,IF(Q54&gt;Lookup!$F$69,-1,IF(Q54&gt;Lookup!$F$70,-2,IF(Q54&gt;Lookup!$F$71,-3,IF(Q54&gt;Lookup!$F$72,-4,-5))))))))))</f>
        <v>0</v>
      </c>
      <c r="AQ54" s="194" t="str">
        <f>VLOOKUP(AP54,Lookup!$G$63:$J$73,2,FALSE)</f>
        <v>No change in yield</v>
      </c>
      <c r="AR54" s="281" t="s">
        <v>3081</v>
      </c>
      <c r="AS54" s="181" t="str">
        <f>VLOOKUP(AT54,Lookup!$C$4:$D$14,2,FALSE)</f>
        <v>No Effect</v>
      </c>
      <c r="AT54" s="193">
        <f>IF(V54=0,0,IF(V54&lt;Lookup!$F$79,5,IF(V54&lt;Lookup!$F$80,4,IF(V54&lt;Lookup!$F$81,3,IF(V54&lt;Lookup!$F$82,2,IF(V54&lt;Lookup!$F$83,1,IF(V54&lt;Lookup!$F$85,-1,IF(V54&lt;Lookup!$F$86,-2,IF(V54&lt;Lookup!$F$87,-3,IF(V54&lt;Lookup!$F$88,-4,-5))))))))))</f>
        <v>0</v>
      </c>
      <c r="AU54" s="194" t="str">
        <f>VLOOKUP(AT54,Lookup!$G$79:$J$89,2,FALSE)</f>
        <v>No breakeven</v>
      </c>
      <c r="AV54" s="345" t="str">
        <f>VLOOKUP(AT54,Lookup!$G$79:$J$89,4,FALSE)</f>
        <v>Annual costs greater than annual benefits</v>
      </c>
      <c r="AW54" s="181" t="str">
        <f>VLOOKUP(AX54,Lookup!$C$4:$D$14,2,FALSE)</f>
        <v>Slight Improvement</v>
      </c>
      <c r="AX54" s="193">
        <f>VLOOKUP(AY54,Lookup!$G$92:$J$97,4,FALSE)</f>
        <v>1</v>
      </c>
      <c r="AY54" s="181" t="s">
        <v>2636</v>
      </c>
      <c r="AZ54" s="281" t="s">
        <v>3165</v>
      </c>
      <c r="BA54" s="181" t="str">
        <f>VLOOKUP(BB54,Lookup!$C$4:$D$14,2,FALSE)</f>
        <v>Slight Worsening</v>
      </c>
      <c r="BB54" s="193">
        <f>VLOOKUP(BC54,Lookup!$G$100:$K$110,5,FALSE)</f>
        <v>-1</v>
      </c>
      <c r="BC54" s="181" t="s">
        <v>2637</v>
      </c>
      <c r="BD54" s="281" t="s">
        <v>3197</v>
      </c>
      <c r="BE54" s="181" t="str">
        <f>VLOOKUP(BF54,Lookup!$C$4:$D$14,2,FALSE)</f>
        <v>No Effect</v>
      </c>
      <c r="BF54" s="193">
        <f>IF(X54=0,0,IF(X54&gt;Lookup!$F$113,-5,IF(X54&gt;Lookup!$F$114,-4,IF(X54&gt;Lookup!$F$115,-3,IF(X54&gt;Lookup!$F$116,-2,IF(X54&gt;Lookup!$F$117,-1,0))))))</f>
        <v>0</v>
      </c>
      <c r="BG54" s="195" t="str">
        <f>VLOOKUP(BF54,Lookup!$G$113:$H$118,2,FALSE)</f>
        <v>No change in on-farm equipment</v>
      </c>
      <c r="BH54" s="281" t="s">
        <v>3231</v>
      </c>
      <c r="BI54" s="181" t="str">
        <f>VLOOKUP(BJ54,Lookup!$C$4:$D$14,2,FALSE)</f>
        <v>Slight Improvement</v>
      </c>
      <c r="BJ54" s="193">
        <f>VLOOKUP(BK54,Lookup!$G$121:$L$131,6,FALSE)</f>
        <v>1</v>
      </c>
      <c r="BK54" s="181" t="s">
        <v>2638</v>
      </c>
      <c r="BL54" s="281" t="s">
        <v>1886</v>
      </c>
      <c r="BM54" s="181" t="str">
        <f>VLOOKUP(BN54,Lookup!$C$4:$D$14,2,FALSE)</f>
        <v>Slight Worsening</v>
      </c>
      <c r="BN54" s="193">
        <f>VLOOKUP(BO54,Lookup!$G$134:$L$144,6,FALSE)</f>
        <v>-1</v>
      </c>
      <c r="BO54" s="181" t="s">
        <v>3373</v>
      </c>
      <c r="BP54" s="281" t="s">
        <v>3393</v>
      </c>
      <c r="BQ54" s="181" t="str">
        <f>VLOOKUP(BR54,Lookup!$C$4:$D$14,2,FALSE)</f>
        <v>Moderate to Substantial Improvement</v>
      </c>
      <c r="BR54" s="193">
        <f>VLOOKUP(BS54,Lookup!$G$147:$L$157,6,FALSE)</f>
        <v>4</v>
      </c>
      <c r="BS54" s="181" t="s">
        <v>2645</v>
      </c>
      <c r="BT54" s="281" t="s">
        <v>3455</v>
      </c>
      <c r="BU54" s="175" t="s">
        <v>2231</v>
      </c>
    </row>
    <row r="55" spans="1:73" ht="39.950000000000003" customHeight="1" thickBot="1" x14ac:dyDescent="0.25">
      <c r="A55" s="173">
        <f t="shared" si="4"/>
        <v>53</v>
      </c>
      <c r="B55" s="178" t="s">
        <v>626</v>
      </c>
      <c r="C55" s="179" t="s">
        <v>1598</v>
      </c>
      <c r="D55" s="180">
        <v>383</v>
      </c>
      <c r="E55" s="180" t="s">
        <v>3646</v>
      </c>
      <c r="F55" s="273" t="str">
        <f>VLOOKUP($D55,'Practice Descriptions'!$E$11:$F$186,2,FALSE)</f>
        <v>A strip or block of land on which the vegetation, debris and detritus have been reduced and/or modified to control or diminish the risk of the spread of fire crossing the strip or block of land.</v>
      </c>
      <c r="G55" s="182">
        <v>1</v>
      </c>
      <c r="H55" s="183">
        <v>70</v>
      </c>
      <c r="I55" s="184">
        <v>0.25</v>
      </c>
      <c r="J55" s="184">
        <v>0</v>
      </c>
      <c r="K55" s="419">
        <f>IF(E55="No.",1,IF(E55="Ac.",1,(SQRT(VLOOKUP(O55,Lookup!$F$9:$H$18,3,FALSE)))*208/VLOOKUP(O55,Lookup!$F$9:$H$18,3,FALSE)))</f>
        <v>1</v>
      </c>
      <c r="L55" s="185" t="str">
        <f t="shared" si="0"/>
        <v/>
      </c>
      <c r="M55" s="184">
        <v>0</v>
      </c>
      <c r="N55" s="186">
        <f>IF(G55=1,H55,PMT(Lookup!$G$4,G55,-H55)+(H55*J55)+(M55*P55))*K55</f>
        <v>70</v>
      </c>
      <c r="O55" s="187" t="s">
        <v>301</v>
      </c>
      <c r="P55" s="186">
        <f>VLOOKUP($O55,Lookup!$F$9:$I$18,4,FALSE)</f>
        <v>100</v>
      </c>
      <c r="Q55" s="184">
        <v>0</v>
      </c>
      <c r="R55" s="183">
        <v>1</v>
      </c>
      <c r="S55" s="188" t="s">
        <v>3591</v>
      </c>
      <c r="T55" s="186">
        <f t="shared" si="2"/>
        <v>1</v>
      </c>
      <c r="U55" s="189">
        <f t="shared" si="3"/>
        <v>1.4285714285714285E-2</v>
      </c>
      <c r="V55" s="189">
        <f t="shared" si="1"/>
        <v>0</v>
      </c>
      <c r="W55" s="190">
        <f>IF(P55=0,0,IF(Q55+R55=0,0,PV(Lookup!$G$4,G55,-T55)/H55))</f>
        <v>1.3589264481059968E-2</v>
      </c>
      <c r="X55" s="190">
        <f>IF(I55=0,0,PMT(Lookup!$G$4,G55,-(H55*I55*K55))/P55)</f>
        <v>0.18396875000000004</v>
      </c>
      <c r="Y55" s="42" t="s">
        <v>963</v>
      </c>
      <c r="Z55" s="192">
        <f>VLOOKUP(Y55,Lookup!$B$4:$C$14,2,FALSE)</f>
        <v>2</v>
      </c>
      <c r="AA55" s="281" t="s">
        <v>1769</v>
      </c>
      <c r="AB55" s="282" t="s">
        <v>1072</v>
      </c>
      <c r="AC55" s="181" t="str">
        <f>VLOOKUP(AD55,Lookup!$C$4:$D$14,2,FALSE)</f>
        <v>Slight to Moderate Worsening</v>
      </c>
      <c r="AD55" s="193">
        <f>IF(P55/H55&lt;Lookup!$F$33,-5,IF(P55/H55&lt;Lookup!$F$32,-4,IF(P55/H55&lt;Lookup!$F$31,-3,IF(P55/H55&lt;Lookup!$F$30,-2,IF(P55/H55&lt;Lookup!$F$29,-1,-5)))))</f>
        <v>-2</v>
      </c>
      <c r="AE55" s="194" t="str">
        <f>VLOOKUP(AD55,Lookup!$G$28:$J$33,2,FALSE)</f>
        <v>One-time practice implementation cost 5 to 100% of enterprise annual net income</v>
      </c>
      <c r="AF55" s="281" t="s">
        <v>2960</v>
      </c>
      <c r="AG55" s="181" t="str">
        <f>VLOOKUP(AH55,Lookup!$C$4:$D$14,2,FALSE)</f>
        <v>No Effect</v>
      </c>
      <c r="AH55" s="193">
        <f>IF(J55&gt;Lookup!$F$43,-5,IF(J55&gt;Lookup!$F$42,-4,IF(J55&gt;Lookup!$F$41,-3,IF(J55&gt;Lookup!$F$40,-2,IF(J55&gt;Lookup!$F$39,-1,0)))))</f>
        <v>0</v>
      </c>
      <c r="AI55" s="194" t="str">
        <f>VLOOKUP(AH55,Lookup!$G$38:$J$43,2,FALSE)</f>
        <v>No O&amp;M costs</v>
      </c>
      <c r="AJ55" s="281" t="s">
        <v>3005</v>
      </c>
      <c r="AK55" s="181" t="str">
        <f>VLOOKUP(AL55,Lookup!$C$4:$D$14,2,FALSE)</f>
        <v>Substantial Worsening</v>
      </c>
      <c r="AL55" s="346">
        <f>IF(N55=0,0,IF(U55&lt;Lookup!$F$58,-5,IF(U55&lt;Lookup!$F$57,-4,IF(U55&lt;Lookup!$F$56,-3,IF(U55&lt;Lookup!$F$55,-2,IF(U55&lt;Lookup!$F$54,-1,IF(U55&lt;Lookup!$F$53,0,IF(U55&lt;Lookup!$F$52,1,IF(U55&lt;Lookup!$F$51,2,IF(U55&lt;Lookup!$F$50,3,IF(U55&lt;Lookup!$F$49,4,5)))))))))))</f>
        <v>-5</v>
      </c>
      <c r="AM55" s="194" t="str">
        <f>VLOOKUP(AL55,Lookup!$G$48:$J$58,2,FALSE)</f>
        <v>B/C Ratio less than .02</v>
      </c>
      <c r="AN55" s="281" t="s">
        <v>1843</v>
      </c>
      <c r="AO55" s="181" t="str">
        <f>VLOOKUP(AP55,Lookup!$C$4:$D$14,2,FALSE)</f>
        <v>No Effect</v>
      </c>
      <c r="AP55" s="193">
        <f>IF(Q55=0,0,IF(Q55&gt;Lookup!$F$63,5,IF(Q55&gt;Lookup!$F$64,4,IF(Q55&gt;Lookup!$F$65,3,IF(Q55&gt;Lookup!$F$66,2,IF(Q55&gt;Lookup!$F$67,1,IF(Q55&gt;Lookup!$F$69,-1,IF(Q55&gt;Lookup!$F$70,-2,IF(Q55&gt;Lookup!$F$71,-3,IF(Q55&gt;Lookup!$F$72,-4,-5))))))))))</f>
        <v>0</v>
      </c>
      <c r="AQ55" s="194" t="str">
        <f>VLOOKUP(AP55,Lookup!$G$63:$J$73,2,FALSE)</f>
        <v>No change in yield</v>
      </c>
      <c r="AR55" s="281" t="s">
        <v>3081</v>
      </c>
      <c r="AS55" s="181" t="str">
        <f>VLOOKUP(AT55,Lookup!$C$4:$D$14,2,FALSE)</f>
        <v>No Effect</v>
      </c>
      <c r="AT55" s="193">
        <f>IF(V55=0,0,IF(V55&lt;Lookup!$F$79,5,IF(V55&lt;Lookup!$F$80,4,IF(V55&lt;Lookup!$F$81,3,IF(V55&lt;Lookup!$F$82,2,IF(V55&lt;Lookup!$F$83,1,IF(V55&lt;Lookup!$F$85,-1,IF(V55&lt;Lookup!$F$86,-2,IF(V55&lt;Lookup!$F$87,-3,IF(V55&lt;Lookup!$F$88,-4,-5))))))))))</f>
        <v>0</v>
      </c>
      <c r="AU55" s="194" t="str">
        <f>VLOOKUP(AT55,Lookup!$G$79:$J$89,2,FALSE)</f>
        <v>No breakeven</v>
      </c>
      <c r="AV55" s="345" t="str">
        <f>VLOOKUP(AT55,Lookup!$G$79:$J$89,4,FALSE)</f>
        <v>Annual costs greater than annual benefits</v>
      </c>
      <c r="AW55" s="181" t="str">
        <f>VLOOKUP(AX55,Lookup!$C$4:$D$14,2,FALSE)</f>
        <v>Slight Improvement</v>
      </c>
      <c r="AX55" s="193">
        <f>VLOOKUP(AY55,Lookup!$G$92:$J$97,4,FALSE)</f>
        <v>1</v>
      </c>
      <c r="AY55" s="181" t="s">
        <v>2636</v>
      </c>
      <c r="AZ55" s="281" t="s">
        <v>1943</v>
      </c>
      <c r="BA55" s="181" t="str">
        <f>VLOOKUP(BB55,Lookup!$C$4:$D$14,2,FALSE)</f>
        <v>Slight Worsening</v>
      </c>
      <c r="BB55" s="193">
        <f>VLOOKUP(BC55,Lookup!$G$100:$K$110,5,FALSE)</f>
        <v>-1</v>
      </c>
      <c r="BC55" s="181" t="s">
        <v>2637</v>
      </c>
      <c r="BD55" s="281" t="s">
        <v>3184</v>
      </c>
      <c r="BE55" s="181" t="str">
        <f>VLOOKUP(BF55,Lookup!$C$4:$D$14,2,FALSE)</f>
        <v>Slight to Moderate Worsening</v>
      </c>
      <c r="BF55" s="193">
        <f>IF(X55=0,0,IF(X55&gt;Lookup!$F$113,-5,IF(X55&gt;Lookup!$F$114,-4,IF(X55&gt;Lookup!$F$115,-3,IF(X55&gt;Lookup!$F$116,-2,IF(X55&gt;Lookup!$F$117,-1,0))))))</f>
        <v>-2</v>
      </c>
      <c r="BG55" s="195" t="str">
        <f>VLOOKUP(BF55,Lookup!$G$113:$H$118,2,FALSE)</f>
        <v>Annual on-farm equipment costs 25 to 5% of enterprise annual net income</v>
      </c>
      <c r="BH55" s="281" t="s">
        <v>3240</v>
      </c>
      <c r="BI55" s="181" t="str">
        <f>VLOOKUP(BJ55,Lookup!$C$4:$D$14,2,FALSE)</f>
        <v>Slight Worsening</v>
      </c>
      <c r="BJ55" s="193">
        <f>VLOOKUP(BK55,Lookup!$G$121:$L$131,6,FALSE)</f>
        <v>-1</v>
      </c>
      <c r="BK55" s="181" t="s">
        <v>2640</v>
      </c>
      <c r="BL55" s="281" t="s">
        <v>3284</v>
      </c>
      <c r="BM55" s="181" t="str">
        <f>VLOOKUP(BN55,Lookup!$C$4:$D$14,2,FALSE)</f>
        <v>Slight Worsening</v>
      </c>
      <c r="BN55" s="193">
        <f>VLOOKUP(BO55,Lookup!$G$134:$L$144,6,FALSE)</f>
        <v>-1</v>
      </c>
      <c r="BO55" s="181" t="s">
        <v>3373</v>
      </c>
      <c r="BP55" s="281" t="s">
        <v>3391</v>
      </c>
      <c r="BQ55" s="181" t="str">
        <f>VLOOKUP(BR55,Lookup!$C$4:$D$14,2,FALSE)</f>
        <v>Moderate to Substantial Improvement</v>
      </c>
      <c r="BR55" s="193">
        <f>VLOOKUP(BS55,Lookup!$G$147:$L$157,6,FALSE)</f>
        <v>4</v>
      </c>
      <c r="BS55" s="181" t="s">
        <v>2645</v>
      </c>
      <c r="BT55" s="281" t="s">
        <v>3451</v>
      </c>
      <c r="BU55" s="175" t="s">
        <v>2231</v>
      </c>
    </row>
    <row r="56" spans="1:73" ht="39.950000000000003" customHeight="1" thickBot="1" x14ac:dyDescent="0.25">
      <c r="A56" s="173">
        <f t="shared" si="4"/>
        <v>54</v>
      </c>
      <c r="B56" s="178" t="s">
        <v>627</v>
      </c>
      <c r="C56" s="179" t="s">
        <v>1606</v>
      </c>
      <c r="D56" s="180">
        <v>410</v>
      </c>
      <c r="E56" s="180" t="s">
        <v>3647</v>
      </c>
      <c r="F56" s="273" t="str">
        <f>VLOOKUP($D56,'Practice Descriptions'!$E$11:$F$186,2,FALSE)</f>
        <v>A structure used to control the grade and head cutting in a natural or artificial channels.</v>
      </c>
      <c r="G56" s="182">
        <v>15</v>
      </c>
      <c r="H56" s="183">
        <v>6000</v>
      </c>
      <c r="I56" s="184">
        <v>0</v>
      </c>
      <c r="J56" s="184">
        <v>0.01</v>
      </c>
      <c r="K56" s="419">
        <f>IF(E56="No.",1,IF(E56="Ac.",1,(SQRT(VLOOKUP(O56,Lookup!$F$9:$H$18,3,FALSE)))*208/VLOOKUP(O56,Lookup!$F$9:$H$18,3,FALSE)))</f>
        <v>1</v>
      </c>
      <c r="L56" s="185" t="str">
        <f t="shared" si="0"/>
        <v/>
      </c>
      <c r="M56" s="184">
        <v>0.01</v>
      </c>
      <c r="N56" s="186">
        <f>IF(G56=1,H56,PMT(Lookup!$G$4,G56,-H56)+(H56*J56)+(M56*P56))*K56</f>
        <v>645.94807358926562</v>
      </c>
      <c r="O56" s="187" t="s">
        <v>1110</v>
      </c>
      <c r="P56" s="186">
        <f>VLOOKUP($O56,Lookup!$F$9:$I$18,4,FALSE)</f>
        <v>300</v>
      </c>
      <c r="Q56" s="184">
        <v>0.03</v>
      </c>
      <c r="R56" s="183">
        <v>1</v>
      </c>
      <c r="S56" s="188" t="s">
        <v>3595</v>
      </c>
      <c r="T56" s="186">
        <f t="shared" si="2"/>
        <v>10</v>
      </c>
      <c r="U56" s="189">
        <f t="shared" si="3"/>
        <v>1.5481120555765646E-2</v>
      </c>
      <c r="V56" s="189">
        <f t="shared" si="1"/>
        <v>0</v>
      </c>
      <c r="W56" s="190">
        <f>IF(P56=0,0,IF(Q56+R56=0,0,PV(Lookup!$G$4,G56,-T56)/H56))</f>
        <v>1.7154186544316153E-2</v>
      </c>
      <c r="X56" s="190">
        <f>IF(I56=0,0,PMT(Lookup!$G$4,G56,-(H56*I56*K56))/P56)</f>
        <v>0</v>
      </c>
      <c r="Y56" s="42" t="s">
        <v>963</v>
      </c>
      <c r="Z56" s="192">
        <f>VLOOKUP(Y56,Lookup!$B$4:$C$14,2,FALSE)</f>
        <v>2</v>
      </c>
      <c r="AA56" s="281" t="s">
        <v>227</v>
      </c>
      <c r="AB56" s="282" t="s">
        <v>1072</v>
      </c>
      <c r="AC56" s="181" t="str">
        <f>VLOOKUP(AD56,Lookup!$C$4:$D$14,2,FALSE)</f>
        <v>Substantial Worsening</v>
      </c>
      <c r="AD56" s="193">
        <f>IF(P56/H56&lt;Lookup!$F$33,-5,IF(P56/H56&lt;Lookup!$F$32,-4,IF(P56/H56&lt;Lookup!$F$31,-3,IF(P56/H56&lt;Lookup!$F$30,-2,IF(P56/H56&lt;Lookup!$F$29,-1,-5)))))</f>
        <v>-5</v>
      </c>
      <c r="AE56" s="194" t="str">
        <f>VLOOKUP(AD56,Lookup!$G$28:$J$33,2,FALSE)</f>
        <v>One-time practice implementation cost 5 times or greater enterprise annual net income</v>
      </c>
      <c r="AF56" s="281" t="s">
        <v>1847</v>
      </c>
      <c r="AG56" s="181" t="str">
        <f>VLOOKUP(AH56,Lookup!$C$4:$D$14,2,FALSE)</f>
        <v>Slight Worsening</v>
      </c>
      <c r="AH56" s="193">
        <f>IF(J56&gt;Lookup!$F$43,-5,IF(J56&gt;Lookup!$F$42,-4,IF(J56&gt;Lookup!$F$41,-3,IF(J56&gt;Lookup!$F$40,-2,IF(J56&gt;Lookup!$F$39,-1,0)))))</f>
        <v>-1</v>
      </c>
      <c r="AI56" s="194" t="str">
        <f>VLOOKUP(AH56,Lookup!$G$38:$J$43,2,FALSE)</f>
        <v>Annual O&amp;M costs less than 1% of total installation costs</v>
      </c>
      <c r="AJ56" s="281" t="s">
        <v>3010</v>
      </c>
      <c r="AK56" s="181" t="str">
        <f>VLOOKUP(AL56,Lookup!$C$4:$D$14,2,FALSE)</f>
        <v>Substantial Worsening</v>
      </c>
      <c r="AL56" s="346">
        <f>IF(N56=0,0,IF(U56&lt;Lookup!$F$58,-5,IF(U56&lt;Lookup!$F$57,-4,IF(U56&lt;Lookup!$F$56,-3,IF(U56&lt;Lookup!$F$55,-2,IF(U56&lt;Lookup!$F$54,-1,IF(U56&lt;Lookup!$F$53,0,IF(U56&lt;Lookup!$F$52,1,IF(U56&lt;Lookup!$F$51,2,IF(U56&lt;Lookup!$F$50,3,IF(U56&lt;Lookup!$F$49,4,5)))))))))))</f>
        <v>-5</v>
      </c>
      <c r="AM56" s="194" t="str">
        <f>VLOOKUP(AL56,Lookup!$G$48:$J$58,2,FALSE)</f>
        <v>B/C Ratio less than .02</v>
      </c>
      <c r="AN56" s="281" t="s">
        <v>3041</v>
      </c>
      <c r="AO56" s="181" t="str">
        <f>VLOOKUP(AP56,Lookup!$C$4:$D$14,2,FALSE)</f>
        <v>Slight Improvement</v>
      </c>
      <c r="AP56" s="193">
        <f>IF(Q56=0,0,IF(Q56&gt;Lookup!$F$63,5,IF(Q56&gt;Lookup!$F$64,4,IF(Q56&gt;Lookup!$F$65,3,IF(Q56&gt;Lookup!$F$66,2,IF(Q56&gt;Lookup!$F$67,1,IF(Q56&gt;Lookup!$F$69,-1,IF(Q56&gt;Lookup!$F$70,-2,IF(Q56&gt;Lookup!$F$71,-3,IF(Q56&gt;Lookup!$F$72,-4,-5))))))))))</f>
        <v>1</v>
      </c>
      <c r="AQ56" s="194" t="str">
        <f>VLOOKUP(AP56,Lookup!$G$63:$J$73,2,FALSE)</f>
        <v>5% or less yield increase</v>
      </c>
      <c r="AR56" s="281" t="s">
        <v>3101</v>
      </c>
      <c r="AS56" s="181" t="str">
        <f>VLOOKUP(AT56,Lookup!$C$4:$D$14,2,FALSE)</f>
        <v>No Effect</v>
      </c>
      <c r="AT56" s="193">
        <f>IF(V56=0,0,IF(V56&lt;Lookup!$F$79,5,IF(V56&lt;Lookup!$F$80,4,IF(V56&lt;Lookup!$F$81,3,IF(V56&lt;Lookup!$F$82,2,IF(V56&lt;Lookup!$F$83,1,IF(V56&lt;Lookup!$F$85,-1,IF(V56&lt;Lookup!$F$86,-2,IF(V56&lt;Lookup!$F$87,-3,IF(V56&lt;Lookup!$F$88,-4,-5))))))))))</f>
        <v>0</v>
      </c>
      <c r="AU56" s="194" t="str">
        <f>VLOOKUP(AT56,Lookup!$G$79:$J$89,2,FALSE)</f>
        <v>No breakeven</v>
      </c>
      <c r="AV56" s="345" t="str">
        <f>VLOOKUP(AT56,Lookup!$G$79:$J$89,4,FALSE)</f>
        <v>Annual costs greater than annual benefits</v>
      </c>
      <c r="AW56" s="181" t="str">
        <f>VLOOKUP(AX56,Lookup!$C$4:$D$14,2,FALSE)</f>
        <v>Slight Improvement</v>
      </c>
      <c r="AX56" s="193">
        <f>VLOOKUP(AY56,Lookup!$G$92:$J$97,4,FALSE)</f>
        <v>1</v>
      </c>
      <c r="AY56" s="181" t="s">
        <v>2636</v>
      </c>
      <c r="AZ56" s="281" t="s">
        <v>3166</v>
      </c>
      <c r="BA56" s="181" t="str">
        <f>VLOOKUP(BB56,Lookup!$C$4:$D$14,2,FALSE)</f>
        <v>Slight Worsening</v>
      </c>
      <c r="BB56" s="193">
        <f>VLOOKUP(BC56,Lookup!$G$100:$K$110,5,FALSE)</f>
        <v>-1</v>
      </c>
      <c r="BC56" s="181" t="s">
        <v>2637</v>
      </c>
      <c r="BD56" s="281" t="s">
        <v>3184</v>
      </c>
      <c r="BE56" s="181" t="str">
        <f>VLOOKUP(BF56,Lookup!$C$4:$D$14,2,FALSE)</f>
        <v>No Effect</v>
      </c>
      <c r="BF56" s="193">
        <f>IF(X56=0,0,IF(X56&gt;Lookup!$F$113,-5,IF(X56&gt;Lookup!$F$114,-4,IF(X56&gt;Lookup!$F$115,-3,IF(X56&gt;Lookup!$F$116,-2,IF(X56&gt;Lookup!$F$117,-1,0))))))</f>
        <v>0</v>
      </c>
      <c r="BG56" s="195" t="str">
        <f>VLOOKUP(BF56,Lookup!$G$113:$H$118,2,FALSE)</f>
        <v>No change in on-farm equipment</v>
      </c>
      <c r="BH56" s="281" t="s">
        <v>3231</v>
      </c>
      <c r="BI56" s="181" t="str">
        <f>VLOOKUP(BJ56,Lookup!$C$4:$D$14,2,FALSE)</f>
        <v>Slight Improvement</v>
      </c>
      <c r="BJ56" s="193">
        <f>VLOOKUP(BK56,Lookup!$G$121:$L$131,6,FALSE)</f>
        <v>1</v>
      </c>
      <c r="BK56" s="181" t="s">
        <v>2638</v>
      </c>
      <c r="BL56" s="281" t="s">
        <v>3285</v>
      </c>
      <c r="BM56" s="181" t="str">
        <f>VLOOKUP(BN56,Lookup!$C$4:$D$14,2,FALSE)</f>
        <v>No Effect</v>
      </c>
      <c r="BN56" s="193">
        <f>VLOOKUP(BO56,Lookup!$G$134:$L$144,6,FALSE)</f>
        <v>0</v>
      </c>
      <c r="BO56" s="181" t="s">
        <v>2646</v>
      </c>
      <c r="BP56" s="281" t="s">
        <v>3154</v>
      </c>
      <c r="BQ56" s="181" t="str">
        <f>VLOOKUP(BR56,Lookup!$C$4:$D$14,2,FALSE)</f>
        <v>Slight to Moderate Improvement</v>
      </c>
      <c r="BR56" s="193">
        <f>VLOOKUP(BS56,Lookup!$G$147:$L$157,6,FALSE)</f>
        <v>2</v>
      </c>
      <c r="BS56" s="181" t="s">
        <v>2641</v>
      </c>
      <c r="BT56" s="281" t="s">
        <v>3456</v>
      </c>
      <c r="BU56" s="175" t="s">
        <v>2231</v>
      </c>
    </row>
    <row r="57" spans="1:73" ht="39.950000000000003" customHeight="1" thickBot="1" x14ac:dyDescent="0.25">
      <c r="A57" s="173">
        <f t="shared" si="4"/>
        <v>55</v>
      </c>
      <c r="B57" s="178" t="s">
        <v>628</v>
      </c>
      <c r="C57" s="179" t="s">
        <v>2060</v>
      </c>
      <c r="D57" s="180">
        <v>412</v>
      </c>
      <c r="E57" s="180" t="s">
        <v>3646</v>
      </c>
      <c r="F57" s="273" t="str">
        <f>VLOOKUP($D57,'Practice Descriptions'!$E$11:$F$186,2,FALSE)</f>
        <v>A shaped or graded channel that is established with suitable vegetation to carry surface water at a non-erosive velocity to a stable outlet.</v>
      </c>
      <c r="G57" s="182">
        <v>10</v>
      </c>
      <c r="H57" s="183">
        <v>250</v>
      </c>
      <c r="I57" s="184">
        <v>0</v>
      </c>
      <c r="J57" s="184">
        <v>0.02</v>
      </c>
      <c r="K57" s="419">
        <f>IF(E57="No.",1,IF(E57="Ac.",1,(SQRT(VLOOKUP(O57,Lookup!$F$9:$H$18,3,FALSE)))*208/VLOOKUP(O57,Lookup!$F$9:$H$18,3,FALSE)))</f>
        <v>1</v>
      </c>
      <c r="L57" s="185" t="str">
        <f t="shared" si="0"/>
        <v/>
      </c>
      <c r="M57" s="184">
        <v>0.75</v>
      </c>
      <c r="N57" s="186">
        <f>IF(G57=1,H57,PMT(Lookup!$G$4,G57,-H57)+(H57*J57)+(M57*P57))*K57</f>
        <v>262.57297014209928</v>
      </c>
      <c r="O57" s="187" t="s">
        <v>1110</v>
      </c>
      <c r="P57" s="186">
        <f>VLOOKUP($O57,Lookup!$F$9:$I$18,4,FALSE)</f>
        <v>300</v>
      </c>
      <c r="Q57" s="184">
        <v>0</v>
      </c>
      <c r="R57" s="183">
        <v>25</v>
      </c>
      <c r="S57" s="188" t="s">
        <v>3595</v>
      </c>
      <c r="T57" s="186">
        <f t="shared" si="2"/>
        <v>25</v>
      </c>
      <c r="U57" s="189">
        <f t="shared" si="3"/>
        <v>9.5211628167478538E-2</v>
      </c>
      <c r="V57" s="189">
        <f t="shared" si="1"/>
        <v>0</v>
      </c>
      <c r="W57" s="190">
        <f>IF(P57=0,0,IF(Q57+R57=0,0,PV(Lookup!$G$4,G57,-T57)/H57))</f>
        <v>0.767507534343283</v>
      </c>
      <c r="X57" s="190">
        <f>IF(I57=0,0,PMT(Lookup!$G$4,G57,-(H57*I57*K57))/P57)</f>
        <v>0</v>
      </c>
      <c r="Y57" s="42" t="s">
        <v>963</v>
      </c>
      <c r="Z57" s="192">
        <f>VLOOKUP(Y57,Lookup!$B$4:$C$14,2,FALSE)</f>
        <v>2</v>
      </c>
      <c r="AA57" s="281" t="s">
        <v>227</v>
      </c>
      <c r="AB57" s="282" t="s">
        <v>1072</v>
      </c>
      <c r="AC57" s="181" t="str">
        <f>VLOOKUP(AD57,Lookup!$C$4:$D$14,2,FALSE)</f>
        <v>Slight to Moderate Worsening</v>
      </c>
      <c r="AD57" s="193">
        <f>IF(P57/H57&lt;Lookup!$F$33,-5,IF(P57/H57&lt;Lookup!$F$32,-4,IF(P57/H57&lt;Lookup!$F$31,-3,IF(P57/H57&lt;Lookup!$F$30,-2,IF(P57/H57&lt;Lookup!$F$29,-1,-5)))))</f>
        <v>-2</v>
      </c>
      <c r="AE57" s="194" t="str">
        <f>VLOOKUP(AD57,Lookup!$G$28:$J$33,2,FALSE)</f>
        <v>One-time practice implementation cost 5 to 100% of enterprise annual net income</v>
      </c>
      <c r="AF57" s="281" t="s">
        <v>2961</v>
      </c>
      <c r="AG57" s="181" t="str">
        <f>VLOOKUP(AH57,Lookup!$C$4:$D$14,2,FALSE)</f>
        <v>Slight to Moderate Worsening</v>
      </c>
      <c r="AH57" s="193">
        <f>IF(J57&gt;Lookup!$F$43,-5,IF(J57&gt;Lookup!$F$42,-4,IF(J57&gt;Lookup!$F$41,-3,IF(J57&gt;Lookup!$F$40,-2,IF(J57&gt;Lookup!$F$39,-1,0)))))</f>
        <v>-2</v>
      </c>
      <c r="AI57" s="194" t="str">
        <f>VLOOKUP(AH57,Lookup!$G$38:$J$43,2,FALSE)</f>
        <v>Annual O&amp;M costs 1 to 2% of total installation costs</v>
      </c>
      <c r="AJ57" s="281" t="s">
        <v>3541</v>
      </c>
      <c r="AK57" s="181" t="str">
        <f>VLOOKUP(AL57,Lookup!$C$4:$D$14,2,FALSE)</f>
        <v>Moderate to Substantial Worsening</v>
      </c>
      <c r="AL57" s="346">
        <f>IF(N57=0,0,IF(U57&lt;Lookup!$F$58,-5,IF(U57&lt;Lookup!$F$57,-4,IF(U57&lt;Lookup!$F$56,-3,IF(U57&lt;Lookup!$F$55,-2,IF(U57&lt;Lookup!$F$54,-1,IF(U57&lt;Lookup!$F$53,0,IF(U57&lt;Lookup!$F$52,1,IF(U57&lt;Lookup!$F$51,2,IF(U57&lt;Lookup!$F$50,3,IF(U57&lt;Lookup!$F$49,4,5)))))))))))</f>
        <v>-4</v>
      </c>
      <c r="AM57" s="194" t="str">
        <f>VLOOKUP(AL57,Lookup!$G$48:$J$58,2,FALSE)</f>
        <v>B/C Ratio .05 to .10</v>
      </c>
      <c r="AN57" s="281" t="s">
        <v>1843</v>
      </c>
      <c r="AO57" s="181" t="str">
        <f>VLOOKUP(AP57,Lookup!$C$4:$D$14,2,FALSE)</f>
        <v>No Effect</v>
      </c>
      <c r="AP57" s="193">
        <f>IF(Q57=0,0,IF(Q57&gt;Lookup!$F$63,5,IF(Q57&gt;Lookup!$F$64,4,IF(Q57&gt;Lookup!$F$65,3,IF(Q57&gt;Lookup!$F$66,2,IF(Q57&gt;Lookup!$F$67,1,IF(Q57&gt;Lookup!$F$69,-1,IF(Q57&gt;Lookup!$F$70,-2,IF(Q57&gt;Lookup!$F$71,-3,IF(Q57&gt;Lookup!$F$72,-4,-5))))))))))</f>
        <v>0</v>
      </c>
      <c r="AQ57" s="194" t="str">
        <f>VLOOKUP(AP57,Lookup!$G$63:$J$73,2,FALSE)</f>
        <v>No change in yield</v>
      </c>
      <c r="AR57" s="281" t="s">
        <v>3102</v>
      </c>
      <c r="AS57" s="181" t="str">
        <f>VLOOKUP(AT57,Lookup!$C$4:$D$14,2,FALSE)</f>
        <v>No Effect</v>
      </c>
      <c r="AT57" s="193">
        <f>IF(V57=0,0,IF(V57&lt;Lookup!$F$79,5,IF(V57&lt;Lookup!$F$80,4,IF(V57&lt;Lookup!$F$81,3,IF(V57&lt;Lookup!$F$82,2,IF(V57&lt;Lookup!$F$83,1,IF(V57&lt;Lookup!$F$85,-1,IF(V57&lt;Lookup!$F$86,-2,IF(V57&lt;Lookup!$F$87,-3,IF(V57&lt;Lookup!$F$88,-4,-5))))))))))</f>
        <v>0</v>
      </c>
      <c r="AU57" s="194" t="str">
        <f>VLOOKUP(AT57,Lookup!$G$79:$J$89,2,FALSE)</f>
        <v>No breakeven</v>
      </c>
      <c r="AV57" s="345" t="str">
        <f>VLOOKUP(AT57,Lookup!$G$79:$J$89,4,FALSE)</f>
        <v>Annual costs greater than annual benefits</v>
      </c>
      <c r="AW57" s="181" t="str">
        <f>VLOOKUP(AX57,Lookup!$C$4:$D$14,2,FALSE)</f>
        <v>Slight to Moderate Improvement</v>
      </c>
      <c r="AX57" s="193">
        <f>VLOOKUP(AY57,Lookup!$G$92:$J$97,4,FALSE)</f>
        <v>2</v>
      </c>
      <c r="AY57" s="181" t="s">
        <v>2653</v>
      </c>
      <c r="AZ57" s="281" t="s">
        <v>1887</v>
      </c>
      <c r="BA57" s="181" t="str">
        <f>VLOOKUP(BB57,Lookup!$C$4:$D$14,2,FALSE)</f>
        <v>Slight to Moderate Worsening</v>
      </c>
      <c r="BB57" s="193">
        <f>VLOOKUP(BC57,Lookup!$G$100:$K$110,5,FALSE)</f>
        <v>-2</v>
      </c>
      <c r="BC57" s="181" t="s">
        <v>2659</v>
      </c>
      <c r="BD57" s="281" t="s">
        <v>3193</v>
      </c>
      <c r="BE57" s="181" t="str">
        <f>VLOOKUP(BF57,Lookup!$C$4:$D$14,2,FALSE)</f>
        <v>No Effect</v>
      </c>
      <c r="BF57" s="193">
        <f>IF(X57=0,0,IF(X57&gt;Lookup!$F$113,-5,IF(X57&gt;Lookup!$F$114,-4,IF(X57&gt;Lookup!$F$115,-3,IF(X57&gt;Lookup!$F$116,-2,IF(X57&gt;Lookup!$F$117,-1,0))))))</f>
        <v>0</v>
      </c>
      <c r="BG57" s="195" t="str">
        <f>VLOOKUP(BF57,Lookup!$G$113:$H$118,2,FALSE)</f>
        <v>No change in on-farm equipment</v>
      </c>
      <c r="BH57" s="281" t="s">
        <v>3231</v>
      </c>
      <c r="BI57" s="181" t="str">
        <f>VLOOKUP(BJ57,Lookup!$C$4:$D$14,2,FALSE)</f>
        <v>Slight to Moderate Improvement</v>
      </c>
      <c r="BJ57" s="193">
        <f>VLOOKUP(BK57,Lookup!$G$121:$L$131,6,FALSE)</f>
        <v>2</v>
      </c>
      <c r="BK57" s="181" t="s">
        <v>2633</v>
      </c>
      <c r="BL57" s="281" t="s">
        <v>3286</v>
      </c>
      <c r="BM57" s="181" t="str">
        <f>VLOOKUP(BN57,Lookup!$C$4:$D$14,2,FALSE)</f>
        <v>Slight to Moderate Worsening</v>
      </c>
      <c r="BN57" s="193">
        <f>VLOOKUP(BO57,Lookup!$G$134:$L$144,6,FALSE)</f>
        <v>-2</v>
      </c>
      <c r="BO57" s="181" t="s">
        <v>3374</v>
      </c>
      <c r="BP57" s="281" t="s">
        <v>3394</v>
      </c>
      <c r="BQ57" s="181" t="str">
        <f>VLOOKUP(BR57,Lookup!$C$4:$D$14,2,FALSE)</f>
        <v>Slight to Moderate Improvement</v>
      </c>
      <c r="BR57" s="193">
        <f>VLOOKUP(BS57,Lookup!$G$147:$L$157,6,FALSE)</f>
        <v>2</v>
      </c>
      <c r="BS57" s="181" t="s">
        <v>2641</v>
      </c>
      <c r="BT57" s="281" t="s">
        <v>3457</v>
      </c>
      <c r="BU57" s="175" t="s">
        <v>2231</v>
      </c>
    </row>
    <row r="58" spans="1:73" ht="39.950000000000003" customHeight="1" thickBot="1" x14ac:dyDescent="0.25">
      <c r="A58" s="173">
        <f t="shared" si="4"/>
        <v>56</v>
      </c>
      <c r="B58" s="178" t="s">
        <v>629</v>
      </c>
      <c r="C58" s="179" t="s">
        <v>1603</v>
      </c>
      <c r="D58" s="180">
        <v>548</v>
      </c>
      <c r="E58" s="180" t="s">
        <v>3646</v>
      </c>
      <c r="F58" s="273" t="str">
        <f>VLOOKUP($D58,'Practice Descriptions'!$E$11:$F$186,2,FALSE)</f>
        <v>Modifying physical soil and or plant conditions with mechanical tools by treatment such as; pitting, contour furrowing, and ripping or sub-soiling.</v>
      </c>
      <c r="G58" s="182">
        <v>5</v>
      </c>
      <c r="H58" s="183">
        <v>35</v>
      </c>
      <c r="I58" s="184">
        <v>0</v>
      </c>
      <c r="J58" s="184">
        <v>0</v>
      </c>
      <c r="K58" s="419">
        <f>IF(E58="No.",1,IF(E58="Ac.",1,(SQRT(VLOOKUP(O58,Lookup!$F$9:$H$18,3,FALSE)))*208/VLOOKUP(O58,Lookup!$F$9:$H$18,3,FALSE)))</f>
        <v>1</v>
      </c>
      <c r="L58" s="185" t="str">
        <f t="shared" si="0"/>
        <v/>
      </c>
      <c r="M58" s="184">
        <v>0</v>
      </c>
      <c r="N58" s="186">
        <f>IF(G58=1,H58,PMT(Lookup!$G$4,G58,-H58)+(H58*J58)+(M58*P58))*K58</f>
        <v>8.1120718413390147</v>
      </c>
      <c r="O58" s="187" t="s">
        <v>2214</v>
      </c>
      <c r="P58" s="186">
        <f>VLOOKUP($O58,Lookup!$F$9:$I$18,4,FALSE)</f>
        <v>5</v>
      </c>
      <c r="Q58" s="184">
        <v>1</v>
      </c>
      <c r="R58" s="183">
        <v>0</v>
      </c>
      <c r="S58" s="188"/>
      <c r="T58" s="186">
        <f t="shared" si="2"/>
        <v>5</v>
      </c>
      <c r="U58" s="189">
        <f t="shared" si="3"/>
        <v>0.61636535003549453</v>
      </c>
      <c r="V58" s="189">
        <f t="shared" si="1"/>
        <v>0</v>
      </c>
      <c r="W58" s="190">
        <f>IF(P58=0,0,IF(Q58+R58=0,0,PV(Lookup!$G$4,G58,-T58)/H58))</f>
        <v>0.61636535003549442</v>
      </c>
      <c r="X58" s="190">
        <f>IF(I58=0,0,PMT(Lookup!$G$4,G58,-(H58*I58*K58))/P58)</f>
        <v>0</v>
      </c>
      <c r="Y58" s="42" t="s">
        <v>963</v>
      </c>
      <c r="Z58" s="192">
        <f>VLOOKUP(Y58,Lookup!$B$4:$C$14,2,FALSE)</f>
        <v>2</v>
      </c>
      <c r="AA58" s="281" t="s">
        <v>227</v>
      </c>
      <c r="AB58" s="282" t="s">
        <v>1072</v>
      </c>
      <c r="AC58" s="181" t="str">
        <f>VLOOKUP(AD58,Lookup!$C$4:$D$14,2,FALSE)</f>
        <v>Substantial Worsening</v>
      </c>
      <c r="AD58" s="193">
        <f>IF(P58/H58&lt;Lookup!$F$33,-5,IF(P58/H58&lt;Lookup!$F$32,-4,IF(P58/H58&lt;Lookup!$F$31,-3,IF(P58/H58&lt;Lookup!$F$30,-2,IF(P58/H58&lt;Lookup!$F$29,-1,-5)))))</f>
        <v>-5</v>
      </c>
      <c r="AE58" s="194" t="str">
        <f>VLOOKUP(AD58,Lookup!$G$28:$J$33,2,FALSE)</f>
        <v>One-time practice implementation cost 5 times or greater enterprise annual net income</v>
      </c>
      <c r="AF58" s="281" t="s">
        <v>2962</v>
      </c>
      <c r="AG58" s="181" t="str">
        <f>VLOOKUP(AH58,Lookup!$C$4:$D$14,2,FALSE)</f>
        <v>No Effect</v>
      </c>
      <c r="AH58" s="193">
        <f>IF(J58&gt;Lookup!$F$43,-5,IF(J58&gt;Lookup!$F$42,-4,IF(J58&gt;Lookup!$F$41,-3,IF(J58&gt;Lookup!$F$40,-2,IF(J58&gt;Lookup!$F$39,-1,0)))))</f>
        <v>0</v>
      </c>
      <c r="AI58" s="194" t="str">
        <f>VLOOKUP(AH58,Lookup!$G$38:$J$43,2,FALSE)</f>
        <v>No O&amp;M costs</v>
      </c>
      <c r="AJ58" s="281" t="s">
        <v>3005</v>
      </c>
      <c r="AK58" s="181" t="str">
        <f>VLOOKUP(AL58,Lookup!$C$4:$D$14,2,FALSE)</f>
        <v>Slight Worsening</v>
      </c>
      <c r="AL58" s="346">
        <f>IF(N58=0,0,IF(U58&lt;Lookup!$F$58,-5,IF(U58&lt;Lookup!$F$57,-4,IF(U58&lt;Lookup!$F$56,-3,IF(U58&lt;Lookup!$F$55,-2,IF(U58&lt;Lookup!$F$54,-1,IF(U58&lt;Lookup!$F$53,0,IF(U58&lt;Lookup!$F$52,1,IF(U58&lt;Lookup!$F$51,2,IF(U58&lt;Lookup!$F$50,3,IF(U58&lt;Lookup!$F$49,4,5)))))))))))</f>
        <v>-1</v>
      </c>
      <c r="AM58" s="194" t="str">
        <f>VLOOKUP(AL58,Lookup!$G$48:$J$58,2,FALSE)</f>
        <v>B/C Ratio .50 to .75</v>
      </c>
      <c r="AN58" s="281" t="s">
        <v>3042</v>
      </c>
      <c r="AO58" s="181" t="str">
        <f>VLOOKUP(AP58,Lookup!$C$4:$D$14,2,FALSE)</f>
        <v>Substantial Improvement</v>
      </c>
      <c r="AP58" s="193">
        <f>IF(Q58=0,0,IF(Q58&gt;Lookup!$F$63,5,IF(Q58&gt;Lookup!$F$64,4,IF(Q58&gt;Lookup!$F$65,3,IF(Q58&gt;Lookup!$F$66,2,IF(Q58&gt;Lookup!$F$67,1,IF(Q58&gt;Lookup!$F$69,-1,IF(Q58&gt;Lookup!$F$70,-2,IF(Q58&gt;Lookup!$F$71,-3,IF(Q58&gt;Lookup!$F$72,-4,-5))))))))))</f>
        <v>5</v>
      </c>
      <c r="AQ58" s="194" t="str">
        <f>VLOOKUP(AP58,Lookup!$G$63:$J$73,2,FALSE)</f>
        <v>Greater than 50% yield increase</v>
      </c>
      <c r="AR58" s="281" t="s">
        <v>3103</v>
      </c>
      <c r="AS58" s="181" t="str">
        <f>VLOOKUP(AT58,Lookup!$C$4:$D$14,2,FALSE)</f>
        <v>No Effect</v>
      </c>
      <c r="AT58" s="193">
        <f>IF(V58=0,0,IF(V58&lt;Lookup!$F$79,5,IF(V58&lt;Lookup!$F$80,4,IF(V58&lt;Lookup!$F$81,3,IF(V58&lt;Lookup!$F$82,2,IF(V58&lt;Lookup!$F$83,1,IF(V58&lt;Lookup!$F$85,-1,IF(V58&lt;Lookup!$F$86,-2,IF(V58&lt;Lookup!$F$87,-3,IF(V58&lt;Lookup!$F$88,-4,-5))))))))))</f>
        <v>0</v>
      </c>
      <c r="AU58" s="194" t="str">
        <f>VLOOKUP(AT58,Lookup!$G$79:$J$89,2,FALSE)</f>
        <v>No breakeven</v>
      </c>
      <c r="AV58" s="345" t="str">
        <f>VLOOKUP(AT58,Lookup!$G$79:$J$89,4,FALSE)</f>
        <v>Annual costs greater than annual benefits</v>
      </c>
      <c r="AW58" s="181" t="str">
        <f>VLOOKUP(AX58,Lookup!$C$4:$D$14,2,FALSE)</f>
        <v>No Effect</v>
      </c>
      <c r="AX58" s="193">
        <f>VLOOKUP(AY58,Lookup!$G$92:$J$97,4,FALSE)</f>
        <v>0</v>
      </c>
      <c r="AY58" s="181" t="s">
        <v>2642</v>
      </c>
      <c r="AZ58" s="281" t="s">
        <v>3154</v>
      </c>
      <c r="BA58" s="181" t="str">
        <f>VLOOKUP(BB58,Lookup!$C$4:$D$14,2,FALSE)</f>
        <v>No Effect</v>
      </c>
      <c r="BB58" s="193">
        <f>VLOOKUP(BC58,Lookup!$G$100:$K$110,5,FALSE)</f>
        <v>0</v>
      </c>
      <c r="BC58" s="181" t="s">
        <v>2643</v>
      </c>
      <c r="BD58" s="281" t="s">
        <v>3154</v>
      </c>
      <c r="BE58" s="181" t="str">
        <f>VLOOKUP(BF58,Lookup!$C$4:$D$14,2,FALSE)</f>
        <v>No Effect</v>
      </c>
      <c r="BF58" s="193">
        <f>IF(X58=0,0,IF(X58&gt;Lookup!$F$113,-5,IF(X58&gt;Lookup!$F$114,-4,IF(X58&gt;Lookup!$F$115,-3,IF(X58&gt;Lookup!$F$116,-2,IF(X58&gt;Lookup!$F$117,-1,0))))))</f>
        <v>0</v>
      </c>
      <c r="BG58" s="195" t="str">
        <f>VLOOKUP(BF58,Lookup!$G$113:$H$118,2,FALSE)</f>
        <v>No change in on-farm equipment</v>
      </c>
      <c r="BH58" s="281" t="s">
        <v>3231</v>
      </c>
      <c r="BI58" s="181" t="str">
        <f>VLOOKUP(BJ58,Lookup!$C$4:$D$14,2,FALSE)</f>
        <v>No Effect</v>
      </c>
      <c r="BJ58" s="193">
        <f>VLOOKUP(BK58,Lookup!$G$121:$L$131,6,FALSE)</f>
        <v>0</v>
      </c>
      <c r="BK58" s="181" t="s">
        <v>2656</v>
      </c>
      <c r="BL58" s="281" t="s">
        <v>3154</v>
      </c>
      <c r="BM58" s="181" t="str">
        <f>VLOOKUP(BN58,Lookup!$C$4:$D$14,2,FALSE)</f>
        <v>No Effect</v>
      </c>
      <c r="BN58" s="193">
        <f>VLOOKUP(BO58,Lookup!$G$134:$L$144,6,FALSE)</f>
        <v>0</v>
      </c>
      <c r="BO58" s="181" t="s">
        <v>2646</v>
      </c>
      <c r="BP58" s="281" t="s">
        <v>3154</v>
      </c>
      <c r="BQ58" s="181" t="str">
        <f>VLOOKUP(BR58,Lookup!$C$4:$D$14,2,FALSE)</f>
        <v>Slight to Moderate Improvement</v>
      </c>
      <c r="BR58" s="193">
        <f>VLOOKUP(BS58,Lookup!$G$147:$L$157,6,FALSE)</f>
        <v>2</v>
      </c>
      <c r="BS58" s="181" t="s">
        <v>2641</v>
      </c>
      <c r="BT58" s="281" t="s">
        <v>3458</v>
      </c>
      <c r="BU58" s="175" t="s">
        <v>2231</v>
      </c>
    </row>
    <row r="59" spans="1:73" ht="39.950000000000003" customHeight="1" thickBot="1" x14ac:dyDescent="0.25">
      <c r="A59" s="173">
        <f t="shared" si="4"/>
        <v>57</v>
      </c>
      <c r="B59" s="178" t="s">
        <v>630</v>
      </c>
      <c r="C59" s="179" t="s">
        <v>1597</v>
      </c>
      <c r="D59" s="180">
        <v>561</v>
      </c>
      <c r="E59" s="180" t="s">
        <v>3646</v>
      </c>
      <c r="F59" s="273" t="str">
        <f>VLOOKUP($D59,'Practice Descriptions'!$E$11:$F$186,2,FALSE)</f>
        <v>The stabilization or areas frequently and intensively used by people, animals or vehicles by establishing vegetation cover, by surfacing with suitable materials, and/or by installing needed structures.</v>
      </c>
      <c r="G59" s="182">
        <v>10</v>
      </c>
      <c r="H59" s="183">
        <v>200</v>
      </c>
      <c r="I59" s="184">
        <v>0</v>
      </c>
      <c r="J59" s="184">
        <v>0.15</v>
      </c>
      <c r="K59" s="419">
        <f>IF(E59="No.",1,IF(E59="Ac.",1,(SQRT(VLOOKUP(O59,Lookup!$F$9:$H$18,3,FALSE)))*208/VLOOKUP(O59,Lookup!$F$9:$H$18,3,FALSE)))</f>
        <v>1</v>
      </c>
      <c r="L59" s="185" t="str">
        <f t="shared" si="0"/>
        <v/>
      </c>
      <c r="M59" s="184">
        <v>0</v>
      </c>
      <c r="N59" s="186">
        <f>IF(G59=1,H59,PMT(Lookup!$G$4,G59,-H59)+(H59*J59)+(M59*P59))*K59</f>
        <v>56.058376113679437</v>
      </c>
      <c r="O59" s="181" t="s">
        <v>1260</v>
      </c>
      <c r="P59" s="186">
        <f>VLOOKUP($O59,Lookup!$F$9:$I$18,4,FALSE)</f>
        <v>50</v>
      </c>
      <c r="Q59" s="184">
        <v>0</v>
      </c>
      <c r="R59" s="183">
        <v>0.25</v>
      </c>
      <c r="S59" s="188" t="s">
        <v>2667</v>
      </c>
      <c r="T59" s="186">
        <f t="shared" si="2"/>
        <v>0.25</v>
      </c>
      <c r="U59" s="189">
        <f t="shared" si="3"/>
        <v>4.4596368523596008E-3</v>
      </c>
      <c r="V59" s="189">
        <f t="shared" si="1"/>
        <v>0</v>
      </c>
      <c r="W59" s="190">
        <f>IF(P59=0,0,IF(Q59+R59=0,0,PV(Lookup!$G$4,G59,-T59)/H59))</f>
        <v>9.5938441792910376E-3</v>
      </c>
      <c r="X59" s="190">
        <f>IF(I59=0,0,PMT(Lookup!$G$4,G59,-(H59*I59*K59))/P59)</f>
        <v>0</v>
      </c>
      <c r="Y59" s="42" t="s">
        <v>986</v>
      </c>
      <c r="Z59" s="192">
        <f>VLOOKUP(Y59,Lookup!$B$4:$C$14,2,FALSE)</f>
        <v>0</v>
      </c>
      <c r="AA59" s="281" t="s">
        <v>1888</v>
      </c>
      <c r="AB59" s="282" t="s">
        <v>1071</v>
      </c>
      <c r="AC59" s="181" t="str">
        <f>VLOOKUP(AD59,Lookup!$C$4:$D$14,2,FALSE)</f>
        <v>Moderate to Substantial Worsening</v>
      </c>
      <c r="AD59" s="193">
        <f>IF(P59/H59&lt;Lookup!$F$33,-5,IF(P59/H59&lt;Lookup!$F$32,-4,IF(P59/H59&lt;Lookup!$F$31,-3,IF(P59/H59&lt;Lookup!$F$30,-2,IF(P59/H59&lt;Lookup!$F$29,-1,-5)))))</f>
        <v>-4</v>
      </c>
      <c r="AE59" s="194" t="str">
        <f>VLOOKUP(AD59,Lookup!$G$28:$J$33,2,FALSE)</f>
        <v>One-time practice implementation cost 2 to 5 times enterprise annual net income</v>
      </c>
      <c r="AF59" s="281" t="s">
        <v>1842</v>
      </c>
      <c r="AG59" s="181" t="str">
        <f>VLOOKUP(AH59,Lookup!$C$4:$D$14,2,FALSE)</f>
        <v>Substantial Worsening</v>
      </c>
      <c r="AH59" s="193">
        <f>IF(J59&gt;Lookup!$F$43,-5,IF(J59&gt;Lookup!$F$42,-4,IF(J59&gt;Lookup!$F$41,-3,IF(J59&gt;Lookup!$F$40,-2,IF(J59&gt;Lookup!$F$39,-1,0)))))</f>
        <v>-5</v>
      </c>
      <c r="AI59" s="194" t="str">
        <f>VLOOKUP(AH59,Lookup!$G$38:$J$43,2,FALSE)</f>
        <v>Annual O&amp;M costs greater than 4% of total installation costs</v>
      </c>
      <c r="AJ59" s="281" t="s">
        <v>1889</v>
      </c>
      <c r="AK59" s="181" t="str">
        <f>VLOOKUP(AL59,Lookup!$C$4:$D$14,2,FALSE)</f>
        <v>Substantial Worsening</v>
      </c>
      <c r="AL59" s="346">
        <f>IF(N59=0,0,IF(U59&lt;Lookup!$F$58,-5,IF(U59&lt;Lookup!$F$57,-4,IF(U59&lt;Lookup!$F$56,-3,IF(U59&lt;Lookup!$F$55,-2,IF(U59&lt;Lookup!$F$54,-1,IF(U59&lt;Lookup!$F$53,0,IF(U59&lt;Lookup!$F$52,1,IF(U59&lt;Lookup!$F$51,2,IF(U59&lt;Lookup!$F$50,3,IF(U59&lt;Lookup!$F$49,4,5)))))))))))</f>
        <v>-5</v>
      </c>
      <c r="AM59" s="194" t="str">
        <f>VLOOKUP(AL59,Lookup!$G$48:$J$58,2,FALSE)</f>
        <v>B/C Ratio less than .02</v>
      </c>
      <c r="AN59" s="281" t="s">
        <v>3029</v>
      </c>
      <c r="AO59" s="181" t="str">
        <f>VLOOKUP(AP59,Lookup!$C$4:$D$14,2,FALSE)</f>
        <v>No Effect</v>
      </c>
      <c r="AP59" s="193">
        <f>IF(Q59=0,0,IF(Q59&gt;Lookup!$F$63,5,IF(Q59&gt;Lookup!$F$64,4,IF(Q59&gt;Lookup!$F$65,3,IF(Q59&gt;Lookup!$F$66,2,IF(Q59&gt;Lookup!$F$67,1,IF(Q59&gt;Lookup!$F$69,-1,IF(Q59&gt;Lookup!$F$70,-2,IF(Q59&gt;Lookup!$F$71,-3,IF(Q59&gt;Lookup!$F$72,-4,-5))))))))))</f>
        <v>0</v>
      </c>
      <c r="AQ59" s="194" t="str">
        <f>VLOOKUP(AP59,Lookup!$G$63:$J$73,2,FALSE)</f>
        <v>No change in yield</v>
      </c>
      <c r="AR59" s="281" t="s">
        <v>3081</v>
      </c>
      <c r="AS59" s="181" t="str">
        <f>VLOOKUP(AT59,Lookup!$C$4:$D$14,2,FALSE)</f>
        <v>No Effect</v>
      </c>
      <c r="AT59" s="193">
        <f>IF(V59=0,0,IF(V59&lt;Lookup!$F$79,5,IF(V59&lt;Lookup!$F$80,4,IF(V59&lt;Lookup!$F$81,3,IF(V59&lt;Lookup!$F$82,2,IF(V59&lt;Lookup!$F$83,1,IF(V59&lt;Lookup!$F$85,-1,IF(V59&lt;Lookup!$F$86,-2,IF(V59&lt;Lookup!$F$87,-3,IF(V59&lt;Lookup!$F$88,-4,-5))))))))))</f>
        <v>0</v>
      </c>
      <c r="AU59" s="194" t="str">
        <f>VLOOKUP(AT59,Lookup!$G$79:$J$89,2,FALSE)</f>
        <v>No breakeven</v>
      </c>
      <c r="AV59" s="345" t="str">
        <f>VLOOKUP(AT59,Lookup!$G$79:$J$89,4,FALSE)</f>
        <v>Annual costs greater than annual benefits</v>
      </c>
      <c r="AW59" s="181" t="str">
        <f>VLOOKUP(AX59,Lookup!$C$4:$D$14,2,FALSE)</f>
        <v>Slight Improvement</v>
      </c>
      <c r="AX59" s="193">
        <f>VLOOKUP(AY59,Lookup!$G$92:$J$97,4,FALSE)</f>
        <v>1</v>
      </c>
      <c r="AY59" s="181" t="s">
        <v>2636</v>
      </c>
      <c r="AZ59" s="281" t="s">
        <v>3167</v>
      </c>
      <c r="BA59" s="181" t="str">
        <f>VLOOKUP(BB59,Lookup!$C$4:$D$14,2,FALSE)</f>
        <v>Slight Worsening</v>
      </c>
      <c r="BB59" s="193">
        <f>VLOOKUP(BC59,Lookup!$G$100:$K$110,5,FALSE)</f>
        <v>-1</v>
      </c>
      <c r="BC59" s="181" t="s">
        <v>2637</v>
      </c>
      <c r="BD59" s="281" t="s">
        <v>3184</v>
      </c>
      <c r="BE59" s="181" t="str">
        <f>VLOOKUP(BF59,Lookup!$C$4:$D$14,2,FALSE)</f>
        <v>No Effect</v>
      </c>
      <c r="BF59" s="193">
        <f>IF(X59=0,0,IF(X59&gt;Lookup!$F$113,-5,IF(X59&gt;Lookup!$F$114,-4,IF(X59&gt;Lookup!$F$115,-3,IF(X59&gt;Lookup!$F$116,-2,IF(X59&gt;Lookup!$F$117,-1,0))))))</f>
        <v>0</v>
      </c>
      <c r="BG59" s="195" t="str">
        <f>VLOOKUP(BF59,Lookup!$G$113:$H$118,2,FALSE)</f>
        <v>No change in on-farm equipment</v>
      </c>
      <c r="BH59" s="281" t="s">
        <v>3231</v>
      </c>
      <c r="BI59" s="181" t="str">
        <f>VLOOKUP(BJ59,Lookup!$C$4:$D$14,2,FALSE)</f>
        <v>Slight Improvement</v>
      </c>
      <c r="BJ59" s="193">
        <f>VLOOKUP(BK59,Lookup!$G$121:$L$131,6,FALSE)</f>
        <v>1</v>
      </c>
      <c r="BK59" s="181" t="s">
        <v>2638</v>
      </c>
      <c r="BL59" s="281" t="s">
        <v>3287</v>
      </c>
      <c r="BM59" s="181" t="str">
        <f>VLOOKUP(BN59,Lookup!$C$4:$D$14,2,FALSE)</f>
        <v>Slight Worsening</v>
      </c>
      <c r="BN59" s="193">
        <f>VLOOKUP(BO59,Lookup!$G$134:$L$144,6,FALSE)</f>
        <v>-1</v>
      </c>
      <c r="BO59" s="181" t="s">
        <v>3373</v>
      </c>
      <c r="BP59" s="281" t="s">
        <v>3395</v>
      </c>
      <c r="BQ59" s="181" t="str">
        <f>VLOOKUP(BR59,Lookup!$C$4:$D$14,2,FALSE)</f>
        <v>Slight to Moderate Improvement</v>
      </c>
      <c r="BR59" s="193">
        <f>VLOOKUP(BS59,Lookup!$G$147:$L$157,6,FALSE)</f>
        <v>2</v>
      </c>
      <c r="BS59" s="181" t="s">
        <v>2641</v>
      </c>
      <c r="BT59" s="281" t="s">
        <v>3459</v>
      </c>
      <c r="BU59" s="175" t="s">
        <v>2231</v>
      </c>
    </row>
    <row r="60" spans="1:73" ht="39.950000000000003" customHeight="1" thickBot="1" x14ac:dyDescent="0.25">
      <c r="A60" s="173">
        <f t="shared" si="4"/>
        <v>58</v>
      </c>
      <c r="B60" s="178" t="s">
        <v>631</v>
      </c>
      <c r="C60" s="179" t="s">
        <v>1465</v>
      </c>
      <c r="D60" s="180">
        <v>422</v>
      </c>
      <c r="E60" s="180" t="s">
        <v>1944</v>
      </c>
      <c r="F60" s="273" t="str">
        <f>VLOOKUP($D60,'Practice Descriptions'!$E$11:$F$186,2,FALSE)</f>
        <v>Establishment of dense vegetation in a linear design to achieve a natural resource conservation purpose.</v>
      </c>
      <c r="G60" s="182">
        <v>15</v>
      </c>
      <c r="H60" s="183">
        <v>1</v>
      </c>
      <c r="I60" s="184">
        <v>0</v>
      </c>
      <c r="J60" s="184">
        <v>0.05</v>
      </c>
      <c r="K60" s="419">
        <f>IF(E60="No.",1,IF(E60="Ac.",1,(SQRT(VLOOKUP(O60,Lookup!$F$9:$H$18,3,FALSE)))*208/VLOOKUP(O60,Lookup!$F$9:$H$18,3,FALSE)))</f>
        <v>23.255106965997815</v>
      </c>
      <c r="L60" s="185" t="str">
        <f t="shared" si="0"/>
        <v>Assume length 1 side of square field (208'/Ac)</v>
      </c>
      <c r="M60" s="184">
        <v>0.01</v>
      </c>
      <c r="N60" s="186">
        <f>IF(G60=1,H60,PMT(Lookup!$G$4,G60,-H60)+(H60*J60)+(M60*P60))*K60</f>
        <v>73.187496214116791</v>
      </c>
      <c r="O60" s="187" t="s">
        <v>1110</v>
      </c>
      <c r="P60" s="186">
        <f>VLOOKUP($O60,Lookup!$F$9:$I$18,4,FALSE)</f>
        <v>300</v>
      </c>
      <c r="Q60" s="184">
        <v>0.01</v>
      </c>
      <c r="R60" s="183">
        <v>0.5</v>
      </c>
      <c r="S60" s="188" t="s">
        <v>3618</v>
      </c>
      <c r="T60" s="186">
        <f t="shared" si="2"/>
        <v>3.5</v>
      </c>
      <c r="U60" s="189">
        <f t="shared" si="3"/>
        <v>4.7822376513064827E-2</v>
      </c>
      <c r="V60" s="189">
        <f t="shared" si="1"/>
        <v>0</v>
      </c>
      <c r="W60" s="190">
        <f>IF(P60=0,0,IF(Q60+R60=0,0,PV(Lookup!$G$4,G60,-T60)/H60))</f>
        <v>36.023791743063917</v>
      </c>
      <c r="X60" s="190">
        <f>IF(I60=0,0,PMT(Lookup!$G$4,G60,-(H60*I60*K60))/P60)</f>
        <v>0</v>
      </c>
      <c r="Y60" s="42" t="s">
        <v>963</v>
      </c>
      <c r="Z60" s="192">
        <f>VLOOKUP(Y60,Lookup!$B$4:$C$14,2,FALSE)</f>
        <v>2</v>
      </c>
      <c r="AA60" s="281" t="s">
        <v>1848</v>
      </c>
      <c r="AB60" s="282" t="s">
        <v>1072</v>
      </c>
      <c r="AC60" s="181" t="str">
        <f>VLOOKUP(AD60,Lookup!$C$4:$D$14,2,FALSE)</f>
        <v>Substantial Worsening</v>
      </c>
      <c r="AD60" s="193">
        <f>IF(P60/H60&lt;Lookup!$F$33,-5,IF(P60/H60&lt;Lookup!$F$32,-4,IF(P60/H60&lt;Lookup!$F$31,-3,IF(P60/H60&lt;Lookup!$F$30,-2,IF(P60/H60&lt;Lookup!$F$29,-1,-5)))))</f>
        <v>-5</v>
      </c>
      <c r="AE60" s="194" t="str">
        <f>VLOOKUP(AD60,Lookup!$G$28:$J$33,2,FALSE)</f>
        <v>One-time practice implementation cost 5 times or greater enterprise annual net income</v>
      </c>
      <c r="AF60" s="281" t="s">
        <v>1891</v>
      </c>
      <c r="AG60" s="181" t="str">
        <f>VLOOKUP(AH60,Lookup!$C$4:$D$14,2,FALSE)</f>
        <v>Substantial Worsening</v>
      </c>
      <c r="AH60" s="193">
        <f>IF(J60&gt;Lookup!$F$43,-5,IF(J60&gt;Lookup!$F$42,-4,IF(J60&gt;Lookup!$F$41,-3,IF(J60&gt;Lookup!$F$40,-2,IF(J60&gt;Lookup!$F$39,-1,0)))))</f>
        <v>-5</v>
      </c>
      <c r="AI60" s="194" t="str">
        <f>VLOOKUP(AH60,Lookup!$G$38:$J$43,2,FALSE)</f>
        <v>Annual O&amp;M costs greater than 4% of total installation costs</v>
      </c>
      <c r="AJ60" s="281" t="s">
        <v>2978</v>
      </c>
      <c r="AK60" s="181" t="str">
        <f>VLOOKUP(AL60,Lookup!$C$4:$D$14,2,FALSE)</f>
        <v>Moderate to Substantial Worsening</v>
      </c>
      <c r="AL60" s="346">
        <f>IF(N60=0,0,IF(U60&lt;Lookup!$F$58,-5,IF(U60&lt;Lookup!$F$57,-4,IF(U60&lt;Lookup!$F$56,-3,IF(U60&lt;Lookup!$F$55,-2,IF(U60&lt;Lookup!$F$54,-1,IF(U60&lt;Lookup!$F$53,0,IF(U60&lt;Lookup!$F$52,1,IF(U60&lt;Lookup!$F$51,2,IF(U60&lt;Lookup!$F$50,3,IF(U60&lt;Lookup!$F$49,4,5)))))))))))</f>
        <v>-4</v>
      </c>
      <c r="AM60" s="194" t="str">
        <f>VLOOKUP(AL60,Lookup!$G$48:$J$58,2,FALSE)</f>
        <v>B/C Ratio .05 to .10</v>
      </c>
      <c r="AN60" s="281" t="s">
        <v>1843</v>
      </c>
      <c r="AO60" s="181" t="str">
        <f>VLOOKUP(AP60,Lookup!$C$4:$D$14,2,FALSE)</f>
        <v>Slight Improvement</v>
      </c>
      <c r="AP60" s="193">
        <f>IF(Q60=0,0,IF(Q60&gt;Lookup!$F$63,5,IF(Q60&gt;Lookup!$F$64,4,IF(Q60&gt;Lookup!$F$65,3,IF(Q60&gt;Lookup!$F$66,2,IF(Q60&gt;Lookup!$F$67,1,IF(Q60&gt;Lookup!$F$69,-1,IF(Q60&gt;Lookup!$F$70,-2,IF(Q60&gt;Lookup!$F$71,-3,IF(Q60&gt;Lookup!$F$72,-4,-5))))))))))</f>
        <v>1</v>
      </c>
      <c r="AQ60" s="194" t="str">
        <f>VLOOKUP(AP60,Lookup!$G$63:$J$73,2,FALSE)</f>
        <v>5% or less yield increase</v>
      </c>
      <c r="AR60" s="281" t="s">
        <v>3081</v>
      </c>
      <c r="AS60" s="181" t="str">
        <f>VLOOKUP(AT60,Lookup!$C$4:$D$14,2,FALSE)</f>
        <v>No Effect</v>
      </c>
      <c r="AT60" s="193">
        <f>IF(V60=0,0,IF(V60&lt;Lookup!$F$79,5,IF(V60&lt;Lookup!$F$80,4,IF(V60&lt;Lookup!$F$81,3,IF(V60&lt;Lookup!$F$82,2,IF(V60&lt;Lookup!$F$83,1,IF(V60&lt;Lookup!$F$85,-1,IF(V60&lt;Lookup!$F$86,-2,IF(V60&lt;Lookup!$F$87,-3,IF(V60&lt;Lookup!$F$88,-4,-5))))))))))</f>
        <v>0</v>
      </c>
      <c r="AU60" s="194" t="str">
        <f>VLOOKUP(AT60,Lookup!$G$79:$J$89,2,FALSE)</f>
        <v>No breakeven</v>
      </c>
      <c r="AV60" s="345" t="str">
        <f>VLOOKUP(AT60,Lookup!$G$79:$J$89,4,FALSE)</f>
        <v>Annual costs greater than annual benefits</v>
      </c>
      <c r="AW60" s="181" t="str">
        <f>VLOOKUP(AX60,Lookup!$C$4:$D$14,2,FALSE)</f>
        <v>Slight Improvement</v>
      </c>
      <c r="AX60" s="193">
        <f>VLOOKUP(AY60,Lookup!$G$92:$J$97,4,FALSE)</f>
        <v>1</v>
      </c>
      <c r="AY60" s="181" t="s">
        <v>2636</v>
      </c>
      <c r="AZ60" s="281" t="s">
        <v>1890</v>
      </c>
      <c r="BA60" s="181" t="str">
        <f>VLOOKUP(BB60,Lookup!$C$4:$D$14,2,FALSE)</f>
        <v>Slight Worsening</v>
      </c>
      <c r="BB60" s="193">
        <f>VLOOKUP(BC60,Lookup!$G$100:$K$110,5,FALSE)</f>
        <v>-1</v>
      </c>
      <c r="BC60" s="181" t="s">
        <v>2637</v>
      </c>
      <c r="BD60" s="281" t="s">
        <v>3184</v>
      </c>
      <c r="BE60" s="181" t="str">
        <f>VLOOKUP(BF60,Lookup!$C$4:$D$14,2,FALSE)</f>
        <v>No Effect</v>
      </c>
      <c r="BF60" s="193">
        <f>IF(X60=0,0,IF(X60&gt;Lookup!$F$113,-5,IF(X60&gt;Lookup!$F$114,-4,IF(X60&gt;Lookup!$F$115,-3,IF(X60&gt;Lookup!$F$116,-2,IF(X60&gt;Lookup!$F$117,-1,0))))))</f>
        <v>0</v>
      </c>
      <c r="BG60" s="195" t="str">
        <f>VLOOKUP(BF60,Lookup!$G$113:$H$118,2,FALSE)</f>
        <v>No change in on-farm equipment</v>
      </c>
      <c r="BH60" s="281" t="s">
        <v>3250</v>
      </c>
      <c r="BI60" s="181" t="str">
        <f>VLOOKUP(BJ60,Lookup!$C$4:$D$14,2,FALSE)</f>
        <v>Slight Worsening</v>
      </c>
      <c r="BJ60" s="193">
        <f>VLOOKUP(BK60,Lookup!$G$121:$L$131,6,FALSE)</f>
        <v>-1</v>
      </c>
      <c r="BK60" s="181" t="s">
        <v>2640</v>
      </c>
      <c r="BL60" s="281" t="s">
        <v>3288</v>
      </c>
      <c r="BM60" s="181" t="str">
        <f>VLOOKUP(BN60,Lookup!$C$4:$D$14,2,FALSE)</f>
        <v>Slight Worsening</v>
      </c>
      <c r="BN60" s="193">
        <f>VLOOKUP(BO60,Lookup!$G$134:$L$144,6,FALSE)</f>
        <v>-1</v>
      </c>
      <c r="BO60" s="181" t="s">
        <v>3373</v>
      </c>
      <c r="BP60" s="281" t="s">
        <v>3396</v>
      </c>
      <c r="BQ60" s="181" t="str">
        <f>VLOOKUP(BR60,Lookup!$C$4:$D$14,2,FALSE)</f>
        <v>Slight Worsening</v>
      </c>
      <c r="BR60" s="193">
        <f>VLOOKUP(BS60,Lookup!$G$147:$L$157,6,FALSE)</f>
        <v>-1</v>
      </c>
      <c r="BS60" s="181" t="s">
        <v>2658</v>
      </c>
      <c r="BT60" s="281" t="s">
        <v>3450</v>
      </c>
      <c r="BU60" s="175" t="s">
        <v>2231</v>
      </c>
    </row>
    <row r="61" spans="1:73" ht="39.950000000000003" customHeight="1" thickBot="1" x14ac:dyDescent="0.25">
      <c r="A61" s="173">
        <f t="shared" si="4"/>
        <v>59</v>
      </c>
      <c r="B61" s="178" t="s">
        <v>1017</v>
      </c>
      <c r="C61" s="179" t="s">
        <v>1603</v>
      </c>
      <c r="D61" s="180">
        <v>315</v>
      </c>
      <c r="E61" s="180" t="s">
        <v>3646</v>
      </c>
      <c r="F61" s="273" t="str">
        <f>VLOOKUP($D61,'Practice Descriptions'!$E$11:$F$186,2,FALSE)</f>
        <v>The removal or control of herbaceous weeds including invasive, noxious and prohibited plants.</v>
      </c>
      <c r="G61" s="182">
        <v>5</v>
      </c>
      <c r="H61" s="183">
        <v>75</v>
      </c>
      <c r="I61" s="184">
        <v>0</v>
      </c>
      <c r="J61" s="184">
        <v>0</v>
      </c>
      <c r="K61" s="419">
        <f>IF(E61="No.",1,IF(E61="Ac.",1,(SQRT(VLOOKUP(O61,Lookup!$F$9:$H$18,3,FALSE)))*208/VLOOKUP(O61,Lookup!$F$9:$H$18,3,FALSE)))</f>
        <v>1</v>
      </c>
      <c r="L61" s="185" t="str">
        <f t="shared" si="0"/>
        <v/>
      </c>
      <c r="M61" s="184">
        <v>0</v>
      </c>
      <c r="N61" s="186">
        <f>IF(G61=1,H61,PMT(Lookup!$G$4,G61,-H61)+(H61*J61)+(M61*P61))*K61</f>
        <v>17.383011088583604</v>
      </c>
      <c r="O61" s="181" t="s">
        <v>1260</v>
      </c>
      <c r="P61" s="186">
        <f>VLOOKUP($O61,Lookup!$F$9:$I$18,4,FALSE)</f>
        <v>50</v>
      </c>
      <c r="Q61" s="184">
        <v>0.35</v>
      </c>
      <c r="R61" s="183">
        <v>0</v>
      </c>
      <c r="S61" s="188"/>
      <c r="T61" s="186">
        <f t="shared" si="2"/>
        <v>17.5</v>
      </c>
      <c r="U61" s="189">
        <f t="shared" si="3"/>
        <v>1.0067300717246408</v>
      </c>
      <c r="V61" s="189">
        <f t="shared" si="1"/>
        <v>4.2857142857142856</v>
      </c>
      <c r="W61" s="190">
        <f>IF(P61=0,0,IF(Q61+R61=0,0,PV(Lookup!$G$4,G61,-T61)/H61))</f>
        <v>1.006730071724641</v>
      </c>
      <c r="X61" s="190">
        <f>IF(I61=0,0,PMT(Lookup!$G$4,G61,-(H61*I61*K61))/P61)</f>
        <v>0</v>
      </c>
      <c r="Y61" s="42" t="s">
        <v>958</v>
      </c>
      <c r="Z61" s="192">
        <f>VLOOKUP(Y61,Lookup!$B$4:$C$14,2,FALSE)</f>
        <v>-1</v>
      </c>
      <c r="AA61" s="281" t="s">
        <v>1855</v>
      </c>
      <c r="AB61" s="282" t="s">
        <v>1072</v>
      </c>
      <c r="AC61" s="181" t="str">
        <f>VLOOKUP(AD61,Lookup!$C$4:$D$14,2,FALSE)</f>
        <v>Moderate Worsening</v>
      </c>
      <c r="AD61" s="193">
        <f>IF(P61/H61&lt;Lookup!$F$33,-5,IF(P61/H61&lt;Lookup!$F$32,-4,IF(P61/H61&lt;Lookup!$F$31,-3,IF(P61/H61&lt;Lookup!$F$30,-2,IF(P61/H61&lt;Lookup!$F$29,-1,-5)))))</f>
        <v>-3</v>
      </c>
      <c r="AE61" s="194" t="str">
        <f>VLOOKUP(AD61,Lookup!$G$28:$J$33,2,FALSE)</f>
        <v>One-time practice implementation cost 1 to 2 times enterprise annual net income</v>
      </c>
      <c r="AF61" s="281" t="s">
        <v>2963</v>
      </c>
      <c r="AG61" s="181" t="str">
        <f>VLOOKUP(AH61,Lookup!$C$4:$D$14,2,FALSE)</f>
        <v>No Effect</v>
      </c>
      <c r="AH61" s="193">
        <f>IF(J61&gt;Lookup!$F$43,-5,IF(J61&gt;Lookup!$F$42,-4,IF(J61&gt;Lookup!$F$41,-3,IF(J61&gt;Lookup!$F$40,-2,IF(J61&gt;Lookup!$F$39,-1,0)))))</f>
        <v>0</v>
      </c>
      <c r="AI61" s="194" t="str">
        <f>VLOOKUP(AH61,Lookup!$G$38:$J$43,2,FALSE)</f>
        <v>No O&amp;M costs</v>
      </c>
      <c r="AJ61" s="281" t="s">
        <v>3005</v>
      </c>
      <c r="AK61" s="181" t="str">
        <f>VLOOKUP(AL61,Lookup!$C$4:$D$14,2,FALSE)</f>
        <v>No Effect</v>
      </c>
      <c r="AL61" s="346">
        <f>IF(N61=0,0,IF(U61&lt;Lookup!$F$58,-5,IF(U61&lt;Lookup!$F$57,-4,IF(U61&lt;Lookup!$F$56,-3,IF(U61&lt;Lookup!$F$55,-2,IF(U61&lt;Lookup!$F$54,-1,IF(U61&lt;Lookup!$F$53,0,IF(U61&lt;Lookup!$F$52,1,IF(U61&lt;Lookup!$F$51,2,IF(U61&lt;Lookup!$F$50,3,IF(U61&lt;Lookup!$F$49,4,5)))))))))))</f>
        <v>0</v>
      </c>
      <c r="AM61" s="194" t="str">
        <f>VLOOKUP(AL61,Lookup!$G$48:$J$58,2,FALSE)</f>
        <v>B/C Ratio .75 to 1.25</v>
      </c>
      <c r="AN61" s="281" t="s">
        <v>2936</v>
      </c>
      <c r="AO61" s="181" t="str">
        <f>VLOOKUP(AP61,Lookup!$C$4:$D$14,2,FALSE)</f>
        <v>Moderate to Substantial Improvement</v>
      </c>
      <c r="AP61" s="193">
        <f>IF(Q61=0,0,IF(Q61&gt;Lookup!$F$63,5,IF(Q61&gt;Lookup!$F$64,4,IF(Q61&gt;Lookup!$F$65,3,IF(Q61&gt;Lookup!$F$66,2,IF(Q61&gt;Lookup!$F$67,1,IF(Q61&gt;Lookup!$F$69,-1,IF(Q61&gt;Lookup!$F$70,-2,IF(Q61&gt;Lookup!$F$71,-3,IF(Q61&gt;Lookup!$F$72,-4,-5))))))))))</f>
        <v>4</v>
      </c>
      <c r="AQ61" s="194" t="str">
        <f>VLOOKUP(AP61,Lookup!$G$63:$J$73,2,FALSE)</f>
        <v>25 to 50% yield increase</v>
      </c>
      <c r="AR61" s="281" t="s">
        <v>3104</v>
      </c>
      <c r="AS61" s="181" t="str">
        <f>VLOOKUP(AT61,Lookup!$C$4:$D$14,2,FALSE)</f>
        <v>Slight Improvement</v>
      </c>
      <c r="AT61" s="193">
        <f>IF(V61=0,0,IF(V61&lt;Lookup!$F$79,5,IF(V61&lt;Lookup!$F$80,4,IF(V61&lt;Lookup!$F$81,3,IF(V61&lt;Lookup!$F$82,2,IF(V61&lt;Lookup!$F$83,1,IF(V61&lt;Lookup!$F$85,-1,IF(V61&lt;Lookup!$F$86,-2,IF(V61&lt;Lookup!$F$87,-3,IF(V61&lt;Lookup!$F$88,-4,-5))))))))))</f>
        <v>1</v>
      </c>
      <c r="AU61" s="194" t="str">
        <f>VLOOKUP(AT61,Lookup!$G$79:$J$89,2,FALSE)</f>
        <v>4-5 years to breakeven</v>
      </c>
      <c r="AV61" s="345" t="str">
        <f>VLOOKUP(AT61,Lookup!$G$79:$J$89,4,FALSE)</f>
        <v>Annual benefits moderately greater than annual costs</v>
      </c>
      <c r="AW61" s="181" t="str">
        <f>VLOOKUP(AX61,Lookup!$C$4:$D$14,2,FALSE)</f>
        <v>No Effect</v>
      </c>
      <c r="AX61" s="193">
        <f>VLOOKUP(AY61,Lookup!$G$92:$J$97,4,FALSE)</f>
        <v>0</v>
      </c>
      <c r="AY61" s="181" t="s">
        <v>2642</v>
      </c>
      <c r="AZ61" s="281" t="s">
        <v>2937</v>
      </c>
      <c r="BA61" s="181" t="str">
        <f>VLOOKUP(BB61,Lookup!$C$4:$D$14,2,FALSE)</f>
        <v>No Effect</v>
      </c>
      <c r="BB61" s="193">
        <f>VLOOKUP(BC61,Lookup!$G$100:$K$110,5,FALSE)</f>
        <v>0</v>
      </c>
      <c r="BC61" s="181" t="s">
        <v>2643</v>
      </c>
      <c r="BD61" s="281" t="s">
        <v>3154</v>
      </c>
      <c r="BE61" s="181" t="str">
        <f>VLOOKUP(BF61,Lookup!$C$4:$D$14,2,FALSE)</f>
        <v>No Effect</v>
      </c>
      <c r="BF61" s="193">
        <f>IF(X61=0,0,IF(X61&gt;Lookup!$F$113,-5,IF(X61&gt;Lookup!$F$114,-4,IF(X61&gt;Lookup!$F$115,-3,IF(X61&gt;Lookup!$F$116,-2,IF(X61&gt;Lookup!$F$117,-1,0))))))</f>
        <v>0</v>
      </c>
      <c r="BG61" s="195" t="str">
        <f>VLOOKUP(BF61,Lookup!$G$113:$H$118,2,FALSE)</f>
        <v>No change in on-farm equipment</v>
      </c>
      <c r="BH61" s="281" t="s">
        <v>1849</v>
      </c>
      <c r="BI61" s="181" t="str">
        <f>VLOOKUP(BJ61,Lookup!$C$4:$D$14,2,FALSE)</f>
        <v>Slight Worsening</v>
      </c>
      <c r="BJ61" s="193">
        <f>VLOOKUP(BK61,Lookup!$G$121:$L$131,6,FALSE)</f>
        <v>-1</v>
      </c>
      <c r="BK61" s="181" t="s">
        <v>2640</v>
      </c>
      <c r="BL61" s="281" t="s">
        <v>3289</v>
      </c>
      <c r="BM61" s="181" t="str">
        <f>VLOOKUP(BN61,Lookup!$C$4:$D$14,2,FALSE)</f>
        <v>Slight Worsening</v>
      </c>
      <c r="BN61" s="193">
        <f>VLOOKUP(BO61,Lookup!$G$134:$L$144,6,FALSE)</f>
        <v>-1</v>
      </c>
      <c r="BO61" s="181" t="s">
        <v>3373</v>
      </c>
      <c r="BP61" s="281" t="s">
        <v>3397</v>
      </c>
      <c r="BQ61" s="181" t="str">
        <f>VLOOKUP(BR61,Lookup!$C$4:$D$14,2,FALSE)</f>
        <v>Slight to Moderate Improvement</v>
      </c>
      <c r="BR61" s="193">
        <f>VLOOKUP(BS61,Lookup!$G$147:$L$157,6,FALSE)</f>
        <v>2</v>
      </c>
      <c r="BS61" s="181" t="s">
        <v>2641</v>
      </c>
      <c r="BT61" s="281" t="s">
        <v>3458</v>
      </c>
      <c r="BU61" s="175" t="s">
        <v>2231</v>
      </c>
    </row>
    <row r="62" spans="1:73" ht="39.950000000000003" customHeight="1" thickBot="1" x14ac:dyDescent="0.25">
      <c r="A62" s="173">
        <f t="shared" si="4"/>
        <v>60</v>
      </c>
      <c r="B62" s="178" t="s">
        <v>632</v>
      </c>
      <c r="C62" s="179" t="s">
        <v>1605</v>
      </c>
      <c r="D62" s="180">
        <v>603</v>
      </c>
      <c r="E62" s="180" t="s">
        <v>1944</v>
      </c>
      <c r="F62" s="273" t="str">
        <f>VLOOKUP($D62,'Practice Descriptions'!$E$11:$F$186,2,FALSE)</f>
        <v>Herbaceous vegetation established in rows or narrow strips in the field across the prevailing wind direction.</v>
      </c>
      <c r="G62" s="182">
        <v>5</v>
      </c>
      <c r="H62" s="183">
        <v>0.05</v>
      </c>
      <c r="I62" s="184">
        <v>0</v>
      </c>
      <c r="J62" s="184">
        <v>0.03</v>
      </c>
      <c r="K62" s="419">
        <f>IF(E62="No.",1,IF(E62="Ac.",1,(SQRT(VLOOKUP(O62,Lookup!$F$9:$H$18,3,FALSE)))*208/VLOOKUP(O62,Lookup!$F$9:$H$18,3,FALSE)))</f>
        <v>23.255106965997815</v>
      </c>
      <c r="L62" s="185" t="str">
        <f t="shared" si="0"/>
        <v>Assume length 1 side of square field (208'/Ac)</v>
      </c>
      <c r="M62" s="184">
        <v>0.01</v>
      </c>
      <c r="N62" s="186">
        <f>IF(G62=1,H62,PMT(Lookup!$G$4,G62,-H62)+(H62*J62)+(M62*P62))*K62</f>
        <v>70.069699413279864</v>
      </c>
      <c r="O62" s="187" t="s">
        <v>1110</v>
      </c>
      <c r="P62" s="186">
        <f>VLOOKUP($O62,Lookup!$F$9:$I$18,4,FALSE)</f>
        <v>300</v>
      </c>
      <c r="Q62" s="184">
        <v>0.1</v>
      </c>
      <c r="R62" s="183">
        <v>5</v>
      </c>
      <c r="S62" s="188" t="s">
        <v>3624</v>
      </c>
      <c r="T62" s="186">
        <f t="shared" si="2"/>
        <v>35</v>
      </c>
      <c r="U62" s="189">
        <f t="shared" si="3"/>
        <v>0.49950264227002911</v>
      </c>
      <c r="V62" s="189">
        <f t="shared" si="1"/>
        <v>0</v>
      </c>
      <c r="W62" s="190">
        <f>IF(P62=0,0,IF(Q62+R62=0,0,PV(Lookup!$G$4,G62,-T62)/H62))</f>
        <v>3020.1902151739228</v>
      </c>
      <c r="X62" s="190">
        <f>IF(I62=0,0,PMT(Lookup!$G$4,G62,-(H62*I62*K62))/P62)</f>
        <v>0</v>
      </c>
      <c r="Y62" s="42" t="s">
        <v>986</v>
      </c>
      <c r="Z62" s="192">
        <f>VLOOKUP(Y62,Lookup!$B$4:$C$14,2,FALSE)</f>
        <v>0</v>
      </c>
      <c r="AA62" s="281" t="s">
        <v>3542</v>
      </c>
      <c r="AB62" s="282" t="s">
        <v>1770</v>
      </c>
      <c r="AC62" s="181" t="str">
        <f>VLOOKUP(AD62,Lookup!$C$4:$D$14,2,FALSE)</f>
        <v>Substantial Worsening</v>
      </c>
      <c r="AD62" s="193">
        <f>IF(P62/H62&lt;Lookup!$F$33,-5,IF(P62/H62&lt;Lookup!$F$32,-4,IF(P62/H62&lt;Lookup!$F$31,-3,IF(P62/H62&lt;Lookup!$F$30,-2,IF(P62/H62&lt;Lookup!$F$29,-1,-5)))))</f>
        <v>-5</v>
      </c>
      <c r="AE62" s="194" t="str">
        <f>VLOOKUP(AD62,Lookup!$G$28:$J$33,2,FALSE)</f>
        <v>One-time practice implementation cost 5 times or greater enterprise annual net income</v>
      </c>
      <c r="AF62" s="281" t="s">
        <v>1891</v>
      </c>
      <c r="AG62" s="181" t="str">
        <f>VLOOKUP(AH62,Lookup!$C$4:$D$14,2,FALSE)</f>
        <v>Moderate Worsening</v>
      </c>
      <c r="AH62" s="193">
        <f>IF(J62&gt;Lookup!$F$43,-5,IF(J62&gt;Lookup!$F$42,-4,IF(J62&gt;Lookup!$F$41,-3,IF(J62&gt;Lookup!$F$40,-2,IF(J62&gt;Lookup!$F$39,-1,0)))))</f>
        <v>-3</v>
      </c>
      <c r="AI62" s="194" t="str">
        <f>VLOOKUP(AH62,Lookup!$G$38:$J$43,2,FALSE)</f>
        <v>Annual O&amp;M costs 2 to 3% of total installation costs</v>
      </c>
      <c r="AJ62" s="281" t="s">
        <v>2978</v>
      </c>
      <c r="AK62" s="181" t="str">
        <f>VLOOKUP(AL62,Lookup!$C$4:$D$14,2,FALSE)</f>
        <v>Slight to Moderate Worsening</v>
      </c>
      <c r="AL62" s="346">
        <f>IF(N62=0,0,IF(U62&lt;Lookup!$F$58,-5,IF(U62&lt;Lookup!$F$57,-4,IF(U62&lt;Lookup!$F$56,-3,IF(U62&lt;Lookup!$F$55,-2,IF(U62&lt;Lookup!$F$54,-1,IF(U62&lt;Lookup!$F$53,0,IF(U62&lt;Lookup!$F$52,1,IF(U62&lt;Lookup!$F$51,2,IF(U62&lt;Lookup!$F$50,3,IF(U62&lt;Lookup!$F$49,4,5)))))))))))</f>
        <v>-2</v>
      </c>
      <c r="AM62" s="194" t="str">
        <f>VLOOKUP(AL62,Lookup!$G$48:$J$58,2,FALSE)</f>
        <v>B/C Ratio .25 to .50</v>
      </c>
      <c r="AN62" s="281" t="s">
        <v>3043</v>
      </c>
      <c r="AO62" s="181" t="str">
        <f>VLOOKUP(AP62,Lookup!$C$4:$D$14,2,FALSE)</f>
        <v>Slight to Moderate Improvement</v>
      </c>
      <c r="AP62" s="193">
        <f>IF(Q62=0,0,IF(Q62&gt;Lookup!$F$63,5,IF(Q62&gt;Lookup!$F$64,4,IF(Q62&gt;Lookup!$F$65,3,IF(Q62&gt;Lookup!$F$66,2,IF(Q62&gt;Lookup!$F$67,1,IF(Q62&gt;Lookup!$F$69,-1,IF(Q62&gt;Lookup!$F$70,-2,IF(Q62&gt;Lookup!$F$71,-3,IF(Q62&gt;Lookup!$F$72,-4,-5))))))))))</f>
        <v>2</v>
      </c>
      <c r="AQ62" s="194" t="str">
        <f>VLOOKUP(AP62,Lookup!$G$63:$J$73,2,FALSE)</f>
        <v>5 to 10% yield increase</v>
      </c>
      <c r="AR62" s="281" t="s">
        <v>3105</v>
      </c>
      <c r="AS62" s="181" t="str">
        <f>VLOOKUP(AT62,Lookup!$C$4:$D$14,2,FALSE)</f>
        <v>No Effect</v>
      </c>
      <c r="AT62" s="193">
        <f>IF(V62=0,0,IF(V62&lt;Lookup!$F$79,5,IF(V62&lt;Lookup!$F$80,4,IF(V62&lt;Lookup!$F$81,3,IF(V62&lt;Lookup!$F$82,2,IF(V62&lt;Lookup!$F$83,1,IF(V62&lt;Lookup!$F$85,-1,IF(V62&lt;Lookup!$F$86,-2,IF(V62&lt;Lookup!$F$87,-3,IF(V62&lt;Lookup!$F$88,-4,-5))))))))))</f>
        <v>0</v>
      </c>
      <c r="AU62" s="194" t="str">
        <f>VLOOKUP(AT62,Lookup!$G$79:$J$89,2,FALSE)</f>
        <v>No breakeven</v>
      </c>
      <c r="AV62" s="345" t="str">
        <f>VLOOKUP(AT62,Lookup!$G$79:$J$89,4,FALSE)</f>
        <v>Annual costs greater than annual benefits</v>
      </c>
      <c r="AW62" s="181" t="str">
        <f>VLOOKUP(AX62,Lookup!$C$4:$D$14,2,FALSE)</f>
        <v>Slight Improvement</v>
      </c>
      <c r="AX62" s="193">
        <f>VLOOKUP(AY62,Lookup!$G$92:$J$97,4,FALSE)</f>
        <v>1</v>
      </c>
      <c r="AY62" s="181" t="s">
        <v>2636</v>
      </c>
      <c r="AZ62" s="281" t="s">
        <v>3168</v>
      </c>
      <c r="BA62" s="181" t="str">
        <f>VLOOKUP(BB62,Lookup!$C$4:$D$14,2,FALSE)</f>
        <v>Slight Worsening</v>
      </c>
      <c r="BB62" s="193">
        <f>VLOOKUP(BC62,Lookup!$G$100:$K$110,5,FALSE)</f>
        <v>-1</v>
      </c>
      <c r="BC62" s="181" t="s">
        <v>2637</v>
      </c>
      <c r="BD62" s="281" t="s">
        <v>3184</v>
      </c>
      <c r="BE62" s="181" t="str">
        <f>VLOOKUP(BF62,Lookup!$C$4:$D$14,2,FALSE)</f>
        <v>No Effect</v>
      </c>
      <c r="BF62" s="193">
        <f>IF(X62=0,0,IF(X62&gt;Lookup!$F$113,-5,IF(X62&gt;Lookup!$F$114,-4,IF(X62&gt;Lookup!$F$115,-3,IF(X62&gt;Lookup!$F$116,-2,IF(X62&gt;Lookup!$F$117,-1,0))))))</f>
        <v>0</v>
      </c>
      <c r="BG62" s="195" t="str">
        <f>VLOOKUP(BF62,Lookup!$G$113:$H$118,2,FALSE)</f>
        <v>No change in on-farm equipment</v>
      </c>
      <c r="BH62" s="281" t="s">
        <v>3231</v>
      </c>
      <c r="BI62" s="181" t="str">
        <f>VLOOKUP(BJ62,Lookup!$C$4:$D$14,2,FALSE)</f>
        <v>Slight Worsening</v>
      </c>
      <c r="BJ62" s="193">
        <f>VLOOKUP(BK62,Lookup!$G$121:$L$131,6,FALSE)</f>
        <v>-1</v>
      </c>
      <c r="BK62" s="181" t="s">
        <v>2640</v>
      </c>
      <c r="BL62" s="281" t="s">
        <v>3290</v>
      </c>
      <c r="BM62" s="181" t="str">
        <f>VLOOKUP(BN62,Lookup!$C$4:$D$14,2,FALSE)</f>
        <v>Slight Worsening</v>
      </c>
      <c r="BN62" s="193">
        <f>VLOOKUP(BO62,Lookup!$G$134:$L$144,6,FALSE)</f>
        <v>-1</v>
      </c>
      <c r="BO62" s="181" t="s">
        <v>3373</v>
      </c>
      <c r="BP62" s="281" t="s">
        <v>3397</v>
      </c>
      <c r="BQ62" s="181" t="str">
        <f>VLOOKUP(BR62,Lookup!$C$4:$D$14,2,FALSE)</f>
        <v>Slight to Moderate Improvement</v>
      </c>
      <c r="BR62" s="193">
        <f>VLOOKUP(BS62,Lookup!$G$147:$L$157,6,FALSE)</f>
        <v>2</v>
      </c>
      <c r="BS62" s="181" t="s">
        <v>2641</v>
      </c>
      <c r="BT62" s="281" t="s">
        <v>3450</v>
      </c>
      <c r="BU62" s="175" t="s">
        <v>2231</v>
      </c>
    </row>
    <row r="63" spans="1:73" ht="39.950000000000003" customHeight="1" thickBot="1" x14ac:dyDescent="0.25">
      <c r="A63" s="173">
        <f t="shared" si="4"/>
        <v>61</v>
      </c>
      <c r="B63" s="178" t="s">
        <v>633</v>
      </c>
      <c r="C63" s="179" t="s">
        <v>1597</v>
      </c>
      <c r="D63" s="180">
        <v>423</v>
      </c>
      <c r="E63" s="180" t="s">
        <v>1944</v>
      </c>
      <c r="F63" s="273" t="str">
        <f>VLOOKUP($D63,'Practice Descriptions'!$E$11:$F$186,2,FALSE)</f>
        <v>A channel that has a supporting ridge on the lower side constructed across the slope at definite vertical intervals and gradient, with or without a vegetative barrier.</v>
      </c>
      <c r="G63" s="182">
        <v>10</v>
      </c>
      <c r="H63" s="183">
        <v>2</v>
      </c>
      <c r="I63" s="184">
        <v>0.01</v>
      </c>
      <c r="J63" s="184">
        <v>0.2</v>
      </c>
      <c r="K63" s="419">
        <f>IF(E63="No.",1,IF(E63="Ac.",1,(SQRT(VLOOKUP(O63,Lookup!$F$9:$H$18,3,FALSE)))*208/VLOOKUP(O63,Lookup!$F$9:$H$18,3,FALSE)))</f>
        <v>16.443843832875572</v>
      </c>
      <c r="L63" s="185" t="str">
        <f t="shared" si="0"/>
        <v>Assume length 1 side of square field (208'/Ac)</v>
      </c>
      <c r="M63" s="184">
        <v>0</v>
      </c>
      <c r="N63" s="186">
        <f>IF(G63=1,H63,PMT(Lookup!$G$4,G63,-H63)+(H63*J63)+(M63*P63))*K63</f>
        <v>10.862536206667027</v>
      </c>
      <c r="O63" s="181" t="s">
        <v>1260</v>
      </c>
      <c r="P63" s="186">
        <f>VLOOKUP($O63,Lookup!$F$9:$I$18,4,FALSE)</f>
        <v>50</v>
      </c>
      <c r="Q63" s="184">
        <v>0.2</v>
      </c>
      <c r="R63" s="183">
        <v>5</v>
      </c>
      <c r="S63" s="188" t="s">
        <v>2660</v>
      </c>
      <c r="T63" s="186">
        <f t="shared" si="2"/>
        <v>15</v>
      </c>
      <c r="U63" s="189">
        <f t="shared" si="3"/>
        <v>1.3808929806644556</v>
      </c>
      <c r="V63" s="189">
        <f t="shared" si="1"/>
        <v>2.1925125110500763</v>
      </c>
      <c r="W63" s="190">
        <f>IF(P63=0,0,IF(Q63+R63=0,0,PV(Lookup!$G$4,G63,-T63)/H63))</f>
        <v>57.563065075746223</v>
      </c>
      <c r="X63" s="190">
        <f>IF(I63=0,0,PMT(Lookup!$G$4,G63,-(H63*I63*K63))/P63)</f>
        <v>8.5699973470335946E-4</v>
      </c>
      <c r="Y63" s="42" t="s">
        <v>963</v>
      </c>
      <c r="Z63" s="192">
        <f>VLOOKUP(Y63,Lookup!$B$4:$C$14,2,FALSE)</f>
        <v>2</v>
      </c>
      <c r="AA63" s="281" t="s">
        <v>227</v>
      </c>
      <c r="AB63" s="282" t="s">
        <v>1072</v>
      </c>
      <c r="AC63" s="181" t="str">
        <f>VLOOKUP(AD63,Lookup!$C$4:$D$14,2,FALSE)</f>
        <v>Slight Worsening</v>
      </c>
      <c r="AD63" s="193">
        <f>IF(P63/H63&lt;Lookup!$F$33,-5,IF(P63/H63&lt;Lookup!$F$32,-4,IF(P63/H63&lt;Lookup!$F$31,-3,IF(P63/H63&lt;Lookup!$F$30,-2,IF(P63/H63&lt;Lookup!$F$29,-1,-5)))))</f>
        <v>-1</v>
      </c>
      <c r="AE63" s="194" t="str">
        <f>VLOOKUP(AD63,Lookup!$G$28:$J$33,2,FALSE)</f>
        <v>One-time practice implementation cost 5% or less of enterprise annual net income</v>
      </c>
      <c r="AF63" s="281" t="s">
        <v>2964</v>
      </c>
      <c r="AG63" s="181" t="str">
        <f>VLOOKUP(AH63,Lookup!$C$4:$D$14,2,FALSE)</f>
        <v>Substantial Worsening</v>
      </c>
      <c r="AH63" s="193">
        <f>IF(J63&gt;Lookup!$F$43,-5,IF(J63&gt;Lookup!$F$42,-4,IF(J63&gt;Lookup!$F$41,-3,IF(J63&gt;Lookup!$F$40,-2,IF(J63&gt;Lookup!$F$39,-1,0)))))</f>
        <v>-5</v>
      </c>
      <c r="AI63" s="194" t="str">
        <f>VLOOKUP(AH63,Lookup!$G$38:$J$43,2,FALSE)</f>
        <v>Annual O&amp;M costs greater than 4% of total installation costs</v>
      </c>
      <c r="AJ63" s="281" t="s">
        <v>1892</v>
      </c>
      <c r="AK63" s="181" t="str">
        <f>VLOOKUP(AL63,Lookup!$C$4:$D$14,2,FALSE)</f>
        <v>Slight Improvement</v>
      </c>
      <c r="AL63" s="346">
        <f>IF(N63=0,0,IF(U63&lt;Lookup!$F$58,-5,IF(U63&lt;Lookup!$F$57,-4,IF(U63&lt;Lookup!$F$56,-3,IF(U63&lt;Lookup!$F$55,-2,IF(U63&lt;Lookup!$F$54,-1,IF(U63&lt;Lookup!$F$53,0,IF(U63&lt;Lookup!$F$52,1,IF(U63&lt;Lookup!$F$51,2,IF(U63&lt;Lookup!$F$50,3,IF(U63&lt;Lookup!$F$49,4,5)))))))))))</f>
        <v>1</v>
      </c>
      <c r="AM63" s="194" t="str">
        <f>VLOOKUP(AL63,Lookup!$G$48:$J$58,2,FALSE)</f>
        <v>B/C Ratio 1.25 to 1.50</v>
      </c>
      <c r="AN63" s="281" t="s">
        <v>3044</v>
      </c>
      <c r="AO63" s="181" t="str">
        <f>VLOOKUP(AP63,Lookup!$C$4:$D$14,2,FALSE)</f>
        <v>Slight to Moderate Improvement</v>
      </c>
      <c r="AP63" s="193">
        <f>IF(Q63=0,0,IF(Q63&gt;Lookup!$F$63,5,IF(Q63&gt;Lookup!$F$64,4,IF(Q63&gt;Lookup!$F$65,3,IF(Q63&gt;Lookup!$F$66,2,IF(Q63&gt;Lookup!$F$67,1,IF(Q63&gt;Lookup!$F$69,-1,IF(Q63&gt;Lookup!$F$70,-2,IF(Q63&gt;Lookup!$F$71,-3,IF(Q63&gt;Lookup!$F$72,-4,-5))))))))))</f>
        <v>2</v>
      </c>
      <c r="AQ63" s="194" t="str">
        <f>VLOOKUP(AP63,Lookup!$G$63:$J$73,2,FALSE)</f>
        <v>5 to 10% yield increase</v>
      </c>
      <c r="AR63" s="281" t="s">
        <v>3110</v>
      </c>
      <c r="AS63" s="181" t="str">
        <f>VLOOKUP(AT63,Lookup!$C$4:$D$14,2,FALSE)</f>
        <v>Moderate Improvement</v>
      </c>
      <c r="AT63" s="193">
        <f>IF(V63=0,0,IF(V63&lt;Lookup!$F$79,5,IF(V63&lt;Lookup!$F$80,4,IF(V63&lt;Lookup!$F$81,3,IF(V63&lt;Lookup!$F$82,2,IF(V63&lt;Lookup!$F$83,1,IF(V63&lt;Lookup!$F$85,-1,IF(V63&lt;Lookup!$F$86,-2,IF(V63&lt;Lookup!$F$87,-3,IF(V63&lt;Lookup!$F$88,-4,-5))))))))))</f>
        <v>3</v>
      </c>
      <c r="AU63" s="194" t="str">
        <f>VLOOKUP(AT63,Lookup!$G$79:$J$89,2,FALSE)</f>
        <v>2-3 years to breakeven</v>
      </c>
      <c r="AV63" s="345" t="str">
        <f>VLOOKUP(AT63,Lookup!$G$79:$J$89,4,FALSE)</f>
        <v>Annual benefits significantly greater than annual costs</v>
      </c>
      <c r="AW63" s="181" t="str">
        <f>VLOOKUP(AX63,Lookup!$C$4:$D$14,2,FALSE)</f>
        <v>Slight Improvement</v>
      </c>
      <c r="AX63" s="193">
        <f>VLOOKUP(AY63,Lookup!$G$92:$J$97,4,FALSE)</f>
        <v>1</v>
      </c>
      <c r="AY63" s="181" t="s">
        <v>2636</v>
      </c>
      <c r="AZ63" s="281" t="s">
        <v>3169</v>
      </c>
      <c r="BA63" s="181" t="str">
        <f>VLOOKUP(BB63,Lookup!$C$4:$D$14,2,FALSE)</f>
        <v>Slight Worsening</v>
      </c>
      <c r="BB63" s="193">
        <f>VLOOKUP(BC63,Lookup!$G$100:$K$110,5,FALSE)</f>
        <v>-1</v>
      </c>
      <c r="BC63" s="181" t="s">
        <v>2637</v>
      </c>
      <c r="BD63" s="281" t="s">
        <v>3184</v>
      </c>
      <c r="BE63" s="181" t="str">
        <f>VLOOKUP(BF63,Lookup!$C$4:$D$14,2,FALSE)</f>
        <v>Slight Worsening</v>
      </c>
      <c r="BF63" s="193">
        <f>IF(X63=0,0,IF(X63&gt;Lookup!$F$113,-5,IF(X63&gt;Lookup!$F$114,-4,IF(X63&gt;Lookup!$F$115,-3,IF(X63&gt;Lookup!$F$116,-2,IF(X63&gt;Lookup!$F$117,-1,0))))))</f>
        <v>-1</v>
      </c>
      <c r="BG63" s="195" t="str">
        <f>VLOOKUP(BF63,Lookup!$G$113:$H$118,2,FALSE)</f>
        <v>Annual on-farm equipment costs 5% or less of enterprise annual net income</v>
      </c>
      <c r="BH63" s="281" t="s">
        <v>3241</v>
      </c>
      <c r="BI63" s="181" t="str">
        <f>VLOOKUP(BJ63,Lookup!$C$4:$D$14,2,FALSE)</f>
        <v>Slight Worsening</v>
      </c>
      <c r="BJ63" s="193">
        <f>VLOOKUP(BK63,Lookup!$G$121:$L$131,6,FALSE)</f>
        <v>-1</v>
      </c>
      <c r="BK63" s="181" t="s">
        <v>2640</v>
      </c>
      <c r="BL63" s="281" t="s">
        <v>3291</v>
      </c>
      <c r="BM63" s="181" t="str">
        <f>VLOOKUP(BN63,Lookup!$C$4:$D$14,2,FALSE)</f>
        <v>Slight Improvement</v>
      </c>
      <c r="BN63" s="193">
        <f>VLOOKUP(BO63,Lookup!$G$134:$L$144,6,FALSE)</f>
        <v>1</v>
      </c>
      <c r="BO63" s="181" t="s">
        <v>3370</v>
      </c>
      <c r="BP63" s="281" t="s">
        <v>3398</v>
      </c>
      <c r="BQ63" s="181" t="str">
        <f>VLOOKUP(BR63,Lookup!$C$4:$D$14,2,FALSE)</f>
        <v>Moderate to Substantial Improvement</v>
      </c>
      <c r="BR63" s="193">
        <f>VLOOKUP(BS63,Lookup!$G$147:$L$157,6,FALSE)</f>
        <v>4</v>
      </c>
      <c r="BS63" s="181" t="s">
        <v>2645</v>
      </c>
      <c r="BT63" s="281" t="s">
        <v>3461</v>
      </c>
      <c r="BU63" s="175" t="s">
        <v>2231</v>
      </c>
    </row>
    <row r="64" spans="1:73" ht="39.950000000000003" customHeight="1" thickBot="1" x14ac:dyDescent="0.25">
      <c r="A64" s="173">
        <f t="shared" si="4"/>
        <v>62</v>
      </c>
      <c r="B64" s="178" t="s">
        <v>374</v>
      </c>
      <c r="C64" s="179" t="s">
        <v>1473</v>
      </c>
      <c r="D64" s="180">
        <v>595</v>
      </c>
      <c r="E64" s="180" t="s">
        <v>3646</v>
      </c>
      <c r="F64" s="273" t="str">
        <f>VLOOKUP($D64,'Practice Descriptions'!$E$11:$F$186,2,FALSE)</f>
        <v>A site-specific combination of pest prevention, pest avoidance, pest monitoring, and pest suppression strategies.</v>
      </c>
      <c r="G64" s="182">
        <v>1</v>
      </c>
      <c r="H64" s="183">
        <v>25</v>
      </c>
      <c r="I64" s="184">
        <v>0.03</v>
      </c>
      <c r="J64" s="184">
        <v>0</v>
      </c>
      <c r="K64" s="419">
        <f>IF(E64="No.",1,IF(E64="Ac.",1,(SQRT(VLOOKUP(O64,Lookup!$F$9:$H$18,3,FALSE)))*208/VLOOKUP(O64,Lookup!$F$9:$H$18,3,FALSE)))</f>
        <v>1</v>
      </c>
      <c r="L64" s="185" t="str">
        <f t="shared" si="0"/>
        <v/>
      </c>
      <c r="M64" s="184">
        <v>0</v>
      </c>
      <c r="N64" s="186">
        <f>IF(G64=1,H64,PMT(Lookup!$G$4,G64,-H64)+(H64*J64)+(M64*P64))*K64</f>
        <v>25</v>
      </c>
      <c r="O64" s="187" t="s">
        <v>1110</v>
      </c>
      <c r="P64" s="186">
        <f>VLOOKUP($O64,Lookup!$F$9:$I$18,4,FALSE)</f>
        <v>300</v>
      </c>
      <c r="Q64" s="184">
        <v>0.1</v>
      </c>
      <c r="R64" s="183">
        <v>1</v>
      </c>
      <c r="S64" s="188" t="s">
        <v>3625</v>
      </c>
      <c r="T64" s="186">
        <f t="shared" si="2"/>
        <v>31</v>
      </c>
      <c r="U64" s="189">
        <f t="shared" si="3"/>
        <v>1.24</v>
      </c>
      <c r="V64" s="189">
        <f t="shared" si="1"/>
        <v>0.80645161290322576</v>
      </c>
      <c r="W64" s="190">
        <f>IF(P64=0,0,IF(Q64+R64=0,0,PV(Lookup!$G$4,G64,-T64)/H64))</f>
        <v>1.1795481569560053</v>
      </c>
      <c r="X64" s="190">
        <f>IF(I64=0,0,PMT(Lookup!$G$4,G64,-(H64*I64*K64))/P64)</f>
        <v>2.6281250000000003E-3</v>
      </c>
      <c r="Y64" s="42" t="s">
        <v>986</v>
      </c>
      <c r="Z64" s="192">
        <f>VLOOKUP(Y64,Lookup!$B$4:$C$14,2,FALSE)</f>
        <v>0</v>
      </c>
      <c r="AA64" s="281" t="s">
        <v>2759</v>
      </c>
      <c r="AB64" s="282" t="s">
        <v>1072</v>
      </c>
      <c r="AC64" s="181" t="str">
        <f>VLOOKUP(AD64,Lookup!$C$4:$D$14,2,FALSE)</f>
        <v>Slight to Moderate Worsening</v>
      </c>
      <c r="AD64" s="193">
        <f>IF(P64/H64&lt;Lookup!$F$33,-5,IF(P64/H64&lt;Lookup!$F$32,-4,IF(P64/H64&lt;Lookup!$F$31,-3,IF(P64/H64&lt;Lookup!$F$30,-2,IF(P64/H64&lt;Lookup!$F$29,-1,-5)))))</f>
        <v>-2</v>
      </c>
      <c r="AE64" s="194" t="str">
        <f>VLOOKUP(AD64,Lookup!$G$28:$J$33,2,FALSE)</f>
        <v>One-time practice implementation cost 5 to 100% of enterprise annual net income</v>
      </c>
      <c r="AF64" s="281" t="s">
        <v>1894</v>
      </c>
      <c r="AG64" s="181" t="str">
        <f>VLOOKUP(AH64,Lookup!$C$4:$D$14,2,FALSE)</f>
        <v>No Effect</v>
      </c>
      <c r="AH64" s="193">
        <f>IF(J64&gt;Lookup!$F$43,-5,IF(J64&gt;Lookup!$F$42,-4,IF(J64&gt;Lookup!$F$41,-3,IF(J64&gt;Lookup!$F$40,-2,IF(J64&gt;Lookup!$F$39,-1,0)))))</f>
        <v>0</v>
      </c>
      <c r="AI64" s="194" t="str">
        <f>VLOOKUP(AH64,Lookup!$G$38:$J$43,2,FALSE)</f>
        <v>No O&amp;M costs</v>
      </c>
      <c r="AJ64" s="281" t="s">
        <v>3005</v>
      </c>
      <c r="AK64" s="181" t="str">
        <f>VLOOKUP(AL64,Lookup!$C$4:$D$14,2,FALSE)</f>
        <v>No Effect</v>
      </c>
      <c r="AL64" s="346">
        <f>IF(N64=0,0,IF(U64&lt;Lookup!$F$58,-5,IF(U64&lt;Lookup!$F$57,-4,IF(U64&lt;Lookup!$F$56,-3,IF(U64&lt;Lookup!$F$55,-2,IF(U64&lt;Lookup!$F$54,-1,IF(U64&lt;Lookup!$F$53,0,IF(U64&lt;Lookup!$F$52,1,IF(U64&lt;Lookup!$F$51,2,IF(U64&lt;Lookup!$F$50,3,IF(U64&lt;Lookup!$F$49,4,5)))))))))))</f>
        <v>0</v>
      </c>
      <c r="AM64" s="194" t="str">
        <f>VLOOKUP(AL64,Lookup!$G$48:$J$58,2,FALSE)</f>
        <v>B/C Ratio .75 to 1.25</v>
      </c>
      <c r="AN64" s="281" t="s">
        <v>3543</v>
      </c>
      <c r="AO64" s="181" t="str">
        <f>VLOOKUP(AP64,Lookup!$C$4:$D$14,2,FALSE)</f>
        <v>Slight to Moderate Improvement</v>
      </c>
      <c r="AP64" s="193">
        <f>IF(Q64=0,0,IF(Q64&gt;Lookup!$F$63,5,IF(Q64&gt;Lookup!$F$64,4,IF(Q64&gt;Lookup!$F$65,3,IF(Q64&gt;Lookup!$F$66,2,IF(Q64&gt;Lookup!$F$67,1,IF(Q64&gt;Lookup!$F$69,-1,IF(Q64&gt;Lookup!$F$70,-2,IF(Q64&gt;Lookup!$F$71,-3,IF(Q64&gt;Lookup!$F$72,-4,-5))))))))))</f>
        <v>2</v>
      </c>
      <c r="AQ64" s="194" t="str">
        <f>VLOOKUP(AP64,Lookup!$G$63:$J$73,2,FALSE)</f>
        <v>5 to 10% yield increase</v>
      </c>
      <c r="AR64" s="281" t="s">
        <v>3107</v>
      </c>
      <c r="AS64" s="181" t="str">
        <f>VLOOKUP(AT64,Lookup!$C$4:$D$14,2,FALSE)</f>
        <v>Substantial Improvement</v>
      </c>
      <c r="AT64" s="193">
        <f>IF(V64=0,0,IF(V64&lt;Lookup!$F$79,5,IF(V64&lt;Lookup!$F$80,4,IF(V64&lt;Lookup!$F$81,3,IF(V64&lt;Lookup!$F$82,2,IF(V64&lt;Lookup!$F$83,1,IF(V64&lt;Lookup!$F$85,-1,IF(V64&lt;Lookup!$F$86,-2,IF(V64&lt;Lookup!$F$87,-3,IF(V64&lt;Lookup!$F$88,-4,-5))))))))))</f>
        <v>5</v>
      </c>
      <c r="AU64" s="194" t="str">
        <f>VLOOKUP(AT64,Lookup!$G$79:$J$89,2,FALSE)</f>
        <v>1 or less years to breakeven</v>
      </c>
      <c r="AV64" s="345" t="str">
        <f>VLOOKUP(AT64,Lookup!$G$79:$J$89,4,FALSE)</f>
        <v>Annual benefits significantly greater than annual costs</v>
      </c>
      <c r="AW64" s="181" t="str">
        <f>VLOOKUP(AX64,Lookup!$C$4:$D$14,2,FALSE)</f>
        <v>No Effect</v>
      </c>
      <c r="AX64" s="193">
        <f>VLOOKUP(AY64,Lookup!$G$92:$J$97,4,FALSE)</f>
        <v>0</v>
      </c>
      <c r="AY64" s="181" t="s">
        <v>2642</v>
      </c>
      <c r="AZ64" s="281" t="s">
        <v>3154</v>
      </c>
      <c r="BA64" s="181" t="str">
        <f>VLOOKUP(BB64,Lookup!$C$4:$D$14,2,FALSE)</f>
        <v>No Effect</v>
      </c>
      <c r="BB64" s="193">
        <f>VLOOKUP(BC64,Lookup!$G$100:$K$110,5,FALSE)</f>
        <v>0</v>
      </c>
      <c r="BC64" s="181" t="s">
        <v>2643</v>
      </c>
      <c r="BD64" s="281" t="s">
        <v>3154</v>
      </c>
      <c r="BE64" s="181" t="str">
        <f>VLOOKUP(BF64,Lookup!$C$4:$D$14,2,FALSE)</f>
        <v>Slight Worsening</v>
      </c>
      <c r="BF64" s="193">
        <f>IF(X64=0,0,IF(X64&gt;Lookup!$F$113,-5,IF(X64&gt;Lookup!$F$114,-4,IF(X64&gt;Lookup!$F$115,-3,IF(X64&gt;Lookup!$F$116,-2,IF(X64&gt;Lookup!$F$117,-1,0))))))</f>
        <v>-1</v>
      </c>
      <c r="BG64" s="195" t="str">
        <f>VLOOKUP(BF64,Lookup!$G$113:$H$118,2,FALSE)</f>
        <v>Annual on-farm equipment costs 5% or less of enterprise annual net income</v>
      </c>
      <c r="BH64" s="281" t="s">
        <v>1893</v>
      </c>
      <c r="BI64" s="181" t="str">
        <f>VLOOKUP(BJ64,Lookup!$C$4:$D$14,2,FALSE)</f>
        <v>Slight Worsening</v>
      </c>
      <c r="BJ64" s="193">
        <f>VLOOKUP(BK64,Lookup!$G$121:$L$131,6,FALSE)</f>
        <v>-1</v>
      </c>
      <c r="BK64" s="181" t="s">
        <v>2640</v>
      </c>
      <c r="BL64" s="281" t="s">
        <v>3292</v>
      </c>
      <c r="BM64" s="181" t="str">
        <f>VLOOKUP(BN64,Lookup!$C$4:$D$14,2,FALSE)</f>
        <v>Moderate Worsening</v>
      </c>
      <c r="BN64" s="193">
        <f>VLOOKUP(BO64,Lookup!$G$134:$L$144,6,FALSE)</f>
        <v>-3</v>
      </c>
      <c r="BO64" s="181" t="s">
        <v>2654</v>
      </c>
      <c r="BP64" s="281" t="s">
        <v>3544</v>
      </c>
      <c r="BQ64" s="181" t="str">
        <f>VLOOKUP(BR64,Lookup!$C$4:$D$14,2,FALSE)</f>
        <v>Slight to Moderate Improvement</v>
      </c>
      <c r="BR64" s="193">
        <f>VLOOKUP(BS64,Lookup!$G$147:$L$157,6,FALSE)</f>
        <v>2</v>
      </c>
      <c r="BS64" s="181" t="s">
        <v>2641</v>
      </c>
      <c r="BT64" s="281" t="s">
        <v>3460</v>
      </c>
      <c r="BU64" s="175" t="s">
        <v>2231</v>
      </c>
    </row>
    <row r="65" spans="1:73" ht="39.950000000000003" customHeight="1" thickBot="1" x14ac:dyDescent="0.25">
      <c r="A65" s="173">
        <f t="shared" si="4"/>
        <v>63</v>
      </c>
      <c r="B65" s="178" t="s">
        <v>634</v>
      </c>
      <c r="C65" s="179" t="s">
        <v>1601</v>
      </c>
      <c r="D65" s="180">
        <v>320</v>
      </c>
      <c r="E65" s="180" t="s">
        <v>1944</v>
      </c>
      <c r="F65" s="273" t="str">
        <f>VLOOKUP($D65,'Practice Descriptions'!$E$11:$F$186,2,FALSE)</f>
        <v>A permanent channel constructed to convey irrigation water from the source of supply to one or more irrigated areas.</v>
      </c>
      <c r="G65" s="182">
        <v>15</v>
      </c>
      <c r="H65" s="183">
        <v>3</v>
      </c>
      <c r="I65" s="184">
        <v>0.01</v>
      </c>
      <c r="J65" s="184">
        <v>0.05</v>
      </c>
      <c r="K65" s="419">
        <f>IF(E65="No.",1,IF(E65="Ac.",1,(SQRT(VLOOKUP(O65,Lookup!$F$9:$H$18,3,FALSE)))*208/VLOOKUP(O65,Lookup!$F$9:$H$18,3,FALSE)))</f>
        <v>46.510213931995629</v>
      </c>
      <c r="L65" s="185" t="str">
        <f t="shared" si="0"/>
        <v>Assume length 1 side of square field (208'/Ac)</v>
      </c>
      <c r="M65" s="184">
        <v>0</v>
      </c>
      <c r="N65" s="186">
        <f>IF(G65=1,H65,PMT(Lookup!$G$4,G65,-H65)+(H65*J65)+(M65*P65))*K65</f>
        <v>20.533051896740083</v>
      </c>
      <c r="O65" s="187" t="s">
        <v>2225</v>
      </c>
      <c r="P65" s="186">
        <f>VLOOKUP($O65,Lookup!$F$9:$I$18,4,FALSE)</f>
        <v>100</v>
      </c>
      <c r="Q65" s="184">
        <v>0.2</v>
      </c>
      <c r="R65" s="183">
        <v>0.5</v>
      </c>
      <c r="S65" s="188" t="s">
        <v>2660</v>
      </c>
      <c r="T65" s="186">
        <f t="shared" si="2"/>
        <v>20.5</v>
      </c>
      <c r="U65" s="189">
        <f t="shared" si="3"/>
        <v>0.99839030764124592</v>
      </c>
      <c r="V65" s="189">
        <f t="shared" si="1"/>
        <v>0</v>
      </c>
      <c r="W65" s="190">
        <f>IF(P65=0,0,IF(Q65+R65=0,0,PV(Lookup!$G$4,G65,-T65)/H65))</f>
        <v>70.332164831696218</v>
      </c>
      <c r="X65" s="190">
        <f>IF(I65=0,0,PMT(Lookup!$G$4,G65,-(H65*I65*K65))/P65)</f>
        <v>1.3556519806940737E-3</v>
      </c>
      <c r="Y65" s="42" t="s">
        <v>986</v>
      </c>
      <c r="Z65" s="192">
        <f>VLOOKUP(Y65,Lookup!$B$4:$C$14,2,FALSE)</f>
        <v>0</v>
      </c>
      <c r="AA65" s="281" t="s">
        <v>1895</v>
      </c>
      <c r="AB65" s="282" t="s">
        <v>1072</v>
      </c>
      <c r="AC65" s="181" t="str">
        <f>VLOOKUP(AD65,Lookup!$C$4:$D$14,2,FALSE)</f>
        <v>Slight Worsening</v>
      </c>
      <c r="AD65" s="193">
        <f>IF(P65/H65&lt;Lookup!$F$33,-5,IF(P65/H65&lt;Lookup!$F$32,-4,IF(P65/H65&lt;Lookup!$F$31,-3,IF(P65/H65&lt;Lookup!$F$30,-2,IF(P65/H65&lt;Lookup!$F$29,-1,-5)))))</f>
        <v>-1</v>
      </c>
      <c r="AE65" s="194" t="str">
        <f>VLOOKUP(AD65,Lookup!$G$28:$J$33,2,FALSE)</f>
        <v>One-time practice implementation cost 5% or less of enterprise annual net income</v>
      </c>
      <c r="AF65" s="281" t="s">
        <v>1847</v>
      </c>
      <c r="AG65" s="181" t="str">
        <f>VLOOKUP(AH65,Lookup!$C$4:$D$14,2,FALSE)</f>
        <v>Substantial Worsening</v>
      </c>
      <c r="AH65" s="193">
        <f>IF(J65&gt;Lookup!$F$43,-5,IF(J65&gt;Lookup!$F$42,-4,IF(J65&gt;Lookup!$F$41,-3,IF(J65&gt;Lookup!$F$40,-2,IF(J65&gt;Lookup!$F$39,-1,0)))))</f>
        <v>-5</v>
      </c>
      <c r="AI65" s="194" t="str">
        <f>VLOOKUP(AH65,Lookup!$G$38:$J$43,2,FALSE)</f>
        <v>Annual O&amp;M costs greater than 4% of total installation costs</v>
      </c>
      <c r="AJ65" s="281" t="s">
        <v>2987</v>
      </c>
      <c r="AK65" s="181" t="str">
        <f>VLOOKUP(AL65,Lookup!$C$4:$D$14,2,FALSE)</f>
        <v>No Effect</v>
      </c>
      <c r="AL65" s="346">
        <f>IF(N65=0,0,IF(U65&lt;Lookup!$F$58,-5,IF(U65&lt;Lookup!$F$57,-4,IF(U65&lt;Lookup!$F$56,-3,IF(U65&lt;Lookup!$F$55,-2,IF(U65&lt;Lookup!$F$54,-1,IF(U65&lt;Lookup!$F$53,0,IF(U65&lt;Lookup!$F$52,1,IF(U65&lt;Lookup!$F$51,2,IF(U65&lt;Lookup!$F$50,3,IF(U65&lt;Lookup!$F$49,4,5)))))))))))</f>
        <v>0</v>
      </c>
      <c r="AM65" s="194" t="str">
        <f>VLOOKUP(AL65,Lookup!$G$48:$J$58,2,FALSE)</f>
        <v>B/C Ratio .75 to 1.25</v>
      </c>
      <c r="AN65" s="281" t="s">
        <v>3044</v>
      </c>
      <c r="AO65" s="181" t="str">
        <f>VLOOKUP(AP65,Lookup!$C$4:$D$14,2,FALSE)</f>
        <v>Slight to Moderate Improvement</v>
      </c>
      <c r="AP65" s="193">
        <f>IF(Q65=0,0,IF(Q65&gt;Lookup!$F$63,5,IF(Q65&gt;Lookup!$F$64,4,IF(Q65&gt;Lookup!$F$65,3,IF(Q65&gt;Lookup!$F$66,2,IF(Q65&gt;Lookup!$F$67,1,IF(Q65&gt;Lookup!$F$69,-1,IF(Q65&gt;Lookup!$F$70,-2,IF(Q65&gt;Lookup!$F$71,-3,IF(Q65&gt;Lookup!$F$72,-4,-5))))))))))</f>
        <v>2</v>
      </c>
      <c r="AQ65" s="194" t="str">
        <f>VLOOKUP(AP65,Lookup!$G$63:$J$73,2,FALSE)</f>
        <v>5 to 10% yield increase</v>
      </c>
      <c r="AR65" s="281" t="s">
        <v>3106</v>
      </c>
      <c r="AS65" s="181" t="str">
        <f>VLOOKUP(AT65,Lookup!$C$4:$D$14,2,FALSE)</f>
        <v>No Effect</v>
      </c>
      <c r="AT65" s="193">
        <f>IF(V65=0,0,IF(V65&lt;Lookup!$F$79,5,IF(V65&lt;Lookup!$F$80,4,IF(V65&lt;Lookup!$F$81,3,IF(V65&lt;Lookup!$F$82,2,IF(V65&lt;Lookup!$F$83,1,IF(V65&lt;Lookup!$F$85,-1,IF(V65&lt;Lookup!$F$86,-2,IF(V65&lt;Lookup!$F$87,-3,IF(V65&lt;Lookup!$F$88,-4,-5))))))))))</f>
        <v>0</v>
      </c>
      <c r="AU65" s="194" t="str">
        <f>VLOOKUP(AT65,Lookup!$G$79:$J$89,2,FALSE)</f>
        <v>No breakeven</v>
      </c>
      <c r="AV65" s="345" t="str">
        <f>VLOOKUP(AT65,Lookup!$G$79:$J$89,4,FALSE)</f>
        <v>Annual costs greater than annual benefits</v>
      </c>
      <c r="AW65" s="181" t="str">
        <f>VLOOKUP(AX65,Lookup!$C$4:$D$14,2,FALSE)</f>
        <v>Slight Improvement</v>
      </c>
      <c r="AX65" s="193">
        <f>VLOOKUP(AY65,Lookup!$G$92:$J$97,4,FALSE)</f>
        <v>1</v>
      </c>
      <c r="AY65" s="181" t="s">
        <v>2636</v>
      </c>
      <c r="AZ65" s="281" t="s">
        <v>3169</v>
      </c>
      <c r="BA65" s="181" t="str">
        <f>VLOOKUP(BB65,Lookup!$C$4:$D$14,2,FALSE)</f>
        <v>Slight Worsening</v>
      </c>
      <c r="BB65" s="193">
        <f>VLOOKUP(BC65,Lookup!$G$100:$K$110,5,FALSE)</f>
        <v>-1</v>
      </c>
      <c r="BC65" s="181" t="s">
        <v>2637</v>
      </c>
      <c r="BD65" s="281" t="s">
        <v>3184</v>
      </c>
      <c r="BE65" s="181" t="str">
        <f>VLOOKUP(BF65,Lookup!$C$4:$D$14,2,FALSE)</f>
        <v>Slight Worsening</v>
      </c>
      <c r="BF65" s="193">
        <f>IF(X65=0,0,IF(X65&gt;Lookup!$F$113,-5,IF(X65&gt;Lookup!$F$114,-4,IF(X65&gt;Lookup!$F$115,-3,IF(X65&gt;Lookup!$F$116,-2,IF(X65&gt;Lookup!$F$117,-1,0))))))</f>
        <v>-1</v>
      </c>
      <c r="BG65" s="195" t="str">
        <f>VLOOKUP(BF65,Lookup!$G$113:$H$118,2,FALSE)</f>
        <v>Annual on-farm equipment costs 5% or less of enterprise annual net income</v>
      </c>
      <c r="BH65" s="281" t="s">
        <v>3241</v>
      </c>
      <c r="BI65" s="181" t="str">
        <f>VLOOKUP(BJ65,Lookup!$C$4:$D$14,2,FALSE)</f>
        <v>Slight Worsening</v>
      </c>
      <c r="BJ65" s="193">
        <f>VLOOKUP(BK65,Lookup!$G$121:$L$131,6,FALSE)</f>
        <v>-1</v>
      </c>
      <c r="BK65" s="181" t="s">
        <v>2640</v>
      </c>
      <c r="BL65" s="281" t="s">
        <v>3293</v>
      </c>
      <c r="BM65" s="181" t="str">
        <f>VLOOKUP(BN65,Lookup!$C$4:$D$14,2,FALSE)</f>
        <v>Slight Worsening</v>
      </c>
      <c r="BN65" s="193">
        <f>VLOOKUP(BO65,Lookup!$G$134:$L$144,6,FALSE)</f>
        <v>-1</v>
      </c>
      <c r="BO65" s="181" t="s">
        <v>3373</v>
      </c>
      <c r="BP65" s="281" t="s">
        <v>3398</v>
      </c>
      <c r="BQ65" s="181" t="str">
        <f>VLOOKUP(BR65,Lookup!$C$4:$D$14,2,FALSE)</f>
        <v>Moderate to Substantial Improvement</v>
      </c>
      <c r="BR65" s="193">
        <f>VLOOKUP(BS65,Lookup!$G$147:$L$157,6,FALSE)</f>
        <v>4</v>
      </c>
      <c r="BS65" s="181" t="s">
        <v>2645</v>
      </c>
      <c r="BT65" s="281" t="s">
        <v>3437</v>
      </c>
      <c r="BU65" s="175" t="s">
        <v>2231</v>
      </c>
    </row>
    <row r="66" spans="1:73" ht="39.950000000000003" customHeight="1" thickBot="1" x14ac:dyDescent="0.25">
      <c r="A66" s="173">
        <f t="shared" si="4"/>
        <v>64</v>
      </c>
      <c r="B66" s="178" t="s">
        <v>1691</v>
      </c>
      <c r="C66" s="179" t="s">
        <v>1601</v>
      </c>
      <c r="D66" s="180">
        <v>428</v>
      </c>
      <c r="E66" s="180" t="s">
        <v>1944</v>
      </c>
      <c r="F66" s="273" t="str">
        <f>VLOOKUP($D66,'Practice Descriptions'!$E$11:$F$186,2,FALSE)</f>
        <v>A lining of impervious material or chemical treatment, installed in an irrigation ditch, canal, or lateral.</v>
      </c>
      <c r="G66" s="182">
        <v>20</v>
      </c>
      <c r="H66" s="183">
        <v>30</v>
      </c>
      <c r="I66" s="184">
        <v>0</v>
      </c>
      <c r="J66" s="184">
        <v>0.03</v>
      </c>
      <c r="K66" s="419">
        <f>IF(E66="No.",1,IF(E66="Ac.",1,(SQRT(VLOOKUP(O66,Lookup!$F$9:$H$18,3,FALSE)))*208/VLOOKUP(O66,Lookup!$F$9:$H$18,3,FALSE)))</f>
        <v>46.510213931995629</v>
      </c>
      <c r="L66" s="185" t="str">
        <f t="shared" si="0"/>
        <v>Assume length 1 side of square field (208'/Ac)</v>
      </c>
      <c r="M66" s="184">
        <v>0</v>
      </c>
      <c r="N66" s="186">
        <f>IF(G66=1,H66,PMT(Lookup!$G$4,G66,-H66)+(H66*J66)+(M66*P66))*K66</f>
        <v>155.01191832412101</v>
      </c>
      <c r="O66" s="187" t="s">
        <v>2225</v>
      </c>
      <c r="P66" s="186">
        <f>VLOOKUP($O66,Lookup!$F$9:$I$18,4,FALSE)</f>
        <v>100</v>
      </c>
      <c r="Q66" s="184">
        <v>0.05</v>
      </c>
      <c r="R66" s="183">
        <v>25</v>
      </c>
      <c r="S66" s="188" t="s">
        <v>2660</v>
      </c>
      <c r="T66" s="186">
        <f t="shared" si="2"/>
        <v>30</v>
      </c>
      <c r="U66" s="189">
        <f t="shared" si="3"/>
        <v>0.19353350583838155</v>
      </c>
      <c r="V66" s="189">
        <f t="shared" si="1"/>
        <v>0</v>
      </c>
      <c r="W66" s="190">
        <f>IF(P66=0,0,IF(Q66+R66=0,0,PV(Lookup!$G$4,G66,-T66)/H66))</f>
        <v>12.331178133587917</v>
      </c>
      <c r="X66" s="190">
        <f>IF(I66=0,0,PMT(Lookup!$G$4,G66,-(H66*I66*K66))/P66)</f>
        <v>0</v>
      </c>
      <c r="Y66" s="42" t="s">
        <v>963</v>
      </c>
      <c r="Z66" s="192">
        <f>VLOOKUP(Y66,Lookup!$B$4:$C$14,2,FALSE)</f>
        <v>2</v>
      </c>
      <c r="AA66" s="281" t="s">
        <v>1896</v>
      </c>
      <c r="AB66" s="282" t="s">
        <v>1072</v>
      </c>
      <c r="AC66" s="181" t="str">
        <f>VLOOKUP(AD66,Lookup!$C$4:$D$14,2,FALSE)</f>
        <v>Slight to Moderate Worsening</v>
      </c>
      <c r="AD66" s="193">
        <f>IF(P66/H66&lt;Lookup!$F$33,-5,IF(P66/H66&lt;Lookup!$F$32,-4,IF(P66/H66&lt;Lookup!$F$31,-3,IF(P66/H66&lt;Lookup!$F$30,-2,IF(P66/H66&lt;Lookup!$F$29,-1,-5)))))</f>
        <v>-2</v>
      </c>
      <c r="AE66" s="194" t="str">
        <f>VLOOKUP(AD66,Lookup!$G$28:$J$33,2,FALSE)</f>
        <v>One-time practice implementation cost 5 to 100% of enterprise annual net income</v>
      </c>
      <c r="AF66" s="281" t="s">
        <v>1847</v>
      </c>
      <c r="AG66" s="181" t="str">
        <f>VLOOKUP(AH66,Lookup!$C$4:$D$14,2,FALSE)</f>
        <v>Moderate Worsening</v>
      </c>
      <c r="AH66" s="193">
        <f>IF(J66&gt;Lookup!$F$43,-5,IF(J66&gt;Lookup!$F$42,-4,IF(J66&gt;Lookup!$F$41,-3,IF(J66&gt;Lookup!$F$40,-2,IF(J66&gt;Lookup!$F$39,-1,0)))))</f>
        <v>-3</v>
      </c>
      <c r="AI66" s="194" t="str">
        <f>VLOOKUP(AH66,Lookup!$G$38:$J$43,2,FALSE)</f>
        <v>Annual O&amp;M costs 2 to 3% of total installation costs</v>
      </c>
      <c r="AJ66" s="281" t="s">
        <v>2987</v>
      </c>
      <c r="AK66" s="181" t="str">
        <f>VLOOKUP(AL66,Lookup!$C$4:$D$14,2,FALSE)</f>
        <v>Moderate Worsening</v>
      </c>
      <c r="AL66" s="346">
        <f>IF(N66=0,0,IF(U66&lt;Lookup!$F$58,-5,IF(U66&lt;Lookup!$F$57,-4,IF(U66&lt;Lookup!$F$56,-3,IF(U66&lt;Lookup!$F$55,-2,IF(U66&lt;Lookup!$F$54,-1,IF(U66&lt;Lookup!$F$53,0,IF(U66&lt;Lookup!$F$52,1,IF(U66&lt;Lookup!$F$51,2,IF(U66&lt;Lookup!$F$50,3,IF(U66&lt;Lookup!$F$49,4,5)))))))))))</f>
        <v>-3</v>
      </c>
      <c r="AM66" s="194" t="str">
        <f>VLOOKUP(AL66,Lookup!$G$48:$J$58,2,FALSE)</f>
        <v>B/C Ratio .10 to .25</v>
      </c>
      <c r="AN66" s="281" t="s">
        <v>3545</v>
      </c>
      <c r="AO66" s="181" t="str">
        <f>VLOOKUP(AP66,Lookup!$C$4:$D$14,2,FALSE)</f>
        <v>Slight to Moderate Improvement</v>
      </c>
      <c r="AP66" s="193">
        <f>IF(Q66=0,0,IF(Q66&gt;Lookup!$F$63,5,IF(Q66&gt;Lookup!$F$64,4,IF(Q66&gt;Lookup!$F$65,3,IF(Q66&gt;Lookup!$F$66,2,IF(Q66&gt;Lookup!$F$67,1,IF(Q66&gt;Lookup!$F$69,-1,IF(Q66&gt;Lookup!$F$70,-2,IF(Q66&gt;Lookup!$F$71,-3,IF(Q66&gt;Lookup!$F$72,-4,-5))))))))))</f>
        <v>2</v>
      </c>
      <c r="AQ66" s="194" t="str">
        <f>VLOOKUP(AP66,Lookup!$G$63:$J$73,2,FALSE)</f>
        <v>5 to 10% yield increase</v>
      </c>
      <c r="AR66" s="281" t="s">
        <v>3109</v>
      </c>
      <c r="AS66" s="181" t="str">
        <f>VLOOKUP(AT66,Lookup!$C$4:$D$14,2,FALSE)</f>
        <v>No Effect</v>
      </c>
      <c r="AT66" s="193">
        <f>IF(V66=0,0,IF(V66&lt;Lookup!$F$79,5,IF(V66&lt;Lookup!$F$80,4,IF(V66&lt;Lookup!$F$81,3,IF(V66&lt;Lookup!$F$82,2,IF(V66&lt;Lookup!$F$83,1,IF(V66&lt;Lookup!$F$85,-1,IF(V66&lt;Lookup!$F$86,-2,IF(V66&lt;Lookup!$F$87,-3,IF(V66&lt;Lookup!$F$88,-4,-5))))))))))</f>
        <v>0</v>
      </c>
      <c r="AU66" s="194" t="str">
        <f>VLOOKUP(AT66,Lookup!$G$79:$J$89,2,FALSE)</f>
        <v>No breakeven</v>
      </c>
      <c r="AV66" s="345" t="str">
        <f>VLOOKUP(AT66,Lookup!$G$79:$J$89,4,FALSE)</f>
        <v>Annual costs greater than annual benefits</v>
      </c>
      <c r="AW66" s="181" t="str">
        <f>VLOOKUP(AX66,Lookup!$C$4:$D$14,2,FALSE)</f>
        <v>No Effect</v>
      </c>
      <c r="AX66" s="193">
        <f>VLOOKUP(AY66,Lookup!$G$92:$J$97,4,FALSE)</f>
        <v>0</v>
      </c>
      <c r="AY66" s="181" t="s">
        <v>2642</v>
      </c>
      <c r="AZ66" s="281" t="s">
        <v>3154</v>
      </c>
      <c r="BA66" s="181" t="str">
        <f>VLOOKUP(BB66,Lookup!$C$4:$D$14,2,FALSE)</f>
        <v>No Effect</v>
      </c>
      <c r="BB66" s="193">
        <f>VLOOKUP(BC66,Lookup!$G$100:$K$110,5,FALSE)</f>
        <v>0</v>
      </c>
      <c r="BC66" s="181" t="s">
        <v>2643</v>
      </c>
      <c r="BD66" s="281" t="s">
        <v>3154</v>
      </c>
      <c r="BE66" s="181" t="str">
        <f>VLOOKUP(BF66,Lookup!$C$4:$D$14,2,FALSE)</f>
        <v>No Effect</v>
      </c>
      <c r="BF66" s="193">
        <f>IF(X66=0,0,IF(X66&gt;Lookup!$F$113,-5,IF(X66&gt;Lookup!$F$114,-4,IF(X66&gt;Lookup!$F$115,-3,IF(X66&gt;Lookup!$F$116,-2,IF(X66&gt;Lookup!$F$117,-1,0))))))</f>
        <v>0</v>
      </c>
      <c r="BG66" s="195" t="str">
        <f>VLOOKUP(BF66,Lookup!$G$113:$H$118,2,FALSE)</f>
        <v>No change in on-farm equipment</v>
      </c>
      <c r="BH66" s="281" t="s">
        <v>3231</v>
      </c>
      <c r="BI66" s="181" t="str">
        <f>VLOOKUP(BJ66,Lookup!$C$4:$D$14,2,FALSE)</f>
        <v>Slight Improvement</v>
      </c>
      <c r="BJ66" s="193">
        <f>VLOOKUP(BK66,Lookup!$G$121:$L$131,6,FALSE)</f>
        <v>1</v>
      </c>
      <c r="BK66" s="181" t="s">
        <v>2638</v>
      </c>
      <c r="BL66" s="281" t="s">
        <v>3294</v>
      </c>
      <c r="BM66" s="181" t="str">
        <f>VLOOKUP(BN66,Lookup!$C$4:$D$14,2,FALSE)</f>
        <v>No Effect</v>
      </c>
      <c r="BN66" s="193">
        <f>VLOOKUP(BO66,Lookup!$G$134:$L$144,6,FALSE)</f>
        <v>0</v>
      </c>
      <c r="BO66" s="181" t="s">
        <v>2646</v>
      </c>
      <c r="BP66" s="281" t="s">
        <v>3154</v>
      </c>
      <c r="BQ66" s="181" t="str">
        <f>VLOOKUP(BR66,Lookup!$C$4:$D$14,2,FALSE)</f>
        <v>Slight to Moderate Improvement</v>
      </c>
      <c r="BR66" s="193">
        <f>VLOOKUP(BS66,Lookup!$G$147:$L$157,6,FALSE)</f>
        <v>2</v>
      </c>
      <c r="BS66" s="181" t="s">
        <v>2641</v>
      </c>
      <c r="BT66" s="281" t="s">
        <v>3437</v>
      </c>
      <c r="BU66" s="175" t="s">
        <v>2231</v>
      </c>
    </row>
    <row r="67" spans="1:73" ht="39.950000000000003" customHeight="1" thickBot="1" x14ac:dyDescent="0.25">
      <c r="A67" s="173">
        <f t="shared" si="4"/>
        <v>65</v>
      </c>
      <c r="B67" s="178" t="s">
        <v>635</v>
      </c>
      <c r="C67" s="179" t="s">
        <v>1601</v>
      </c>
      <c r="D67" s="180">
        <v>388</v>
      </c>
      <c r="E67" s="180" t="s">
        <v>1944</v>
      </c>
      <c r="F67" s="273" t="str">
        <f>VLOOKUP($D67,'Practice Descriptions'!$E$11:$F$186,2,FALSE)</f>
        <v>A permanent irrigation ditch constructed in or with earth materials, to convey water from the source of supply to a field or fields in an irrigation system.</v>
      </c>
      <c r="G67" s="182">
        <v>15</v>
      </c>
      <c r="H67" s="183">
        <v>3</v>
      </c>
      <c r="I67" s="184">
        <v>0.01</v>
      </c>
      <c r="J67" s="184">
        <v>0.2</v>
      </c>
      <c r="K67" s="419">
        <f>IF(E67="No.",1,IF(E67="Ac.",1,(SQRT(VLOOKUP(O67,Lookup!$F$9:$H$18,3,FALSE)))*208/VLOOKUP(O67,Lookup!$F$9:$H$18,3,FALSE)))</f>
        <v>46.510213931995629</v>
      </c>
      <c r="L67" s="185" t="str">
        <f t="shared" si="0"/>
        <v>Assume length 1 side of square field (208'/Ac)</v>
      </c>
      <c r="M67" s="184">
        <v>0</v>
      </c>
      <c r="N67" s="186">
        <f>IF(G67=1,H67,PMT(Lookup!$G$4,G67,-H67)+(H67*J67)+(M67*P67))*K67</f>
        <v>41.462648166138116</v>
      </c>
      <c r="O67" s="187" t="s">
        <v>2225</v>
      </c>
      <c r="P67" s="186">
        <f>VLOOKUP($O67,Lookup!$F$9:$I$18,4,FALSE)</f>
        <v>100</v>
      </c>
      <c r="Q67" s="184">
        <v>0.1</v>
      </c>
      <c r="R67" s="183">
        <v>15</v>
      </c>
      <c r="S67" s="188" t="s">
        <v>2660</v>
      </c>
      <c r="T67" s="186">
        <f t="shared" si="2"/>
        <v>25</v>
      </c>
      <c r="U67" s="189">
        <f t="shared" si="3"/>
        <v>0.60295232228840367</v>
      </c>
      <c r="V67" s="189">
        <f t="shared" si="1"/>
        <v>0</v>
      </c>
      <c r="W67" s="190">
        <f>IF(P67=0,0,IF(Q67+R67=0,0,PV(Lookup!$G$4,G67,-T67)/H67))</f>
        <v>85.770932721580763</v>
      </c>
      <c r="X67" s="190">
        <f>IF(I67=0,0,PMT(Lookup!$G$4,G67,-(H67*I67*K67))/P67)</f>
        <v>1.3556519806940737E-3</v>
      </c>
      <c r="Y67" s="42" t="s">
        <v>963</v>
      </c>
      <c r="Z67" s="192">
        <f>VLOOKUP(Y67,Lookup!$B$4:$C$14,2,FALSE)</f>
        <v>2</v>
      </c>
      <c r="AA67" s="281" t="s">
        <v>1885</v>
      </c>
      <c r="AB67" s="282" t="s">
        <v>1072</v>
      </c>
      <c r="AC67" s="181" t="str">
        <f>VLOOKUP(AD67,Lookup!$C$4:$D$14,2,FALSE)</f>
        <v>Slight Worsening</v>
      </c>
      <c r="AD67" s="193">
        <f>IF(P67/H67&lt;Lookup!$F$33,-5,IF(P67/H67&lt;Lookup!$F$32,-4,IF(P67/H67&lt;Lookup!$F$31,-3,IF(P67/H67&lt;Lookup!$F$30,-2,IF(P67/H67&lt;Lookup!$F$29,-1,-5)))))</f>
        <v>-1</v>
      </c>
      <c r="AE67" s="194" t="str">
        <f>VLOOKUP(AD67,Lookup!$G$28:$J$33,2,FALSE)</f>
        <v>One-time practice implementation cost 5% or less of enterprise annual net income</v>
      </c>
      <c r="AF67" s="281" t="s">
        <v>1847</v>
      </c>
      <c r="AG67" s="181" t="str">
        <f>VLOOKUP(AH67,Lookup!$C$4:$D$14,2,FALSE)</f>
        <v>Substantial Worsening</v>
      </c>
      <c r="AH67" s="193">
        <f>IF(J67&gt;Lookup!$F$43,-5,IF(J67&gt;Lookup!$F$42,-4,IF(J67&gt;Lookup!$F$41,-3,IF(J67&gt;Lookup!$F$40,-2,IF(J67&gt;Lookup!$F$39,-1,0)))))</f>
        <v>-5</v>
      </c>
      <c r="AI67" s="194" t="str">
        <f>VLOOKUP(AH67,Lookup!$G$38:$J$43,2,FALSE)</f>
        <v>Annual O&amp;M costs greater than 4% of total installation costs</v>
      </c>
      <c r="AJ67" s="281" t="s">
        <v>2987</v>
      </c>
      <c r="AK67" s="181" t="str">
        <f>VLOOKUP(AL67,Lookup!$C$4:$D$14,2,FALSE)</f>
        <v>Slight Worsening</v>
      </c>
      <c r="AL67" s="346">
        <f>IF(N67=0,0,IF(U67&lt;Lookup!$F$58,-5,IF(U67&lt;Lookup!$F$57,-4,IF(U67&lt;Lookup!$F$56,-3,IF(U67&lt;Lookup!$F$55,-2,IF(U67&lt;Lookup!$F$54,-1,IF(U67&lt;Lookup!$F$53,0,IF(U67&lt;Lookup!$F$52,1,IF(U67&lt;Lookup!$F$51,2,IF(U67&lt;Lookup!$F$50,3,IF(U67&lt;Lookup!$F$49,4,5)))))))))))</f>
        <v>-1</v>
      </c>
      <c r="AM67" s="194" t="str">
        <f>VLOOKUP(AL67,Lookup!$G$48:$J$58,2,FALSE)</f>
        <v>B/C Ratio .50 to .75</v>
      </c>
      <c r="AN67" s="281" t="s">
        <v>3044</v>
      </c>
      <c r="AO67" s="181" t="str">
        <f>VLOOKUP(AP67,Lookup!$C$4:$D$14,2,FALSE)</f>
        <v>Slight to Moderate Improvement</v>
      </c>
      <c r="AP67" s="193">
        <f>IF(Q67=0,0,IF(Q67&gt;Lookup!$F$63,5,IF(Q67&gt;Lookup!$F$64,4,IF(Q67&gt;Lookup!$F$65,3,IF(Q67&gt;Lookup!$F$66,2,IF(Q67&gt;Lookup!$F$67,1,IF(Q67&gt;Lookup!$F$69,-1,IF(Q67&gt;Lookup!$F$70,-2,IF(Q67&gt;Lookup!$F$71,-3,IF(Q67&gt;Lookup!$F$72,-4,-5))))))))))</f>
        <v>2</v>
      </c>
      <c r="AQ67" s="194" t="str">
        <f>VLOOKUP(AP67,Lookup!$G$63:$J$73,2,FALSE)</f>
        <v>5 to 10% yield increase</v>
      </c>
      <c r="AR67" s="281" t="s">
        <v>3106</v>
      </c>
      <c r="AS67" s="181" t="str">
        <f>VLOOKUP(AT67,Lookup!$C$4:$D$14,2,FALSE)</f>
        <v>No Effect</v>
      </c>
      <c r="AT67" s="193">
        <f>IF(V67=0,0,IF(V67&lt;Lookup!$F$79,5,IF(V67&lt;Lookup!$F$80,4,IF(V67&lt;Lookup!$F$81,3,IF(V67&lt;Lookup!$F$82,2,IF(V67&lt;Lookup!$F$83,1,IF(V67&lt;Lookup!$F$85,-1,IF(V67&lt;Lookup!$F$86,-2,IF(V67&lt;Lookup!$F$87,-3,IF(V67&lt;Lookup!$F$88,-4,-5))))))))))</f>
        <v>0</v>
      </c>
      <c r="AU67" s="194" t="str">
        <f>VLOOKUP(AT67,Lookup!$G$79:$J$89,2,FALSE)</f>
        <v>No breakeven</v>
      </c>
      <c r="AV67" s="345" t="str">
        <f>VLOOKUP(AT67,Lookup!$G$79:$J$89,4,FALSE)</f>
        <v>Annual costs greater than annual benefits</v>
      </c>
      <c r="AW67" s="181" t="str">
        <f>VLOOKUP(AX67,Lookup!$C$4:$D$14,2,FALSE)</f>
        <v>Slight Improvement</v>
      </c>
      <c r="AX67" s="193">
        <f>VLOOKUP(AY67,Lookup!$G$92:$J$97,4,FALSE)</f>
        <v>1</v>
      </c>
      <c r="AY67" s="181" t="s">
        <v>2636</v>
      </c>
      <c r="AZ67" s="281" t="s">
        <v>3169</v>
      </c>
      <c r="BA67" s="181" t="str">
        <f>VLOOKUP(BB67,Lookup!$C$4:$D$14,2,FALSE)</f>
        <v>Slight Worsening</v>
      </c>
      <c r="BB67" s="193">
        <f>VLOOKUP(BC67,Lookup!$G$100:$K$110,5,FALSE)</f>
        <v>-1</v>
      </c>
      <c r="BC67" s="181" t="s">
        <v>2637</v>
      </c>
      <c r="BD67" s="281" t="s">
        <v>3184</v>
      </c>
      <c r="BE67" s="181" t="str">
        <f>VLOOKUP(BF67,Lookup!$C$4:$D$14,2,FALSE)</f>
        <v>Slight Worsening</v>
      </c>
      <c r="BF67" s="193">
        <f>IF(X67=0,0,IF(X67&gt;Lookup!$F$113,-5,IF(X67&gt;Lookup!$F$114,-4,IF(X67&gt;Lookup!$F$115,-3,IF(X67&gt;Lookup!$F$116,-2,IF(X67&gt;Lookup!$F$117,-1,0))))))</f>
        <v>-1</v>
      </c>
      <c r="BG67" s="195" t="str">
        <f>VLOOKUP(BF67,Lookup!$G$113:$H$118,2,FALSE)</f>
        <v>Annual on-farm equipment costs 5% or less of enterprise annual net income</v>
      </c>
      <c r="BH67" s="281" t="s">
        <v>3241</v>
      </c>
      <c r="BI67" s="181" t="str">
        <f>VLOOKUP(BJ67,Lookup!$C$4:$D$14,2,FALSE)</f>
        <v>Slight Worsening</v>
      </c>
      <c r="BJ67" s="193">
        <f>VLOOKUP(BK67,Lookup!$G$121:$L$131,6,FALSE)</f>
        <v>-1</v>
      </c>
      <c r="BK67" s="181" t="s">
        <v>2640</v>
      </c>
      <c r="BL67" s="281" t="s">
        <v>3291</v>
      </c>
      <c r="BM67" s="181" t="str">
        <f>VLOOKUP(BN67,Lookup!$C$4:$D$14,2,FALSE)</f>
        <v>Slight Worsening</v>
      </c>
      <c r="BN67" s="193">
        <f>VLOOKUP(BO67,Lookup!$G$134:$L$144,6,FALSE)</f>
        <v>-1</v>
      </c>
      <c r="BO67" s="181" t="s">
        <v>3373</v>
      </c>
      <c r="BP67" s="281" t="s">
        <v>3398</v>
      </c>
      <c r="BQ67" s="181" t="str">
        <f>VLOOKUP(BR67,Lookup!$C$4:$D$14,2,FALSE)</f>
        <v>Moderate to Substantial Improvement</v>
      </c>
      <c r="BR67" s="193">
        <f>VLOOKUP(BS67,Lookup!$G$147:$L$157,6,FALSE)</f>
        <v>4</v>
      </c>
      <c r="BS67" s="181" t="s">
        <v>2645</v>
      </c>
      <c r="BT67" s="281" t="s">
        <v>3461</v>
      </c>
      <c r="BU67" s="175" t="s">
        <v>2231</v>
      </c>
    </row>
    <row r="68" spans="1:73" ht="39.950000000000003" customHeight="1" thickBot="1" x14ac:dyDescent="0.25">
      <c r="A68" s="173">
        <f t="shared" si="4"/>
        <v>66</v>
      </c>
      <c r="B68" s="178" t="s">
        <v>636</v>
      </c>
      <c r="C68" s="179" t="s">
        <v>1601</v>
      </c>
      <c r="D68" s="180">
        <v>464</v>
      </c>
      <c r="E68" s="180" t="s">
        <v>3646</v>
      </c>
      <c r="F68" s="273" t="str">
        <f>VLOOKUP($D68,'Practice Descriptions'!$E$11:$F$186,2,FALSE)</f>
        <v>Reshaping the surface of land to be irrigated, to planned lines and grades.</v>
      </c>
      <c r="G68" s="182">
        <v>15</v>
      </c>
      <c r="H68" s="183">
        <v>300</v>
      </c>
      <c r="I68" s="184">
        <v>0</v>
      </c>
      <c r="J68" s="184">
        <v>0.03</v>
      </c>
      <c r="K68" s="419">
        <f>IF(E68="No.",1,IF(E68="Ac.",1,(SQRT(VLOOKUP(O68,Lookup!$F$9:$H$18,3,FALSE)))*208/VLOOKUP(O68,Lookup!$F$9:$H$18,3,FALSE)))</f>
        <v>1</v>
      </c>
      <c r="L68" s="185" t="str">
        <f t="shared" ref="L68:L133" si="8">IF(K68&gt;1,"Assume length 1 side of square field (208'/Ac)","")</f>
        <v/>
      </c>
      <c r="M68" s="184">
        <v>0</v>
      </c>
      <c r="N68" s="186">
        <f>IF(G68=1,H68,PMT(Lookup!$G$4,G68,-H68)+(H68*J68)+(M68*P68))*K68</f>
        <v>38.147403679463281</v>
      </c>
      <c r="O68" s="187" t="s">
        <v>1110</v>
      </c>
      <c r="P68" s="186">
        <f>VLOOKUP($O68,Lookup!$F$9:$I$18,4,FALSE)</f>
        <v>300</v>
      </c>
      <c r="Q68" s="184">
        <v>0.15</v>
      </c>
      <c r="R68" s="183">
        <v>5</v>
      </c>
      <c r="S68" s="188" t="s">
        <v>2660</v>
      </c>
      <c r="T68" s="186">
        <f t="shared" si="2"/>
        <v>50</v>
      </c>
      <c r="U68" s="189">
        <f t="shared" si="3"/>
        <v>1.310705190322496</v>
      </c>
      <c r="V68" s="189">
        <f t="shared" ref="V68:V133" si="9">IF(N68&gt;T68,0,(H68*K68)/T68)</f>
        <v>6</v>
      </c>
      <c r="W68" s="190">
        <f>IF(P68=0,0,IF(Q68+R68=0,0,PV(Lookup!$G$4,G68,-T68)/H68))</f>
        <v>1.7154186544316152</v>
      </c>
      <c r="X68" s="190">
        <f>IF(I68=0,0,PMT(Lookup!$G$4,G68,-(H68*I68*K68))/P68)</f>
        <v>0</v>
      </c>
      <c r="Y68" s="42" t="s">
        <v>964</v>
      </c>
      <c r="Z68" s="192">
        <f>VLOOKUP(Y68,Lookup!$B$4:$C$14,2,FALSE)</f>
        <v>4</v>
      </c>
      <c r="AA68" s="281" t="s">
        <v>1897</v>
      </c>
      <c r="AB68" s="282" t="s">
        <v>1072</v>
      </c>
      <c r="AC68" s="181" t="str">
        <f>VLOOKUP(AD68,Lookup!$C$4:$D$14,2,FALSE)</f>
        <v>Slight to Moderate Worsening</v>
      </c>
      <c r="AD68" s="193">
        <f>IF(P68/H68&lt;Lookup!$F$33,-5,IF(P68/H68&lt;Lookup!$F$32,-4,IF(P68/H68&lt;Lookup!$F$31,-3,IF(P68/H68&lt;Lookup!$F$30,-2,IF(P68/H68&lt;Lookup!$F$29,-1,-5)))))</f>
        <v>-2</v>
      </c>
      <c r="AE68" s="194" t="str">
        <f>VLOOKUP(AD68,Lookup!$G$28:$J$33,2,FALSE)</f>
        <v>One-time practice implementation cost 5 to 100% of enterprise annual net income</v>
      </c>
      <c r="AF68" s="281" t="s">
        <v>2965</v>
      </c>
      <c r="AG68" s="181" t="str">
        <f>VLOOKUP(AH68,Lookup!$C$4:$D$14,2,FALSE)</f>
        <v>Moderate Worsening</v>
      </c>
      <c r="AH68" s="193">
        <f>IF(J68&gt;Lookup!$F$43,-5,IF(J68&gt;Lookup!$F$42,-4,IF(J68&gt;Lookup!$F$41,-3,IF(J68&gt;Lookup!$F$40,-2,IF(J68&gt;Lookup!$F$39,-1,0)))))</f>
        <v>-3</v>
      </c>
      <c r="AI68" s="194" t="str">
        <f>VLOOKUP(AH68,Lookup!$G$38:$J$43,2,FALSE)</f>
        <v>Annual O&amp;M costs 2 to 3% of total installation costs</v>
      </c>
      <c r="AJ68" s="281" t="s">
        <v>3013</v>
      </c>
      <c r="AK68" s="181" t="str">
        <f>VLOOKUP(AL68,Lookup!$C$4:$D$14,2,FALSE)</f>
        <v>Slight Improvement</v>
      </c>
      <c r="AL68" s="346">
        <f>IF(N68=0,0,IF(U68&lt;Lookup!$F$58,-5,IF(U68&lt;Lookup!$F$57,-4,IF(U68&lt;Lookup!$F$56,-3,IF(U68&lt;Lookup!$F$55,-2,IF(U68&lt;Lookup!$F$54,-1,IF(U68&lt;Lookup!$F$53,0,IF(U68&lt;Lookup!$F$52,1,IF(U68&lt;Lookup!$F$51,2,IF(U68&lt;Lookup!$F$50,3,IF(U68&lt;Lookup!$F$49,4,5)))))))))))</f>
        <v>1</v>
      </c>
      <c r="AM68" s="194" t="str">
        <f>VLOOKUP(AL68,Lookup!$G$48:$J$58,2,FALSE)</f>
        <v>B/C Ratio 1.25 to 1.50</v>
      </c>
      <c r="AN68" s="281" t="s">
        <v>3044</v>
      </c>
      <c r="AO68" s="181" t="str">
        <f>VLOOKUP(AP68,Lookup!$C$4:$D$14,2,FALSE)</f>
        <v>Slight to Moderate Improvement</v>
      </c>
      <c r="AP68" s="193">
        <f>IF(Q68=0,0,IF(Q68&gt;Lookup!$F$63,5,IF(Q68&gt;Lookup!$F$64,4,IF(Q68&gt;Lookup!$F$65,3,IF(Q68&gt;Lookup!$F$66,2,IF(Q68&gt;Lookup!$F$67,1,IF(Q68&gt;Lookup!$F$69,-1,IF(Q68&gt;Lookup!$F$70,-2,IF(Q68&gt;Lookup!$F$71,-3,IF(Q68&gt;Lookup!$F$72,-4,-5))))))))))</f>
        <v>2</v>
      </c>
      <c r="AQ68" s="194" t="str">
        <f>VLOOKUP(AP68,Lookup!$G$63:$J$73,2,FALSE)</f>
        <v>5 to 10% yield increase</v>
      </c>
      <c r="AR68" s="281" t="s">
        <v>3108</v>
      </c>
      <c r="AS68" s="181" t="str">
        <f>VLOOKUP(AT68,Lookup!$C$4:$D$14,2,FALSE)</f>
        <v>Slight to Moderate Worsening</v>
      </c>
      <c r="AT68" s="193">
        <f>IF(V68=0,0,IF(V68&lt;Lookup!$F$79,5,IF(V68&lt;Lookup!$F$80,4,IF(V68&lt;Lookup!$F$81,3,IF(V68&lt;Lookup!$F$82,2,IF(V68&lt;Lookup!$F$83,1,IF(V68&lt;Lookup!$F$85,-1,IF(V68&lt;Lookup!$F$86,-2,IF(V68&lt;Lookup!$F$87,-3,IF(V68&lt;Lookup!$F$88,-4,-5))))))))))</f>
        <v>-2</v>
      </c>
      <c r="AU68" s="194" t="str">
        <f>VLOOKUP(AT68,Lookup!$G$79:$J$89,2,FALSE)</f>
        <v>6-7 years to breakeven</v>
      </c>
      <c r="AV68" s="345" t="str">
        <f>VLOOKUP(AT68,Lookup!$G$79:$J$89,4,FALSE)</f>
        <v>Annual benefits moderately greater than annual costs</v>
      </c>
      <c r="AW68" s="181" t="str">
        <f>VLOOKUP(AX68,Lookup!$C$4:$D$14,2,FALSE)</f>
        <v>No Effect</v>
      </c>
      <c r="AX68" s="193">
        <f>VLOOKUP(AY68,Lookup!$G$92:$J$97,4,FALSE)</f>
        <v>0</v>
      </c>
      <c r="AY68" s="181" t="s">
        <v>2642</v>
      </c>
      <c r="AZ68" s="281" t="s">
        <v>3546</v>
      </c>
      <c r="BA68" s="181" t="str">
        <f>VLOOKUP(BB68,Lookup!$C$4:$D$14,2,FALSE)</f>
        <v>Slight Improvement</v>
      </c>
      <c r="BB68" s="193">
        <f>VLOOKUP(BC68,Lookup!$G$100:$K$110,5,FALSE)</f>
        <v>1</v>
      </c>
      <c r="BC68" s="181" t="s">
        <v>2651</v>
      </c>
      <c r="BD68" s="281" t="s">
        <v>3198</v>
      </c>
      <c r="BE68" s="181" t="str">
        <f>VLOOKUP(BF68,Lookup!$C$4:$D$14,2,FALSE)</f>
        <v>No Effect</v>
      </c>
      <c r="BF68" s="193">
        <f>IF(X68=0,0,IF(X68&gt;Lookup!$F$113,-5,IF(X68&gt;Lookup!$F$114,-4,IF(X68&gt;Lookup!$F$115,-3,IF(X68&gt;Lookup!$F$116,-2,IF(X68&gt;Lookup!$F$117,-1,0))))))</f>
        <v>0</v>
      </c>
      <c r="BG68" s="195" t="str">
        <f>VLOOKUP(BF68,Lookup!$G$113:$H$118,2,FALSE)</f>
        <v>No change in on-farm equipment</v>
      </c>
      <c r="BH68" s="281" t="s">
        <v>3231</v>
      </c>
      <c r="BI68" s="181" t="str">
        <f>VLOOKUP(BJ68,Lookup!$C$4:$D$14,2,FALSE)</f>
        <v>Slight Improvement</v>
      </c>
      <c r="BJ68" s="193">
        <f>VLOOKUP(BK68,Lookup!$G$121:$L$131,6,FALSE)</f>
        <v>1</v>
      </c>
      <c r="BK68" s="181" t="s">
        <v>2638</v>
      </c>
      <c r="BL68" s="281" t="s">
        <v>3295</v>
      </c>
      <c r="BM68" s="181" t="str">
        <f>VLOOKUP(BN68,Lookup!$C$4:$D$14,2,FALSE)</f>
        <v>No Effect</v>
      </c>
      <c r="BN68" s="193">
        <f>VLOOKUP(BO68,Lookup!$G$134:$L$144,6,FALSE)</f>
        <v>0</v>
      </c>
      <c r="BO68" s="181" t="s">
        <v>2646</v>
      </c>
      <c r="BP68" s="281" t="s">
        <v>3154</v>
      </c>
      <c r="BQ68" s="181" t="str">
        <f>VLOOKUP(BR68,Lookup!$C$4:$D$14,2,FALSE)</f>
        <v>Moderate to Substantial Improvement</v>
      </c>
      <c r="BR68" s="193">
        <f>VLOOKUP(BS68,Lookup!$G$147:$L$157,6,FALSE)</f>
        <v>4</v>
      </c>
      <c r="BS68" s="181" t="s">
        <v>2645</v>
      </c>
      <c r="BT68" s="281" t="s">
        <v>3461</v>
      </c>
      <c r="BU68" s="175" t="s">
        <v>2231</v>
      </c>
    </row>
    <row r="69" spans="1:73" ht="39.950000000000003" customHeight="1" thickBot="1" x14ac:dyDescent="0.25">
      <c r="A69" s="173">
        <f t="shared" si="4"/>
        <v>67</v>
      </c>
      <c r="B69" s="178" t="s">
        <v>1175</v>
      </c>
      <c r="C69" s="179" t="s">
        <v>1601</v>
      </c>
      <c r="D69" s="180">
        <v>430</v>
      </c>
      <c r="E69" s="180" t="s">
        <v>1944</v>
      </c>
      <c r="F69" s="273" t="str">
        <f>VLOOKUP($D69,'Practice Descriptions'!$E$11:$F$186,2,FALSE)</f>
        <v>A pipeline and appurtenances installed to convey water for storage or application, as part of an irrigation water system.</v>
      </c>
      <c r="G69" s="182">
        <v>25</v>
      </c>
      <c r="H69" s="183">
        <v>7</v>
      </c>
      <c r="I69" s="184">
        <v>0.1</v>
      </c>
      <c r="J69" s="184">
        <v>0.01</v>
      </c>
      <c r="K69" s="419">
        <f>IF(E69="No.",1,IF(E69="Ac.",1,(SQRT(VLOOKUP(O69,Lookup!$F$9:$H$18,3,FALSE)))*208/VLOOKUP(O69,Lookup!$F$9:$H$18,3,FALSE)))</f>
        <v>23.255106965997815</v>
      </c>
      <c r="L69" s="185" t="str">
        <f t="shared" si="8"/>
        <v>Assume length 1 side of square field (208'/Ac)</v>
      </c>
      <c r="M69" s="184">
        <v>0</v>
      </c>
      <c r="N69" s="186">
        <f>IF(G69=1,H69,PMT(Lookup!$G$4,G69,-H69)+(H69*J69)+(M69*P69))*K69</f>
        <v>13.323032229640942</v>
      </c>
      <c r="O69" s="187" t="s">
        <v>1110</v>
      </c>
      <c r="P69" s="186">
        <f>VLOOKUP($O69,Lookup!$F$9:$I$18,4,FALSE)</f>
        <v>300</v>
      </c>
      <c r="Q69" s="184">
        <v>0.2</v>
      </c>
      <c r="R69" s="183">
        <v>5</v>
      </c>
      <c r="S69" s="188" t="s">
        <v>2660</v>
      </c>
      <c r="T69" s="186">
        <f t="shared" ref="T69:T136" si="10">+P69*Q69+R69</f>
        <v>65</v>
      </c>
      <c r="U69" s="189">
        <f t="shared" ref="U69:U136" si="11">+T69/N69</f>
        <v>4.8787692530975555</v>
      </c>
      <c r="V69" s="189">
        <f t="shared" si="9"/>
        <v>2.5043961347997645</v>
      </c>
      <c r="W69" s="190">
        <f>IF(P69=0,0,IF(Q69+R69=0,0,PV(Lookup!$G$4,G69,-T69)/H69))</f>
        <v>129.24834268261947</v>
      </c>
      <c r="X69" s="190">
        <f>IF(I69=0,0,PMT(Lookup!$G$4,G69,-(H69*I69*K69))/P69)</f>
        <v>3.8983915806736981E-3</v>
      </c>
      <c r="Y69" s="42" t="s">
        <v>963</v>
      </c>
      <c r="Z69" s="192">
        <f>VLOOKUP(Y69,Lookup!$B$4:$C$14,2,FALSE)</f>
        <v>2</v>
      </c>
      <c r="AA69" s="281" t="s">
        <v>2663</v>
      </c>
      <c r="AB69" s="282" t="s">
        <v>1072</v>
      </c>
      <c r="AC69" s="181" t="str">
        <f>VLOOKUP(AD69,Lookup!$C$4:$D$14,2,FALSE)</f>
        <v>Slight Worsening</v>
      </c>
      <c r="AD69" s="193">
        <f>IF(P69/H69&lt;Lookup!$F$33,-5,IF(P69/H69&lt;Lookup!$F$32,-4,IF(P69/H69&lt;Lookup!$F$31,-3,IF(P69/H69&lt;Lookup!$F$30,-2,IF(P69/H69&lt;Lookup!$F$29,-1,-5)))))</f>
        <v>-1</v>
      </c>
      <c r="AE69" s="194" t="str">
        <f>VLOOKUP(AD69,Lookup!$G$28:$J$33,2,FALSE)</f>
        <v>One-time practice implementation cost 5% or less of enterprise annual net income</v>
      </c>
      <c r="AF69" s="281" t="s">
        <v>1847</v>
      </c>
      <c r="AG69" s="181" t="str">
        <f>VLOOKUP(AH69,Lookup!$C$4:$D$14,2,FALSE)</f>
        <v>Slight Worsening</v>
      </c>
      <c r="AH69" s="193">
        <f>IF(J69&gt;Lookup!$F$43,-5,IF(J69&gt;Lookup!$F$42,-4,IF(J69&gt;Lookup!$F$41,-3,IF(J69&gt;Lookup!$F$40,-2,IF(J69&gt;Lookup!$F$39,-1,0)))))</f>
        <v>-1</v>
      </c>
      <c r="AI69" s="194" t="str">
        <f>VLOOKUP(AH69,Lookup!$G$38:$J$43,2,FALSE)</f>
        <v>Annual O&amp;M costs less than 1% of total installation costs</v>
      </c>
      <c r="AJ69" s="281" t="s">
        <v>2988</v>
      </c>
      <c r="AK69" s="181" t="str">
        <f>VLOOKUP(AL69,Lookup!$C$4:$D$14,2,FALSE)</f>
        <v>Substantial Improvement</v>
      </c>
      <c r="AL69" s="346">
        <f>IF(N69=0,0,IF(U69&lt;Lookup!$F$58,-5,IF(U69&lt;Lookup!$F$57,-4,IF(U69&lt;Lookup!$F$56,-3,IF(U69&lt;Lookup!$F$55,-2,IF(U69&lt;Lookup!$F$54,-1,IF(U69&lt;Lookup!$F$53,0,IF(U69&lt;Lookup!$F$52,1,IF(U69&lt;Lookup!$F$51,2,IF(U69&lt;Lookup!$F$50,3,IF(U69&lt;Lookup!$F$49,4,5)))))))))))</f>
        <v>5</v>
      </c>
      <c r="AM69" s="194" t="str">
        <f>VLOOKUP(AL69,Lookup!$G$48:$J$58,2,FALSE)</f>
        <v>B/C Ratio greater than 2.25</v>
      </c>
      <c r="AN69" s="281" t="s">
        <v>3044</v>
      </c>
      <c r="AO69" s="181" t="str">
        <f>VLOOKUP(AP69,Lookup!$C$4:$D$14,2,FALSE)</f>
        <v>Slight to Moderate Improvement</v>
      </c>
      <c r="AP69" s="193">
        <f>IF(Q69=0,0,IF(Q69&gt;Lookup!$F$63,5,IF(Q69&gt;Lookup!$F$64,4,IF(Q69&gt;Lookup!$F$65,3,IF(Q69&gt;Lookup!$F$66,2,IF(Q69&gt;Lookup!$F$67,1,IF(Q69&gt;Lookup!$F$69,-1,IF(Q69&gt;Lookup!$F$70,-2,IF(Q69&gt;Lookup!$F$71,-3,IF(Q69&gt;Lookup!$F$72,-4,-5))))))))))</f>
        <v>2</v>
      </c>
      <c r="AQ69" s="194" t="str">
        <f>VLOOKUP(AP69,Lookup!$G$63:$J$73,2,FALSE)</f>
        <v>5 to 10% yield increase</v>
      </c>
      <c r="AR69" s="281" t="s">
        <v>3108</v>
      </c>
      <c r="AS69" s="181" t="str">
        <f>VLOOKUP(AT69,Lookup!$C$4:$D$14,2,FALSE)</f>
        <v>Moderate Improvement</v>
      </c>
      <c r="AT69" s="193">
        <f>IF(V69=0,0,IF(V69&lt;Lookup!$F$79,5,IF(V69&lt;Lookup!$F$80,4,IF(V69&lt;Lookup!$F$81,3,IF(V69&lt;Lookup!$F$82,2,IF(V69&lt;Lookup!$F$83,1,IF(V69&lt;Lookup!$F$85,-1,IF(V69&lt;Lookup!$F$86,-2,IF(V69&lt;Lookup!$F$87,-3,IF(V69&lt;Lookup!$F$88,-4,-5))))))))))</f>
        <v>3</v>
      </c>
      <c r="AU69" s="194" t="str">
        <f>VLOOKUP(AT69,Lookup!$G$79:$J$89,2,FALSE)</f>
        <v>2-3 years to breakeven</v>
      </c>
      <c r="AV69" s="345" t="str">
        <f>VLOOKUP(AT69,Lookup!$G$79:$J$89,4,FALSE)</f>
        <v>Annual benefits significantly greater than annual costs</v>
      </c>
      <c r="AW69" s="181" t="str">
        <f>VLOOKUP(AX69,Lookup!$C$4:$D$14,2,FALSE)</f>
        <v>No Effect</v>
      </c>
      <c r="AX69" s="193">
        <f>VLOOKUP(AY69,Lookup!$G$92:$J$97,4,FALSE)</f>
        <v>0</v>
      </c>
      <c r="AY69" s="181" t="s">
        <v>2642</v>
      </c>
      <c r="AZ69" s="281" t="s">
        <v>3170</v>
      </c>
      <c r="BA69" s="181" t="str">
        <f>VLOOKUP(BB69,Lookup!$C$4:$D$14,2,FALSE)</f>
        <v>Slight Improvement</v>
      </c>
      <c r="BB69" s="193">
        <f>VLOOKUP(BC69,Lookup!$G$100:$K$110,5,FALSE)</f>
        <v>1</v>
      </c>
      <c r="BC69" s="181" t="s">
        <v>2651</v>
      </c>
      <c r="BD69" s="281" t="s">
        <v>3199</v>
      </c>
      <c r="BE69" s="181" t="str">
        <f>VLOOKUP(BF69,Lookup!$C$4:$D$14,2,FALSE)</f>
        <v>Slight Worsening</v>
      </c>
      <c r="BF69" s="193">
        <f>IF(X69=0,0,IF(X69&gt;Lookup!$F$113,-5,IF(X69&gt;Lookup!$F$114,-4,IF(X69&gt;Lookup!$F$115,-3,IF(X69&gt;Lookup!$F$116,-2,IF(X69&gt;Lookup!$F$117,-1,0))))))</f>
        <v>-1</v>
      </c>
      <c r="BG69" s="195" t="str">
        <f>VLOOKUP(BF69,Lookup!$G$113:$H$118,2,FALSE)</f>
        <v>Annual on-farm equipment costs 5% or less of enterprise annual net income</v>
      </c>
      <c r="BH69" s="281" t="s">
        <v>3242</v>
      </c>
      <c r="BI69" s="181" t="str">
        <f>VLOOKUP(BJ69,Lookup!$C$4:$D$14,2,FALSE)</f>
        <v>Moderate Improvement</v>
      </c>
      <c r="BJ69" s="193">
        <f>VLOOKUP(BK69,Lookup!$G$121:$L$131,6,FALSE)</f>
        <v>3</v>
      </c>
      <c r="BK69" s="181" t="s">
        <v>2726</v>
      </c>
      <c r="BL69" s="281" t="s">
        <v>3296</v>
      </c>
      <c r="BM69" s="181" t="str">
        <f>VLOOKUP(BN69,Lookup!$C$4:$D$14,2,FALSE)</f>
        <v>Moderate Improvement</v>
      </c>
      <c r="BN69" s="193">
        <f>VLOOKUP(BO69,Lookup!$G$134:$L$144,6,FALSE)</f>
        <v>3</v>
      </c>
      <c r="BO69" s="181" t="s">
        <v>2634</v>
      </c>
      <c r="BP69" s="281" t="s">
        <v>3399</v>
      </c>
      <c r="BQ69" s="181" t="str">
        <f>VLOOKUP(BR69,Lookup!$C$4:$D$14,2,FALSE)</f>
        <v>Moderate to Substantial Improvement</v>
      </c>
      <c r="BR69" s="193">
        <f>VLOOKUP(BS69,Lookup!$G$147:$L$157,6,FALSE)</f>
        <v>4</v>
      </c>
      <c r="BS69" s="181" t="s">
        <v>2645</v>
      </c>
      <c r="BT69" s="281" t="s">
        <v>3461</v>
      </c>
      <c r="BU69" s="175" t="s">
        <v>2231</v>
      </c>
    </row>
    <row r="70" spans="1:73" ht="39.950000000000003" customHeight="1" thickBot="1" x14ac:dyDescent="0.25">
      <c r="A70" s="173">
        <f t="shared" ref="A70:A132" si="12">+A69+1</f>
        <v>68</v>
      </c>
      <c r="B70" s="178" t="s">
        <v>1176</v>
      </c>
      <c r="C70" s="179" t="s">
        <v>1601</v>
      </c>
      <c r="D70" s="180">
        <v>436</v>
      </c>
      <c r="E70" s="180" t="s">
        <v>1538</v>
      </c>
      <c r="F70" s="273" t="str">
        <f>VLOOKUP($D70,'Practice Descriptions'!$E$11:$F$186,2,FALSE)</f>
        <v>An irrigation water storage structure made by constructing a dam, embankment, pit, or tank.</v>
      </c>
      <c r="G70" s="182">
        <v>15</v>
      </c>
      <c r="H70" s="183">
        <v>5000</v>
      </c>
      <c r="I70" s="184">
        <v>0.05</v>
      </c>
      <c r="J70" s="184">
        <v>0.01</v>
      </c>
      <c r="K70" s="419">
        <v>1</v>
      </c>
      <c r="L70" s="185" t="str">
        <f t="shared" si="8"/>
        <v/>
      </c>
      <c r="M70" s="184">
        <v>0</v>
      </c>
      <c r="N70" s="186">
        <f>IF(G70=1,H70,PMT(Lookup!$G$4,G70,-H70)+(H70*J70)+(M70*P70))*K70</f>
        <v>535.79006132438803</v>
      </c>
      <c r="O70" s="187" t="s">
        <v>1110</v>
      </c>
      <c r="P70" s="186">
        <f>VLOOKUP($O70,Lookup!$F$9:$I$18,4,FALSE)</f>
        <v>300</v>
      </c>
      <c r="Q70" s="184">
        <v>0</v>
      </c>
      <c r="R70" s="183">
        <v>1000</v>
      </c>
      <c r="S70" s="188" t="s">
        <v>3652</v>
      </c>
      <c r="T70" s="186">
        <f t="shared" si="10"/>
        <v>1000</v>
      </c>
      <c r="U70" s="189">
        <f t="shared" si="11"/>
        <v>1.8664026681050385</v>
      </c>
      <c r="V70" s="189">
        <f t="shared" si="9"/>
        <v>5</v>
      </c>
      <c r="W70" s="190">
        <f>IF(P70=0,0,IF(Q70+R70=0,0,PV(Lookup!$G$4,G70,-T70)/H70))</f>
        <v>2.0585023853179383</v>
      </c>
      <c r="X70" s="190">
        <f>IF(I70=0,0,PMT(Lookup!$G$4,G70,-(H70*I70*K70))/P70)</f>
        <v>8.0965010220731326E-2</v>
      </c>
      <c r="Y70" s="42" t="s">
        <v>962</v>
      </c>
      <c r="Z70" s="192">
        <f>VLOOKUP(Y70,Lookup!$B$4:$C$14,2,FALSE)</f>
        <v>-4</v>
      </c>
      <c r="AA70" s="281" t="s">
        <v>1898</v>
      </c>
      <c r="AB70" s="282" t="s">
        <v>1072</v>
      </c>
      <c r="AC70" s="181" t="str">
        <f>VLOOKUP(AD70,Lookup!$C$4:$D$14,2,FALSE)</f>
        <v>Substantial Worsening</v>
      </c>
      <c r="AD70" s="193">
        <f>IF(P70/H70&lt;Lookup!$F$33,-5,IF(P70/H70&lt;Lookup!$F$32,-4,IF(P70/H70&lt;Lookup!$F$31,-3,IF(P70/H70&lt;Lookup!$F$30,-2,IF(P70/H70&lt;Lookup!$F$29,-1,-5)))))</f>
        <v>-5</v>
      </c>
      <c r="AE70" s="194" t="str">
        <f>VLOOKUP(AD70,Lookup!$G$28:$J$33,2,FALSE)</f>
        <v>One-time practice implementation cost 5 times or greater enterprise annual net income</v>
      </c>
      <c r="AF70" s="281" t="s">
        <v>1847</v>
      </c>
      <c r="AG70" s="181" t="str">
        <f>VLOOKUP(AH70,Lookup!$C$4:$D$14,2,FALSE)</f>
        <v>Slight Worsening</v>
      </c>
      <c r="AH70" s="193">
        <f>IF(J70&gt;Lookup!$F$43,-5,IF(J70&gt;Lookup!$F$42,-4,IF(J70&gt;Lookup!$F$41,-3,IF(J70&gt;Lookup!$F$40,-2,IF(J70&gt;Lookup!$F$39,-1,0)))))</f>
        <v>-1</v>
      </c>
      <c r="AI70" s="194" t="str">
        <f>VLOOKUP(AH70,Lookup!$G$38:$J$43,2,FALSE)</f>
        <v>Annual O&amp;M costs less than 1% of total installation costs</v>
      </c>
      <c r="AJ70" s="281" t="s">
        <v>2987</v>
      </c>
      <c r="AK70" s="181" t="str">
        <f>VLOOKUP(AL70,Lookup!$C$4:$D$14,2,FALSE)</f>
        <v>Moderate Improvement</v>
      </c>
      <c r="AL70" s="346">
        <f>IF(N70=0,0,IF(U70&lt;Lookup!$F$58,-5,IF(U70&lt;Lookup!$F$57,-4,IF(U70&lt;Lookup!$F$56,-3,IF(U70&lt;Lookup!$F$55,-2,IF(U70&lt;Lookup!$F$54,-1,IF(U70&lt;Lookup!$F$53,0,IF(U70&lt;Lookup!$F$52,1,IF(U70&lt;Lookup!$F$51,2,IF(U70&lt;Lookup!$F$50,3,IF(U70&lt;Lookup!$F$49,4,5)))))))))))</f>
        <v>3</v>
      </c>
      <c r="AM70" s="194" t="str">
        <f>VLOOKUP(AL70,Lookup!$G$48:$J$58,2,FALSE)</f>
        <v>B/C Ratio 1.75 to 2.00</v>
      </c>
      <c r="AN70" s="281" t="s">
        <v>3044</v>
      </c>
      <c r="AO70" s="181" t="str">
        <f>VLOOKUP(AP70,Lookup!$C$4:$D$14,2,FALSE)</f>
        <v>No Effect</v>
      </c>
      <c r="AP70" s="193">
        <f>IF(Q70=0,0,IF(Q70&gt;Lookup!$F$63,5,IF(Q70&gt;Lookup!$F$64,4,IF(Q70&gt;Lookup!$F$65,3,IF(Q70&gt;Lookup!$F$66,2,IF(Q70&gt;Lookup!$F$67,1,IF(Q70&gt;Lookup!$F$69,-1,IF(Q70&gt;Lookup!$F$70,-2,IF(Q70&gt;Lookup!$F$71,-3,IF(Q70&gt;Lookup!$F$72,-4,-5))))))))))</f>
        <v>0</v>
      </c>
      <c r="AQ70" s="194" t="str">
        <f>VLOOKUP(AP70,Lookup!$G$63:$J$73,2,FALSE)</f>
        <v>No change in yield</v>
      </c>
      <c r="AR70" s="281" t="s">
        <v>3108</v>
      </c>
      <c r="AS70" s="181" t="str">
        <f>VLOOKUP(AT70,Lookup!$C$4:$D$14,2,FALSE)</f>
        <v>Slight Worsening</v>
      </c>
      <c r="AT70" s="193">
        <f>IF(V70=0,0,IF(V70&lt;Lookup!$F$79,5,IF(V70&lt;Lookup!$F$80,4,IF(V70&lt;Lookup!$F$81,3,IF(V70&lt;Lookup!$F$82,2,IF(V70&lt;Lookup!$F$83,1,IF(V70&lt;Lookup!$F$85,-1,IF(V70&lt;Lookup!$F$86,-2,IF(V70&lt;Lookup!$F$87,-3,IF(V70&lt;Lookup!$F$88,-4,-5))))))))))</f>
        <v>-1</v>
      </c>
      <c r="AU70" s="194" t="str">
        <f>VLOOKUP(AT70,Lookup!$G$79:$J$89,2,FALSE)</f>
        <v>5-6 years to breakeven</v>
      </c>
      <c r="AV70" s="345" t="str">
        <f>VLOOKUP(AT70,Lookup!$G$79:$J$89,4,FALSE)</f>
        <v>Annual benefits moderately greater than annual costs</v>
      </c>
      <c r="AW70" s="181" t="str">
        <f>VLOOKUP(AX70,Lookup!$C$4:$D$14,2,FALSE)</f>
        <v>Substantial Improvement</v>
      </c>
      <c r="AX70" s="193">
        <f>VLOOKUP(AY70,Lookup!$G$92:$J$97,4,FALSE)</f>
        <v>5</v>
      </c>
      <c r="AY70" s="181" t="s">
        <v>2657</v>
      </c>
      <c r="AZ70" s="281" t="s">
        <v>1899</v>
      </c>
      <c r="BA70" s="181" t="str">
        <f>VLOOKUP(BB70,Lookup!$C$4:$D$14,2,FALSE)</f>
        <v>Slight to Moderate Worsening</v>
      </c>
      <c r="BB70" s="193">
        <f>VLOOKUP(BC70,Lookup!$G$100:$K$110,5,FALSE)</f>
        <v>-2</v>
      </c>
      <c r="BC70" s="181" t="s">
        <v>2659</v>
      </c>
      <c r="BD70" s="281" t="s">
        <v>3193</v>
      </c>
      <c r="BE70" s="181" t="str">
        <f>VLOOKUP(BF70,Lookup!$C$4:$D$14,2,FALSE)</f>
        <v>Slight to Moderate Worsening</v>
      </c>
      <c r="BF70" s="193">
        <f>IF(X70=0,0,IF(X70&gt;Lookup!$F$113,-5,IF(X70&gt;Lookup!$F$114,-4,IF(X70&gt;Lookup!$F$115,-3,IF(X70&gt;Lookup!$F$116,-2,IF(X70&gt;Lookup!$F$117,-1,0))))))</f>
        <v>-2</v>
      </c>
      <c r="BG70" s="195" t="str">
        <f>VLOOKUP(BF70,Lookup!$G$113:$H$118,2,FALSE)</f>
        <v>Annual on-farm equipment costs 25 to 5% of enterprise annual net income</v>
      </c>
      <c r="BH70" s="281" t="s">
        <v>3242</v>
      </c>
      <c r="BI70" s="181" t="str">
        <f>VLOOKUP(BJ70,Lookup!$C$4:$D$14,2,FALSE)</f>
        <v>Slight to Moderate Improvement</v>
      </c>
      <c r="BJ70" s="193">
        <f>VLOOKUP(BK70,Lookup!$G$121:$L$131,6,FALSE)</f>
        <v>2</v>
      </c>
      <c r="BK70" s="181" t="s">
        <v>2633</v>
      </c>
      <c r="BL70" s="281" t="s">
        <v>3296</v>
      </c>
      <c r="BM70" s="181" t="str">
        <f>VLOOKUP(BN70,Lookup!$C$4:$D$14,2,FALSE)</f>
        <v>Moderate Worsening</v>
      </c>
      <c r="BN70" s="193">
        <f>VLOOKUP(BO70,Lookup!$G$134:$L$144,6,FALSE)</f>
        <v>-3</v>
      </c>
      <c r="BO70" s="181" t="s">
        <v>2654</v>
      </c>
      <c r="BP70" s="281" t="s">
        <v>3384</v>
      </c>
      <c r="BQ70" s="181" t="str">
        <f>VLOOKUP(BR70,Lookup!$C$4:$D$14,2,FALSE)</f>
        <v>Substantial Improvement</v>
      </c>
      <c r="BR70" s="193">
        <f>VLOOKUP(BS70,Lookup!$G$147:$L$157,6,FALSE)</f>
        <v>5</v>
      </c>
      <c r="BS70" s="181" t="s">
        <v>2639</v>
      </c>
      <c r="BT70" s="281" t="s">
        <v>3461</v>
      </c>
      <c r="BU70" s="175" t="s">
        <v>2231</v>
      </c>
    </row>
    <row r="71" spans="1:73" ht="39.950000000000003" customHeight="1" thickBot="1" x14ac:dyDescent="0.25">
      <c r="A71" s="173">
        <f t="shared" si="12"/>
        <v>69</v>
      </c>
      <c r="B71" s="178" t="s">
        <v>637</v>
      </c>
      <c r="C71" s="179" t="s">
        <v>1601</v>
      </c>
      <c r="D71" s="180">
        <v>441</v>
      </c>
      <c r="E71" s="180" t="s">
        <v>3649</v>
      </c>
      <c r="F71" s="273" t="str">
        <f>VLOOKUP($D71,'Practice Descriptions'!$E$11:$F$186,2,FALSE)</f>
        <v>An irrigation system for frequent application of small quantities of water on or below the soil surface: as drops, tiny streams or miniature spray through emitters or applicators placed along a water delivery line.</v>
      </c>
      <c r="G71" s="182">
        <v>10</v>
      </c>
      <c r="H71" s="183">
        <v>1200</v>
      </c>
      <c r="I71" s="184">
        <v>0.1</v>
      </c>
      <c r="J71" s="184">
        <v>0.05</v>
      </c>
      <c r="K71" s="419">
        <v>1</v>
      </c>
      <c r="L71" s="185" t="str">
        <f t="shared" si="8"/>
        <v/>
      </c>
      <c r="M71" s="184">
        <v>0</v>
      </c>
      <c r="N71" s="186">
        <f>IF(G71=1,H71,PMT(Lookup!$G$4,G71,-H71)+(H71*J71)+(M71*P71))*K71</f>
        <v>216.3502566820766</v>
      </c>
      <c r="O71" s="187" t="s">
        <v>1110</v>
      </c>
      <c r="P71" s="186">
        <f>VLOOKUP($O71,Lookup!$F$9:$I$18,4,FALSE)</f>
        <v>300</v>
      </c>
      <c r="Q71" s="184">
        <v>0.75</v>
      </c>
      <c r="R71" s="183">
        <v>15</v>
      </c>
      <c r="S71" s="188" t="s">
        <v>2660</v>
      </c>
      <c r="T71" s="186">
        <f t="shared" si="10"/>
        <v>240</v>
      </c>
      <c r="U71" s="189">
        <f t="shared" si="11"/>
        <v>1.1093122960915933</v>
      </c>
      <c r="V71" s="189">
        <f t="shared" si="9"/>
        <v>5</v>
      </c>
      <c r="W71" s="190">
        <f>IF(P71=0,0,IF(Q71+R71=0,0,PV(Lookup!$G$4,G71,-T71)/H71))</f>
        <v>1.535015068686566</v>
      </c>
      <c r="X71" s="190">
        <f>IF(I71=0,0,PMT(Lookup!$G$4,G71,-(H71*I71*K71))/P71)</f>
        <v>5.211675222735887E-2</v>
      </c>
      <c r="Y71" s="42" t="s">
        <v>963</v>
      </c>
      <c r="Z71" s="192">
        <f>VLOOKUP(Y71,Lookup!$B$4:$C$14,2,FALSE)</f>
        <v>2</v>
      </c>
      <c r="AA71" s="281" t="s">
        <v>1900</v>
      </c>
      <c r="AB71" s="282" t="s">
        <v>1072</v>
      </c>
      <c r="AC71" s="181" t="str">
        <f>VLOOKUP(AD71,Lookup!$C$4:$D$14,2,FALSE)</f>
        <v>Moderate to Substantial Worsening</v>
      </c>
      <c r="AD71" s="193">
        <f>IF(P71/H71&lt;Lookup!$F$33,-5,IF(P71/H71&lt;Lookup!$F$32,-4,IF(P71/H71&lt;Lookup!$F$31,-3,IF(P71/H71&lt;Lookup!$F$30,-2,IF(P71/H71&lt;Lookup!$F$29,-1,-5)))))</f>
        <v>-4</v>
      </c>
      <c r="AE71" s="194" t="str">
        <f>VLOOKUP(AD71,Lookup!$G$28:$J$33,2,FALSE)</f>
        <v>One-time practice implementation cost 2 to 5 times enterprise annual net income</v>
      </c>
      <c r="AF71" s="281" t="s">
        <v>1847</v>
      </c>
      <c r="AG71" s="181" t="str">
        <f>VLOOKUP(AH71,Lookup!$C$4:$D$14,2,FALSE)</f>
        <v>Substantial Worsening</v>
      </c>
      <c r="AH71" s="193">
        <f>IF(J71&gt;Lookup!$F$43,-5,IF(J71&gt;Lookup!$F$42,-4,IF(J71&gt;Lookup!$F$41,-3,IF(J71&gt;Lookup!$F$40,-2,IF(J71&gt;Lookup!$F$39,-1,0)))))</f>
        <v>-5</v>
      </c>
      <c r="AI71" s="194" t="str">
        <f>VLOOKUP(AH71,Lookup!$G$38:$J$43,2,FALSE)</f>
        <v>Annual O&amp;M costs greater than 4% of total installation costs</v>
      </c>
      <c r="AJ71" s="281" t="s">
        <v>2987</v>
      </c>
      <c r="AK71" s="181" t="str">
        <f>VLOOKUP(AL71,Lookup!$C$4:$D$14,2,FALSE)</f>
        <v>No Effect</v>
      </c>
      <c r="AL71" s="346">
        <f>IF(N71=0,0,IF(U71&lt;Lookup!$F$58,-5,IF(U71&lt;Lookup!$F$57,-4,IF(U71&lt;Lookup!$F$56,-3,IF(U71&lt;Lookup!$F$55,-2,IF(U71&lt;Lookup!$F$54,-1,IF(U71&lt;Lookup!$F$53,0,IF(U71&lt;Lookup!$F$52,1,IF(U71&lt;Lookup!$F$51,2,IF(U71&lt;Lookup!$F$50,3,IF(U71&lt;Lookup!$F$49,4,5)))))))))))</f>
        <v>0</v>
      </c>
      <c r="AM71" s="194" t="str">
        <f>VLOOKUP(AL71,Lookup!$G$48:$J$58,2,FALSE)</f>
        <v>B/C Ratio .75 to 1.25</v>
      </c>
      <c r="AN71" s="281" t="s">
        <v>3545</v>
      </c>
      <c r="AO71" s="181" t="str">
        <f>VLOOKUP(AP71,Lookup!$C$4:$D$14,2,FALSE)</f>
        <v>Substantial Improvement</v>
      </c>
      <c r="AP71" s="193">
        <f>IF(Q71=0,0,IF(Q71&gt;Lookup!$F$63,5,IF(Q71&gt;Lookup!$F$64,4,IF(Q71&gt;Lookup!$F$65,3,IF(Q71&gt;Lookup!$F$66,2,IF(Q71&gt;Lookup!$F$67,1,IF(Q71&gt;Lookup!$F$69,-1,IF(Q71&gt;Lookup!$F$70,-2,IF(Q71&gt;Lookup!$F$71,-3,IF(Q71&gt;Lookup!$F$72,-4,-5))))))))))</f>
        <v>5</v>
      </c>
      <c r="AQ71" s="194" t="str">
        <f>VLOOKUP(AP71,Lookup!$G$63:$J$73,2,FALSE)</f>
        <v>Greater than 50% yield increase</v>
      </c>
      <c r="AR71" s="281" t="s">
        <v>3108</v>
      </c>
      <c r="AS71" s="181" t="str">
        <f>VLOOKUP(AT71,Lookup!$C$4:$D$14,2,FALSE)</f>
        <v>Slight Worsening</v>
      </c>
      <c r="AT71" s="193">
        <f>IF(V71=0,0,IF(V71&lt;Lookup!$F$79,5,IF(V71&lt;Lookup!$F$80,4,IF(V71&lt;Lookup!$F$81,3,IF(V71&lt;Lookup!$F$82,2,IF(V71&lt;Lookup!$F$83,1,IF(V71&lt;Lookup!$F$85,-1,IF(V71&lt;Lookup!$F$86,-2,IF(V71&lt;Lookup!$F$87,-3,IF(V71&lt;Lookup!$F$88,-4,-5))))))))))</f>
        <v>-1</v>
      </c>
      <c r="AU71" s="194" t="str">
        <f>VLOOKUP(AT71,Lookup!$G$79:$J$89,2,FALSE)</f>
        <v>5-6 years to breakeven</v>
      </c>
      <c r="AV71" s="345" t="str">
        <f>VLOOKUP(AT71,Lookup!$G$79:$J$89,4,FALSE)</f>
        <v>Annual benefits moderately greater than annual costs</v>
      </c>
      <c r="AW71" s="181" t="str">
        <f>VLOOKUP(AX71,Lookup!$C$4:$D$14,2,FALSE)</f>
        <v>No Effect</v>
      </c>
      <c r="AX71" s="193">
        <f>VLOOKUP(AY71,Lookup!$G$92:$J$97,4,FALSE)</f>
        <v>0</v>
      </c>
      <c r="AY71" s="181" t="s">
        <v>2642</v>
      </c>
      <c r="AZ71" s="281" t="s">
        <v>3170</v>
      </c>
      <c r="BA71" s="181" t="str">
        <f>VLOOKUP(BB71,Lookup!$C$4:$D$14,2,FALSE)</f>
        <v>Moderate Improvement</v>
      </c>
      <c r="BB71" s="193">
        <f>VLOOKUP(BC71,Lookup!$G$100:$K$110,5,FALSE)</f>
        <v>3</v>
      </c>
      <c r="BC71" s="181" t="s">
        <v>2644</v>
      </c>
      <c r="BD71" s="281" t="s">
        <v>3199</v>
      </c>
      <c r="BE71" s="181" t="str">
        <f>VLOOKUP(BF71,Lookup!$C$4:$D$14,2,FALSE)</f>
        <v>Slight Worsening</v>
      </c>
      <c r="BF71" s="193">
        <f>IF(X71=0,0,IF(X71&gt;Lookup!$F$113,-5,IF(X71&gt;Lookup!$F$114,-4,IF(X71&gt;Lookup!$F$115,-3,IF(X71&gt;Lookup!$F$116,-2,IF(X71&gt;Lookup!$F$117,-1,0))))))</f>
        <v>-1</v>
      </c>
      <c r="BG71" s="195" t="str">
        <f>VLOOKUP(BF71,Lookup!$G$113:$H$118,2,FALSE)</f>
        <v>Annual on-farm equipment costs 5% or less of enterprise annual net income</v>
      </c>
      <c r="BH71" s="281" t="s">
        <v>3525</v>
      </c>
      <c r="BI71" s="181" t="str">
        <f>VLOOKUP(BJ71,Lookup!$C$4:$D$14,2,FALSE)</f>
        <v>Slight to Moderate Improvement</v>
      </c>
      <c r="BJ71" s="193">
        <f>VLOOKUP(BK71,Lookup!$G$121:$L$131,6,FALSE)</f>
        <v>2</v>
      </c>
      <c r="BK71" s="181" t="s">
        <v>2633</v>
      </c>
      <c r="BL71" s="281" t="s">
        <v>3297</v>
      </c>
      <c r="BM71" s="181" t="str">
        <f>VLOOKUP(BN71,Lookup!$C$4:$D$14,2,FALSE)</f>
        <v>Slight to Moderate Worsening</v>
      </c>
      <c r="BN71" s="193">
        <f>VLOOKUP(BO71,Lookup!$G$134:$L$144,6,FALSE)</f>
        <v>-2</v>
      </c>
      <c r="BO71" s="181" t="s">
        <v>3374</v>
      </c>
      <c r="BP71" s="281" t="s">
        <v>3400</v>
      </c>
      <c r="BQ71" s="181" t="str">
        <f>VLOOKUP(BR71,Lookup!$C$4:$D$14,2,FALSE)</f>
        <v>Moderate to Substantial Improvement</v>
      </c>
      <c r="BR71" s="193">
        <f>VLOOKUP(BS71,Lookup!$G$147:$L$157,6,FALSE)</f>
        <v>4</v>
      </c>
      <c r="BS71" s="181" t="s">
        <v>2645</v>
      </c>
      <c r="BT71" s="281" t="s">
        <v>3461</v>
      </c>
      <c r="BU71" s="175" t="s">
        <v>2231</v>
      </c>
    </row>
    <row r="72" spans="1:73" ht="39.950000000000003" customHeight="1" thickBot="1" x14ac:dyDescent="0.25">
      <c r="A72" s="173">
        <f t="shared" si="12"/>
        <v>70</v>
      </c>
      <c r="B72" s="178" t="s">
        <v>638</v>
      </c>
      <c r="C72" s="179" t="s">
        <v>1601</v>
      </c>
      <c r="D72" s="180">
        <v>442</v>
      </c>
      <c r="E72" s="180" t="s">
        <v>3649</v>
      </c>
      <c r="F72" s="273" t="str">
        <f>VLOOKUP($D72,'Practice Descriptions'!$E$11:$F$186,2,FALSE)</f>
        <v>An irrigation system in which all necessary equipment and facilities are installed for efficiently applying water by means of nozzles operated under pressure.</v>
      </c>
      <c r="G72" s="182">
        <v>15</v>
      </c>
      <c r="H72" s="183">
        <v>1000</v>
      </c>
      <c r="I72" s="184">
        <v>0.1</v>
      </c>
      <c r="J72" s="184">
        <v>0.02</v>
      </c>
      <c r="K72" s="419">
        <v>1</v>
      </c>
      <c r="L72" s="185" t="str">
        <f t="shared" si="8"/>
        <v/>
      </c>
      <c r="M72" s="184">
        <v>0</v>
      </c>
      <c r="N72" s="186">
        <f>IF(G72=1,H72,PMT(Lookup!$G$4,G72,-H72)+(H72*J72)+(M72*P72))*K72</f>
        <v>117.1580122648776</v>
      </c>
      <c r="O72" s="187" t="s">
        <v>1110</v>
      </c>
      <c r="P72" s="186">
        <f>VLOOKUP($O72,Lookup!$F$9:$I$18,4,FALSE)</f>
        <v>300</v>
      </c>
      <c r="Q72" s="184">
        <v>0.3</v>
      </c>
      <c r="R72" s="183">
        <v>20</v>
      </c>
      <c r="S72" s="188" t="s">
        <v>2660</v>
      </c>
      <c r="T72" s="186">
        <f t="shared" si="10"/>
        <v>110</v>
      </c>
      <c r="U72" s="189">
        <f t="shared" si="11"/>
        <v>0.9389029215629372</v>
      </c>
      <c r="V72" s="189">
        <f t="shared" si="9"/>
        <v>0</v>
      </c>
      <c r="W72" s="190">
        <f>IF(P72=0,0,IF(Q72+R72=0,0,PV(Lookup!$G$4,G72,-T72)/H72))</f>
        <v>1.132176311924866</v>
      </c>
      <c r="X72" s="190">
        <f>IF(I72=0,0,PMT(Lookup!$G$4,G72,-(H72*I72*K72))/P72)</f>
        <v>3.2386004088292536E-2</v>
      </c>
      <c r="Y72" s="42" t="s">
        <v>986</v>
      </c>
      <c r="Z72" s="192">
        <f>VLOOKUP(Y72,Lookup!$B$4:$C$14,2,FALSE)</f>
        <v>0</v>
      </c>
      <c r="AA72" s="281" t="s">
        <v>2759</v>
      </c>
      <c r="AB72" s="282" t="s">
        <v>1072</v>
      </c>
      <c r="AC72" s="181" t="str">
        <f>VLOOKUP(AD72,Lookup!$C$4:$D$14,2,FALSE)</f>
        <v>Moderate to Substantial Worsening</v>
      </c>
      <c r="AD72" s="193">
        <f>IF(P72/H72&lt;Lookup!$F$33,-5,IF(P72/H72&lt;Lookup!$F$32,-4,IF(P72/H72&lt;Lookup!$F$31,-3,IF(P72/H72&lt;Lookup!$F$30,-2,IF(P72/H72&lt;Lookup!$F$29,-1,-5)))))</f>
        <v>-4</v>
      </c>
      <c r="AE72" s="194" t="str">
        <f>VLOOKUP(AD72,Lookup!$G$28:$J$33,2,FALSE)</f>
        <v>One-time practice implementation cost 2 to 5 times enterprise annual net income</v>
      </c>
      <c r="AF72" s="281" t="s">
        <v>1847</v>
      </c>
      <c r="AG72" s="181" t="str">
        <f>VLOOKUP(AH72,Lookup!$C$4:$D$14,2,FALSE)</f>
        <v>Slight to Moderate Worsening</v>
      </c>
      <c r="AH72" s="193">
        <f>IF(J72&gt;Lookup!$F$43,-5,IF(J72&gt;Lookup!$F$42,-4,IF(J72&gt;Lookup!$F$41,-3,IF(J72&gt;Lookup!$F$40,-2,IF(J72&gt;Lookup!$F$39,-1,0)))))</f>
        <v>-2</v>
      </c>
      <c r="AI72" s="194" t="str">
        <f>VLOOKUP(AH72,Lookup!$G$38:$J$43,2,FALSE)</f>
        <v>Annual O&amp;M costs 1 to 2% of total installation costs</v>
      </c>
      <c r="AJ72" s="281" t="s">
        <v>2987</v>
      </c>
      <c r="AK72" s="181" t="str">
        <f>VLOOKUP(AL72,Lookup!$C$4:$D$14,2,FALSE)</f>
        <v>No Effect</v>
      </c>
      <c r="AL72" s="346">
        <f>IF(N72=0,0,IF(U72&lt;Lookup!$F$58,-5,IF(U72&lt;Lookup!$F$57,-4,IF(U72&lt;Lookup!$F$56,-3,IF(U72&lt;Lookup!$F$55,-2,IF(U72&lt;Lookup!$F$54,-1,IF(U72&lt;Lookup!$F$53,0,IF(U72&lt;Lookup!$F$52,1,IF(U72&lt;Lookup!$F$51,2,IF(U72&lt;Lookup!$F$50,3,IF(U72&lt;Lookup!$F$49,4,5)))))))))))</f>
        <v>0</v>
      </c>
      <c r="AM72" s="194" t="str">
        <f>VLOOKUP(AL72,Lookup!$G$48:$J$58,2,FALSE)</f>
        <v>B/C Ratio .75 to 1.25</v>
      </c>
      <c r="AN72" s="281" t="s">
        <v>3044</v>
      </c>
      <c r="AO72" s="181" t="str">
        <f>VLOOKUP(AP72,Lookup!$C$4:$D$14,2,FALSE)</f>
        <v>Moderate to Substantial Improvement</v>
      </c>
      <c r="AP72" s="193">
        <f>IF(Q72=0,0,IF(Q72&gt;Lookup!$F$63,5,IF(Q72&gt;Lookup!$F$64,4,IF(Q72&gt;Lookup!$F$65,3,IF(Q72&gt;Lookup!$F$66,2,IF(Q72&gt;Lookup!$F$67,1,IF(Q72&gt;Lookup!$F$69,-1,IF(Q72&gt;Lookup!$F$70,-2,IF(Q72&gt;Lookup!$F$71,-3,IF(Q72&gt;Lookup!$F$72,-4,-5))))))))))</f>
        <v>4</v>
      </c>
      <c r="AQ72" s="194" t="str">
        <f>VLOOKUP(AP72,Lookup!$G$63:$J$73,2,FALSE)</f>
        <v>25 to 50% yield increase</v>
      </c>
      <c r="AR72" s="281" t="s">
        <v>3108</v>
      </c>
      <c r="AS72" s="181" t="str">
        <f>VLOOKUP(AT72,Lookup!$C$4:$D$14,2,FALSE)</f>
        <v>No Effect</v>
      </c>
      <c r="AT72" s="193">
        <f>IF(V72=0,0,IF(V72&lt;Lookup!$F$79,5,IF(V72&lt;Lookup!$F$80,4,IF(V72&lt;Lookup!$F$81,3,IF(V72&lt;Lookup!$F$82,2,IF(V72&lt;Lookup!$F$83,1,IF(V72&lt;Lookup!$F$85,-1,IF(V72&lt;Lookup!$F$86,-2,IF(V72&lt;Lookup!$F$87,-3,IF(V72&lt;Lookup!$F$88,-4,-5))))))))))</f>
        <v>0</v>
      </c>
      <c r="AU72" s="194" t="str">
        <f>VLOOKUP(AT72,Lookup!$G$79:$J$89,2,FALSE)</f>
        <v>No breakeven</v>
      </c>
      <c r="AV72" s="345" t="str">
        <f>VLOOKUP(AT72,Lookup!$G$79:$J$89,4,FALSE)</f>
        <v>Annual costs greater than annual benefits</v>
      </c>
      <c r="AW72" s="181" t="str">
        <f>VLOOKUP(AX72,Lookup!$C$4:$D$14,2,FALSE)</f>
        <v>No Effect</v>
      </c>
      <c r="AX72" s="193">
        <f>VLOOKUP(AY72,Lookup!$G$92:$J$97,4,FALSE)</f>
        <v>0</v>
      </c>
      <c r="AY72" s="181" t="s">
        <v>2642</v>
      </c>
      <c r="AZ72" s="281" t="s">
        <v>3170</v>
      </c>
      <c r="BA72" s="181" t="str">
        <f>VLOOKUP(BB72,Lookup!$C$4:$D$14,2,FALSE)</f>
        <v>Moderate Improvement</v>
      </c>
      <c r="BB72" s="193">
        <f>VLOOKUP(BC72,Lookup!$G$100:$K$110,5,FALSE)</f>
        <v>3</v>
      </c>
      <c r="BC72" s="181" t="s">
        <v>2644</v>
      </c>
      <c r="BD72" s="281" t="s">
        <v>3199</v>
      </c>
      <c r="BE72" s="181" t="str">
        <f>VLOOKUP(BF72,Lookup!$C$4:$D$14,2,FALSE)</f>
        <v>Slight Worsening</v>
      </c>
      <c r="BF72" s="193">
        <f>IF(X72=0,0,IF(X72&gt;Lookup!$F$113,-5,IF(X72&gt;Lookup!$F$114,-4,IF(X72&gt;Lookup!$F$115,-3,IF(X72&gt;Lookup!$F$116,-2,IF(X72&gt;Lookup!$F$117,-1,0))))))</f>
        <v>-1</v>
      </c>
      <c r="BG72" s="195" t="str">
        <f>VLOOKUP(BF72,Lookup!$G$113:$H$118,2,FALSE)</f>
        <v>Annual on-farm equipment costs 5% or less of enterprise annual net income</v>
      </c>
      <c r="BH72" s="281" t="s">
        <v>3525</v>
      </c>
      <c r="BI72" s="181" t="str">
        <f>VLOOKUP(BJ72,Lookup!$C$4:$D$14,2,FALSE)</f>
        <v>Moderate Improvement</v>
      </c>
      <c r="BJ72" s="193">
        <f>VLOOKUP(BK72,Lookup!$G$121:$L$131,6,FALSE)</f>
        <v>3</v>
      </c>
      <c r="BK72" s="181" t="s">
        <v>2726</v>
      </c>
      <c r="BL72" s="281" t="s">
        <v>3297</v>
      </c>
      <c r="BM72" s="181" t="str">
        <f>VLOOKUP(BN72,Lookup!$C$4:$D$14,2,FALSE)</f>
        <v>Slight Worsening</v>
      </c>
      <c r="BN72" s="193">
        <f>VLOOKUP(BO72,Lookup!$G$134:$L$144,6,FALSE)</f>
        <v>-1</v>
      </c>
      <c r="BO72" s="181" t="s">
        <v>3373</v>
      </c>
      <c r="BP72" s="281" t="s">
        <v>3400</v>
      </c>
      <c r="BQ72" s="181" t="str">
        <f>VLOOKUP(BR72,Lookup!$C$4:$D$14,2,FALSE)</f>
        <v>Moderate to Substantial Improvement</v>
      </c>
      <c r="BR72" s="193">
        <f>VLOOKUP(BS72,Lookup!$G$147:$L$157,6,FALSE)</f>
        <v>4</v>
      </c>
      <c r="BS72" s="181" t="s">
        <v>2645</v>
      </c>
      <c r="BT72" s="281" t="s">
        <v>3461</v>
      </c>
      <c r="BU72" s="175" t="s">
        <v>2231</v>
      </c>
    </row>
    <row r="73" spans="1:73" ht="39.950000000000003" customHeight="1" thickBot="1" x14ac:dyDescent="0.25">
      <c r="A73" s="173">
        <f t="shared" si="12"/>
        <v>71</v>
      </c>
      <c r="B73" s="178" t="s">
        <v>639</v>
      </c>
      <c r="C73" s="179" t="s">
        <v>1601</v>
      </c>
      <c r="D73" s="180">
        <v>443</v>
      </c>
      <c r="E73" s="180" t="s">
        <v>3649</v>
      </c>
      <c r="F73" s="273" t="str">
        <f>VLOOKUP($D73,'Practice Descriptions'!$E$11:$F$186,2,FALSE)</f>
        <v>A system in which all necessary earthwork, multi-outlet pipelines, and water-control structures have been installed for distribution of water by surface means, such as furrows, borders, and contour levees, or by subsurface means through water table control</v>
      </c>
      <c r="G73" s="182">
        <v>15</v>
      </c>
      <c r="H73" s="183">
        <v>25</v>
      </c>
      <c r="I73" s="184">
        <v>0.1</v>
      </c>
      <c r="J73" s="184">
        <v>0.03</v>
      </c>
      <c r="K73" s="419">
        <v>1</v>
      </c>
      <c r="L73" s="185" t="str">
        <f t="shared" si="8"/>
        <v/>
      </c>
      <c r="M73" s="184">
        <v>0</v>
      </c>
      <c r="N73" s="186">
        <f>IF(G73=1,H73,PMT(Lookup!$G$4,G73,-H73)+(H73*J73)+(M73*P73))*K73</f>
        <v>3.1789503066219402</v>
      </c>
      <c r="O73" s="187" t="s">
        <v>1110</v>
      </c>
      <c r="P73" s="186">
        <f>VLOOKUP($O73,Lookup!$F$9:$I$18,4,FALSE)</f>
        <v>300</v>
      </c>
      <c r="Q73" s="184">
        <v>0.02</v>
      </c>
      <c r="R73" s="183">
        <v>3</v>
      </c>
      <c r="S73" s="188" t="s">
        <v>2660</v>
      </c>
      <c r="T73" s="186">
        <f t="shared" si="10"/>
        <v>9</v>
      </c>
      <c r="U73" s="189">
        <f t="shared" si="11"/>
        <v>2.8311232110965912</v>
      </c>
      <c r="V73" s="189">
        <f t="shared" si="9"/>
        <v>2.7777777777777777</v>
      </c>
      <c r="W73" s="190">
        <f>IF(P73=0,0,IF(Q73+R73=0,0,PV(Lookup!$G$4,G73,-T73)/H73))</f>
        <v>3.7053042935722886</v>
      </c>
      <c r="X73" s="190">
        <f>IF(I73=0,0,PMT(Lookup!$G$4,G73,-(H73*I73*K73))/P73)</f>
        <v>8.0965010220731333E-4</v>
      </c>
      <c r="Y73" s="42" t="s">
        <v>986</v>
      </c>
      <c r="Z73" s="192">
        <f>VLOOKUP(Y73,Lookup!$B$4:$C$14,2,FALSE)</f>
        <v>0</v>
      </c>
      <c r="AA73" s="281" t="s">
        <v>2760</v>
      </c>
      <c r="AB73" s="282" t="s">
        <v>1072</v>
      </c>
      <c r="AC73" s="181" t="str">
        <f>VLOOKUP(AD73,Lookup!$C$4:$D$14,2,FALSE)</f>
        <v>Slight to Moderate Worsening</v>
      </c>
      <c r="AD73" s="193">
        <f>IF(P73/H73&lt;Lookup!$F$33,-5,IF(P73/H73&lt;Lookup!$F$32,-4,IF(P73/H73&lt;Lookup!$F$31,-3,IF(P73/H73&lt;Lookup!$F$30,-2,IF(P73/H73&lt;Lookup!$F$29,-1,-5)))))</f>
        <v>-2</v>
      </c>
      <c r="AE73" s="194" t="str">
        <f>VLOOKUP(AD73,Lookup!$G$28:$J$33,2,FALSE)</f>
        <v>One-time practice implementation cost 5 to 100% of enterprise annual net income</v>
      </c>
      <c r="AF73" s="281" t="s">
        <v>1847</v>
      </c>
      <c r="AG73" s="181" t="str">
        <f>VLOOKUP(AH73,Lookup!$C$4:$D$14,2,FALSE)</f>
        <v>Moderate Worsening</v>
      </c>
      <c r="AH73" s="193">
        <f>IF(J73&gt;Lookup!$F$43,-5,IF(J73&gt;Lookup!$F$42,-4,IF(J73&gt;Lookup!$F$41,-3,IF(J73&gt;Lookup!$F$40,-2,IF(J73&gt;Lookup!$F$39,-1,0)))))</f>
        <v>-3</v>
      </c>
      <c r="AI73" s="194" t="str">
        <f>VLOOKUP(AH73,Lookup!$G$38:$J$43,2,FALSE)</f>
        <v>Annual O&amp;M costs 2 to 3% of total installation costs</v>
      </c>
      <c r="AJ73" s="281" t="s">
        <v>2987</v>
      </c>
      <c r="AK73" s="181" t="str">
        <f>VLOOKUP(AL73,Lookup!$C$4:$D$14,2,FALSE)</f>
        <v>Substantial Improvement</v>
      </c>
      <c r="AL73" s="346">
        <f>IF(N73=0,0,IF(U73&lt;Lookup!$F$58,-5,IF(U73&lt;Lookup!$F$57,-4,IF(U73&lt;Lookup!$F$56,-3,IF(U73&lt;Lookup!$F$55,-2,IF(U73&lt;Lookup!$F$54,-1,IF(U73&lt;Lookup!$F$53,0,IF(U73&lt;Lookup!$F$52,1,IF(U73&lt;Lookup!$F$51,2,IF(U73&lt;Lookup!$F$50,3,IF(U73&lt;Lookup!$F$49,4,5)))))))))))</f>
        <v>5</v>
      </c>
      <c r="AM73" s="194" t="str">
        <f>VLOOKUP(AL73,Lookup!$G$48:$J$58,2,FALSE)</f>
        <v>B/C Ratio greater than 2.25</v>
      </c>
      <c r="AN73" s="281" t="s">
        <v>3044</v>
      </c>
      <c r="AO73" s="181" t="str">
        <f>VLOOKUP(AP73,Lookup!$C$4:$D$14,2,FALSE)</f>
        <v>Slight Improvement</v>
      </c>
      <c r="AP73" s="193">
        <f>IF(Q73=0,0,IF(Q73&gt;Lookup!$F$63,5,IF(Q73&gt;Lookup!$F$64,4,IF(Q73&gt;Lookup!$F$65,3,IF(Q73&gt;Lookup!$F$66,2,IF(Q73&gt;Lookup!$F$67,1,IF(Q73&gt;Lookup!$F$69,-1,IF(Q73&gt;Lookup!$F$70,-2,IF(Q73&gt;Lookup!$F$71,-3,IF(Q73&gt;Lookup!$F$72,-4,-5))))))))))</f>
        <v>1</v>
      </c>
      <c r="AQ73" s="194" t="str">
        <f>VLOOKUP(AP73,Lookup!$G$63:$J$73,2,FALSE)</f>
        <v>5% or less yield increase</v>
      </c>
      <c r="AR73" s="281" t="s">
        <v>3108</v>
      </c>
      <c r="AS73" s="181" t="str">
        <f>VLOOKUP(AT73,Lookup!$C$4:$D$14,2,FALSE)</f>
        <v>Moderate Improvement</v>
      </c>
      <c r="AT73" s="193">
        <f>IF(V73=0,0,IF(V73&lt;Lookup!$F$79,5,IF(V73&lt;Lookup!$F$80,4,IF(V73&lt;Lookup!$F$81,3,IF(V73&lt;Lookup!$F$82,2,IF(V73&lt;Lookup!$F$83,1,IF(V73&lt;Lookup!$F$85,-1,IF(V73&lt;Lookup!$F$86,-2,IF(V73&lt;Lookup!$F$87,-3,IF(V73&lt;Lookup!$F$88,-4,-5))))))))))</f>
        <v>3</v>
      </c>
      <c r="AU73" s="194" t="str">
        <f>VLOOKUP(AT73,Lookup!$G$79:$J$89,2,FALSE)</f>
        <v>2-3 years to breakeven</v>
      </c>
      <c r="AV73" s="345" t="str">
        <f>VLOOKUP(AT73,Lookup!$G$79:$J$89,4,FALSE)</f>
        <v>Annual benefits significantly greater than annual costs</v>
      </c>
      <c r="AW73" s="181" t="str">
        <f>VLOOKUP(AX73,Lookup!$C$4:$D$14,2,FALSE)</f>
        <v>No Effect</v>
      </c>
      <c r="AX73" s="193">
        <f>VLOOKUP(AY73,Lookup!$G$92:$J$97,4,FALSE)</f>
        <v>0</v>
      </c>
      <c r="AY73" s="181" t="s">
        <v>2642</v>
      </c>
      <c r="AZ73" s="281" t="s">
        <v>3170</v>
      </c>
      <c r="BA73" s="181" t="str">
        <f>VLOOKUP(BB73,Lookup!$C$4:$D$14,2,FALSE)</f>
        <v>Moderate Improvement</v>
      </c>
      <c r="BB73" s="193">
        <f>VLOOKUP(BC73,Lookup!$G$100:$K$110,5,FALSE)</f>
        <v>3</v>
      </c>
      <c r="BC73" s="181" t="s">
        <v>2644</v>
      </c>
      <c r="BD73" s="281" t="s">
        <v>3199</v>
      </c>
      <c r="BE73" s="181" t="str">
        <f>VLOOKUP(BF73,Lookup!$C$4:$D$14,2,FALSE)</f>
        <v>Slight Worsening</v>
      </c>
      <c r="BF73" s="193">
        <f>IF(X73=0,0,IF(X73&gt;Lookup!$F$113,-5,IF(X73&gt;Lookup!$F$114,-4,IF(X73&gt;Lookup!$F$115,-3,IF(X73&gt;Lookup!$F$116,-2,IF(X73&gt;Lookup!$F$117,-1,0))))))</f>
        <v>-1</v>
      </c>
      <c r="BG73" s="195" t="str">
        <f>VLOOKUP(BF73,Lookup!$G$113:$H$118,2,FALSE)</f>
        <v>Annual on-farm equipment costs 5% or less of enterprise annual net income</v>
      </c>
      <c r="BH73" s="281" t="s">
        <v>3525</v>
      </c>
      <c r="BI73" s="181" t="str">
        <f>VLOOKUP(BJ73,Lookup!$C$4:$D$14,2,FALSE)</f>
        <v>Slight Improvement</v>
      </c>
      <c r="BJ73" s="193">
        <f>VLOOKUP(BK73,Lookup!$G$121:$L$131,6,FALSE)</f>
        <v>1</v>
      </c>
      <c r="BK73" s="181" t="s">
        <v>2638</v>
      </c>
      <c r="BL73" s="281" t="s">
        <v>3297</v>
      </c>
      <c r="BM73" s="181" t="str">
        <f>VLOOKUP(BN73,Lookup!$C$4:$D$14,2,FALSE)</f>
        <v>Slight Worsening</v>
      </c>
      <c r="BN73" s="193">
        <f>VLOOKUP(BO73,Lookup!$G$134:$L$144,6,FALSE)</f>
        <v>-1</v>
      </c>
      <c r="BO73" s="181" t="s">
        <v>3373</v>
      </c>
      <c r="BP73" s="281" t="s">
        <v>3400</v>
      </c>
      <c r="BQ73" s="181" t="str">
        <f>VLOOKUP(BR73,Lookup!$C$4:$D$14,2,FALSE)</f>
        <v>Slight to Moderate Improvement</v>
      </c>
      <c r="BR73" s="193">
        <f>VLOOKUP(BS73,Lookup!$G$147:$L$157,6,FALSE)</f>
        <v>2</v>
      </c>
      <c r="BS73" s="181" t="s">
        <v>2641</v>
      </c>
      <c r="BT73" s="281" t="s">
        <v>3461</v>
      </c>
      <c r="BU73" s="175" t="s">
        <v>2231</v>
      </c>
    </row>
    <row r="74" spans="1:73" ht="39.950000000000003" customHeight="1" thickBot="1" x14ac:dyDescent="0.25">
      <c r="A74" s="173">
        <f t="shared" si="12"/>
        <v>72</v>
      </c>
      <c r="B74" s="178" t="s">
        <v>640</v>
      </c>
      <c r="C74" s="179" t="s">
        <v>1601</v>
      </c>
      <c r="D74" s="180">
        <v>447</v>
      </c>
      <c r="E74" s="180" t="s">
        <v>3647</v>
      </c>
      <c r="F74" s="273" t="str">
        <f>VLOOKUP($D74,'Practice Descriptions'!$E$11:$F$186,2,FALSE)</f>
        <v>A planned irrigation system in which all facilities utilized for the collection, storage, and transportation of irrigation tailwater and/or rainfall runoff for reuse have been installed</v>
      </c>
      <c r="G74" s="182">
        <v>20</v>
      </c>
      <c r="H74" s="183">
        <v>10000</v>
      </c>
      <c r="I74" s="184">
        <v>0.1</v>
      </c>
      <c r="J74" s="184">
        <v>0.03</v>
      </c>
      <c r="K74" s="419">
        <f>IF(E74="No.",1,IF(E74="Ac.",1,(SQRT(VLOOKUP(O74,Lookup!$F$9:$H$18,3,FALSE)))*208/VLOOKUP(O74,Lookup!$F$9:$H$18,3,FALSE)))</f>
        <v>1</v>
      </c>
      <c r="L74" s="185" t="str">
        <f t="shared" si="8"/>
        <v/>
      </c>
      <c r="M74" s="184">
        <v>0</v>
      </c>
      <c r="N74" s="186">
        <f>IF(G74=1,H74,PMT(Lookup!$G$4,G74,-H74)+(H74*J74)+(M74*P74))*K74</f>
        <v>1110.9525214595508</v>
      </c>
      <c r="O74" s="187" t="s">
        <v>1110</v>
      </c>
      <c r="P74" s="186">
        <f>VLOOKUP($O74,Lookup!$F$9:$I$18,4,FALSE)</f>
        <v>300</v>
      </c>
      <c r="Q74" s="184">
        <v>0.05</v>
      </c>
      <c r="R74" s="183">
        <v>3</v>
      </c>
      <c r="S74" s="188" t="s">
        <v>2660</v>
      </c>
      <c r="T74" s="186">
        <f t="shared" si="10"/>
        <v>18</v>
      </c>
      <c r="U74" s="189">
        <f t="shared" si="11"/>
        <v>1.6202312567194052E-2</v>
      </c>
      <c r="V74" s="189">
        <f t="shared" si="9"/>
        <v>0</v>
      </c>
      <c r="W74" s="190">
        <f>IF(P74=0,0,IF(Q74+R74=0,0,PV(Lookup!$G$4,G74,-T74)/H74))</f>
        <v>2.2196120640458249E-2</v>
      </c>
      <c r="X74" s="190">
        <f>IF(I74=0,0,PMT(Lookup!$G$4,G74,-(H74*I74*K74))/P74)</f>
        <v>0.27031750715318359</v>
      </c>
      <c r="Y74" s="42" t="s">
        <v>963</v>
      </c>
      <c r="Z74" s="192">
        <f>VLOOKUP(Y74,Lookup!$B$4:$C$14,2,FALSE)</f>
        <v>2</v>
      </c>
      <c r="AA74" s="281" t="s">
        <v>227</v>
      </c>
      <c r="AB74" s="282" t="s">
        <v>1072</v>
      </c>
      <c r="AC74" s="181" t="str">
        <f>VLOOKUP(AD74,Lookup!$C$4:$D$14,2,FALSE)</f>
        <v>Substantial Worsening</v>
      </c>
      <c r="AD74" s="193">
        <f>IF(P74/H74&lt;Lookup!$F$33,-5,IF(P74/H74&lt;Lookup!$F$32,-4,IF(P74/H74&lt;Lookup!$F$31,-3,IF(P74/H74&lt;Lookup!$F$30,-2,IF(P74/H74&lt;Lookup!$F$29,-1,-5)))))</f>
        <v>-5</v>
      </c>
      <c r="AE74" s="194" t="str">
        <f>VLOOKUP(AD74,Lookup!$G$28:$J$33,2,FALSE)</f>
        <v>One-time practice implementation cost 5 times or greater enterprise annual net income</v>
      </c>
      <c r="AF74" s="281" t="s">
        <v>1847</v>
      </c>
      <c r="AG74" s="181" t="str">
        <f>VLOOKUP(AH74,Lookup!$C$4:$D$14,2,FALSE)</f>
        <v>Moderate Worsening</v>
      </c>
      <c r="AH74" s="193">
        <f>IF(J74&gt;Lookup!$F$43,-5,IF(J74&gt;Lookup!$F$42,-4,IF(J74&gt;Lookup!$F$41,-3,IF(J74&gt;Lookup!$F$40,-2,IF(J74&gt;Lookup!$F$39,-1,0)))))</f>
        <v>-3</v>
      </c>
      <c r="AI74" s="194" t="str">
        <f>VLOOKUP(AH74,Lookup!$G$38:$J$43,2,FALSE)</f>
        <v>Annual O&amp;M costs 2 to 3% of total installation costs</v>
      </c>
      <c r="AJ74" s="281" t="s">
        <v>2987</v>
      </c>
      <c r="AK74" s="181" t="str">
        <f>VLOOKUP(AL74,Lookup!$C$4:$D$14,2,FALSE)</f>
        <v>Substantial Worsening</v>
      </c>
      <c r="AL74" s="346">
        <f>IF(N74=0,0,IF(U74&lt;Lookup!$F$58,-5,IF(U74&lt;Lookup!$F$57,-4,IF(U74&lt;Lookup!$F$56,-3,IF(U74&lt;Lookup!$F$55,-2,IF(U74&lt;Lookup!$F$54,-1,IF(U74&lt;Lookup!$F$53,0,IF(U74&lt;Lookup!$F$52,1,IF(U74&lt;Lookup!$F$51,2,IF(U74&lt;Lookup!$F$50,3,IF(U74&lt;Lookup!$F$49,4,5)))))))))))</f>
        <v>-5</v>
      </c>
      <c r="AM74" s="194" t="str">
        <f>VLOOKUP(AL74,Lookup!$G$48:$J$58,2,FALSE)</f>
        <v>B/C Ratio less than .02</v>
      </c>
      <c r="AN74" s="281" t="s">
        <v>3045</v>
      </c>
      <c r="AO74" s="181" t="str">
        <f>VLOOKUP(AP74,Lookup!$C$4:$D$14,2,FALSE)</f>
        <v>Slight to Moderate Improvement</v>
      </c>
      <c r="AP74" s="193">
        <f>IF(Q74=0,0,IF(Q74&gt;Lookup!$F$63,5,IF(Q74&gt;Lookup!$F$64,4,IF(Q74&gt;Lookup!$F$65,3,IF(Q74&gt;Lookup!$F$66,2,IF(Q74&gt;Lookup!$F$67,1,IF(Q74&gt;Lookup!$F$69,-1,IF(Q74&gt;Lookup!$F$70,-2,IF(Q74&gt;Lookup!$F$71,-3,IF(Q74&gt;Lookup!$F$72,-4,-5))))))))))</f>
        <v>2</v>
      </c>
      <c r="AQ74" s="194" t="str">
        <f>VLOOKUP(AP74,Lookup!$G$63:$J$73,2,FALSE)</f>
        <v>5 to 10% yield increase</v>
      </c>
      <c r="AR74" s="281" t="s">
        <v>3111</v>
      </c>
      <c r="AS74" s="181" t="str">
        <f>VLOOKUP(AT74,Lookup!$C$4:$D$14,2,FALSE)</f>
        <v>No Effect</v>
      </c>
      <c r="AT74" s="193">
        <f>IF(V74=0,0,IF(V74&lt;Lookup!$F$79,5,IF(V74&lt;Lookup!$F$80,4,IF(V74&lt;Lookup!$F$81,3,IF(V74&lt;Lookup!$F$82,2,IF(V74&lt;Lookup!$F$83,1,IF(V74&lt;Lookup!$F$85,-1,IF(V74&lt;Lookup!$F$86,-2,IF(V74&lt;Lookup!$F$87,-3,IF(V74&lt;Lookup!$F$88,-4,-5))))))))))</f>
        <v>0</v>
      </c>
      <c r="AU74" s="194" t="str">
        <f>VLOOKUP(AT74,Lookup!$G$79:$J$89,2,FALSE)</f>
        <v>No breakeven</v>
      </c>
      <c r="AV74" s="345" t="str">
        <f>VLOOKUP(AT74,Lookup!$G$79:$J$89,4,FALSE)</f>
        <v>Annual costs greater than annual benefits</v>
      </c>
      <c r="AW74" s="181" t="str">
        <f>VLOOKUP(AX74,Lookup!$C$4:$D$14,2,FALSE)</f>
        <v>Slight Improvement</v>
      </c>
      <c r="AX74" s="193">
        <f>VLOOKUP(AY74,Lookup!$G$92:$J$97,4,FALSE)</f>
        <v>1</v>
      </c>
      <c r="AY74" s="181" t="s">
        <v>2636</v>
      </c>
      <c r="AZ74" s="281" t="s">
        <v>3170</v>
      </c>
      <c r="BA74" s="181" t="str">
        <f>VLOOKUP(BB74,Lookup!$C$4:$D$14,2,FALSE)</f>
        <v>Slight Worsening</v>
      </c>
      <c r="BB74" s="193">
        <f>VLOOKUP(BC74,Lookup!$G$100:$K$110,5,FALSE)</f>
        <v>-1</v>
      </c>
      <c r="BC74" s="181" t="s">
        <v>2637</v>
      </c>
      <c r="BD74" s="281" t="s">
        <v>3184</v>
      </c>
      <c r="BE74" s="181" t="str">
        <f>VLOOKUP(BF74,Lookup!$C$4:$D$14,2,FALSE)</f>
        <v>Moderate Worsening</v>
      </c>
      <c r="BF74" s="193">
        <f>IF(X74=0,0,IF(X74&gt;Lookup!$F$113,-5,IF(X74&gt;Lookup!$F$114,-4,IF(X74&gt;Lookup!$F$115,-3,IF(X74&gt;Lookup!$F$116,-2,IF(X74&gt;Lookup!$F$117,-1,0))))))</f>
        <v>-3</v>
      </c>
      <c r="BG74" s="195" t="str">
        <f>VLOOKUP(BF74,Lookup!$G$113:$H$118,2,FALSE)</f>
        <v>Annual on-farm equipment costs 50 to 25% of enterprise annual net income</v>
      </c>
      <c r="BH74" s="281" t="s">
        <v>3525</v>
      </c>
      <c r="BI74" s="181" t="str">
        <f>VLOOKUP(BJ74,Lookup!$C$4:$D$14,2,FALSE)</f>
        <v>Slight Worsening</v>
      </c>
      <c r="BJ74" s="193">
        <f>VLOOKUP(BK74,Lookup!$G$121:$L$131,6,FALSE)</f>
        <v>-1</v>
      </c>
      <c r="BK74" s="181" t="s">
        <v>2640</v>
      </c>
      <c r="BL74" s="281" t="s">
        <v>3298</v>
      </c>
      <c r="BM74" s="181" t="str">
        <f>VLOOKUP(BN74,Lookup!$C$4:$D$14,2,FALSE)</f>
        <v>Slight Worsening</v>
      </c>
      <c r="BN74" s="193">
        <f>VLOOKUP(BO74,Lookup!$G$134:$L$144,6,FALSE)</f>
        <v>-1</v>
      </c>
      <c r="BO74" s="181" t="s">
        <v>3373</v>
      </c>
      <c r="BP74" s="281" t="s">
        <v>3547</v>
      </c>
      <c r="BQ74" s="181" t="str">
        <f>VLOOKUP(BR74,Lookup!$C$4:$D$14,2,FALSE)</f>
        <v>Slight to Moderate Improvement</v>
      </c>
      <c r="BR74" s="193">
        <f>VLOOKUP(BS74,Lookup!$G$147:$L$157,6,FALSE)</f>
        <v>2</v>
      </c>
      <c r="BS74" s="181" t="s">
        <v>2641</v>
      </c>
      <c r="BT74" s="281" t="s">
        <v>3461</v>
      </c>
      <c r="BU74" s="175" t="s">
        <v>2231</v>
      </c>
    </row>
    <row r="75" spans="1:73" ht="39.950000000000003" customHeight="1" thickBot="1" x14ac:dyDescent="0.25">
      <c r="A75" s="173">
        <f t="shared" si="12"/>
        <v>73</v>
      </c>
      <c r="B75" s="178" t="s">
        <v>335</v>
      </c>
      <c r="C75" s="179" t="s">
        <v>1471</v>
      </c>
      <c r="D75" s="180">
        <v>449</v>
      </c>
      <c r="E75" s="180" t="s">
        <v>3646</v>
      </c>
      <c r="F75" s="273" t="str">
        <f>VLOOKUP($D75,'Practice Descriptions'!$E$11:$F$186,2,FALSE)</f>
        <v>Irrigation water management is the process of determining and controlling the volume, frequency, and application rate of irrigation water in a planned, efficient manner.</v>
      </c>
      <c r="G75" s="182">
        <v>1</v>
      </c>
      <c r="H75" s="183">
        <v>25</v>
      </c>
      <c r="I75" s="184">
        <v>0.05</v>
      </c>
      <c r="J75" s="184">
        <v>0</v>
      </c>
      <c r="K75" s="419">
        <f>IF(E75="No.",1,IF(E75="Ac.",1,(SQRT(VLOOKUP(O75,Lookup!$F$9:$H$18,3,FALSE)))*208/VLOOKUP(O75,Lookup!$F$9:$H$18,3,FALSE)))</f>
        <v>1</v>
      </c>
      <c r="L75" s="185" t="str">
        <f t="shared" si="8"/>
        <v/>
      </c>
      <c r="M75" s="184">
        <v>0</v>
      </c>
      <c r="N75" s="186">
        <f>IF(G75=1,H75,PMT(Lookup!$G$4,G75,-H75)+(H75*J75)+(M75*P75))*K75</f>
        <v>25</v>
      </c>
      <c r="O75" s="187" t="s">
        <v>1110</v>
      </c>
      <c r="P75" s="186">
        <f>VLOOKUP($O75,Lookup!$F$9:$I$18,4,FALSE)</f>
        <v>300</v>
      </c>
      <c r="Q75" s="184">
        <v>0.1</v>
      </c>
      <c r="R75" s="183">
        <v>3</v>
      </c>
      <c r="S75" s="188" t="s">
        <v>2660</v>
      </c>
      <c r="T75" s="186">
        <f t="shared" si="10"/>
        <v>33</v>
      </c>
      <c r="U75" s="189">
        <f t="shared" si="11"/>
        <v>1.32</v>
      </c>
      <c r="V75" s="189">
        <f t="shared" si="9"/>
        <v>0.75757575757575757</v>
      </c>
      <c r="W75" s="190">
        <f>IF(P75=0,0,IF(Q75+R75=0,0,PV(Lookup!$G$4,G75,-T75)/H75))</f>
        <v>1.2556480380499411</v>
      </c>
      <c r="X75" s="190">
        <f>IF(I75=0,0,PMT(Lookup!$G$4,G75,-(H75*I75*K75))/P75)</f>
        <v>4.3802083333333349E-3</v>
      </c>
      <c r="Y75" s="42" t="s">
        <v>986</v>
      </c>
      <c r="Z75" s="192">
        <f>VLOOKUP(Y75,Lookup!$B$4:$C$14,2,FALSE)</f>
        <v>0</v>
      </c>
      <c r="AA75" s="281" t="s">
        <v>2759</v>
      </c>
      <c r="AB75" s="282" t="s">
        <v>1072</v>
      </c>
      <c r="AC75" s="181" t="str">
        <f>VLOOKUP(AD75,Lookup!$C$4:$D$14,2,FALSE)</f>
        <v>Slight to Moderate Worsening</v>
      </c>
      <c r="AD75" s="193">
        <f>IF(P75/H75&lt;Lookup!$F$33,-5,IF(P75/H75&lt;Lookup!$F$32,-4,IF(P75/H75&lt;Lookup!$F$31,-3,IF(P75/H75&lt;Lookup!$F$30,-2,IF(P75/H75&lt;Lookup!$F$29,-1,-5)))))</f>
        <v>-2</v>
      </c>
      <c r="AE75" s="194" t="str">
        <f>VLOOKUP(AD75,Lookup!$G$28:$J$33,2,FALSE)</f>
        <v>One-time practice implementation cost 5 to 100% of enterprise annual net income</v>
      </c>
      <c r="AF75" s="281" t="s">
        <v>1901</v>
      </c>
      <c r="AG75" s="181" t="str">
        <f>VLOOKUP(AH75,Lookup!$C$4:$D$14,2,FALSE)</f>
        <v>No Effect</v>
      </c>
      <c r="AH75" s="193">
        <f>IF(J75&gt;Lookup!$F$43,-5,IF(J75&gt;Lookup!$F$42,-4,IF(J75&gt;Lookup!$F$41,-3,IF(J75&gt;Lookup!$F$40,-2,IF(J75&gt;Lookup!$F$39,-1,0)))))</f>
        <v>0</v>
      </c>
      <c r="AI75" s="194" t="str">
        <f>VLOOKUP(AH75,Lookup!$G$38:$J$43,2,FALSE)</f>
        <v>No O&amp;M costs</v>
      </c>
      <c r="AJ75" s="281" t="s">
        <v>3005</v>
      </c>
      <c r="AK75" s="181" t="str">
        <f>VLOOKUP(AL75,Lookup!$C$4:$D$14,2,FALSE)</f>
        <v>Slight Improvement</v>
      </c>
      <c r="AL75" s="346">
        <f>IF(N75=0,0,IF(U75&lt;Lookup!$F$58,-5,IF(U75&lt;Lookup!$F$57,-4,IF(U75&lt;Lookup!$F$56,-3,IF(U75&lt;Lookup!$F$55,-2,IF(U75&lt;Lookup!$F$54,-1,IF(U75&lt;Lookup!$F$53,0,IF(U75&lt;Lookup!$F$52,1,IF(U75&lt;Lookup!$F$51,2,IF(U75&lt;Lookup!$F$50,3,IF(U75&lt;Lookup!$F$49,4,5)))))))))))</f>
        <v>1</v>
      </c>
      <c r="AM75" s="194" t="str">
        <f>VLOOKUP(AL75,Lookup!$G$48:$J$58,2,FALSE)</f>
        <v>B/C Ratio 1.25 to 1.50</v>
      </c>
      <c r="AN75" s="281" t="s">
        <v>3045</v>
      </c>
      <c r="AO75" s="181" t="str">
        <f>VLOOKUP(AP75,Lookup!$C$4:$D$14,2,FALSE)</f>
        <v>Slight to Moderate Improvement</v>
      </c>
      <c r="AP75" s="193">
        <f>IF(Q75=0,0,IF(Q75&gt;Lookup!$F$63,5,IF(Q75&gt;Lookup!$F$64,4,IF(Q75&gt;Lookup!$F$65,3,IF(Q75&gt;Lookup!$F$66,2,IF(Q75&gt;Lookup!$F$67,1,IF(Q75&gt;Lookup!$F$69,-1,IF(Q75&gt;Lookup!$F$70,-2,IF(Q75&gt;Lookup!$F$71,-3,IF(Q75&gt;Lookup!$F$72,-4,-5))))))))))</f>
        <v>2</v>
      </c>
      <c r="AQ75" s="194" t="str">
        <f>VLOOKUP(AP75,Lookup!$G$63:$J$73,2,FALSE)</f>
        <v>5 to 10% yield increase</v>
      </c>
      <c r="AR75" s="281" t="s">
        <v>3112</v>
      </c>
      <c r="AS75" s="181" t="str">
        <f>VLOOKUP(AT75,Lookup!$C$4:$D$14,2,FALSE)</f>
        <v>Substantial Improvement</v>
      </c>
      <c r="AT75" s="193">
        <f>IF(V75=0,0,IF(V75&lt;Lookup!$F$79,5,IF(V75&lt;Lookup!$F$80,4,IF(V75&lt;Lookup!$F$81,3,IF(V75&lt;Lookup!$F$82,2,IF(V75&lt;Lookup!$F$83,1,IF(V75&lt;Lookup!$F$85,-1,IF(V75&lt;Lookup!$F$86,-2,IF(V75&lt;Lookup!$F$87,-3,IF(V75&lt;Lookup!$F$88,-4,-5))))))))))</f>
        <v>5</v>
      </c>
      <c r="AU75" s="194" t="str">
        <f>VLOOKUP(AT75,Lookup!$G$79:$J$89,2,FALSE)</f>
        <v>1 or less years to breakeven</v>
      </c>
      <c r="AV75" s="345" t="str">
        <f>VLOOKUP(AT75,Lookup!$G$79:$J$89,4,FALSE)</f>
        <v>Annual benefits significantly greater than annual costs</v>
      </c>
      <c r="AW75" s="181" t="str">
        <f>VLOOKUP(AX75,Lookup!$C$4:$D$14,2,FALSE)</f>
        <v>No Effect</v>
      </c>
      <c r="AX75" s="193">
        <f>VLOOKUP(AY75,Lookup!$G$92:$J$97,4,FALSE)</f>
        <v>0</v>
      </c>
      <c r="AY75" s="181" t="s">
        <v>2642</v>
      </c>
      <c r="AZ75" s="281" t="s">
        <v>3154</v>
      </c>
      <c r="BA75" s="181" t="str">
        <f>VLOOKUP(BB75,Lookup!$C$4:$D$14,2,FALSE)</f>
        <v>Slight Improvement</v>
      </c>
      <c r="BB75" s="193">
        <f>VLOOKUP(BC75,Lookup!$G$100:$K$110,5,FALSE)</f>
        <v>1</v>
      </c>
      <c r="BC75" s="181" t="s">
        <v>2651</v>
      </c>
      <c r="BD75" s="281" t="s">
        <v>3199</v>
      </c>
      <c r="BE75" s="181" t="str">
        <f>VLOOKUP(BF75,Lookup!$C$4:$D$14,2,FALSE)</f>
        <v>Slight Worsening</v>
      </c>
      <c r="BF75" s="193">
        <f>IF(X75=0,0,IF(X75&gt;Lookup!$F$113,-5,IF(X75&gt;Lookup!$F$114,-4,IF(X75&gt;Lookup!$F$115,-3,IF(X75&gt;Lookup!$F$116,-2,IF(X75&gt;Lookup!$F$117,-1,0))))))</f>
        <v>-1</v>
      </c>
      <c r="BG75" s="195" t="str">
        <f>VLOOKUP(BF75,Lookup!$G$113:$H$118,2,FALSE)</f>
        <v>Annual on-farm equipment costs 5% or less of enterprise annual net income</v>
      </c>
      <c r="BH75" s="281" t="s">
        <v>1893</v>
      </c>
      <c r="BI75" s="181" t="str">
        <f>VLOOKUP(BJ75,Lookup!$C$4:$D$14,2,FALSE)</f>
        <v>Slight Worsening</v>
      </c>
      <c r="BJ75" s="193">
        <f>VLOOKUP(BK75,Lookup!$G$121:$L$131,6,FALSE)</f>
        <v>-1</v>
      </c>
      <c r="BK75" s="181" t="s">
        <v>2640</v>
      </c>
      <c r="BL75" s="281" t="s">
        <v>3299</v>
      </c>
      <c r="BM75" s="181" t="str">
        <f>VLOOKUP(BN75,Lookup!$C$4:$D$14,2,FALSE)</f>
        <v>Slight to Moderate Worsening</v>
      </c>
      <c r="BN75" s="193">
        <f>VLOOKUP(BO75,Lookup!$G$134:$L$144,6,FALSE)</f>
        <v>-2</v>
      </c>
      <c r="BO75" s="181" t="s">
        <v>3374</v>
      </c>
      <c r="BP75" s="281" t="s">
        <v>3400</v>
      </c>
      <c r="BQ75" s="181" t="str">
        <f>VLOOKUP(BR75,Lookup!$C$4:$D$14,2,FALSE)</f>
        <v>Slight to Moderate Improvement</v>
      </c>
      <c r="BR75" s="193">
        <f>VLOOKUP(BS75,Lookup!$G$147:$L$157,6,FALSE)</f>
        <v>2</v>
      </c>
      <c r="BS75" s="181" t="s">
        <v>2641</v>
      </c>
      <c r="BT75" s="281" t="s">
        <v>3461</v>
      </c>
      <c r="BU75" s="175" t="s">
        <v>2231</v>
      </c>
    </row>
    <row r="76" spans="1:73" ht="39.950000000000003" customHeight="1" thickBot="1" x14ac:dyDescent="0.25">
      <c r="A76" s="173">
        <f t="shared" si="12"/>
        <v>74</v>
      </c>
      <c r="B76" s="178" t="s">
        <v>1798</v>
      </c>
      <c r="C76" s="179" t="s">
        <v>1604</v>
      </c>
      <c r="D76" s="180">
        <v>527</v>
      </c>
      <c r="E76" s="180" t="s">
        <v>3647</v>
      </c>
      <c r="F76" s="273" t="str">
        <f>VLOOKUP($D76,'Practice Descriptions'!$E$11:$F$186,2,FALSE)</f>
        <v>The treatment of sinkholes in karst areas to reduce contamination of groundwater resources, and/or to improve farm safety</v>
      </c>
      <c r="G76" s="182">
        <v>1</v>
      </c>
      <c r="H76" s="183">
        <v>5000</v>
      </c>
      <c r="I76" s="184">
        <v>0</v>
      </c>
      <c r="J76" s="184">
        <v>0</v>
      </c>
      <c r="K76" s="419">
        <f>IF(E76="No.",1,IF(E76="Ac.",1,(SQRT(VLOOKUP(O76,Lookup!$F$9:$H$18,3,FALSE)))*208/VLOOKUP(O76,Lookup!$F$9:$H$18,3,FALSE)))</f>
        <v>1</v>
      </c>
      <c r="L76" s="185" t="str">
        <f t="shared" si="8"/>
        <v/>
      </c>
      <c r="M76" s="184">
        <v>0</v>
      </c>
      <c r="N76" s="186">
        <f>IF(G76=1,H76,PMT(Lookup!$G$4,G76,-H76)+(H76*J76)+(M76*P76))*K76</f>
        <v>5000</v>
      </c>
      <c r="O76" s="187" t="s">
        <v>2225</v>
      </c>
      <c r="P76" s="186">
        <f>VLOOKUP($O76,Lookup!$F$9:$I$18,4,FALSE)</f>
        <v>100</v>
      </c>
      <c r="Q76" s="184">
        <v>0</v>
      </c>
      <c r="R76" s="183">
        <v>0</v>
      </c>
      <c r="S76" s="188"/>
      <c r="T76" s="186">
        <f t="shared" si="10"/>
        <v>0</v>
      </c>
      <c r="U76" s="189">
        <f t="shared" si="11"/>
        <v>0</v>
      </c>
      <c r="V76" s="189">
        <f t="shared" si="9"/>
        <v>0</v>
      </c>
      <c r="W76" s="190">
        <f>IF(P76=0,0,IF(Q76+R76=0,0,PV(Lookup!$G$4,G76,-T76)/H76))</f>
        <v>0</v>
      </c>
      <c r="X76" s="190">
        <f>IF(I76=0,0,PMT(Lookup!$G$4,G76,-(H76*I76*K76))/P76)</f>
        <v>0</v>
      </c>
      <c r="Y76" s="42" t="s">
        <v>963</v>
      </c>
      <c r="Z76" s="192">
        <f>VLOOKUP(Y76,Lookup!$B$4:$C$14,2,FALSE)</f>
        <v>2</v>
      </c>
      <c r="AA76" s="281" t="s">
        <v>901</v>
      </c>
      <c r="AB76" s="282" t="s">
        <v>1072</v>
      </c>
      <c r="AC76" s="181" t="str">
        <f>VLOOKUP(AD76,Lookup!$C$4:$D$14,2,FALSE)</f>
        <v>Substantial Worsening</v>
      </c>
      <c r="AD76" s="193">
        <f>IF(P76/H76&lt;Lookup!$F$33,-5,IF(P76/H76&lt;Lookup!$F$32,-4,IF(P76/H76&lt;Lookup!$F$31,-3,IF(P76/H76&lt;Lookup!$F$30,-2,IF(P76/H76&lt;Lookup!$F$29,-1,-5)))))</f>
        <v>-5</v>
      </c>
      <c r="AE76" s="194" t="str">
        <f>VLOOKUP(AD76,Lookup!$G$28:$J$33,2,FALSE)</f>
        <v>One-time practice implementation cost 5 times or greater enterprise annual net income</v>
      </c>
      <c r="AF76" s="281" t="s">
        <v>1842</v>
      </c>
      <c r="AG76" s="181" t="str">
        <f>VLOOKUP(AH76,Lookup!$C$4:$D$14,2,FALSE)</f>
        <v>No Effect</v>
      </c>
      <c r="AH76" s="193">
        <f>IF(J76&gt;Lookup!$F$43,-5,IF(J76&gt;Lookup!$F$42,-4,IF(J76&gt;Lookup!$F$41,-3,IF(J76&gt;Lookup!$F$40,-2,IF(J76&gt;Lookup!$F$39,-1,0)))))</f>
        <v>0</v>
      </c>
      <c r="AI76" s="194" t="str">
        <f>VLOOKUP(AH76,Lookup!$G$38:$J$43,2,FALSE)</f>
        <v>No O&amp;M costs</v>
      </c>
      <c r="AJ76" s="281" t="s">
        <v>3005</v>
      </c>
      <c r="AK76" s="181" t="str">
        <f>VLOOKUP(AL76,Lookup!$C$4:$D$14,2,FALSE)</f>
        <v>Substantial Worsening</v>
      </c>
      <c r="AL76" s="346">
        <f>IF(N76=0,0,IF(U76&lt;Lookup!$F$58,-5,IF(U76&lt;Lookup!$F$57,-4,IF(U76&lt;Lookup!$F$56,-3,IF(U76&lt;Lookup!$F$55,-2,IF(U76&lt;Lookup!$F$54,-1,IF(U76&lt;Lookup!$F$53,0,IF(U76&lt;Lookup!$F$52,1,IF(U76&lt;Lookup!$F$51,2,IF(U76&lt;Lookup!$F$50,3,IF(U76&lt;Lookup!$F$49,4,5)))))))))))</f>
        <v>-5</v>
      </c>
      <c r="AM76" s="194" t="str">
        <f>VLOOKUP(AL76,Lookup!$G$48:$J$58,2,FALSE)</f>
        <v>B/C Ratio less than .02</v>
      </c>
      <c r="AN76" s="281" t="s">
        <v>3046</v>
      </c>
      <c r="AO76" s="181" t="str">
        <f>VLOOKUP(AP76,Lookup!$C$4:$D$14,2,FALSE)</f>
        <v>No Effect</v>
      </c>
      <c r="AP76" s="193">
        <f>IF(Q76=0,0,IF(Q76&gt;Lookup!$F$63,5,IF(Q76&gt;Lookup!$F$64,4,IF(Q76&gt;Lookup!$F$65,3,IF(Q76&gt;Lookup!$F$66,2,IF(Q76&gt;Lookup!$F$67,1,IF(Q76&gt;Lookup!$F$69,-1,IF(Q76&gt;Lookup!$F$70,-2,IF(Q76&gt;Lookup!$F$71,-3,IF(Q76&gt;Lookup!$F$72,-4,-5))))))))))</f>
        <v>0</v>
      </c>
      <c r="AQ76" s="194" t="str">
        <f>VLOOKUP(AP76,Lookup!$G$63:$J$73,2,FALSE)</f>
        <v>No change in yield</v>
      </c>
      <c r="AR76" s="281" t="s">
        <v>3081</v>
      </c>
      <c r="AS76" s="181" t="str">
        <f>VLOOKUP(AT76,Lookup!$C$4:$D$14,2,FALSE)</f>
        <v>No Effect</v>
      </c>
      <c r="AT76" s="193">
        <f>IF(V76=0,0,IF(V76&lt;Lookup!$F$79,5,IF(V76&lt;Lookup!$F$80,4,IF(V76&lt;Lookup!$F$81,3,IF(V76&lt;Lookup!$F$82,2,IF(V76&lt;Lookup!$F$83,1,IF(V76&lt;Lookup!$F$85,-1,IF(V76&lt;Lookup!$F$86,-2,IF(V76&lt;Lookup!$F$87,-3,IF(V76&lt;Lookup!$F$88,-4,-5))))))))))</f>
        <v>0</v>
      </c>
      <c r="AU76" s="194" t="str">
        <f>VLOOKUP(AT76,Lookup!$G$79:$J$89,2,FALSE)</f>
        <v>No breakeven</v>
      </c>
      <c r="AV76" s="345" t="str">
        <f>VLOOKUP(AT76,Lookup!$G$79:$J$89,4,FALSE)</f>
        <v>Annual costs greater than annual benefits</v>
      </c>
      <c r="AW76" s="181" t="str">
        <f>VLOOKUP(AX76,Lookup!$C$4:$D$14,2,FALSE)</f>
        <v>Slight to Moderate Improvement</v>
      </c>
      <c r="AX76" s="193">
        <f>VLOOKUP(AY76,Lookup!$G$92:$J$97,4,FALSE)</f>
        <v>2</v>
      </c>
      <c r="AY76" s="181" t="s">
        <v>2653</v>
      </c>
      <c r="AZ76" s="281" t="s">
        <v>3171</v>
      </c>
      <c r="BA76" s="181" t="str">
        <f>VLOOKUP(BB76,Lookup!$C$4:$D$14,2,FALSE)</f>
        <v>Slight to Moderate Improvement</v>
      </c>
      <c r="BB76" s="193">
        <f>VLOOKUP(BC76,Lookup!$G$100:$K$110,5,FALSE)</f>
        <v>2</v>
      </c>
      <c r="BC76" s="181" t="s">
        <v>2666</v>
      </c>
      <c r="BD76" s="281" t="s">
        <v>3198</v>
      </c>
      <c r="BE76" s="181" t="str">
        <f>VLOOKUP(BF76,Lookup!$C$4:$D$14,2,FALSE)</f>
        <v>No Effect</v>
      </c>
      <c r="BF76" s="193">
        <f>IF(X76=0,0,IF(X76&gt;Lookup!$F$113,-5,IF(X76&gt;Lookup!$F$114,-4,IF(X76&gt;Lookup!$F$115,-3,IF(X76&gt;Lookup!$F$116,-2,IF(X76&gt;Lookup!$F$117,-1,0))))))</f>
        <v>0</v>
      </c>
      <c r="BG76" s="195" t="str">
        <f>VLOOKUP(BF76,Lookup!$G$113:$H$118,2,FALSE)</f>
        <v>No change in on-farm equipment</v>
      </c>
      <c r="BH76" s="281" t="s">
        <v>3231</v>
      </c>
      <c r="BI76" s="181" t="str">
        <f>VLOOKUP(BJ76,Lookup!$C$4:$D$14,2,FALSE)</f>
        <v>Slight Worsening</v>
      </c>
      <c r="BJ76" s="193">
        <f>VLOOKUP(BK76,Lookup!$G$121:$L$131,6,FALSE)</f>
        <v>-1</v>
      </c>
      <c r="BK76" s="181" t="s">
        <v>2640</v>
      </c>
      <c r="BL76" s="281" t="s">
        <v>3300</v>
      </c>
      <c r="BM76" s="181" t="str">
        <f>VLOOKUP(BN76,Lookup!$C$4:$D$14,2,FALSE)</f>
        <v>No Effect</v>
      </c>
      <c r="BN76" s="193">
        <f>VLOOKUP(BO76,Lookup!$G$134:$L$144,6,FALSE)</f>
        <v>0</v>
      </c>
      <c r="BO76" s="181" t="s">
        <v>2646</v>
      </c>
      <c r="BP76" s="281" t="s">
        <v>3154</v>
      </c>
      <c r="BQ76" s="181" t="str">
        <f>VLOOKUP(BR76,Lookup!$C$4:$D$14,2,FALSE)</f>
        <v>Slight to Moderate Improvement</v>
      </c>
      <c r="BR76" s="193">
        <f>VLOOKUP(BS76,Lookup!$G$147:$L$157,6,FALSE)</f>
        <v>2</v>
      </c>
      <c r="BS76" s="181" t="s">
        <v>2641</v>
      </c>
      <c r="BT76" s="281" t="s">
        <v>3462</v>
      </c>
      <c r="BU76" s="175" t="s">
        <v>2231</v>
      </c>
    </row>
    <row r="77" spans="1:73" ht="39.950000000000003" customHeight="1" thickBot="1" x14ac:dyDescent="0.25">
      <c r="A77" s="173">
        <f t="shared" si="12"/>
        <v>75</v>
      </c>
      <c r="B77" s="178" t="s">
        <v>336</v>
      </c>
      <c r="C77" s="179" t="s">
        <v>1597</v>
      </c>
      <c r="D77" s="180">
        <v>460</v>
      </c>
      <c r="E77" s="180" t="s">
        <v>3646</v>
      </c>
      <c r="F77" s="273" t="str">
        <f>VLOOKUP($D77,'Practice Descriptions'!$E$11:$F$186,2,FALSE)</f>
        <v>Removing trees, stumps, and other vegetation from wooded areas to achieve a conservation objective.</v>
      </c>
      <c r="G77" s="182">
        <v>10</v>
      </c>
      <c r="H77" s="183">
        <v>175</v>
      </c>
      <c r="I77" s="184">
        <v>0</v>
      </c>
      <c r="J77" s="184">
        <v>0.02</v>
      </c>
      <c r="K77" s="419">
        <f>IF(E77="No.",1,IF(E77="Ac.",1,(SQRT(VLOOKUP(O77,Lookup!$F$9:$H$18,3,FALSE)))*208/VLOOKUP(O77,Lookup!$F$9:$H$18,3,FALSE)))</f>
        <v>1</v>
      </c>
      <c r="L77" s="185" t="str">
        <f t="shared" si="8"/>
        <v/>
      </c>
      <c r="M77" s="184">
        <v>0</v>
      </c>
      <c r="N77" s="186">
        <f>IF(G77=1,H77,PMT(Lookup!$G$4,G77,-H77)+(H77*J77)+(M77*P77))*K77</f>
        <v>26.301079099469508</v>
      </c>
      <c r="O77" s="187" t="s">
        <v>301</v>
      </c>
      <c r="P77" s="186">
        <f>VLOOKUP($O77,Lookup!$F$9:$I$18,4,FALSE)</f>
        <v>100</v>
      </c>
      <c r="Q77" s="184">
        <v>0.5</v>
      </c>
      <c r="R77" s="183">
        <v>0</v>
      </c>
      <c r="S77" s="188"/>
      <c r="T77" s="186">
        <f t="shared" si="10"/>
        <v>50</v>
      </c>
      <c r="U77" s="189">
        <f t="shared" si="11"/>
        <v>1.9010626830519854</v>
      </c>
      <c r="V77" s="189">
        <f t="shared" si="9"/>
        <v>3.5</v>
      </c>
      <c r="W77" s="190">
        <f>IF(P77=0,0,IF(Q77+R77=0,0,PV(Lookup!$G$4,G77,-T77)/H77))</f>
        <v>2.1928786695522371</v>
      </c>
      <c r="X77" s="190">
        <f>IF(I77=0,0,PMT(Lookup!$G$4,G77,-(H77*I77*K77))/P77)</f>
        <v>0</v>
      </c>
      <c r="Y77" s="42" t="s">
        <v>963</v>
      </c>
      <c r="Z77" s="192">
        <f>VLOOKUP(Y77,Lookup!$B$4:$C$14,2,FALSE)</f>
        <v>2</v>
      </c>
      <c r="AA77" s="281" t="s">
        <v>227</v>
      </c>
      <c r="AB77" s="282" t="s">
        <v>1072</v>
      </c>
      <c r="AC77" s="181" t="str">
        <f>VLOOKUP(AD77,Lookup!$C$4:$D$14,2,FALSE)</f>
        <v>Moderate Worsening</v>
      </c>
      <c r="AD77" s="193">
        <f>IF(P77/H77&lt;Lookup!$F$33,-5,IF(P77/H77&lt;Lookup!$F$32,-4,IF(P77/H77&lt;Lookup!$F$31,-3,IF(P77/H77&lt;Lookup!$F$30,-2,IF(P77/H77&lt;Lookup!$F$29,-1,-5)))))</f>
        <v>-3</v>
      </c>
      <c r="AE77" s="194" t="str">
        <f>VLOOKUP(AD77,Lookup!$G$28:$J$33,2,FALSE)</f>
        <v>One-time practice implementation cost 1 to 2 times enterprise annual net income</v>
      </c>
      <c r="AF77" s="281" t="s">
        <v>2960</v>
      </c>
      <c r="AG77" s="181" t="str">
        <f>VLOOKUP(AH77,Lookup!$C$4:$D$14,2,FALSE)</f>
        <v>Slight to Moderate Worsening</v>
      </c>
      <c r="AH77" s="193">
        <f>IF(J77&gt;Lookup!$F$43,-5,IF(J77&gt;Lookup!$F$42,-4,IF(J77&gt;Lookup!$F$41,-3,IF(J77&gt;Lookup!$F$40,-2,IF(J77&gt;Lookup!$F$39,-1,0)))))</f>
        <v>-2</v>
      </c>
      <c r="AI77" s="194" t="str">
        <f>VLOOKUP(AH77,Lookup!$G$38:$J$43,2,FALSE)</f>
        <v>Annual O&amp;M costs 1 to 2% of total installation costs</v>
      </c>
      <c r="AJ77" s="281" t="s">
        <v>2989</v>
      </c>
      <c r="AK77" s="181" t="str">
        <f>VLOOKUP(AL77,Lookup!$C$4:$D$14,2,FALSE)</f>
        <v>Moderate Improvement</v>
      </c>
      <c r="AL77" s="346">
        <f>IF(N77=0,0,IF(U77&lt;Lookup!$F$58,-5,IF(U77&lt;Lookup!$F$57,-4,IF(U77&lt;Lookup!$F$56,-3,IF(U77&lt;Lookup!$F$55,-2,IF(U77&lt;Lookup!$F$54,-1,IF(U77&lt;Lookup!$F$53,0,IF(U77&lt;Lookup!$F$52,1,IF(U77&lt;Lookup!$F$51,2,IF(U77&lt;Lookup!$F$50,3,IF(U77&lt;Lookup!$F$49,4,5)))))))))))</f>
        <v>3</v>
      </c>
      <c r="AM77" s="194" t="str">
        <f>VLOOKUP(AL77,Lookup!$G$48:$J$58,2,FALSE)</f>
        <v>B/C Ratio 1.75 to 2.00</v>
      </c>
      <c r="AN77" s="281" t="s">
        <v>3047</v>
      </c>
      <c r="AO77" s="181" t="str">
        <f>VLOOKUP(AP77,Lookup!$C$4:$D$14,2,FALSE)</f>
        <v>Substantial Improvement</v>
      </c>
      <c r="AP77" s="193">
        <f>IF(Q77=0,0,IF(Q77&gt;Lookup!$F$63,5,IF(Q77&gt;Lookup!$F$64,4,IF(Q77&gt;Lookup!$F$65,3,IF(Q77&gt;Lookup!$F$66,2,IF(Q77&gt;Lookup!$F$67,1,IF(Q77&gt;Lookup!$F$69,-1,IF(Q77&gt;Lookup!$F$70,-2,IF(Q77&gt;Lookup!$F$71,-3,IF(Q77&gt;Lookup!$F$72,-4,-5))))))))))</f>
        <v>5</v>
      </c>
      <c r="AQ77" s="194" t="str">
        <f>VLOOKUP(AP77,Lookup!$G$63:$J$73,2,FALSE)</f>
        <v>Greater than 50% yield increase</v>
      </c>
      <c r="AR77" s="281" t="s">
        <v>3113</v>
      </c>
      <c r="AS77" s="181" t="str">
        <f>VLOOKUP(AT77,Lookup!$C$4:$D$14,2,FALSE)</f>
        <v>Slight to Moderate Improvement</v>
      </c>
      <c r="AT77" s="193">
        <f>IF(V77=0,0,IF(V77&lt;Lookup!$F$79,5,IF(V77&lt;Lookup!$F$80,4,IF(V77&lt;Lookup!$F$81,3,IF(V77&lt;Lookup!$F$82,2,IF(V77&lt;Lookup!$F$83,1,IF(V77&lt;Lookup!$F$85,-1,IF(V77&lt;Lookup!$F$86,-2,IF(V77&lt;Lookup!$F$87,-3,IF(V77&lt;Lookup!$F$88,-4,-5))))))))))</f>
        <v>2</v>
      </c>
      <c r="AU77" s="194" t="str">
        <f>VLOOKUP(AT77,Lookup!$G$79:$J$89,2,FALSE)</f>
        <v>3-4 years to breakeven</v>
      </c>
      <c r="AV77" s="345" t="str">
        <f>VLOOKUP(AT77,Lookup!$G$79:$J$89,4,FALSE)</f>
        <v>Annual benefits moderately greater than annual costs</v>
      </c>
      <c r="AW77" s="181" t="str">
        <f>VLOOKUP(AX77,Lookup!$C$4:$D$14,2,FALSE)</f>
        <v>Moderate to Substantial Improvement</v>
      </c>
      <c r="AX77" s="193">
        <f>VLOOKUP(AY77,Lookup!$G$92:$J$97,4,FALSE)</f>
        <v>4</v>
      </c>
      <c r="AY77" s="181" t="s">
        <v>2664</v>
      </c>
      <c r="AZ77" s="281" t="s">
        <v>3171</v>
      </c>
      <c r="BA77" s="181" t="str">
        <f>VLOOKUP(BB77,Lookup!$C$4:$D$14,2,FALSE)</f>
        <v>Substantial Improvement</v>
      </c>
      <c r="BB77" s="193">
        <f>VLOOKUP(BC77,Lookup!$G$100:$K$110,5,FALSE)</f>
        <v>5</v>
      </c>
      <c r="BC77" s="181" t="s">
        <v>2665</v>
      </c>
      <c r="BD77" s="281" t="s">
        <v>1940</v>
      </c>
      <c r="BE77" s="181" t="str">
        <f>VLOOKUP(BF77,Lookup!$C$4:$D$14,2,FALSE)</f>
        <v>No Effect</v>
      </c>
      <c r="BF77" s="193">
        <f>IF(X77=0,0,IF(X77&gt;Lookup!$F$113,-5,IF(X77&gt;Lookup!$F$114,-4,IF(X77&gt;Lookup!$F$115,-3,IF(X77&gt;Lookup!$F$116,-2,IF(X77&gt;Lookup!$F$117,-1,0))))))</f>
        <v>0</v>
      </c>
      <c r="BG77" s="195" t="str">
        <f>VLOOKUP(BF77,Lookup!$G$113:$H$118,2,FALSE)</f>
        <v>No change in on-farm equipment</v>
      </c>
      <c r="BH77" s="281" t="s">
        <v>3231</v>
      </c>
      <c r="BI77" s="181" t="str">
        <f>VLOOKUP(BJ77,Lookup!$C$4:$D$14,2,FALSE)</f>
        <v>No Effect</v>
      </c>
      <c r="BJ77" s="193">
        <f>VLOOKUP(BK77,Lookup!$G$121:$L$131,6,FALSE)</f>
        <v>0</v>
      </c>
      <c r="BK77" s="181" t="s">
        <v>2656</v>
      </c>
      <c r="BL77" s="281" t="s">
        <v>3301</v>
      </c>
      <c r="BM77" s="181" t="str">
        <f>VLOOKUP(BN77,Lookup!$C$4:$D$14,2,FALSE)</f>
        <v>No Effect</v>
      </c>
      <c r="BN77" s="193">
        <f>VLOOKUP(BO77,Lookup!$G$134:$L$144,6,FALSE)</f>
        <v>0</v>
      </c>
      <c r="BO77" s="181" t="s">
        <v>2646</v>
      </c>
      <c r="BP77" s="281" t="s">
        <v>3154</v>
      </c>
      <c r="BQ77" s="181" t="str">
        <f>VLOOKUP(BR77,Lookup!$C$4:$D$14,2,FALSE)</f>
        <v>Moderate to Substantial Improvement</v>
      </c>
      <c r="BR77" s="193">
        <f>VLOOKUP(BS77,Lookup!$G$147:$L$157,6,FALSE)</f>
        <v>4</v>
      </c>
      <c r="BS77" s="181" t="s">
        <v>2645</v>
      </c>
      <c r="BT77" s="281" t="s">
        <v>3463</v>
      </c>
      <c r="BU77" s="175" t="s">
        <v>2231</v>
      </c>
    </row>
    <row r="78" spans="1:73" ht="39.950000000000003" customHeight="1" thickBot="1" x14ac:dyDescent="0.25">
      <c r="A78" s="173">
        <f t="shared" si="12"/>
        <v>76</v>
      </c>
      <c r="B78" s="178" t="s">
        <v>1823</v>
      </c>
      <c r="C78" s="179" t="s">
        <v>1470</v>
      </c>
      <c r="D78" s="180">
        <v>543</v>
      </c>
      <c r="E78" s="180" t="s">
        <v>3646</v>
      </c>
      <c r="F78" s="273" t="str">
        <f>VLOOKUP($D78,'Practice Descriptions'!$E$11:$F$186,2,FALSE)</f>
        <v>Reclamation of land and water areas adversely affected by past mining activities</v>
      </c>
      <c r="G78" s="182">
        <v>15</v>
      </c>
      <c r="H78" s="183">
        <v>5000</v>
      </c>
      <c r="I78" s="184">
        <v>0</v>
      </c>
      <c r="J78" s="184">
        <v>0</v>
      </c>
      <c r="K78" s="419">
        <f>IF(E78="No.",1,IF(E78="Ac.",1,(SQRT(VLOOKUP(O78,Lookup!$F$9:$H$18,3,FALSE)))*208/VLOOKUP(O78,Lookup!$F$9:$H$18,3,FALSE)))</f>
        <v>1</v>
      </c>
      <c r="L78" s="185" t="str">
        <f t="shared" si="8"/>
        <v/>
      </c>
      <c r="M78" s="184">
        <v>0</v>
      </c>
      <c r="N78" s="186">
        <f>IF(G78=1,H78,PMT(Lookup!$G$4,G78,-H78)+(H78*J78)+(M78*P78))*K78</f>
        <v>485.79006132438803</v>
      </c>
      <c r="O78" s="187" t="s">
        <v>2225</v>
      </c>
      <c r="P78" s="186">
        <f>VLOOKUP($O78,Lookup!$F$9:$I$18,4,FALSE)</f>
        <v>100</v>
      </c>
      <c r="Q78" s="184">
        <v>1</v>
      </c>
      <c r="R78" s="183">
        <v>0</v>
      </c>
      <c r="S78" s="188"/>
      <c r="T78" s="186">
        <f t="shared" si="10"/>
        <v>100</v>
      </c>
      <c r="U78" s="189">
        <f t="shared" si="11"/>
        <v>0.20585023853179377</v>
      </c>
      <c r="V78" s="189">
        <f t="shared" si="9"/>
        <v>0</v>
      </c>
      <c r="W78" s="190">
        <f>IF(P78=0,0,IF(Q78+R78=0,0,PV(Lookup!$G$4,G78,-T78)/H78))</f>
        <v>0.20585023853179382</v>
      </c>
      <c r="X78" s="190">
        <f>IF(I78=0,0,PMT(Lookup!$G$4,G78,-(H78*I78*K78))/P78)</f>
        <v>0</v>
      </c>
      <c r="Y78" s="42" t="s">
        <v>963</v>
      </c>
      <c r="Z78" s="192">
        <f>VLOOKUP(Y78,Lookup!$B$4:$C$14,2,FALSE)</f>
        <v>2</v>
      </c>
      <c r="AA78" s="281" t="s">
        <v>1902</v>
      </c>
      <c r="AB78" s="282" t="s">
        <v>1072</v>
      </c>
      <c r="AC78" s="181" t="str">
        <f>VLOOKUP(AD78,Lookup!$C$4:$D$14,2,FALSE)</f>
        <v>Substantial Worsening</v>
      </c>
      <c r="AD78" s="193">
        <f>IF(P78/H78&lt;Lookup!$F$33,-5,IF(P78/H78&lt;Lookup!$F$32,-4,IF(P78/H78&lt;Lookup!$F$31,-3,IF(P78/H78&lt;Lookup!$F$30,-2,IF(P78/H78&lt;Lookup!$F$29,-1,-5)))))</f>
        <v>-5</v>
      </c>
      <c r="AE78" s="194" t="str">
        <f>VLOOKUP(AD78,Lookup!$G$28:$J$33,2,FALSE)</f>
        <v>One-time practice implementation cost 5 times or greater enterprise annual net income</v>
      </c>
      <c r="AF78" s="281" t="s">
        <v>2966</v>
      </c>
      <c r="AG78" s="181" t="str">
        <f>VLOOKUP(AH78,Lookup!$C$4:$D$14,2,FALSE)</f>
        <v>No Effect</v>
      </c>
      <c r="AH78" s="193">
        <f>IF(J78&gt;Lookup!$F$43,-5,IF(J78&gt;Lookup!$F$42,-4,IF(J78&gt;Lookup!$F$41,-3,IF(J78&gt;Lookup!$F$40,-2,IF(J78&gt;Lookup!$F$39,-1,0)))))</f>
        <v>0</v>
      </c>
      <c r="AI78" s="194" t="str">
        <f>VLOOKUP(AH78,Lookup!$G$38:$J$43,2,FALSE)</f>
        <v>No O&amp;M costs</v>
      </c>
      <c r="AJ78" s="281" t="s">
        <v>3005</v>
      </c>
      <c r="AK78" s="181" t="str">
        <f>VLOOKUP(AL78,Lookup!$C$4:$D$14,2,FALSE)</f>
        <v>Moderate Worsening</v>
      </c>
      <c r="AL78" s="346">
        <f>IF(N78=0,0,IF(U78&lt;Lookup!$F$58,-5,IF(U78&lt;Lookup!$F$57,-4,IF(U78&lt;Lookup!$F$56,-3,IF(U78&lt;Lookup!$F$55,-2,IF(U78&lt;Lookup!$F$54,-1,IF(U78&lt;Lookup!$F$53,0,IF(U78&lt;Lookup!$F$52,1,IF(U78&lt;Lookup!$F$51,2,IF(U78&lt;Lookup!$F$50,3,IF(U78&lt;Lookup!$F$49,4,5)))))))))))</f>
        <v>-3</v>
      </c>
      <c r="AM78" s="194" t="str">
        <f>VLOOKUP(AL78,Lookup!$G$48:$J$58,2,FALSE)</f>
        <v>B/C Ratio .10 to .25</v>
      </c>
      <c r="AN78" s="281" t="s">
        <v>3029</v>
      </c>
      <c r="AO78" s="181" t="str">
        <f>VLOOKUP(AP78,Lookup!$C$4:$D$14,2,FALSE)</f>
        <v>Substantial Improvement</v>
      </c>
      <c r="AP78" s="193">
        <f>IF(Q78=0,0,IF(Q78&gt;Lookup!$F$63,5,IF(Q78&gt;Lookup!$F$64,4,IF(Q78&gt;Lookup!$F$65,3,IF(Q78&gt;Lookup!$F$66,2,IF(Q78&gt;Lookup!$F$67,1,IF(Q78&gt;Lookup!$F$69,-1,IF(Q78&gt;Lookup!$F$70,-2,IF(Q78&gt;Lookup!$F$71,-3,IF(Q78&gt;Lookup!$F$72,-4,-5))))))))))</f>
        <v>5</v>
      </c>
      <c r="AQ78" s="194" t="str">
        <f>VLOOKUP(AP78,Lookup!$G$63:$J$73,2,FALSE)</f>
        <v>Greater than 50% yield increase</v>
      </c>
      <c r="AR78" s="281" t="s">
        <v>3113</v>
      </c>
      <c r="AS78" s="181" t="str">
        <f>VLOOKUP(AT78,Lookup!$C$4:$D$14,2,FALSE)</f>
        <v>No Effect</v>
      </c>
      <c r="AT78" s="193">
        <f>IF(V78=0,0,IF(V78&lt;Lookup!$F$79,5,IF(V78&lt;Lookup!$F$80,4,IF(V78&lt;Lookup!$F$81,3,IF(V78&lt;Lookup!$F$82,2,IF(V78&lt;Lookup!$F$83,1,IF(V78&lt;Lookup!$F$85,-1,IF(V78&lt;Lookup!$F$86,-2,IF(V78&lt;Lookup!$F$87,-3,IF(V78&lt;Lookup!$F$88,-4,-5))))))))))</f>
        <v>0</v>
      </c>
      <c r="AU78" s="194" t="str">
        <f>VLOOKUP(AT78,Lookup!$G$79:$J$89,2,FALSE)</f>
        <v>No breakeven</v>
      </c>
      <c r="AV78" s="345" t="str">
        <f>VLOOKUP(AT78,Lookup!$G$79:$J$89,4,FALSE)</f>
        <v>Annual costs greater than annual benefits</v>
      </c>
      <c r="AW78" s="181" t="str">
        <f>VLOOKUP(AX78,Lookup!$C$4:$D$14,2,FALSE)</f>
        <v>Moderate Improvement</v>
      </c>
      <c r="AX78" s="193">
        <f>VLOOKUP(AY78,Lookup!$G$92:$J$97,4,FALSE)</f>
        <v>3</v>
      </c>
      <c r="AY78" s="181" t="s">
        <v>2631</v>
      </c>
      <c r="AZ78" s="281" t="s">
        <v>1903</v>
      </c>
      <c r="BA78" s="181" t="str">
        <f>VLOOKUP(BB78,Lookup!$C$4:$D$14,2,FALSE)</f>
        <v>Substantial Improvement</v>
      </c>
      <c r="BB78" s="193">
        <f>VLOOKUP(BC78,Lookup!$G$100:$K$110,5,FALSE)</f>
        <v>5</v>
      </c>
      <c r="BC78" s="181" t="s">
        <v>2665</v>
      </c>
      <c r="BD78" s="281" t="s">
        <v>1940</v>
      </c>
      <c r="BE78" s="181" t="str">
        <f>VLOOKUP(BF78,Lookup!$C$4:$D$14,2,FALSE)</f>
        <v>No Effect</v>
      </c>
      <c r="BF78" s="193">
        <f>IF(X78=0,0,IF(X78&gt;Lookup!$F$113,-5,IF(X78&gt;Lookup!$F$114,-4,IF(X78&gt;Lookup!$F$115,-3,IF(X78&gt;Lookup!$F$116,-2,IF(X78&gt;Lookup!$F$117,-1,0))))))</f>
        <v>0</v>
      </c>
      <c r="BG78" s="195" t="str">
        <f>VLOOKUP(BF78,Lookup!$G$113:$H$118,2,FALSE)</f>
        <v>No change in on-farm equipment</v>
      </c>
      <c r="BH78" s="281" t="s">
        <v>3231</v>
      </c>
      <c r="BI78" s="181" t="str">
        <f>VLOOKUP(BJ78,Lookup!$C$4:$D$14,2,FALSE)</f>
        <v>No Effect</v>
      </c>
      <c r="BJ78" s="193">
        <f>VLOOKUP(BK78,Lookup!$G$121:$L$131,6,FALSE)</f>
        <v>0</v>
      </c>
      <c r="BK78" s="181" t="s">
        <v>2656</v>
      </c>
      <c r="BL78" s="281" t="s">
        <v>3154</v>
      </c>
      <c r="BM78" s="181" t="str">
        <f>VLOOKUP(BN78,Lookup!$C$4:$D$14,2,FALSE)</f>
        <v>Slight Worsening</v>
      </c>
      <c r="BN78" s="193">
        <f>VLOOKUP(BO78,Lookup!$G$134:$L$144,6,FALSE)</f>
        <v>-1</v>
      </c>
      <c r="BO78" s="181" t="s">
        <v>3373</v>
      </c>
      <c r="BP78" s="281" t="s">
        <v>3401</v>
      </c>
      <c r="BQ78" s="181" t="str">
        <f>VLOOKUP(BR78,Lookup!$C$4:$D$14,2,FALSE)</f>
        <v>Substantial Improvement</v>
      </c>
      <c r="BR78" s="193">
        <f>VLOOKUP(BS78,Lookup!$G$147:$L$157,6,FALSE)</f>
        <v>5</v>
      </c>
      <c r="BS78" s="181" t="s">
        <v>2639</v>
      </c>
      <c r="BT78" s="281" t="s">
        <v>3465</v>
      </c>
      <c r="BU78" s="175" t="s">
        <v>2231</v>
      </c>
    </row>
    <row r="79" spans="1:73" ht="39.950000000000003" customHeight="1" thickBot="1" x14ac:dyDescent="0.25">
      <c r="A79" s="173">
        <f t="shared" si="12"/>
        <v>77</v>
      </c>
      <c r="B79" s="178" t="s">
        <v>1824</v>
      </c>
      <c r="C79" s="179" t="s">
        <v>1605</v>
      </c>
      <c r="D79" s="180">
        <v>544</v>
      </c>
      <c r="E79" s="180" t="s">
        <v>3646</v>
      </c>
      <c r="F79" s="273" t="str">
        <f>VLOOKUP($D79,'Practice Descriptions'!$E$11:$F$186,2,FALSE)</f>
        <v>Restoring currently mined land to an acceptable form and planned use.</v>
      </c>
      <c r="G79" s="182">
        <v>15</v>
      </c>
      <c r="H79" s="183">
        <v>5000</v>
      </c>
      <c r="I79" s="184">
        <v>0</v>
      </c>
      <c r="J79" s="184">
        <v>0</v>
      </c>
      <c r="K79" s="419">
        <f>IF(E79="No.",1,IF(E79="Ac.",1,(SQRT(VLOOKUP(O79,Lookup!$F$9:$H$18,3,FALSE)))*208/VLOOKUP(O79,Lookup!$F$9:$H$18,3,FALSE)))</f>
        <v>1</v>
      </c>
      <c r="L79" s="185" t="str">
        <f t="shared" si="8"/>
        <v/>
      </c>
      <c r="M79" s="184">
        <v>0</v>
      </c>
      <c r="N79" s="186">
        <f>IF(G79=1,H79,PMT(Lookup!$G$4,G79,-H79)+(H79*J79)+(M79*P79))*K79</f>
        <v>485.79006132438803</v>
      </c>
      <c r="O79" s="187" t="s">
        <v>2225</v>
      </c>
      <c r="P79" s="186">
        <f>VLOOKUP($O79,Lookup!$F$9:$I$18,4,FALSE)</f>
        <v>100</v>
      </c>
      <c r="Q79" s="184">
        <v>1</v>
      </c>
      <c r="R79" s="183">
        <v>0</v>
      </c>
      <c r="S79" s="188"/>
      <c r="T79" s="186">
        <f t="shared" si="10"/>
        <v>100</v>
      </c>
      <c r="U79" s="189">
        <f t="shared" si="11"/>
        <v>0.20585023853179377</v>
      </c>
      <c r="V79" s="189">
        <f t="shared" si="9"/>
        <v>0</v>
      </c>
      <c r="W79" s="190">
        <f>IF(P79=0,0,IF(Q79+R79=0,0,PV(Lookup!$G$4,G79,-T79)/H79))</f>
        <v>0.20585023853179382</v>
      </c>
      <c r="X79" s="190">
        <f>IF(I79=0,0,PMT(Lookup!$G$4,G79,-(H79*I79*K79))/P79)</f>
        <v>0</v>
      </c>
      <c r="Y79" s="42" t="s">
        <v>963</v>
      </c>
      <c r="Z79" s="192">
        <f>VLOOKUP(Y79,Lookup!$B$4:$C$14,2,FALSE)</f>
        <v>2</v>
      </c>
      <c r="AA79" s="281" t="s">
        <v>1902</v>
      </c>
      <c r="AB79" s="282" t="s">
        <v>1072</v>
      </c>
      <c r="AC79" s="181" t="str">
        <f>VLOOKUP(AD79,Lookup!$C$4:$D$14,2,FALSE)</f>
        <v>Substantial Worsening</v>
      </c>
      <c r="AD79" s="193">
        <f>IF(P79/H79&lt;Lookup!$F$33,-5,IF(P79/H79&lt;Lookup!$F$32,-4,IF(P79/H79&lt;Lookup!$F$31,-3,IF(P79/H79&lt;Lookup!$F$30,-2,IF(P79/H79&lt;Lookup!$F$29,-1,-5)))))</f>
        <v>-5</v>
      </c>
      <c r="AE79" s="194" t="str">
        <f>VLOOKUP(AD79,Lookup!$G$28:$J$33,2,FALSE)</f>
        <v>One-time practice implementation cost 5 times or greater enterprise annual net income</v>
      </c>
      <c r="AF79" s="281" t="s">
        <v>2966</v>
      </c>
      <c r="AG79" s="181" t="str">
        <f>VLOOKUP(AH79,Lookup!$C$4:$D$14,2,FALSE)</f>
        <v>No Effect</v>
      </c>
      <c r="AH79" s="193">
        <f>IF(J79&gt;Lookup!$F$43,-5,IF(J79&gt;Lookup!$F$42,-4,IF(J79&gt;Lookup!$F$41,-3,IF(J79&gt;Lookup!$F$40,-2,IF(J79&gt;Lookup!$F$39,-1,0)))))</f>
        <v>0</v>
      </c>
      <c r="AI79" s="194" t="str">
        <f>VLOOKUP(AH79,Lookup!$G$38:$J$43,2,FALSE)</f>
        <v>No O&amp;M costs</v>
      </c>
      <c r="AJ79" s="281" t="s">
        <v>3005</v>
      </c>
      <c r="AK79" s="181" t="str">
        <f>VLOOKUP(AL79,Lookup!$C$4:$D$14,2,FALSE)</f>
        <v>Moderate Worsening</v>
      </c>
      <c r="AL79" s="346">
        <f>IF(N79=0,0,IF(U79&lt;Lookup!$F$58,-5,IF(U79&lt;Lookup!$F$57,-4,IF(U79&lt;Lookup!$F$56,-3,IF(U79&lt;Lookup!$F$55,-2,IF(U79&lt;Lookup!$F$54,-1,IF(U79&lt;Lookup!$F$53,0,IF(U79&lt;Lookup!$F$52,1,IF(U79&lt;Lookup!$F$51,2,IF(U79&lt;Lookup!$F$50,3,IF(U79&lt;Lookup!$F$49,4,5)))))))))))</f>
        <v>-3</v>
      </c>
      <c r="AM79" s="194" t="str">
        <f>VLOOKUP(AL79,Lookup!$G$48:$J$58,2,FALSE)</f>
        <v>B/C Ratio .10 to .25</v>
      </c>
      <c r="AN79" s="281" t="s">
        <v>3029</v>
      </c>
      <c r="AO79" s="181" t="str">
        <f>VLOOKUP(AP79,Lookup!$C$4:$D$14,2,FALSE)</f>
        <v>Substantial Improvement</v>
      </c>
      <c r="AP79" s="193">
        <f>IF(Q79=0,0,IF(Q79&gt;Lookup!$F$63,5,IF(Q79&gt;Lookup!$F$64,4,IF(Q79&gt;Lookup!$F$65,3,IF(Q79&gt;Lookup!$F$66,2,IF(Q79&gt;Lookup!$F$67,1,IF(Q79&gt;Lookup!$F$69,-1,IF(Q79&gt;Lookup!$F$70,-2,IF(Q79&gt;Lookup!$F$71,-3,IF(Q79&gt;Lookup!$F$72,-4,-5))))))))))</f>
        <v>5</v>
      </c>
      <c r="AQ79" s="194" t="str">
        <f>VLOOKUP(AP79,Lookup!$G$63:$J$73,2,FALSE)</f>
        <v>Greater than 50% yield increase</v>
      </c>
      <c r="AR79" s="281" t="s">
        <v>3113</v>
      </c>
      <c r="AS79" s="181" t="str">
        <f>VLOOKUP(AT79,Lookup!$C$4:$D$14,2,FALSE)</f>
        <v>No Effect</v>
      </c>
      <c r="AT79" s="193">
        <f>IF(V79=0,0,IF(V79&lt;Lookup!$F$79,5,IF(V79&lt;Lookup!$F$80,4,IF(V79&lt;Lookup!$F$81,3,IF(V79&lt;Lookup!$F$82,2,IF(V79&lt;Lookup!$F$83,1,IF(V79&lt;Lookup!$F$85,-1,IF(V79&lt;Lookup!$F$86,-2,IF(V79&lt;Lookup!$F$87,-3,IF(V79&lt;Lookup!$F$88,-4,-5))))))))))</f>
        <v>0</v>
      </c>
      <c r="AU79" s="194" t="str">
        <f>VLOOKUP(AT79,Lookup!$G$79:$J$89,2,FALSE)</f>
        <v>No breakeven</v>
      </c>
      <c r="AV79" s="345" t="str">
        <f>VLOOKUP(AT79,Lookup!$G$79:$J$89,4,FALSE)</f>
        <v>Annual costs greater than annual benefits</v>
      </c>
      <c r="AW79" s="181" t="str">
        <f>VLOOKUP(AX79,Lookup!$C$4:$D$14,2,FALSE)</f>
        <v>Moderate Improvement</v>
      </c>
      <c r="AX79" s="193">
        <f>VLOOKUP(AY79,Lookup!$G$92:$J$97,4,FALSE)</f>
        <v>3</v>
      </c>
      <c r="AY79" s="181" t="s">
        <v>2631</v>
      </c>
      <c r="AZ79" s="281" t="s">
        <v>1903</v>
      </c>
      <c r="BA79" s="181" t="str">
        <f>VLOOKUP(BB79,Lookup!$C$4:$D$14,2,FALSE)</f>
        <v>Substantial Improvement</v>
      </c>
      <c r="BB79" s="193">
        <f>VLOOKUP(BC79,Lookup!$G$100:$K$110,5,FALSE)</f>
        <v>5</v>
      </c>
      <c r="BC79" s="181" t="s">
        <v>2665</v>
      </c>
      <c r="BD79" s="281" t="s">
        <v>1940</v>
      </c>
      <c r="BE79" s="181" t="str">
        <f>VLOOKUP(BF79,Lookup!$C$4:$D$14,2,FALSE)</f>
        <v>No Effect</v>
      </c>
      <c r="BF79" s="193">
        <f>IF(X79=0,0,IF(X79&gt;Lookup!$F$113,-5,IF(X79&gt;Lookup!$F$114,-4,IF(X79&gt;Lookup!$F$115,-3,IF(X79&gt;Lookup!$F$116,-2,IF(X79&gt;Lookup!$F$117,-1,0))))))</f>
        <v>0</v>
      </c>
      <c r="BG79" s="195" t="str">
        <f>VLOOKUP(BF79,Lookup!$G$113:$H$118,2,FALSE)</f>
        <v>No change in on-farm equipment</v>
      </c>
      <c r="BH79" s="281" t="s">
        <v>3231</v>
      </c>
      <c r="BI79" s="181" t="str">
        <f>VLOOKUP(BJ79,Lookup!$C$4:$D$14,2,FALSE)</f>
        <v>No Effect</v>
      </c>
      <c r="BJ79" s="193">
        <f>VLOOKUP(BK79,Lookup!$G$121:$L$131,6,FALSE)</f>
        <v>0</v>
      </c>
      <c r="BK79" s="181" t="s">
        <v>2656</v>
      </c>
      <c r="BL79" s="281" t="s">
        <v>3154</v>
      </c>
      <c r="BM79" s="181" t="str">
        <f>VLOOKUP(BN79,Lookup!$C$4:$D$14,2,FALSE)</f>
        <v>Slight Worsening</v>
      </c>
      <c r="BN79" s="193">
        <f>VLOOKUP(BO79,Lookup!$G$134:$L$144,6,FALSE)</f>
        <v>-1</v>
      </c>
      <c r="BO79" s="181" t="s">
        <v>3373</v>
      </c>
      <c r="BP79" s="281" t="s">
        <v>3401</v>
      </c>
      <c r="BQ79" s="181" t="str">
        <f>VLOOKUP(BR79,Lookup!$C$4:$D$14,2,FALSE)</f>
        <v>Substantial Improvement</v>
      </c>
      <c r="BR79" s="193">
        <f>VLOOKUP(BS79,Lookup!$G$147:$L$157,6,FALSE)</f>
        <v>5</v>
      </c>
      <c r="BS79" s="181" t="s">
        <v>2639</v>
      </c>
      <c r="BT79" s="281" t="s">
        <v>3465</v>
      </c>
      <c r="BU79" s="175" t="s">
        <v>2231</v>
      </c>
    </row>
    <row r="80" spans="1:73" ht="39.950000000000003" customHeight="1" thickBot="1" x14ac:dyDescent="0.25">
      <c r="A80" s="173">
        <f t="shared" si="12"/>
        <v>78</v>
      </c>
      <c r="B80" s="178" t="s">
        <v>337</v>
      </c>
      <c r="C80" s="179" t="s">
        <v>1472</v>
      </c>
      <c r="D80" s="180">
        <v>453</v>
      </c>
      <c r="E80" s="180" t="s">
        <v>1540</v>
      </c>
      <c r="F80" s="273" t="str">
        <f>VLOOKUP($D80,'Practice Descriptions'!$E$11:$F$186,2,FALSE)</f>
        <v>Managing in-place natural materials, mine spoil (excavated over-burden), mine waste or overburden to reduce down-slope movement.</v>
      </c>
      <c r="G80" s="182">
        <v>15</v>
      </c>
      <c r="H80" s="183">
        <v>5000</v>
      </c>
      <c r="I80" s="184">
        <v>0</v>
      </c>
      <c r="J80" s="184">
        <v>0</v>
      </c>
      <c r="K80" s="419">
        <v>1</v>
      </c>
      <c r="L80" s="185" t="str">
        <f t="shared" si="8"/>
        <v/>
      </c>
      <c r="M80" s="184">
        <v>0</v>
      </c>
      <c r="N80" s="186">
        <f>IF(G80=1,H80,PMT(Lookup!$G$4,G80,-H80)+(H80*J80)+(M80*P80))*K80</f>
        <v>485.79006132438803</v>
      </c>
      <c r="O80" s="187" t="s">
        <v>301</v>
      </c>
      <c r="P80" s="186">
        <f>VLOOKUP($O80,Lookup!$F$9:$I$18,4,FALSE)</f>
        <v>100</v>
      </c>
      <c r="Q80" s="184">
        <v>1</v>
      </c>
      <c r="R80" s="183">
        <v>500</v>
      </c>
      <c r="S80" s="188" t="s">
        <v>3595</v>
      </c>
      <c r="T80" s="186">
        <f t="shared" si="10"/>
        <v>600</v>
      </c>
      <c r="U80" s="189">
        <f t="shared" si="11"/>
        <v>1.2351014311907627</v>
      </c>
      <c r="V80" s="189">
        <f t="shared" si="9"/>
        <v>8.3333333333333339</v>
      </c>
      <c r="W80" s="190">
        <f>IF(P80=0,0,IF(Q80+R80=0,0,PV(Lookup!$G$4,G80,-T80)/H80))</f>
        <v>1.2351014311907629</v>
      </c>
      <c r="X80" s="190">
        <f>IF(I80=0,0,PMT(Lookup!$G$4,G80,-(H80*I80*K80))/P80)</f>
        <v>0</v>
      </c>
      <c r="Y80" s="42" t="s">
        <v>963</v>
      </c>
      <c r="Z80" s="192">
        <f>VLOOKUP(Y80,Lookup!$B$4:$C$14,2,FALSE)</f>
        <v>2</v>
      </c>
      <c r="AA80" s="281" t="s">
        <v>227</v>
      </c>
      <c r="AB80" s="282" t="s">
        <v>1072</v>
      </c>
      <c r="AC80" s="181" t="str">
        <f>VLOOKUP(AD80,Lookup!$C$4:$D$14,2,FALSE)</f>
        <v>Substantial Worsening</v>
      </c>
      <c r="AD80" s="193">
        <f>IF(P80/H80&lt;Lookup!$F$33,-5,IF(P80/H80&lt;Lookup!$F$32,-4,IF(P80/H80&lt;Lookup!$F$31,-3,IF(P80/H80&lt;Lookup!$F$30,-2,IF(P80/H80&lt;Lookup!$F$29,-1,-5)))))</f>
        <v>-5</v>
      </c>
      <c r="AE80" s="194" t="str">
        <f>VLOOKUP(AD80,Lookup!$G$28:$J$33,2,FALSE)</f>
        <v>One-time practice implementation cost 5 times or greater enterprise annual net income</v>
      </c>
      <c r="AF80" s="281" t="s">
        <v>1847</v>
      </c>
      <c r="AG80" s="181" t="str">
        <f>VLOOKUP(AH80,Lookup!$C$4:$D$14,2,FALSE)</f>
        <v>No Effect</v>
      </c>
      <c r="AH80" s="193">
        <f>IF(J80&gt;Lookup!$F$43,-5,IF(J80&gt;Lookup!$F$42,-4,IF(J80&gt;Lookup!$F$41,-3,IF(J80&gt;Lookup!$F$40,-2,IF(J80&gt;Lookup!$F$39,-1,0)))))</f>
        <v>0</v>
      </c>
      <c r="AI80" s="194" t="str">
        <f>VLOOKUP(AH80,Lookup!$G$38:$J$43,2,FALSE)</f>
        <v>No O&amp;M costs</v>
      </c>
      <c r="AJ80" s="281" t="s">
        <v>3005</v>
      </c>
      <c r="AK80" s="181" t="str">
        <f>VLOOKUP(AL80,Lookup!$C$4:$D$14,2,FALSE)</f>
        <v>No Effect</v>
      </c>
      <c r="AL80" s="346">
        <f>IF(N80=0,0,IF(U80&lt;Lookup!$F$58,-5,IF(U80&lt;Lookup!$F$57,-4,IF(U80&lt;Lookup!$F$56,-3,IF(U80&lt;Lookup!$F$55,-2,IF(U80&lt;Lookup!$F$54,-1,IF(U80&lt;Lookup!$F$53,0,IF(U80&lt;Lookup!$F$52,1,IF(U80&lt;Lookup!$F$51,2,IF(U80&lt;Lookup!$F$50,3,IF(U80&lt;Lookup!$F$49,4,5)))))))))))</f>
        <v>0</v>
      </c>
      <c r="AM80" s="194" t="str">
        <f>VLOOKUP(AL80,Lookup!$G$48:$J$58,2,FALSE)</f>
        <v>B/C Ratio .75 to 1.25</v>
      </c>
      <c r="AN80" s="281" t="s">
        <v>3029</v>
      </c>
      <c r="AO80" s="181" t="str">
        <f>VLOOKUP(AP80,Lookup!$C$4:$D$14,2,FALSE)</f>
        <v>Substantial Improvement</v>
      </c>
      <c r="AP80" s="193">
        <f>IF(Q80=0,0,IF(Q80&gt;Lookup!$F$63,5,IF(Q80&gt;Lookup!$F$64,4,IF(Q80&gt;Lookup!$F$65,3,IF(Q80&gt;Lookup!$F$66,2,IF(Q80&gt;Lookup!$F$67,1,IF(Q80&gt;Lookup!$F$69,-1,IF(Q80&gt;Lookup!$F$70,-2,IF(Q80&gt;Lookup!$F$71,-3,IF(Q80&gt;Lookup!$F$72,-4,-5))))))))))</f>
        <v>5</v>
      </c>
      <c r="AQ80" s="194" t="str">
        <f>VLOOKUP(AP80,Lookup!$G$63:$J$73,2,FALSE)</f>
        <v>Greater than 50% yield increase</v>
      </c>
      <c r="AR80" s="281" t="s">
        <v>3113</v>
      </c>
      <c r="AS80" s="181" t="str">
        <f>VLOOKUP(AT80,Lookup!$C$4:$D$14,2,FALSE)</f>
        <v>Moderate to Substantial Worsening</v>
      </c>
      <c r="AT80" s="193">
        <f>IF(V80=0,0,IF(V80&lt;Lookup!$F$79,5,IF(V80&lt;Lookup!$F$80,4,IF(V80&lt;Lookup!$F$81,3,IF(V80&lt;Lookup!$F$82,2,IF(V80&lt;Lookup!$F$83,1,IF(V80&lt;Lookup!$F$85,-1,IF(V80&lt;Lookup!$F$86,-2,IF(V80&lt;Lookup!$F$87,-3,IF(V80&lt;Lookup!$F$88,-4,-5))))))))))</f>
        <v>-4</v>
      </c>
      <c r="AU80" s="194" t="str">
        <f>VLOOKUP(AT80,Lookup!$G$79:$J$89,2,FALSE)</f>
        <v>8-9 years to breakeven</v>
      </c>
      <c r="AV80" s="345" t="str">
        <f>VLOOKUP(AT80,Lookup!$G$79:$J$89,4,FALSE)</f>
        <v>Annual benefits slightly greater than annual costs</v>
      </c>
      <c r="AW80" s="181" t="str">
        <f>VLOOKUP(AX80,Lookup!$C$4:$D$14,2,FALSE)</f>
        <v>Moderate Improvement</v>
      </c>
      <c r="AX80" s="193">
        <f>VLOOKUP(AY80,Lookup!$G$92:$J$97,4,FALSE)</f>
        <v>3</v>
      </c>
      <c r="AY80" s="181" t="s">
        <v>2631</v>
      </c>
      <c r="AZ80" s="281" t="s">
        <v>1903</v>
      </c>
      <c r="BA80" s="181" t="str">
        <f>VLOOKUP(BB80,Lookup!$C$4:$D$14,2,FALSE)</f>
        <v>Moderate to Substantial Improvement</v>
      </c>
      <c r="BB80" s="193">
        <f>VLOOKUP(BC80,Lookup!$G$100:$K$110,5,FALSE)</f>
        <v>4</v>
      </c>
      <c r="BC80" s="181" t="s">
        <v>2673</v>
      </c>
      <c r="BD80" s="281" t="s">
        <v>3200</v>
      </c>
      <c r="BE80" s="181" t="str">
        <f>VLOOKUP(BF80,Lookup!$C$4:$D$14,2,FALSE)</f>
        <v>No Effect</v>
      </c>
      <c r="BF80" s="193">
        <f>IF(X80=0,0,IF(X80&gt;Lookup!$F$113,-5,IF(X80&gt;Lookup!$F$114,-4,IF(X80&gt;Lookup!$F$115,-3,IF(X80&gt;Lookup!$F$116,-2,IF(X80&gt;Lookup!$F$117,-1,0))))))</f>
        <v>0</v>
      </c>
      <c r="BG80" s="195" t="str">
        <f>VLOOKUP(BF80,Lookup!$G$113:$H$118,2,FALSE)</f>
        <v>No change in on-farm equipment</v>
      </c>
      <c r="BH80" s="281" t="s">
        <v>3231</v>
      </c>
      <c r="BI80" s="181" t="str">
        <f>VLOOKUP(BJ80,Lookup!$C$4:$D$14,2,FALSE)</f>
        <v>Slight Worsening</v>
      </c>
      <c r="BJ80" s="193">
        <f>VLOOKUP(BK80,Lookup!$G$121:$L$131,6,FALSE)</f>
        <v>-1</v>
      </c>
      <c r="BK80" s="181" t="s">
        <v>2640</v>
      </c>
      <c r="BL80" s="281" t="s">
        <v>3306</v>
      </c>
      <c r="BM80" s="181" t="str">
        <f>VLOOKUP(BN80,Lookup!$C$4:$D$14,2,FALSE)</f>
        <v>Slight Worsening</v>
      </c>
      <c r="BN80" s="193">
        <f>VLOOKUP(BO80,Lookup!$G$134:$L$144,6,FALSE)</f>
        <v>-1</v>
      </c>
      <c r="BO80" s="181" t="s">
        <v>3373</v>
      </c>
      <c r="BP80" s="281" t="s">
        <v>3401</v>
      </c>
      <c r="BQ80" s="181" t="str">
        <f>VLOOKUP(BR80,Lookup!$C$4:$D$14,2,FALSE)</f>
        <v>Substantial Improvement</v>
      </c>
      <c r="BR80" s="193">
        <f>VLOOKUP(BS80,Lookup!$G$147:$L$157,6,FALSE)</f>
        <v>5</v>
      </c>
      <c r="BS80" s="181" t="s">
        <v>2639</v>
      </c>
      <c r="BT80" s="281" t="s">
        <v>3465</v>
      </c>
      <c r="BU80" s="175" t="s">
        <v>2231</v>
      </c>
    </row>
    <row r="81" spans="1:73" ht="39.950000000000003" customHeight="1" thickBot="1" x14ac:dyDescent="0.25">
      <c r="A81" s="173">
        <f t="shared" si="12"/>
        <v>79</v>
      </c>
      <c r="B81" s="178" t="s">
        <v>1011</v>
      </c>
      <c r="C81" s="179" t="s">
        <v>1599</v>
      </c>
      <c r="D81" s="180">
        <v>455</v>
      </c>
      <c r="E81" s="180" t="s">
        <v>3647</v>
      </c>
      <c r="F81" s="273" t="str">
        <f>VLOOKUP($D81,'Practice Descriptions'!$E$11:$F$186,2,FALSE)</f>
        <v>Control of acid or otherwise toxic aqueous discharge from abandoned coal mines or coal-mine waste.</v>
      </c>
      <c r="G81" s="182">
        <v>15</v>
      </c>
      <c r="H81" s="183">
        <v>5000</v>
      </c>
      <c r="I81" s="184">
        <v>0.02</v>
      </c>
      <c r="J81" s="184">
        <v>0</v>
      </c>
      <c r="K81" s="419">
        <f>IF(E81="No.",1,IF(E81="Ac.",1,(SQRT(VLOOKUP(O81,Lookup!$F$9:$H$18,3,FALSE)))*208/VLOOKUP(O81,Lookup!$F$9:$H$18,3,FALSE)))</f>
        <v>1</v>
      </c>
      <c r="L81" s="185" t="str">
        <f t="shared" si="8"/>
        <v/>
      </c>
      <c r="M81" s="184">
        <v>0</v>
      </c>
      <c r="N81" s="186">
        <f>IF(G81=1,H81,PMT(Lookup!$G$4,G81,-H81)+(H81*J81)+(M81*P81))*K81</f>
        <v>485.79006132438803</v>
      </c>
      <c r="O81" s="187" t="s">
        <v>1110</v>
      </c>
      <c r="P81" s="186">
        <f>VLOOKUP($O81,Lookup!$F$9:$I$18,4,FALSE)</f>
        <v>300</v>
      </c>
      <c r="Q81" s="184">
        <v>1</v>
      </c>
      <c r="R81" s="183">
        <v>0</v>
      </c>
      <c r="S81" s="188"/>
      <c r="T81" s="186">
        <f t="shared" si="10"/>
        <v>300</v>
      </c>
      <c r="U81" s="189">
        <f t="shared" si="11"/>
        <v>0.61755071559538133</v>
      </c>
      <c r="V81" s="189">
        <f t="shared" si="9"/>
        <v>0</v>
      </c>
      <c r="W81" s="190">
        <f>IF(P81=0,0,IF(Q81+R81=0,0,PV(Lookup!$G$4,G81,-T81)/H81))</f>
        <v>0.61755071559538144</v>
      </c>
      <c r="X81" s="190">
        <f>IF(I81=0,0,PMT(Lookup!$G$4,G81,-(H81*I81*K81))/P81)</f>
        <v>3.2386004088292536E-2</v>
      </c>
      <c r="Y81" s="42" t="s">
        <v>963</v>
      </c>
      <c r="Z81" s="192">
        <f>VLOOKUP(Y81,Lookup!$B$4:$C$14,2,FALSE)</f>
        <v>2</v>
      </c>
      <c r="AA81" s="281" t="s">
        <v>1902</v>
      </c>
      <c r="AB81" s="282" t="s">
        <v>1072</v>
      </c>
      <c r="AC81" s="181" t="str">
        <f>VLOOKUP(AD81,Lookup!$C$4:$D$14,2,FALSE)</f>
        <v>Substantial Worsening</v>
      </c>
      <c r="AD81" s="193">
        <f>IF(P81/H81&lt;Lookup!$F$33,-5,IF(P81/H81&lt;Lookup!$F$32,-4,IF(P81/H81&lt;Lookup!$F$31,-3,IF(P81/H81&lt;Lookup!$F$30,-2,IF(P81/H81&lt;Lookup!$F$29,-1,-5)))))</f>
        <v>-5</v>
      </c>
      <c r="AE81" s="194" t="str">
        <f>VLOOKUP(AD81,Lookup!$G$28:$J$33,2,FALSE)</f>
        <v>One-time practice implementation cost 5 times or greater enterprise annual net income</v>
      </c>
      <c r="AF81" s="281" t="s">
        <v>1847</v>
      </c>
      <c r="AG81" s="181" t="str">
        <f>VLOOKUP(AH81,Lookup!$C$4:$D$14,2,FALSE)</f>
        <v>No Effect</v>
      </c>
      <c r="AH81" s="193">
        <f>IF(J81&gt;Lookup!$F$43,-5,IF(J81&gt;Lookup!$F$42,-4,IF(J81&gt;Lookup!$F$41,-3,IF(J81&gt;Lookup!$F$40,-2,IF(J81&gt;Lookup!$F$39,-1,0)))))</f>
        <v>0</v>
      </c>
      <c r="AI81" s="194" t="str">
        <f>VLOOKUP(AH81,Lookup!$G$38:$J$43,2,FALSE)</f>
        <v>No O&amp;M costs</v>
      </c>
      <c r="AJ81" s="281" t="s">
        <v>3005</v>
      </c>
      <c r="AK81" s="181" t="str">
        <f>VLOOKUP(AL81,Lookup!$C$4:$D$14,2,FALSE)</f>
        <v>Slight Worsening</v>
      </c>
      <c r="AL81" s="346">
        <f>IF(N81=0,0,IF(U81&lt;Lookup!$F$58,-5,IF(U81&lt;Lookup!$F$57,-4,IF(U81&lt;Lookup!$F$56,-3,IF(U81&lt;Lookup!$F$55,-2,IF(U81&lt;Lookup!$F$54,-1,IF(U81&lt;Lookup!$F$53,0,IF(U81&lt;Lookup!$F$52,1,IF(U81&lt;Lookup!$F$51,2,IF(U81&lt;Lookup!$F$50,3,IF(U81&lt;Lookup!$F$49,4,5)))))))))))</f>
        <v>-1</v>
      </c>
      <c r="AM81" s="194" t="str">
        <f>VLOOKUP(AL81,Lookup!$G$48:$J$58,2,FALSE)</f>
        <v>B/C Ratio .50 to .75</v>
      </c>
      <c r="AN81" s="281" t="s">
        <v>3029</v>
      </c>
      <c r="AO81" s="181" t="str">
        <f>VLOOKUP(AP81,Lookup!$C$4:$D$14,2,FALSE)</f>
        <v>Substantial Improvement</v>
      </c>
      <c r="AP81" s="193">
        <f>IF(Q81=0,0,IF(Q81&gt;Lookup!$F$63,5,IF(Q81&gt;Lookup!$F$64,4,IF(Q81&gt;Lookup!$F$65,3,IF(Q81&gt;Lookup!$F$66,2,IF(Q81&gt;Lookup!$F$67,1,IF(Q81&gt;Lookup!$F$69,-1,IF(Q81&gt;Lookup!$F$70,-2,IF(Q81&gt;Lookup!$F$71,-3,IF(Q81&gt;Lookup!$F$72,-4,-5))))))))))</f>
        <v>5</v>
      </c>
      <c r="AQ81" s="194" t="str">
        <f>VLOOKUP(AP81,Lookup!$G$63:$J$73,2,FALSE)</f>
        <v>Greater than 50% yield increase</v>
      </c>
      <c r="AR81" s="281" t="s">
        <v>3113</v>
      </c>
      <c r="AS81" s="181" t="str">
        <f>VLOOKUP(AT81,Lookup!$C$4:$D$14,2,FALSE)</f>
        <v>No Effect</v>
      </c>
      <c r="AT81" s="193">
        <f>IF(V81=0,0,IF(V81&lt;Lookup!$F$79,5,IF(V81&lt;Lookup!$F$80,4,IF(V81&lt;Lookup!$F$81,3,IF(V81&lt;Lookup!$F$82,2,IF(V81&lt;Lookup!$F$83,1,IF(V81&lt;Lookup!$F$85,-1,IF(V81&lt;Lookup!$F$86,-2,IF(V81&lt;Lookup!$F$87,-3,IF(V81&lt;Lookup!$F$88,-4,-5))))))))))</f>
        <v>0</v>
      </c>
      <c r="AU81" s="194" t="str">
        <f>VLOOKUP(AT81,Lookup!$G$79:$J$89,2,FALSE)</f>
        <v>No breakeven</v>
      </c>
      <c r="AV81" s="345" t="str">
        <f>VLOOKUP(AT81,Lookup!$G$79:$J$89,4,FALSE)</f>
        <v>Annual costs greater than annual benefits</v>
      </c>
      <c r="AW81" s="181" t="str">
        <f>VLOOKUP(AX81,Lookup!$C$4:$D$14,2,FALSE)</f>
        <v>Moderate Improvement</v>
      </c>
      <c r="AX81" s="193">
        <f>VLOOKUP(AY81,Lookup!$G$92:$J$97,4,FALSE)</f>
        <v>3</v>
      </c>
      <c r="AY81" s="181" t="s">
        <v>2631</v>
      </c>
      <c r="AZ81" s="281" t="s">
        <v>1903</v>
      </c>
      <c r="BA81" s="181" t="str">
        <f>VLOOKUP(BB81,Lookup!$C$4:$D$14,2,FALSE)</f>
        <v>Moderate Improvement</v>
      </c>
      <c r="BB81" s="193">
        <f>VLOOKUP(BC81,Lookup!$G$100:$K$110,5,FALSE)</f>
        <v>3</v>
      </c>
      <c r="BC81" s="181" t="s">
        <v>2644</v>
      </c>
      <c r="BD81" s="281" t="s">
        <v>1940</v>
      </c>
      <c r="BE81" s="181" t="str">
        <f>VLOOKUP(BF81,Lookup!$C$4:$D$14,2,FALSE)</f>
        <v>Slight Worsening</v>
      </c>
      <c r="BF81" s="193">
        <f>IF(X81=0,0,IF(X81&gt;Lookup!$F$113,-5,IF(X81&gt;Lookup!$F$114,-4,IF(X81&gt;Lookup!$F$115,-3,IF(X81&gt;Lookup!$F$116,-2,IF(X81&gt;Lookup!$F$117,-1,0))))))</f>
        <v>-1</v>
      </c>
      <c r="BG81" s="195" t="str">
        <f>VLOOKUP(BF81,Lookup!$G$113:$H$118,2,FALSE)</f>
        <v>Annual on-farm equipment costs 5% or less of enterprise annual net income</v>
      </c>
      <c r="BH81" s="281" t="s">
        <v>3525</v>
      </c>
      <c r="BI81" s="181" t="str">
        <f>VLOOKUP(BJ81,Lookup!$C$4:$D$14,2,FALSE)</f>
        <v>Slight to Moderate Worsening</v>
      </c>
      <c r="BJ81" s="193">
        <f>VLOOKUP(BK81,Lookup!$G$121:$L$131,6,FALSE)</f>
        <v>-2</v>
      </c>
      <c r="BK81" s="181" t="s">
        <v>2649</v>
      </c>
      <c r="BL81" s="281" t="s">
        <v>3307</v>
      </c>
      <c r="BM81" s="181" t="str">
        <f>VLOOKUP(BN81,Lookup!$C$4:$D$14,2,FALSE)</f>
        <v>Slight Worsening</v>
      </c>
      <c r="BN81" s="193">
        <f>VLOOKUP(BO81,Lookup!$G$134:$L$144,6,FALSE)</f>
        <v>-1</v>
      </c>
      <c r="BO81" s="181" t="s">
        <v>3373</v>
      </c>
      <c r="BP81" s="281" t="s">
        <v>3401</v>
      </c>
      <c r="BQ81" s="181" t="str">
        <f>VLOOKUP(BR81,Lookup!$C$4:$D$14,2,FALSE)</f>
        <v>Substantial Improvement</v>
      </c>
      <c r="BR81" s="193">
        <f>VLOOKUP(BS81,Lookup!$G$147:$L$157,6,FALSE)</f>
        <v>5</v>
      </c>
      <c r="BS81" s="181" t="s">
        <v>2639</v>
      </c>
      <c r="BT81" s="281" t="s">
        <v>3465</v>
      </c>
      <c r="BU81" s="175" t="s">
        <v>2231</v>
      </c>
    </row>
    <row r="82" spans="1:73" ht="39.950000000000003" customHeight="1" thickBot="1" x14ac:dyDescent="0.25">
      <c r="A82" s="173">
        <f t="shared" si="12"/>
        <v>80</v>
      </c>
      <c r="B82" s="178" t="s">
        <v>1012</v>
      </c>
      <c r="C82" s="179" t="s">
        <v>1597</v>
      </c>
      <c r="D82" s="180">
        <v>466</v>
      </c>
      <c r="E82" s="180" t="s">
        <v>3646</v>
      </c>
      <c r="F82" s="273" t="str">
        <f>VLOOKUP($D82,'Practice Descriptions'!$E$11:$F$186,2,FALSE)</f>
        <v>Removing irregularities on the land surface</v>
      </c>
      <c r="G82" s="182">
        <v>10</v>
      </c>
      <c r="H82" s="183">
        <v>50</v>
      </c>
      <c r="I82" s="184">
        <v>0</v>
      </c>
      <c r="J82" s="184">
        <v>0</v>
      </c>
      <c r="K82" s="419">
        <f>IF(E82="No.",1,IF(E82="Ac.",1,(SQRT(VLOOKUP(O82,Lookup!$F$9:$H$18,3,FALSE)))*208/VLOOKUP(O82,Lookup!$F$9:$H$18,3,FALSE)))</f>
        <v>1</v>
      </c>
      <c r="L82" s="185" t="str">
        <f t="shared" si="8"/>
        <v/>
      </c>
      <c r="M82" s="184">
        <v>0</v>
      </c>
      <c r="N82" s="186">
        <f>IF(G82=1,H82,PMT(Lookup!$G$4,G82,-H82)+(H82*J82)+(M82*P82))*K82</f>
        <v>6.5145940284198591</v>
      </c>
      <c r="O82" s="187" t="s">
        <v>1110</v>
      </c>
      <c r="P82" s="186">
        <f>VLOOKUP($O82,Lookup!$F$9:$I$18,4,FALSE)</f>
        <v>300</v>
      </c>
      <c r="Q82" s="184">
        <v>0.05</v>
      </c>
      <c r="R82" s="183">
        <v>5</v>
      </c>
      <c r="S82" s="188" t="s">
        <v>2660</v>
      </c>
      <c r="T82" s="186">
        <f t="shared" si="10"/>
        <v>20</v>
      </c>
      <c r="U82" s="189">
        <f t="shared" si="11"/>
        <v>3.0700301373731311</v>
      </c>
      <c r="V82" s="189">
        <f t="shared" si="9"/>
        <v>2.5</v>
      </c>
      <c r="W82" s="190">
        <f>IF(P82=0,0,IF(Q82+R82=0,0,PV(Lookup!$G$4,G82,-T82)/H82))</f>
        <v>3.070030137373132</v>
      </c>
      <c r="X82" s="190">
        <f>IF(I82=0,0,PMT(Lookup!$G$4,G82,-(H82*I82*K82))/P82)</f>
        <v>0</v>
      </c>
      <c r="Y82" s="42" t="s">
        <v>963</v>
      </c>
      <c r="Z82" s="192">
        <f>VLOOKUP(Y82,Lookup!$B$4:$C$14,2,FALSE)</f>
        <v>2</v>
      </c>
      <c r="AA82" s="281" t="s">
        <v>1904</v>
      </c>
      <c r="AB82" s="282" t="s">
        <v>1072</v>
      </c>
      <c r="AC82" s="181" t="str">
        <f>VLOOKUP(AD82,Lookup!$C$4:$D$14,2,FALSE)</f>
        <v>Slight to Moderate Worsening</v>
      </c>
      <c r="AD82" s="193">
        <f>IF(P82/H82&lt;Lookup!$F$33,-5,IF(P82/H82&lt;Lookup!$F$32,-4,IF(P82/H82&lt;Lookup!$F$31,-3,IF(P82/H82&lt;Lookup!$F$30,-2,IF(P82/H82&lt;Lookup!$F$29,-1,-5)))))</f>
        <v>-2</v>
      </c>
      <c r="AE82" s="194" t="str">
        <f>VLOOKUP(AD82,Lookup!$G$28:$J$33,2,FALSE)</f>
        <v>One-time practice implementation cost 5 to 100% of enterprise annual net income</v>
      </c>
      <c r="AF82" s="281" t="s">
        <v>2965</v>
      </c>
      <c r="AG82" s="181" t="str">
        <f>VLOOKUP(AH82,Lookup!$C$4:$D$14,2,FALSE)</f>
        <v>No Effect</v>
      </c>
      <c r="AH82" s="193">
        <f>IF(J82&gt;Lookup!$F$43,-5,IF(J82&gt;Lookup!$F$42,-4,IF(J82&gt;Lookup!$F$41,-3,IF(J82&gt;Lookup!$F$40,-2,IF(J82&gt;Lookup!$F$39,-1,0)))))</f>
        <v>0</v>
      </c>
      <c r="AI82" s="194" t="str">
        <f>VLOOKUP(AH82,Lookup!$G$38:$J$43,2,FALSE)</f>
        <v>No O&amp;M costs</v>
      </c>
      <c r="AJ82" s="281" t="s">
        <v>3005</v>
      </c>
      <c r="AK82" s="181" t="str">
        <f>VLOOKUP(AL82,Lookup!$C$4:$D$14,2,FALSE)</f>
        <v>Substantial Improvement</v>
      </c>
      <c r="AL82" s="346">
        <f>IF(N82=0,0,IF(U82&lt;Lookup!$F$58,-5,IF(U82&lt;Lookup!$F$57,-4,IF(U82&lt;Lookup!$F$56,-3,IF(U82&lt;Lookup!$F$55,-2,IF(U82&lt;Lookup!$F$54,-1,IF(U82&lt;Lookup!$F$53,0,IF(U82&lt;Lookup!$F$52,1,IF(U82&lt;Lookup!$F$51,2,IF(U82&lt;Lookup!$F$50,3,IF(U82&lt;Lookup!$F$49,4,5)))))))))))</f>
        <v>5</v>
      </c>
      <c r="AM82" s="194" t="str">
        <f>VLOOKUP(AL82,Lookup!$G$48:$J$58,2,FALSE)</f>
        <v>B/C Ratio greater than 2.25</v>
      </c>
      <c r="AN82" s="281" t="s">
        <v>3044</v>
      </c>
      <c r="AO82" s="181" t="str">
        <f>VLOOKUP(AP82,Lookup!$C$4:$D$14,2,FALSE)</f>
        <v>Slight to Moderate Improvement</v>
      </c>
      <c r="AP82" s="193">
        <f>IF(Q82=0,0,IF(Q82&gt;Lookup!$F$63,5,IF(Q82&gt;Lookup!$F$64,4,IF(Q82&gt;Lookup!$F$65,3,IF(Q82&gt;Lookup!$F$66,2,IF(Q82&gt;Lookup!$F$67,1,IF(Q82&gt;Lookup!$F$69,-1,IF(Q82&gt;Lookup!$F$70,-2,IF(Q82&gt;Lookup!$F$71,-3,IF(Q82&gt;Lookup!$F$72,-4,-5))))))))))</f>
        <v>2</v>
      </c>
      <c r="AQ82" s="194" t="str">
        <f>VLOOKUP(AP82,Lookup!$G$63:$J$73,2,FALSE)</f>
        <v>5 to 10% yield increase</v>
      </c>
      <c r="AR82" s="281" t="s">
        <v>3114</v>
      </c>
      <c r="AS82" s="181" t="str">
        <f>VLOOKUP(AT82,Lookup!$C$4:$D$14,2,FALSE)</f>
        <v>Moderate Improvement</v>
      </c>
      <c r="AT82" s="193">
        <f>IF(V82=0,0,IF(V82&lt;Lookup!$F$79,5,IF(V82&lt;Lookup!$F$80,4,IF(V82&lt;Lookup!$F$81,3,IF(V82&lt;Lookup!$F$82,2,IF(V82&lt;Lookup!$F$83,1,IF(V82&lt;Lookup!$F$85,-1,IF(V82&lt;Lookup!$F$86,-2,IF(V82&lt;Lookup!$F$87,-3,IF(V82&lt;Lookup!$F$88,-4,-5))))))))))</f>
        <v>3</v>
      </c>
      <c r="AU82" s="194" t="str">
        <f>VLOOKUP(AT82,Lookup!$G$79:$J$89,2,FALSE)</f>
        <v>2-3 years to breakeven</v>
      </c>
      <c r="AV82" s="345" t="str">
        <f>VLOOKUP(AT82,Lookup!$G$79:$J$89,4,FALSE)</f>
        <v>Annual benefits significantly greater than annual costs</v>
      </c>
      <c r="AW82" s="181" t="str">
        <f>VLOOKUP(AX82,Lookup!$C$4:$D$14,2,FALSE)</f>
        <v>No Effect</v>
      </c>
      <c r="AX82" s="193">
        <f>VLOOKUP(AY82,Lookup!$G$92:$J$97,4,FALSE)</f>
        <v>0</v>
      </c>
      <c r="AY82" s="181" t="s">
        <v>2642</v>
      </c>
      <c r="AZ82" s="281" t="s">
        <v>3154</v>
      </c>
      <c r="BA82" s="181" t="str">
        <f>VLOOKUP(BB82,Lookup!$C$4:$D$14,2,FALSE)</f>
        <v>Slight Improvement</v>
      </c>
      <c r="BB82" s="193">
        <f>VLOOKUP(BC82,Lookup!$G$100:$K$110,5,FALSE)</f>
        <v>1</v>
      </c>
      <c r="BC82" s="181" t="s">
        <v>2651</v>
      </c>
      <c r="BD82" s="281" t="s">
        <v>1905</v>
      </c>
      <c r="BE82" s="181" t="str">
        <f>VLOOKUP(BF82,Lookup!$C$4:$D$14,2,FALSE)</f>
        <v>No Effect</v>
      </c>
      <c r="BF82" s="193">
        <f>IF(X82=0,0,IF(X82&gt;Lookup!$F$113,-5,IF(X82&gt;Lookup!$F$114,-4,IF(X82&gt;Lookup!$F$115,-3,IF(X82&gt;Lookup!$F$116,-2,IF(X82&gt;Lookup!$F$117,-1,0))))))</f>
        <v>0</v>
      </c>
      <c r="BG82" s="195" t="str">
        <f>VLOOKUP(BF82,Lookup!$G$113:$H$118,2,FALSE)</f>
        <v>No change in on-farm equipment</v>
      </c>
      <c r="BH82" s="281" t="s">
        <v>3231</v>
      </c>
      <c r="BI82" s="181" t="str">
        <f>VLOOKUP(BJ82,Lookup!$C$4:$D$14,2,FALSE)</f>
        <v>No Effect</v>
      </c>
      <c r="BJ82" s="193">
        <f>VLOOKUP(BK82,Lookup!$G$121:$L$131,6,FALSE)</f>
        <v>0</v>
      </c>
      <c r="BK82" s="181" t="s">
        <v>2656</v>
      </c>
      <c r="BL82" s="281" t="s">
        <v>3154</v>
      </c>
      <c r="BM82" s="181" t="str">
        <f>VLOOKUP(BN82,Lookup!$C$4:$D$14,2,FALSE)</f>
        <v>No Effect</v>
      </c>
      <c r="BN82" s="193">
        <f>VLOOKUP(BO82,Lookup!$G$134:$L$144,6,FALSE)</f>
        <v>0</v>
      </c>
      <c r="BO82" s="181" t="s">
        <v>2646</v>
      </c>
      <c r="BP82" s="281" t="s">
        <v>3154</v>
      </c>
      <c r="BQ82" s="181" t="str">
        <f>VLOOKUP(BR82,Lookup!$C$4:$D$14,2,FALSE)</f>
        <v>Moderate to Substantial Improvement</v>
      </c>
      <c r="BR82" s="193">
        <f>VLOOKUP(BS82,Lookup!$G$147:$L$157,6,FALSE)</f>
        <v>4</v>
      </c>
      <c r="BS82" s="181" t="s">
        <v>2645</v>
      </c>
      <c r="BT82" s="281" t="s">
        <v>3463</v>
      </c>
      <c r="BU82" s="175" t="s">
        <v>2231</v>
      </c>
    </row>
    <row r="83" spans="1:73" ht="39.950000000000003" customHeight="1" thickBot="1" x14ac:dyDescent="0.25">
      <c r="A83" s="173">
        <f t="shared" si="12"/>
        <v>81</v>
      </c>
      <c r="B83" s="178" t="s">
        <v>1028</v>
      </c>
      <c r="C83" s="179" t="s">
        <v>1597</v>
      </c>
      <c r="D83" s="180">
        <v>468</v>
      </c>
      <c r="E83" s="180" t="s">
        <v>1944</v>
      </c>
      <c r="F83" s="273" t="str">
        <f>VLOOKUP($D83,'Practice Descriptions'!$E$11:$F$186,2,FALSE)</f>
        <v>A waterway or outlet having an erosion-resistant lining of concrete, stone, synthetic turf reinforcement fabrics, or other permanent material.</v>
      </c>
      <c r="G83" s="182">
        <v>15</v>
      </c>
      <c r="H83" s="183">
        <v>5</v>
      </c>
      <c r="I83" s="184">
        <v>0</v>
      </c>
      <c r="J83" s="184">
        <v>0.1</v>
      </c>
      <c r="K83" s="419">
        <f>IF(E83="No.",1,IF(E83="Ac.",1,(SQRT(VLOOKUP(O83,Lookup!$F$9:$H$18,3,FALSE)))*208/VLOOKUP(O83,Lookup!$F$9:$H$18,3,FALSE)))</f>
        <v>46.510213931995629</v>
      </c>
      <c r="L83" s="185" t="str">
        <f t="shared" si="8"/>
        <v>Assume length 1 side of square field (208'/Ac)</v>
      </c>
      <c r="M83" s="184">
        <v>0</v>
      </c>
      <c r="N83" s="186">
        <f>IF(G83=1,H83,PMT(Lookup!$G$4,G83,-H83)+(H83*J83)+(M83*P83))*K83</f>
        <v>45.849306644232378</v>
      </c>
      <c r="O83" s="187" t="s">
        <v>2225</v>
      </c>
      <c r="P83" s="186">
        <f>VLOOKUP($O83,Lookup!$F$9:$I$18,4,FALSE)</f>
        <v>100</v>
      </c>
      <c r="Q83" s="184">
        <v>0.1</v>
      </c>
      <c r="R83" s="183">
        <v>1</v>
      </c>
      <c r="S83" s="188" t="s">
        <v>2660</v>
      </c>
      <c r="T83" s="186">
        <f t="shared" si="10"/>
        <v>11</v>
      </c>
      <c r="U83" s="189">
        <f t="shared" si="11"/>
        <v>0.2399163870754793</v>
      </c>
      <c r="V83" s="189">
        <f t="shared" si="9"/>
        <v>0</v>
      </c>
      <c r="W83" s="190">
        <f>IF(P83=0,0,IF(Q83+R83=0,0,PV(Lookup!$G$4,G83,-T83)/H83))</f>
        <v>22.643526238497319</v>
      </c>
      <c r="X83" s="190">
        <f>IF(I83=0,0,PMT(Lookup!$G$4,G83,-(H83*I83*K83))/P83)</f>
        <v>0</v>
      </c>
      <c r="Y83" s="42" t="s">
        <v>986</v>
      </c>
      <c r="Z83" s="192">
        <f>VLOOKUP(Y83,Lookup!$B$4:$C$14,2,FALSE)</f>
        <v>0</v>
      </c>
      <c r="AA83" s="281" t="s">
        <v>2759</v>
      </c>
      <c r="AB83" s="282" t="s">
        <v>1072</v>
      </c>
      <c r="AC83" s="181" t="str">
        <f>VLOOKUP(AD83,Lookup!$C$4:$D$14,2,FALSE)</f>
        <v>Slight Worsening</v>
      </c>
      <c r="AD83" s="193">
        <f>IF(P83/H83&lt;Lookup!$F$33,-5,IF(P83/H83&lt;Lookup!$F$32,-4,IF(P83/H83&lt;Lookup!$F$31,-3,IF(P83/H83&lt;Lookup!$F$30,-2,IF(P83/H83&lt;Lookup!$F$29,-1,-5)))))</f>
        <v>-1</v>
      </c>
      <c r="AE83" s="194" t="str">
        <f>VLOOKUP(AD83,Lookup!$G$28:$J$33,2,FALSE)</f>
        <v>One-time practice implementation cost 5% or less of enterprise annual net income</v>
      </c>
      <c r="AF83" s="281" t="s">
        <v>1847</v>
      </c>
      <c r="AG83" s="181" t="str">
        <f>VLOOKUP(AH83,Lookup!$C$4:$D$14,2,FALSE)</f>
        <v>Substantial Worsening</v>
      </c>
      <c r="AH83" s="193">
        <f>IF(J83&gt;Lookup!$F$43,-5,IF(J83&gt;Lookup!$F$42,-4,IF(J83&gt;Lookup!$F$41,-3,IF(J83&gt;Lookup!$F$40,-2,IF(J83&gt;Lookup!$F$39,-1,0)))))</f>
        <v>-5</v>
      </c>
      <c r="AI83" s="194" t="str">
        <f>VLOOKUP(AH83,Lookup!$G$38:$J$43,2,FALSE)</f>
        <v>Annual O&amp;M costs greater than 4% of total installation costs</v>
      </c>
      <c r="AJ83" s="281" t="s">
        <v>2987</v>
      </c>
      <c r="AK83" s="181" t="str">
        <f>VLOOKUP(AL83,Lookup!$C$4:$D$14,2,FALSE)</f>
        <v>Moderate Worsening</v>
      </c>
      <c r="AL83" s="346">
        <f>IF(N83=0,0,IF(U83&lt;Lookup!$F$58,-5,IF(U83&lt;Lookup!$F$57,-4,IF(U83&lt;Lookup!$F$56,-3,IF(U83&lt;Lookup!$F$55,-2,IF(U83&lt;Lookup!$F$54,-1,IF(U83&lt;Lookup!$F$53,0,IF(U83&lt;Lookup!$F$52,1,IF(U83&lt;Lookup!$F$51,2,IF(U83&lt;Lookup!$F$50,3,IF(U83&lt;Lookup!$F$49,4,5)))))))))))</f>
        <v>-3</v>
      </c>
      <c r="AM83" s="194" t="str">
        <f>VLOOKUP(AL83,Lookup!$G$48:$J$58,2,FALSE)</f>
        <v>B/C Ratio .10 to .25</v>
      </c>
      <c r="AN83" s="281" t="s">
        <v>1942</v>
      </c>
      <c r="AO83" s="181" t="str">
        <f>VLOOKUP(AP83,Lookup!$C$4:$D$14,2,FALSE)</f>
        <v>Slight to Moderate Improvement</v>
      </c>
      <c r="AP83" s="193">
        <f>IF(Q83=0,0,IF(Q83&gt;Lookup!$F$63,5,IF(Q83&gt;Lookup!$F$64,4,IF(Q83&gt;Lookup!$F$65,3,IF(Q83&gt;Lookup!$F$66,2,IF(Q83&gt;Lookup!$F$67,1,IF(Q83&gt;Lookup!$F$69,-1,IF(Q83&gt;Lookup!$F$70,-2,IF(Q83&gt;Lookup!$F$71,-3,IF(Q83&gt;Lookup!$F$72,-4,-5))))))))))</f>
        <v>2</v>
      </c>
      <c r="AQ83" s="194" t="str">
        <f>VLOOKUP(AP83,Lookup!$G$63:$J$73,2,FALSE)</f>
        <v>5 to 10% yield increase</v>
      </c>
      <c r="AR83" s="281" t="s">
        <v>3115</v>
      </c>
      <c r="AS83" s="181" t="str">
        <f>VLOOKUP(AT83,Lookup!$C$4:$D$14,2,FALSE)</f>
        <v>No Effect</v>
      </c>
      <c r="AT83" s="193">
        <f>IF(V83=0,0,IF(V83&lt;Lookup!$F$79,5,IF(V83&lt;Lookup!$F$80,4,IF(V83&lt;Lookup!$F$81,3,IF(V83&lt;Lookup!$F$82,2,IF(V83&lt;Lookup!$F$83,1,IF(V83&lt;Lookup!$F$85,-1,IF(V83&lt;Lookup!$F$86,-2,IF(V83&lt;Lookup!$F$87,-3,IF(V83&lt;Lookup!$F$88,-4,-5))))))))))</f>
        <v>0</v>
      </c>
      <c r="AU83" s="194" t="str">
        <f>VLOOKUP(AT83,Lookup!$G$79:$J$89,2,FALSE)</f>
        <v>No breakeven</v>
      </c>
      <c r="AV83" s="345" t="str">
        <f>VLOOKUP(AT83,Lookup!$G$79:$J$89,4,FALSE)</f>
        <v>Annual costs greater than annual benefits</v>
      </c>
      <c r="AW83" s="181" t="str">
        <f>VLOOKUP(AX83,Lookup!$C$4:$D$14,2,FALSE)</f>
        <v>No Effect</v>
      </c>
      <c r="AX83" s="193">
        <f>VLOOKUP(AY83,Lookup!$G$92:$J$97,4,FALSE)</f>
        <v>0</v>
      </c>
      <c r="AY83" s="181" t="s">
        <v>2642</v>
      </c>
      <c r="AZ83" s="281" t="s">
        <v>3154</v>
      </c>
      <c r="BA83" s="181" t="str">
        <f>VLOOKUP(BB83,Lookup!$C$4:$D$14,2,FALSE)</f>
        <v>No Effect</v>
      </c>
      <c r="BB83" s="193">
        <f>VLOOKUP(BC83,Lookup!$G$100:$K$110,5,FALSE)</f>
        <v>0</v>
      </c>
      <c r="BC83" s="181" t="s">
        <v>2643</v>
      </c>
      <c r="BD83" s="281" t="s">
        <v>3154</v>
      </c>
      <c r="BE83" s="181" t="str">
        <f>VLOOKUP(BF83,Lookup!$C$4:$D$14,2,FALSE)</f>
        <v>No Effect</v>
      </c>
      <c r="BF83" s="193">
        <f>IF(X83=0,0,IF(X83&gt;Lookup!$F$113,-5,IF(X83&gt;Lookup!$F$114,-4,IF(X83&gt;Lookup!$F$115,-3,IF(X83&gt;Lookup!$F$116,-2,IF(X83&gt;Lookup!$F$117,-1,0))))))</f>
        <v>0</v>
      </c>
      <c r="BG83" s="195" t="str">
        <f>VLOOKUP(BF83,Lookup!$G$113:$H$118,2,FALSE)</f>
        <v>No change in on-farm equipment</v>
      </c>
      <c r="BH83" s="281" t="s">
        <v>1841</v>
      </c>
      <c r="BI83" s="181" t="str">
        <f>VLOOKUP(BJ83,Lookup!$C$4:$D$14,2,FALSE)</f>
        <v>Slight Improvement</v>
      </c>
      <c r="BJ83" s="193">
        <f>VLOOKUP(BK83,Lookup!$G$121:$L$131,6,FALSE)</f>
        <v>1</v>
      </c>
      <c r="BK83" s="181" t="s">
        <v>2638</v>
      </c>
      <c r="BL83" s="281" t="s">
        <v>3308</v>
      </c>
      <c r="BM83" s="181" t="str">
        <f>VLOOKUP(BN83,Lookup!$C$4:$D$14,2,FALSE)</f>
        <v>No Effect</v>
      </c>
      <c r="BN83" s="193">
        <f>VLOOKUP(BO83,Lookup!$G$134:$L$144,6,FALSE)</f>
        <v>0</v>
      </c>
      <c r="BO83" s="181" t="s">
        <v>2646</v>
      </c>
      <c r="BP83" s="281" t="s">
        <v>3154</v>
      </c>
      <c r="BQ83" s="181" t="str">
        <f>VLOOKUP(BR83,Lookup!$C$4:$D$14,2,FALSE)</f>
        <v>Slight to Moderate Improvement</v>
      </c>
      <c r="BR83" s="193">
        <f>VLOOKUP(BS83,Lookup!$G$147:$L$157,6,FALSE)</f>
        <v>2</v>
      </c>
      <c r="BS83" s="181" t="s">
        <v>2641</v>
      </c>
      <c r="BT83" s="281" t="s">
        <v>3437</v>
      </c>
      <c r="BU83" s="175" t="s">
        <v>2231</v>
      </c>
    </row>
    <row r="84" spans="1:73" ht="39.950000000000003" customHeight="1" thickBot="1" x14ac:dyDescent="0.25">
      <c r="A84" s="173">
        <f t="shared" si="12"/>
        <v>82</v>
      </c>
      <c r="B84" s="178" t="s">
        <v>1029</v>
      </c>
      <c r="C84" s="179" t="s">
        <v>1472</v>
      </c>
      <c r="D84" s="180">
        <v>457</v>
      </c>
      <c r="E84" s="180" t="s">
        <v>3647</v>
      </c>
      <c r="F84" s="273" t="str">
        <f>VLOOKUP($D84,'Practice Descriptions'!$E$11:$F$186,2,FALSE)</f>
        <v>Closure of underground mine openings by filling, plugging, capping, installing barriers, gating or fencing.</v>
      </c>
      <c r="G84" s="182">
        <v>15</v>
      </c>
      <c r="H84" s="183">
        <v>5000</v>
      </c>
      <c r="I84" s="184">
        <v>0</v>
      </c>
      <c r="J84" s="184">
        <v>0</v>
      </c>
      <c r="K84" s="419">
        <f>IF(E84="No.",1,IF(E84="Ac.",1,(SQRT(VLOOKUP(O84,Lookup!$F$9:$H$18,3,FALSE)))*208/VLOOKUP(O84,Lookup!$F$9:$H$18,3,FALSE)))</f>
        <v>1</v>
      </c>
      <c r="L84" s="185" t="str">
        <f t="shared" si="8"/>
        <v/>
      </c>
      <c r="M84" s="184">
        <v>0</v>
      </c>
      <c r="N84" s="186">
        <f>IF(G84=1,H84,PMT(Lookup!$G$4,G84,-H84)+(H84*J84)+(M84*P84))*K84</f>
        <v>485.79006132438803</v>
      </c>
      <c r="O84" s="187" t="s">
        <v>2225</v>
      </c>
      <c r="P84" s="186">
        <f>VLOOKUP($O84,Lookup!$F$9:$I$18,4,FALSE)</f>
        <v>100</v>
      </c>
      <c r="Q84" s="184">
        <v>0</v>
      </c>
      <c r="R84" s="183">
        <v>25</v>
      </c>
      <c r="S84" s="188" t="s">
        <v>3591</v>
      </c>
      <c r="T84" s="186">
        <f t="shared" si="10"/>
        <v>25</v>
      </c>
      <c r="U84" s="189">
        <f t="shared" si="11"/>
        <v>5.1462559632948442E-2</v>
      </c>
      <c r="V84" s="189">
        <f t="shared" si="9"/>
        <v>0</v>
      </c>
      <c r="W84" s="190">
        <f>IF(P84=0,0,IF(Q84+R84=0,0,PV(Lookup!$G$4,G84,-T84)/H84))</f>
        <v>5.1462559632948456E-2</v>
      </c>
      <c r="X84" s="190">
        <f>IF(I84=0,0,PMT(Lookup!$G$4,G84,-(H84*I84*K84))/P84)</f>
        <v>0</v>
      </c>
      <c r="Y84" s="42" t="s">
        <v>963</v>
      </c>
      <c r="Z84" s="192">
        <f>VLOOKUP(Y84,Lookup!$B$4:$C$14,2,FALSE)</f>
        <v>2</v>
      </c>
      <c r="AA84" s="281" t="s">
        <v>1902</v>
      </c>
      <c r="AB84" s="282" t="s">
        <v>1072</v>
      </c>
      <c r="AC84" s="181" t="str">
        <f>VLOOKUP(AD84,Lookup!$C$4:$D$14,2,FALSE)</f>
        <v>Substantial Worsening</v>
      </c>
      <c r="AD84" s="193">
        <f>IF(P84/H84&lt;Lookup!$F$33,-5,IF(P84/H84&lt;Lookup!$F$32,-4,IF(P84/H84&lt;Lookup!$F$31,-3,IF(P84/H84&lt;Lookup!$F$30,-2,IF(P84/H84&lt;Lookup!$F$29,-1,-5)))))</f>
        <v>-5</v>
      </c>
      <c r="AE84" s="194" t="str">
        <f>VLOOKUP(AD84,Lookup!$G$28:$J$33,2,FALSE)</f>
        <v>One-time practice implementation cost 5 times or greater enterprise annual net income</v>
      </c>
      <c r="AF84" s="281" t="s">
        <v>1847</v>
      </c>
      <c r="AG84" s="181" t="str">
        <f>VLOOKUP(AH84,Lookup!$C$4:$D$14,2,FALSE)</f>
        <v>No Effect</v>
      </c>
      <c r="AH84" s="193">
        <f>IF(J84&gt;Lookup!$F$43,-5,IF(J84&gt;Lookup!$F$42,-4,IF(J84&gt;Lookup!$F$41,-3,IF(J84&gt;Lookup!$F$40,-2,IF(J84&gt;Lookup!$F$39,-1,0)))))</f>
        <v>0</v>
      </c>
      <c r="AI84" s="194" t="str">
        <f>VLOOKUP(AH84,Lookup!$G$38:$J$43,2,FALSE)</f>
        <v>No O&amp;M costs</v>
      </c>
      <c r="AJ84" s="281" t="s">
        <v>3005</v>
      </c>
      <c r="AK84" s="181" t="str">
        <f>VLOOKUP(AL84,Lookup!$C$4:$D$14,2,FALSE)</f>
        <v>Moderate to Substantial Worsening</v>
      </c>
      <c r="AL84" s="346">
        <f>IF(N84=0,0,IF(U84&lt;Lookup!$F$58,-5,IF(U84&lt;Lookup!$F$57,-4,IF(U84&lt;Lookup!$F$56,-3,IF(U84&lt;Lookup!$F$55,-2,IF(U84&lt;Lookup!$F$54,-1,IF(U84&lt;Lookup!$F$53,0,IF(U84&lt;Lookup!$F$52,1,IF(U84&lt;Lookup!$F$51,2,IF(U84&lt;Lookup!$F$50,3,IF(U84&lt;Lookup!$F$49,4,5)))))))))))</f>
        <v>-4</v>
      </c>
      <c r="AM84" s="194" t="str">
        <f>VLOOKUP(AL84,Lookup!$G$48:$J$58,2,FALSE)</f>
        <v>B/C Ratio .05 to .10</v>
      </c>
      <c r="AN84" s="281" t="s">
        <v>3029</v>
      </c>
      <c r="AO84" s="181" t="str">
        <f>VLOOKUP(AP84,Lookup!$C$4:$D$14,2,FALSE)</f>
        <v>No Effect</v>
      </c>
      <c r="AP84" s="193">
        <f>IF(Q84=0,0,IF(Q84&gt;Lookup!$F$63,5,IF(Q84&gt;Lookup!$F$64,4,IF(Q84&gt;Lookup!$F$65,3,IF(Q84&gt;Lookup!$F$66,2,IF(Q84&gt;Lookup!$F$67,1,IF(Q84&gt;Lookup!$F$69,-1,IF(Q84&gt;Lookup!$F$70,-2,IF(Q84&gt;Lookup!$F$71,-3,IF(Q84&gt;Lookup!$F$72,-4,-5))))))))))</f>
        <v>0</v>
      </c>
      <c r="AQ84" s="194" t="str">
        <f>VLOOKUP(AP84,Lookup!$G$63:$J$73,2,FALSE)</f>
        <v>No change in yield</v>
      </c>
      <c r="AR84" s="281" t="s">
        <v>3081</v>
      </c>
      <c r="AS84" s="181" t="str">
        <f>VLOOKUP(AT84,Lookup!$C$4:$D$14,2,FALSE)</f>
        <v>No Effect</v>
      </c>
      <c r="AT84" s="193">
        <f>IF(V84=0,0,IF(V84&lt;Lookup!$F$79,5,IF(V84&lt;Lookup!$F$80,4,IF(V84&lt;Lookup!$F$81,3,IF(V84&lt;Lookup!$F$82,2,IF(V84&lt;Lookup!$F$83,1,IF(V84&lt;Lookup!$F$85,-1,IF(V84&lt;Lookup!$F$86,-2,IF(V84&lt;Lookup!$F$87,-3,IF(V84&lt;Lookup!$F$88,-4,-5))))))))))</f>
        <v>0</v>
      </c>
      <c r="AU84" s="194" t="str">
        <f>VLOOKUP(AT84,Lookup!$G$79:$J$89,2,FALSE)</f>
        <v>No breakeven</v>
      </c>
      <c r="AV84" s="345" t="str">
        <f>VLOOKUP(AT84,Lookup!$G$79:$J$89,4,FALSE)</f>
        <v>Annual costs greater than annual benefits</v>
      </c>
      <c r="AW84" s="181" t="str">
        <f>VLOOKUP(AX84,Lookup!$C$4:$D$14,2,FALSE)</f>
        <v>No Effect</v>
      </c>
      <c r="AX84" s="193">
        <f>VLOOKUP(AY84,Lookup!$G$92:$J$97,4,FALSE)</f>
        <v>0</v>
      </c>
      <c r="AY84" s="181" t="s">
        <v>2642</v>
      </c>
      <c r="AZ84" s="281" t="s">
        <v>2759</v>
      </c>
      <c r="BA84" s="181" t="str">
        <f>VLOOKUP(BB84,Lookup!$C$4:$D$14,2,FALSE)</f>
        <v>Slight Improvement</v>
      </c>
      <c r="BB84" s="193">
        <f>VLOOKUP(BC84,Lookup!$G$100:$K$110,5,FALSE)</f>
        <v>1</v>
      </c>
      <c r="BC84" s="181" t="s">
        <v>2651</v>
      </c>
      <c r="BD84" s="281" t="s">
        <v>1905</v>
      </c>
      <c r="BE84" s="181" t="str">
        <f>VLOOKUP(BF84,Lookup!$C$4:$D$14,2,FALSE)</f>
        <v>No Effect</v>
      </c>
      <c r="BF84" s="193">
        <f>IF(X84=0,0,IF(X84&gt;Lookup!$F$113,-5,IF(X84&gt;Lookup!$F$114,-4,IF(X84&gt;Lookup!$F$115,-3,IF(X84&gt;Lookup!$F$116,-2,IF(X84&gt;Lookup!$F$117,-1,0))))))</f>
        <v>0</v>
      </c>
      <c r="BG84" s="195" t="str">
        <f>VLOOKUP(BF84,Lookup!$G$113:$H$118,2,FALSE)</f>
        <v>No change in on-farm equipment</v>
      </c>
      <c r="BH84" s="281" t="s">
        <v>1841</v>
      </c>
      <c r="BI84" s="181" t="str">
        <f>VLOOKUP(BJ84,Lookup!$C$4:$D$14,2,FALSE)</f>
        <v>Slight Improvement</v>
      </c>
      <c r="BJ84" s="193">
        <f>VLOOKUP(BK84,Lookup!$G$121:$L$131,6,FALSE)</f>
        <v>1</v>
      </c>
      <c r="BK84" s="181" t="s">
        <v>2638</v>
      </c>
      <c r="BL84" s="281" t="s">
        <v>3309</v>
      </c>
      <c r="BM84" s="181" t="str">
        <f>VLOOKUP(BN84,Lookup!$C$4:$D$14,2,FALSE)</f>
        <v>No Effect</v>
      </c>
      <c r="BN84" s="193">
        <f>VLOOKUP(BO84,Lookup!$G$134:$L$144,6,FALSE)</f>
        <v>0</v>
      </c>
      <c r="BO84" s="181" t="s">
        <v>2646</v>
      </c>
      <c r="BP84" s="281" t="s">
        <v>3154</v>
      </c>
      <c r="BQ84" s="181" t="str">
        <f>VLOOKUP(BR84,Lookup!$C$4:$D$14,2,FALSE)</f>
        <v>Moderate to Substantial Improvement</v>
      </c>
      <c r="BR84" s="193">
        <f>VLOOKUP(BS84,Lookup!$G$147:$L$157,6,FALSE)</f>
        <v>4</v>
      </c>
      <c r="BS84" s="181" t="s">
        <v>2645</v>
      </c>
      <c r="BT84" s="281" t="s">
        <v>3465</v>
      </c>
      <c r="BU84" s="175" t="s">
        <v>2231</v>
      </c>
    </row>
    <row r="85" spans="1:73" ht="39.950000000000003" customHeight="1" thickBot="1" x14ac:dyDescent="0.25">
      <c r="A85" s="173">
        <f t="shared" si="12"/>
        <v>83</v>
      </c>
      <c r="B85" s="178" t="s">
        <v>1030</v>
      </c>
      <c r="C85" s="179" t="s">
        <v>1601</v>
      </c>
      <c r="D85" s="180">
        <v>482</v>
      </c>
      <c r="E85" s="180" t="s">
        <v>1944</v>
      </c>
      <c r="F85" s="273" t="str">
        <f>VLOOKUP($D85,'Practice Descriptions'!$E$11:$F$186,2,FALSE)</f>
        <v>An underground conduit constructed by pulling a bullet-shaped cylinder though the soil.</v>
      </c>
      <c r="G85" s="182">
        <v>5</v>
      </c>
      <c r="H85" s="183">
        <v>35</v>
      </c>
      <c r="I85" s="184">
        <v>0.01</v>
      </c>
      <c r="J85" s="184">
        <v>0</v>
      </c>
      <c r="K85" s="419">
        <f>IF(E85="No.",1,IF(E85="Ac.",1,(SQRT(VLOOKUP(O85,Lookup!$F$9:$H$18,3,FALSE)))*208/VLOOKUP(O85,Lookup!$F$9:$H$18,3,FALSE)))</f>
        <v>23.255106965997815</v>
      </c>
      <c r="L85" s="185" t="str">
        <f t="shared" si="8"/>
        <v>Assume length 1 side of square field (208'/Ac)</v>
      </c>
      <c r="M85" s="184">
        <v>0</v>
      </c>
      <c r="N85" s="186">
        <f>IF(G85=1,H85,PMT(Lookup!$G$4,G85,-H85)+(H85*J85)+(M85*P85))*K85</f>
        <v>188.64709838619763</v>
      </c>
      <c r="O85" s="187" t="s">
        <v>1110</v>
      </c>
      <c r="P85" s="186">
        <f>VLOOKUP($O85,Lookup!$F$9:$I$18,4,FALSE)</f>
        <v>300</v>
      </c>
      <c r="Q85" s="184">
        <v>0.05</v>
      </c>
      <c r="R85" s="183">
        <v>0</v>
      </c>
      <c r="S85" s="188"/>
      <c r="T85" s="186">
        <f t="shared" si="10"/>
        <v>15</v>
      </c>
      <c r="U85" s="189">
        <f t="shared" si="11"/>
        <v>7.9513547403162577E-2</v>
      </c>
      <c r="V85" s="189">
        <f t="shared" si="9"/>
        <v>0</v>
      </c>
      <c r="W85" s="190">
        <f>IF(P85=0,0,IF(Q85+R85=0,0,PV(Lookup!$G$4,G85,-T85)/H85))</f>
        <v>1.849096050106483</v>
      </c>
      <c r="X85" s="190">
        <f>IF(I85=0,0,PMT(Lookup!$G$4,G85,-(H85*I85*K85))/P85)</f>
        <v>6.2882366128732556E-3</v>
      </c>
      <c r="Y85" s="42" t="s">
        <v>963</v>
      </c>
      <c r="Z85" s="192">
        <f>VLOOKUP(Y85,Lookup!$B$4:$C$14,2,FALSE)</f>
        <v>2</v>
      </c>
      <c r="AA85" s="281" t="s">
        <v>227</v>
      </c>
      <c r="AB85" s="282" t="s">
        <v>1072</v>
      </c>
      <c r="AC85" s="181" t="str">
        <f>VLOOKUP(AD85,Lookup!$C$4:$D$14,2,FALSE)</f>
        <v>Slight to Moderate Worsening</v>
      </c>
      <c r="AD85" s="193">
        <f>IF(P85/H85&lt;Lookup!$F$33,-5,IF(P85/H85&lt;Lookup!$F$32,-4,IF(P85/H85&lt;Lookup!$F$31,-3,IF(P85/H85&lt;Lookup!$F$30,-2,IF(P85/H85&lt;Lookup!$F$29,-1,-5)))))</f>
        <v>-2</v>
      </c>
      <c r="AE85" s="194" t="str">
        <f>VLOOKUP(AD85,Lookup!$G$28:$J$33,2,FALSE)</f>
        <v>One-time practice implementation cost 5 to 100% of enterprise annual net income</v>
      </c>
      <c r="AF85" s="281" t="s">
        <v>2965</v>
      </c>
      <c r="AG85" s="181" t="str">
        <f>VLOOKUP(AH85,Lookup!$C$4:$D$14,2,FALSE)</f>
        <v>No Effect</v>
      </c>
      <c r="AH85" s="193">
        <f>IF(J85&gt;Lookup!$F$43,-5,IF(J85&gt;Lookup!$F$42,-4,IF(J85&gt;Lookup!$F$41,-3,IF(J85&gt;Lookup!$F$40,-2,IF(J85&gt;Lookup!$F$39,-1,0)))))</f>
        <v>0</v>
      </c>
      <c r="AI85" s="194" t="str">
        <f>VLOOKUP(AH85,Lookup!$G$38:$J$43,2,FALSE)</f>
        <v>No O&amp;M costs</v>
      </c>
      <c r="AJ85" s="281" t="s">
        <v>3005</v>
      </c>
      <c r="AK85" s="181" t="str">
        <f>VLOOKUP(AL85,Lookup!$C$4:$D$14,2,FALSE)</f>
        <v>Moderate to Substantial Worsening</v>
      </c>
      <c r="AL85" s="346">
        <f>IF(N85=0,0,IF(U85&lt;Lookup!$F$58,-5,IF(U85&lt;Lookup!$F$57,-4,IF(U85&lt;Lookup!$F$56,-3,IF(U85&lt;Lookup!$F$55,-2,IF(U85&lt;Lookup!$F$54,-1,IF(U85&lt;Lookup!$F$53,0,IF(U85&lt;Lookup!$F$52,1,IF(U85&lt;Lookup!$F$51,2,IF(U85&lt;Lookup!$F$50,3,IF(U85&lt;Lookup!$F$49,4,5)))))))))))</f>
        <v>-4</v>
      </c>
      <c r="AM85" s="194" t="str">
        <f>VLOOKUP(AL85,Lookup!$G$48:$J$58,2,FALSE)</f>
        <v>B/C Ratio .05 to .10</v>
      </c>
      <c r="AN85" s="281" t="s">
        <v>3041</v>
      </c>
      <c r="AO85" s="181" t="str">
        <f>VLOOKUP(AP85,Lookup!$C$4:$D$14,2,FALSE)</f>
        <v>Slight to Moderate Improvement</v>
      </c>
      <c r="AP85" s="193">
        <f>IF(Q85=0,0,IF(Q85&gt;Lookup!$F$63,5,IF(Q85&gt;Lookup!$F$64,4,IF(Q85&gt;Lookup!$F$65,3,IF(Q85&gt;Lookup!$F$66,2,IF(Q85&gt;Lookup!$F$67,1,IF(Q85&gt;Lookup!$F$69,-1,IF(Q85&gt;Lookup!$F$70,-2,IF(Q85&gt;Lookup!$F$71,-3,IF(Q85&gt;Lookup!$F$72,-4,-5))))))))))</f>
        <v>2</v>
      </c>
      <c r="AQ85" s="194" t="str">
        <f>VLOOKUP(AP85,Lookup!$G$63:$J$73,2,FALSE)</f>
        <v>5 to 10% yield increase</v>
      </c>
      <c r="AR85" s="281" t="s">
        <v>3114</v>
      </c>
      <c r="AS85" s="181" t="str">
        <f>VLOOKUP(AT85,Lookup!$C$4:$D$14,2,FALSE)</f>
        <v>No Effect</v>
      </c>
      <c r="AT85" s="193">
        <f>IF(V85=0,0,IF(V85&lt;Lookup!$F$79,5,IF(V85&lt;Lookup!$F$80,4,IF(V85&lt;Lookup!$F$81,3,IF(V85&lt;Lookup!$F$82,2,IF(V85&lt;Lookup!$F$83,1,IF(V85&lt;Lookup!$F$85,-1,IF(V85&lt;Lookup!$F$86,-2,IF(V85&lt;Lookup!$F$87,-3,IF(V85&lt;Lookup!$F$88,-4,-5))))))))))</f>
        <v>0</v>
      </c>
      <c r="AU85" s="194" t="str">
        <f>VLOOKUP(AT85,Lookup!$G$79:$J$89,2,FALSE)</f>
        <v>No breakeven</v>
      </c>
      <c r="AV85" s="345" t="str">
        <f>VLOOKUP(AT85,Lookup!$G$79:$J$89,4,FALSE)</f>
        <v>Annual costs greater than annual benefits</v>
      </c>
      <c r="AW85" s="181" t="str">
        <f>VLOOKUP(AX85,Lookup!$C$4:$D$14,2,FALSE)</f>
        <v>No Effect</v>
      </c>
      <c r="AX85" s="193">
        <f>VLOOKUP(AY85,Lookup!$G$92:$J$97,4,FALSE)</f>
        <v>0</v>
      </c>
      <c r="AY85" s="181" t="s">
        <v>2642</v>
      </c>
      <c r="AZ85" s="281" t="s">
        <v>3154</v>
      </c>
      <c r="BA85" s="181" t="str">
        <f>VLOOKUP(BB85,Lookup!$C$4:$D$14,2,FALSE)</f>
        <v>Slight to Moderate Improvement</v>
      </c>
      <c r="BB85" s="193">
        <f>VLOOKUP(BC85,Lookup!$G$100:$K$110,5,FALSE)</f>
        <v>2</v>
      </c>
      <c r="BC85" s="181" t="s">
        <v>2666</v>
      </c>
      <c r="BD85" s="281" t="s">
        <v>3201</v>
      </c>
      <c r="BE85" s="181" t="str">
        <f>VLOOKUP(BF85,Lookup!$C$4:$D$14,2,FALSE)</f>
        <v>Slight Worsening</v>
      </c>
      <c r="BF85" s="193">
        <f>IF(X85=0,0,IF(X85&gt;Lookup!$F$113,-5,IF(X85&gt;Lookup!$F$114,-4,IF(X85&gt;Lookup!$F$115,-3,IF(X85&gt;Lookup!$F$116,-2,IF(X85&gt;Lookup!$F$117,-1,0))))))</f>
        <v>-1</v>
      </c>
      <c r="BG85" s="195" t="str">
        <f>VLOOKUP(BF85,Lookup!$G$113:$H$118,2,FALSE)</f>
        <v>Annual on-farm equipment costs 5% or less of enterprise annual net income</v>
      </c>
      <c r="BH85" s="281" t="s">
        <v>3243</v>
      </c>
      <c r="BI85" s="181" t="str">
        <f>VLOOKUP(BJ85,Lookup!$C$4:$D$14,2,FALSE)</f>
        <v>Slight Worsening</v>
      </c>
      <c r="BJ85" s="193">
        <f>VLOOKUP(BK85,Lookup!$G$121:$L$131,6,FALSE)</f>
        <v>-1</v>
      </c>
      <c r="BK85" s="181" t="s">
        <v>2640</v>
      </c>
      <c r="BL85" s="281" t="s">
        <v>3310</v>
      </c>
      <c r="BM85" s="181" t="str">
        <f>VLOOKUP(BN85,Lookup!$C$4:$D$14,2,FALSE)</f>
        <v>No Effect</v>
      </c>
      <c r="BN85" s="193">
        <f>VLOOKUP(BO85,Lookup!$G$134:$L$144,6,FALSE)</f>
        <v>0</v>
      </c>
      <c r="BO85" s="181" t="s">
        <v>2646</v>
      </c>
      <c r="BP85" s="281" t="s">
        <v>3154</v>
      </c>
      <c r="BQ85" s="181" t="str">
        <f>VLOOKUP(BR85,Lookup!$C$4:$D$14,2,FALSE)</f>
        <v>Slight to Moderate Improvement</v>
      </c>
      <c r="BR85" s="193">
        <f>VLOOKUP(BS85,Lookup!$G$147:$L$157,6,FALSE)</f>
        <v>2</v>
      </c>
      <c r="BS85" s="181" t="s">
        <v>2641</v>
      </c>
      <c r="BT85" s="281" t="s">
        <v>3464</v>
      </c>
      <c r="BU85" s="175" t="s">
        <v>2231</v>
      </c>
    </row>
    <row r="86" spans="1:73" ht="39.950000000000003" customHeight="1" thickBot="1" x14ac:dyDescent="0.25">
      <c r="A86" s="173">
        <f t="shared" si="12"/>
        <v>84</v>
      </c>
      <c r="B86" s="178" t="s">
        <v>1699</v>
      </c>
      <c r="C86" s="179" t="s">
        <v>1605</v>
      </c>
      <c r="D86" s="180">
        <v>799</v>
      </c>
      <c r="E86" s="180" t="s">
        <v>3647</v>
      </c>
      <c r="F86" s="273" t="e">
        <f>VLOOKUP($D86,'Practice Descriptions'!$E$11:$F$186,2,FALSE)</f>
        <v>#N/A</v>
      </c>
      <c r="G86" s="182">
        <v>15</v>
      </c>
      <c r="H86" s="183">
        <v>100000</v>
      </c>
      <c r="I86" s="184">
        <v>0.75</v>
      </c>
      <c r="J86" s="184">
        <v>0.01</v>
      </c>
      <c r="K86" s="419">
        <f>IF(E86="No.",1,IF(E86="Ac.",1,(SQRT(VLOOKUP(O86,Lookup!$F$9:$H$18,3,FALSE)))*208/VLOOKUP(O86,Lookup!$F$9:$H$18,3,FALSE)))</f>
        <v>1</v>
      </c>
      <c r="L86" s="185" t="str">
        <f t="shared" si="8"/>
        <v/>
      </c>
      <c r="M86" s="184">
        <v>0</v>
      </c>
      <c r="N86" s="186">
        <f>IF(G86=1,H86,PMT(Lookup!$G$4,G86,-H86)+(H86*J86)+(M86*P86))*K86</f>
        <v>10715.80122648776</v>
      </c>
      <c r="O86" s="187" t="s">
        <v>1110</v>
      </c>
      <c r="P86" s="186">
        <f>VLOOKUP($O86,Lookup!$F$9:$I$18,4,FALSE)</f>
        <v>300</v>
      </c>
      <c r="Q86" s="184">
        <v>0.02</v>
      </c>
      <c r="R86" s="183">
        <v>2</v>
      </c>
      <c r="S86" s="188" t="s">
        <v>3596</v>
      </c>
      <c r="T86" s="186">
        <f t="shared" si="10"/>
        <v>8</v>
      </c>
      <c r="U86" s="189">
        <f t="shared" si="11"/>
        <v>7.4656106724201542E-4</v>
      </c>
      <c r="V86" s="189">
        <f t="shared" si="9"/>
        <v>0</v>
      </c>
      <c r="W86" s="190">
        <f>IF(P86=0,0,IF(Q86+R86=0,0,PV(Lookup!$G$4,G86,-T86)/H86))</f>
        <v>8.2340095412717534E-4</v>
      </c>
      <c r="X86" s="190">
        <f>IF(I86=0,0,PMT(Lookup!$G$4,G86,-(H86*I86*K86))/P86)</f>
        <v>24.2895030662194</v>
      </c>
      <c r="Y86" s="42" t="s">
        <v>963</v>
      </c>
      <c r="Z86" s="192">
        <f>VLOOKUP(Y86,Lookup!$B$4:$C$14,2,FALSE)</f>
        <v>2</v>
      </c>
      <c r="AA86" s="281" t="s">
        <v>227</v>
      </c>
      <c r="AB86" s="282" t="s">
        <v>1072</v>
      </c>
      <c r="AC86" s="181" t="str">
        <f>VLOOKUP(AD86,Lookup!$C$4:$D$14,2,FALSE)</f>
        <v>Substantial Worsening</v>
      </c>
      <c r="AD86" s="193">
        <f>IF(P86/H86&lt;Lookup!$F$33,-5,IF(P86/H86&lt;Lookup!$F$32,-4,IF(P86/H86&lt;Lookup!$F$31,-3,IF(P86/H86&lt;Lookup!$F$30,-2,IF(P86/H86&lt;Lookup!$F$29,-1,-5)))))</f>
        <v>-5</v>
      </c>
      <c r="AE86" s="194" t="str">
        <f>VLOOKUP(AD86,Lookup!$G$28:$J$33,2,FALSE)</f>
        <v>One-time practice implementation cost 5 times or greater enterprise annual net income</v>
      </c>
      <c r="AF86" s="281" t="s">
        <v>2958</v>
      </c>
      <c r="AG86" s="181" t="str">
        <f>VLOOKUP(AH86,Lookup!$C$4:$D$14,2,FALSE)</f>
        <v>Slight Worsening</v>
      </c>
      <c r="AH86" s="193">
        <f>IF(J86&gt;Lookup!$F$43,-5,IF(J86&gt;Lookup!$F$42,-4,IF(J86&gt;Lookup!$F$41,-3,IF(J86&gt;Lookup!$F$40,-2,IF(J86&gt;Lookup!$F$39,-1,0)))))</f>
        <v>-1</v>
      </c>
      <c r="AI86" s="194" t="str">
        <f>VLOOKUP(AH86,Lookup!$G$38:$J$43,2,FALSE)</f>
        <v>Annual O&amp;M costs less than 1% of total installation costs</v>
      </c>
      <c r="AJ86" s="281" t="s">
        <v>2990</v>
      </c>
      <c r="AK86" s="181" t="str">
        <f>VLOOKUP(AL86,Lookup!$C$4:$D$14,2,FALSE)</f>
        <v>Substantial Worsening</v>
      </c>
      <c r="AL86" s="346">
        <f>IF(N86=0,0,IF(U86&lt;Lookup!$F$58,-5,IF(U86&lt;Lookup!$F$57,-4,IF(U86&lt;Lookup!$F$56,-3,IF(U86&lt;Lookup!$F$55,-2,IF(U86&lt;Lookup!$F$54,-1,IF(U86&lt;Lookup!$F$53,0,IF(U86&lt;Lookup!$F$52,1,IF(U86&lt;Lookup!$F$51,2,IF(U86&lt;Lookup!$F$50,3,IF(U86&lt;Lookup!$F$49,4,5)))))))))))</f>
        <v>-5</v>
      </c>
      <c r="AM86" s="194" t="str">
        <f>VLOOKUP(AL86,Lookup!$G$48:$J$58,2,FALSE)</f>
        <v>B/C Ratio less than .02</v>
      </c>
      <c r="AN86" s="281" t="s">
        <v>3048</v>
      </c>
      <c r="AO86" s="181" t="str">
        <f>VLOOKUP(AP86,Lookup!$C$4:$D$14,2,FALSE)</f>
        <v>Slight Improvement</v>
      </c>
      <c r="AP86" s="193">
        <f>IF(Q86=0,0,IF(Q86&gt;Lookup!$F$63,5,IF(Q86&gt;Lookup!$F$64,4,IF(Q86&gt;Lookup!$F$65,3,IF(Q86&gt;Lookup!$F$66,2,IF(Q86&gt;Lookup!$F$67,1,IF(Q86&gt;Lookup!$F$69,-1,IF(Q86&gt;Lookup!$F$70,-2,IF(Q86&gt;Lookup!$F$71,-3,IF(Q86&gt;Lookup!$F$72,-4,-5))))))))))</f>
        <v>1</v>
      </c>
      <c r="AQ86" s="194" t="str">
        <f>VLOOKUP(AP86,Lookup!$G$63:$J$73,2,FALSE)</f>
        <v>5% or less yield increase</v>
      </c>
      <c r="AR86" s="281" t="s">
        <v>3116</v>
      </c>
      <c r="AS86" s="181" t="str">
        <f>VLOOKUP(AT86,Lookup!$C$4:$D$14,2,FALSE)</f>
        <v>No Effect</v>
      </c>
      <c r="AT86" s="193">
        <f>IF(V86=0,0,IF(V86&lt;Lookup!$F$79,5,IF(V86&lt;Lookup!$F$80,4,IF(V86&lt;Lookup!$F$81,3,IF(V86&lt;Lookup!$F$82,2,IF(V86&lt;Lookup!$F$83,1,IF(V86&lt;Lookup!$F$85,-1,IF(V86&lt;Lookup!$F$86,-2,IF(V86&lt;Lookup!$F$87,-3,IF(V86&lt;Lookup!$F$88,-4,-5))))))))))</f>
        <v>0</v>
      </c>
      <c r="AU86" s="194" t="str">
        <f>VLOOKUP(AT86,Lookup!$G$79:$J$89,2,FALSE)</f>
        <v>No breakeven</v>
      </c>
      <c r="AV86" s="345" t="str">
        <f>VLOOKUP(AT86,Lookup!$G$79:$J$89,4,FALSE)</f>
        <v>Annual costs greater than annual benefits</v>
      </c>
      <c r="AW86" s="181" t="str">
        <f>VLOOKUP(AX86,Lookup!$C$4:$D$14,2,FALSE)</f>
        <v>No Effect</v>
      </c>
      <c r="AX86" s="193">
        <f>VLOOKUP(AY86,Lookup!$G$92:$J$97,4,FALSE)</f>
        <v>0</v>
      </c>
      <c r="AY86" s="181" t="s">
        <v>2642</v>
      </c>
      <c r="AZ86" s="281" t="s">
        <v>3154</v>
      </c>
      <c r="BA86" s="181" t="str">
        <f>VLOOKUP(BB86,Lookup!$C$4:$D$14,2,FALSE)</f>
        <v>No Effect</v>
      </c>
      <c r="BB86" s="193">
        <f>VLOOKUP(BC86,Lookup!$G$100:$K$110,5,FALSE)</f>
        <v>0</v>
      </c>
      <c r="BC86" s="181" t="s">
        <v>2643</v>
      </c>
      <c r="BD86" s="281" t="s">
        <v>3154</v>
      </c>
      <c r="BE86" s="181" t="str">
        <f>VLOOKUP(BF86,Lookup!$C$4:$D$14,2,FALSE)</f>
        <v>Substantial Worsening</v>
      </c>
      <c r="BF86" s="193">
        <f>IF(X86=0,0,IF(X86&gt;Lookup!$F$113,-5,IF(X86&gt;Lookup!$F$114,-4,IF(X86&gt;Lookup!$F$115,-3,IF(X86&gt;Lookup!$F$116,-2,IF(X86&gt;Lookup!$F$117,-1,0))))))</f>
        <v>-5</v>
      </c>
      <c r="BG86" s="195" t="str">
        <f>VLOOKUP(BF86,Lookup!$G$113:$H$118,2,FALSE)</f>
        <v>Annual on-farm equipment costs 75% or greater of enterprise annual net income</v>
      </c>
      <c r="BH86" s="281" t="s">
        <v>1893</v>
      </c>
      <c r="BI86" s="181" t="str">
        <f>VLOOKUP(BJ86,Lookup!$C$4:$D$14,2,FALSE)</f>
        <v>Slight Worsening</v>
      </c>
      <c r="BJ86" s="193">
        <f>VLOOKUP(BK86,Lookup!$G$121:$L$131,6,FALSE)</f>
        <v>-1</v>
      </c>
      <c r="BK86" s="181" t="s">
        <v>2640</v>
      </c>
      <c r="BL86" s="281" t="s">
        <v>3311</v>
      </c>
      <c r="BM86" s="181" t="str">
        <f>VLOOKUP(BN86,Lookup!$C$4:$D$14,2,FALSE)</f>
        <v>Moderate Worsening</v>
      </c>
      <c r="BN86" s="193">
        <f>VLOOKUP(BO86,Lookup!$G$134:$L$144,6,FALSE)</f>
        <v>-3</v>
      </c>
      <c r="BO86" s="181" t="s">
        <v>2654</v>
      </c>
      <c r="BP86" s="281" t="s">
        <v>3402</v>
      </c>
      <c r="BQ86" s="181" t="str">
        <f>VLOOKUP(BR86,Lookup!$C$4:$D$14,2,FALSE)</f>
        <v>Slight to Moderate Improvement</v>
      </c>
      <c r="BR86" s="193">
        <f>VLOOKUP(BS86,Lookup!$G$147:$L$157,6,FALSE)</f>
        <v>2</v>
      </c>
      <c r="BS86" s="181" t="s">
        <v>2641</v>
      </c>
      <c r="BT86" s="281" t="s">
        <v>3465</v>
      </c>
      <c r="BU86" s="175" t="s">
        <v>2231</v>
      </c>
    </row>
    <row r="87" spans="1:73" ht="39.950000000000003" customHeight="1" thickBot="1" x14ac:dyDescent="0.25">
      <c r="A87" s="173">
        <f t="shared" si="12"/>
        <v>85</v>
      </c>
      <c r="B87" s="178" t="s">
        <v>1031</v>
      </c>
      <c r="C87" s="179" t="s">
        <v>1604</v>
      </c>
      <c r="D87" s="180">
        <v>353</v>
      </c>
      <c r="E87" s="180" t="s">
        <v>3646</v>
      </c>
      <c r="F87" s="273" t="str">
        <f>VLOOKUP($D87,'Practice Descriptions'!$E$11:$F$186,2,FALSE)</f>
        <v>A well designed and installed to obtain representative groundwater quality samples and hydrogeologic information.</v>
      </c>
      <c r="G87" s="182">
        <v>1</v>
      </c>
      <c r="H87" s="183">
        <v>500</v>
      </c>
      <c r="I87" s="184">
        <v>1</v>
      </c>
      <c r="J87" s="184">
        <v>0.05</v>
      </c>
      <c r="K87" s="419">
        <f>IF(E87="No.",1,IF(E87="Ac.",1,(SQRT(VLOOKUP(O87,Lookup!$F$9:$H$18,3,FALSE)))*208/VLOOKUP(O87,Lookup!$F$9:$H$18,3,FALSE)))</f>
        <v>1</v>
      </c>
      <c r="L87" s="185" t="str">
        <f t="shared" si="8"/>
        <v/>
      </c>
      <c r="M87" s="184">
        <v>0</v>
      </c>
      <c r="N87" s="186">
        <f>IF(G87=1,H87,PMT(Lookup!$G$4,G87,-H87)+(H87*J87)+(M87*P87))*K87</f>
        <v>500</v>
      </c>
      <c r="O87" s="187" t="s">
        <v>1110</v>
      </c>
      <c r="P87" s="186">
        <f>VLOOKUP($O87,Lookup!$F$9:$I$18,4,FALSE)</f>
        <v>300</v>
      </c>
      <c r="Q87" s="184">
        <v>0</v>
      </c>
      <c r="R87" s="183">
        <v>3</v>
      </c>
      <c r="S87" s="188" t="s">
        <v>3596</v>
      </c>
      <c r="T87" s="186">
        <f t="shared" si="10"/>
        <v>3</v>
      </c>
      <c r="U87" s="189">
        <f t="shared" si="11"/>
        <v>6.0000000000000001E-3</v>
      </c>
      <c r="V87" s="189">
        <f t="shared" si="9"/>
        <v>0</v>
      </c>
      <c r="W87" s="190">
        <f>IF(P87=0,0,IF(Q87+R87=0,0,PV(Lookup!$G$4,G87,-T87)/H87))</f>
        <v>5.7074910820451869E-3</v>
      </c>
      <c r="X87" s="190">
        <f>IF(I87=0,0,PMT(Lookup!$G$4,G87,-(H87*I87*K87))/P87)</f>
        <v>1.7520833333333337</v>
      </c>
      <c r="Y87" s="42" t="s">
        <v>986</v>
      </c>
      <c r="Z87" s="192">
        <f>VLOOKUP(Y87,Lookup!$B$4:$C$14,2,FALSE)</f>
        <v>0</v>
      </c>
      <c r="AA87" s="281" t="s">
        <v>2759</v>
      </c>
      <c r="AB87" s="282" t="s">
        <v>1072</v>
      </c>
      <c r="AC87" s="181" t="str">
        <f>VLOOKUP(AD87,Lookup!$C$4:$D$14,2,FALSE)</f>
        <v>Moderate Worsening</v>
      </c>
      <c r="AD87" s="193">
        <f>IF(P87/H87&lt;Lookup!$F$33,-5,IF(P87/H87&lt;Lookup!$F$32,-4,IF(P87/H87&lt;Lookup!$F$31,-3,IF(P87/H87&lt;Lookup!$F$30,-2,IF(P87/H87&lt;Lookup!$F$29,-1,-5)))))</f>
        <v>-3</v>
      </c>
      <c r="AE87" s="194" t="str">
        <f>VLOOKUP(AD87,Lookup!$G$28:$J$33,2,FALSE)</f>
        <v>One-time practice implementation cost 1 to 2 times enterprise annual net income</v>
      </c>
      <c r="AF87" s="281" t="s">
        <v>2958</v>
      </c>
      <c r="AG87" s="181" t="str">
        <f>VLOOKUP(AH87,Lookup!$C$4:$D$14,2,FALSE)</f>
        <v>Substantial Worsening</v>
      </c>
      <c r="AH87" s="193">
        <f>IF(J87&gt;Lookup!$F$43,-5,IF(J87&gt;Lookup!$F$42,-4,IF(J87&gt;Lookup!$F$41,-3,IF(J87&gt;Lookup!$F$40,-2,IF(J87&gt;Lookup!$F$39,-1,0)))))</f>
        <v>-5</v>
      </c>
      <c r="AI87" s="194" t="str">
        <f>VLOOKUP(AH87,Lookup!$G$38:$J$43,2,FALSE)</f>
        <v>Annual O&amp;M costs greater than 4% of total installation costs</v>
      </c>
      <c r="AJ87" s="281" t="s">
        <v>3005</v>
      </c>
      <c r="AK87" s="181" t="str">
        <f>VLOOKUP(AL87,Lookup!$C$4:$D$14,2,FALSE)</f>
        <v>Substantial Worsening</v>
      </c>
      <c r="AL87" s="346">
        <f>IF(N87=0,0,IF(U87&lt;Lookup!$F$58,-5,IF(U87&lt;Lookup!$F$57,-4,IF(U87&lt;Lookup!$F$56,-3,IF(U87&lt;Lookup!$F$55,-2,IF(U87&lt;Lookup!$F$54,-1,IF(U87&lt;Lookup!$F$53,0,IF(U87&lt;Lookup!$F$52,1,IF(U87&lt;Lookup!$F$51,2,IF(U87&lt;Lookup!$F$50,3,IF(U87&lt;Lookup!$F$49,4,5)))))))))))</f>
        <v>-5</v>
      </c>
      <c r="AM87" s="194" t="str">
        <f>VLOOKUP(AL87,Lookup!$G$48:$J$58,2,FALSE)</f>
        <v>B/C Ratio less than .02</v>
      </c>
      <c r="AN87" s="281" t="s">
        <v>3049</v>
      </c>
      <c r="AO87" s="181" t="str">
        <f>VLOOKUP(AP87,Lookup!$C$4:$D$14,2,FALSE)</f>
        <v>No Effect</v>
      </c>
      <c r="AP87" s="193">
        <f>IF(Q87=0,0,IF(Q87&gt;Lookup!$F$63,5,IF(Q87&gt;Lookup!$F$64,4,IF(Q87&gt;Lookup!$F$65,3,IF(Q87&gt;Lookup!$F$66,2,IF(Q87&gt;Lookup!$F$67,1,IF(Q87&gt;Lookup!$F$69,-1,IF(Q87&gt;Lookup!$F$70,-2,IF(Q87&gt;Lookup!$F$71,-3,IF(Q87&gt;Lookup!$F$72,-4,-5))))))))))</f>
        <v>0</v>
      </c>
      <c r="AQ87" s="194" t="str">
        <f>VLOOKUP(AP87,Lookup!$G$63:$J$73,2,FALSE)</f>
        <v>No change in yield</v>
      </c>
      <c r="AR87" s="281" t="s">
        <v>3081</v>
      </c>
      <c r="AS87" s="181" t="str">
        <f>VLOOKUP(AT87,Lookup!$C$4:$D$14,2,FALSE)</f>
        <v>No Effect</v>
      </c>
      <c r="AT87" s="193">
        <f>IF(V87=0,0,IF(V87&lt;Lookup!$F$79,5,IF(V87&lt;Lookup!$F$80,4,IF(V87&lt;Lookup!$F$81,3,IF(V87&lt;Lookup!$F$82,2,IF(V87&lt;Lookup!$F$83,1,IF(V87&lt;Lookup!$F$85,-1,IF(V87&lt;Lookup!$F$86,-2,IF(V87&lt;Lookup!$F$87,-3,IF(V87&lt;Lookup!$F$88,-4,-5))))))))))</f>
        <v>0</v>
      </c>
      <c r="AU87" s="194" t="str">
        <f>VLOOKUP(AT87,Lookup!$G$79:$J$89,2,FALSE)</f>
        <v>No breakeven</v>
      </c>
      <c r="AV87" s="345" t="str">
        <f>VLOOKUP(AT87,Lookup!$G$79:$J$89,4,FALSE)</f>
        <v>Annual costs greater than annual benefits</v>
      </c>
      <c r="AW87" s="181" t="str">
        <f>VLOOKUP(AX87,Lookup!$C$4:$D$14,2,FALSE)</f>
        <v>No Effect</v>
      </c>
      <c r="AX87" s="193">
        <f>VLOOKUP(AY87,Lookup!$G$92:$J$97,4,FALSE)</f>
        <v>0</v>
      </c>
      <c r="AY87" s="181" t="s">
        <v>2642</v>
      </c>
      <c r="AZ87" s="281" t="s">
        <v>3154</v>
      </c>
      <c r="BA87" s="181" t="str">
        <f>VLOOKUP(BB87,Lookup!$C$4:$D$14,2,FALSE)</f>
        <v>No Effect</v>
      </c>
      <c r="BB87" s="193">
        <f>VLOOKUP(BC87,Lookup!$G$100:$K$110,5,FALSE)</f>
        <v>0</v>
      </c>
      <c r="BC87" s="181" t="s">
        <v>2643</v>
      </c>
      <c r="BD87" s="281" t="s">
        <v>3154</v>
      </c>
      <c r="BE87" s="181" t="str">
        <f>VLOOKUP(BF87,Lookup!$C$4:$D$14,2,FALSE)</f>
        <v>Substantial Worsening</v>
      </c>
      <c r="BF87" s="193">
        <f>IF(X87=0,0,IF(X87&gt;Lookup!$F$113,-5,IF(X87&gt;Lookup!$F$114,-4,IF(X87&gt;Lookup!$F$115,-3,IF(X87&gt;Lookup!$F$116,-2,IF(X87&gt;Lookup!$F$117,-1,0))))))</f>
        <v>-5</v>
      </c>
      <c r="BG87" s="195" t="str">
        <f>VLOOKUP(BF87,Lookup!$G$113:$H$118,2,FALSE)</f>
        <v>Annual on-farm equipment costs 75% or greater of enterprise annual net income</v>
      </c>
      <c r="BH87" s="281" t="s">
        <v>1893</v>
      </c>
      <c r="BI87" s="181" t="str">
        <f>VLOOKUP(BJ87,Lookup!$C$4:$D$14,2,FALSE)</f>
        <v>Slight Worsening</v>
      </c>
      <c r="BJ87" s="193">
        <f>VLOOKUP(BK87,Lookup!$G$121:$L$131,6,FALSE)</f>
        <v>-1</v>
      </c>
      <c r="BK87" s="181" t="s">
        <v>2640</v>
      </c>
      <c r="BL87" s="281" t="s">
        <v>3311</v>
      </c>
      <c r="BM87" s="181" t="str">
        <f>VLOOKUP(BN87,Lookup!$C$4:$D$14,2,FALSE)</f>
        <v>Slight to Moderate Worsening</v>
      </c>
      <c r="BN87" s="193">
        <f>VLOOKUP(BO87,Lookup!$G$134:$L$144,6,FALSE)</f>
        <v>-2</v>
      </c>
      <c r="BO87" s="181" t="s">
        <v>3374</v>
      </c>
      <c r="BP87" s="281" t="s">
        <v>3362</v>
      </c>
      <c r="BQ87" s="181" t="str">
        <f>VLOOKUP(BR87,Lookup!$C$4:$D$14,2,FALSE)</f>
        <v>Slight to Moderate Improvement</v>
      </c>
      <c r="BR87" s="193">
        <f>VLOOKUP(BS87,Lookup!$G$147:$L$157,6,FALSE)</f>
        <v>2</v>
      </c>
      <c r="BS87" s="181" t="s">
        <v>2641</v>
      </c>
      <c r="BT87" s="281" t="s">
        <v>3466</v>
      </c>
      <c r="BU87" s="175" t="s">
        <v>2231</v>
      </c>
    </row>
    <row r="88" spans="1:73" ht="39.950000000000003" customHeight="1" thickBot="1" x14ac:dyDescent="0.25">
      <c r="A88" s="173">
        <f t="shared" si="12"/>
        <v>86</v>
      </c>
      <c r="B88" s="178" t="s">
        <v>1032</v>
      </c>
      <c r="C88" s="179" t="s">
        <v>1605</v>
      </c>
      <c r="D88" s="180">
        <v>484</v>
      </c>
      <c r="E88" s="180" t="s">
        <v>3646</v>
      </c>
      <c r="F88" s="273" t="str">
        <f>VLOOKUP($D88,'Practice Descriptions'!$E$11:$F$186,2,FALSE)</f>
        <v>Applying plant residues or other suitable materials produced off site, to the land surface</v>
      </c>
      <c r="G88" s="182">
        <v>1</v>
      </c>
      <c r="H88" s="183">
        <v>35</v>
      </c>
      <c r="I88" s="184">
        <v>0</v>
      </c>
      <c r="J88" s="184">
        <v>0</v>
      </c>
      <c r="K88" s="419">
        <f>IF(E88="No.",1,IF(E88="Ac.",1,(SQRT(VLOOKUP(O88,Lookup!$F$9:$H$18,3,FALSE)))*208/VLOOKUP(O88,Lookup!$F$9:$H$18,3,FALSE)))</f>
        <v>1</v>
      </c>
      <c r="L88" s="185" t="str">
        <f t="shared" si="8"/>
        <v/>
      </c>
      <c r="M88" s="184">
        <v>0</v>
      </c>
      <c r="N88" s="186">
        <f>IF(G88=1,H88,PMT(Lookup!$G$4,G88,-H88)+(H88*J88)+(M88*P88))*K88</f>
        <v>35</v>
      </c>
      <c r="O88" s="187" t="s">
        <v>1110</v>
      </c>
      <c r="P88" s="186">
        <f>VLOOKUP($O88,Lookup!$F$9:$I$18,4,FALSE)</f>
        <v>300</v>
      </c>
      <c r="Q88" s="184">
        <v>0.1</v>
      </c>
      <c r="R88" s="183">
        <v>0</v>
      </c>
      <c r="S88" s="188"/>
      <c r="T88" s="186">
        <f t="shared" si="10"/>
        <v>30</v>
      </c>
      <c r="U88" s="189">
        <f t="shared" si="11"/>
        <v>0.8571428571428571</v>
      </c>
      <c r="V88" s="189">
        <f t="shared" si="9"/>
        <v>0</v>
      </c>
      <c r="W88" s="190">
        <f>IF(P88=0,0,IF(Q88+R88=0,0,PV(Lookup!$G$4,G88,-T88)/H88))</f>
        <v>0.81535586886359812</v>
      </c>
      <c r="X88" s="190">
        <f>IF(I88=0,0,PMT(Lookup!$G$4,G88,-(H88*I88*K88))/P88)</f>
        <v>0</v>
      </c>
      <c r="Y88" s="42" t="s">
        <v>963</v>
      </c>
      <c r="Z88" s="192">
        <f>VLOOKUP(Y88,Lookup!$B$4:$C$14,2,FALSE)</f>
        <v>2</v>
      </c>
      <c r="AA88" s="281" t="s">
        <v>900</v>
      </c>
      <c r="AB88" s="282" t="s">
        <v>1072</v>
      </c>
      <c r="AC88" s="181" t="str">
        <f>VLOOKUP(AD88,Lookup!$C$4:$D$14,2,FALSE)</f>
        <v>Slight to Moderate Worsening</v>
      </c>
      <c r="AD88" s="193">
        <f>IF(P88/H88&lt;Lookup!$F$33,-5,IF(P88/H88&lt;Lookup!$F$32,-4,IF(P88/H88&lt;Lookup!$F$31,-3,IF(P88/H88&lt;Lookup!$F$30,-2,IF(P88/H88&lt;Lookup!$F$29,-1,-5)))))</f>
        <v>-2</v>
      </c>
      <c r="AE88" s="194" t="str">
        <f>VLOOKUP(AD88,Lookup!$G$28:$J$33,2,FALSE)</f>
        <v>One-time practice implementation cost 5 to 100% of enterprise annual net income</v>
      </c>
      <c r="AF88" s="281" t="s">
        <v>2957</v>
      </c>
      <c r="AG88" s="181" t="str">
        <f>VLOOKUP(AH88,Lookup!$C$4:$D$14,2,FALSE)</f>
        <v>No Effect</v>
      </c>
      <c r="AH88" s="193">
        <f>IF(J88&gt;Lookup!$F$43,-5,IF(J88&gt;Lookup!$F$42,-4,IF(J88&gt;Lookup!$F$41,-3,IF(J88&gt;Lookup!$F$40,-2,IF(J88&gt;Lookup!$F$39,-1,0)))))</f>
        <v>0</v>
      </c>
      <c r="AI88" s="194" t="str">
        <f>VLOOKUP(AH88,Lookup!$G$38:$J$43,2,FALSE)</f>
        <v>No O&amp;M costs</v>
      </c>
      <c r="AJ88" s="281" t="s">
        <v>3005</v>
      </c>
      <c r="AK88" s="181" t="str">
        <f>VLOOKUP(AL88,Lookup!$C$4:$D$14,2,FALSE)</f>
        <v>No Effect</v>
      </c>
      <c r="AL88" s="346">
        <f>IF(N88=0,0,IF(U88&lt;Lookup!$F$58,-5,IF(U88&lt;Lookup!$F$57,-4,IF(U88&lt;Lookup!$F$56,-3,IF(U88&lt;Lookup!$F$55,-2,IF(U88&lt;Lookup!$F$54,-1,IF(U88&lt;Lookup!$F$53,0,IF(U88&lt;Lookup!$F$52,1,IF(U88&lt;Lookup!$F$51,2,IF(U88&lt;Lookup!$F$50,3,IF(U88&lt;Lookup!$F$49,4,5)))))))))))</f>
        <v>0</v>
      </c>
      <c r="AM88" s="194" t="str">
        <f>VLOOKUP(AL88,Lookup!$G$48:$J$58,2,FALSE)</f>
        <v>B/C Ratio .75 to 1.25</v>
      </c>
      <c r="AN88" s="281" t="s">
        <v>3050</v>
      </c>
      <c r="AO88" s="181" t="str">
        <f>VLOOKUP(AP88,Lookup!$C$4:$D$14,2,FALSE)</f>
        <v>Slight to Moderate Improvement</v>
      </c>
      <c r="AP88" s="193">
        <f>IF(Q88=0,0,IF(Q88&gt;Lookup!$F$63,5,IF(Q88&gt;Lookup!$F$64,4,IF(Q88&gt;Lookup!$F$65,3,IF(Q88&gt;Lookup!$F$66,2,IF(Q88&gt;Lookup!$F$67,1,IF(Q88&gt;Lookup!$F$69,-1,IF(Q88&gt;Lookup!$F$70,-2,IF(Q88&gt;Lookup!$F$71,-3,IF(Q88&gt;Lookup!$F$72,-4,-5))))))))))</f>
        <v>2</v>
      </c>
      <c r="AQ88" s="194" t="str">
        <f>VLOOKUP(AP88,Lookup!$G$63:$J$73,2,FALSE)</f>
        <v>5 to 10% yield increase</v>
      </c>
      <c r="AR88" s="281" t="s">
        <v>3117</v>
      </c>
      <c r="AS88" s="181" t="str">
        <f>VLOOKUP(AT88,Lookup!$C$4:$D$14,2,FALSE)</f>
        <v>No Effect</v>
      </c>
      <c r="AT88" s="193">
        <f>IF(V88=0,0,IF(V88&lt;Lookup!$F$79,5,IF(V88&lt;Lookup!$F$80,4,IF(V88&lt;Lookup!$F$81,3,IF(V88&lt;Lookup!$F$82,2,IF(V88&lt;Lookup!$F$83,1,IF(V88&lt;Lookup!$F$85,-1,IF(V88&lt;Lookup!$F$86,-2,IF(V88&lt;Lookup!$F$87,-3,IF(V88&lt;Lookup!$F$88,-4,-5))))))))))</f>
        <v>0</v>
      </c>
      <c r="AU88" s="194" t="str">
        <f>VLOOKUP(AT88,Lookup!$G$79:$J$89,2,FALSE)</f>
        <v>No breakeven</v>
      </c>
      <c r="AV88" s="345" t="str">
        <f>VLOOKUP(AT88,Lookup!$G$79:$J$89,4,FALSE)</f>
        <v>Annual costs greater than annual benefits</v>
      </c>
      <c r="AW88" s="181" t="str">
        <f>VLOOKUP(AX88,Lookup!$C$4:$D$14,2,FALSE)</f>
        <v>No Effect</v>
      </c>
      <c r="AX88" s="193">
        <f>VLOOKUP(AY88,Lookup!$G$92:$J$97,4,FALSE)</f>
        <v>0</v>
      </c>
      <c r="AY88" s="181" t="s">
        <v>2642</v>
      </c>
      <c r="AZ88" s="281" t="s">
        <v>3154</v>
      </c>
      <c r="BA88" s="181" t="str">
        <f>VLOOKUP(BB88,Lookup!$C$4:$D$14,2,FALSE)</f>
        <v>No Effect</v>
      </c>
      <c r="BB88" s="193">
        <f>VLOOKUP(BC88,Lookup!$G$100:$K$110,5,FALSE)</f>
        <v>0</v>
      </c>
      <c r="BC88" s="181" t="s">
        <v>2643</v>
      </c>
      <c r="BD88" s="281" t="s">
        <v>3154</v>
      </c>
      <c r="BE88" s="181" t="str">
        <f>VLOOKUP(BF88,Lookup!$C$4:$D$14,2,FALSE)</f>
        <v>No Effect</v>
      </c>
      <c r="BF88" s="193">
        <f>IF(X88=0,0,IF(X88&gt;Lookup!$F$113,-5,IF(X88&gt;Lookup!$F$114,-4,IF(X88&gt;Lookup!$F$115,-3,IF(X88&gt;Lookup!$F$116,-2,IF(X88&gt;Lookup!$F$117,-1,0))))))</f>
        <v>0</v>
      </c>
      <c r="BG88" s="195" t="str">
        <f>VLOOKUP(BF88,Lookup!$G$113:$H$118,2,FALSE)</f>
        <v>No change in on-farm equipment</v>
      </c>
      <c r="BH88" s="281" t="s">
        <v>1849</v>
      </c>
      <c r="BI88" s="181" t="str">
        <f>VLOOKUP(BJ88,Lookup!$C$4:$D$14,2,FALSE)</f>
        <v>Slight Worsening</v>
      </c>
      <c r="BJ88" s="193">
        <f>VLOOKUP(BK88,Lookup!$G$121:$L$131,6,FALSE)</f>
        <v>-1</v>
      </c>
      <c r="BK88" s="181" t="s">
        <v>2640</v>
      </c>
      <c r="BL88" s="281" t="s">
        <v>3548</v>
      </c>
      <c r="BM88" s="181" t="str">
        <f>VLOOKUP(BN88,Lookup!$C$4:$D$14,2,FALSE)</f>
        <v>No Effect</v>
      </c>
      <c r="BN88" s="193">
        <f>VLOOKUP(BO88,Lookup!$G$134:$L$144,6,FALSE)</f>
        <v>0</v>
      </c>
      <c r="BO88" s="181" t="s">
        <v>2646</v>
      </c>
      <c r="BP88" s="281" t="s">
        <v>3154</v>
      </c>
      <c r="BQ88" s="181" t="str">
        <f>VLOOKUP(BR88,Lookup!$C$4:$D$14,2,FALSE)</f>
        <v>Slight to Moderate Improvement</v>
      </c>
      <c r="BR88" s="193">
        <f>VLOOKUP(BS88,Lookup!$G$147:$L$157,6,FALSE)</f>
        <v>2</v>
      </c>
      <c r="BS88" s="181" t="s">
        <v>2641</v>
      </c>
      <c r="BT88" s="281" t="s">
        <v>3464</v>
      </c>
      <c r="BU88" s="175" t="s">
        <v>2231</v>
      </c>
    </row>
    <row r="89" spans="1:73" ht="39.950000000000003" customHeight="1" thickBot="1" x14ac:dyDescent="0.25">
      <c r="A89" s="173">
        <f t="shared" si="12"/>
        <v>87</v>
      </c>
      <c r="B89" s="178" t="s">
        <v>1218</v>
      </c>
      <c r="C89" s="179" t="s">
        <v>1598</v>
      </c>
      <c r="D89" s="180">
        <v>379</v>
      </c>
      <c r="E89" s="180" t="s">
        <v>3646</v>
      </c>
      <c r="F89" s="273" t="str">
        <f>VLOOKUP($D89,'Practice Descriptions'!$E$11:$F$186,2,FALSE)</f>
        <v>Existing or planted stands of trees or shrubs that are managed as an overstory with an understory of woody and/or non-woody plants that are grown for a variety of products.</v>
      </c>
      <c r="G89" s="182">
        <v>1</v>
      </c>
      <c r="H89" s="183">
        <v>20</v>
      </c>
      <c r="I89" s="184">
        <v>0.01</v>
      </c>
      <c r="J89" s="184">
        <v>0</v>
      </c>
      <c r="K89" s="419">
        <f>IF(E89="No.",1,IF(E89="Ac.",1,(SQRT(VLOOKUP(O89,Lookup!$F$9:$H$18,3,FALSE)))*208/VLOOKUP(O89,Lookup!$F$9:$H$18,3,FALSE)))</f>
        <v>1</v>
      </c>
      <c r="L89" s="185" t="str">
        <f t="shared" si="8"/>
        <v/>
      </c>
      <c r="M89" s="184">
        <v>0</v>
      </c>
      <c r="N89" s="186">
        <f>IF(G89=1,H89,PMT(Lookup!$G$4,G89,-H89)+(H89*J89)+(M89*P89))*K89</f>
        <v>20</v>
      </c>
      <c r="O89" s="187" t="s">
        <v>1110</v>
      </c>
      <c r="P89" s="186">
        <f>VLOOKUP($O89,Lookup!$F$9:$I$18,4,FALSE)</f>
        <v>300</v>
      </c>
      <c r="Q89" s="184">
        <v>0.1</v>
      </c>
      <c r="R89" s="183">
        <v>0</v>
      </c>
      <c r="S89" s="188"/>
      <c r="T89" s="186">
        <f t="shared" si="10"/>
        <v>30</v>
      </c>
      <c r="U89" s="189">
        <f t="shared" si="11"/>
        <v>1.5</v>
      </c>
      <c r="V89" s="189">
        <f t="shared" si="9"/>
        <v>0.66666666666666663</v>
      </c>
      <c r="W89" s="190">
        <f>IF(P89=0,0,IF(Q89+R89=0,0,PV(Lookup!$G$4,G89,-T89)/H89))</f>
        <v>1.4268727705112967</v>
      </c>
      <c r="X89" s="190">
        <f>IF(I89=0,0,PMT(Lookup!$G$4,G89,-(H89*I89*K89))/P89)</f>
        <v>7.0083333333333347E-4</v>
      </c>
      <c r="Y89" s="42" t="s">
        <v>986</v>
      </c>
      <c r="Z89" s="192">
        <f>VLOOKUP(Y89,Lookup!$B$4:$C$14,2,FALSE)</f>
        <v>0</v>
      </c>
      <c r="AA89" s="281" t="s">
        <v>2759</v>
      </c>
      <c r="AB89" s="282" t="s">
        <v>1072</v>
      </c>
      <c r="AC89" s="181" t="str">
        <f>VLOOKUP(AD89,Lookup!$C$4:$D$14,2,FALSE)</f>
        <v>Slight to Moderate Worsening</v>
      </c>
      <c r="AD89" s="193">
        <f>IF(P89/H89&lt;Lookup!$F$33,-5,IF(P89/H89&lt;Lookup!$F$32,-4,IF(P89/H89&lt;Lookup!$F$31,-3,IF(P89/H89&lt;Lookup!$F$30,-2,IF(P89/H89&lt;Lookup!$F$29,-1,-5)))))</f>
        <v>-2</v>
      </c>
      <c r="AE89" s="194" t="str">
        <f>VLOOKUP(AD89,Lookup!$G$28:$J$33,2,FALSE)</f>
        <v>One-time practice implementation cost 5 to 100% of enterprise annual net income</v>
      </c>
      <c r="AF89" s="281" t="s">
        <v>1894</v>
      </c>
      <c r="AG89" s="181" t="str">
        <f>VLOOKUP(AH89,Lookup!$C$4:$D$14,2,FALSE)</f>
        <v>No Effect</v>
      </c>
      <c r="AH89" s="193">
        <f>IF(J89&gt;Lookup!$F$43,-5,IF(J89&gt;Lookup!$F$42,-4,IF(J89&gt;Lookup!$F$41,-3,IF(J89&gt;Lookup!$F$40,-2,IF(J89&gt;Lookup!$F$39,-1,0)))))</f>
        <v>0</v>
      </c>
      <c r="AI89" s="194" t="str">
        <f>VLOOKUP(AH89,Lookup!$G$38:$J$43,2,FALSE)</f>
        <v>No O&amp;M costs</v>
      </c>
      <c r="AJ89" s="281" t="s">
        <v>3005</v>
      </c>
      <c r="AK89" s="181" t="str">
        <f>VLOOKUP(AL89,Lookup!$C$4:$D$14,2,FALSE)</f>
        <v>Slight to Moderate Improvement</v>
      </c>
      <c r="AL89" s="346">
        <f>IF(N89=0,0,IF(U89&lt;Lookup!$F$58,-5,IF(U89&lt;Lookup!$F$57,-4,IF(U89&lt;Lookup!$F$56,-3,IF(U89&lt;Lookup!$F$55,-2,IF(U89&lt;Lookup!$F$54,-1,IF(U89&lt;Lookup!$F$53,0,IF(U89&lt;Lookup!$F$52,1,IF(U89&lt;Lookup!$F$51,2,IF(U89&lt;Lookup!$F$50,3,IF(U89&lt;Lookup!$F$49,4,5)))))))))))</f>
        <v>2</v>
      </c>
      <c r="AM89" s="194" t="str">
        <f>VLOOKUP(AL89,Lookup!$G$48:$J$58,2,FALSE)</f>
        <v>B/C Ratio 1.50 to 1.75</v>
      </c>
      <c r="AN89" s="281" t="s">
        <v>3051</v>
      </c>
      <c r="AO89" s="181" t="str">
        <f>VLOOKUP(AP89,Lookup!$C$4:$D$14,2,FALSE)</f>
        <v>Slight to Moderate Improvement</v>
      </c>
      <c r="AP89" s="193">
        <f>IF(Q89=0,0,IF(Q89&gt;Lookup!$F$63,5,IF(Q89&gt;Lookup!$F$64,4,IF(Q89&gt;Lookup!$F$65,3,IF(Q89&gt;Lookup!$F$66,2,IF(Q89&gt;Lookup!$F$67,1,IF(Q89&gt;Lookup!$F$69,-1,IF(Q89&gt;Lookup!$F$70,-2,IF(Q89&gt;Lookup!$F$71,-3,IF(Q89&gt;Lookup!$F$72,-4,-5))))))))))</f>
        <v>2</v>
      </c>
      <c r="AQ89" s="194" t="str">
        <f>VLOOKUP(AP89,Lookup!$G$63:$J$73,2,FALSE)</f>
        <v>5 to 10% yield increase</v>
      </c>
      <c r="AR89" s="281" t="s">
        <v>3118</v>
      </c>
      <c r="AS89" s="181" t="str">
        <f>VLOOKUP(AT89,Lookup!$C$4:$D$14,2,FALSE)</f>
        <v>Substantial Improvement</v>
      </c>
      <c r="AT89" s="193">
        <f>IF(V89=0,0,IF(V89&lt;Lookup!$F$79,5,IF(V89&lt;Lookup!$F$80,4,IF(V89&lt;Lookup!$F$81,3,IF(V89&lt;Lookup!$F$82,2,IF(V89&lt;Lookup!$F$83,1,IF(V89&lt;Lookup!$F$85,-1,IF(V89&lt;Lookup!$F$86,-2,IF(V89&lt;Lookup!$F$87,-3,IF(V89&lt;Lookup!$F$88,-4,-5))))))))))</f>
        <v>5</v>
      </c>
      <c r="AU89" s="194" t="str">
        <f>VLOOKUP(AT89,Lookup!$G$79:$J$89,2,FALSE)</f>
        <v>1 or less years to breakeven</v>
      </c>
      <c r="AV89" s="345" t="str">
        <f>VLOOKUP(AT89,Lookup!$G$79:$J$89,4,FALSE)</f>
        <v>Annual benefits significantly greater than annual costs</v>
      </c>
      <c r="AW89" s="181" t="str">
        <f>VLOOKUP(AX89,Lookup!$C$4:$D$14,2,FALSE)</f>
        <v>Moderate Improvement</v>
      </c>
      <c r="AX89" s="193">
        <f>VLOOKUP(AY89,Lookup!$G$92:$J$97,4,FALSE)</f>
        <v>3</v>
      </c>
      <c r="AY89" s="181" t="s">
        <v>2631</v>
      </c>
      <c r="AZ89" s="281" t="s">
        <v>3155</v>
      </c>
      <c r="BA89" s="181" t="str">
        <f>VLOOKUP(BB89,Lookup!$C$4:$D$14,2,FALSE)</f>
        <v>Moderate Improvement</v>
      </c>
      <c r="BB89" s="193">
        <f>VLOOKUP(BC89,Lookup!$G$100:$K$110,5,FALSE)</f>
        <v>3</v>
      </c>
      <c r="BC89" s="181" t="s">
        <v>2644</v>
      </c>
      <c r="BD89" s="281" t="s">
        <v>3202</v>
      </c>
      <c r="BE89" s="181" t="str">
        <f>VLOOKUP(BF89,Lookup!$C$4:$D$14,2,FALSE)</f>
        <v>Slight Worsening</v>
      </c>
      <c r="BF89" s="193">
        <f>IF(X89=0,0,IF(X89&gt;Lookup!$F$113,-5,IF(X89&gt;Lookup!$F$114,-4,IF(X89&gt;Lookup!$F$115,-3,IF(X89&gt;Lookup!$F$116,-2,IF(X89&gt;Lookup!$F$117,-1,0))))))</f>
        <v>-1</v>
      </c>
      <c r="BG89" s="195" t="str">
        <f>VLOOKUP(BF89,Lookup!$G$113:$H$118,2,FALSE)</f>
        <v>Annual on-farm equipment costs 5% or less of enterprise annual net income</v>
      </c>
      <c r="BH89" s="281" t="s">
        <v>1913</v>
      </c>
      <c r="BI89" s="181" t="str">
        <f>VLOOKUP(BJ89,Lookup!$C$4:$D$14,2,FALSE)</f>
        <v>Slight Worsening</v>
      </c>
      <c r="BJ89" s="193">
        <f>VLOOKUP(BK89,Lookup!$G$121:$L$131,6,FALSE)</f>
        <v>-1</v>
      </c>
      <c r="BK89" s="181" t="s">
        <v>2640</v>
      </c>
      <c r="BL89" s="281" t="s">
        <v>3311</v>
      </c>
      <c r="BM89" s="181" t="str">
        <f>VLOOKUP(BN89,Lookup!$C$4:$D$14,2,FALSE)</f>
        <v>Slight to Moderate Worsening</v>
      </c>
      <c r="BN89" s="193">
        <f>VLOOKUP(BO89,Lookup!$G$134:$L$144,6,FALSE)</f>
        <v>-2</v>
      </c>
      <c r="BO89" s="181" t="s">
        <v>3374</v>
      </c>
      <c r="BP89" s="281" t="s">
        <v>3403</v>
      </c>
      <c r="BQ89" s="181" t="str">
        <f>VLOOKUP(BR89,Lookup!$C$4:$D$14,2,FALSE)</f>
        <v>Slight Worsening</v>
      </c>
      <c r="BR89" s="193">
        <f>VLOOKUP(BS89,Lookup!$G$147:$L$157,6,FALSE)</f>
        <v>-1</v>
      </c>
      <c r="BS89" s="181" t="s">
        <v>2658</v>
      </c>
      <c r="BT89" s="281" t="s">
        <v>3467</v>
      </c>
      <c r="BU89" s="175" t="s">
        <v>2231</v>
      </c>
    </row>
    <row r="90" spans="1:73" ht="39.950000000000003" customHeight="1" thickBot="1" x14ac:dyDescent="0.25">
      <c r="A90" s="173">
        <f t="shared" si="12"/>
        <v>88</v>
      </c>
      <c r="B90" s="178" t="s">
        <v>1596</v>
      </c>
      <c r="C90" s="179" t="s">
        <v>1461</v>
      </c>
      <c r="D90" s="180">
        <v>590</v>
      </c>
      <c r="E90" s="180" t="s">
        <v>3646</v>
      </c>
      <c r="F90" s="273" t="str">
        <f>VLOOKUP($D90,'Practice Descriptions'!$E$11:$F$186,2,FALSE)</f>
        <v>Managing the amount (rate), source, placement (method of application), and timing of plant nutrients and soil amendments.</v>
      </c>
      <c r="G90" s="182">
        <v>1</v>
      </c>
      <c r="H90" s="183">
        <v>10</v>
      </c>
      <c r="I90" s="184">
        <v>0.01</v>
      </c>
      <c r="J90" s="184">
        <v>0.05</v>
      </c>
      <c r="K90" s="419">
        <f>IF(E90="No.",1,IF(E90="Ac.",1,(SQRT(VLOOKUP(O90,Lookup!$F$9:$H$18,3,FALSE)))*208/VLOOKUP(O90,Lookup!$F$9:$H$18,3,FALSE)))</f>
        <v>1</v>
      </c>
      <c r="L90" s="185" t="str">
        <f t="shared" si="8"/>
        <v/>
      </c>
      <c r="M90" s="184">
        <v>0</v>
      </c>
      <c r="N90" s="186">
        <f>IF(G90=1,H90,PMT(Lookup!$G$4,G90,-H90)+(H90*J90)+(M90*P90))*K90</f>
        <v>10</v>
      </c>
      <c r="O90" s="187" t="s">
        <v>1110</v>
      </c>
      <c r="P90" s="186">
        <f>VLOOKUP($O90,Lookup!$F$9:$I$18,4,FALSE)</f>
        <v>300</v>
      </c>
      <c r="Q90" s="184">
        <v>0.02</v>
      </c>
      <c r="R90" s="183">
        <v>5</v>
      </c>
      <c r="S90" s="188" t="s">
        <v>3597</v>
      </c>
      <c r="T90" s="186">
        <f t="shared" si="10"/>
        <v>11</v>
      </c>
      <c r="U90" s="189">
        <f t="shared" si="11"/>
        <v>1.1000000000000001</v>
      </c>
      <c r="V90" s="189">
        <f t="shared" si="9"/>
        <v>0.90909090909090906</v>
      </c>
      <c r="W90" s="190">
        <f>IF(P90=0,0,IF(Q90+R90=0,0,PV(Lookup!$G$4,G90,-T90)/H90))</f>
        <v>1.0463733650416176</v>
      </c>
      <c r="X90" s="190">
        <f>IF(I90=0,0,PMT(Lookup!$G$4,G90,-(H90*I90*K90))/P90)</f>
        <v>3.5041666666666674E-4</v>
      </c>
      <c r="Y90" s="42" t="s">
        <v>963</v>
      </c>
      <c r="Z90" s="192">
        <f>VLOOKUP(Y90,Lookup!$B$4:$C$14,2,FALSE)</f>
        <v>2</v>
      </c>
      <c r="AA90" s="281" t="s">
        <v>1906</v>
      </c>
      <c r="AB90" s="282" t="s">
        <v>1072</v>
      </c>
      <c r="AC90" s="181" t="str">
        <f>VLOOKUP(AD90,Lookup!$C$4:$D$14,2,FALSE)</f>
        <v>Slight Worsening</v>
      </c>
      <c r="AD90" s="193">
        <f>IF(P90/H90&lt;Lookup!$F$33,-5,IF(P90/H90&lt;Lookup!$F$32,-4,IF(P90/H90&lt;Lookup!$F$31,-3,IF(P90/H90&lt;Lookup!$F$30,-2,IF(P90/H90&lt;Lookup!$F$29,-1,-5)))))</f>
        <v>-1</v>
      </c>
      <c r="AE90" s="194" t="str">
        <f>VLOOKUP(AD90,Lookup!$G$28:$J$33,2,FALSE)</f>
        <v>One-time practice implementation cost 5% or less of enterprise annual net income</v>
      </c>
      <c r="AF90" s="281" t="s">
        <v>2966</v>
      </c>
      <c r="AG90" s="181" t="str">
        <f>VLOOKUP(AH90,Lookup!$C$4:$D$14,2,FALSE)</f>
        <v>Substantial Worsening</v>
      </c>
      <c r="AH90" s="193">
        <f>IF(J90&gt;Lookup!$F$43,-5,IF(J90&gt;Lookup!$F$42,-4,IF(J90&gt;Lookup!$F$41,-3,IF(J90&gt;Lookup!$F$40,-2,IF(J90&gt;Lookup!$F$39,-1,0)))))</f>
        <v>-5</v>
      </c>
      <c r="AI90" s="194" t="str">
        <f>VLOOKUP(AH90,Lookup!$G$38:$J$43,2,FALSE)</f>
        <v>Annual O&amp;M costs greater than 4% of total installation costs</v>
      </c>
      <c r="AJ90" s="281" t="s">
        <v>3005</v>
      </c>
      <c r="AK90" s="181" t="str">
        <f>VLOOKUP(AL90,Lookup!$C$4:$D$14,2,FALSE)</f>
        <v>No Effect</v>
      </c>
      <c r="AL90" s="346">
        <f>IF(N90=0,0,IF(U90&lt;Lookup!$F$58,-5,IF(U90&lt;Lookup!$F$57,-4,IF(U90&lt;Lookup!$F$56,-3,IF(U90&lt;Lookup!$F$55,-2,IF(U90&lt;Lookup!$F$54,-1,IF(U90&lt;Lookup!$F$53,0,IF(U90&lt;Lookup!$F$52,1,IF(U90&lt;Lookup!$F$51,2,IF(U90&lt;Lookup!$F$50,3,IF(U90&lt;Lookup!$F$49,4,5)))))))))))</f>
        <v>0</v>
      </c>
      <c r="AM90" s="194" t="str">
        <f>VLOOKUP(AL90,Lookup!$G$48:$J$58,2,FALSE)</f>
        <v>B/C Ratio .75 to 1.25</v>
      </c>
      <c r="AN90" s="281" t="s">
        <v>3052</v>
      </c>
      <c r="AO90" s="181" t="str">
        <f>VLOOKUP(AP90,Lookup!$C$4:$D$14,2,FALSE)</f>
        <v>Slight Improvement</v>
      </c>
      <c r="AP90" s="193">
        <f>IF(Q90=0,0,IF(Q90&gt;Lookup!$F$63,5,IF(Q90&gt;Lookup!$F$64,4,IF(Q90&gt;Lookup!$F$65,3,IF(Q90&gt;Lookup!$F$66,2,IF(Q90&gt;Lookup!$F$67,1,IF(Q90&gt;Lookup!$F$69,-1,IF(Q90&gt;Lookup!$F$70,-2,IF(Q90&gt;Lookup!$F$71,-3,IF(Q90&gt;Lookup!$F$72,-4,-5))))))))))</f>
        <v>1</v>
      </c>
      <c r="AQ90" s="194" t="str">
        <f>VLOOKUP(AP90,Lookup!$G$63:$J$73,2,FALSE)</f>
        <v>5% or less yield increase</v>
      </c>
      <c r="AR90" s="281" t="s">
        <v>3119</v>
      </c>
      <c r="AS90" s="181" t="str">
        <f>VLOOKUP(AT90,Lookup!$C$4:$D$14,2,FALSE)</f>
        <v>Substantial Improvement</v>
      </c>
      <c r="AT90" s="193">
        <f>IF(V90=0,0,IF(V90&lt;Lookup!$F$79,5,IF(V90&lt;Lookup!$F$80,4,IF(V90&lt;Lookup!$F$81,3,IF(V90&lt;Lookup!$F$82,2,IF(V90&lt;Lookup!$F$83,1,IF(V90&lt;Lookup!$F$85,-1,IF(V90&lt;Lookup!$F$86,-2,IF(V90&lt;Lookup!$F$87,-3,IF(V90&lt;Lookup!$F$88,-4,-5))))))))))</f>
        <v>5</v>
      </c>
      <c r="AU90" s="194" t="str">
        <f>VLOOKUP(AT90,Lookup!$G$79:$J$89,2,FALSE)</f>
        <v>1 or less years to breakeven</v>
      </c>
      <c r="AV90" s="345" t="str">
        <f>VLOOKUP(AT90,Lookup!$G$79:$J$89,4,FALSE)</f>
        <v>Annual benefits significantly greater than annual costs</v>
      </c>
      <c r="AW90" s="181" t="str">
        <f>VLOOKUP(AX90,Lookup!$C$4:$D$14,2,FALSE)</f>
        <v>No Effect</v>
      </c>
      <c r="AX90" s="193">
        <f>VLOOKUP(AY90,Lookup!$G$92:$J$97,4,FALSE)</f>
        <v>0</v>
      </c>
      <c r="AY90" s="181" t="s">
        <v>2642</v>
      </c>
      <c r="AZ90" s="281" t="s">
        <v>3154</v>
      </c>
      <c r="BA90" s="181" t="str">
        <f>VLOOKUP(BB90,Lookup!$C$4:$D$14,2,FALSE)</f>
        <v>No Effect</v>
      </c>
      <c r="BB90" s="193">
        <f>VLOOKUP(BC90,Lookup!$G$100:$K$110,5,FALSE)</f>
        <v>0</v>
      </c>
      <c r="BC90" s="181" t="s">
        <v>2643</v>
      </c>
      <c r="BD90" s="281" t="s">
        <v>3154</v>
      </c>
      <c r="BE90" s="181" t="str">
        <f>VLOOKUP(BF90,Lookup!$C$4:$D$14,2,FALSE)</f>
        <v>Slight Worsening</v>
      </c>
      <c r="BF90" s="193">
        <f>IF(X90=0,0,IF(X90&gt;Lookup!$F$113,-5,IF(X90&gt;Lookup!$F$114,-4,IF(X90&gt;Lookup!$F$115,-3,IF(X90&gt;Lookup!$F$116,-2,IF(X90&gt;Lookup!$F$117,-1,0))))))</f>
        <v>-1</v>
      </c>
      <c r="BG90" s="195" t="str">
        <f>VLOOKUP(BF90,Lookup!$G$113:$H$118,2,FALSE)</f>
        <v>Annual on-farm equipment costs 5% or less of enterprise annual net income</v>
      </c>
      <c r="BH90" s="281" t="s">
        <v>3232</v>
      </c>
      <c r="BI90" s="181" t="str">
        <f>VLOOKUP(BJ90,Lookup!$C$4:$D$14,2,FALSE)</f>
        <v>Slight Worsening</v>
      </c>
      <c r="BJ90" s="193">
        <f>VLOOKUP(BK90,Lookup!$G$121:$L$131,6,FALSE)</f>
        <v>-1</v>
      </c>
      <c r="BK90" s="181" t="s">
        <v>2640</v>
      </c>
      <c r="BL90" s="281" t="s">
        <v>3311</v>
      </c>
      <c r="BM90" s="181" t="str">
        <f>VLOOKUP(BN90,Lookup!$C$4:$D$14,2,FALSE)</f>
        <v>Moderate Worsening</v>
      </c>
      <c r="BN90" s="193">
        <f>VLOOKUP(BO90,Lookup!$G$134:$L$144,6,FALSE)</f>
        <v>-3</v>
      </c>
      <c r="BO90" s="181" t="s">
        <v>2654</v>
      </c>
      <c r="BP90" s="281" t="s">
        <v>3403</v>
      </c>
      <c r="BQ90" s="181" t="str">
        <f>VLOOKUP(BR90,Lookup!$C$4:$D$14,2,FALSE)</f>
        <v>Slight to Moderate Improvement</v>
      </c>
      <c r="BR90" s="193">
        <f>VLOOKUP(BS90,Lookup!$G$147:$L$157,6,FALSE)</f>
        <v>2</v>
      </c>
      <c r="BS90" s="181" t="s">
        <v>2641</v>
      </c>
      <c r="BT90" s="281" t="s">
        <v>3464</v>
      </c>
      <c r="BU90" s="175" t="s">
        <v>2231</v>
      </c>
    </row>
    <row r="91" spans="1:73" ht="39.950000000000003" customHeight="1" thickBot="1" x14ac:dyDescent="0.25">
      <c r="A91" s="173">
        <f t="shared" si="12"/>
        <v>89</v>
      </c>
      <c r="B91" s="178" t="s">
        <v>1014</v>
      </c>
      <c r="C91" s="179" t="s">
        <v>1597</v>
      </c>
      <c r="D91" s="180">
        <v>500</v>
      </c>
      <c r="E91" s="180" t="s">
        <v>1944</v>
      </c>
      <c r="F91" s="273" t="str">
        <f>VLOOKUP($D91,'Practice Descriptions'!$E$11:$F$186,2,FALSE)</f>
        <v>Removal and disposal of buildings, structures, other works of improvement, vegetation, debris or other materials.</v>
      </c>
      <c r="G91" s="182">
        <v>15</v>
      </c>
      <c r="H91" s="183">
        <v>1000</v>
      </c>
      <c r="I91" s="184">
        <v>0</v>
      </c>
      <c r="J91" s="184">
        <v>0</v>
      </c>
      <c r="K91" s="419">
        <f>IF(E91="No.",1,IF(E91="Ac.",1,(SQRT(VLOOKUP(O91,Lookup!$F$9:$H$18,3,FALSE)))*208/VLOOKUP(O91,Lookup!$F$9:$H$18,3,FALSE)))</f>
        <v>46.510213931995629</v>
      </c>
      <c r="L91" s="185" t="str">
        <f t="shared" si="8"/>
        <v>Assume length 1 side of square field (208'/Ac)</v>
      </c>
      <c r="M91" s="184">
        <v>0</v>
      </c>
      <c r="N91" s="186">
        <f>IF(G91=1,H91,PMT(Lookup!$G$4,G91,-H91)+(H91*J91)+(M91*P91))*K91</f>
        <v>4518.8399356469126</v>
      </c>
      <c r="O91" s="187" t="s">
        <v>2225</v>
      </c>
      <c r="P91" s="186">
        <f>VLOOKUP($O91,Lookup!$F$9:$I$18,4,FALSE)</f>
        <v>100</v>
      </c>
      <c r="Q91" s="184">
        <v>1</v>
      </c>
      <c r="R91" s="183">
        <v>1</v>
      </c>
      <c r="S91" s="188" t="s">
        <v>3626</v>
      </c>
      <c r="T91" s="186">
        <f t="shared" si="10"/>
        <v>101</v>
      </c>
      <c r="U91" s="189">
        <f t="shared" si="11"/>
        <v>2.235086912533912E-2</v>
      </c>
      <c r="V91" s="189">
        <f t="shared" si="9"/>
        <v>0</v>
      </c>
      <c r="W91" s="190">
        <f>IF(P91=0,0,IF(Q91+R91=0,0,PV(Lookup!$G$4,G91,-T91)/H91))</f>
        <v>1.0395437045855587</v>
      </c>
      <c r="X91" s="190">
        <f>IF(I91=0,0,PMT(Lookup!$G$4,G91,-(H91*I91*K91))/P91)</f>
        <v>0</v>
      </c>
      <c r="Y91" s="42" t="s">
        <v>963</v>
      </c>
      <c r="Z91" s="192">
        <f>VLOOKUP(Y91,Lookup!$B$4:$C$14,2,FALSE)</f>
        <v>2</v>
      </c>
      <c r="AA91" s="281" t="s">
        <v>227</v>
      </c>
      <c r="AB91" s="282" t="s">
        <v>1072</v>
      </c>
      <c r="AC91" s="181" t="str">
        <f>VLOOKUP(AD91,Lookup!$C$4:$D$14,2,FALSE)</f>
        <v>Substantial Worsening</v>
      </c>
      <c r="AD91" s="193">
        <f>IF(P91/H91&lt;Lookup!$F$33,-5,IF(P91/H91&lt;Lookup!$F$32,-4,IF(P91/H91&lt;Lookup!$F$31,-3,IF(P91/H91&lt;Lookup!$F$30,-2,IF(P91/H91&lt;Lookup!$F$29,-1,-5)))))</f>
        <v>-5</v>
      </c>
      <c r="AE91" s="194" t="str">
        <f>VLOOKUP(AD91,Lookup!$G$28:$J$33,2,FALSE)</f>
        <v>One-time practice implementation cost 5 times or greater enterprise annual net income</v>
      </c>
      <c r="AF91" s="281" t="s">
        <v>2965</v>
      </c>
      <c r="AG91" s="181" t="str">
        <f>VLOOKUP(AH91,Lookup!$C$4:$D$14,2,FALSE)</f>
        <v>No Effect</v>
      </c>
      <c r="AH91" s="193">
        <f>IF(J91&gt;Lookup!$F$43,-5,IF(J91&gt;Lookup!$F$42,-4,IF(J91&gt;Lookup!$F$41,-3,IF(J91&gt;Lookup!$F$40,-2,IF(J91&gt;Lookup!$F$39,-1,0)))))</f>
        <v>0</v>
      </c>
      <c r="AI91" s="194" t="str">
        <f>VLOOKUP(AH91,Lookup!$G$38:$J$43,2,FALSE)</f>
        <v>No O&amp;M costs</v>
      </c>
      <c r="AJ91" s="281" t="s">
        <v>2991</v>
      </c>
      <c r="AK91" s="181" t="str">
        <f>VLOOKUP(AL91,Lookup!$C$4:$D$14,2,FALSE)</f>
        <v>Moderate to Substantial Worsening</v>
      </c>
      <c r="AL91" s="346">
        <f>IF(N91=0,0,IF(U91&lt;Lookup!$F$58,-5,IF(U91&lt;Lookup!$F$57,-4,IF(U91&lt;Lookup!$F$56,-3,IF(U91&lt;Lookup!$F$55,-2,IF(U91&lt;Lookup!$F$54,-1,IF(U91&lt;Lookup!$F$53,0,IF(U91&lt;Lookup!$F$52,1,IF(U91&lt;Lookup!$F$51,2,IF(U91&lt;Lookup!$F$50,3,IF(U91&lt;Lookup!$F$49,4,5)))))))))))</f>
        <v>-4</v>
      </c>
      <c r="AM91" s="194" t="str">
        <f>VLOOKUP(AL91,Lookup!$G$48:$J$58,2,FALSE)</f>
        <v>B/C Ratio .05 to .10</v>
      </c>
      <c r="AN91" s="281" t="s">
        <v>3053</v>
      </c>
      <c r="AO91" s="181" t="str">
        <f>VLOOKUP(AP91,Lookup!$C$4:$D$14,2,FALSE)</f>
        <v>Substantial Improvement</v>
      </c>
      <c r="AP91" s="193">
        <f>IF(Q91=0,0,IF(Q91&gt;Lookup!$F$63,5,IF(Q91&gt;Lookup!$F$64,4,IF(Q91&gt;Lookup!$F$65,3,IF(Q91&gt;Lookup!$F$66,2,IF(Q91&gt;Lookup!$F$67,1,IF(Q91&gt;Lookup!$F$69,-1,IF(Q91&gt;Lookup!$F$70,-2,IF(Q91&gt;Lookup!$F$71,-3,IF(Q91&gt;Lookup!$F$72,-4,-5))))))))))</f>
        <v>5</v>
      </c>
      <c r="AQ91" s="194" t="str">
        <f>VLOOKUP(AP91,Lookup!$G$63:$J$73,2,FALSE)</f>
        <v>Greater than 50% yield increase</v>
      </c>
      <c r="AR91" s="281" t="s">
        <v>3120</v>
      </c>
      <c r="AS91" s="181" t="str">
        <f>VLOOKUP(AT91,Lookup!$C$4:$D$14,2,FALSE)</f>
        <v>No Effect</v>
      </c>
      <c r="AT91" s="193">
        <f>IF(V91=0,0,IF(V91&lt;Lookup!$F$79,5,IF(V91&lt;Lookup!$F$80,4,IF(V91&lt;Lookup!$F$81,3,IF(V91&lt;Lookup!$F$82,2,IF(V91&lt;Lookup!$F$83,1,IF(V91&lt;Lookup!$F$85,-1,IF(V91&lt;Lookup!$F$86,-2,IF(V91&lt;Lookup!$F$87,-3,IF(V91&lt;Lookup!$F$88,-4,-5))))))))))</f>
        <v>0</v>
      </c>
      <c r="AU91" s="194" t="str">
        <f>VLOOKUP(AT91,Lookup!$G$79:$J$89,2,FALSE)</f>
        <v>No breakeven</v>
      </c>
      <c r="AV91" s="345" t="str">
        <f>VLOOKUP(AT91,Lookup!$G$79:$J$89,4,FALSE)</f>
        <v>Annual costs greater than annual benefits</v>
      </c>
      <c r="AW91" s="181" t="str">
        <f>VLOOKUP(AX91,Lookup!$C$4:$D$14,2,FALSE)</f>
        <v>Moderate Improvement</v>
      </c>
      <c r="AX91" s="193">
        <f>VLOOKUP(AY91,Lookup!$G$92:$J$97,4,FALSE)</f>
        <v>3</v>
      </c>
      <c r="AY91" s="181" t="s">
        <v>2631</v>
      </c>
      <c r="AZ91" s="281" t="s">
        <v>3172</v>
      </c>
      <c r="BA91" s="181" t="str">
        <f>VLOOKUP(BB91,Lookup!$C$4:$D$14,2,FALSE)</f>
        <v>Slight Improvement</v>
      </c>
      <c r="BB91" s="193">
        <f>VLOOKUP(BC91,Lookup!$G$100:$K$110,5,FALSE)</f>
        <v>1</v>
      </c>
      <c r="BC91" s="181" t="s">
        <v>2651</v>
      </c>
      <c r="BD91" s="281" t="s">
        <v>3203</v>
      </c>
      <c r="BE91" s="181" t="str">
        <f>VLOOKUP(BF91,Lookup!$C$4:$D$14,2,FALSE)</f>
        <v>No Effect</v>
      </c>
      <c r="BF91" s="193">
        <f>IF(X91=0,0,IF(X91&gt;Lookup!$F$113,-5,IF(X91&gt;Lookup!$F$114,-4,IF(X91&gt;Lookup!$F$115,-3,IF(X91&gt;Lookup!$F$116,-2,IF(X91&gt;Lookup!$F$117,-1,0))))))</f>
        <v>0</v>
      </c>
      <c r="BG91" s="195" t="str">
        <f>VLOOKUP(BF91,Lookup!$G$113:$H$118,2,FALSE)</f>
        <v>No change in on-farm equipment</v>
      </c>
      <c r="BH91" s="281" t="s">
        <v>1841</v>
      </c>
      <c r="BI91" s="181" t="str">
        <f>VLOOKUP(BJ91,Lookup!$C$4:$D$14,2,FALSE)</f>
        <v>Slight Improvement</v>
      </c>
      <c r="BJ91" s="193">
        <f>VLOOKUP(BK91,Lookup!$G$121:$L$131,6,FALSE)</f>
        <v>1</v>
      </c>
      <c r="BK91" s="181" t="s">
        <v>2638</v>
      </c>
      <c r="BL91" s="281" t="s">
        <v>3312</v>
      </c>
      <c r="BM91" s="181" t="str">
        <f>VLOOKUP(BN91,Lookup!$C$4:$D$14,2,FALSE)</f>
        <v>No Effect</v>
      </c>
      <c r="BN91" s="193">
        <f>VLOOKUP(BO91,Lookup!$G$134:$L$144,6,FALSE)</f>
        <v>0</v>
      </c>
      <c r="BO91" s="181" t="s">
        <v>2646</v>
      </c>
      <c r="BP91" s="281" t="s">
        <v>3154</v>
      </c>
      <c r="BQ91" s="181" t="str">
        <f>VLOOKUP(BR91,Lookup!$C$4:$D$14,2,FALSE)</f>
        <v>Slight to Moderate Improvement</v>
      </c>
      <c r="BR91" s="193">
        <f>VLOOKUP(BS91,Lookup!$G$147:$L$157,6,FALSE)</f>
        <v>2</v>
      </c>
      <c r="BS91" s="181" t="s">
        <v>2641</v>
      </c>
      <c r="BT91" s="281" t="s">
        <v>3468</v>
      </c>
      <c r="BU91" s="175" t="s">
        <v>2231</v>
      </c>
    </row>
    <row r="92" spans="1:73" ht="39.950000000000003" customHeight="1" thickBot="1" x14ac:dyDescent="0.25">
      <c r="A92" s="173">
        <f t="shared" si="12"/>
        <v>90</v>
      </c>
      <c r="B92" s="178" t="s">
        <v>1015</v>
      </c>
      <c r="C92" s="179" t="s">
        <v>1606</v>
      </c>
      <c r="D92" s="180">
        <v>582</v>
      </c>
      <c r="E92" s="180" t="s">
        <v>1944</v>
      </c>
      <c r="F92" s="273" t="str">
        <f>VLOOKUP($D92,'Practice Descriptions'!$E$11:$F$186,2,FALSE)</f>
        <v>Constructing or improving a channel either natural or artificial, in which water flows with a free surface</v>
      </c>
      <c r="G92" s="182">
        <v>20</v>
      </c>
      <c r="H92" s="183">
        <v>10</v>
      </c>
      <c r="I92" s="184">
        <v>0</v>
      </c>
      <c r="J92" s="184">
        <v>0.02</v>
      </c>
      <c r="K92" s="419">
        <f>IF(E92="No.",1,IF(E92="Ac.",1,(SQRT(VLOOKUP(O92,Lookup!$F$9:$H$18,3,FALSE)))*208/VLOOKUP(O92,Lookup!$F$9:$H$18,3,FALSE)))</f>
        <v>23.255106965997815</v>
      </c>
      <c r="L92" s="185" t="str">
        <f t="shared" si="8"/>
        <v>Assume length 1 side of square field (208'/Ac)</v>
      </c>
      <c r="M92" s="184">
        <v>0</v>
      </c>
      <c r="N92" s="186">
        <f>IF(G92=1,H92,PMT(Lookup!$G$4,G92,-H92)+(H92*J92)+(M92*P92))*K92</f>
        <v>23.509809024087055</v>
      </c>
      <c r="O92" s="187" t="s">
        <v>1110</v>
      </c>
      <c r="P92" s="186">
        <f>VLOOKUP($O92,Lookup!$F$9:$I$18,4,FALSE)</f>
        <v>300</v>
      </c>
      <c r="Q92" s="184">
        <v>0.05</v>
      </c>
      <c r="R92" s="183">
        <v>10</v>
      </c>
      <c r="S92" s="188" t="s">
        <v>3627</v>
      </c>
      <c r="T92" s="186">
        <f t="shared" si="10"/>
        <v>25</v>
      </c>
      <c r="U92" s="189">
        <f t="shared" si="11"/>
        <v>1.0633859243342285</v>
      </c>
      <c r="V92" s="189">
        <f t="shared" si="9"/>
        <v>9.3020427863991255</v>
      </c>
      <c r="W92" s="190">
        <f>IF(P92=0,0,IF(Q92+R92=0,0,PV(Lookup!$G$4,G92,-T92)/H92))</f>
        <v>30.82794533396979</v>
      </c>
      <c r="X92" s="190">
        <f>IF(I92=0,0,PMT(Lookup!$G$4,G92,-(H92*I92*K92))/P92)</f>
        <v>0</v>
      </c>
      <c r="Y92" s="42" t="s">
        <v>963</v>
      </c>
      <c r="Z92" s="192">
        <f>VLOOKUP(Y92,Lookup!$B$4:$C$14,2,FALSE)</f>
        <v>2</v>
      </c>
      <c r="AA92" s="281" t="s">
        <v>227</v>
      </c>
      <c r="AB92" s="282" t="s">
        <v>1072</v>
      </c>
      <c r="AC92" s="181" t="str">
        <f>VLOOKUP(AD92,Lookup!$C$4:$D$14,2,FALSE)</f>
        <v>Slight Worsening</v>
      </c>
      <c r="AD92" s="193">
        <f>IF(P92/H92&lt;Lookup!$F$33,-5,IF(P92/H92&lt;Lookup!$F$32,-4,IF(P92/H92&lt;Lookup!$F$31,-3,IF(P92/H92&lt;Lookup!$F$30,-2,IF(P92/H92&lt;Lookup!$F$29,-1,-5)))))</f>
        <v>-1</v>
      </c>
      <c r="AE92" s="194" t="str">
        <f>VLOOKUP(AD92,Lookup!$G$28:$J$33,2,FALSE)</f>
        <v>One-time practice implementation cost 5% or less of enterprise annual net income</v>
      </c>
      <c r="AF92" s="281" t="s">
        <v>2965</v>
      </c>
      <c r="AG92" s="181" t="str">
        <f>VLOOKUP(AH92,Lookup!$C$4:$D$14,2,FALSE)</f>
        <v>Slight to Moderate Worsening</v>
      </c>
      <c r="AH92" s="193">
        <f>IF(J92&gt;Lookup!$F$43,-5,IF(J92&gt;Lookup!$F$42,-4,IF(J92&gt;Lookup!$F$41,-3,IF(J92&gt;Lookup!$F$40,-2,IF(J92&gt;Lookup!$F$39,-1,0)))))</f>
        <v>-2</v>
      </c>
      <c r="AI92" s="194" t="str">
        <f>VLOOKUP(AH92,Lookup!$G$38:$J$43,2,FALSE)</f>
        <v>Annual O&amp;M costs 1 to 2% of total installation costs</v>
      </c>
      <c r="AJ92" s="281" t="s">
        <v>3014</v>
      </c>
      <c r="AK92" s="181" t="str">
        <f>VLOOKUP(AL92,Lookup!$C$4:$D$14,2,FALSE)</f>
        <v>No Effect</v>
      </c>
      <c r="AL92" s="346">
        <f>IF(N92=0,0,IF(U92&lt;Lookup!$F$58,-5,IF(U92&lt;Lookup!$F$57,-4,IF(U92&lt;Lookup!$F$56,-3,IF(U92&lt;Lookup!$F$55,-2,IF(U92&lt;Lookup!$F$54,-1,IF(U92&lt;Lookup!$F$53,0,IF(U92&lt;Lookup!$F$52,1,IF(U92&lt;Lookup!$F$51,2,IF(U92&lt;Lookup!$F$50,3,IF(U92&lt;Lookup!$F$49,4,5)))))))))))</f>
        <v>0</v>
      </c>
      <c r="AM92" s="194" t="str">
        <f>VLOOKUP(AL92,Lookup!$G$48:$J$58,2,FALSE)</f>
        <v>B/C Ratio .75 to 1.25</v>
      </c>
      <c r="AN92" s="281" t="s">
        <v>3054</v>
      </c>
      <c r="AO92" s="181" t="str">
        <f>VLOOKUP(AP92,Lookup!$C$4:$D$14,2,FALSE)</f>
        <v>Slight to Moderate Improvement</v>
      </c>
      <c r="AP92" s="193">
        <f>IF(Q92=0,0,IF(Q92&gt;Lookup!$F$63,5,IF(Q92&gt;Lookup!$F$64,4,IF(Q92&gt;Lookup!$F$65,3,IF(Q92&gt;Lookup!$F$66,2,IF(Q92&gt;Lookup!$F$67,1,IF(Q92&gt;Lookup!$F$69,-1,IF(Q92&gt;Lookup!$F$70,-2,IF(Q92&gt;Lookup!$F$71,-3,IF(Q92&gt;Lookup!$F$72,-4,-5))))))))))</f>
        <v>2</v>
      </c>
      <c r="AQ92" s="194" t="str">
        <f>VLOOKUP(AP92,Lookup!$G$63:$J$73,2,FALSE)</f>
        <v>5 to 10% yield increase</v>
      </c>
      <c r="AR92" s="281" t="s">
        <v>3121</v>
      </c>
      <c r="AS92" s="181" t="str">
        <f>VLOOKUP(AT92,Lookup!$C$4:$D$14,2,FALSE)</f>
        <v>Substantial Worsening</v>
      </c>
      <c r="AT92" s="193">
        <f>IF(V92=0,0,IF(V92&lt;Lookup!$F$79,5,IF(V92&lt;Lookup!$F$80,4,IF(V92&lt;Lookup!$F$81,3,IF(V92&lt;Lookup!$F$82,2,IF(V92&lt;Lookup!$F$83,1,IF(V92&lt;Lookup!$F$85,-1,IF(V92&lt;Lookup!$F$86,-2,IF(V92&lt;Lookup!$F$87,-3,IF(V92&lt;Lookup!$F$88,-4,-5))))))))))</f>
        <v>-5</v>
      </c>
      <c r="AU92" s="194" t="str">
        <f>VLOOKUP(AT92,Lookup!$G$79:$J$89,2,FALSE)</f>
        <v>9 or more years to breakeven</v>
      </c>
      <c r="AV92" s="345" t="str">
        <f>VLOOKUP(AT92,Lookup!$G$79:$J$89,4,FALSE)</f>
        <v>Annual benefits slightly greater than annual costs</v>
      </c>
      <c r="AW92" s="181" t="str">
        <f>VLOOKUP(AX92,Lookup!$C$4:$D$14,2,FALSE)</f>
        <v>Slight Improvement</v>
      </c>
      <c r="AX92" s="193">
        <f>VLOOKUP(AY92,Lookup!$G$92:$J$97,4,FALSE)</f>
        <v>1</v>
      </c>
      <c r="AY92" s="181" t="s">
        <v>2636</v>
      </c>
      <c r="AZ92" s="281" t="s">
        <v>3169</v>
      </c>
      <c r="BA92" s="181" t="str">
        <f>VLOOKUP(BB92,Lookup!$C$4:$D$14,2,FALSE)</f>
        <v>Slight Worsening</v>
      </c>
      <c r="BB92" s="193">
        <f>VLOOKUP(BC92,Lookup!$G$100:$K$110,5,FALSE)</f>
        <v>-1</v>
      </c>
      <c r="BC92" s="181" t="s">
        <v>2637</v>
      </c>
      <c r="BD92" s="281" t="s">
        <v>1860</v>
      </c>
      <c r="BE92" s="181" t="str">
        <f>VLOOKUP(BF92,Lookup!$C$4:$D$14,2,FALSE)</f>
        <v>No Effect</v>
      </c>
      <c r="BF92" s="193">
        <f>IF(X92=0,0,IF(X92&gt;Lookup!$F$113,-5,IF(X92&gt;Lookup!$F$114,-4,IF(X92&gt;Lookup!$F$115,-3,IF(X92&gt;Lookup!$F$116,-2,IF(X92&gt;Lookup!$F$117,-1,0))))))</f>
        <v>0</v>
      </c>
      <c r="BG92" s="195" t="str">
        <f>VLOOKUP(BF92,Lookup!$G$113:$H$118,2,FALSE)</f>
        <v>No change in on-farm equipment</v>
      </c>
      <c r="BH92" s="281" t="s">
        <v>1841</v>
      </c>
      <c r="BI92" s="181" t="str">
        <f>VLOOKUP(BJ92,Lookup!$C$4:$D$14,2,FALSE)</f>
        <v>Slight Improvement</v>
      </c>
      <c r="BJ92" s="193">
        <f>VLOOKUP(BK92,Lookup!$G$121:$L$131,6,FALSE)</f>
        <v>1</v>
      </c>
      <c r="BK92" s="181" t="s">
        <v>2638</v>
      </c>
      <c r="BL92" s="281" t="s">
        <v>3313</v>
      </c>
      <c r="BM92" s="181" t="str">
        <f>VLOOKUP(BN92,Lookup!$C$4:$D$14,2,FALSE)</f>
        <v>Slight Worsening</v>
      </c>
      <c r="BN92" s="193">
        <f>VLOOKUP(BO92,Lookup!$G$134:$L$144,6,FALSE)</f>
        <v>-1</v>
      </c>
      <c r="BO92" s="181" t="s">
        <v>3373</v>
      </c>
      <c r="BP92" s="281" t="s">
        <v>3398</v>
      </c>
      <c r="BQ92" s="181" t="str">
        <f>VLOOKUP(BR92,Lookup!$C$4:$D$14,2,FALSE)</f>
        <v>Slight to Moderate Improvement</v>
      </c>
      <c r="BR92" s="193">
        <f>VLOOKUP(BS92,Lookup!$G$147:$L$157,6,FALSE)</f>
        <v>2</v>
      </c>
      <c r="BS92" s="181" t="s">
        <v>2641</v>
      </c>
      <c r="BT92" s="281" t="s">
        <v>3469</v>
      </c>
      <c r="BU92" s="175" t="s">
        <v>2231</v>
      </c>
    </row>
    <row r="93" spans="1:73" ht="39.950000000000003" customHeight="1" thickBot="1" x14ac:dyDescent="0.25">
      <c r="A93" s="173">
        <f t="shared" si="12"/>
        <v>91</v>
      </c>
      <c r="B93" s="178" t="s">
        <v>2803</v>
      </c>
      <c r="C93" s="179" t="s">
        <v>3663</v>
      </c>
      <c r="D93" s="180">
        <v>670</v>
      </c>
      <c r="E93" s="180"/>
      <c r="F93" s="273" t="str">
        <f>VLOOKUP($D93,'Practice Descriptions'!$E$11:$F$186,2,FALSE)</f>
        <v xml:space="preserve">Complete replacement or retrofitting of one or more components of an existing agricultural lighting system. </v>
      </c>
      <c r="G93" s="182">
        <v>15</v>
      </c>
      <c r="H93" s="183">
        <v>2500</v>
      </c>
      <c r="I93" s="184">
        <v>0.05</v>
      </c>
      <c r="J93" s="184">
        <v>0.02</v>
      </c>
      <c r="K93" s="419">
        <v>1</v>
      </c>
      <c r="L93" s="185" t="str">
        <f t="shared" ref="L93" si="13">IF(K93&gt;1,"Assume length 1 side of square field (208'/Ac)","")</f>
        <v/>
      </c>
      <c r="M93" s="184">
        <v>0</v>
      </c>
      <c r="N93" s="186">
        <f>IF(G93=1,H93,PMT(Lookup!$G$4,G93,-H93)+(H93*J93)+(M93*P93))*K93</f>
        <v>292.89503066219402</v>
      </c>
      <c r="O93" s="187" t="s">
        <v>2221</v>
      </c>
      <c r="P93" s="186">
        <f>VLOOKUP($O93,Lookup!$F$9:$I$18,4,FALSE)</f>
        <v>1</v>
      </c>
      <c r="Q93" s="184">
        <v>0</v>
      </c>
      <c r="R93" s="183">
        <v>300</v>
      </c>
      <c r="S93" s="188" t="s">
        <v>3603</v>
      </c>
      <c r="T93" s="186">
        <f t="shared" ref="T93" si="14">+P93*Q93+R93</f>
        <v>300</v>
      </c>
      <c r="U93" s="189">
        <f t="shared" ref="U93" si="15">+T93/N93</f>
        <v>1.0242577326141131</v>
      </c>
      <c r="V93" s="189">
        <f t="shared" ref="V93" si="16">IF(N93&gt;T93,0,(H93*K93)/T93)</f>
        <v>8.3333333333333339</v>
      </c>
      <c r="W93" s="190">
        <f>IF(P93=0,0,IF(Q93+R93=0,0,PV(Lookup!$G$4,G93,-T93)/H93))</f>
        <v>1.2351014311907629</v>
      </c>
      <c r="X93" s="190">
        <f>IF(I93=0,0,PMT(Lookup!$G$4,G93,-(H93*I93*K93))/P93)</f>
        <v>12.1447515331097</v>
      </c>
      <c r="Y93" s="42" t="s">
        <v>986</v>
      </c>
      <c r="Z93" s="192">
        <f>VLOOKUP(Y93,Lookup!$B$4:$C$14,2,FALSE)</f>
        <v>0</v>
      </c>
      <c r="AA93" s="281" t="s">
        <v>2231</v>
      </c>
      <c r="AB93" s="282" t="s">
        <v>1072</v>
      </c>
      <c r="AC93" s="181" t="str">
        <f>VLOOKUP(AD93,Lookup!$C$4:$D$14,2,FALSE)</f>
        <v>Substantial Worsening</v>
      </c>
      <c r="AD93" s="193">
        <f>IF(P93/H93&lt;Lookup!$F$33,-5,IF(P93/H93&lt;Lookup!$F$32,-4,IF(P93/H93&lt;Lookup!$F$31,-3,IF(P93/H93&lt;Lookup!$F$30,-2,IF(P93/H93&lt;Lookup!$F$29,-1,-5)))))</f>
        <v>-5</v>
      </c>
      <c r="AE93" s="194" t="str">
        <f>VLOOKUP(AD93,Lookup!$G$28:$J$33,2,FALSE)</f>
        <v>One-time practice implementation cost 5 times or greater enterprise annual net income</v>
      </c>
      <c r="AF93" s="281" t="s">
        <v>1854</v>
      </c>
      <c r="AG93" s="181" t="str">
        <f>VLOOKUP(AH93,Lookup!$C$4:$D$14,2,FALSE)</f>
        <v>Slight to Moderate Worsening</v>
      </c>
      <c r="AH93" s="193">
        <f>IF(J93&gt;Lookup!$F$43,-5,IF(J93&gt;Lookup!$F$42,-4,IF(J93&gt;Lookup!$F$41,-3,IF(J93&gt;Lookup!$F$40,-2,IF(J93&gt;Lookup!$F$39,-1,0)))))</f>
        <v>-2</v>
      </c>
      <c r="AI93" s="194" t="str">
        <f>VLOOKUP(AH93,Lookup!$G$38:$J$43,2,FALSE)</f>
        <v>Annual O&amp;M costs 1 to 2% of total installation costs</v>
      </c>
      <c r="AJ93" s="281" t="s">
        <v>3664</v>
      </c>
      <c r="AK93" s="181" t="str">
        <f>VLOOKUP(AL93,Lookup!$C$4:$D$14,2,FALSE)</f>
        <v>No Effect</v>
      </c>
      <c r="AL93" s="346">
        <f>IF(N93=0,0,IF(U93&lt;Lookup!$F$58,-5,IF(U93&lt;Lookup!$F$57,-4,IF(U93&lt;Lookup!$F$56,-3,IF(U93&lt;Lookup!$F$55,-2,IF(U93&lt;Lookup!$F$54,-1,IF(U93&lt;Lookup!$F$53,0,IF(U93&lt;Lookup!$F$52,1,IF(U93&lt;Lookup!$F$51,2,IF(U93&lt;Lookup!$F$50,3,IF(U93&lt;Lookup!$F$49,4,5)))))))))))</f>
        <v>0</v>
      </c>
      <c r="AM93" s="194" t="str">
        <f>VLOOKUP(AL93,Lookup!$G$48:$J$58,2,FALSE)</f>
        <v>B/C Ratio .75 to 1.25</v>
      </c>
      <c r="AN93" s="281" t="s">
        <v>3603</v>
      </c>
      <c r="AO93" s="181" t="str">
        <f>VLOOKUP(AP93,Lookup!$C$4:$D$14,2,FALSE)</f>
        <v>No Effect</v>
      </c>
      <c r="AP93" s="193">
        <f>IF(Q93=0,0,IF(Q93&gt;Lookup!$F$63,5,IF(Q93&gt;Lookup!$F$64,4,IF(Q93&gt;Lookup!$F$65,3,IF(Q93&gt;Lookup!$F$66,2,IF(Q93&gt;Lookup!$F$67,1,IF(Q93&gt;Lookup!$F$69,-1,IF(Q93&gt;Lookup!$F$70,-2,IF(Q93&gt;Lookup!$F$71,-3,IF(Q93&gt;Lookup!$F$72,-4,-5))))))))))</f>
        <v>0</v>
      </c>
      <c r="AQ93" s="194" t="str">
        <f>VLOOKUP(AP93,Lookup!$G$63:$J$73,2,FALSE)</f>
        <v>No change in yield</v>
      </c>
      <c r="AR93" s="281" t="s">
        <v>2231</v>
      </c>
      <c r="AS93" s="181" t="str">
        <f>VLOOKUP(AT93,Lookup!$C$4:$D$14,2,FALSE)</f>
        <v>Moderate to Substantial Worsening</v>
      </c>
      <c r="AT93" s="193">
        <f>IF(V93=0,0,IF(V93&lt;Lookup!$F$79,5,IF(V93&lt;Lookup!$F$80,4,IF(V93&lt;Lookup!$F$81,3,IF(V93&lt;Lookup!$F$82,2,IF(V93&lt;Lookup!$F$83,1,IF(V93&lt;Lookup!$F$85,-1,IF(V93&lt;Lookup!$F$86,-2,IF(V93&lt;Lookup!$F$87,-3,IF(V93&lt;Lookup!$F$88,-4,-5))))))))))</f>
        <v>-4</v>
      </c>
      <c r="AU93" s="194" t="str">
        <f>VLOOKUP(AT93,Lookup!$G$79:$J$89,2,FALSE)</f>
        <v>8-9 years to breakeven</v>
      </c>
      <c r="AV93" s="345" t="str">
        <f>VLOOKUP(AT93,Lookup!$G$79:$J$89,4,FALSE)</f>
        <v>Annual benefits slightly greater than annual costs</v>
      </c>
      <c r="AW93" s="181" t="str">
        <f>VLOOKUP(AX93,Lookup!$C$4:$D$14,2,FALSE)</f>
        <v>No Effect</v>
      </c>
      <c r="AX93" s="193">
        <f>VLOOKUP(AY93,Lookup!$G$92:$J$97,4,FALSE)</f>
        <v>0</v>
      </c>
      <c r="AY93" s="181" t="s">
        <v>2642</v>
      </c>
      <c r="AZ93" s="281" t="s">
        <v>3154</v>
      </c>
      <c r="BA93" s="181" t="str">
        <f>VLOOKUP(BB93,Lookup!$C$4:$D$14,2,FALSE)</f>
        <v>No Effect</v>
      </c>
      <c r="BB93" s="193">
        <f>VLOOKUP(BC93,Lookup!$G$100:$K$110,5,FALSE)</f>
        <v>0</v>
      </c>
      <c r="BC93" s="181" t="s">
        <v>2643</v>
      </c>
      <c r="BD93" s="281" t="s">
        <v>3154</v>
      </c>
      <c r="BE93" s="181" t="str">
        <f>VLOOKUP(BF93,Lookup!$C$4:$D$14,2,FALSE)</f>
        <v>Substantial Worsening</v>
      </c>
      <c r="BF93" s="193">
        <f>IF(X93=0,0,IF(X93&gt;Lookup!$F$113,-5,IF(X93&gt;Lookup!$F$114,-4,IF(X93&gt;Lookup!$F$115,-3,IF(X93&gt;Lookup!$F$116,-2,IF(X93&gt;Lookup!$F$117,-1,0))))))</f>
        <v>-5</v>
      </c>
      <c r="BG93" s="195" t="str">
        <f>VLOOKUP(BF93,Lookup!$G$113:$H$118,2,FALSE)</f>
        <v>Annual on-farm equipment costs 75% or greater of enterprise annual net income</v>
      </c>
      <c r="BH93" s="281" t="s">
        <v>3665</v>
      </c>
      <c r="BI93" s="181" t="str">
        <f>VLOOKUP(BJ93,Lookup!$C$4:$D$14,2,FALSE)</f>
        <v>No Effect</v>
      </c>
      <c r="BJ93" s="193">
        <f>VLOOKUP(BK93,Lookup!$G$121:$L$131,6,FALSE)</f>
        <v>0</v>
      </c>
      <c r="BK93" s="181" t="s">
        <v>2656</v>
      </c>
      <c r="BL93" s="281" t="s">
        <v>3154</v>
      </c>
      <c r="BM93" s="181" t="str">
        <f>VLOOKUP(BN93,Lookup!$C$4:$D$14,2,FALSE)</f>
        <v>No Effect</v>
      </c>
      <c r="BN93" s="193">
        <f>VLOOKUP(BO93,Lookup!$G$134:$L$144,6,FALSE)</f>
        <v>0</v>
      </c>
      <c r="BO93" s="181" t="s">
        <v>2646</v>
      </c>
      <c r="BP93" s="281" t="s">
        <v>3154</v>
      </c>
      <c r="BQ93" s="181" t="str">
        <f>VLOOKUP(BR93,Lookup!$C$4:$D$14,2,FALSE)</f>
        <v>Slight to Moderate Improvement</v>
      </c>
      <c r="BR93" s="193">
        <f>VLOOKUP(BS93,Lookup!$G$147:$L$157,6,FALSE)</f>
        <v>2</v>
      </c>
      <c r="BS93" s="181" t="s">
        <v>2641</v>
      </c>
      <c r="BT93" s="281" t="s">
        <v>3666</v>
      </c>
    </row>
    <row r="94" spans="1:73" ht="39.950000000000003" customHeight="1" thickBot="1" x14ac:dyDescent="0.25">
      <c r="A94" s="173">
        <f t="shared" si="12"/>
        <v>92</v>
      </c>
      <c r="B94" s="178" t="s">
        <v>2229</v>
      </c>
      <c r="C94" s="179" t="s">
        <v>1601</v>
      </c>
      <c r="D94" s="180">
        <v>516</v>
      </c>
      <c r="E94" s="180" t="s">
        <v>3647</v>
      </c>
      <c r="F94" s="273" t="str">
        <f>VLOOKUP($D94,'Practice Descriptions'!$E$11:$F$186,2,FALSE)</f>
        <v>A pipeline and appurtenances installed to convey water for livestock or wildlife.</v>
      </c>
      <c r="G94" s="182">
        <v>20</v>
      </c>
      <c r="H94" s="183">
        <v>4</v>
      </c>
      <c r="I94" s="184">
        <v>0.1</v>
      </c>
      <c r="J94" s="184">
        <v>0.01</v>
      </c>
      <c r="K94" s="419">
        <f>IF(E94="No.",1,IF(E94="Ac.",1,(SQRT(VLOOKUP(O94,Lookup!$F$9:$H$18,3,FALSE)))*208/VLOOKUP(O94,Lookup!$F$9:$H$18,3,FALSE)))</f>
        <v>1</v>
      </c>
      <c r="L94" s="185" t="str">
        <f t="shared" si="8"/>
        <v/>
      </c>
      <c r="M94" s="184">
        <v>0</v>
      </c>
      <c r="N94" s="186">
        <f>IF(G94=1,H94,PMT(Lookup!$G$4,G94,-H94)+(H94*J94)+(M94*P94))*K94</f>
        <v>0.36438100858382028</v>
      </c>
      <c r="O94" s="181" t="s">
        <v>1260</v>
      </c>
      <c r="P94" s="186">
        <f>VLOOKUP($O94,Lookup!$F$9:$I$18,4,FALSE)</f>
        <v>50</v>
      </c>
      <c r="Q94" s="184">
        <v>0.1</v>
      </c>
      <c r="R94" s="183">
        <v>0.75</v>
      </c>
      <c r="S94" s="188" t="s">
        <v>2667</v>
      </c>
      <c r="T94" s="186">
        <f t="shared" si="10"/>
        <v>5.75</v>
      </c>
      <c r="U94" s="189">
        <f t="shared" si="11"/>
        <v>15.780185752126817</v>
      </c>
      <c r="V94" s="189">
        <f t="shared" si="9"/>
        <v>0.69565217391304346</v>
      </c>
      <c r="W94" s="190">
        <f>IF(P94=0,0,IF(Q94+R94=0,0,PV(Lookup!$G$4,G94,-T94)/H94))</f>
        <v>17.72606856703263</v>
      </c>
      <c r="X94" s="190">
        <f>IF(I94=0,0,PMT(Lookup!$G$4,G94,-(H94*I94*K94))/P94)</f>
        <v>6.4876201716764078E-4</v>
      </c>
      <c r="Y94" s="42" t="s">
        <v>963</v>
      </c>
      <c r="Z94" s="192">
        <f>VLOOKUP(Y94,Lookup!$B$4:$C$14,2,FALSE)</f>
        <v>2</v>
      </c>
      <c r="AA94" s="281" t="s">
        <v>1907</v>
      </c>
      <c r="AB94" s="282" t="s">
        <v>1072</v>
      </c>
      <c r="AC94" s="181" t="str">
        <f>VLOOKUP(AD94,Lookup!$C$4:$D$14,2,FALSE)</f>
        <v>Slight to Moderate Worsening</v>
      </c>
      <c r="AD94" s="193">
        <f>IF(P94/H94&lt;Lookup!$F$33,-5,IF(P94/H94&lt;Lookup!$F$32,-4,IF(P94/H94&lt;Lookup!$F$31,-3,IF(P94/H94&lt;Lookup!$F$30,-2,IF(P94/H94&lt;Lookup!$F$29,-1,-5)))))</f>
        <v>-2</v>
      </c>
      <c r="AE94" s="194" t="str">
        <f>VLOOKUP(AD94,Lookup!$G$28:$J$33,2,FALSE)</f>
        <v>One-time practice implementation cost 5 to 100% of enterprise annual net income</v>
      </c>
      <c r="AF94" s="281" t="s">
        <v>1847</v>
      </c>
      <c r="AG94" s="181" t="str">
        <f>VLOOKUP(AH94,Lookup!$C$4:$D$14,2,FALSE)</f>
        <v>Slight Worsening</v>
      </c>
      <c r="AH94" s="193">
        <f>IF(J94&gt;Lookup!$F$43,-5,IF(J94&gt;Lookup!$F$42,-4,IF(J94&gt;Lookup!$F$41,-3,IF(J94&gt;Lookup!$F$40,-2,IF(J94&gt;Lookup!$F$39,-1,0)))))</f>
        <v>-1</v>
      </c>
      <c r="AI94" s="194" t="str">
        <f>VLOOKUP(AH94,Lookup!$G$38:$J$43,2,FALSE)</f>
        <v>Annual O&amp;M costs less than 1% of total installation costs</v>
      </c>
      <c r="AJ94" s="281" t="s">
        <v>2990</v>
      </c>
      <c r="AK94" s="181" t="str">
        <f>VLOOKUP(AL94,Lookup!$C$4:$D$14,2,FALSE)</f>
        <v>Substantial Improvement</v>
      </c>
      <c r="AL94" s="346">
        <f>IF(N94=0,0,IF(U94&lt;Lookup!$F$58,-5,IF(U94&lt;Lookup!$F$57,-4,IF(U94&lt;Lookup!$F$56,-3,IF(U94&lt;Lookup!$F$55,-2,IF(U94&lt;Lookup!$F$54,-1,IF(U94&lt;Lookup!$F$53,0,IF(U94&lt;Lookup!$F$52,1,IF(U94&lt;Lookup!$F$51,2,IF(U94&lt;Lookup!$F$50,3,IF(U94&lt;Lookup!$F$49,4,5)))))))))))</f>
        <v>5</v>
      </c>
      <c r="AM94" s="194" t="str">
        <f>VLOOKUP(AL94,Lookup!$G$48:$J$58,2,FALSE)</f>
        <v>B/C Ratio greater than 2.25</v>
      </c>
      <c r="AN94" s="281" t="s">
        <v>3029</v>
      </c>
      <c r="AO94" s="181" t="str">
        <f>VLOOKUP(AP94,Lookup!$C$4:$D$14,2,FALSE)</f>
        <v>Slight to Moderate Improvement</v>
      </c>
      <c r="AP94" s="193">
        <f>IF(Q94=0,0,IF(Q94&gt;Lookup!$F$63,5,IF(Q94&gt;Lookup!$F$64,4,IF(Q94&gt;Lookup!$F$65,3,IF(Q94&gt;Lookup!$F$66,2,IF(Q94&gt;Lookup!$F$67,1,IF(Q94&gt;Lookup!$F$69,-1,IF(Q94&gt;Lookup!$F$70,-2,IF(Q94&gt;Lookup!$F$71,-3,IF(Q94&gt;Lookup!$F$72,-4,-5))))))))))</f>
        <v>2</v>
      </c>
      <c r="AQ94" s="194" t="str">
        <f>VLOOKUP(AP94,Lookup!$G$63:$J$73,2,FALSE)</f>
        <v>5 to 10% yield increase</v>
      </c>
      <c r="AR94" s="281" t="s">
        <v>3122</v>
      </c>
      <c r="AS94" s="181" t="str">
        <f>VLOOKUP(AT94,Lookup!$C$4:$D$14,2,FALSE)</f>
        <v>Substantial Improvement</v>
      </c>
      <c r="AT94" s="193">
        <f>IF(V94=0,0,IF(V94&lt;Lookup!$F$79,5,IF(V94&lt;Lookup!$F$80,4,IF(V94&lt;Lookup!$F$81,3,IF(V94&lt;Lookup!$F$82,2,IF(V94&lt;Lookup!$F$83,1,IF(V94&lt;Lookup!$F$85,-1,IF(V94&lt;Lookup!$F$86,-2,IF(V94&lt;Lookup!$F$87,-3,IF(V94&lt;Lookup!$F$88,-4,-5))))))))))</f>
        <v>5</v>
      </c>
      <c r="AU94" s="194" t="str">
        <f>VLOOKUP(AT94,Lookup!$G$79:$J$89,2,FALSE)</f>
        <v>1 or less years to breakeven</v>
      </c>
      <c r="AV94" s="345" t="str">
        <f>VLOOKUP(AT94,Lookup!$G$79:$J$89,4,FALSE)</f>
        <v>Annual benefits significantly greater than annual costs</v>
      </c>
      <c r="AW94" s="181" t="str">
        <f>VLOOKUP(AX94,Lookup!$C$4:$D$14,2,FALSE)</f>
        <v>No Effect</v>
      </c>
      <c r="AX94" s="193">
        <f>VLOOKUP(AY94,Lookup!$G$92:$J$97,4,FALSE)</f>
        <v>0</v>
      </c>
      <c r="AY94" s="181" t="s">
        <v>2642</v>
      </c>
      <c r="AZ94" s="281" t="s">
        <v>3154</v>
      </c>
      <c r="BA94" s="181" t="str">
        <f>VLOOKUP(BB94,Lookup!$C$4:$D$14,2,FALSE)</f>
        <v>Moderate Improvement</v>
      </c>
      <c r="BB94" s="193">
        <f>VLOOKUP(BC94,Lookup!$G$100:$K$110,5,FALSE)</f>
        <v>3</v>
      </c>
      <c r="BC94" s="181" t="s">
        <v>2644</v>
      </c>
      <c r="BD94" s="281" t="s">
        <v>3549</v>
      </c>
      <c r="BE94" s="181" t="str">
        <f>VLOOKUP(BF94,Lookup!$C$4:$D$14,2,FALSE)</f>
        <v>Slight Worsening</v>
      </c>
      <c r="BF94" s="193">
        <f>IF(X94=0,0,IF(X94&gt;Lookup!$F$113,-5,IF(X94&gt;Lookup!$F$114,-4,IF(X94&gt;Lookup!$F$115,-3,IF(X94&gt;Lookup!$F$116,-2,IF(X94&gt;Lookup!$F$117,-1,0))))))</f>
        <v>-1</v>
      </c>
      <c r="BG94" s="195" t="str">
        <f>VLOOKUP(BF94,Lookup!$G$113:$H$118,2,FALSE)</f>
        <v>Annual on-farm equipment costs 5% or less of enterprise annual net income</v>
      </c>
      <c r="BH94" s="281" t="s">
        <v>3242</v>
      </c>
      <c r="BI94" s="181" t="str">
        <f>VLOOKUP(BJ94,Lookup!$C$4:$D$14,2,FALSE)</f>
        <v>Slight Improvement</v>
      </c>
      <c r="BJ94" s="193">
        <f>VLOOKUP(BK94,Lookup!$G$121:$L$131,6,FALSE)</f>
        <v>1</v>
      </c>
      <c r="BK94" s="181" t="s">
        <v>2638</v>
      </c>
      <c r="BL94" s="281" t="s">
        <v>3314</v>
      </c>
      <c r="BM94" s="181" t="str">
        <f>VLOOKUP(BN94,Lookup!$C$4:$D$14,2,FALSE)</f>
        <v>Slight Worsening</v>
      </c>
      <c r="BN94" s="193">
        <f>VLOOKUP(BO94,Lookup!$G$134:$L$144,6,FALSE)</f>
        <v>-1</v>
      </c>
      <c r="BO94" s="181" t="s">
        <v>3373</v>
      </c>
      <c r="BP94" s="281" t="s">
        <v>3404</v>
      </c>
      <c r="BQ94" s="181" t="str">
        <f>VLOOKUP(BR94,Lookup!$C$4:$D$14,2,FALSE)</f>
        <v>Moderate to Substantial Improvement</v>
      </c>
      <c r="BR94" s="193">
        <f>VLOOKUP(BS94,Lookup!$G$147:$L$157,6,FALSE)</f>
        <v>4</v>
      </c>
      <c r="BS94" s="181" t="s">
        <v>2645</v>
      </c>
      <c r="BT94" s="281" t="s">
        <v>3470</v>
      </c>
      <c r="BU94" s="175" t="s">
        <v>2231</v>
      </c>
    </row>
    <row r="95" spans="1:73" ht="39.950000000000003" customHeight="1" thickBot="1" x14ac:dyDescent="0.25">
      <c r="B95" s="496" t="s">
        <v>3855</v>
      </c>
      <c r="C95" s="179"/>
      <c r="D95" s="180">
        <v>567</v>
      </c>
      <c r="E95" s="180" t="s">
        <v>3856</v>
      </c>
      <c r="F95" s="273"/>
      <c r="G95" s="182"/>
      <c r="H95" s="183"/>
      <c r="I95" s="184"/>
      <c r="J95" s="184"/>
      <c r="K95" s="419"/>
      <c r="L95" s="185"/>
      <c r="M95" s="184"/>
      <c r="N95" s="186"/>
      <c r="O95" s="181"/>
      <c r="P95" s="186"/>
      <c r="Q95" s="184"/>
      <c r="R95" s="183"/>
      <c r="S95" s="188"/>
      <c r="T95" s="186"/>
      <c r="U95" s="189"/>
      <c r="V95" s="189"/>
      <c r="W95" s="190"/>
      <c r="X95" s="190"/>
      <c r="Y95" s="42"/>
      <c r="Z95" s="192"/>
      <c r="AA95" s="281"/>
      <c r="AB95" s="282"/>
      <c r="AC95" s="181"/>
      <c r="AD95" s="193"/>
      <c r="AE95" s="194"/>
      <c r="AF95" s="281"/>
      <c r="AG95" s="181"/>
      <c r="AH95" s="193"/>
      <c r="AI95" s="194"/>
      <c r="AJ95" s="281"/>
      <c r="AK95" s="181"/>
      <c r="AL95" s="346"/>
      <c r="AM95" s="194"/>
      <c r="AN95" s="281"/>
      <c r="AO95" s="181"/>
      <c r="AP95" s="193"/>
      <c r="AQ95" s="194"/>
      <c r="AR95" s="281"/>
      <c r="AS95" s="181"/>
      <c r="AT95" s="193"/>
      <c r="AU95" s="194"/>
      <c r="AV95" s="345"/>
      <c r="AW95" s="181"/>
      <c r="AX95" s="193"/>
      <c r="AY95" s="181"/>
      <c r="AZ95" s="281"/>
      <c r="BA95" s="181"/>
      <c r="BB95" s="193"/>
      <c r="BC95" s="181"/>
      <c r="BD95" s="281"/>
      <c r="BE95" s="181"/>
      <c r="BF95" s="193"/>
      <c r="BG95" s="195"/>
      <c r="BH95" s="281"/>
      <c r="BI95" s="181"/>
      <c r="BJ95" s="193"/>
      <c r="BK95" s="181"/>
      <c r="BL95" s="281"/>
      <c r="BM95" s="181"/>
      <c r="BN95" s="193"/>
      <c r="BO95" s="181"/>
      <c r="BP95" s="281"/>
      <c r="BQ95" s="181"/>
      <c r="BR95" s="193"/>
      <c r="BS95" s="181"/>
      <c r="BT95" s="281"/>
    </row>
    <row r="96" spans="1:73" ht="39.950000000000003" customHeight="1" thickBot="1" x14ac:dyDescent="0.25">
      <c r="A96" s="173">
        <f>+A94+1</f>
        <v>93</v>
      </c>
      <c r="B96" s="178" t="s">
        <v>641</v>
      </c>
      <c r="C96" s="179" t="s">
        <v>1606</v>
      </c>
      <c r="D96" s="180">
        <v>378</v>
      </c>
      <c r="E96" s="180" t="s">
        <v>3647</v>
      </c>
      <c r="F96" s="273" t="str">
        <f>VLOOKUP($D96,'Practice Descriptions'!$E$11:$F$186,2,FALSE)</f>
        <v>A water impoundment made by constructing an embankment or by excavating a pit or dugout.</v>
      </c>
      <c r="G96" s="182">
        <v>15</v>
      </c>
      <c r="H96" s="183">
        <v>8000</v>
      </c>
      <c r="I96" s="184">
        <v>0.01</v>
      </c>
      <c r="J96" s="184">
        <v>0.03</v>
      </c>
      <c r="K96" s="419">
        <f>IF(E96="No.",1,IF(E96="Ac.",1,(SQRT(VLOOKUP(O96,Lookup!$F$9:$H$18,3,FALSE)))*208/VLOOKUP(O96,Lookup!$F$9:$H$18,3,FALSE)))</f>
        <v>1</v>
      </c>
      <c r="L96" s="185" t="str">
        <f t="shared" si="8"/>
        <v/>
      </c>
      <c r="M96" s="184">
        <v>0</v>
      </c>
      <c r="N96" s="186">
        <f>IF(G96=1,H96,PMT(Lookup!$G$4,G96,-H96)+(H96*J96)+(M96*P96))*K96</f>
        <v>1017.2640981190208</v>
      </c>
      <c r="O96" s="181" t="s">
        <v>1260</v>
      </c>
      <c r="P96" s="186">
        <f>VLOOKUP($O96,Lookup!$F$9:$I$18,4,FALSE)</f>
        <v>50</v>
      </c>
      <c r="Q96" s="184">
        <v>0.25</v>
      </c>
      <c r="R96" s="183">
        <v>1</v>
      </c>
      <c r="S96" s="188" t="s">
        <v>3628</v>
      </c>
      <c r="T96" s="186">
        <f t="shared" si="10"/>
        <v>13.5</v>
      </c>
      <c r="U96" s="189">
        <f t="shared" si="11"/>
        <v>1.3270890052015271E-2</v>
      </c>
      <c r="V96" s="189">
        <f t="shared" si="9"/>
        <v>0</v>
      </c>
      <c r="W96" s="190">
        <f>IF(P96=0,0,IF(Q96+R96=0,0,PV(Lookup!$G$4,G96,-T96)/H96))</f>
        <v>1.7368613876120102E-2</v>
      </c>
      <c r="X96" s="190">
        <f>IF(I96=0,0,PMT(Lookup!$G$4,G96,-(H96*I96*K96))/P96)</f>
        <v>0.15545281962380417</v>
      </c>
      <c r="Y96" s="42" t="s">
        <v>986</v>
      </c>
      <c r="Z96" s="192">
        <f>VLOOKUP(Y96,Lookup!$B$4:$C$14,2,FALSE)</f>
        <v>0</v>
      </c>
      <c r="AA96" s="281" t="s">
        <v>2759</v>
      </c>
      <c r="AB96" s="282" t="s">
        <v>1072</v>
      </c>
      <c r="AC96" s="181" t="str">
        <f>VLOOKUP(AD96,Lookup!$C$4:$D$14,2,FALSE)</f>
        <v>Substantial Worsening</v>
      </c>
      <c r="AD96" s="193">
        <f>IF(P96/H96&lt;Lookup!$F$33,-5,IF(P96/H96&lt;Lookup!$F$32,-4,IF(P96/H96&lt;Lookup!$F$31,-3,IF(P96/H96&lt;Lookup!$F$30,-2,IF(P96/H96&lt;Lookup!$F$29,-1,-5)))))</f>
        <v>-5</v>
      </c>
      <c r="AE96" s="194" t="str">
        <f>VLOOKUP(AD96,Lookup!$G$28:$J$33,2,FALSE)</f>
        <v>One-time practice implementation cost 5 times or greater enterprise annual net income</v>
      </c>
      <c r="AF96" s="281" t="s">
        <v>1847</v>
      </c>
      <c r="AG96" s="181" t="str">
        <f>VLOOKUP(AH96,Lookup!$C$4:$D$14,2,FALSE)</f>
        <v>Moderate Worsening</v>
      </c>
      <c r="AH96" s="193">
        <f>IF(J96&gt;Lookup!$F$43,-5,IF(J96&gt;Lookup!$F$42,-4,IF(J96&gt;Lookup!$F$41,-3,IF(J96&gt;Lookup!$F$40,-2,IF(J96&gt;Lookup!$F$39,-1,0)))))</f>
        <v>-3</v>
      </c>
      <c r="AI96" s="194" t="str">
        <f>VLOOKUP(AH96,Lookup!$G$38:$J$43,2,FALSE)</f>
        <v>Annual O&amp;M costs 2 to 3% of total installation costs</v>
      </c>
      <c r="AJ96" s="281" t="s">
        <v>2992</v>
      </c>
      <c r="AK96" s="181" t="str">
        <f>VLOOKUP(AL96,Lookup!$C$4:$D$14,2,FALSE)</f>
        <v>Substantial Worsening</v>
      </c>
      <c r="AL96" s="346">
        <f>IF(N96=0,0,IF(U96&lt;Lookup!$F$58,-5,IF(U96&lt;Lookup!$F$57,-4,IF(U96&lt;Lookup!$F$56,-3,IF(U96&lt;Lookup!$F$55,-2,IF(U96&lt;Lookup!$F$54,-1,IF(U96&lt;Lookup!$F$53,0,IF(U96&lt;Lookup!$F$52,1,IF(U96&lt;Lookup!$F$51,2,IF(U96&lt;Lookup!$F$50,3,IF(U96&lt;Lookup!$F$49,4,5)))))))))))</f>
        <v>-5</v>
      </c>
      <c r="AM96" s="194" t="str">
        <f>VLOOKUP(AL96,Lookup!$G$48:$J$58,2,FALSE)</f>
        <v>B/C Ratio less than .02</v>
      </c>
      <c r="AN96" s="281" t="s">
        <v>3029</v>
      </c>
      <c r="AO96" s="181" t="str">
        <f>VLOOKUP(AP96,Lookup!$C$4:$D$14,2,FALSE)</f>
        <v>Moderate to Substantial Improvement</v>
      </c>
      <c r="AP96" s="193">
        <f>IF(Q96=0,0,IF(Q96&gt;Lookup!$F$63,5,IF(Q96&gt;Lookup!$F$64,4,IF(Q96&gt;Lookup!$F$65,3,IF(Q96&gt;Lookup!$F$66,2,IF(Q96&gt;Lookup!$F$67,1,IF(Q96&gt;Lookup!$F$69,-1,IF(Q96&gt;Lookup!$F$70,-2,IF(Q96&gt;Lookup!$F$71,-3,IF(Q96&gt;Lookup!$F$72,-4,-5))))))))))</f>
        <v>4</v>
      </c>
      <c r="AQ96" s="194" t="str">
        <f>VLOOKUP(AP96,Lookup!$G$63:$J$73,2,FALSE)</f>
        <v>25 to 50% yield increase</v>
      </c>
      <c r="AR96" s="281" t="s">
        <v>3124</v>
      </c>
      <c r="AS96" s="181" t="str">
        <f>VLOOKUP(AT96,Lookup!$C$4:$D$14,2,FALSE)</f>
        <v>No Effect</v>
      </c>
      <c r="AT96" s="193">
        <f>IF(V96=0,0,IF(V96&lt;Lookup!$F$79,5,IF(V96&lt;Lookup!$F$80,4,IF(V96&lt;Lookup!$F$81,3,IF(V96&lt;Lookup!$F$82,2,IF(V96&lt;Lookup!$F$83,1,IF(V96&lt;Lookup!$F$85,-1,IF(V96&lt;Lookup!$F$86,-2,IF(V96&lt;Lookup!$F$87,-3,IF(V96&lt;Lookup!$F$88,-4,-5))))))))))</f>
        <v>0</v>
      </c>
      <c r="AU96" s="194" t="str">
        <f>VLOOKUP(AT96,Lookup!$G$79:$J$89,2,FALSE)</f>
        <v>No breakeven</v>
      </c>
      <c r="AV96" s="345" t="str">
        <f>VLOOKUP(AT96,Lookup!$G$79:$J$89,4,FALSE)</f>
        <v>Annual costs greater than annual benefits</v>
      </c>
      <c r="AW96" s="181" t="str">
        <f>VLOOKUP(AX96,Lookup!$C$4:$D$14,2,FALSE)</f>
        <v>Slight Improvement</v>
      </c>
      <c r="AX96" s="193">
        <f>VLOOKUP(AY96,Lookup!$G$92:$J$97,4,FALSE)</f>
        <v>1</v>
      </c>
      <c r="AY96" s="181" t="s">
        <v>2636</v>
      </c>
      <c r="AZ96" s="281" t="s">
        <v>3190</v>
      </c>
      <c r="BA96" s="181" t="str">
        <f>VLOOKUP(BB96,Lookup!$C$4:$D$14,2,FALSE)</f>
        <v>Slight Worsening</v>
      </c>
      <c r="BB96" s="193">
        <f>VLOOKUP(BC96,Lookup!$G$100:$K$110,5,FALSE)</f>
        <v>-1</v>
      </c>
      <c r="BC96" s="181" t="s">
        <v>2637</v>
      </c>
      <c r="BD96" s="281" t="s">
        <v>3550</v>
      </c>
      <c r="BE96" s="181" t="str">
        <f>VLOOKUP(BF96,Lookup!$C$4:$D$14,2,FALSE)</f>
        <v>Slight to Moderate Worsening</v>
      </c>
      <c r="BF96" s="193">
        <f>IF(X96=0,0,IF(X96&gt;Lookup!$F$113,-5,IF(X96&gt;Lookup!$F$114,-4,IF(X96&gt;Lookup!$F$115,-3,IF(X96&gt;Lookup!$F$116,-2,IF(X96&gt;Lookup!$F$117,-1,0))))))</f>
        <v>-2</v>
      </c>
      <c r="BG96" s="195" t="str">
        <f>VLOOKUP(BF96,Lookup!$G$113:$H$118,2,FALSE)</f>
        <v>Annual on-farm equipment costs 25 to 5% of enterprise annual net income</v>
      </c>
      <c r="BH96" s="281" t="s">
        <v>3242</v>
      </c>
      <c r="BI96" s="181" t="str">
        <f>VLOOKUP(BJ96,Lookup!$C$4:$D$14,2,FALSE)</f>
        <v>Slight Worsening</v>
      </c>
      <c r="BJ96" s="193">
        <f>VLOOKUP(BK96,Lookup!$G$121:$L$131,6,FALSE)</f>
        <v>-1</v>
      </c>
      <c r="BK96" s="181" t="s">
        <v>2640</v>
      </c>
      <c r="BL96" s="281" t="s">
        <v>3315</v>
      </c>
      <c r="BM96" s="181" t="str">
        <f>VLOOKUP(BN96,Lookup!$C$4:$D$14,2,FALSE)</f>
        <v>Slight Worsening</v>
      </c>
      <c r="BN96" s="193">
        <f>VLOOKUP(BO96,Lookup!$G$134:$L$144,6,FALSE)</f>
        <v>-1</v>
      </c>
      <c r="BO96" s="181" t="s">
        <v>3373</v>
      </c>
      <c r="BP96" s="281" t="s">
        <v>3384</v>
      </c>
      <c r="BQ96" s="181" t="str">
        <f>VLOOKUP(BR96,Lookup!$C$4:$D$14,2,FALSE)</f>
        <v>Moderate to Substantial Improvement</v>
      </c>
      <c r="BR96" s="193">
        <f>VLOOKUP(BS96,Lookup!$G$147:$L$157,6,FALSE)</f>
        <v>4</v>
      </c>
      <c r="BS96" s="181" t="s">
        <v>2645</v>
      </c>
      <c r="BT96" s="281" t="s">
        <v>3471</v>
      </c>
      <c r="BU96" s="175" t="s">
        <v>2231</v>
      </c>
    </row>
    <row r="97" spans="1:73" ht="39.950000000000003" customHeight="1" thickBot="1" x14ac:dyDescent="0.25">
      <c r="A97" s="173">
        <f t="shared" si="12"/>
        <v>94</v>
      </c>
      <c r="B97" s="178" t="s">
        <v>642</v>
      </c>
      <c r="C97" s="179" t="s">
        <v>1472</v>
      </c>
      <c r="D97" s="180" t="s">
        <v>1422</v>
      </c>
      <c r="E97" s="180" t="s">
        <v>3647</v>
      </c>
      <c r="F97" s="273" t="str">
        <f>VLOOKUP($D97,'Practice Descriptions'!$E$11:$F$186,2,FALSE)</f>
        <v>A liner for a pond or waste storage impoundment consisting of a compacted soil-bentonite mixture.</v>
      </c>
      <c r="G97" s="182">
        <v>15</v>
      </c>
      <c r="H97" s="183">
        <v>5000</v>
      </c>
      <c r="I97" s="184">
        <v>0</v>
      </c>
      <c r="J97" s="184">
        <v>0.03</v>
      </c>
      <c r="K97" s="419">
        <f>IF(E97="No.",1,IF(E97="Ac.",1,(SQRT(VLOOKUP(O97,Lookup!$F$9:$H$18,3,FALSE)))*208/VLOOKUP(O97,Lookup!$F$9:$H$18,3,FALSE)))</f>
        <v>1</v>
      </c>
      <c r="L97" s="185" t="str">
        <f t="shared" si="8"/>
        <v/>
      </c>
      <c r="M97" s="184">
        <v>0</v>
      </c>
      <c r="N97" s="186">
        <f>IF(G97=1,H97,PMT(Lookup!$G$4,G97,-H97)+(H97*J97)+(M97*P97))*K97</f>
        <v>635.79006132438803</v>
      </c>
      <c r="O97" s="181" t="s">
        <v>1260</v>
      </c>
      <c r="P97" s="186">
        <f>VLOOKUP($O97,Lookup!$F$9:$I$18,4,FALSE)</f>
        <v>50</v>
      </c>
      <c r="Q97" s="184">
        <v>0.02</v>
      </c>
      <c r="R97" s="183">
        <v>6</v>
      </c>
      <c r="S97" s="188" t="s">
        <v>3629</v>
      </c>
      <c r="T97" s="186">
        <f t="shared" si="10"/>
        <v>7</v>
      </c>
      <c r="U97" s="189">
        <f t="shared" si="11"/>
        <v>1.1009923598708966E-2</v>
      </c>
      <c r="V97" s="189">
        <f t="shared" si="9"/>
        <v>0</v>
      </c>
      <c r="W97" s="190">
        <f>IF(P97=0,0,IF(Q97+R97=0,0,PV(Lookup!$G$4,G97,-T97)/H97))</f>
        <v>1.4409516697225566E-2</v>
      </c>
      <c r="X97" s="190">
        <f>IF(I97=0,0,PMT(Lookup!$G$4,G97,-(H97*I97*K97))/P97)</f>
        <v>0</v>
      </c>
      <c r="Y97" s="42" t="s">
        <v>986</v>
      </c>
      <c r="Z97" s="192">
        <f>VLOOKUP(Y97,Lookup!$B$4:$C$14,2,FALSE)</f>
        <v>0</v>
      </c>
      <c r="AA97" s="281" t="s">
        <v>2759</v>
      </c>
      <c r="AB97" s="282" t="s">
        <v>1072</v>
      </c>
      <c r="AC97" s="181" t="str">
        <f>VLOOKUP(AD97,Lookup!$C$4:$D$14,2,FALSE)</f>
        <v>Substantial Worsening</v>
      </c>
      <c r="AD97" s="193">
        <f>IF(P97/H97&lt;Lookup!$F$33,-5,IF(P97/H97&lt;Lookup!$F$32,-4,IF(P97/H97&lt;Lookup!$F$31,-3,IF(P97/H97&lt;Lookup!$F$30,-2,IF(P97/H97&lt;Lookup!$F$29,-1,-5)))))</f>
        <v>-5</v>
      </c>
      <c r="AE97" s="194" t="str">
        <f>VLOOKUP(AD97,Lookup!$G$28:$J$33,2,FALSE)</f>
        <v>One-time practice implementation cost 5 times or greater enterprise annual net income</v>
      </c>
      <c r="AF97" s="281" t="s">
        <v>1854</v>
      </c>
      <c r="AG97" s="181" t="str">
        <f>VLOOKUP(AH97,Lookup!$C$4:$D$14,2,FALSE)</f>
        <v>Moderate Worsening</v>
      </c>
      <c r="AH97" s="193">
        <f>IF(J97&gt;Lookup!$F$43,-5,IF(J97&gt;Lookup!$F$42,-4,IF(J97&gt;Lookup!$F$41,-3,IF(J97&gt;Lookup!$F$40,-2,IF(J97&gt;Lookup!$F$39,-1,0)))))</f>
        <v>-3</v>
      </c>
      <c r="AI97" s="194" t="str">
        <f>VLOOKUP(AH97,Lookup!$G$38:$J$43,2,FALSE)</f>
        <v>Annual O&amp;M costs 2 to 3% of total installation costs</v>
      </c>
      <c r="AJ97" s="281" t="s">
        <v>2993</v>
      </c>
      <c r="AK97" s="181" t="str">
        <f>VLOOKUP(AL97,Lookup!$C$4:$D$14,2,FALSE)</f>
        <v>Substantial Worsening</v>
      </c>
      <c r="AL97" s="346">
        <f>IF(N97=0,0,IF(U97&lt;Lookup!$F$58,-5,IF(U97&lt;Lookup!$F$57,-4,IF(U97&lt;Lookup!$F$56,-3,IF(U97&lt;Lookup!$F$55,-2,IF(U97&lt;Lookup!$F$54,-1,IF(U97&lt;Lookup!$F$53,0,IF(U97&lt;Lookup!$F$52,1,IF(U97&lt;Lookup!$F$51,2,IF(U97&lt;Lookup!$F$50,3,IF(U97&lt;Lookup!$F$49,4,5)))))))))))</f>
        <v>-5</v>
      </c>
      <c r="AM97" s="194" t="str">
        <f>VLOOKUP(AL97,Lookup!$G$48:$J$58,2,FALSE)</f>
        <v>B/C Ratio less than .02</v>
      </c>
      <c r="AN97" s="281" t="s">
        <v>3055</v>
      </c>
      <c r="AO97" s="181" t="str">
        <f>VLOOKUP(AP97,Lookup!$C$4:$D$14,2,FALSE)</f>
        <v>Slight Improvement</v>
      </c>
      <c r="AP97" s="193">
        <f>IF(Q97=0,0,IF(Q97&gt;Lookup!$F$63,5,IF(Q97&gt;Lookup!$F$64,4,IF(Q97&gt;Lookup!$F$65,3,IF(Q97&gt;Lookup!$F$66,2,IF(Q97&gt;Lookup!$F$67,1,IF(Q97&gt;Lookup!$F$69,-1,IF(Q97&gt;Lookup!$F$70,-2,IF(Q97&gt;Lookup!$F$71,-3,IF(Q97&gt;Lookup!$F$72,-4,-5))))))))))</f>
        <v>1</v>
      </c>
      <c r="AQ97" s="194" t="str">
        <f>VLOOKUP(AP97,Lookup!$G$63:$J$73,2,FALSE)</f>
        <v>5% or less yield increase</v>
      </c>
      <c r="AR97" s="281" t="s">
        <v>3123</v>
      </c>
      <c r="AS97" s="181" t="str">
        <f>VLOOKUP(AT97,Lookup!$C$4:$D$14,2,FALSE)</f>
        <v>No Effect</v>
      </c>
      <c r="AT97" s="193">
        <f>IF(V97=0,0,IF(V97&lt;Lookup!$F$79,5,IF(V97&lt;Lookup!$F$80,4,IF(V97&lt;Lookup!$F$81,3,IF(V97&lt;Lookup!$F$82,2,IF(V97&lt;Lookup!$F$83,1,IF(V97&lt;Lookup!$F$85,-1,IF(V97&lt;Lookup!$F$86,-2,IF(V97&lt;Lookup!$F$87,-3,IF(V97&lt;Lookup!$F$88,-4,-5))))))))))</f>
        <v>0</v>
      </c>
      <c r="AU97" s="194" t="str">
        <f>VLOOKUP(AT97,Lookup!$G$79:$J$89,2,FALSE)</f>
        <v>No breakeven</v>
      </c>
      <c r="AV97" s="345" t="str">
        <f>VLOOKUP(AT97,Lookup!$G$79:$J$89,4,FALSE)</f>
        <v>Annual costs greater than annual benefits</v>
      </c>
      <c r="AW97" s="181" t="str">
        <f>VLOOKUP(AX97,Lookup!$C$4:$D$14,2,FALSE)</f>
        <v>No Effect</v>
      </c>
      <c r="AX97" s="193">
        <f>VLOOKUP(AY97,Lookup!$G$92:$J$97,4,FALSE)</f>
        <v>0</v>
      </c>
      <c r="AY97" s="181" t="s">
        <v>2642</v>
      </c>
      <c r="AZ97" s="281" t="s">
        <v>3154</v>
      </c>
      <c r="BA97" s="181" t="str">
        <f>VLOOKUP(BB97,Lookup!$C$4:$D$14,2,FALSE)</f>
        <v>No Effect</v>
      </c>
      <c r="BB97" s="193">
        <f>VLOOKUP(BC97,Lookup!$G$100:$K$110,5,FALSE)</f>
        <v>0</v>
      </c>
      <c r="BC97" s="181" t="s">
        <v>2643</v>
      </c>
      <c r="BD97" s="281" t="s">
        <v>3154</v>
      </c>
      <c r="BE97" s="181" t="str">
        <f>VLOOKUP(BF97,Lookup!$C$4:$D$14,2,FALSE)</f>
        <v>No Effect</v>
      </c>
      <c r="BF97" s="193">
        <f>IF(X97=0,0,IF(X97&gt;Lookup!$F$113,-5,IF(X97&gt;Lookup!$F$114,-4,IF(X97&gt;Lookup!$F$115,-3,IF(X97&gt;Lookup!$F$116,-2,IF(X97&gt;Lookup!$F$117,-1,0))))))</f>
        <v>0</v>
      </c>
      <c r="BG97" s="195" t="str">
        <f>VLOOKUP(BF97,Lookup!$G$113:$H$118,2,FALSE)</f>
        <v>No change in on-farm equipment</v>
      </c>
      <c r="BH97" s="281" t="s">
        <v>1841</v>
      </c>
      <c r="BI97" s="181" t="str">
        <f>VLOOKUP(BJ97,Lookup!$C$4:$D$14,2,FALSE)</f>
        <v>Slight Improvement</v>
      </c>
      <c r="BJ97" s="193">
        <f>VLOOKUP(BK97,Lookup!$G$121:$L$131,6,FALSE)</f>
        <v>1</v>
      </c>
      <c r="BK97" s="181" t="s">
        <v>2638</v>
      </c>
      <c r="BL97" s="281" t="s">
        <v>3316</v>
      </c>
      <c r="BM97" s="181" t="str">
        <f>VLOOKUP(BN97,Lookup!$C$4:$D$14,2,FALSE)</f>
        <v>No Effect</v>
      </c>
      <c r="BN97" s="193">
        <f>VLOOKUP(BO97,Lookup!$G$134:$L$144,6,FALSE)</f>
        <v>0</v>
      </c>
      <c r="BO97" s="181" t="s">
        <v>2646</v>
      </c>
      <c r="BP97" s="281" t="s">
        <v>3154</v>
      </c>
      <c r="BQ97" s="181" t="str">
        <f>VLOOKUP(BR97,Lookup!$C$4:$D$14,2,FALSE)</f>
        <v>Slight to Moderate Improvement</v>
      </c>
      <c r="BR97" s="193">
        <f>VLOOKUP(BS97,Lookup!$G$147:$L$157,6,FALSE)</f>
        <v>2</v>
      </c>
      <c r="BS97" s="181" t="s">
        <v>2641</v>
      </c>
      <c r="BT97" s="281" t="s">
        <v>3472</v>
      </c>
      <c r="BU97" s="175" t="s">
        <v>2231</v>
      </c>
    </row>
    <row r="98" spans="1:73" ht="39.950000000000003" customHeight="1" thickBot="1" x14ac:dyDescent="0.25">
      <c r="A98" s="173">
        <f t="shared" si="12"/>
        <v>95</v>
      </c>
      <c r="B98" s="178" t="s">
        <v>643</v>
      </c>
      <c r="C98" s="179" t="s">
        <v>1472</v>
      </c>
      <c r="D98" s="180" t="s">
        <v>766</v>
      </c>
      <c r="E98" s="180" t="s">
        <v>3647</v>
      </c>
      <c r="F98" s="273" t="str">
        <f>VLOOKUP($D98,'Practice Descriptions'!$E$11:$F$186,2,FALSE)</f>
        <v>A liner for a pond or waste storage impoundment constructed using compacted soil without soil amendments.</v>
      </c>
      <c r="G98" s="182">
        <v>20</v>
      </c>
      <c r="H98" s="183">
        <v>6000</v>
      </c>
      <c r="I98" s="184">
        <v>0</v>
      </c>
      <c r="J98" s="184">
        <v>0.03</v>
      </c>
      <c r="K98" s="419">
        <f>IF(E98="No.",1,IF(E98="Ac.",1,(SQRT(VLOOKUP(O98,Lookup!$F$9:$H$18,3,FALSE)))*208/VLOOKUP(O98,Lookup!$F$9:$H$18,3,FALSE)))</f>
        <v>1</v>
      </c>
      <c r="L98" s="185" t="str">
        <f t="shared" si="8"/>
        <v/>
      </c>
      <c r="M98" s="184">
        <v>0</v>
      </c>
      <c r="N98" s="186">
        <f>IF(G98=1,H98,PMT(Lookup!$G$4,G98,-H98)+(H98*J98)+(M98*P98))*K98</f>
        <v>666.57151287573038</v>
      </c>
      <c r="O98" s="181" t="s">
        <v>1260</v>
      </c>
      <c r="P98" s="186">
        <f>VLOOKUP($O98,Lookup!$F$9:$I$18,4,FALSE)</f>
        <v>50</v>
      </c>
      <c r="Q98" s="184">
        <v>0.02</v>
      </c>
      <c r="R98" s="183">
        <v>6</v>
      </c>
      <c r="S98" s="188" t="s">
        <v>3629</v>
      </c>
      <c r="T98" s="186">
        <f t="shared" si="10"/>
        <v>7</v>
      </c>
      <c r="U98" s="189">
        <f t="shared" si="11"/>
        <v>1.0501498886144295E-2</v>
      </c>
      <c r="V98" s="189">
        <f t="shared" si="9"/>
        <v>0</v>
      </c>
      <c r="W98" s="190">
        <f>IF(P98=0,0,IF(Q98+R98=0,0,PV(Lookup!$G$4,G98,-T98)/H98))</f>
        <v>1.4386374489185904E-2</v>
      </c>
      <c r="X98" s="190">
        <f>IF(I98=0,0,PMT(Lookup!$G$4,G98,-(H98*I98*K98))/P98)</f>
        <v>0</v>
      </c>
      <c r="Y98" s="42" t="s">
        <v>986</v>
      </c>
      <c r="Z98" s="192">
        <f>VLOOKUP(Y98,Lookup!$B$4:$C$14,2,FALSE)</f>
        <v>0</v>
      </c>
      <c r="AA98" s="281" t="s">
        <v>2759</v>
      </c>
      <c r="AB98" s="282" t="s">
        <v>1072</v>
      </c>
      <c r="AC98" s="181" t="str">
        <f>VLOOKUP(AD98,Lookup!$C$4:$D$14,2,FALSE)</f>
        <v>Substantial Worsening</v>
      </c>
      <c r="AD98" s="193">
        <f>IF(P98/H98&lt;Lookup!$F$33,-5,IF(P98/H98&lt;Lookup!$F$32,-4,IF(P98/H98&lt;Lookup!$F$31,-3,IF(P98/H98&lt;Lookup!$F$30,-2,IF(P98/H98&lt;Lookup!$F$29,-1,-5)))))</f>
        <v>-5</v>
      </c>
      <c r="AE98" s="194" t="str">
        <f>VLOOKUP(AD98,Lookup!$G$28:$J$33,2,FALSE)</f>
        <v>One-time practice implementation cost 5 times or greater enterprise annual net income</v>
      </c>
      <c r="AF98" s="281" t="s">
        <v>1854</v>
      </c>
      <c r="AG98" s="181" t="str">
        <f>VLOOKUP(AH98,Lookup!$C$4:$D$14,2,FALSE)</f>
        <v>Moderate Worsening</v>
      </c>
      <c r="AH98" s="193">
        <f>IF(J98&gt;Lookup!$F$43,-5,IF(J98&gt;Lookup!$F$42,-4,IF(J98&gt;Lookup!$F$41,-3,IF(J98&gt;Lookup!$F$40,-2,IF(J98&gt;Lookup!$F$39,-1,0)))))</f>
        <v>-3</v>
      </c>
      <c r="AI98" s="194" t="str">
        <f>VLOOKUP(AH98,Lookup!$G$38:$J$43,2,FALSE)</f>
        <v>Annual O&amp;M costs 2 to 3% of total installation costs</v>
      </c>
      <c r="AJ98" s="281" t="s">
        <v>2993</v>
      </c>
      <c r="AK98" s="181" t="str">
        <f>VLOOKUP(AL98,Lookup!$C$4:$D$14,2,FALSE)</f>
        <v>Substantial Worsening</v>
      </c>
      <c r="AL98" s="346">
        <f>IF(N98=0,0,IF(U98&lt;Lookup!$F$58,-5,IF(U98&lt;Lookup!$F$57,-4,IF(U98&lt;Lookup!$F$56,-3,IF(U98&lt;Lookup!$F$55,-2,IF(U98&lt;Lookup!$F$54,-1,IF(U98&lt;Lookup!$F$53,0,IF(U98&lt;Lookup!$F$52,1,IF(U98&lt;Lookup!$F$51,2,IF(U98&lt;Lookup!$F$50,3,IF(U98&lt;Lookup!$F$49,4,5)))))))))))</f>
        <v>-5</v>
      </c>
      <c r="AM98" s="194" t="str">
        <f>VLOOKUP(AL98,Lookup!$G$48:$J$58,2,FALSE)</f>
        <v>B/C Ratio less than .02</v>
      </c>
      <c r="AN98" s="281" t="s">
        <v>3055</v>
      </c>
      <c r="AO98" s="181" t="str">
        <f>VLOOKUP(AP98,Lookup!$C$4:$D$14,2,FALSE)</f>
        <v>Slight Improvement</v>
      </c>
      <c r="AP98" s="193">
        <f>IF(Q98=0,0,IF(Q98&gt;Lookup!$F$63,5,IF(Q98&gt;Lookup!$F$64,4,IF(Q98&gt;Lookup!$F$65,3,IF(Q98&gt;Lookup!$F$66,2,IF(Q98&gt;Lookup!$F$67,1,IF(Q98&gt;Lookup!$F$69,-1,IF(Q98&gt;Lookup!$F$70,-2,IF(Q98&gt;Lookup!$F$71,-3,IF(Q98&gt;Lookup!$F$72,-4,-5))))))))))</f>
        <v>1</v>
      </c>
      <c r="AQ98" s="194" t="str">
        <f>VLOOKUP(AP98,Lookup!$G$63:$J$73,2,FALSE)</f>
        <v>5% or less yield increase</v>
      </c>
      <c r="AR98" s="281" t="s">
        <v>3123</v>
      </c>
      <c r="AS98" s="181" t="str">
        <f>VLOOKUP(AT98,Lookup!$C$4:$D$14,2,FALSE)</f>
        <v>No Effect</v>
      </c>
      <c r="AT98" s="193">
        <f>IF(V98=0,0,IF(V98&lt;Lookup!$F$79,5,IF(V98&lt;Lookup!$F$80,4,IF(V98&lt;Lookup!$F$81,3,IF(V98&lt;Lookup!$F$82,2,IF(V98&lt;Lookup!$F$83,1,IF(V98&lt;Lookup!$F$85,-1,IF(V98&lt;Lookup!$F$86,-2,IF(V98&lt;Lookup!$F$87,-3,IF(V98&lt;Lookup!$F$88,-4,-5))))))))))</f>
        <v>0</v>
      </c>
      <c r="AU98" s="194" t="str">
        <f>VLOOKUP(AT98,Lookup!$G$79:$J$89,2,FALSE)</f>
        <v>No breakeven</v>
      </c>
      <c r="AV98" s="345" t="str">
        <f>VLOOKUP(AT98,Lookup!$G$79:$J$89,4,FALSE)</f>
        <v>Annual costs greater than annual benefits</v>
      </c>
      <c r="AW98" s="181" t="str">
        <f>VLOOKUP(AX98,Lookup!$C$4:$D$14,2,FALSE)</f>
        <v>No Effect</v>
      </c>
      <c r="AX98" s="193">
        <f>VLOOKUP(AY98,Lookup!$G$92:$J$97,4,FALSE)</f>
        <v>0</v>
      </c>
      <c r="AY98" s="181" t="s">
        <v>2642</v>
      </c>
      <c r="AZ98" s="281" t="s">
        <v>3154</v>
      </c>
      <c r="BA98" s="181" t="str">
        <f>VLOOKUP(BB98,Lookup!$C$4:$D$14,2,FALSE)</f>
        <v>No Effect</v>
      </c>
      <c r="BB98" s="193">
        <f>VLOOKUP(BC98,Lookup!$G$100:$K$110,5,FALSE)</f>
        <v>0</v>
      </c>
      <c r="BC98" s="181" t="s">
        <v>2643</v>
      </c>
      <c r="BD98" s="281" t="s">
        <v>3154</v>
      </c>
      <c r="BE98" s="181" t="str">
        <f>VLOOKUP(BF98,Lookup!$C$4:$D$14,2,FALSE)</f>
        <v>No Effect</v>
      </c>
      <c r="BF98" s="193">
        <f>IF(X98=0,0,IF(X98&gt;Lookup!$F$113,-5,IF(X98&gt;Lookup!$F$114,-4,IF(X98&gt;Lookup!$F$115,-3,IF(X98&gt;Lookup!$F$116,-2,IF(X98&gt;Lookup!$F$117,-1,0))))))</f>
        <v>0</v>
      </c>
      <c r="BG98" s="195" t="str">
        <f>VLOOKUP(BF98,Lookup!$G$113:$H$118,2,FALSE)</f>
        <v>No change in on-farm equipment</v>
      </c>
      <c r="BH98" s="281" t="s">
        <v>1841</v>
      </c>
      <c r="BI98" s="181" t="str">
        <f>VLOOKUP(BJ98,Lookup!$C$4:$D$14,2,FALSE)</f>
        <v>Slight Improvement</v>
      </c>
      <c r="BJ98" s="193">
        <f>VLOOKUP(BK98,Lookup!$G$121:$L$131,6,FALSE)</f>
        <v>1</v>
      </c>
      <c r="BK98" s="181" t="s">
        <v>2638</v>
      </c>
      <c r="BL98" s="281" t="s">
        <v>3316</v>
      </c>
      <c r="BM98" s="181" t="str">
        <f>VLOOKUP(BN98,Lookup!$C$4:$D$14,2,FALSE)</f>
        <v>No Effect</v>
      </c>
      <c r="BN98" s="193">
        <f>VLOOKUP(BO98,Lookup!$G$134:$L$144,6,FALSE)</f>
        <v>0</v>
      </c>
      <c r="BO98" s="181" t="s">
        <v>2646</v>
      </c>
      <c r="BP98" s="281" t="s">
        <v>3154</v>
      </c>
      <c r="BQ98" s="181" t="str">
        <f>VLOOKUP(BR98,Lookup!$C$4:$D$14,2,FALSE)</f>
        <v>Slight to Moderate Improvement</v>
      </c>
      <c r="BR98" s="193">
        <f>VLOOKUP(BS98,Lookup!$G$147:$L$157,6,FALSE)</f>
        <v>2</v>
      </c>
      <c r="BS98" s="181" t="s">
        <v>2641</v>
      </c>
      <c r="BT98" s="281" t="s">
        <v>3472</v>
      </c>
      <c r="BU98" s="175" t="s">
        <v>2231</v>
      </c>
    </row>
    <row r="99" spans="1:73" ht="39.950000000000003" customHeight="1" thickBot="1" x14ac:dyDescent="0.25">
      <c r="A99" s="173">
        <f t="shared" si="12"/>
        <v>96</v>
      </c>
      <c r="B99" s="178" t="s">
        <v>644</v>
      </c>
      <c r="C99" s="179" t="s">
        <v>1474</v>
      </c>
      <c r="D99" s="180" t="s">
        <v>1420</v>
      </c>
      <c r="E99" s="180" t="s">
        <v>3647</v>
      </c>
      <c r="F99" s="273" t="str">
        <f>VLOOKUP($D99,'Practice Descriptions'!$E$11:$F$186,2,FALSE)</f>
        <v xml:space="preserve">A manufactured hydraulic barrier consisting of a functionally continuous layer of synthetic or partially synthetic, flexible material.  </v>
      </c>
      <c r="G99" s="182">
        <v>20</v>
      </c>
      <c r="H99" s="183">
        <v>6500</v>
      </c>
      <c r="I99" s="184">
        <v>0</v>
      </c>
      <c r="J99" s="184">
        <v>0.03</v>
      </c>
      <c r="K99" s="419">
        <f>IF(E99="No.",1,IF(E99="Ac.",1,(SQRT(VLOOKUP(O99,Lookup!$F$9:$H$18,3,FALSE)))*208/VLOOKUP(O99,Lookup!$F$9:$H$18,3,FALSE)))</f>
        <v>1</v>
      </c>
      <c r="L99" s="185" t="str">
        <f t="shared" si="8"/>
        <v/>
      </c>
      <c r="M99" s="184">
        <v>0</v>
      </c>
      <c r="N99" s="186">
        <f>IF(G99=1,H99,PMT(Lookup!$G$4,G99,-H99)+(H99*J99)+(M99*P99))*K99</f>
        <v>722.11913894870793</v>
      </c>
      <c r="O99" s="181" t="s">
        <v>1260</v>
      </c>
      <c r="P99" s="186">
        <f>VLOOKUP($O99,Lookup!$F$9:$I$18,4,FALSE)</f>
        <v>50</v>
      </c>
      <c r="Q99" s="184">
        <v>0.02</v>
      </c>
      <c r="R99" s="183">
        <v>6</v>
      </c>
      <c r="S99" s="188" t="s">
        <v>3629</v>
      </c>
      <c r="T99" s="186">
        <f t="shared" si="10"/>
        <v>7</v>
      </c>
      <c r="U99" s="189">
        <f t="shared" si="11"/>
        <v>9.6936912795178107E-3</v>
      </c>
      <c r="V99" s="189">
        <f t="shared" si="9"/>
        <v>0</v>
      </c>
      <c r="W99" s="190">
        <f>IF(P99=0,0,IF(Q99+R99=0,0,PV(Lookup!$G$4,G99,-T99)/H99))</f>
        <v>1.3279730297710065E-2</v>
      </c>
      <c r="X99" s="190">
        <f>IF(I99=0,0,PMT(Lookup!$G$4,G99,-(H99*I99*K99))/P99)</f>
        <v>0</v>
      </c>
      <c r="Y99" s="42" t="s">
        <v>986</v>
      </c>
      <c r="Z99" s="192">
        <f>VLOOKUP(Y99,Lookup!$B$4:$C$14,2,FALSE)</f>
        <v>0</v>
      </c>
      <c r="AA99" s="281" t="s">
        <v>2759</v>
      </c>
      <c r="AB99" s="282" t="s">
        <v>1072</v>
      </c>
      <c r="AC99" s="181" t="str">
        <f>VLOOKUP(AD99,Lookup!$C$4:$D$14,2,FALSE)</f>
        <v>Substantial Worsening</v>
      </c>
      <c r="AD99" s="193">
        <f>IF(P99/H99&lt;Lookup!$F$33,-5,IF(P99/H99&lt;Lookup!$F$32,-4,IF(P99/H99&lt;Lookup!$F$31,-3,IF(P99/H99&lt;Lookup!$F$30,-2,IF(P99/H99&lt;Lookup!$F$29,-1,-5)))))</f>
        <v>-5</v>
      </c>
      <c r="AE99" s="194" t="str">
        <f>VLOOKUP(AD99,Lookup!$G$28:$J$33,2,FALSE)</f>
        <v>One-time practice implementation cost 5 times or greater enterprise annual net income</v>
      </c>
      <c r="AF99" s="281" t="s">
        <v>1854</v>
      </c>
      <c r="AG99" s="181" t="str">
        <f>VLOOKUP(AH99,Lookup!$C$4:$D$14,2,FALSE)</f>
        <v>Moderate Worsening</v>
      </c>
      <c r="AH99" s="193">
        <f>IF(J99&gt;Lookup!$F$43,-5,IF(J99&gt;Lookup!$F$42,-4,IF(J99&gt;Lookup!$F$41,-3,IF(J99&gt;Lookup!$F$40,-2,IF(J99&gt;Lookup!$F$39,-1,0)))))</f>
        <v>-3</v>
      </c>
      <c r="AI99" s="194" t="str">
        <f>VLOOKUP(AH99,Lookup!$G$38:$J$43,2,FALSE)</f>
        <v>Annual O&amp;M costs 2 to 3% of total installation costs</v>
      </c>
      <c r="AJ99" s="281" t="s">
        <v>2993</v>
      </c>
      <c r="AK99" s="181" t="str">
        <f>VLOOKUP(AL99,Lookup!$C$4:$D$14,2,FALSE)</f>
        <v>Substantial Worsening</v>
      </c>
      <c r="AL99" s="346">
        <f>IF(N99=0,0,IF(U99&lt;Lookup!$F$58,-5,IF(U99&lt;Lookup!$F$57,-4,IF(U99&lt;Lookup!$F$56,-3,IF(U99&lt;Lookup!$F$55,-2,IF(U99&lt;Lookup!$F$54,-1,IF(U99&lt;Lookup!$F$53,0,IF(U99&lt;Lookup!$F$52,1,IF(U99&lt;Lookup!$F$51,2,IF(U99&lt;Lookup!$F$50,3,IF(U99&lt;Lookup!$F$49,4,5)))))))))))</f>
        <v>-5</v>
      </c>
      <c r="AM99" s="194" t="str">
        <f>VLOOKUP(AL99,Lookup!$G$48:$J$58,2,FALSE)</f>
        <v>B/C Ratio less than .02</v>
      </c>
      <c r="AN99" s="281" t="s">
        <v>3055</v>
      </c>
      <c r="AO99" s="181" t="str">
        <f>VLOOKUP(AP99,Lookup!$C$4:$D$14,2,FALSE)</f>
        <v>Slight Improvement</v>
      </c>
      <c r="AP99" s="193">
        <f>IF(Q99=0,0,IF(Q99&gt;Lookup!$F$63,5,IF(Q99&gt;Lookup!$F$64,4,IF(Q99&gt;Lookup!$F$65,3,IF(Q99&gt;Lookup!$F$66,2,IF(Q99&gt;Lookup!$F$67,1,IF(Q99&gt;Lookup!$F$69,-1,IF(Q99&gt;Lookup!$F$70,-2,IF(Q99&gt;Lookup!$F$71,-3,IF(Q99&gt;Lookup!$F$72,-4,-5))))))))))</f>
        <v>1</v>
      </c>
      <c r="AQ99" s="194" t="str">
        <f>VLOOKUP(AP99,Lookup!$G$63:$J$73,2,FALSE)</f>
        <v>5% or less yield increase</v>
      </c>
      <c r="AR99" s="281" t="s">
        <v>3123</v>
      </c>
      <c r="AS99" s="181" t="str">
        <f>VLOOKUP(AT99,Lookup!$C$4:$D$14,2,FALSE)</f>
        <v>No Effect</v>
      </c>
      <c r="AT99" s="193">
        <f>IF(V99=0,0,IF(V99&lt;Lookup!$F$79,5,IF(V99&lt;Lookup!$F$80,4,IF(V99&lt;Lookup!$F$81,3,IF(V99&lt;Lookup!$F$82,2,IF(V99&lt;Lookup!$F$83,1,IF(V99&lt;Lookup!$F$85,-1,IF(V99&lt;Lookup!$F$86,-2,IF(V99&lt;Lookup!$F$87,-3,IF(V99&lt;Lookup!$F$88,-4,-5))))))))))</f>
        <v>0</v>
      </c>
      <c r="AU99" s="194" t="str">
        <f>VLOOKUP(AT99,Lookup!$G$79:$J$89,2,FALSE)</f>
        <v>No breakeven</v>
      </c>
      <c r="AV99" s="345" t="str">
        <f>VLOOKUP(AT99,Lookup!$G$79:$J$89,4,FALSE)</f>
        <v>Annual costs greater than annual benefits</v>
      </c>
      <c r="AW99" s="181" t="str">
        <f>VLOOKUP(AX99,Lookup!$C$4:$D$14,2,FALSE)</f>
        <v>No Effect</v>
      </c>
      <c r="AX99" s="193">
        <f>VLOOKUP(AY99,Lookup!$G$92:$J$97,4,FALSE)</f>
        <v>0</v>
      </c>
      <c r="AY99" s="181" t="s">
        <v>2642</v>
      </c>
      <c r="AZ99" s="281" t="s">
        <v>3154</v>
      </c>
      <c r="BA99" s="181" t="str">
        <f>VLOOKUP(BB99,Lookup!$C$4:$D$14,2,FALSE)</f>
        <v>No Effect</v>
      </c>
      <c r="BB99" s="193">
        <f>VLOOKUP(BC99,Lookup!$G$100:$K$110,5,FALSE)</f>
        <v>0</v>
      </c>
      <c r="BC99" s="181" t="s">
        <v>2643</v>
      </c>
      <c r="BD99" s="281" t="s">
        <v>3154</v>
      </c>
      <c r="BE99" s="181" t="str">
        <f>VLOOKUP(BF99,Lookup!$C$4:$D$14,2,FALSE)</f>
        <v>No Effect</v>
      </c>
      <c r="BF99" s="193">
        <f>IF(X99=0,0,IF(X99&gt;Lookup!$F$113,-5,IF(X99&gt;Lookup!$F$114,-4,IF(X99&gt;Lookup!$F$115,-3,IF(X99&gt;Lookup!$F$116,-2,IF(X99&gt;Lookup!$F$117,-1,0))))))</f>
        <v>0</v>
      </c>
      <c r="BG99" s="195" t="str">
        <f>VLOOKUP(BF99,Lookup!$G$113:$H$118,2,FALSE)</f>
        <v>No change in on-farm equipment</v>
      </c>
      <c r="BH99" s="281" t="s">
        <v>1841</v>
      </c>
      <c r="BI99" s="181" t="str">
        <f>VLOOKUP(BJ99,Lookup!$C$4:$D$14,2,FALSE)</f>
        <v>Slight Improvement</v>
      </c>
      <c r="BJ99" s="193">
        <f>VLOOKUP(BK99,Lookup!$G$121:$L$131,6,FALSE)</f>
        <v>1</v>
      </c>
      <c r="BK99" s="181" t="s">
        <v>2638</v>
      </c>
      <c r="BL99" s="281" t="s">
        <v>3316</v>
      </c>
      <c r="BM99" s="181" t="str">
        <f>VLOOKUP(BN99,Lookup!$C$4:$D$14,2,FALSE)</f>
        <v>No Effect</v>
      </c>
      <c r="BN99" s="193">
        <f>VLOOKUP(BO99,Lookup!$G$134:$L$144,6,FALSE)</f>
        <v>0</v>
      </c>
      <c r="BO99" s="181" t="s">
        <v>2646</v>
      </c>
      <c r="BP99" s="281" t="s">
        <v>3154</v>
      </c>
      <c r="BQ99" s="181" t="str">
        <f>VLOOKUP(BR99,Lookup!$C$4:$D$14,2,FALSE)</f>
        <v>Slight to Moderate Improvement</v>
      </c>
      <c r="BR99" s="193">
        <f>VLOOKUP(BS99,Lookup!$G$147:$L$157,6,FALSE)</f>
        <v>2</v>
      </c>
      <c r="BS99" s="181" t="s">
        <v>2641</v>
      </c>
      <c r="BT99" s="281" t="s">
        <v>3472</v>
      </c>
      <c r="BU99" s="175" t="s">
        <v>2231</v>
      </c>
    </row>
    <row r="100" spans="1:73" ht="39.950000000000003" customHeight="1" thickBot="1" x14ac:dyDescent="0.25">
      <c r="A100" s="173">
        <f t="shared" si="12"/>
        <v>97</v>
      </c>
      <c r="B100" s="178" t="s">
        <v>645</v>
      </c>
      <c r="C100" s="179" t="s">
        <v>1472</v>
      </c>
      <c r="D100" s="180" t="s">
        <v>1421</v>
      </c>
      <c r="E100" s="180" t="s">
        <v>3646</v>
      </c>
      <c r="F100" s="273" t="str">
        <f>VLOOKUP($D100,'Practice Descriptions'!$E$11:$F$186,2,FALSE)</f>
        <v>A liner for a pond or waste impoundment consisting of a compacted soil-dispersant mixture.</v>
      </c>
      <c r="G100" s="182">
        <v>10</v>
      </c>
      <c r="H100" s="183">
        <v>5000</v>
      </c>
      <c r="I100" s="184">
        <v>0</v>
      </c>
      <c r="J100" s="184">
        <v>0.02</v>
      </c>
      <c r="K100" s="419">
        <f>IF(E100="No.",1,IF(E100="Ac.",1,(SQRT(VLOOKUP(O100,Lookup!$F$9:$H$18,3,FALSE)))*208/VLOOKUP(O100,Lookup!$F$9:$H$18,3,FALSE)))</f>
        <v>1</v>
      </c>
      <c r="L100" s="185" t="str">
        <f t="shared" si="8"/>
        <v/>
      </c>
      <c r="M100" s="184">
        <v>0</v>
      </c>
      <c r="N100" s="186">
        <f>IF(G100=1,H100,PMT(Lookup!$G$4,G100,-H100)+(H100*J100)+(M100*P100))*K100</f>
        <v>751.45940284198593</v>
      </c>
      <c r="O100" s="181" t="s">
        <v>1260</v>
      </c>
      <c r="P100" s="186">
        <f>VLOOKUP($O100,Lookup!$F$9:$I$18,4,FALSE)</f>
        <v>50</v>
      </c>
      <c r="Q100" s="184">
        <v>0.02</v>
      </c>
      <c r="R100" s="183">
        <v>6</v>
      </c>
      <c r="S100" s="188" t="s">
        <v>3629</v>
      </c>
      <c r="T100" s="186">
        <f t="shared" si="10"/>
        <v>7</v>
      </c>
      <c r="U100" s="189">
        <f t="shared" si="11"/>
        <v>9.3152071469547286E-3</v>
      </c>
      <c r="V100" s="189">
        <f t="shared" si="9"/>
        <v>0</v>
      </c>
      <c r="W100" s="190">
        <f>IF(P100=0,0,IF(Q100+R100=0,0,PV(Lookup!$G$4,G100,-T100)/H100))</f>
        <v>1.0745105480805962E-2</v>
      </c>
      <c r="X100" s="190">
        <f>IF(I100=0,0,PMT(Lookup!$G$4,G100,-(H100*I100*K100))/P100)</f>
        <v>0</v>
      </c>
      <c r="Y100" s="42" t="s">
        <v>963</v>
      </c>
      <c r="Z100" s="192">
        <f>VLOOKUP(Y100,Lookup!$B$4:$C$14,2,FALSE)</f>
        <v>2</v>
      </c>
      <c r="AA100" s="281" t="s">
        <v>1904</v>
      </c>
      <c r="AB100" s="282" t="s">
        <v>1072</v>
      </c>
      <c r="AC100" s="181" t="str">
        <f>VLOOKUP(AD100,Lookup!$C$4:$D$14,2,FALSE)</f>
        <v>Substantial Worsening</v>
      </c>
      <c r="AD100" s="193">
        <f>IF(P100/H100&lt;Lookup!$F$33,-5,IF(P100/H100&lt;Lookup!$F$32,-4,IF(P100/H100&lt;Lookup!$F$31,-3,IF(P100/H100&lt;Lookup!$F$30,-2,IF(P100/H100&lt;Lookup!$F$29,-1,-5)))))</f>
        <v>-5</v>
      </c>
      <c r="AE100" s="194" t="str">
        <f>VLOOKUP(AD100,Lookup!$G$28:$J$33,2,FALSE)</f>
        <v>One-time practice implementation cost 5 times or greater enterprise annual net income</v>
      </c>
      <c r="AF100" s="281" t="s">
        <v>1854</v>
      </c>
      <c r="AG100" s="181" t="str">
        <f>VLOOKUP(AH100,Lookup!$C$4:$D$14,2,FALSE)</f>
        <v>Slight to Moderate Worsening</v>
      </c>
      <c r="AH100" s="193">
        <f>IF(J100&gt;Lookup!$F$43,-5,IF(J100&gt;Lookup!$F$42,-4,IF(J100&gt;Lookup!$F$41,-3,IF(J100&gt;Lookup!$F$40,-2,IF(J100&gt;Lookup!$F$39,-1,0)))))</f>
        <v>-2</v>
      </c>
      <c r="AI100" s="194" t="str">
        <f>VLOOKUP(AH100,Lookup!$G$38:$J$43,2,FALSE)</f>
        <v>Annual O&amp;M costs 1 to 2% of total installation costs</v>
      </c>
      <c r="AJ100" s="281" t="s">
        <v>2993</v>
      </c>
      <c r="AK100" s="181" t="str">
        <f>VLOOKUP(AL100,Lookup!$C$4:$D$14,2,FALSE)</f>
        <v>Substantial Worsening</v>
      </c>
      <c r="AL100" s="346">
        <f>IF(N100=0,0,IF(U100&lt;Lookup!$F$58,-5,IF(U100&lt;Lookup!$F$57,-4,IF(U100&lt;Lookup!$F$56,-3,IF(U100&lt;Lookup!$F$55,-2,IF(U100&lt;Lookup!$F$54,-1,IF(U100&lt;Lookup!$F$53,0,IF(U100&lt;Lookup!$F$52,1,IF(U100&lt;Lookup!$F$51,2,IF(U100&lt;Lookup!$F$50,3,IF(U100&lt;Lookup!$F$49,4,5)))))))))))</f>
        <v>-5</v>
      </c>
      <c r="AM100" s="194" t="str">
        <f>VLOOKUP(AL100,Lookup!$G$48:$J$58,2,FALSE)</f>
        <v>B/C Ratio less than .02</v>
      </c>
      <c r="AN100" s="281" t="s">
        <v>3055</v>
      </c>
      <c r="AO100" s="181" t="str">
        <f>VLOOKUP(AP100,Lookup!$C$4:$D$14,2,FALSE)</f>
        <v>Slight Improvement</v>
      </c>
      <c r="AP100" s="193">
        <f>IF(Q100=0,0,IF(Q100&gt;Lookup!$F$63,5,IF(Q100&gt;Lookup!$F$64,4,IF(Q100&gt;Lookup!$F$65,3,IF(Q100&gt;Lookup!$F$66,2,IF(Q100&gt;Lookup!$F$67,1,IF(Q100&gt;Lookup!$F$69,-1,IF(Q100&gt;Lookup!$F$70,-2,IF(Q100&gt;Lookup!$F$71,-3,IF(Q100&gt;Lookup!$F$72,-4,-5))))))))))</f>
        <v>1</v>
      </c>
      <c r="AQ100" s="194" t="str">
        <f>VLOOKUP(AP100,Lookup!$G$63:$J$73,2,FALSE)</f>
        <v>5% or less yield increase</v>
      </c>
      <c r="AR100" s="281" t="s">
        <v>3123</v>
      </c>
      <c r="AS100" s="181" t="str">
        <f>VLOOKUP(AT100,Lookup!$C$4:$D$14,2,FALSE)</f>
        <v>No Effect</v>
      </c>
      <c r="AT100" s="193">
        <f>IF(V100=0,0,IF(V100&lt;Lookup!$F$79,5,IF(V100&lt;Lookup!$F$80,4,IF(V100&lt;Lookup!$F$81,3,IF(V100&lt;Lookup!$F$82,2,IF(V100&lt;Lookup!$F$83,1,IF(V100&lt;Lookup!$F$85,-1,IF(V100&lt;Lookup!$F$86,-2,IF(V100&lt;Lookup!$F$87,-3,IF(V100&lt;Lookup!$F$88,-4,-5))))))))))</f>
        <v>0</v>
      </c>
      <c r="AU100" s="194" t="str">
        <f>VLOOKUP(AT100,Lookup!$G$79:$J$89,2,FALSE)</f>
        <v>No breakeven</v>
      </c>
      <c r="AV100" s="345" t="str">
        <f>VLOOKUP(AT100,Lookup!$G$79:$J$89,4,FALSE)</f>
        <v>Annual costs greater than annual benefits</v>
      </c>
      <c r="AW100" s="181" t="str">
        <f>VLOOKUP(AX100,Lookup!$C$4:$D$14,2,FALSE)</f>
        <v>No Effect</v>
      </c>
      <c r="AX100" s="193">
        <f>VLOOKUP(AY100,Lookup!$G$92:$J$97,4,FALSE)</f>
        <v>0</v>
      </c>
      <c r="AY100" s="181" t="s">
        <v>2642</v>
      </c>
      <c r="AZ100" s="281" t="s">
        <v>3154</v>
      </c>
      <c r="BA100" s="181" t="str">
        <f>VLOOKUP(BB100,Lookup!$C$4:$D$14,2,FALSE)</f>
        <v>No Effect</v>
      </c>
      <c r="BB100" s="193">
        <f>VLOOKUP(BC100,Lookup!$G$100:$K$110,5,FALSE)</f>
        <v>0</v>
      </c>
      <c r="BC100" s="181" t="s">
        <v>2643</v>
      </c>
      <c r="BD100" s="281" t="s">
        <v>3154</v>
      </c>
      <c r="BE100" s="181" t="str">
        <f>VLOOKUP(BF100,Lookup!$C$4:$D$14,2,FALSE)</f>
        <v>No Effect</v>
      </c>
      <c r="BF100" s="193">
        <f>IF(X100=0,0,IF(X100&gt;Lookup!$F$113,-5,IF(X100&gt;Lookup!$F$114,-4,IF(X100&gt;Lookup!$F$115,-3,IF(X100&gt;Lookup!$F$116,-2,IF(X100&gt;Lookup!$F$117,-1,0))))))</f>
        <v>0</v>
      </c>
      <c r="BG100" s="195" t="str">
        <f>VLOOKUP(BF100,Lookup!$G$113:$H$118,2,FALSE)</f>
        <v>No change in on-farm equipment</v>
      </c>
      <c r="BH100" s="281" t="s">
        <v>1841</v>
      </c>
      <c r="BI100" s="181" t="str">
        <f>VLOOKUP(BJ100,Lookup!$C$4:$D$14,2,FALSE)</f>
        <v>Slight Improvement</v>
      </c>
      <c r="BJ100" s="193">
        <f>VLOOKUP(BK100,Lookup!$G$121:$L$131,6,FALSE)</f>
        <v>1</v>
      </c>
      <c r="BK100" s="181" t="s">
        <v>2638</v>
      </c>
      <c r="BL100" s="281" t="s">
        <v>3316</v>
      </c>
      <c r="BM100" s="181" t="str">
        <f>VLOOKUP(BN100,Lookup!$C$4:$D$14,2,FALSE)</f>
        <v>No Effect</v>
      </c>
      <c r="BN100" s="193">
        <f>VLOOKUP(BO100,Lookup!$G$134:$L$144,6,FALSE)</f>
        <v>0</v>
      </c>
      <c r="BO100" s="181" t="s">
        <v>2646</v>
      </c>
      <c r="BP100" s="281" t="s">
        <v>3154</v>
      </c>
      <c r="BQ100" s="181" t="str">
        <f>VLOOKUP(BR100,Lookup!$C$4:$D$14,2,FALSE)</f>
        <v>Slight to Moderate Improvement</v>
      </c>
      <c r="BR100" s="193">
        <f>VLOOKUP(BS100,Lookup!$G$147:$L$157,6,FALSE)</f>
        <v>2</v>
      </c>
      <c r="BS100" s="181" t="s">
        <v>2641</v>
      </c>
      <c r="BT100" s="281" t="s">
        <v>3472</v>
      </c>
      <c r="BU100" s="175" t="s">
        <v>2231</v>
      </c>
    </row>
    <row r="101" spans="1:73" ht="39.950000000000003" customHeight="1" thickBot="1" x14ac:dyDescent="0.25">
      <c r="A101" s="173">
        <f t="shared" si="12"/>
        <v>98</v>
      </c>
      <c r="B101" s="178" t="s">
        <v>646</v>
      </c>
      <c r="C101" s="179" t="s">
        <v>1597</v>
      </c>
      <c r="D101" s="180">
        <v>462</v>
      </c>
      <c r="E101" s="180" t="s">
        <v>3646</v>
      </c>
      <c r="F101" s="273" t="str">
        <f>VLOOKUP($D101,'Practice Descriptions'!$E$11:$F$186,2,FALSE)</f>
        <v>Reshaping the surface of land to planned grades.</v>
      </c>
      <c r="G101" s="182">
        <v>5</v>
      </c>
      <c r="H101" s="183">
        <v>200</v>
      </c>
      <c r="I101" s="184">
        <v>0</v>
      </c>
      <c r="J101" s="184">
        <v>0</v>
      </c>
      <c r="K101" s="419">
        <f>IF(E101="No.",1,IF(E101="Ac.",1,(SQRT(VLOOKUP(O101,Lookup!$F$9:$H$18,3,FALSE)))*208/VLOOKUP(O101,Lookup!$F$9:$H$18,3,FALSE)))</f>
        <v>1</v>
      </c>
      <c r="L101" s="185" t="str">
        <f t="shared" si="8"/>
        <v/>
      </c>
      <c r="M101" s="184">
        <v>0</v>
      </c>
      <c r="N101" s="186">
        <f>IF(G101=1,H101,PMT(Lookup!$G$4,G101,-H101)+(H101*J101)+(M101*P101))*K101</f>
        <v>46.354696236222949</v>
      </c>
      <c r="O101" s="187" t="s">
        <v>1110</v>
      </c>
      <c r="P101" s="186">
        <f>VLOOKUP($O101,Lookup!$F$9:$I$18,4,FALSE)</f>
        <v>300</v>
      </c>
      <c r="Q101" s="184">
        <v>0.1</v>
      </c>
      <c r="R101" s="183">
        <v>1</v>
      </c>
      <c r="S101" s="188" t="s">
        <v>3630</v>
      </c>
      <c r="T101" s="186">
        <f t="shared" si="10"/>
        <v>31</v>
      </c>
      <c r="U101" s="189">
        <f t="shared" si="11"/>
        <v>0.66875640478851139</v>
      </c>
      <c r="V101" s="189">
        <f t="shared" si="9"/>
        <v>0</v>
      </c>
      <c r="W101" s="190">
        <f>IF(P101=0,0,IF(Q101+R101=0,0,PV(Lookup!$G$4,G101,-T101)/H101))</f>
        <v>0.6687564047885115</v>
      </c>
      <c r="X101" s="190">
        <f>IF(I101=0,0,PMT(Lookup!$G$4,G101,-(H101*I101*K101))/P101)</f>
        <v>0</v>
      </c>
      <c r="Y101" s="42" t="s">
        <v>963</v>
      </c>
      <c r="Z101" s="192">
        <f>VLOOKUP(Y101,Lookup!$B$4:$C$14,2,FALSE)</f>
        <v>2</v>
      </c>
      <c r="AA101" s="281" t="s">
        <v>1908</v>
      </c>
      <c r="AB101" s="282" t="s">
        <v>1072</v>
      </c>
      <c r="AC101" s="181" t="str">
        <f>VLOOKUP(AD101,Lookup!$C$4:$D$14,2,FALSE)</f>
        <v>Slight to Moderate Worsening</v>
      </c>
      <c r="AD101" s="193">
        <f>IF(P101/H101&lt;Lookup!$F$33,-5,IF(P101/H101&lt;Lookup!$F$32,-4,IF(P101/H101&lt;Lookup!$F$31,-3,IF(P101/H101&lt;Lookup!$F$30,-2,IF(P101/H101&lt;Lookup!$F$29,-1,-5)))))</f>
        <v>-2</v>
      </c>
      <c r="AE101" s="194" t="str">
        <f>VLOOKUP(AD101,Lookup!$G$28:$J$33,2,FALSE)</f>
        <v>One-time practice implementation cost 5 to 100% of enterprise annual net income</v>
      </c>
      <c r="AF101" s="281" t="s">
        <v>2965</v>
      </c>
      <c r="AG101" s="181" t="str">
        <f>VLOOKUP(AH101,Lookup!$C$4:$D$14,2,FALSE)</f>
        <v>No Effect</v>
      </c>
      <c r="AH101" s="193">
        <f>IF(J101&gt;Lookup!$F$43,-5,IF(J101&gt;Lookup!$F$42,-4,IF(J101&gt;Lookup!$F$41,-3,IF(J101&gt;Lookup!$F$40,-2,IF(J101&gt;Lookup!$F$39,-1,0)))))</f>
        <v>0</v>
      </c>
      <c r="AI101" s="194" t="str">
        <f>VLOOKUP(AH101,Lookup!$G$38:$J$43,2,FALSE)</f>
        <v>No O&amp;M costs</v>
      </c>
      <c r="AJ101" s="281" t="s">
        <v>3005</v>
      </c>
      <c r="AK101" s="181" t="str">
        <f>VLOOKUP(AL101,Lookup!$C$4:$D$14,2,FALSE)</f>
        <v>Slight Worsening</v>
      </c>
      <c r="AL101" s="346">
        <f>IF(N101=0,0,IF(U101&lt;Lookup!$F$58,-5,IF(U101&lt;Lookup!$F$57,-4,IF(U101&lt;Lookup!$F$56,-3,IF(U101&lt;Lookup!$F$55,-2,IF(U101&lt;Lookup!$F$54,-1,IF(U101&lt;Lookup!$F$53,0,IF(U101&lt;Lookup!$F$52,1,IF(U101&lt;Lookup!$F$51,2,IF(U101&lt;Lookup!$F$50,3,IF(U101&lt;Lookup!$F$49,4,5)))))))))))</f>
        <v>-1</v>
      </c>
      <c r="AM101" s="194" t="str">
        <f>VLOOKUP(AL101,Lookup!$G$48:$J$58,2,FALSE)</f>
        <v>B/C Ratio .50 to .75</v>
      </c>
      <c r="AN101" s="281" t="s">
        <v>3056</v>
      </c>
      <c r="AO101" s="181" t="str">
        <f>VLOOKUP(AP101,Lookup!$C$4:$D$14,2,FALSE)</f>
        <v>Slight to Moderate Improvement</v>
      </c>
      <c r="AP101" s="193">
        <f>IF(Q101=0,0,IF(Q101&gt;Lookup!$F$63,5,IF(Q101&gt;Lookup!$F$64,4,IF(Q101&gt;Lookup!$F$65,3,IF(Q101&gt;Lookup!$F$66,2,IF(Q101&gt;Lookup!$F$67,1,IF(Q101&gt;Lookup!$F$69,-1,IF(Q101&gt;Lookup!$F$70,-2,IF(Q101&gt;Lookup!$F$71,-3,IF(Q101&gt;Lookup!$F$72,-4,-5))))))))))</f>
        <v>2</v>
      </c>
      <c r="AQ101" s="194" t="str">
        <f>VLOOKUP(AP101,Lookup!$G$63:$J$73,2,FALSE)</f>
        <v>5 to 10% yield increase</v>
      </c>
      <c r="AR101" s="281" t="s">
        <v>3125</v>
      </c>
      <c r="AS101" s="181" t="str">
        <f>VLOOKUP(AT101,Lookup!$C$4:$D$14,2,FALSE)</f>
        <v>No Effect</v>
      </c>
      <c r="AT101" s="193">
        <f>IF(V101=0,0,IF(V101&lt;Lookup!$F$79,5,IF(V101&lt;Lookup!$F$80,4,IF(V101&lt;Lookup!$F$81,3,IF(V101&lt;Lookup!$F$82,2,IF(V101&lt;Lookup!$F$83,1,IF(V101&lt;Lookup!$F$85,-1,IF(V101&lt;Lookup!$F$86,-2,IF(V101&lt;Lookup!$F$87,-3,IF(V101&lt;Lookup!$F$88,-4,-5))))))))))</f>
        <v>0</v>
      </c>
      <c r="AU101" s="194" t="str">
        <f>VLOOKUP(AT101,Lookup!$G$79:$J$89,2,FALSE)</f>
        <v>No breakeven</v>
      </c>
      <c r="AV101" s="345" t="str">
        <f>VLOOKUP(AT101,Lookup!$G$79:$J$89,4,FALSE)</f>
        <v>Annual costs greater than annual benefits</v>
      </c>
      <c r="AW101" s="181" t="str">
        <f>VLOOKUP(AX101,Lookup!$C$4:$D$14,2,FALSE)</f>
        <v>Slight Improvement</v>
      </c>
      <c r="AX101" s="193">
        <f>VLOOKUP(AY101,Lookup!$G$92:$J$97,4,FALSE)</f>
        <v>1</v>
      </c>
      <c r="AY101" s="181" t="s">
        <v>2636</v>
      </c>
      <c r="AZ101" s="281" t="s">
        <v>3551</v>
      </c>
      <c r="BA101" s="181" t="str">
        <f>VLOOKUP(BB101,Lookup!$C$4:$D$14,2,FALSE)</f>
        <v>Slight Improvement</v>
      </c>
      <c r="BB101" s="193">
        <f>VLOOKUP(BC101,Lookup!$G$100:$K$110,5,FALSE)</f>
        <v>1</v>
      </c>
      <c r="BC101" s="181" t="s">
        <v>2651</v>
      </c>
      <c r="BD101" s="281" t="s">
        <v>3204</v>
      </c>
      <c r="BE101" s="181" t="str">
        <f>VLOOKUP(BF101,Lookup!$C$4:$D$14,2,FALSE)</f>
        <v>No Effect</v>
      </c>
      <c r="BF101" s="193">
        <f>IF(X101=0,0,IF(X101&gt;Lookup!$F$113,-5,IF(X101&gt;Lookup!$F$114,-4,IF(X101&gt;Lookup!$F$115,-3,IF(X101&gt;Lookup!$F$116,-2,IF(X101&gt;Lookup!$F$117,-1,0))))))</f>
        <v>0</v>
      </c>
      <c r="BG101" s="195" t="str">
        <f>VLOOKUP(BF101,Lookup!$G$113:$H$118,2,FALSE)</f>
        <v>No change in on-farm equipment</v>
      </c>
      <c r="BH101" s="281" t="s">
        <v>1841</v>
      </c>
      <c r="BI101" s="181" t="str">
        <f>VLOOKUP(BJ101,Lookup!$C$4:$D$14,2,FALSE)</f>
        <v>No Effect</v>
      </c>
      <c r="BJ101" s="193">
        <f>VLOOKUP(BK101,Lookup!$G$121:$L$131,6,FALSE)</f>
        <v>0</v>
      </c>
      <c r="BK101" s="181" t="s">
        <v>2656</v>
      </c>
      <c r="BL101" s="281" t="s">
        <v>3154</v>
      </c>
      <c r="BM101" s="181" t="str">
        <f>VLOOKUP(BN101,Lookup!$C$4:$D$14,2,FALSE)</f>
        <v>No Effect</v>
      </c>
      <c r="BN101" s="193">
        <f>VLOOKUP(BO101,Lookup!$G$134:$L$144,6,FALSE)</f>
        <v>0</v>
      </c>
      <c r="BO101" s="181" t="s">
        <v>2646</v>
      </c>
      <c r="BP101" s="281" t="s">
        <v>3154</v>
      </c>
      <c r="BQ101" s="181" t="str">
        <f>VLOOKUP(BR101,Lookup!$C$4:$D$14,2,FALSE)</f>
        <v>Moderate to Substantial Improvement</v>
      </c>
      <c r="BR101" s="193">
        <f>VLOOKUP(BS101,Lookup!$G$147:$L$157,6,FALSE)</f>
        <v>4</v>
      </c>
      <c r="BS101" s="181" t="s">
        <v>2645</v>
      </c>
      <c r="BT101" s="281" t="s">
        <v>3473</v>
      </c>
      <c r="BU101" s="175" t="s">
        <v>2231</v>
      </c>
    </row>
    <row r="102" spans="1:73" ht="39.950000000000003" customHeight="1" thickBot="1" x14ac:dyDescent="0.25">
      <c r="A102" s="173">
        <f t="shared" si="12"/>
        <v>99</v>
      </c>
      <c r="B102" s="178" t="s">
        <v>647</v>
      </c>
      <c r="C102" s="179" t="s">
        <v>2061</v>
      </c>
      <c r="D102" s="180">
        <v>338</v>
      </c>
      <c r="E102" s="180" t="s">
        <v>3646</v>
      </c>
      <c r="F102" s="273" t="str">
        <f>VLOOKUP($D102,'Practice Descriptions'!$E$11:$F$186,2,FALSE)</f>
        <v>Controlled fire applied to a predetermined area</v>
      </c>
      <c r="G102" s="182">
        <v>10</v>
      </c>
      <c r="H102" s="183">
        <v>8</v>
      </c>
      <c r="I102" s="184">
        <v>0</v>
      </c>
      <c r="J102" s="184">
        <v>0</v>
      </c>
      <c r="K102" s="419">
        <f>IF(E102="No.",1,IF(E102="Ac.",1,(SQRT(VLOOKUP(O102,Lookup!$F$9:$H$18,3,FALSE)))*208/VLOOKUP(O102,Lookup!$F$9:$H$18,3,FALSE)))</f>
        <v>1</v>
      </c>
      <c r="L102" s="185" t="str">
        <f t="shared" si="8"/>
        <v/>
      </c>
      <c r="M102" s="184">
        <v>0</v>
      </c>
      <c r="N102" s="186">
        <f>IF(G102=1,H102,PMT(Lookup!$G$4,G102,-H102)+(H102*J102)+(M102*P102))*K102</f>
        <v>1.0423350445471773</v>
      </c>
      <c r="O102" s="187" t="s">
        <v>2214</v>
      </c>
      <c r="P102" s="186">
        <f>VLOOKUP($O102,Lookup!$F$9:$I$18,4,FALSE)</f>
        <v>5</v>
      </c>
      <c r="Q102" s="184">
        <v>0.2</v>
      </c>
      <c r="R102" s="183">
        <v>0.1</v>
      </c>
      <c r="S102" s="188" t="s">
        <v>2758</v>
      </c>
      <c r="T102" s="186">
        <f t="shared" ref="T102" si="17">+P102*Q102+R102</f>
        <v>1.1000000000000001</v>
      </c>
      <c r="U102" s="189">
        <f t="shared" ref="U102" si="18">+T102/N102</f>
        <v>1.0553228597220141</v>
      </c>
      <c r="V102" s="189">
        <f t="shared" si="9"/>
        <v>7.2727272727272725</v>
      </c>
      <c r="W102" s="190">
        <f>IF(P102=0,0,IF(Q102+R102=0,0,PV(Lookup!$G$4,G102,-T102)/H102))</f>
        <v>1.0553228597220141</v>
      </c>
      <c r="X102" s="190">
        <f>IF(I102=0,0,PMT(Lookup!$G$4,G102,-(H102*I102*K102))/P102)</f>
        <v>0</v>
      </c>
      <c r="Y102" s="42" t="s">
        <v>963</v>
      </c>
      <c r="Z102" s="192">
        <f>VLOOKUP(Y102,Lookup!$B$4:$C$14,2,FALSE)</f>
        <v>2</v>
      </c>
      <c r="AA102" s="281" t="s">
        <v>3552</v>
      </c>
      <c r="AB102" s="282" t="s">
        <v>1072</v>
      </c>
      <c r="AC102" s="181" t="str">
        <f>VLOOKUP(AD102,Lookup!$C$4:$D$14,2,FALSE)</f>
        <v>Moderate Worsening</v>
      </c>
      <c r="AD102" s="193">
        <f>IF(P102/H102&lt;Lookup!$F$33,-5,IF(P102/H102&lt;Lookup!$F$32,-4,IF(P102/H102&lt;Lookup!$F$31,-3,IF(P102/H102&lt;Lookup!$F$30,-2,IF(P102/H102&lt;Lookup!$F$29,-1,-5)))))</f>
        <v>-3</v>
      </c>
      <c r="AE102" s="194" t="str">
        <f>VLOOKUP(AD102,Lookup!$G$28:$J$33,2,FALSE)</f>
        <v>One-time practice implementation cost 1 to 2 times enterprise annual net income</v>
      </c>
      <c r="AF102" s="281" t="s">
        <v>2967</v>
      </c>
      <c r="AG102" s="181" t="str">
        <f>VLOOKUP(AH102,Lookup!$C$4:$D$14,2,FALSE)</f>
        <v>No Effect</v>
      </c>
      <c r="AH102" s="193">
        <f>IF(J102&gt;Lookup!$F$43,-5,IF(J102&gt;Lookup!$F$42,-4,IF(J102&gt;Lookup!$F$41,-3,IF(J102&gt;Lookup!$F$40,-2,IF(J102&gt;Lookup!$F$39,-1,0)))))</f>
        <v>0</v>
      </c>
      <c r="AI102" s="194" t="str">
        <f>VLOOKUP(AH102,Lookup!$G$38:$J$43,2,FALSE)</f>
        <v>No O&amp;M costs</v>
      </c>
      <c r="AJ102" s="281" t="s">
        <v>3005</v>
      </c>
      <c r="AK102" s="181" t="str">
        <f>VLOOKUP(AL102,Lookup!$C$4:$D$14,2,FALSE)</f>
        <v>No Effect</v>
      </c>
      <c r="AL102" s="346">
        <f>IF(N102=0,0,IF(U102&lt;Lookup!$F$58,-5,IF(U102&lt;Lookup!$F$57,-4,IF(U102&lt;Lookup!$F$56,-3,IF(U102&lt;Lookup!$F$55,-2,IF(U102&lt;Lookup!$F$54,-1,IF(U102&lt;Lookup!$F$53,0,IF(U102&lt;Lookup!$F$52,1,IF(U102&lt;Lookup!$F$51,2,IF(U102&lt;Lookup!$F$50,3,IF(U102&lt;Lookup!$F$49,4,5)))))))))))</f>
        <v>0</v>
      </c>
      <c r="AM102" s="194" t="str">
        <f>VLOOKUP(AL102,Lookup!$G$48:$J$58,2,FALSE)</f>
        <v>B/C Ratio .75 to 1.25</v>
      </c>
      <c r="AN102" s="281" t="s">
        <v>3553</v>
      </c>
      <c r="AO102" s="181" t="str">
        <f>VLOOKUP(AP102,Lookup!$C$4:$D$14,2,FALSE)</f>
        <v>Slight to Moderate Improvement</v>
      </c>
      <c r="AP102" s="193">
        <f>IF(Q102=0,0,IF(Q102&gt;Lookup!$F$63,5,IF(Q102&gt;Lookup!$F$64,4,IF(Q102&gt;Lookup!$F$65,3,IF(Q102&gt;Lookup!$F$66,2,IF(Q102&gt;Lookup!$F$67,1,IF(Q102&gt;Lookup!$F$69,-1,IF(Q102&gt;Lookup!$F$70,-2,IF(Q102&gt;Lookup!$F$71,-3,IF(Q102&gt;Lookup!$F$72,-4,-5))))))))))</f>
        <v>2</v>
      </c>
      <c r="AQ102" s="194" t="str">
        <f>VLOOKUP(AP102,Lookup!$G$63:$J$73,2,FALSE)</f>
        <v>5 to 10% yield increase</v>
      </c>
      <c r="AR102" s="281" t="s">
        <v>3126</v>
      </c>
      <c r="AS102" s="181" t="str">
        <f>VLOOKUP(AT102,Lookup!$C$4:$D$14,2,FALSE)</f>
        <v>Moderate Worsening</v>
      </c>
      <c r="AT102" s="193">
        <f>IF(V102=0,0,IF(V102&lt;Lookup!$F$79,5,IF(V102&lt;Lookup!$F$80,4,IF(V102&lt;Lookup!$F$81,3,IF(V102&lt;Lookup!$F$82,2,IF(V102&lt;Lookup!$F$83,1,IF(V102&lt;Lookup!$F$85,-1,IF(V102&lt;Lookup!$F$86,-2,IF(V102&lt;Lookup!$F$87,-3,IF(V102&lt;Lookup!$F$88,-4,-5))))))))))</f>
        <v>-3</v>
      </c>
      <c r="AU102" s="194" t="str">
        <f>VLOOKUP(AT102,Lookup!$G$79:$J$89,2,FALSE)</f>
        <v>7-8 years to breakeven</v>
      </c>
      <c r="AV102" s="345" t="str">
        <f>VLOOKUP(AT102,Lookup!$G$79:$J$89,4,FALSE)</f>
        <v>Annual benefits slightly greater than annual costs</v>
      </c>
      <c r="AW102" s="181" t="str">
        <f>VLOOKUP(AX102,Lookup!$C$4:$D$14,2,FALSE)</f>
        <v>No Effect</v>
      </c>
      <c r="AX102" s="193">
        <f>VLOOKUP(AY102,Lookup!$G$92:$J$97,4,FALSE)</f>
        <v>0</v>
      </c>
      <c r="AY102" s="181" t="s">
        <v>2642</v>
      </c>
      <c r="AZ102" s="281" t="s">
        <v>3154</v>
      </c>
      <c r="BA102" s="181" t="str">
        <f>VLOOKUP(BB102,Lookup!$C$4:$D$14,2,FALSE)</f>
        <v>Moderate Improvement</v>
      </c>
      <c r="BB102" s="193">
        <f>VLOOKUP(BC102,Lookup!$G$100:$K$110,5,FALSE)</f>
        <v>3</v>
      </c>
      <c r="BC102" s="181" t="s">
        <v>2644</v>
      </c>
      <c r="BD102" s="281" t="s">
        <v>3205</v>
      </c>
      <c r="BE102" s="181" t="str">
        <f>VLOOKUP(BF102,Lookup!$C$4:$D$14,2,FALSE)</f>
        <v>No Effect</v>
      </c>
      <c r="BF102" s="193">
        <f>IF(X102=0,0,IF(X102&gt;Lookup!$F$113,-5,IF(X102&gt;Lookup!$F$114,-4,IF(X102&gt;Lookup!$F$115,-3,IF(X102&gt;Lookup!$F$116,-2,IF(X102&gt;Lookup!$F$117,-1,0))))))</f>
        <v>0</v>
      </c>
      <c r="BG102" s="195" t="str">
        <f>VLOOKUP(BF102,Lookup!$G$113:$H$118,2,FALSE)</f>
        <v>No change in on-farm equipment</v>
      </c>
      <c r="BH102" s="281" t="s">
        <v>1841</v>
      </c>
      <c r="BI102" s="181" t="str">
        <f>VLOOKUP(BJ102,Lookup!$C$4:$D$14,2,FALSE)</f>
        <v>Slight to Moderate Improvement</v>
      </c>
      <c r="BJ102" s="193">
        <f>VLOOKUP(BK102,Lookup!$G$121:$L$131,6,FALSE)</f>
        <v>2</v>
      </c>
      <c r="BK102" s="181" t="s">
        <v>2633</v>
      </c>
      <c r="BL102" s="281" t="s">
        <v>3317</v>
      </c>
      <c r="BM102" s="181" t="str">
        <f>VLOOKUP(BN102,Lookup!$C$4:$D$14,2,FALSE)</f>
        <v>Slight to Moderate Worsening</v>
      </c>
      <c r="BN102" s="193">
        <f>VLOOKUP(BO102,Lookup!$G$134:$L$144,6,FALSE)</f>
        <v>-2</v>
      </c>
      <c r="BO102" s="181" t="s">
        <v>3374</v>
      </c>
      <c r="BP102" s="281" t="s">
        <v>3405</v>
      </c>
      <c r="BQ102" s="181" t="str">
        <f>VLOOKUP(BR102,Lookup!$C$4:$D$14,2,FALSE)</f>
        <v>Slight to Moderate Improvement</v>
      </c>
      <c r="BR102" s="193">
        <f>VLOOKUP(BS102,Lookup!$G$147:$L$157,6,FALSE)</f>
        <v>2</v>
      </c>
      <c r="BS102" s="181" t="s">
        <v>2641</v>
      </c>
      <c r="BT102" s="281" t="s">
        <v>3470</v>
      </c>
    </row>
    <row r="103" spans="1:73" ht="39.950000000000003" customHeight="1" thickBot="1" x14ac:dyDescent="0.25">
      <c r="A103" s="173">
        <f t="shared" si="12"/>
        <v>100</v>
      </c>
      <c r="B103" s="178" t="s">
        <v>648</v>
      </c>
      <c r="C103" s="179" t="s">
        <v>1603</v>
      </c>
      <c r="D103" s="180">
        <v>528</v>
      </c>
      <c r="E103" s="180" t="s">
        <v>3646</v>
      </c>
      <c r="F103" s="273" t="str">
        <f>VLOOKUP($D103,'Practice Descriptions'!$E$11:$F$186,2,FALSE)</f>
        <v>Managing the harvest of vegetation with grazing and/or browsing animals.</v>
      </c>
      <c r="G103" s="182">
        <v>5</v>
      </c>
      <c r="H103" s="183">
        <v>5</v>
      </c>
      <c r="I103" s="184">
        <v>0.05</v>
      </c>
      <c r="J103" s="184">
        <v>0</v>
      </c>
      <c r="K103" s="419">
        <f>IF(E103="No.",1,IF(E103="Ac.",1,(SQRT(VLOOKUP(O103,Lookup!$F$9:$H$18,3,FALSE)))*208/VLOOKUP(O103,Lookup!$F$9:$H$18,3,FALSE)))</f>
        <v>1</v>
      </c>
      <c r="L103" s="185" t="str">
        <f t="shared" si="8"/>
        <v/>
      </c>
      <c r="M103" s="184">
        <v>0</v>
      </c>
      <c r="N103" s="186">
        <f>IF(G103=1,H103,PMT(Lookup!$G$4,G103,-H103)+(H103*J103)+(M103*P103))*K103</f>
        <v>1.1588674059055737</v>
      </c>
      <c r="O103" s="187" t="s">
        <v>2214</v>
      </c>
      <c r="P103" s="186">
        <f>VLOOKUP($O103,Lookup!$F$9:$I$18,4,FALSE)</f>
        <v>5</v>
      </c>
      <c r="Q103" s="184">
        <v>0.2</v>
      </c>
      <c r="R103" s="183">
        <v>0.25</v>
      </c>
      <c r="S103" s="188" t="s">
        <v>3598</v>
      </c>
      <c r="T103" s="186">
        <f t="shared" si="10"/>
        <v>1.25</v>
      </c>
      <c r="U103" s="189">
        <f t="shared" si="11"/>
        <v>1.0786393625621151</v>
      </c>
      <c r="V103" s="189">
        <f t="shared" si="9"/>
        <v>4</v>
      </c>
      <c r="W103" s="190">
        <f>IF(P103=0,0,IF(Q103+R103=0,0,PV(Lookup!$G$4,G103,-T103)/H103))</f>
        <v>1.0786393625621151</v>
      </c>
      <c r="X103" s="190">
        <f>IF(I103=0,0,PMT(Lookup!$G$4,G103,-(H103*I103*K103))/P103)</f>
        <v>1.1588674059055734E-2</v>
      </c>
      <c r="Y103" s="42" t="s">
        <v>986</v>
      </c>
      <c r="Z103" s="192">
        <f>VLOOKUP(Y103,Lookup!$B$4:$C$14,2,FALSE)</f>
        <v>0</v>
      </c>
      <c r="AA103" s="281" t="s">
        <v>2759</v>
      </c>
      <c r="AB103" s="282" t="s">
        <v>1072</v>
      </c>
      <c r="AC103" s="181" t="str">
        <f>VLOOKUP(AD103,Lookup!$C$4:$D$14,2,FALSE)</f>
        <v>Slight to Moderate Worsening</v>
      </c>
      <c r="AD103" s="193">
        <f>IF(P103/H103&lt;Lookup!$F$33,-5,IF(P103/H103&lt;Lookup!$F$32,-4,IF(P103/H103&lt;Lookup!$F$31,-3,IF(P103/H103&lt;Lookup!$F$30,-2,IF(P103/H103&lt;Lookup!$F$29,-1,-5)))))</f>
        <v>-2</v>
      </c>
      <c r="AE103" s="194" t="str">
        <f>VLOOKUP(AD103,Lookup!$G$28:$J$33,2,FALSE)</f>
        <v>One-time practice implementation cost 5 to 100% of enterprise annual net income</v>
      </c>
      <c r="AF103" s="281" t="s">
        <v>1894</v>
      </c>
      <c r="AG103" s="181" t="str">
        <f>VLOOKUP(AH103,Lookup!$C$4:$D$14,2,FALSE)</f>
        <v>No Effect</v>
      </c>
      <c r="AH103" s="193">
        <f>IF(J103&gt;Lookup!$F$43,-5,IF(J103&gt;Lookup!$F$42,-4,IF(J103&gt;Lookup!$F$41,-3,IF(J103&gt;Lookup!$F$40,-2,IF(J103&gt;Lookup!$F$39,-1,0)))))</f>
        <v>0</v>
      </c>
      <c r="AI103" s="194" t="str">
        <f>VLOOKUP(AH103,Lookup!$G$38:$J$43,2,FALSE)</f>
        <v>No O&amp;M costs</v>
      </c>
      <c r="AJ103" s="281" t="s">
        <v>3005</v>
      </c>
      <c r="AK103" s="181" t="str">
        <f>VLOOKUP(AL103,Lookup!$C$4:$D$14,2,FALSE)</f>
        <v>No Effect</v>
      </c>
      <c r="AL103" s="346">
        <f>IF(N103=0,0,IF(U103&lt;Lookup!$F$58,-5,IF(U103&lt;Lookup!$F$57,-4,IF(U103&lt;Lookup!$F$56,-3,IF(U103&lt;Lookup!$F$55,-2,IF(U103&lt;Lookup!$F$54,-1,IF(U103&lt;Lookup!$F$53,0,IF(U103&lt;Lookup!$F$52,1,IF(U103&lt;Lookup!$F$51,2,IF(U103&lt;Lookup!$F$50,3,IF(U103&lt;Lookup!$F$49,4,5)))))))))))</f>
        <v>0</v>
      </c>
      <c r="AM103" s="194" t="str">
        <f>VLOOKUP(AL103,Lookup!$G$48:$J$58,2,FALSE)</f>
        <v>B/C Ratio .75 to 1.25</v>
      </c>
      <c r="AN103" s="281" t="s">
        <v>3554</v>
      </c>
      <c r="AO103" s="181" t="str">
        <f>VLOOKUP(AP103,Lookup!$C$4:$D$14,2,FALSE)</f>
        <v>Slight to Moderate Improvement</v>
      </c>
      <c r="AP103" s="193">
        <f>IF(Q103=0,0,IF(Q103&gt;Lookup!$F$63,5,IF(Q103&gt;Lookup!$F$64,4,IF(Q103&gt;Lookup!$F$65,3,IF(Q103&gt;Lookup!$F$66,2,IF(Q103&gt;Lookup!$F$67,1,IF(Q103&gt;Lookup!$F$69,-1,IF(Q103&gt;Lookup!$F$70,-2,IF(Q103&gt;Lookup!$F$71,-3,IF(Q103&gt;Lookup!$F$72,-4,-5))))))))))</f>
        <v>2</v>
      </c>
      <c r="AQ103" s="194" t="str">
        <f>VLOOKUP(AP103,Lookup!$G$63:$J$73,2,FALSE)</f>
        <v>5 to 10% yield increase</v>
      </c>
      <c r="AR103" s="281" t="s">
        <v>3126</v>
      </c>
      <c r="AS103" s="181" t="str">
        <f>VLOOKUP(AT103,Lookup!$C$4:$D$14,2,FALSE)</f>
        <v>Slight Improvement</v>
      </c>
      <c r="AT103" s="193">
        <f>IF(V103=0,0,IF(V103&lt;Lookup!$F$79,5,IF(V103&lt;Lookup!$F$80,4,IF(V103&lt;Lookup!$F$81,3,IF(V103&lt;Lookup!$F$82,2,IF(V103&lt;Lookup!$F$83,1,IF(V103&lt;Lookup!$F$85,-1,IF(V103&lt;Lookup!$F$86,-2,IF(V103&lt;Lookup!$F$87,-3,IF(V103&lt;Lookup!$F$88,-4,-5))))))))))</f>
        <v>1</v>
      </c>
      <c r="AU103" s="194" t="str">
        <f>VLOOKUP(AT103,Lookup!$G$79:$J$89,2,FALSE)</f>
        <v>4-5 years to breakeven</v>
      </c>
      <c r="AV103" s="345" t="str">
        <f>VLOOKUP(AT103,Lookup!$G$79:$J$89,4,FALSE)</f>
        <v>Annual benefits moderately greater than annual costs</v>
      </c>
      <c r="AW103" s="181" t="str">
        <f>VLOOKUP(AX103,Lookup!$C$4:$D$14,2,FALSE)</f>
        <v>No Effect</v>
      </c>
      <c r="AX103" s="193">
        <f>VLOOKUP(AY103,Lookup!$G$92:$J$97,4,FALSE)</f>
        <v>0</v>
      </c>
      <c r="AY103" s="181" t="s">
        <v>2642</v>
      </c>
      <c r="AZ103" s="281" t="s">
        <v>3154</v>
      </c>
      <c r="BA103" s="181" t="str">
        <f>VLOOKUP(BB103,Lookup!$C$4:$D$14,2,FALSE)</f>
        <v>Slight Improvement</v>
      </c>
      <c r="BB103" s="193">
        <f>VLOOKUP(BC103,Lookup!$G$100:$K$110,5,FALSE)</f>
        <v>1</v>
      </c>
      <c r="BC103" s="181" t="s">
        <v>2651</v>
      </c>
      <c r="BD103" s="281" t="s">
        <v>3206</v>
      </c>
      <c r="BE103" s="181" t="str">
        <f>VLOOKUP(BF103,Lookup!$C$4:$D$14,2,FALSE)</f>
        <v>Slight Worsening</v>
      </c>
      <c r="BF103" s="193">
        <f>IF(X103=0,0,IF(X103&gt;Lookup!$F$113,-5,IF(X103&gt;Lookup!$F$114,-4,IF(X103&gt;Lookup!$F$115,-3,IF(X103&gt;Lookup!$F$116,-2,IF(X103&gt;Lookup!$F$117,-1,0))))))</f>
        <v>-1</v>
      </c>
      <c r="BG103" s="195" t="str">
        <f>VLOOKUP(BF103,Lookup!$G$113:$H$118,2,FALSE)</f>
        <v>Annual on-farm equipment costs 5% or less of enterprise annual net income</v>
      </c>
      <c r="BH103" s="281" t="s">
        <v>1909</v>
      </c>
      <c r="BI103" s="181" t="str">
        <f>VLOOKUP(BJ103,Lookup!$C$4:$D$14,2,FALSE)</f>
        <v>Slight to Moderate Worsening</v>
      </c>
      <c r="BJ103" s="193">
        <f>VLOOKUP(BK103,Lookup!$G$121:$L$131,6,FALSE)</f>
        <v>-2</v>
      </c>
      <c r="BK103" s="181" t="s">
        <v>2649</v>
      </c>
      <c r="BL103" s="281" t="s">
        <v>3318</v>
      </c>
      <c r="BM103" s="181" t="str">
        <f>VLOOKUP(BN103,Lookup!$C$4:$D$14,2,FALSE)</f>
        <v>Slight to Moderate Worsening</v>
      </c>
      <c r="BN103" s="193">
        <f>VLOOKUP(BO103,Lookup!$G$134:$L$144,6,FALSE)</f>
        <v>-2</v>
      </c>
      <c r="BO103" s="181" t="s">
        <v>3374</v>
      </c>
      <c r="BP103" s="281" t="s">
        <v>3406</v>
      </c>
      <c r="BQ103" s="181" t="str">
        <f>VLOOKUP(BR103,Lookup!$C$4:$D$14,2,FALSE)</f>
        <v>Slight to Moderate Improvement</v>
      </c>
      <c r="BR103" s="193">
        <f>VLOOKUP(BS103,Lookup!$G$147:$L$157,6,FALSE)</f>
        <v>2</v>
      </c>
      <c r="BS103" s="181" t="s">
        <v>2641</v>
      </c>
      <c r="BT103" s="281" t="s">
        <v>3470</v>
      </c>
      <c r="BU103" s="175" t="s">
        <v>2231</v>
      </c>
    </row>
    <row r="104" spans="1:73" ht="39.950000000000003" customHeight="1" thickBot="1" x14ac:dyDescent="0.25">
      <c r="A104" s="173">
        <f t="shared" si="12"/>
        <v>101</v>
      </c>
      <c r="B104" s="178" t="s">
        <v>649</v>
      </c>
      <c r="C104" s="179" t="s">
        <v>1601</v>
      </c>
      <c r="D104" s="180">
        <v>533</v>
      </c>
      <c r="E104" s="180" t="s">
        <v>3647</v>
      </c>
      <c r="F104" s="273" t="str">
        <f>VLOOKUP($D104,'Practice Descriptions'!$E$11:$F$186,2,FALSE)</f>
        <v>A facility that delivers water at a designed pressure and flow rate.  Includes the required pump(s), associated power unit(s), plumbing, appurtenances, and may include on-site fuel or energy source(s), and protective structures.</v>
      </c>
      <c r="G104" s="182">
        <v>15</v>
      </c>
      <c r="H104" s="183">
        <v>6500</v>
      </c>
      <c r="I104" s="184">
        <v>1</v>
      </c>
      <c r="J104" s="184">
        <v>0.02</v>
      </c>
      <c r="K104" s="419">
        <f>IF(E104="No.",1,IF(E104="Ac.",1,(SQRT(VLOOKUP(O104,Lookup!$F$9:$H$18,3,FALSE)))*208/VLOOKUP(O104,Lookup!$F$9:$H$18,3,FALSE)))</f>
        <v>1</v>
      </c>
      <c r="L104" s="185" t="str">
        <f t="shared" si="8"/>
        <v/>
      </c>
      <c r="M104" s="184">
        <v>0</v>
      </c>
      <c r="N104" s="186">
        <f>IF(G104=1,H104,PMT(Lookup!$G$4,G104,-H104)+(H104*J104)+(M104*P104))*K104</f>
        <v>761.52707972170447</v>
      </c>
      <c r="O104" s="187" t="s">
        <v>1110</v>
      </c>
      <c r="P104" s="186">
        <f>VLOOKUP($O104,Lookup!$F$9:$I$18,4,FALSE)</f>
        <v>300</v>
      </c>
      <c r="Q104" s="184">
        <v>0.05</v>
      </c>
      <c r="R104" s="183">
        <v>3</v>
      </c>
      <c r="S104" s="188" t="s">
        <v>3599</v>
      </c>
      <c r="T104" s="186">
        <f t="shared" si="10"/>
        <v>18</v>
      </c>
      <c r="U104" s="189">
        <f t="shared" si="11"/>
        <v>2.3636716906479536E-2</v>
      </c>
      <c r="V104" s="189">
        <f t="shared" si="9"/>
        <v>0</v>
      </c>
      <c r="W104" s="190">
        <f>IF(P104=0,0,IF(Q104+R104=0,0,PV(Lookup!$G$4,G104,-T104)/H104))</f>
        <v>2.8502340719786835E-2</v>
      </c>
      <c r="X104" s="190">
        <f>IF(I104=0,0,PMT(Lookup!$G$4,G104,-(H104*I104*K104))/P104)</f>
        <v>2.1050902657390149</v>
      </c>
      <c r="Y104" s="42" t="s">
        <v>963</v>
      </c>
      <c r="Z104" s="192">
        <f>VLOOKUP(Y104,Lookup!$B$4:$C$14,2,FALSE)</f>
        <v>2</v>
      </c>
      <c r="AA104" s="281" t="s">
        <v>2668</v>
      </c>
      <c r="AB104" s="282" t="s">
        <v>1072</v>
      </c>
      <c r="AC104" s="181" t="str">
        <f>VLOOKUP(AD104,Lookup!$C$4:$D$14,2,FALSE)</f>
        <v>Substantial Worsening</v>
      </c>
      <c r="AD104" s="193">
        <f>IF(P104/H104&lt;Lookup!$F$33,-5,IF(P104/H104&lt;Lookup!$F$32,-4,IF(P104/H104&lt;Lookup!$F$31,-3,IF(P104/H104&lt;Lookup!$F$30,-2,IF(P104/H104&lt;Lookup!$F$29,-1,-5)))))</f>
        <v>-5</v>
      </c>
      <c r="AE104" s="194" t="str">
        <f>VLOOKUP(AD104,Lookup!$G$28:$J$33,2,FALSE)</f>
        <v>One-time practice implementation cost 5 times or greater enterprise annual net income</v>
      </c>
      <c r="AF104" s="281" t="s">
        <v>1847</v>
      </c>
      <c r="AG104" s="181" t="str">
        <f>VLOOKUP(AH104,Lookup!$C$4:$D$14,2,FALSE)</f>
        <v>Slight to Moderate Worsening</v>
      </c>
      <c r="AH104" s="193">
        <f>IF(J104&gt;Lookup!$F$43,-5,IF(J104&gt;Lookup!$F$42,-4,IF(J104&gt;Lookup!$F$41,-3,IF(J104&gt;Lookup!$F$40,-2,IF(J104&gt;Lookup!$F$39,-1,0)))))</f>
        <v>-2</v>
      </c>
      <c r="AI104" s="194" t="str">
        <f>VLOOKUP(AH104,Lookup!$G$38:$J$43,2,FALSE)</f>
        <v>Annual O&amp;M costs 1 to 2% of total installation costs</v>
      </c>
      <c r="AJ104" s="281" t="s">
        <v>2990</v>
      </c>
      <c r="AK104" s="181" t="str">
        <f>VLOOKUP(AL104,Lookup!$C$4:$D$14,2,FALSE)</f>
        <v>Moderate to Substantial Worsening</v>
      </c>
      <c r="AL104" s="346">
        <f>IF(N104=0,0,IF(U104&lt;Lookup!$F$58,-5,IF(U104&lt;Lookup!$F$57,-4,IF(U104&lt;Lookup!$F$56,-3,IF(U104&lt;Lookup!$F$55,-2,IF(U104&lt;Lookup!$F$54,-1,IF(U104&lt;Lookup!$F$53,0,IF(U104&lt;Lookup!$F$52,1,IF(U104&lt;Lookup!$F$51,2,IF(U104&lt;Lookup!$F$50,3,IF(U104&lt;Lookup!$F$49,4,5)))))))))))</f>
        <v>-4</v>
      </c>
      <c r="AM104" s="194" t="str">
        <f>VLOOKUP(AL104,Lookup!$G$48:$J$58,2,FALSE)</f>
        <v>B/C Ratio .05 to .10</v>
      </c>
      <c r="AN104" s="281" t="s">
        <v>3041</v>
      </c>
      <c r="AO104" s="181" t="str">
        <f>VLOOKUP(AP104,Lookup!$C$4:$D$14,2,FALSE)</f>
        <v>Slight to Moderate Improvement</v>
      </c>
      <c r="AP104" s="193">
        <f>IF(Q104=0,0,IF(Q104&gt;Lookup!$F$63,5,IF(Q104&gt;Lookup!$F$64,4,IF(Q104&gt;Lookup!$F$65,3,IF(Q104&gt;Lookup!$F$66,2,IF(Q104&gt;Lookup!$F$67,1,IF(Q104&gt;Lookup!$F$69,-1,IF(Q104&gt;Lookup!$F$70,-2,IF(Q104&gt;Lookup!$F$71,-3,IF(Q104&gt;Lookup!$F$72,-4,-5))))))))))</f>
        <v>2</v>
      </c>
      <c r="AQ104" s="194" t="str">
        <f>VLOOKUP(AP104,Lookup!$G$63:$J$73,2,FALSE)</f>
        <v>5 to 10% yield increase</v>
      </c>
      <c r="AR104" s="281" t="s">
        <v>3127</v>
      </c>
      <c r="AS104" s="181" t="str">
        <f>VLOOKUP(AT104,Lookup!$C$4:$D$14,2,FALSE)</f>
        <v>No Effect</v>
      </c>
      <c r="AT104" s="193">
        <f>IF(V104=0,0,IF(V104&lt;Lookup!$F$79,5,IF(V104&lt;Lookup!$F$80,4,IF(V104&lt;Lookup!$F$81,3,IF(V104&lt;Lookup!$F$82,2,IF(V104&lt;Lookup!$F$83,1,IF(V104&lt;Lookup!$F$85,-1,IF(V104&lt;Lookup!$F$86,-2,IF(V104&lt;Lookup!$F$87,-3,IF(V104&lt;Lookup!$F$88,-4,-5))))))))))</f>
        <v>0</v>
      </c>
      <c r="AU104" s="194" t="str">
        <f>VLOOKUP(AT104,Lookup!$G$79:$J$89,2,FALSE)</f>
        <v>No breakeven</v>
      </c>
      <c r="AV104" s="345" t="str">
        <f>VLOOKUP(AT104,Lookup!$G$79:$J$89,4,FALSE)</f>
        <v>Annual costs greater than annual benefits</v>
      </c>
      <c r="AW104" s="181" t="str">
        <f>VLOOKUP(AX104,Lookup!$C$4:$D$14,2,FALSE)</f>
        <v>No Effect</v>
      </c>
      <c r="AX104" s="193">
        <f>VLOOKUP(AY104,Lookup!$G$92:$J$97,4,FALSE)</f>
        <v>0</v>
      </c>
      <c r="AY104" s="181" t="s">
        <v>2642</v>
      </c>
      <c r="AZ104" s="281" t="s">
        <v>3173</v>
      </c>
      <c r="BA104" s="181" t="str">
        <f>VLOOKUP(BB104,Lookup!$C$4:$D$14,2,FALSE)</f>
        <v>Moderate to Substantial Improvement</v>
      </c>
      <c r="BB104" s="193">
        <f>VLOOKUP(BC104,Lookup!$G$100:$K$110,5,FALSE)</f>
        <v>4</v>
      </c>
      <c r="BC104" s="181" t="s">
        <v>2673</v>
      </c>
      <c r="BD104" s="281" t="s">
        <v>1910</v>
      </c>
      <c r="BE104" s="181" t="str">
        <f>VLOOKUP(BF104,Lookup!$C$4:$D$14,2,FALSE)</f>
        <v>Substantial Worsening</v>
      </c>
      <c r="BF104" s="193">
        <f>IF(X104=0,0,IF(X104&gt;Lookup!$F$113,-5,IF(X104&gt;Lookup!$F$114,-4,IF(X104&gt;Lookup!$F$115,-3,IF(X104&gt;Lookup!$F$116,-2,IF(X104&gt;Lookup!$F$117,-1,0))))))</f>
        <v>-5</v>
      </c>
      <c r="BG104" s="195" t="str">
        <f>VLOOKUP(BF104,Lookup!$G$113:$H$118,2,FALSE)</f>
        <v>Annual on-farm equipment costs 75% or greater of enterprise annual net income</v>
      </c>
      <c r="BH104" s="281" t="s">
        <v>3242</v>
      </c>
      <c r="BI104" s="181" t="str">
        <f>VLOOKUP(BJ104,Lookup!$C$4:$D$14,2,FALSE)</f>
        <v>Slight to Moderate Improvement</v>
      </c>
      <c r="BJ104" s="193">
        <f>VLOOKUP(BK104,Lookup!$G$121:$L$131,6,FALSE)</f>
        <v>2</v>
      </c>
      <c r="BK104" s="181" t="s">
        <v>2633</v>
      </c>
      <c r="BL104" s="281" t="s">
        <v>3319</v>
      </c>
      <c r="BM104" s="181" t="str">
        <f>VLOOKUP(BN104,Lookup!$C$4:$D$14,2,FALSE)</f>
        <v>Moderate to Substantial Improvement</v>
      </c>
      <c r="BN104" s="193">
        <f>VLOOKUP(BO104,Lookup!$G$134:$L$144,6,FALSE)</f>
        <v>4</v>
      </c>
      <c r="BO104" s="181" t="s">
        <v>2661</v>
      </c>
      <c r="BP104" s="281" t="s">
        <v>3407</v>
      </c>
      <c r="BQ104" s="181" t="str">
        <f>VLOOKUP(BR104,Lookup!$C$4:$D$14,2,FALSE)</f>
        <v>Slight to Moderate Improvement</v>
      </c>
      <c r="BR104" s="193">
        <f>VLOOKUP(BS104,Lookup!$G$147:$L$157,6,FALSE)</f>
        <v>2</v>
      </c>
      <c r="BS104" s="181" t="s">
        <v>2641</v>
      </c>
      <c r="BT104" s="281" t="s">
        <v>3474</v>
      </c>
      <c r="BU104" s="175" t="s">
        <v>2231</v>
      </c>
    </row>
    <row r="105" spans="1:73" ht="39.950000000000003" customHeight="1" thickBot="1" x14ac:dyDescent="0.25">
      <c r="A105" s="173">
        <f t="shared" si="12"/>
        <v>102</v>
      </c>
      <c r="B105" s="178" t="s">
        <v>650</v>
      </c>
      <c r="C105" s="179" t="s">
        <v>1603</v>
      </c>
      <c r="D105" s="180">
        <v>550</v>
      </c>
      <c r="E105" s="180" t="s">
        <v>3646</v>
      </c>
      <c r="F105" s="273" t="str">
        <f>VLOOKUP($D105,'Practice Descriptions'!$E$11:$F$186,2,FALSE)</f>
        <v>Establishment of adapted perennial or self-sustaining vegetation such as grasses, forbs, legumes, shrubs and trees.</v>
      </c>
      <c r="G105" s="182">
        <v>10</v>
      </c>
      <c r="H105" s="183">
        <v>50</v>
      </c>
      <c r="I105" s="184">
        <v>0</v>
      </c>
      <c r="J105" s="184">
        <v>0.01</v>
      </c>
      <c r="K105" s="419">
        <f>IF(E105="No.",1,IF(E105="Ac.",1,(SQRT(VLOOKUP(O105,Lookup!$F$9:$H$18,3,FALSE)))*208/VLOOKUP(O105,Lookup!$F$9:$H$18,3,FALSE)))</f>
        <v>1</v>
      </c>
      <c r="L105" s="185" t="str">
        <f t="shared" si="8"/>
        <v/>
      </c>
      <c r="M105" s="184">
        <v>0</v>
      </c>
      <c r="N105" s="186">
        <f>IF(G105=1,H105,PMT(Lookup!$G$4,G105,-H105)+(H105*J105)+(M105*P105))*K105</f>
        <v>7.0145940284198591</v>
      </c>
      <c r="O105" s="187" t="s">
        <v>2214</v>
      </c>
      <c r="P105" s="186">
        <f>VLOOKUP($O105,Lookup!$F$9:$I$18,4,FALSE)</f>
        <v>5</v>
      </c>
      <c r="Q105" s="184">
        <v>1.5</v>
      </c>
      <c r="R105" s="183">
        <v>1</v>
      </c>
      <c r="S105" s="188" t="s">
        <v>3631</v>
      </c>
      <c r="T105" s="186">
        <f t="shared" si="10"/>
        <v>8.5</v>
      </c>
      <c r="U105" s="189">
        <f t="shared" si="11"/>
        <v>1.211759364200119</v>
      </c>
      <c r="V105" s="189">
        <f t="shared" si="9"/>
        <v>5.882352941176471</v>
      </c>
      <c r="W105" s="190">
        <f>IF(P105=0,0,IF(Q105+R105=0,0,PV(Lookup!$G$4,G105,-T105)/H105))</f>
        <v>1.3047628083835812</v>
      </c>
      <c r="X105" s="190">
        <f>IF(I105=0,0,PMT(Lookup!$G$4,G105,-(H105*I105*K105))/P105)</f>
        <v>0</v>
      </c>
      <c r="Y105" s="42" t="s">
        <v>986</v>
      </c>
      <c r="Z105" s="192">
        <f>VLOOKUP(Y105,Lookup!$B$4:$C$14,2,FALSE)</f>
        <v>0</v>
      </c>
      <c r="AA105" s="281" t="s">
        <v>1911</v>
      </c>
      <c r="AB105" s="282" t="s">
        <v>1072</v>
      </c>
      <c r="AC105" s="181" t="str">
        <f>VLOOKUP(AD105,Lookup!$C$4:$D$14,2,FALSE)</f>
        <v>Substantial Worsening</v>
      </c>
      <c r="AD105" s="193">
        <f>IF(P105/H105&lt;Lookup!$F$33,-5,IF(P105/H105&lt;Lookup!$F$32,-4,IF(P105/H105&lt;Lookup!$F$31,-3,IF(P105/H105&lt;Lookup!$F$30,-2,IF(P105/H105&lt;Lookup!$F$29,-1,-5)))))</f>
        <v>-5</v>
      </c>
      <c r="AE105" s="194" t="str">
        <f>VLOOKUP(AD105,Lookup!$G$28:$J$33,2,FALSE)</f>
        <v>One-time practice implementation cost 5 times or greater enterprise annual net income</v>
      </c>
      <c r="AF105" s="281" t="s">
        <v>1891</v>
      </c>
      <c r="AG105" s="181" t="str">
        <f>VLOOKUP(AH105,Lookup!$C$4:$D$14,2,FALSE)</f>
        <v>Slight Worsening</v>
      </c>
      <c r="AH105" s="193">
        <f>IF(J105&gt;Lookup!$F$43,-5,IF(J105&gt;Lookup!$F$42,-4,IF(J105&gt;Lookup!$F$41,-3,IF(J105&gt;Lookup!$F$40,-2,IF(J105&gt;Lookup!$F$39,-1,0)))))</f>
        <v>-1</v>
      </c>
      <c r="AI105" s="194" t="str">
        <f>VLOOKUP(AH105,Lookup!$G$38:$J$43,2,FALSE)</f>
        <v>Annual O&amp;M costs less than 1% of total installation costs</v>
      </c>
      <c r="AJ105" s="281" t="s">
        <v>2978</v>
      </c>
      <c r="AK105" s="181" t="str">
        <f>VLOOKUP(AL105,Lookup!$C$4:$D$14,2,FALSE)</f>
        <v>No Effect</v>
      </c>
      <c r="AL105" s="346">
        <f>IF(N105=0,0,IF(U105&lt;Lookup!$F$58,-5,IF(U105&lt;Lookup!$F$57,-4,IF(U105&lt;Lookup!$F$56,-3,IF(U105&lt;Lookup!$F$55,-2,IF(U105&lt;Lookup!$F$54,-1,IF(U105&lt;Lookup!$F$53,0,IF(U105&lt;Lookup!$F$52,1,IF(U105&lt;Lookup!$F$51,2,IF(U105&lt;Lookup!$F$50,3,IF(U105&lt;Lookup!$F$49,4,5)))))))))))</f>
        <v>0</v>
      </c>
      <c r="AM105" s="194" t="str">
        <f>VLOOKUP(AL105,Lookup!$G$48:$J$58,2,FALSE)</f>
        <v>B/C Ratio .75 to 1.25</v>
      </c>
      <c r="AN105" s="281" t="s">
        <v>3057</v>
      </c>
      <c r="AO105" s="181" t="str">
        <f>VLOOKUP(AP105,Lookup!$C$4:$D$14,2,FALSE)</f>
        <v>Substantial Improvement</v>
      </c>
      <c r="AP105" s="193">
        <f>IF(Q105=0,0,IF(Q105&gt;Lookup!$F$63,5,IF(Q105&gt;Lookup!$F$64,4,IF(Q105&gt;Lookup!$F$65,3,IF(Q105&gt;Lookup!$F$66,2,IF(Q105&gt;Lookup!$F$67,1,IF(Q105&gt;Lookup!$F$69,-1,IF(Q105&gt;Lookup!$F$70,-2,IF(Q105&gt;Lookup!$F$71,-3,IF(Q105&gt;Lookup!$F$72,-4,-5))))))))))</f>
        <v>5</v>
      </c>
      <c r="AQ105" s="194" t="str">
        <f>VLOOKUP(AP105,Lookup!$G$63:$J$73,2,FALSE)</f>
        <v>Greater than 50% yield increase</v>
      </c>
      <c r="AR105" s="281" t="s">
        <v>3091</v>
      </c>
      <c r="AS105" s="181" t="str">
        <f>VLOOKUP(AT105,Lookup!$C$4:$D$14,2,FALSE)</f>
        <v>Slight Worsening</v>
      </c>
      <c r="AT105" s="193">
        <f>IF(V105=0,0,IF(V105&lt;Lookup!$F$79,5,IF(V105&lt;Lookup!$F$80,4,IF(V105&lt;Lookup!$F$81,3,IF(V105&lt;Lookup!$F$82,2,IF(V105&lt;Lookup!$F$83,1,IF(V105&lt;Lookup!$F$85,-1,IF(V105&lt;Lookup!$F$86,-2,IF(V105&lt;Lookup!$F$87,-3,IF(V105&lt;Lookup!$F$88,-4,-5))))))))))</f>
        <v>-1</v>
      </c>
      <c r="AU105" s="194" t="str">
        <f>VLOOKUP(AT105,Lookup!$G$79:$J$89,2,FALSE)</f>
        <v>5-6 years to breakeven</v>
      </c>
      <c r="AV105" s="345" t="str">
        <f>VLOOKUP(AT105,Lookup!$G$79:$J$89,4,FALSE)</f>
        <v>Annual benefits moderately greater than annual costs</v>
      </c>
      <c r="AW105" s="181" t="str">
        <f>VLOOKUP(AX105,Lookup!$C$4:$D$14,2,FALSE)</f>
        <v>No Effect</v>
      </c>
      <c r="AX105" s="193">
        <f>VLOOKUP(AY105,Lookup!$G$92:$J$97,4,FALSE)</f>
        <v>0</v>
      </c>
      <c r="AY105" s="181" t="s">
        <v>2642</v>
      </c>
      <c r="AZ105" s="281" t="s">
        <v>3174</v>
      </c>
      <c r="BA105" s="181" t="str">
        <f>VLOOKUP(BB105,Lookup!$C$4:$D$14,2,FALSE)</f>
        <v>Moderate Improvement</v>
      </c>
      <c r="BB105" s="193">
        <f>VLOOKUP(BC105,Lookup!$G$100:$K$110,5,FALSE)</f>
        <v>3</v>
      </c>
      <c r="BC105" s="181" t="s">
        <v>2644</v>
      </c>
      <c r="BD105" s="281" t="s">
        <v>1941</v>
      </c>
      <c r="BE105" s="181" t="str">
        <f>VLOOKUP(BF105,Lookup!$C$4:$D$14,2,FALSE)</f>
        <v>No Effect</v>
      </c>
      <c r="BF105" s="193">
        <f>IF(X105=0,0,IF(X105&gt;Lookup!$F$113,-5,IF(X105&gt;Lookup!$F$114,-4,IF(X105&gt;Lookup!$F$115,-3,IF(X105&gt;Lookup!$F$116,-2,IF(X105&gt;Lookup!$F$117,-1,0))))))</f>
        <v>0</v>
      </c>
      <c r="BG105" s="195" t="str">
        <f>VLOOKUP(BF105,Lookup!$G$113:$H$118,2,FALSE)</f>
        <v>No change in on-farm equipment</v>
      </c>
      <c r="BH105" s="281" t="s">
        <v>1841</v>
      </c>
      <c r="BI105" s="181" t="str">
        <f>VLOOKUP(BJ105,Lookup!$C$4:$D$14,2,FALSE)</f>
        <v>No Effect</v>
      </c>
      <c r="BJ105" s="193">
        <f>VLOOKUP(BK105,Lookup!$G$121:$L$131,6,FALSE)</f>
        <v>0</v>
      </c>
      <c r="BK105" s="181" t="s">
        <v>2656</v>
      </c>
      <c r="BL105" s="281" t="s">
        <v>3154</v>
      </c>
      <c r="BM105" s="181" t="str">
        <f>VLOOKUP(BN105,Lookup!$C$4:$D$14,2,FALSE)</f>
        <v>No Effect</v>
      </c>
      <c r="BN105" s="193">
        <f>VLOOKUP(BO105,Lookup!$G$134:$L$144,6,FALSE)</f>
        <v>0</v>
      </c>
      <c r="BO105" s="181" t="s">
        <v>2646</v>
      </c>
      <c r="BP105" s="281" t="s">
        <v>3154</v>
      </c>
      <c r="BQ105" s="181" t="str">
        <f>VLOOKUP(BR105,Lookup!$C$4:$D$14,2,FALSE)</f>
        <v>Slight to Moderate Improvement</v>
      </c>
      <c r="BR105" s="193">
        <f>VLOOKUP(BS105,Lookup!$G$147:$L$157,6,FALSE)</f>
        <v>2</v>
      </c>
      <c r="BS105" s="181" t="s">
        <v>2641</v>
      </c>
      <c r="BT105" s="281" t="s">
        <v>3470</v>
      </c>
      <c r="BU105" s="175" t="s">
        <v>2231</v>
      </c>
    </row>
    <row r="106" spans="1:73" ht="39.950000000000003" customHeight="1" thickBot="1" x14ac:dyDescent="0.25">
      <c r="A106" s="173">
        <f t="shared" si="12"/>
        <v>103</v>
      </c>
      <c r="B106" s="178" t="s">
        <v>651</v>
      </c>
      <c r="C106" s="179" t="s">
        <v>2062</v>
      </c>
      <c r="D106" s="180">
        <v>562</v>
      </c>
      <c r="E106" s="180" t="s">
        <v>3646</v>
      </c>
      <c r="F106" s="273" t="str">
        <f>VLOOKUP($D106,'Practice Descriptions'!$E$11:$F$186,2,FALSE)</f>
        <v>Establishing grasses, legumes, vines, shrubs, trees, or other plants or selectively reducing stand density and trimming woody plants to improve an area for recreation.</v>
      </c>
      <c r="G106" s="182">
        <v>15</v>
      </c>
      <c r="H106" s="183">
        <v>5000</v>
      </c>
      <c r="I106" s="184">
        <v>0</v>
      </c>
      <c r="J106" s="184">
        <v>0.05</v>
      </c>
      <c r="K106" s="419">
        <f>IF(E106="No.",1,IF(E106="Ac.",1,(SQRT(VLOOKUP(O106,Lookup!$F$9:$H$18,3,FALSE)))*208/VLOOKUP(O106,Lookup!$F$9:$H$18,3,FALSE)))</f>
        <v>1</v>
      </c>
      <c r="L106" s="185" t="str">
        <f t="shared" si="8"/>
        <v/>
      </c>
      <c r="M106" s="184">
        <v>0</v>
      </c>
      <c r="N106" s="186">
        <f>IF(G106=1,H106,PMT(Lookup!$G$4,G106,-H106)+(H106*J106)+(M106*P106))*K106</f>
        <v>735.79006132438803</v>
      </c>
      <c r="O106" s="187" t="s">
        <v>301</v>
      </c>
      <c r="P106" s="186">
        <f>VLOOKUP($O106,Lookup!$F$9:$I$18,4,FALSE)</f>
        <v>100</v>
      </c>
      <c r="Q106" s="184">
        <v>0.02</v>
      </c>
      <c r="R106" s="183">
        <v>5</v>
      </c>
      <c r="S106" s="188" t="s">
        <v>3632</v>
      </c>
      <c r="T106" s="186">
        <f t="shared" si="10"/>
        <v>7</v>
      </c>
      <c r="U106" s="189">
        <f t="shared" si="11"/>
        <v>9.5135832460149349E-3</v>
      </c>
      <c r="V106" s="189">
        <f t="shared" si="9"/>
        <v>0</v>
      </c>
      <c r="W106" s="190">
        <f>IF(P106=0,0,IF(Q106+R106=0,0,PV(Lookup!$G$4,G106,-T106)/H106))</f>
        <v>1.4409516697225566E-2</v>
      </c>
      <c r="X106" s="190">
        <f>IF(I106=0,0,PMT(Lookup!$G$4,G106,-(H106*I106*K106))/P106)</f>
        <v>0</v>
      </c>
      <c r="Y106" s="42" t="s">
        <v>963</v>
      </c>
      <c r="Z106" s="192">
        <f>VLOOKUP(Y106,Lookup!$B$4:$C$14,2,FALSE)</f>
        <v>2</v>
      </c>
      <c r="AA106" s="281" t="s">
        <v>1912</v>
      </c>
      <c r="AB106" s="282" t="s">
        <v>1072</v>
      </c>
      <c r="AC106" s="181" t="str">
        <f>VLOOKUP(AD106,Lookup!$C$4:$D$14,2,FALSE)</f>
        <v>Substantial Worsening</v>
      </c>
      <c r="AD106" s="193">
        <f>IF(P106/H106&lt;Lookup!$F$33,-5,IF(P106/H106&lt;Lookup!$F$32,-4,IF(P106/H106&lt;Lookup!$F$31,-3,IF(P106/H106&lt;Lookup!$F$30,-2,IF(P106/H106&lt;Lookup!$F$29,-1,-5)))))</f>
        <v>-5</v>
      </c>
      <c r="AE106" s="194" t="str">
        <f>VLOOKUP(AD106,Lookup!$G$28:$J$33,2,FALSE)</f>
        <v>One-time practice implementation cost 5 times or greater enterprise annual net income</v>
      </c>
      <c r="AF106" s="281" t="s">
        <v>1842</v>
      </c>
      <c r="AG106" s="181" t="str">
        <f>VLOOKUP(AH106,Lookup!$C$4:$D$14,2,FALSE)</f>
        <v>Substantial Worsening</v>
      </c>
      <c r="AH106" s="193">
        <f>IF(J106&gt;Lookup!$F$43,-5,IF(J106&gt;Lookup!$F$42,-4,IF(J106&gt;Lookup!$F$41,-3,IF(J106&gt;Lookup!$F$40,-2,IF(J106&gt;Lookup!$F$39,-1,0)))))</f>
        <v>-5</v>
      </c>
      <c r="AI106" s="194" t="str">
        <f>VLOOKUP(AH106,Lookup!$G$38:$J$43,2,FALSE)</f>
        <v>Annual O&amp;M costs greater than 4% of total installation costs</v>
      </c>
      <c r="AJ106" s="281" t="s">
        <v>2994</v>
      </c>
      <c r="AK106" s="181" t="str">
        <f>VLOOKUP(AL106,Lookup!$C$4:$D$14,2,FALSE)</f>
        <v>Substantial Worsening</v>
      </c>
      <c r="AL106" s="346">
        <f>IF(N106=0,0,IF(U106&lt;Lookup!$F$58,-5,IF(U106&lt;Lookup!$F$57,-4,IF(U106&lt;Lookup!$F$56,-3,IF(U106&lt;Lookup!$F$55,-2,IF(U106&lt;Lookup!$F$54,-1,IF(U106&lt;Lookup!$F$53,0,IF(U106&lt;Lookup!$F$52,1,IF(U106&lt;Lookup!$F$51,2,IF(U106&lt;Lookup!$F$50,3,IF(U106&lt;Lookup!$F$49,4,5)))))))))))</f>
        <v>-5</v>
      </c>
      <c r="AM106" s="194" t="str">
        <f>VLOOKUP(AL106,Lookup!$G$48:$J$58,2,FALSE)</f>
        <v>B/C Ratio less than .02</v>
      </c>
      <c r="AN106" s="281" t="s">
        <v>3029</v>
      </c>
      <c r="AO106" s="181" t="str">
        <f>VLOOKUP(AP106,Lookup!$C$4:$D$14,2,FALSE)</f>
        <v>Slight Improvement</v>
      </c>
      <c r="AP106" s="193">
        <f>IF(Q106=0,0,IF(Q106&gt;Lookup!$F$63,5,IF(Q106&gt;Lookup!$F$64,4,IF(Q106&gt;Lookup!$F$65,3,IF(Q106&gt;Lookup!$F$66,2,IF(Q106&gt;Lookup!$F$67,1,IF(Q106&gt;Lookup!$F$69,-1,IF(Q106&gt;Lookup!$F$70,-2,IF(Q106&gt;Lookup!$F$71,-3,IF(Q106&gt;Lookup!$F$72,-4,-5))))))))))</f>
        <v>1</v>
      </c>
      <c r="AQ106" s="194" t="str">
        <f>VLOOKUP(AP106,Lookup!$G$63:$J$73,2,FALSE)</f>
        <v>5% or less yield increase</v>
      </c>
      <c r="AR106" s="281" t="s">
        <v>3128</v>
      </c>
      <c r="AS106" s="181" t="str">
        <f>VLOOKUP(AT106,Lookup!$C$4:$D$14,2,FALSE)</f>
        <v>No Effect</v>
      </c>
      <c r="AT106" s="193">
        <f>IF(V106=0,0,IF(V106&lt;Lookup!$F$79,5,IF(V106&lt;Lookup!$F$80,4,IF(V106&lt;Lookup!$F$81,3,IF(V106&lt;Lookup!$F$82,2,IF(V106&lt;Lookup!$F$83,1,IF(V106&lt;Lookup!$F$85,-1,IF(V106&lt;Lookup!$F$86,-2,IF(V106&lt;Lookup!$F$87,-3,IF(V106&lt;Lookup!$F$88,-4,-5))))))))))</f>
        <v>0</v>
      </c>
      <c r="AU106" s="194" t="str">
        <f>VLOOKUP(AT106,Lookup!$G$79:$J$89,2,FALSE)</f>
        <v>No breakeven</v>
      </c>
      <c r="AV106" s="345" t="str">
        <f>VLOOKUP(AT106,Lookup!$G$79:$J$89,4,FALSE)</f>
        <v>Annual costs greater than annual benefits</v>
      </c>
      <c r="AW106" s="181" t="str">
        <f>VLOOKUP(AX106,Lookup!$C$4:$D$14,2,FALSE)</f>
        <v>Slight to Moderate Improvement</v>
      </c>
      <c r="AX106" s="193">
        <f>VLOOKUP(AY106,Lookup!$G$92:$J$97,4,FALSE)</f>
        <v>2</v>
      </c>
      <c r="AY106" s="181" t="s">
        <v>2653</v>
      </c>
      <c r="AZ106" s="281" t="s">
        <v>3175</v>
      </c>
      <c r="BA106" s="181" t="str">
        <f>VLOOKUP(BB106,Lookup!$C$4:$D$14,2,FALSE)</f>
        <v>Slight Worsening</v>
      </c>
      <c r="BB106" s="193">
        <f>VLOOKUP(BC106,Lookup!$G$100:$K$110,5,FALSE)</f>
        <v>-1</v>
      </c>
      <c r="BC106" s="181" t="s">
        <v>2637</v>
      </c>
      <c r="BD106" s="281" t="s">
        <v>3207</v>
      </c>
      <c r="BE106" s="181" t="str">
        <f>VLOOKUP(BF106,Lookup!$C$4:$D$14,2,FALSE)</f>
        <v>No Effect</v>
      </c>
      <c r="BF106" s="193">
        <f>IF(X106=0,0,IF(X106&gt;Lookup!$F$113,-5,IF(X106&gt;Lookup!$F$114,-4,IF(X106&gt;Lookup!$F$115,-3,IF(X106&gt;Lookup!$F$116,-2,IF(X106&gt;Lookup!$F$117,-1,0))))))</f>
        <v>0</v>
      </c>
      <c r="BG106" s="195" t="str">
        <f>VLOOKUP(BF106,Lookup!$G$113:$H$118,2,FALSE)</f>
        <v>No change in on-farm equipment</v>
      </c>
      <c r="BH106" s="281" t="s">
        <v>1841</v>
      </c>
      <c r="BI106" s="181" t="str">
        <f>VLOOKUP(BJ106,Lookup!$C$4:$D$14,2,FALSE)</f>
        <v>No Effect</v>
      </c>
      <c r="BJ106" s="193">
        <f>VLOOKUP(BK106,Lookup!$G$121:$L$131,6,FALSE)</f>
        <v>0</v>
      </c>
      <c r="BK106" s="181" t="s">
        <v>2656</v>
      </c>
      <c r="BL106" s="281" t="s">
        <v>3154</v>
      </c>
      <c r="BM106" s="181" t="str">
        <f>VLOOKUP(BN106,Lookup!$C$4:$D$14,2,FALSE)</f>
        <v>Slight Worsening</v>
      </c>
      <c r="BN106" s="193">
        <f>VLOOKUP(BO106,Lookup!$G$134:$L$144,6,FALSE)</f>
        <v>-1</v>
      </c>
      <c r="BO106" s="181" t="s">
        <v>3373</v>
      </c>
      <c r="BP106" s="281" t="s">
        <v>3408</v>
      </c>
      <c r="BQ106" s="181" t="str">
        <f>VLOOKUP(BR106,Lookup!$C$4:$D$14,2,FALSE)</f>
        <v>Slight to Moderate Improvement</v>
      </c>
      <c r="BR106" s="193">
        <f>VLOOKUP(BS106,Lookup!$G$147:$L$157,6,FALSE)</f>
        <v>2</v>
      </c>
      <c r="BS106" s="181" t="s">
        <v>2641</v>
      </c>
      <c r="BT106" s="281" t="s">
        <v>3473</v>
      </c>
      <c r="BU106" s="175" t="s">
        <v>2231</v>
      </c>
    </row>
    <row r="107" spans="1:73" ht="39.950000000000003" customHeight="1" thickBot="1" x14ac:dyDescent="0.25">
      <c r="A107" s="173">
        <f t="shared" si="12"/>
        <v>104</v>
      </c>
      <c r="B107" s="178" t="s">
        <v>652</v>
      </c>
      <c r="C107" s="179" t="s">
        <v>1597</v>
      </c>
      <c r="D107" s="180">
        <v>566</v>
      </c>
      <c r="E107" s="180" t="s">
        <v>3646</v>
      </c>
      <c r="F107" s="273" t="str">
        <f>VLOOKUP($D107,'Practice Descriptions'!$E$11:$F$186,2,FALSE)</f>
        <v xml:space="preserve">Reshaping the surface of the land to support recreation land use. </v>
      </c>
      <c r="G107" s="182">
        <v>15</v>
      </c>
      <c r="H107" s="183">
        <v>5000</v>
      </c>
      <c r="I107" s="184">
        <v>0</v>
      </c>
      <c r="J107" s="184">
        <v>0.01</v>
      </c>
      <c r="K107" s="419">
        <f>IF(E107="No.",1,IF(E107="Ac.",1,(SQRT(VLOOKUP(O107,Lookup!$F$9:$H$18,3,FALSE)))*208/VLOOKUP(O107,Lookup!$F$9:$H$18,3,FALSE)))</f>
        <v>1</v>
      </c>
      <c r="L107" s="185" t="str">
        <f t="shared" si="8"/>
        <v/>
      </c>
      <c r="M107" s="184">
        <v>0</v>
      </c>
      <c r="N107" s="186">
        <f>IF(G107=1,H107,PMT(Lookup!$G$4,G107,-H107)+(H107*J107)+(M107*P107))*K107</f>
        <v>535.79006132438803</v>
      </c>
      <c r="O107" s="181" t="s">
        <v>1260</v>
      </c>
      <c r="P107" s="186">
        <f>VLOOKUP($O107,Lookup!$F$9:$I$18,4,FALSE)</f>
        <v>50</v>
      </c>
      <c r="Q107" s="184">
        <v>0</v>
      </c>
      <c r="R107" s="183">
        <v>5</v>
      </c>
      <c r="S107" s="188" t="s">
        <v>3632</v>
      </c>
      <c r="T107" s="186">
        <f t="shared" si="10"/>
        <v>5</v>
      </c>
      <c r="U107" s="189">
        <f t="shared" si="11"/>
        <v>9.3320133405251915E-3</v>
      </c>
      <c r="V107" s="189">
        <f t="shared" si="9"/>
        <v>0</v>
      </c>
      <c r="W107" s="190">
        <f>IF(P107=0,0,IF(Q107+R107=0,0,PV(Lookup!$G$4,G107,-T107)/H107))</f>
        <v>1.0292511926589691E-2</v>
      </c>
      <c r="X107" s="190">
        <f>IF(I107=0,0,PMT(Lookup!$G$4,G107,-(H107*I107*K107))/P107)</f>
        <v>0</v>
      </c>
      <c r="Y107" s="42" t="s">
        <v>963</v>
      </c>
      <c r="Z107" s="192">
        <f>VLOOKUP(Y107,Lookup!$B$4:$C$14,2,FALSE)</f>
        <v>2</v>
      </c>
      <c r="AA107" s="281" t="s">
        <v>227</v>
      </c>
      <c r="AB107" s="282" t="s">
        <v>1072</v>
      </c>
      <c r="AC107" s="181" t="str">
        <f>VLOOKUP(AD107,Lookup!$C$4:$D$14,2,FALSE)</f>
        <v>Substantial Worsening</v>
      </c>
      <c r="AD107" s="193">
        <f>IF(P107/H107&lt;Lookup!$F$33,-5,IF(P107/H107&lt;Lookup!$F$32,-4,IF(P107/H107&lt;Lookup!$F$31,-3,IF(P107/H107&lt;Lookup!$F$30,-2,IF(P107/H107&lt;Lookup!$F$29,-1,-5)))))</f>
        <v>-5</v>
      </c>
      <c r="AE107" s="194" t="str">
        <f>VLOOKUP(AD107,Lookup!$G$28:$J$33,2,FALSE)</f>
        <v>One-time practice implementation cost 5 times or greater enterprise annual net income</v>
      </c>
      <c r="AF107" s="281" t="s">
        <v>1842</v>
      </c>
      <c r="AG107" s="181" t="str">
        <f>VLOOKUP(AH107,Lookup!$C$4:$D$14,2,FALSE)</f>
        <v>Slight Worsening</v>
      </c>
      <c r="AH107" s="193">
        <f>IF(J107&gt;Lookup!$F$43,-5,IF(J107&gt;Lookup!$F$42,-4,IF(J107&gt;Lookup!$F$41,-3,IF(J107&gt;Lookup!$F$40,-2,IF(J107&gt;Lookup!$F$39,-1,0)))))</f>
        <v>-1</v>
      </c>
      <c r="AI107" s="194" t="str">
        <f>VLOOKUP(AH107,Lookup!$G$38:$J$43,2,FALSE)</f>
        <v>Annual O&amp;M costs less than 1% of total installation costs</v>
      </c>
      <c r="AJ107" s="281" t="s">
        <v>2991</v>
      </c>
      <c r="AK107" s="181" t="str">
        <f>VLOOKUP(AL107,Lookup!$C$4:$D$14,2,FALSE)</f>
        <v>Substantial Worsening</v>
      </c>
      <c r="AL107" s="346">
        <f>IF(N107=0,0,IF(U107&lt;Lookup!$F$58,-5,IF(U107&lt;Lookup!$F$57,-4,IF(U107&lt;Lookup!$F$56,-3,IF(U107&lt;Lookup!$F$55,-2,IF(U107&lt;Lookup!$F$54,-1,IF(U107&lt;Lookup!$F$53,0,IF(U107&lt;Lookup!$F$52,1,IF(U107&lt;Lookup!$F$51,2,IF(U107&lt;Lookup!$F$50,3,IF(U107&lt;Lookup!$F$49,4,5)))))))))))</f>
        <v>-5</v>
      </c>
      <c r="AM107" s="194" t="str">
        <f>VLOOKUP(AL107,Lookup!$G$48:$J$58,2,FALSE)</f>
        <v>B/C Ratio less than .02</v>
      </c>
      <c r="AN107" s="281" t="s">
        <v>3029</v>
      </c>
      <c r="AO107" s="181" t="str">
        <f>VLOOKUP(AP107,Lookup!$C$4:$D$14,2,FALSE)</f>
        <v>No Effect</v>
      </c>
      <c r="AP107" s="193">
        <f>IF(Q107=0,0,IF(Q107&gt;Lookup!$F$63,5,IF(Q107&gt;Lookup!$F$64,4,IF(Q107&gt;Lookup!$F$65,3,IF(Q107&gt;Lookup!$F$66,2,IF(Q107&gt;Lookup!$F$67,1,IF(Q107&gt;Lookup!$F$69,-1,IF(Q107&gt;Lookup!$F$70,-2,IF(Q107&gt;Lookup!$F$71,-3,IF(Q107&gt;Lookup!$F$72,-4,-5))))))))))</f>
        <v>0</v>
      </c>
      <c r="AQ107" s="194" t="str">
        <f>VLOOKUP(AP107,Lookup!$G$63:$J$73,2,FALSE)</f>
        <v>No change in yield</v>
      </c>
      <c r="AR107" s="281" t="s">
        <v>3081</v>
      </c>
      <c r="AS107" s="181" t="str">
        <f>VLOOKUP(AT107,Lookup!$C$4:$D$14,2,FALSE)</f>
        <v>No Effect</v>
      </c>
      <c r="AT107" s="193">
        <f>IF(V107=0,0,IF(V107&lt;Lookup!$F$79,5,IF(V107&lt;Lookup!$F$80,4,IF(V107&lt;Lookup!$F$81,3,IF(V107&lt;Lookup!$F$82,2,IF(V107&lt;Lookup!$F$83,1,IF(V107&lt;Lookup!$F$85,-1,IF(V107&lt;Lookup!$F$86,-2,IF(V107&lt;Lookup!$F$87,-3,IF(V107&lt;Lookup!$F$88,-4,-5))))))))))</f>
        <v>0</v>
      </c>
      <c r="AU107" s="194" t="str">
        <f>VLOOKUP(AT107,Lookup!$G$79:$J$89,2,FALSE)</f>
        <v>No breakeven</v>
      </c>
      <c r="AV107" s="345" t="str">
        <f>VLOOKUP(AT107,Lookup!$G$79:$J$89,4,FALSE)</f>
        <v>Annual costs greater than annual benefits</v>
      </c>
      <c r="AW107" s="181" t="str">
        <f>VLOOKUP(AX107,Lookup!$C$4:$D$14,2,FALSE)</f>
        <v>Slight to Moderate Improvement</v>
      </c>
      <c r="AX107" s="193">
        <f>VLOOKUP(AY107,Lookup!$G$92:$J$97,4,FALSE)</f>
        <v>2</v>
      </c>
      <c r="AY107" s="181" t="s">
        <v>2653</v>
      </c>
      <c r="AZ107" s="281" t="s">
        <v>3175</v>
      </c>
      <c r="BA107" s="181" t="str">
        <f>VLOOKUP(BB107,Lookup!$C$4:$D$14,2,FALSE)</f>
        <v>Slight Worsening</v>
      </c>
      <c r="BB107" s="193">
        <f>VLOOKUP(BC107,Lookup!$G$100:$K$110,5,FALSE)</f>
        <v>-1</v>
      </c>
      <c r="BC107" s="181" t="s">
        <v>2637</v>
      </c>
      <c r="BD107" s="281" t="s">
        <v>3207</v>
      </c>
      <c r="BE107" s="181" t="str">
        <f>VLOOKUP(BF107,Lookup!$C$4:$D$14,2,FALSE)</f>
        <v>No Effect</v>
      </c>
      <c r="BF107" s="193">
        <f>IF(X107=0,0,IF(X107&gt;Lookup!$F$113,-5,IF(X107&gt;Lookup!$F$114,-4,IF(X107&gt;Lookup!$F$115,-3,IF(X107&gt;Lookup!$F$116,-2,IF(X107&gt;Lookup!$F$117,-1,0))))))</f>
        <v>0</v>
      </c>
      <c r="BG107" s="195" t="str">
        <f>VLOOKUP(BF107,Lookup!$G$113:$H$118,2,FALSE)</f>
        <v>No change in on-farm equipment</v>
      </c>
      <c r="BH107" s="281" t="s">
        <v>1841</v>
      </c>
      <c r="BI107" s="181" t="str">
        <f>VLOOKUP(BJ107,Lookup!$C$4:$D$14,2,FALSE)</f>
        <v>No Effect</v>
      </c>
      <c r="BJ107" s="193">
        <f>VLOOKUP(BK107,Lookup!$G$121:$L$131,6,FALSE)</f>
        <v>0</v>
      </c>
      <c r="BK107" s="181" t="s">
        <v>2656</v>
      </c>
      <c r="BL107" s="281" t="s">
        <v>3154</v>
      </c>
      <c r="BM107" s="181" t="str">
        <f>VLOOKUP(BN107,Lookup!$C$4:$D$14,2,FALSE)</f>
        <v>No Effect</v>
      </c>
      <c r="BN107" s="193">
        <f>VLOOKUP(BO107,Lookup!$G$134:$L$144,6,FALSE)</f>
        <v>0</v>
      </c>
      <c r="BO107" s="181" t="s">
        <v>2646</v>
      </c>
      <c r="BP107" s="281" t="s">
        <v>3154</v>
      </c>
      <c r="BQ107" s="181" t="str">
        <f>VLOOKUP(BR107,Lookup!$C$4:$D$14,2,FALSE)</f>
        <v>Slight to Moderate Improvement</v>
      </c>
      <c r="BR107" s="193">
        <f>VLOOKUP(BS107,Lookup!$G$147:$L$157,6,FALSE)</f>
        <v>2</v>
      </c>
      <c r="BS107" s="181" t="s">
        <v>2641</v>
      </c>
      <c r="BT107" s="281" t="s">
        <v>3473</v>
      </c>
      <c r="BU107" s="175" t="s">
        <v>2231</v>
      </c>
    </row>
    <row r="108" spans="1:73" ht="39.950000000000003" customHeight="1" thickBot="1" x14ac:dyDescent="0.25">
      <c r="A108" s="173">
        <f t="shared" si="12"/>
        <v>105</v>
      </c>
      <c r="B108" s="178" t="s">
        <v>653</v>
      </c>
      <c r="C108" s="179" t="s">
        <v>1605</v>
      </c>
      <c r="D108" s="180">
        <v>345</v>
      </c>
      <c r="E108" s="180" t="s">
        <v>3646</v>
      </c>
      <c r="F108" s="273" t="str">
        <f>VLOOKUP($D108,'Practice Descriptions'!$E$11:$F$186,2,FALSE)</f>
        <v>Managing the amount, orientation and distribution of crop and other plant residue on the soil surface year round while limiting the soil-disturbing activities used to grow and harvest  crops in systems where the field surface is tilled prior to planting.</v>
      </c>
      <c r="G108" s="182">
        <v>1</v>
      </c>
      <c r="H108" s="183">
        <v>20</v>
      </c>
      <c r="I108" s="184">
        <v>0.1</v>
      </c>
      <c r="J108" s="184">
        <v>0</v>
      </c>
      <c r="K108" s="419">
        <f>IF(E108="No.",1,IF(E108="Ac.",1,(SQRT(VLOOKUP(O108,Lookup!$F$9:$H$18,3,FALSE)))*208/VLOOKUP(O108,Lookup!$F$9:$H$18,3,FALSE)))</f>
        <v>1</v>
      </c>
      <c r="L108" s="185" t="str">
        <f t="shared" si="8"/>
        <v/>
      </c>
      <c r="M108" s="184">
        <v>0</v>
      </c>
      <c r="N108" s="186">
        <f>IF(G108=1,H108,PMT(Lookup!$G$4,G108,-H108)+(H108*J108)+(M108*P108))*K108</f>
        <v>20</v>
      </c>
      <c r="O108" s="187" t="s">
        <v>1110</v>
      </c>
      <c r="P108" s="186">
        <f>VLOOKUP($O108,Lookup!$F$9:$I$18,4,FALSE)</f>
        <v>300</v>
      </c>
      <c r="Q108" s="184">
        <v>0.02</v>
      </c>
      <c r="R108" s="183">
        <v>15</v>
      </c>
      <c r="S108" s="188" t="s">
        <v>3600</v>
      </c>
      <c r="T108" s="186">
        <f t="shared" si="10"/>
        <v>21</v>
      </c>
      <c r="U108" s="189">
        <f t="shared" si="11"/>
        <v>1.05</v>
      </c>
      <c r="V108" s="189">
        <f t="shared" si="9"/>
        <v>0.95238095238095233</v>
      </c>
      <c r="W108" s="190">
        <f>IF(P108=0,0,IF(Q108+R108=0,0,PV(Lookup!$G$4,G108,-T108)/H108))</f>
        <v>0.99881093935790766</v>
      </c>
      <c r="X108" s="190">
        <f>IF(I108=0,0,PMT(Lookup!$G$4,G108,-(H108*I108*K108))/P108)</f>
        <v>7.0083333333333352E-3</v>
      </c>
      <c r="Y108" s="42" t="s">
        <v>986</v>
      </c>
      <c r="Z108" s="192">
        <f>VLOOKUP(Y108,Lookup!$B$4:$C$14,2,FALSE)</f>
        <v>0</v>
      </c>
      <c r="AA108" s="281" t="s">
        <v>2759</v>
      </c>
      <c r="AB108" s="282" t="s">
        <v>1072</v>
      </c>
      <c r="AC108" s="181" t="str">
        <f>VLOOKUP(AD108,Lookup!$C$4:$D$14,2,FALSE)</f>
        <v>Slight to Moderate Worsening</v>
      </c>
      <c r="AD108" s="193">
        <f>IF(P108/H108&lt;Lookup!$F$33,-5,IF(P108/H108&lt;Lookup!$F$32,-4,IF(P108/H108&lt;Lookup!$F$31,-3,IF(P108/H108&lt;Lookup!$F$30,-2,IF(P108/H108&lt;Lookup!$F$29,-1,-5)))))</f>
        <v>-2</v>
      </c>
      <c r="AE108" s="194" t="str">
        <f>VLOOKUP(AD108,Lookup!$G$28:$J$33,2,FALSE)</f>
        <v>One-time practice implementation cost 5 to 100% of enterprise annual net income</v>
      </c>
      <c r="AF108" s="281" t="s">
        <v>1914</v>
      </c>
      <c r="AG108" s="181" t="str">
        <f>VLOOKUP(AH108,Lookup!$C$4:$D$14,2,FALSE)</f>
        <v>No Effect</v>
      </c>
      <c r="AH108" s="193">
        <f>IF(J108&gt;Lookup!$F$43,-5,IF(J108&gt;Lookup!$F$42,-4,IF(J108&gt;Lookup!$F$41,-3,IF(J108&gt;Lookup!$F$40,-2,IF(J108&gt;Lookup!$F$39,-1,0)))))</f>
        <v>0</v>
      </c>
      <c r="AI108" s="194" t="str">
        <f>VLOOKUP(AH108,Lookup!$G$38:$J$43,2,FALSE)</f>
        <v>No O&amp;M costs</v>
      </c>
      <c r="AJ108" s="281" t="s">
        <v>3005</v>
      </c>
      <c r="AK108" s="181" t="str">
        <f>VLOOKUP(AL108,Lookup!$C$4:$D$14,2,FALSE)</f>
        <v>No Effect</v>
      </c>
      <c r="AL108" s="346">
        <f>IF(N108=0,0,IF(U108&lt;Lookup!$F$58,-5,IF(U108&lt;Lookup!$F$57,-4,IF(U108&lt;Lookup!$F$56,-3,IF(U108&lt;Lookup!$F$55,-2,IF(U108&lt;Lookup!$F$54,-1,IF(U108&lt;Lookup!$F$53,0,IF(U108&lt;Lookup!$F$52,1,IF(U108&lt;Lookup!$F$51,2,IF(U108&lt;Lookup!$F$50,3,IF(U108&lt;Lookup!$F$49,4,5)))))))))))</f>
        <v>0</v>
      </c>
      <c r="AM108" s="194" t="str">
        <f>VLOOKUP(AL108,Lookup!$G$48:$J$58,2,FALSE)</f>
        <v>B/C Ratio .75 to 1.25</v>
      </c>
      <c r="AN108" s="281" t="s">
        <v>3058</v>
      </c>
      <c r="AO108" s="181" t="str">
        <f>VLOOKUP(AP108,Lookup!$C$4:$D$14,2,FALSE)</f>
        <v>Slight Improvement</v>
      </c>
      <c r="AP108" s="193">
        <f>IF(Q108=0,0,IF(Q108&gt;Lookup!$F$63,5,IF(Q108&gt;Lookup!$F$64,4,IF(Q108&gt;Lookup!$F$65,3,IF(Q108&gt;Lookup!$F$66,2,IF(Q108&gt;Lookup!$F$67,1,IF(Q108&gt;Lookup!$F$69,-1,IF(Q108&gt;Lookup!$F$70,-2,IF(Q108&gt;Lookup!$F$71,-3,IF(Q108&gt;Lookup!$F$72,-4,-5))))))))))</f>
        <v>1</v>
      </c>
      <c r="AQ108" s="194" t="str">
        <f>VLOOKUP(AP108,Lookup!$G$63:$J$73,2,FALSE)</f>
        <v>5% or less yield increase</v>
      </c>
      <c r="AR108" s="281" t="s">
        <v>3129</v>
      </c>
      <c r="AS108" s="181" t="str">
        <f>VLOOKUP(AT108,Lookup!$C$4:$D$14,2,FALSE)</f>
        <v>Substantial Improvement</v>
      </c>
      <c r="AT108" s="193">
        <f>IF(V108=0,0,IF(V108&lt;Lookup!$F$79,5,IF(V108&lt;Lookup!$F$80,4,IF(V108&lt;Lookup!$F$81,3,IF(V108&lt;Lookup!$F$82,2,IF(V108&lt;Lookup!$F$83,1,IF(V108&lt;Lookup!$F$85,-1,IF(V108&lt;Lookup!$F$86,-2,IF(V108&lt;Lookup!$F$87,-3,IF(V108&lt;Lookup!$F$88,-4,-5))))))))))</f>
        <v>5</v>
      </c>
      <c r="AU108" s="194" t="str">
        <f>VLOOKUP(AT108,Lookup!$G$79:$J$89,2,FALSE)</f>
        <v>1 or less years to breakeven</v>
      </c>
      <c r="AV108" s="345" t="str">
        <f>VLOOKUP(AT108,Lookup!$G$79:$J$89,4,FALSE)</f>
        <v>Annual benefits significantly greater than annual costs</v>
      </c>
      <c r="AW108" s="181" t="str">
        <f>VLOOKUP(AX108,Lookup!$C$4:$D$14,2,FALSE)</f>
        <v>No Effect</v>
      </c>
      <c r="AX108" s="193">
        <f>VLOOKUP(AY108,Lookup!$G$92:$J$97,4,FALSE)</f>
        <v>0</v>
      </c>
      <c r="AY108" s="181" t="s">
        <v>2642</v>
      </c>
      <c r="AZ108" s="281" t="s">
        <v>3154</v>
      </c>
      <c r="BA108" s="181" t="str">
        <f>VLOOKUP(BB108,Lookup!$C$4:$D$14,2,FALSE)</f>
        <v>No Effect</v>
      </c>
      <c r="BB108" s="193">
        <f>VLOOKUP(BC108,Lookup!$G$100:$K$110,5,FALSE)</f>
        <v>0</v>
      </c>
      <c r="BC108" s="181" t="s">
        <v>2643</v>
      </c>
      <c r="BD108" s="281" t="s">
        <v>3208</v>
      </c>
      <c r="BE108" s="181" t="str">
        <f>VLOOKUP(BF108,Lookup!$C$4:$D$14,2,FALSE)</f>
        <v>Slight Worsening</v>
      </c>
      <c r="BF108" s="193">
        <f>IF(X108=0,0,IF(X108&gt;Lookup!$F$113,-5,IF(X108&gt;Lookup!$F$114,-4,IF(X108&gt;Lookup!$F$115,-3,IF(X108&gt;Lookup!$F$116,-2,IF(X108&gt;Lookup!$F$117,-1,0))))))</f>
        <v>-1</v>
      </c>
      <c r="BG108" s="195" t="str">
        <f>VLOOKUP(BF108,Lookup!$G$113:$H$118,2,FALSE)</f>
        <v>Annual on-farm equipment costs 5% or less of enterprise annual net income</v>
      </c>
      <c r="BH108" s="281" t="s">
        <v>1913</v>
      </c>
      <c r="BI108" s="181" t="str">
        <f>VLOOKUP(BJ108,Lookup!$C$4:$D$14,2,FALSE)</f>
        <v>Slight Improvement</v>
      </c>
      <c r="BJ108" s="193">
        <f>VLOOKUP(BK108,Lookup!$G$121:$L$131,6,FALSE)</f>
        <v>1</v>
      </c>
      <c r="BK108" s="181" t="s">
        <v>2638</v>
      </c>
      <c r="BL108" s="281" t="s">
        <v>3320</v>
      </c>
      <c r="BM108" s="181" t="str">
        <f>VLOOKUP(BN108,Lookup!$C$4:$D$14,2,FALSE)</f>
        <v>Slight Worsening</v>
      </c>
      <c r="BN108" s="193">
        <f>VLOOKUP(BO108,Lookup!$G$134:$L$144,6,FALSE)</f>
        <v>-1</v>
      </c>
      <c r="BO108" s="181" t="s">
        <v>3373</v>
      </c>
      <c r="BP108" s="281" t="s">
        <v>3409</v>
      </c>
      <c r="BQ108" s="181" t="str">
        <f>VLOOKUP(BR108,Lookup!$C$4:$D$14,2,FALSE)</f>
        <v>Slight Worsening</v>
      </c>
      <c r="BR108" s="193">
        <f>VLOOKUP(BS108,Lookup!$G$147:$L$157,6,FALSE)</f>
        <v>-1</v>
      </c>
      <c r="BS108" s="181" t="s">
        <v>2658</v>
      </c>
      <c r="BT108" s="281" t="s">
        <v>3555</v>
      </c>
      <c r="BU108" s="175" t="s">
        <v>2231</v>
      </c>
    </row>
    <row r="109" spans="1:73" ht="39.950000000000003" customHeight="1" thickBot="1" x14ac:dyDescent="0.25">
      <c r="A109" s="173">
        <f t="shared" si="12"/>
        <v>106</v>
      </c>
      <c r="B109" s="178" t="s">
        <v>654</v>
      </c>
      <c r="C109" s="179" t="s">
        <v>1605</v>
      </c>
      <c r="D109" s="180">
        <v>329</v>
      </c>
      <c r="E109" s="180" t="s">
        <v>3646</v>
      </c>
      <c r="F109" s="273" t="str">
        <f>VLOOKUP($D109,'Practice Descriptions'!$E$11:$F$186,2,FALSE)</f>
        <v>Managing the amount, orientation and distribution of crop and other plant residue on the soil surface year round, limiting soil-disturbing activities to those necessary to place nutrients, condition residue and plant crops.</v>
      </c>
      <c r="G109" s="182">
        <v>1</v>
      </c>
      <c r="H109" s="183">
        <v>25</v>
      </c>
      <c r="I109" s="184">
        <v>0.5</v>
      </c>
      <c r="J109" s="184">
        <v>0</v>
      </c>
      <c r="K109" s="419">
        <f>IF(E109="No.",1,IF(E109="Ac.",1,(SQRT(VLOOKUP(O109,Lookup!$F$9:$H$18,3,FALSE)))*208/VLOOKUP(O109,Lookup!$F$9:$H$18,3,FALSE)))</f>
        <v>1</v>
      </c>
      <c r="L109" s="185" t="str">
        <f t="shared" si="8"/>
        <v/>
      </c>
      <c r="M109" s="184">
        <v>0</v>
      </c>
      <c r="N109" s="186">
        <f>IF(G109=1,H109,PMT(Lookup!$G$4,G109,-H109)+(H109*J109)+(M109*P109))*K109</f>
        <v>25</v>
      </c>
      <c r="O109" s="187" t="s">
        <v>1110</v>
      </c>
      <c r="P109" s="186">
        <f>VLOOKUP($O109,Lookup!$F$9:$I$18,4,FALSE)</f>
        <v>300</v>
      </c>
      <c r="Q109" s="184">
        <v>0.03</v>
      </c>
      <c r="R109" s="183">
        <v>20</v>
      </c>
      <c r="S109" s="188" t="s">
        <v>3600</v>
      </c>
      <c r="T109" s="186">
        <f t="shared" si="10"/>
        <v>29</v>
      </c>
      <c r="U109" s="189">
        <f t="shared" si="11"/>
        <v>1.1599999999999999</v>
      </c>
      <c r="V109" s="189">
        <f t="shared" si="9"/>
        <v>0.86206896551724133</v>
      </c>
      <c r="W109" s="190">
        <f>IF(P109=0,0,IF(Q109+R109=0,0,PV(Lookup!$G$4,G109,-T109)/H109))</f>
        <v>1.1034482758620694</v>
      </c>
      <c r="X109" s="190">
        <f>IF(I109=0,0,PMT(Lookup!$G$4,G109,-(H109*I109*K109))/P109)</f>
        <v>4.3802083333333346E-2</v>
      </c>
      <c r="Y109" s="42" t="s">
        <v>986</v>
      </c>
      <c r="Z109" s="192">
        <f>VLOOKUP(Y109,Lookup!$B$4:$C$14,2,FALSE)</f>
        <v>0</v>
      </c>
      <c r="AA109" s="281" t="s">
        <v>2759</v>
      </c>
      <c r="AB109" s="282" t="s">
        <v>1072</v>
      </c>
      <c r="AC109" s="181" t="str">
        <f>VLOOKUP(AD109,Lookup!$C$4:$D$14,2,FALSE)</f>
        <v>Slight to Moderate Worsening</v>
      </c>
      <c r="AD109" s="193">
        <f>IF(P109/H109&lt;Lookup!$F$33,-5,IF(P109/H109&lt;Lookup!$F$32,-4,IF(P109/H109&lt;Lookup!$F$31,-3,IF(P109/H109&lt;Lookup!$F$30,-2,IF(P109/H109&lt;Lookup!$F$29,-1,-5)))))</f>
        <v>-2</v>
      </c>
      <c r="AE109" s="194" t="str">
        <f>VLOOKUP(AD109,Lookup!$G$28:$J$33,2,FALSE)</f>
        <v>One-time practice implementation cost 5 to 100% of enterprise annual net income</v>
      </c>
      <c r="AF109" s="281" t="s">
        <v>1914</v>
      </c>
      <c r="AG109" s="181" t="str">
        <f>VLOOKUP(AH109,Lookup!$C$4:$D$14,2,FALSE)</f>
        <v>No Effect</v>
      </c>
      <c r="AH109" s="193">
        <f>IF(J109&gt;Lookup!$F$43,-5,IF(J109&gt;Lookup!$F$42,-4,IF(J109&gt;Lookup!$F$41,-3,IF(J109&gt;Lookup!$F$40,-2,IF(J109&gt;Lookup!$F$39,-1,0)))))</f>
        <v>0</v>
      </c>
      <c r="AI109" s="194" t="str">
        <f>VLOOKUP(AH109,Lookup!$G$38:$J$43,2,FALSE)</f>
        <v>No O&amp;M costs</v>
      </c>
      <c r="AJ109" s="281" t="s">
        <v>3005</v>
      </c>
      <c r="AK109" s="181" t="str">
        <f>VLOOKUP(AL109,Lookup!$C$4:$D$14,2,FALSE)</f>
        <v>No Effect</v>
      </c>
      <c r="AL109" s="346">
        <f>IF(N109=0,0,IF(U109&lt;Lookup!$F$58,-5,IF(U109&lt;Lookup!$F$57,-4,IF(U109&lt;Lookup!$F$56,-3,IF(U109&lt;Lookup!$F$55,-2,IF(U109&lt;Lookup!$F$54,-1,IF(U109&lt;Lookup!$F$53,0,IF(U109&lt;Lookup!$F$52,1,IF(U109&lt;Lookup!$F$51,2,IF(U109&lt;Lookup!$F$50,3,IF(U109&lt;Lookup!$F$49,4,5)))))))))))</f>
        <v>0</v>
      </c>
      <c r="AM109" s="194" t="str">
        <f>VLOOKUP(AL109,Lookup!$G$48:$J$58,2,FALSE)</f>
        <v>B/C Ratio .75 to 1.25</v>
      </c>
      <c r="AN109" s="281" t="s">
        <v>3058</v>
      </c>
      <c r="AO109" s="181" t="str">
        <f>VLOOKUP(AP109,Lookup!$C$4:$D$14,2,FALSE)</f>
        <v>Slight Improvement</v>
      </c>
      <c r="AP109" s="193">
        <f>IF(Q109=0,0,IF(Q109&gt;Lookup!$F$63,5,IF(Q109&gt;Lookup!$F$64,4,IF(Q109&gt;Lookup!$F$65,3,IF(Q109&gt;Lookup!$F$66,2,IF(Q109&gt;Lookup!$F$67,1,IF(Q109&gt;Lookup!$F$69,-1,IF(Q109&gt;Lookup!$F$70,-2,IF(Q109&gt;Lookup!$F$71,-3,IF(Q109&gt;Lookup!$F$72,-4,-5))))))))))</f>
        <v>1</v>
      </c>
      <c r="AQ109" s="194" t="str">
        <f>VLOOKUP(AP109,Lookup!$G$63:$J$73,2,FALSE)</f>
        <v>5% or less yield increase</v>
      </c>
      <c r="AR109" s="281" t="s">
        <v>3129</v>
      </c>
      <c r="AS109" s="181" t="str">
        <f>VLOOKUP(AT109,Lookup!$C$4:$D$14,2,FALSE)</f>
        <v>Substantial Improvement</v>
      </c>
      <c r="AT109" s="193">
        <f>IF(V109=0,0,IF(V109&lt;Lookup!$F$79,5,IF(V109&lt;Lookup!$F$80,4,IF(V109&lt;Lookup!$F$81,3,IF(V109&lt;Lookup!$F$82,2,IF(V109&lt;Lookup!$F$83,1,IF(V109&lt;Lookup!$F$85,-1,IF(V109&lt;Lookup!$F$86,-2,IF(V109&lt;Lookup!$F$87,-3,IF(V109&lt;Lookup!$F$88,-4,-5))))))))))</f>
        <v>5</v>
      </c>
      <c r="AU109" s="194" t="str">
        <f>VLOOKUP(AT109,Lookup!$G$79:$J$89,2,FALSE)</f>
        <v>1 or less years to breakeven</v>
      </c>
      <c r="AV109" s="345" t="str">
        <f>VLOOKUP(AT109,Lookup!$G$79:$J$89,4,FALSE)</f>
        <v>Annual benefits significantly greater than annual costs</v>
      </c>
      <c r="AW109" s="181" t="str">
        <f>VLOOKUP(AX109,Lookup!$C$4:$D$14,2,FALSE)</f>
        <v>No Effect</v>
      </c>
      <c r="AX109" s="193">
        <f>VLOOKUP(AY109,Lookup!$G$92:$J$97,4,FALSE)</f>
        <v>0</v>
      </c>
      <c r="AY109" s="181" t="s">
        <v>2642</v>
      </c>
      <c r="AZ109" s="281" t="s">
        <v>3154</v>
      </c>
      <c r="BA109" s="181" t="str">
        <f>VLOOKUP(BB109,Lookup!$C$4:$D$14,2,FALSE)</f>
        <v>No Effect</v>
      </c>
      <c r="BB109" s="193">
        <f>VLOOKUP(BC109,Lookup!$G$100:$K$110,5,FALSE)</f>
        <v>0</v>
      </c>
      <c r="BC109" s="181" t="s">
        <v>2643</v>
      </c>
      <c r="BD109" s="281" t="s">
        <v>3208</v>
      </c>
      <c r="BE109" s="181" t="str">
        <f>VLOOKUP(BF109,Lookup!$C$4:$D$14,2,FALSE)</f>
        <v>Slight Worsening</v>
      </c>
      <c r="BF109" s="193">
        <f>IF(X109=0,0,IF(X109&gt;Lookup!$F$113,-5,IF(X109&gt;Lookup!$F$114,-4,IF(X109&gt;Lookup!$F$115,-3,IF(X109&gt;Lookup!$F$116,-2,IF(X109&gt;Lookup!$F$117,-1,0))))))</f>
        <v>-1</v>
      </c>
      <c r="BG109" s="195" t="str">
        <f>VLOOKUP(BF109,Lookup!$G$113:$H$118,2,FALSE)</f>
        <v>Annual on-farm equipment costs 5% or less of enterprise annual net income</v>
      </c>
      <c r="BH109" s="281" t="s">
        <v>1913</v>
      </c>
      <c r="BI109" s="181" t="str">
        <f>VLOOKUP(BJ109,Lookup!$C$4:$D$14,2,FALSE)</f>
        <v>Slight to Moderate Improvement</v>
      </c>
      <c r="BJ109" s="193">
        <f>VLOOKUP(BK109,Lookup!$G$121:$L$131,6,FALSE)</f>
        <v>2</v>
      </c>
      <c r="BK109" s="181" t="s">
        <v>2633</v>
      </c>
      <c r="BL109" s="281" t="s">
        <v>3320</v>
      </c>
      <c r="BM109" s="181" t="str">
        <f>VLOOKUP(BN109,Lookup!$C$4:$D$14,2,FALSE)</f>
        <v>Slight Worsening</v>
      </c>
      <c r="BN109" s="193">
        <f>VLOOKUP(BO109,Lookup!$G$134:$L$144,6,FALSE)</f>
        <v>-1</v>
      </c>
      <c r="BO109" s="181" t="s">
        <v>3373</v>
      </c>
      <c r="BP109" s="281" t="s">
        <v>3409</v>
      </c>
      <c r="BQ109" s="181" t="str">
        <f>VLOOKUP(BR109,Lookup!$C$4:$D$14,2,FALSE)</f>
        <v>Slight Worsening</v>
      </c>
      <c r="BR109" s="193">
        <f>VLOOKUP(BS109,Lookup!$G$147:$L$157,6,FALSE)</f>
        <v>-1</v>
      </c>
      <c r="BS109" s="181" t="s">
        <v>2658</v>
      </c>
      <c r="BT109" s="281" t="s">
        <v>3555</v>
      </c>
      <c r="BU109" s="175" t="s">
        <v>2231</v>
      </c>
    </row>
    <row r="110" spans="1:73" ht="39.950000000000003" customHeight="1" thickBot="1" x14ac:dyDescent="0.25">
      <c r="A110" s="173">
        <f t="shared" si="12"/>
        <v>107</v>
      </c>
      <c r="B110" s="178" t="s">
        <v>655</v>
      </c>
      <c r="C110" s="179" t="s">
        <v>1605</v>
      </c>
      <c r="D110" s="180">
        <v>346</v>
      </c>
      <c r="E110" s="180" t="s">
        <v>3646</v>
      </c>
      <c r="F110" s="273" t="e">
        <f>VLOOKUP($D110,'Practice Descriptions'!$E$11:$F$186,2,FALSE)</f>
        <v>#N/A</v>
      </c>
      <c r="G110" s="182">
        <v>1</v>
      </c>
      <c r="H110" s="183">
        <v>20</v>
      </c>
      <c r="I110" s="184">
        <v>0.1</v>
      </c>
      <c r="J110" s="184">
        <v>0</v>
      </c>
      <c r="K110" s="419">
        <f>IF(E110="No.",1,IF(E110="Ac.",1,(SQRT(VLOOKUP(O110,Lookup!$F$9:$H$18,3,FALSE)))*208/VLOOKUP(O110,Lookup!$F$9:$H$18,3,FALSE)))</f>
        <v>1</v>
      </c>
      <c r="L110" s="185" t="str">
        <f t="shared" si="8"/>
        <v/>
      </c>
      <c r="M110" s="184">
        <v>0</v>
      </c>
      <c r="N110" s="186">
        <f>IF(G110=1,H110,PMT(Lookup!$G$4,G110,-H110)+(H110*J110)+(M110*P110))*K110</f>
        <v>20</v>
      </c>
      <c r="O110" s="187" t="s">
        <v>1110</v>
      </c>
      <c r="P110" s="186">
        <f>VLOOKUP($O110,Lookup!$F$9:$I$18,4,FALSE)</f>
        <v>300</v>
      </c>
      <c r="Q110" s="184">
        <v>0.02</v>
      </c>
      <c r="R110" s="183">
        <v>10</v>
      </c>
      <c r="S110" s="188" t="s">
        <v>3600</v>
      </c>
      <c r="T110" s="186">
        <f t="shared" si="10"/>
        <v>16</v>
      </c>
      <c r="U110" s="189">
        <f t="shared" si="11"/>
        <v>0.8</v>
      </c>
      <c r="V110" s="189">
        <f t="shared" si="9"/>
        <v>0</v>
      </c>
      <c r="W110" s="190">
        <f>IF(P110=0,0,IF(Q110+R110=0,0,PV(Lookup!$G$4,G110,-T110)/H110))</f>
        <v>0.76099881093935828</v>
      </c>
      <c r="X110" s="190">
        <f>IF(I110=0,0,PMT(Lookup!$G$4,G110,-(H110*I110*K110))/P110)</f>
        <v>7.0083333333333352E-3</v>
      </c>
      <c r="Y110" s="42" t="s">
        <v>986</v>
      </c>
      <c r="Z110" s="192">
        <f>VLOOKUP(Y110,Lookup!$B$4:$C$14,2,FALSE)</f>
        <v>0</v>
      </c>
      <c r="AA110" s="281" t="s">
        <v>2759</v>
      </c>
      <c r="AB110" s="282" t="s">
        <v>1072</v>
      </c>
      <c r="AC110" s="181" t="str">
        <f>VLOOKUP(AD110,Lookup!$C$4:$D$14,2,FALSE)</f>
        <v>Slight to Moderate Worsening</v>
      </c>
      <c r="AD110" s="193">
        <f>IF(P110/H110&lt;Lookup!$F$33,-5,IF(P110/H110&lt;Lookup!$F$32,-4,IF(P110/H110&lt;Lookup!$F$31,-3,IF(P110/H110&lt;Lookup!$F$30,-2,IF(P110/H110&lt;Lookup!$F$29,-1,-5)))))</f>
        <v>-2</v>
      </c>
      <c r="AE110" s="194" t="str">
        <f>VLOOKUP(AD110,Lookup!$G$28:$J$33,2,FALSE)</f>
        <v>One-time practice implementation cost 5 to 100% of enterprise annual net income</v>
      </c>
      <c r="AF110" s="281" t="s">
        <v>1914</v>
      </c>
      <c r="AG110" s="181" t="str">
        <f>VLOOKUP(AH110,Lookup!$C$4:$D$14,2,FALSE)</f>
        <v>No Effect</v>
      </c>
      <c r="AH110" s="193">
        <f>IF(J110&gt;Lookup!$F$43,-5,IF(J110&gt;Lookup!$F$42,-4,IF(J110&gt;Lookup!$F$41,-3,IF(J110&gt;Lookup!$F$40,-2,IF(J110&gt;Lookup!$F$39,-1,0)))))</f>
        <v>0</v>
      </c>
      <c r="AI110" s="194" t="str">
        <f>VLOOKUP(AH110,Lookup!$G$38:$J$43,2,FALSE)</f>
        <v>No O&amp;M costs</v>
      </c>
      <c r="AJ110" s="281" t="s">
        <v>3005</v>
      </c>
      <c r="AK110" s="181" t="str">
        <f>VLOOKUP(AL110,Lookup!$C$4:$D$14,2,FALSE)</f>
        <v>No Effect</v>
      </c>
      <c r="AL110" s="346">
        <f>IF(N110=0,0,IF(U110&lt;Lookup!$F$58,-5,IF(U110&lt;Lookup!$F$57,-4,IF(U110&lt;Lookup!$F$56,-3,IF(U110&lt;Lookup!$F$55,-2,IF(U110&lt;Lookup!$F$54,-1,IF(U110&lt;Lookup!$F$53,0,IF(U110&lt;Lookup!$F$52,1,IF(U110&lt;Lookup!$F$51,2,IF(U110&lt;Lookup!$F$50,3,IF(U110&lt;Lookup!$F$49,4,5)))))))))))</f>
        <v>0</v>
      </c>
      <c r="AM110" s="194" t="str">
        <f>VLOOKUP(AL110,Lookup!$G$48:$J$58,2,FALSE)</f>
        <v>B/C Ratio .75 to 1.25</v>
      </c>
      <c r="AN110" s="281" t="s">
        <v>3058</v>
      </c>
      <c r="AO110" s="181" t="str">
        <f>VLOOKUP(AP110,Lookup!$C$4:$D$14,2,FALSE)</f>
        <v>Slight Improvement</v>
      </c>
      <c r="AP110" s="193">
        <f>IF(Q110=0,0,IF(Q110&gt;Lookup!$F$63,5,IF(Q110&gt;Lookup!$F$64,4,IF(Q110&gt;Lookup!$F$65,3,IF(Q110&gt;Lookup!$F$66,2,IF(Q110&gt;Lookup!$F$67,1,IF(Q110&gt;Lookup!$F$69,-1,IF(Q110&gt;Lookup!$F$70,-2,IF(Q110&gt;Lookup!$F$71,-3,IF(Q110&gt;Lookup!$F$72,-4,-5))))))))))</f>
        <v>1</v>
      </c>
      <c r="AQ110" s="194" t="str">
        <f>VLOOKUP(AP110,Lookup!$G$63:$J$73,2,FALSE)</f>
        <v>5% or less yield increase</v>
      </c>
      <c r="AR110" s="281" t="s">
        <v>3129</v>
      </c>
      <c r="AS110" s="181" t="str">
        <f>VLOOKUP(AT110,Lookup!$C$4:$D$14,2,FALSE)</f>
        <v>No Effect</v>
      </c>
      <c r="AT110" s="193">
        <f>IF(V110=0,0,IF(V110&lt;Lookup!$F$79,5,IF(V110&lt;Lookup!$F$80,4,IF(V110&lt;Lookup!$F$81,3,IF(V110&lt;Lookup!$F$82,2,IF(V110&lt;Lookup!$F$83,1,IF(V110&lt;Lookup!$F$85,-1,IF(V110&lt;Lookup!$F$86,-2,IF(V110&lt;Lookup!$F$87,-3,IF(V110&lt;Lookup!$F$88,-4,-5))))))))))</f>
        <v>0</v>
      </c>
      <c r="AU110" s="194" t="str">
        <f>VLOOKUP(AT110,Lookup!$G$79:$J$89,2,FALSE)</f>
        <v>No breakeven</v>
      </c>
      <c r="AV110" s="345" t="str">
        <f>VLOOKUP(AT110,Lookup!$G$79:$J$89,4,FALSE)</f>
        <v>Annual costs greater than annual benefits</v>
      </c>
      <c r="AW110" s="181" t="str">
        <f>VLOOKUP(AX110,Lookup!$C$4:$D$14,2,FALSE)</f>
        <v>No Effect</v>
      </c>
      <c r="AX110" s="193">
        <f>VLOOKUP(AY110,Lookup!$G$92:$J$97,4,FALSE)</f>
        <v>0</v>
      </c>
      <c r="AY110" s="181" t="s">
        <v>2642</v>
      </c>
      <c r="AZ110" s="281" t="s">
        <v>3154</v>
      </c>
      <c r="BA110" s="181" t="str">
        <f>VLOOKUP(BB110,Lookup!$C$4:$D$14,2,FALSE)</f>
        <v>No Effect</v>
      </c>
      <c r="BB110" s="193">
        <f>VLOOKUP(BC110,Lookup!$G$100:$K$110,5,FALSE)</f>
        <v>0</v>
      </c>
      <c r="BC110" s="181" t="s">
        <v>2643</v>
      </c>
      <c r="BD110" s="281" t="s">
        <v>3208</v>
      </c>
      <c r="BE110" s="181" t="str">
        <f>VLOOKUP(BF110,Lookup!$C$4:$D$14,2,FALSE)</f>
        <v>Slight Worsening</v>
      </c>
      <c r="BF110" s="193">
        <f>IF(X110=0,0,IF(X110&gt;Lookup!$F$113,-5,IF(X110&gt;Lookup!$F$114,-4,IF(X110&gt;Lookup!$F$115,-3,IF(X110&gt;Lookup!$F$116,-2,IF(X110&gt;Lookup!$F$117,-1,0))))))</f>
        <v>-1</v>
      </c>
      <c r="BG110" s="195" t="str">
        <f>VLOOKUP(BF110,Lookup!$G$113:$H$118,2,FALSE)</f>
        <v>Annual on-farm equipment costs 5% or less of enterprise annual net income</v>
      </c>
      <c r="BH110" s="281" t="s">
        <v>1913</v>
      </c>
      <c r="BI110" s="181" t="str">
        <f>VLOOKUP(BJ110,Lookup!$C$4:$D$14,2,FALSE)</f>
        <v>Slight Improvement</v>
      </c>
      <c r="BJ110" s="193">
        <f>VLOOKUP(BK110,Lookup!$G$121:$L$131,6,FALSE)</f>
        <v>1</v>
      </c>
      <c r="BK110" s="181" t="s">
        <v>2638</v>
      </c>
      <c r="BL110" s="281" t="s">
        <v>3320</v>
      </c>
      <c r="BM110" s="181" t="str">
        <f>VLOOKUP(BN110,Lookup!$C$4:$D$14,2,FALSE)</f>
        <v>Slight Worsening</v>
      </c>
      <c r="BN110" s="193">
        <f>VLOOKUP(BO110,Lookup!$G$134:$L$144,6,FALSE)</f>
        <v>-1</v>
      </c>
      <c r="BO110" s="181" t="s">
        <v>3373</v>
      </c>
      <c r="BP110" s="281" t="s">
        <v>3409</v>
      </c>
      <c r="BQ110" s="181" t="str">
        <f>VLOOKUP(BR110,Lookup!$C$4:$D$14,2,FALSE)</f>
        <v>Slight Worsening</v>
      </c>
      <c r="BR110" s="193">
        <f>VLOOKUP(BS110,Lookup!$G$147:$L$157,6,FALSE)</f>
        <v>-1</v>
      </c>
      <c r="BS110" s="181" t="s">
        <v>2658</v>
      </c>
      <c r="BT110" s="281" t="s">
        <v>3555</v>
      </c>
      <c r="BU110" s="175" t="s">
        <v>2231</v>
      </c>
    </row>
    <row r="111" spans="1:73" ht="39.950000000000003" customHeight="1" thickBot="1" x14ac:dyDescent="0.25">
      <c r="A111" s="173">
        <f t="shared" si="12"/>
        <v>108</v>
      </c>
      <c r="B111" s="178" t="s">
        <v>656</v>
      </c>
      <c r="C111" s="179" t="s">
        <v>1605</v>
      </c>
      <c r="D111" s="180">
        <v>344</v>
      </c>
      <c r="E111" s="180" t="s">
        <v>3646</v>
      </c>
      <c r="F111" s="273" t="e">
        <f>VLOOKUP($D111,'Practice Descriptions'!$E$11:$F$186,2,FALSE)</f>
        <v>#N/A</v>
      </c>
      <c r="G111" s="182">
        <v>1</v>
      </c>
      <c r="H111" s="183">
        <v>15</v>
      </c>
      <c r="I111" s="184">
        <v>0.1</v>
      </c>
      <c r="J111" s="184">
        <v>0</v>
      </c>
      <c r="K111" s="419">
        <f>IF(E111="No.",1,IF(E111="Ac.",1,(SQRT(VLOOKUP(O111,Lookup!$F$9:$H$18,3,FALSE)))*208/VLOOKUP(O111,Lookup!$F$9:$H$18,3,FALSE)))</f>
        <v>1</v>
      </c>
      <c r="L111" s="185" t="str">
        <f t="shared" si="8"/>
        <v/>
      </c>
      <c r="M111" s="184">
        <v>0</v>
      </c>
      <c r="N111" s="186">
        <f>IF(G111=1,H111,PMT(Lookup!$G$4,G111,-H111)+(H111*J111)+(M111*P111))*K111</f>
        <v>15</v>
      </c>
      <c r="O111" s="187" t="s">
        <v>1110</v>
      </c>
      <c r="P111" s="186">
        <f>VLOOKUP($O111,Lookup!$F$9:$I$18,4,FALSE)</f>
        <v>300</v>
      </c>
      <c r="Q111" s="184">
        <v>0.02</v>
      </c>
      <c r="R111" s="183">
        <v>7.5</v>
      </c>
      <c r="S111" s="188" t="s">
        <v>3600</v>
      </c>
      <c r="T111" s="186">
        <f t="shared" si="10"/>
        <v>13.5</v>
      </c>
      <c r="U111" s="189">
        <f t="shared" si="11"/>
        <v>0.9</v>
      </c>
      <c r="V111" s="189">
        <f t="shared" si="9"/>
        <v>0</v>
      </c>
      <c r="W111" s="190">
        <f>IF(P111=0,0,IF(Q111+R111=0,0,PV(Lookup!$G$4,G111,-T111)/H111))</f>
        <v>0.85612366230677805</v>
      </c>
      <c r="X111" s="190">
        <f>IF(I111=0,0,PMT(Lookup!$G$4,G111,-(H111*I111*K111))/P111)</f>
        <v>5.2562500000000005E-3</v>
      </c>
      <c r="Y111" s="42" t="s">
        <v>986</v>
      </c>
      <c r="Z111" s="192">
        <f>VLOOKUP(Y111,Lookup!$B$4:$C$14,2,FALSE)</f>
        <v>0</v>
      </c>
      <c r="AA111" s="281" t="s">
        <v>2759</v>
      </c>
      <c r="AB111" s="282" t="s">
        <v>1072</v>
      </c>
      <c r="AC111" s="181" t="str">
        <f>VLOOKUP(AD111,Lookup!$C$4:$D$14,2,FALSE)</f>
        <v>Slight Worsening</v>
      </c>
      <c r="AD111" s="193">
        <f>IF(P111/H111&lt;Lookup!$F$33,-5,IF(P111/H111&lt;Lookup!$F$32,-4,IF(P111/H111&lt;Lookup!$F$31,-3,IF(P111/H111&lt;Lookup!$F$30,-2,IF(P111/H111&lt;Lookup!$F$29,-1,-5)))))</f>
        <v>-1</v>
      </c>
      <c r="AE111" s="194" t="str">
        <f>VLOOKUP(AD111,Lookup!$G$28:$J$33,2,FALSE)</f>
        <v>One-time practice implementation cost 5% or less of enterprise annual net income</v>
      </c>
      <c r="AF111" s="281" t="s">
        <v>1914</v>
      </c>
      <c r="AG111" s="181" t="str">
        <f>VLOOKUP(AH111,Lookup!$C$4:$D$14,2,FALSE)</f>
        <v>No Effect</v>
      </c>
      <c r="AH111" s="193">
        <f>IF(J111&gt;Lookup!$F$43,-5,IF(J111&gt;Lookup!$F$42,-4,IF(J111&gt;Lookup!$F$41,-3,IF(J111&gt;Lookup!$F$40,-2,IF(J111&gt;Lookup!$F$39,-1,0)))))</f>
        <v>0</v>
      </c>
      <c r="AI111" s="194" t="str">
        <f>VLOOKUP(AH111,Lookup!$G$38:$J$43,2,FALSE)</f>
        <v>No O&amp;M costs</v>
      </c>
      <c r="AJ111" s="281" t="s">
        <v>3005</v>
      </c>
      <c r="AK111" s="181" t="str">
        <f>VLOOKUP(AL111,Lookup!$C$4:$D$14,2,FALSE)</f>
        <v>No Effect</v>
      </c>
      <c r="AL111" s="346">
        <f>IF(N111=0,0,IF(U111&lt;Lookup!$F$58,-5,IF(U111&lt;Lookup!$F$57,-4,IF(U111&lt;Lookup!$F$56,-3,IF(U111&lt;Lookup!$F$55,-2,IF(U111&lt;Lookup!$F$54,-1,IF(U111&lt;Lookup!$F$53,0,IF(U111&lt;Lookup!$F$52,1,IF(U111&lt;Lookup!$F$51,2,IF(U111&lt;Lookup!$F$50,3,IF(U111&lt;Lookup!$F$49,4,5)))))))))))</f>
        <v>0</v>
      </c>
      <c r="AM111" s="194" t="str">
        <f>VLOOKUP(AL111,Lookup!$G$48:$J$58,2,FALSE)</f>
        <v>B/C Ratio .75 to 1.25</v>
      </c>
      <c r="AN111" s="281" t="s">
        <v>3058</v>
      </c>
      <c r="AO111" s="181" t="str">
        <f>VLOOKUP(AP111,Lookup!$C$4:$D$14,2,FALSE)</f>
        <v>Slight Improvement</v>
      </c>
      <c r="AP111" s="193">
        <f>IF(Q111=0,0,IF(Q111&gt;Lookup!$F$63,5,IF(Q111&gt;Lookup!$F$64,4,IF(Q111&gt;Lookup!$F$65,3,IF(Q111&gt;Lookup!$F$66,2,IF(Q111&gt;Lookup!$F$67,1,IF(Q111&gt;Lookup!$F$69,-1,IF(Q111&gt;Lookup!$F$70,-2,IF(Q111&gt;Lookup!$F$71,-3,IF(Q111&gt;Lookup!$F$72,-4,-5))))))))))</f>
        <v>1</v>
      </c>
      <c r="AQ111" s="194" t="str">
        <f>VLOOKUP(AP111,Lookup!$G$63:$J$73,2,FALSE)</f>
        <v>5% or less yield increase</v>
      </c>
      <c r="AR111" s="281" t="s">
        <v>3129</v>
      </c>
      <c r="AS111" s="181" t="str">
        <f>VLOOKUP(AT111,Lookup!$C$4:$D$14,2,FALSE)</f>
        <v>No Effect</v>
      </c>
      <c r="AT111" s="193">
        <f>IF(V111=0,0,IF(V111&lt;Lookup!$F$79,5,IF(V111&lt;Lookup!$F$80,4,IF(V111&lt;Lookup!$F$81,3,IF(V111&lt;Lookup!$F$82,2,IF(V111&lt;Lookup!$F$83,1,IF(V111&lt;Lookup!$F$85,-1,IF(V111&lt;Lookup!$F$86,-2,IF(V111&lt;Lookup!$F$87,-3,IF(V111&lt;Lookup!$F$88,-4,-5))))))))))</f>
        <v>0</v>
      </c>
      <c r="AU111" s="194" t="str">
        <f>VLOOKUP(AT111,Lookup!$G$79:$J$89,2,FALSE)</f>
        <v>No breakeven</v>
      </c>
      <c r="AV111" s="345" t="str">
        <f>VLOOKUP(AT111,Lookup!$G$79:$J$89,4,FALSE)</f>
        <v>Annual costs greater than annual benefits</v>
      </c>
      <c r="AW111" s="181" t="str">
        <f>VLOOKUP(AX111,Lookup!$C$4:$D$14,2,FALSE)</f>
        <v>No Effect</v>
      </c>
      <c r="AX111" s="193">
        <f>VLOOKUP(AY111,Lookup!$G$92:$J$97,4,FALSE)</f>
        <v>0</v>
      </c>
      <c r="AY111" s="181" t="s">
        <v>2642</v>
      </c>
      <c r="AZ111" s="281" t="s">
        <v>3154</v>
      </c>
      <c r="BA111" s="181" t="str">
        <f>VLOOKUP(BB111,Lookup!$C$4:$D$14,2,FALSE)</f>
        <v>No Effect</v>
      </c>
      <c r="BB111" s="193">
        <f>VLOOKUP(BC111,Lookup!$G$100:$K$110,5,FALSE)</f>
        <v>0</v>
      </c>
      <c r="BC111" s="181" t="s">
        <v>2643</v>
      </c>
      <c r="BD111" s="281" t="s">
        <v>3208</v>
      </c>
      <c r="BE111" s="181" t="str">
        <f>VLOOKUP(BF111,Lookup!$C$4:$D$14,2,FALSE)</f>
        <v>Slight Worsening</v>
      </c>
      <c r="BF111" s="193">
        <f>IF(X111=0,0,IF(X111&gt;Lookup!$F$113,-5,IF(X111&gt;Lookup!$F$114,-4,IF(X111&gt;Lookup!$F$115,-3,IF(X111&gt;Lookup!$F$116,-2,IF(X111&gt;Lookup!$F$117,-1,0))))))</f>
        <v>-1</v>
      </c>
      <c r="BG111" s="195" t="str">
        <f>VLOOKUP(BF111,Lookup!$G$113:$H$118,2,FALSE)</f>
        <v>Annual on-farm equipment costs 5% or less of enterprise annual net income</v>
      </c>
      <c r="BH111" s="281" t="s">
        <v>1913</v>
      </c>
      <c r="BI111" s="181" t="str">
        <f>VLOOKUP(BJ111,Lookup!$C$4:$D$14,2,FALSE)</f>
        <v>Slight Improvement</v>
      </c>
      <c r="BJ111" s="193">
        <f>VLOOKUP(BK111,Lookup!$G$121:$L$131,6,FALSE)</f>
        <v>1</v>
      </c>
      <c r="BK111" s="181" t="s">
        <v>2638</v>
      </c>
      <c r="BL111" s="281" t="s">
        <v>3320</v>
      </c>
      <c r="BM111" s="181" t="str">
        <f>VLOOKUP(BN111,Lookup!$C$4:$D$14,2,FALSE)</f>
        <v>Slight Worsening</v>
      </c>
      <c r="BN111" s="193">
        <f>VLOOKUP(BO111,Lookup!$G$134:$L$144,6,FALSE)</f>
        <v>-1</v>
      </c>
      <c r="BO111" s="181" t="s">
        <v>3373</v>
      </c>
      <c r="BP111" s="281" t="s">
        <v>3409</v>
      </c>
      <c r="BQ111" s="181" t="str">
        <f>VLOOKUP(BR111,Lookup!$C$4:$D$14,2,FALSE)</f>
        <v>Slight Worsening</v>
      </c>
      <c r="BR111" s="193">
        <f>VLOOKUP(BS111,Lookup!$G$147:$L$157,6,FALSE)</f>
        <v>-1</v>
      </c>
      <c r="BS111" s="181" t="s">
        <v>2658</v>
      </c>
      <c r="BT111" s="281" t="s">
        <v>3555</v>
      </c>
      <c r="BU111" s="175" t="s">
        <v>2231</v>
      </c>
    </row>
    <row r="112" spans="1:73" ht="39.950000000000003" customHeight="1" thickBot="1" x14ac:dyDescent="0.25">
      <c r="A112" s="173">
        <f t="shared" si="12"/>
        <v>109</v>
      </c>
      <c r="B112" s="178" t="s">
        <v>47</v>
      </c>
      <c r="C112" s="179" t="s">
        <v>1476</v>
      </c>
      <c r="D112" s="180">
        <v>643</v>
      </c>
      <c r="E112" s="180" t="s">
        <v>3646</v>
      </c>
      <c r="F112" s="273" t="str">
        <f>VLOOKUP($D112,'Practice Descriptions'!$E$11:$F$186,2,FALSE)</f>
        <v>Restoring, conserving, and managing unique or diminishing native terrestrial and aquatic ecosystems.</v>
      </c>
      <c r="G112" s="182">
        <v>15</v>
      </c>
      <c r="H112" s="183">
        <v>500</v>
      </c>
      <c r="I112" s="184">
        <v>0</v>
      </c>
      <c r="J112" s="184">
        <v>0.01</v>
      </c>
      <c r="K112" s="419">
        <f>IF(E112="No.",1,IF(E112="Ac.",1,(SQRT(VLOOKUP(O112,Lookup!$F$9:$H$18,3,FALSE)))*208/VLOOKUP(O112,Lookup!$F$9:$H$18,3,FALSE)))</f>
        <v>1</v>
      </c>
      <c r="L112" s="185" t="str">
        <f t="shared" si="8"/>
        <v/>
      </c>
      <c r="M112" s="184">
        <v>0</v>
      </c>
      <c r="N112" s="186">
        <f>IF(G112=1,H112,PMT(Lookup!$G$4,G112,-H112)+(H112*J112)+(M112*P112))*K112</f>
        <v>53.579006132438799</v>
      </c>
      <c r="O112" s="181" t="s">
        <v>1260</v>
      </c>
      <c r="P112" s="186">
        <f>VLOOKUP($O112,Lookup!$F$9:$I$18,4,FALSE)</f>
        <v>50</v>
      </c>
      <c r="Q112" s="184">
        <v>0</v>
      </c>
      <c r="R112" s="183">
        <v>10</v>
      </c>
      <c r="S112" s="188" t="s">
        <v>3633</v>
      </c>
      <c r="T112" s="186">
        <f t="shared" si="10"/>
        <v>10</v>
      </c>
      <c r="U112" s="189">
        <f t="shared" si="11"/>
        <v>0.18664026681050386</v>
      </c>
      <c r="V112" s="189">
        <f t="shared" si="9"/>
        <v>0</v>
      </c>
      <c r="W112" s="190">
        <f>IF(P112=0,0,IF(Q112+R112=0,0,PV(Lookup!$G$4,G112,-T112)/H112))</f>
        <v>0.20585023853179382</v>
      </c>
      <c r="X112" s="190">
        <f>IF(I112=0,0,PMT(Lookup!$G$4,G112,-(H112*I112*K112))/P112)</f>
        <v>0</v>
      </c>
      <c r="Y112" s="42" t="s">
        <v>986</v>
      </c>
      <c r="Z112" s="192">
        <f>VLOOKUP(Y112,Lookup!$B$4:$C$14,2,FALSE)</f>
        <v>0</v>
      </c>
      <c r="AA112" s="281" t="s">
        <v>2759</v>
      </c>
      <c r="AB112" s="282" t="s">
        <v>1072</v>
      </c>
      <c r="AC112" s="181" t="str">
        <f>VLOOKUP(AD112,Lookup!$C$4:$D$14,2,FALSE)</f>
        <v>Substantial Worsening</v>
      </c>
      <c r="AD112" s="193">
        <f>IF(P112/H112&lt;Lookup!$F$33,-5,IF(P112/H112&lt;Lookup!$F$32,-4,IF(P112/H112&lt;Lookup!$F$31,-3,IF(P112/H112&lt;Lookup!$F$30,-2,IF(P112/H112&lt;Lookup!$F$29,-1,-5)))))</f>
        <v>-5</v>
      </c>
      <c r="AE112" s="194" t="str">
        <f>VLOOKUP(AD112,Lookup!$G$28:$J$33,2,FALSE)</f>
        <v>One-time practice implementation cost 5 times or greater enterprise annual net income</v>
      </c>
      <c r="AF112" s="281" t="s">
        <v>1842</v>
      </c>
      <c r="AG112" s="181" t="str">
        <f>VLOOKUP(AH112,Lookup!$C$4:$D$14,2,FALSE)</f>
        <v>Slight Worsening</v>
      </c>
      <c r="AH112" s="193">
        <f>IF(J112&gt;Lookup!$F$43,-5,IF(J112&gt;Lookup!$F$42,-4,IF(J112&gt;Lookup!$F$41,-3,IF(J112&gt;Lookup!$F$40,-2,IF(J112&gt;Lookup!$F$39,-1,0)))))</f>
        <v>-1</v>
      </c>
      <c r="AI112" s="194" t="str">
        <f>VLOOKUP(AH112,Lookup!$G$38:$J$43,2,FALSE)</f>
        <v>Annual O&amp;M costs less than 1% of total installation costs</v>
      </c>
      <c r="AJ112" s="281" t="s">
        <v>2995</v>
      </c>
      <c r="AK112" s="181" t="str">
        <f>VLOOKUP(AL112,Lookup!$C$4:$D$14,2,FALSE)</f>
        <v>Moderate Worsening</v>
      </c>
      <c r="AL112" s="346">
        <f>IF(N112=0,0,IF(U112&lt;Lookup!$F$58,-5,IF(U112&lt;Lookup!$F$57,-4,IF(U112&lt;Lookup!$F$56,-3,IF(U112&lt;Lookup!$F$55,-2,IF(U112&lt;Lookup!$F$54,-1,IF(U112&lt;Lookup!$F$53,0,IF(U112&lt;Lookup!$F$52,1,IF(U112&lt;Lookup!$F$51,2,IF(U112&lt;Lookup!$F$50,3,IF(U112&lt;Lookup!$F$49,4,5)))))))))))</f>
        <v>-3</v>
      </c>
      <c r="AM112" s="194" t="str">
        <f>VLOOKUP(AL112,Lookup!$G$48:$J$58,2,FALSE)</f>
        <v>B/C Ratio .10 to .25</v>
      </c>
      <c r="AN112" s="281" t="s">
        <v>3029</v>
      </c>
      <c r="AO112" s="181" t="str">
        <f>VLOOKUP(AP112,Lookup!$C$4:$D$14,2,FALSE)</f>
        <v>No Effect</v>
      </c>
      <c r="AP112" s="193">
        <f>IF(Q112=0,0,IF(Q112&gt;Lookup!$F$63,5,IF(Q112&gt;Lookup!$F$64,4,IF(Q112&gt;Lookup!$F$65,3,IF(Q112&gt;Lookup!$F$66,2,IF(Q112&gt;Lookup!$F$67,1,IF(Q112&gt;Lookup!$F$69,-1,IF(Q112&gt;Lookup!$F$70,-2,IF(Q112&gt;Lookup!$F$71,-3,IF(Q112&gt;Lookup!$F$72,-4,-5))))))))))</f>
        <v>0</v>
      </c>
      <c r="AQ112" s="194" t="str">
        <f>VLOOKUP(AP112,Lookup!$G$63:$J$73,2,FALSE)</f>
        <v>No change in yield</v>
      </c>
      <c r="AR112" s="281" t="s">
        <v>3081</v>
      </c>
      <c r="AS112" s="181" t="str">
        <f>VLOOKUP(AT112,Lookup!$C$4:$D$14,2,FALSE)</f>
        <v>No Effect</v>
      </c>
      <c r="AT112" s="193">
        <f>IF(V112=0,0,IF(V112&lt;Lookup!$F$79,5,IF(V112&lt;Lookup!$F$80,4,IF(V112&lt;Lookup!$F$81,3,IF(V112&lt;Lookup!$F$82,2,IF(V112&lt;Lookup!$F$83,1,IF(V112&lt;Lookup!$F$85,-1,IF(V112&lt;Lookup!$F$86,-2,IF(V112&lt;Lookup!$F$87,-3,IF(V112&lt;Lookup!$F$88,-4,-5))))))))))</f>
        <v>0</v>
      </c>
      <c r="AU112" s="194" t="str">
        <f>VLOOKUP(AT112,Lookup!$G$79:$J$89,2,FALSE)</f>
        <v>No breakeven</v>
      </c>
      <c r="AV112" s="345" t="str">
        <f>VLOOKUP(AT112,Lookup!$G$79:$J$89,4,FALSE)</f>
        <v>Annual costs greater than annual benefits</v>
      </c>
      <c r="AW112" s="181" t="str">
        <f>VLOOKUP(AX112,Lookup!$C$4:$D$14,2,FALSE)</f>
        <v>Moderate Improvement</v>
      </c>
      <c r="AX112" s="193">
        <f>VLOOKUP(AY112,Lookup!$G$92:$J$97,4,FALSE)</f>
        <v>3</v>
      </c>
      <c r="AY112" s="181" t="s">
        <v>2631</v>
      </c>
      <c r="AZ112" s="281" t="s">
        <v>3551</v>
      </c>
      <c r="BA112" s="181" t="str">
        <f>VLOOKUP(BB112,Lookup!$C$4:$D$14,2,FALSE)</f>
        <v>Substantial Worsening</v>
      </c>
      <c r="BB112" s="193">
        <f>VLOOKUP(BC112,Lookup!$G$100:$K$110,5,FALSE)</f>
        <v>-5</v>
      </c>
      <c r="BC112" s="181" t="s">
        <v>2669</v>
      </c>
      <c r="BD112" s="281" t="s">
        <v>1917</v>
      </c>
      <c r="BE112" s="181" t="str">
        <f>VLOOKUP(BF112,Lookup!$C$4:$D$14,2,FALSE)</f>
        <v>No Effect</v>
      </c>
      <c r="BF112" s="193">
        <f>IF(X112=0,0,IF(X112&gt;Lookup!$F$113,-5,IF(X112&gt;Lookup!$F$114,-4,IF(X112&gt;Lookup!$F$115,-3,IF(X112&gt;Lookup!$F$116,-2,IF(X112&gt;Lookup!$F$117,-1,0))))))</f>
        <v>0</v>
      </c>
      <c r="BG112" s="195" t="str">
        <f>VLOOKUP(BF112,Lookup!$G$113:$H$118,2,FALSE)</f>
        <v>No change in on-farm equipment</v>
      </c>
      <c r="BH112" s="281" t="s">
        <v>1846</v>
      </c>
      <c r="BI112" s="181" t="str">
        <f>VLOOKUP(BJ112,Lookup!$C$4:$D$14,2,FALSE)</f>
        <v>Slight to Moderate Worsening</v>
      </c>
      <c r="BJ112" s="193">
        <f>VLOOKUP(BK112,Lookup!$G$121:$L$131,6,FALSE)</f>
        <v>-2</v>
      </c>
      <c r="BK112" s="181" t="s">
        <v>2649</v>
      </c>
      <c r="BL112" s="281" t="s">
        <v>3322</v>
      </c>
      <c r="BM112" s="181" t="str">
        <f>VLOOKUP(BN112,Lookup!$C$4:$D$14,2,FALSE)</f>
        <v>Slight to Moderate Worsening</v>
      </c>
      <c r="BN112" s="193">
        <f>VLOOKUP(BO112,Lookup!$G$134:$L$144,6,FALSE)</f>
        <v>-2</v>
      </c>
      <c r="BO112" s="181" t="s">
        <v>3374</v>
      </c>
      <c r="BP112" s="281" t="s">
        <v>3410</v>
      </c>
      <c r="BQ112" s="181" t="str">
        <f>VLOOKUP(BR112,Lookup!$C$4:$D$14,2,FALSE)</f>
        <v>Slight to Moderate Improvement</v>
      </c>
      <c r="BR112" s="193">
        <f>VLOOKUP(BS112,Lookup!$G$147:$L$157,6,FALSE)</f>
        <v>2</v>
      </c>
      <c r="BS112" s="181" t="s">
        <v>2641</v>
      </c>
      <c r="BT112" s="281" t="s">
        <v>3475</v>
      </c>
      <c r="BU112" s="175" t="s">
        <v>2231</v>
      </c>
    </row>
    <row r="113" spans="1:73" ht="39.950000000000003" customHeight="1" thickBot="1" x14ac:dyDescent="0.25">
      <c r="A113" s="173">
        <f t="shared" si="12"/>
        <v>110</v>
      </c>
      <c r="B113" s="178" t="s">
        <v>48</v>
      </c>
      <c r="C113" s="179" t="s">
        <v>2063</v>
      </c>
      <c r="D113" s="180">
        <v>391</v>
      </c>
      <c r="E113" s="180" t="s">
        <v>3646</v>
      </c>
      <c r="F113" s="273" t="str">
        <f>VLOOKUP($D113,'Practice Descriptions'!$E$11:$F$186,2,FALSE)</f>
        <v>An area predominantly trees and/or shrubs located adjacent to and up-gradient from watercourses or water bodies.</v>
      </c>
      <c r="G113" s="182">
        <v>15</v>
      </c>
      <c r="H113" s="183">
        <v>250</v>
      </c>
      <c r="I113" s="184">
        <v>0</v>
      </c>
      <c r="J113" s="184">
        <v>0.01</v>
      </c>
      <c r="K113" s="419">
        <f>IF(E113="No.",1,IF(E113="Ac.",1,(SQRT(VLOOKUP(O113,Lookup!$F$9:$H$18,3,FALSE)))*208/VLOOKUP(O113,Lookup!$F$9:$H$18,3,FALSE)))</f>
        <v>1</v>
      </c>
      <c r="L113" s="185" t="str">
        <f t="shared" si="8"/>
        <v/>
      </c>
      <c r="M113" s="184">
        <v>0</v>
      </c>
      <c r="N113" s="186">
        <f>IF(G113=1,H113,PMT(Lookup!$G$4,G113,-H113)+(H113*J113)+(M113*P113))*K113</f>
        <v>26.7895030662194</v>
      </c>
      <c r="O113" s="187" t="s">
        <v>301</v>
      </c>
      <c r="P113" s="186">
        <f>VLOOKUP($O113,Lookup!$F$9:$I$18,4,FALSE)</f>
        <v>100</v>
      </c>
      <c r="Q113" s="184">
        <v>0</v>
      </c>
      <c r="R113" s="183">
        <v>10</v>
      </c>
      <c r="S113" s="188" t="s">
        <v>3635</v>
      </c>
      <c r="T113" s="186">
        <f t="shared" si="10"/>
        <v>10</v>
      </c>
      <c r="U113" s="189">
        <f t="shared" si="11"/>
        <v>0.37328053362100772</v>
      </c>
      <c r="V113" s="189">
        <f t="shared" si="9"/>
        <v>0</v>
      </c>
      <c r="W113" s="190">
        <f>IF(P113=0,0,IF(Q113+R113=0,0,PV(Lookup!$G$4,G113,-T113)/H113))</f>
        <v>0.41170047706358764</v>
      </c>
      <c r="X113" s="190">
        <f>IF(I113=0,0,PMT(Lookup!$G$4,G113,-(H113*I113*K113))/P113)</f>
        <v>0</v>
      </c>
      <c r="Y113" s="42" t="s">
        <v>961</v>
      </c>
      <c r="Z113" s="192">
        <f>VLOOKUP(Y113,Lookup!$B$4:$C$14,2,FALSE)</f>
        <v>-2</v>
      </c>
      <c r="AA113" s="281" t="s">
        <v>1877</v>
      </c>
      <c r="AB113" s="282" t="s">
        <v>1072</v>
      </c>
      <c r="AC113" s="181" t="str">
        <f>VLOOKUP(AD113,Lookup!$C$4:$D$14,2,FALSE)</f>
        <v>Moderate to Substantial Worsening</v>
      </c>
      <c r="AD113" s="193">
        <f>IF(P113/H113&lt;Lookup!$F$33,-5,IF(P113/H113&lt;Lookup!$F$32,-4,IF(P113/H113&lt;Lookup!$F$31,-3,IF(P113/H113&lt;Lookup!$F$30,-2,IF(P113/H113&lt;Lookup!$F$29,-1,-5)))))</f>
        <v>-4</v>
      </c>
      <c r="AE113" s="194" t="str">
        <f>VLOOKUP(AD113,Lookup!$G$28:$J$33,2,FALSE)</f>
        <v>One-time practice implementation cost 2 to 5 times enterprise annual net income</v>
      </c>
      <c r="AF113" s="281" t="s">
        <v>2968</v>
      </c>
      <c r="AG113" s="181" t="str">
        <f>VLOOKUP(AH113,Lookup!$C$4:$D$14,2,FALSE)</f>
        <v>Slight Worsening</v>
      </c>
      <c r="AH113" s="193">
        <f>IF(J113&gt;Lookup!$F$43,-5,IF(J113&gt;Lookup!$F$42,-4,IF(J113&gt;Lookup!$F$41,-3,IF(J113&gt;Lookup!$F$40,-2,IF(J113&gt;Lookup!$F$39,-1,0)))))</f>
        <v>-1</v>
      </c>
      <c r="AI113" s="194" t="str">
        <f>VLOOKUP(AH113,Lookup!$G$38:$J$43,2,FALSE)</f>
        <v>Annual O&amp;M costs less than 1% of total installation costs</v>
      </c>
      <c r="AJ113" s="281" t="s">
        <v>2995</v>
      </c>
      <c r="AK113" s="181" t="str">
        <f>VLOOKUP(AL113,Lookup!$C$4:$D$14,2,FALSE)</f>
        <v>Slight to Moderate Worsening</v>
      </c>
      <c r="AL113" s="346">
        <f>IF(N113=0,0,IF(U113&lt;Lookup!$F$58,-5,IF(U113&lt;Lookup!$F$57,-4,IF(U113&lt;Lookup!$F$56,-3,IF(U113&lt;Lookup!$F$55,-2,IF(U113&lt;Lookup!$F$54,-1,IF(U113&lt;Lookup!$F$53,0,IF(U113&lt;Lookup!$F$52,1,IF(U113&lt;Lookup!$F$51,2,IF(U113&lt;Lookup!$F$50,3,IF(U113&lt;Lookup!$F$49,4,5)))))))))))</f>
        <v>-2</v>
      </c>
      <c r="AM113" s="194" t="str">
        <f>VLOOKUP(AL113,Lookup!$G$48:$J$58,2,FALSE)</f>
        <v>B/C Ratio .25 to .50</v>
      </c>
      <c r="AN113" s="281" t="s">
        <v>3046</v>
      </c>
      <c r="AO113" s="181" t="str">
        <f>VLOOKUP(AP113,Lookup!$C$4:$D$14,2,FALSE)</f>
        <v>No Effect</v>
      </c>
      <c r="AP113" s="193">
        <f>IF(Q113=0,0,IF(Q113&gt;Lookup!$F$63,5,IF(Q113&gt;Lookup!$F$64,4,IF(Q113&gt;Lookup!$F$65,3,IF(Q113&gt;Lookup!$F$66,2,IF(Q113&gt;Lookup!$F$67,1,IF(Q113&gt;Lookup!$F$69,-1,IF(Q113&gt;Lookup!$F$70,-2,IF(Q113&gt;Lookup!$F$71,-3,IF(Q113&gt;Lookup!$F$72,-4,-5))))))))))</f>
        <v>0</v>
      </c>
      <c r="AQ113" s="194" t="str">
        <f>VLOOKUP(AP113,Lookup!$G$63:$J$73,2,FALSE)</f>
        <v>No change in yield</v>
      </c>
      <c r="AR113" s="281" t="s">
        <v>3081</v>
      </c>
      <c r="AS113" s="181" t="str">
        <f>VLOOKUP(AT113,Lookup!$C$4:$D$14,2,FALSE)</f>
        <v>No Effect</v>
      </c>
      <c r="AT113" s="193">
        <f>IF(V113=0,0,IF(V113&lt;Lookup!$F$79,5,IF(V113&lt;Lookup!$F$80,4,IF(V113&lt;Lookup!$F$81,3,IF(V113&lt;Lookup!$F$82,2,IF(V113&lt;Lookup!$F$83,1,IF(V113&lt;Lookup!$F$85,-1,IF(V113&lt;Lookup!$F$86,-2,IF(V113&lt;Lookup!$F$87,-3,IF(V113&lt;Lookup!$F$88,-4,-5))))))))))</f>
        <v>0</v>
      </c>
      <c r="AU113" s="194" t="str">
        <f>VLOOKUP(AT113,Lookup!$G$79:$J$89,2,FALSE)</f>
        <v>No breakeven</v>
      </c>
      <c r="AV113" s="345" t="str">
        <f>VLOOKUP(AT113,Lookup!$G$79:$J$89,4,FALSE)</f>
        <v>Annual costs greater than annual benefits</v>
      </c>
      <c r="AW113" s="181" t="str">
        <f>VLOOKUP(AX113,Lookup!$C$4:$D$14,2,FALSE)</f>
        <v>Slight to Moderate Improvement</v>
      </c>
      <c r="AX113" s="193">
        <f>VLOOKUP(AY113,Lookup!$G$92:$J$97,4,FALSE)</f>
        <v>2</v>
      </c>
      <c r="AY113" s="181" t="s">
        <v>2653</v>
      </c>
      <c r="AZ113" s="281" t="s">
        <v>3551</v>
      </c>
      <c r="BA113" s="181" t="str">
        <f>VLOOKUP(BB113,Lookup!$C$4:$D$14,2,FALSE)</f>
        <v>Slight to Moderate Worsening</v>
      </c>
      <c r="BB113" s="193">
        <f>VLOOKUP(BC113,Lookup!$G$100:$K$110,5,FALSE)</f>
        <v>-2</v>
      </c>
      <c r="BC113" s="181" t="s">
        <v>2659</v>
      </c>
      <c r="BD113" s="281" t="s">
        <v>3207</v>
      </c>
      <c r="BE113" s="181" t="str">
        <f>VLOOKUP(BF113,Lookup!$C$4:$D$14,2,FALSE)</f>
        <v>No Effect</v>
      </c>
      <c r="BF113" s="193">
        <f>IF(X113=0,0,IF(X113&gt;Lookup!$F$113,-5,IF(X113&gt;Lookup!$F$114,-4,IF(X113&gt;Lookup!$F$115,-3,IF(X113&gt;Lookup!$F$116,-2,IF(X113&gt;Lookup!$F$117,-1,0))))))</f>
        <v>0</v>
      </c>
      <c r="BG113" s="195" t="str">
        <f>VLOOKUP(BF113,Lookup!$G$113:$H$118,2,FALSE)</f>
        <v>No change in on-farm equipment</v>
      </c>
      <c r="BH113" s="281" t="s">
        <v>1846</v>
      </c>
      <c r="BI113" s="181" t="str">
        <f>VLOOKUP(BJ113,Lookup!$C$4:$D$14,2,FALSE)</f>
        <v>Slight Worsening</v>
      </c>
      <c r="BJ113" s="193">
        <f>VLOOKUP(BK113,Lookup!$G$121:$L$131,6,FALSE)</f>
        <v>-1</v>
      </c>
      <c r="BK113" s="181" t="s">
        <v>2640</v>
      </c>
      <c r="BL113" s="281" t="s">
        <v>3321</v>
      </c>
      <c r="BM113" s="181" t="str">
        <f>VLOOKUP(BN113,Lookup!$C$4:$D$14,2,FALSE)</f>
        <v>Slight Worsening</v>
      </c>
      <c r="BN113" s="193">
        <f>VLOOKUP(BO113,Lookup!$G$134:$L$144,6,FALSE)</f>
        <v>-1</v>
      </c>
      <c r="BO113" s="181" t="s">
        <v>3373</v>
      </c>
      <c r="BP113" s="281" t="s">
        <v>3410</v>
      </c>
      <c r="BQ113" s="181" t="str">
        <f>VLOOKUP(BR113,Lookup!$C$4:$D$14,2,FALSE)</f>
        <v>Slight Worsening</v>
      </c>
      <c r="BR113" s="193">
        <f>VLOOKUP(BS113,Lookup!$G$147:$L$157,6,FALSE)</f>
        <v>-1</v>
      </c>
      <c r="BS113" s="181" t="s">
        <v>2658</v>
      </c>
      <c r="BT113" s="281" t="s">
        <v>3556</v>
      </c>
      <c r="BU113" s="175" t="s">
        <v>2231</v>
      </c>
    </row>
    <row r="114" spans="1:73" ht="39.950000000000003" customHeight="1" thickBot="1" x14ac:dyDescent="0.25">
      <c r="A114" s="173">
        <f t="shared" si="12"/>
        <v>111</v>
      </c>
      <c r="B114" s="178" t="s">
        <v>49</v>
      </c>
      <c r="C114" s="179" t="s">
        <v>1477</v>
      </c>
      <c r="D114" s="180">
        <v>390</v>
      </c>
      <c r="E114" s="180" t="s">
        <v>3646</v>
      </c>
      <c r="F114" s="273" t="str">
        <f>VLOOKUP($D114,'Practice Descriptions'!$E$11:$F$186,2,FALSE)</f>
        <v>Grasses, sedges, rushes, ferns, legumes, and forbs tolerant of intermittent flooding or saturated soils, established or managed as the dominant vegetation in the transitional zone between upland and aquatic habitats.</v>
      </c>
      <c r="G114" s="182">
        <v>10</v>
      </c>
      <c r="H114" s="183">
        <v>200</v>
      </c>
      <c r="I114" s="184">
        <v>0</v>
      </c>
      <c r="J114" s="184">
        <v>0.01</v>
      </c>
      <c r="K114" s="419">
        <f>IF(E114="No.",1,IF(E114="Ac.",1,(SQRT(VLOOKUP(O114,Lookup!$F$9:$H$18,3,FALSE)))*208/VLOOKUP(O114,Lookup!$F$9:$H$18,3,FALSE)))</f>
        <v>1</v>
      </c>
      <c r="L114" s="185" t="str">
        <f t="shared" si="8"/>
        <v/>
      </c>
      <c r="M114" s="184">
        <v>0</v>
      </c>
      <c r="N114" s="186">
        <f>IF(G114=1,H114,PMT(Lookup!$G$4,G114,-H114)+(H114*J114)+(M114*P114))*K114</f>
        <v>28.058376113679437</v>
      </c>
      <c r="O114" s="187" t="s">
        <v>301</v>
      </c>
      <c r="P114" s="186">
        <f>VLOOKUP($O114,Lookup!$F$9:$I$18,4,FALSE)</f>
        <v>100</v>
      </c>
      <c r="Q114" s="184">
        <v>0</v>
      </c>
      <c r="R114" s="183">
        <v>5</v>
      </c>
      <c r="S114" s="188" t="s">
        <v>3633</v>
      </c>
      <c r="T114" s="186">
        <f t="shared" si="10"/>
        <v>5</v>
      </c>
      <c r="U114" s="189">
        <f t="shared" si="11"/>
        <v>0.17819990650001749</v>
      </c>
      <c r="V114" s="189">
        <f t="shared" si="9"/>
        <v>0</v>
      </c>
      <c r="W114" s="190">
        <f>IF(P114=0,0,IF(Q114+R114=0,0,PV(Lookup!$G$4,G114,-T114)/H114))</f>
        <v>0.19187688358582075</v>
      </c>
      <c r="X114" s="190">
        <f>IF(I114=0,0,PMT(Lookup!$G$4,G114,-(H114*I114*K114))/P114)</f>
        <v>0</v>
      </c>
      <c r="Y114" s="42" t="s">
        <v>986</v>
      </c>
      <c r="Z114" s="192">
        <f>VLOOKUP(Y114,Lookup!$B$4:$C$14,2,FALSE)</f>
        <v>0</v>
      </c>
      <c r="AA114" s="281" t="s">
        <v>1915</v>
      </c>
      <c r="AB114" s="282" t="s">
        <v>1072</v>
      </c>
      <c r="AC114" s="181" t="str">
        <f>VLOOKUP(AD114,Lookup!$C$4:$D$14,2,FALSE)</f>
        <v>Moderate Worsening</v>
      </c>
      <c r="AD114" s="193">
        <f>IF(P114/H114&lt;Lookup!$F$33,-5,IF(P114/H114&lt;Lookup!$F$32,-4,IF(P114/H114&lt;Lookup!$F$31,-3,IF(P114/H114&lt;Lookup!$F$30,-2,IF(P114/H114&lt;Lookup!$F$29,-1,-5)))))</f>
        <v>-3</v>
      </c>
      <c r="AE114" s="194" t="str">
        <f>VLOOKUP(AD114,Lookup!$G$28:$J$33,2,FALSE)</f>
        <v>One-time practice implementation cost 1 to 2 times enterprise annual net income</v>
      </c>
      <c r="AF114" s="281" t="s">
        <v>2968</v>
      </c>
      <c r="AG114" s="181" t="str">
        <f>VLOOKUP(AH114,Lookup!$C$4:$D$14,2,FALSE)</f>
        <v>Slight Worsening</v>
      </c>
      <c r="AH114" s="193">
        <f>IF(J114&gt;Lookup!$F$43,-5,IF(J114&gt;Lookup!$F$42,-4,IF(J114&gt;Lookup!$F$41,-3,IF(J114&gt;Lookup!$F$40,-2,IF(J114&gt;Lookup!$F$39,-1,0)))))</f>
        <v>-1</v>
      </c>
      <c r="AI114" s="194" t="str">
        <f>VLOOKUP(AH114,Lookup!$G$38:$J$43,2,FALSE)</f>
        <v>Annual O&amp;M costs less than 1% of total installation costs</v>
      </c>
      <c r="AJ114" s="281" t="s">
        <v>2995</v>
      </c>
      <c r="AK114" s="181" t="str">
        <f>VLOOKUP(AL114,Lookup!$C$4:$D$14,2,FALSE)</f>
        <v>Moderate Worsening</v>
      </c>
      <c r="AL114" s="346">
        <f>IF(N114=0,0,IF(U114&lt;Lookup!$F$58,-5,IF(U114&lt;Lookup!$F$57,-4,IF(U114&lt;Lookup!$F$56,-3,IF(U114&lt;Lookup!$F$55,-2,IF(U114&lt;Lookup!$F$54,-1,IF(U114&lt;Lookup!$F$53,0,IF(U114&lt;Lookup!$F$52,1,IF(U114&lt;Lookup!$F$51,2,IF(U114&lt;Lookup!$F$50,3,IF(U114&lt;Lookup!$F$49,4,5)))))))))))</f>
        <v>-3</v>
      </c>
      <c r="AM114" s="194" t="str">
        <f>VLOOKUP(AL114,Lookup!$G$48:$J$58,2,FALSE)</f>
        <v>B/C Ratio .10 to .25</v>
      </c>
      <c r="AN114" s="281" t="s">
        <v>3046</v>
      </c>
      <c r="AO114" s="181" t="str">
        <f>VLOOKUP(AP114,Lookup!$C$4:$D$14,2,FALSE)</f>
        <v>No Effect</v>
      </c>
      <c r="AP114" s="193">
        <f>IF(Q114=0,0,IF(Q114&gt;Lookup!$F$63,5,IF(Q114&gt;Lookup!$F$64,4,IF(Q114&gt;Lookup!$F$65,3,IF(Q114&gt;Lookup!$F$66,2,IF(Q114&gt;Lookup!$F$67,1,IF(Q114&gt;Lookup!$F$69,-1,IF(Q114&gt;Lookup!$F$70,-2,IF(Q114&gt;Lookup!$F$71,-3,IF(Q114&gt;Lookup!$F$72,-4,-5))))))))))</f>
        <v>0</v>
      </c>
      <c r="AQ114" s="194" t="str">
        <f>VLOOKUP(AP114,Lookup!$G$63:$J$73,2,FALSE)</f>
        <v>No change in yield</v>
      </c>
      <c r="AR114" s="281" t="s">
        <v>3081</v>
      </c>
      <c r="AS114" s="181" t="str">
        <f>VLOOKUP(AT114,Lookup!$C$4:$D$14,2,FALSE)</f>
        <v>No Effect</v>
      </c>
      <c r="AT114" s="193">
        <f>IF(V114=0,0,IF(V114&lt;Lookup!$F$79,5,IF(V114&lt;Lookup!$F$80,4,IF(V114&lt;Lookup!$F$81,3,IF(V114&lt;Lookup!$F$82,2,IF(V114&lt;Lookup!$F$83,1,IF(V114&lt;Lookup!$F$85,-1,IF(V114&lt;Lookup!$F$86,-2,IF(V114&lt;Lookup!$F$87,-3,IF(V114&lt;Lookup!$F$88,-4,-5))))))))))</f>
        <v>0</v>
      </c>
      <c r="AU114" s="194" t="str">
        <f>VLOOKUP(AT114,Lookup!$G$79:$J$89,2,FALSE)</f>
        <v>No breakeven</v>
      </c>
      <c r="AV114" s="345" t="str">
        <f>VLOOKUP(AT114,Lookup!$G$79:$J$89,4,FALSE)</f>
        <v>Annual costs greater than annual benefits</v>
      </c>
      <c r="AW114" s="181" t="str">
        <f>VLOOKUP(AX114,Lookup!$C$4:$D$14,2,FALSE)</f>
        <v>Slight to Moderate Improvement</v>
      </c>
      <c r="AX114" s="193">
        <f>VLOOKUP(AY114,Lookup!$G$92:$J$97,4,FALSE)</f>
        <v>2</v>
      </c>
      <c r="AY114" s="181" t="s">
        <v>2653</v>
      </c>
      <c r="AZ114" s="281" t="s">
        <v>3551</v>
      </c>
      <c r="BA114" s="181" t="str">
        <f>VLOOKUP(BB114,Lookup!$C$4:$D$14,2,FALSE)</f>
        <v>Slight to Moderate Worsening</v>
      </c>
      <c r="BB114" s="193">
        <f>VLOOKUP(BC114,Lookup!$G$100:$K$110,5,FALSE)</f>
        <v>-2</v>
      </c>
      <c r="BC114" s="181" t="s">
        <v>2659</v>
      </c>
      <c r="BD114" s="281" t="s">
        <v>3207</v>
      </c>
      <c r="BE114" s="181" t="str">
        <f>VLOOKUP(BF114,Lookup!$C$4:$D$14,2,FALSE)</f>
        <v>No Effect</v>
      </c>
      <c r="BF114" s="193">
        <f>IF(X114=0,0,IF(X114&gt;Lookup!$F$113,-5,IF(X114&gt;Lookup!$F$114,-4,IF(X114&gt;Lookup!$F$115,-3,IF(X114&gt;Lookup!$F$116,-2,IF(X114&gt;Lookup!$F$117,-1,0))))))</f>
        <v>0</v>
      </c>
      <c r="BG114" s="195" t="str">
        <f>VLOOKUP(BF114,Lookup!$G$113:$H$118,2,FALSE)</f>
        <v>No change in on-farm equipment</v>
      </c>
      <c r="BH114" s="281" t="s">
        <v>1846</v>
      </c>
      <c r="BI114" s="181" t="str">
        <f>VLOOKUP(BJ114,Lookup!$C$4:$D$14,2,FALSE)</f>
        <v>Slight Worsening</v>
      </c>
      <c r="BJ114" s="193">
        <f>VLOOKUP(BK114,Lookup!$G$121:$L$131,6,FALSE)</f>
        <v>-1</v>
      </c>
      <c r="BK114" s="181" t="s">
        <v>2640</v>
      </c>
      <c r="BL114" s="281" t="s">
        <v>3321</v>
      </c>
      <c r="BM114" s="181" t="str">
        <f>VLOOKUP(BN114,Lookup!$C$4:$D$14,2,FALSE)</f>
        <v>Slight Worsening</v>
      </c>
      <c r="BN114" s="193">
        <f>VLOOKUP(BO114,Lookup!$G$134:$L$144,6,FALSE)</f>
        <v>-1</v>
      </c>
      <c r="BO114" s="181" t="s">
        <v>3373</v>
      </c>
      <c r="BP114" s="281" t="s">
        <v>3410</v>
      </c>
      <c r="BQ114" s="181" t="str">
        <f>VLOOKUP(BR114,Lookup!$C$4:$D$14,2,FALSE)</f>
        <v>Slight Worsening</v>
      </c>
      <c r="BR114" s="193">
        <f>VLOOKUP(BS114,Lookup!$G$147:$L$157,6,FALSE)</f>
        <v>-1</v>
      </c>
      <c r="BS114" s="181" t="s">
        <v>2658</v>
      </c>
      <c r="BT114" s="281" t="s">
        <v>3556</v>
      </c>
      <c r="BU114" s="175" t="s">
        <v>2231</v>
      </c>
    </row>
    <row r="115" spans="1:73" ht="39.950000000000003" customHeight="1" thickBot="1" x14ac:dyDescent="0.25">
      <c r="A115" s="173">
        <f t="shared" si="12"/>
        <v>112</v>
      </c>
      <c r="B115" s="178" t="s">
        <v>479</v>
      </c>
      <c r="C115" s="179" t="s">
        <v>1469</v>
      </c>
      <c r="D115" s="180">
        <v>654</v>
      </c>
      <c r="E115" s="180" t="s">
        <v>1944</v>
      </c>
      <c r="F115" s="273" t="str">
        <f>VLOOKUP($D115,'Practice Descriptions'!$E$11:$F$186,2,FALSE)</f>
        <v>The closure, decommissioning, or abandonment of roads, trails, and/or landings and associated treatment to achieve conservation objectives.</v>
      </c>
      <c r="G115" s="182">
        <v>10</v>
      </c>
      <c r="H115" s="183">
        <v>2</v>
      </c>
      <c r="I115" s="184">
        <v>0</v>
      </c>
      <c r="J115" s="184">
        <v>0.01</v>
      </c>
      <c r="K115" s="419">
        <f>IF(E115="No.",1,IF(E115="Ac.",1,(SQRT(VLOOKUP(O115,Lookup!$F$9:$H$18,3,FALSE)))*208/VLOOKUP(O115,Lookup!$F$9:$H$18,3,FALSE)))</f>
        <v>16.443843832875572</v>
      </c>
      <c r="L115" s="185" t="str">
        <f t="shared" si="8"/>
        <v>Assume length 1 side of square field (208'/Ac)</v>
      </c>
      <c r="M115" s="184">
        <v>0</v>
      </c>
      <c r="N115" s="186">
        <f>IF(G115=1,H115,PMT(Lookup!$G$4,G115,-H115)+(H115*J115)+(M115*P115))*K115</f>
        <v>4.6138755501743081</v>
      </c>
      <c r="O115" s="187" t="s">
        <v>301</v>
      </c>
      <c r="P115" s="186">
        <f>VLOOKUP($O115,Lookup!$F$9:$I$18,4,FALSE)</f>
        <v>100</v>
      </c>
      <c r="Q115" s="184">
        <v>0</v>
      </c>
      <c r="R115" s="183">
        <v>3</v>
      </c>
      <c r="S115" s="188" t="s">
        <v>3601</v>
      </c>
      <c r="T115" s="186">
        <f t="shared" si="10"/>
        <v>3</v>
      </c>
      <c r="U115" s="189">
        <f t="shared" si="11"/>
        <v>0.65021259619511473</v>
      </c>
      <c r="V115" s="189">
        <f t="shared" si="9"/>
        <v>0</v>
      </c>
      <c r="W115" s="190">
        <f>IF(P115=0,0,IF(Q115+R115=0,0,PV(Lookup!$G$4,G115,-T115)/H115))</f>
        <v>11.512613015149245</v>
      </c>
      <c r="X115" s="190">
        <f>IF(I115=0,0,PMT(Lookup!$G$4,G115,-(H115*I115*K115))/P115)</f>
        <v>0</v>
      </c>
      <c r="Y115" s="42" t="s">
        <v>986</v>
      </c>
      <c r="Z115" s="192">
        <f>VLOOKUP(Y115,Lookup!$B$4:$C$14,2,FALSE)</f>
        <v>0</v>
      </c>
      <c r="AA115" s="281" t="s">
        <v>1372</v>
      </c>
      <c r="AB115" s="282" t="s">
        <v>1072</v>
      </c>
      <c r="AC115" s="181" t="str">
        <f>VLOOKUP(AD115,Lookup!$C$4:$D$14,2,FALSE)</f>
        <v>Slight Worsening</v>
      </c>
      <c r="AD115" s="193">
        <f>IF(P115/H115&lt;Lookup!$F$33,-5,IF(P115/H115&lt;Lookup!$F$32,-4,IF(P115/H115&lt;Lookup!$F$31,-3,IF(P115/H115&lt;Lookup!$F$30,-2,IF(P115/H115&lt;Lookup!$F$29,-1,-5)))))</f>
        <v>-1</v>
      </c>
      <c r="AE115" s="194" t="str">
        <f>VLOOKUP(AD115,Lookup!$G$28:$J$33,2,FALSE)</f>
        <v>One-time practice implementation cost 5% or less of enterprise annual net income</v>
      </c>
      <c r="AF115" s="281" t="s">
        <v>1842</v>
      </c>
      <c r="AG115" s="181" t="str">
        <f>VLOOKUP(AH115,Lookup!$C$4:$D$14,2,FALSE)</f>
        <v>Slight Worsening</v>
      </c>
      <c r="AH115" s="193">
        <f>IF(J115&gt;Lookup!$F$43,-5,IF(J115&gt;Lookup!$F$42,-4,IF(J115&gt;Lookup!$F$41,-3,IF(J115&gt;Lookup!$F$40,-2,IF(J115&gt;Lookup!$F$39,-1,0)))))</f>
        <v>-1</v>
      </c>
      <c r="AI115" s="194" t="str">
        <f>VLOOKUP(AH115,Lookup!$G$38:$J$43,2,FALSE)</f>
        <v>Annual O&amp;M costs less than 1% of total installation costs</v>
      </c>
      <c r="AJ115" s="281" t="s">
        <v>2996</v>
      </c>
      <c r="AK115" s="181" t="str">
        <f>VLOOKUP(AL115,Lookup!$C$4:$D$14,2,FALSE)</f>
        <v>Slight Worsening</v>
      </c>
      <c r="AL115" s="346">
        <f>IF(N115=0,0,IF(U115&lt;Lookup!$F$58,-5,IF(U115&lt;Lookup!$F$57,-4,IF(U115&lt;Lookup!$F$56,-3,IF(U115&lt;Lookup!$F$55,-2,IF(U115&lt;Lookup!$F$54,-1,IF(U115&lt;Lookup!$F$53,0,IF(U115&lt;Lookup!$F$52,1,IF(U115&lt;Lookup!$F$51,2,IF(U115&lt;Lookup!$F$50,3,IF(U115&lt;Lookup!$F$49,4,5)))))))))))</f>
        <v>-1</v>
      </c>
      <c r="AM115" s="194" t="str">
        <f>VLOOKUP(AL115,Lookup!$G$48:$J$58,2,FALSE)</f>
        <v>B/C Ratio .50 to .75</v>
      </c>
      <c r="AN115" s="281" t="s">
        <v>1917</v>
      </c>
      <c r="AO115" s="181" t="str">
        <f>VLOOKUP(AP115,Lookup!$C$4:$D$14,2,FALSE)</f>
        <v>No Effect</v>
      </c>
      <c r="AP115" s="193">
        <f>IF(Q115=0,0,IF(Q115&gt;Lookup!$F$63,5,IF(Q115&gt;Lookup!$F$64,4,IF(Q115&gt;Lookup!$F$65,3,IF(Q115&gt;Lookup!$F$66,2,IF(Q115&gt;Lookup!$F$67,1,IF(Q115&gt;Lookup!$F$69,-1,IF(Q115&gt;Lookup!$F$70,-2,IF(Q115&gt;Lookup!$F$71,-3,IF(Q115&gt;Lookup!$F$72,-4,-5))))))))))</f>
        <v>0</v>
      </c>
      <c r="AQ115" s="194" t="str">
        <f>VLOOKUP(AP115,Lookup!$G$63:$J$73,2,FALSE)</f>
        <v>No change in yield</v>
      </c>
      <c r="AR115" s="281" t="s">
        <v>3081</v>
      </c>
      <c r="AS115" s="181" t="str">
        <f>VLOOKUP(AT115,Lookup!$C$4:$D$14,2,FALSE)</f>
        <v>No Effect</v>
      </c>
      <c r="AT115" s="193">
        <f>IF(V115=0,0,IF(V115&lt;Lookup!$F$79,5,IF(V115&lt;Lookup!$F$80,4,IF(V115&lt;Lookup!$F$81,3,IF(V115&lt;Lookup!$F$82,2,IF(V115&lt;Lookup!$F$83,1,IF(V115&lt;Lookup!$F$85,-1,IF(V115&lt;Lookup!$F$86,-2,IF(V115&lt;Lookup!$F$87,-3,IF(V115&lt;Lookup!$F$88,-4,-5))))))))))</f>
        <v>0</v>
      </c>
      <c r="AU115" s="194" t="str">
        <f>VLOOKUP(AT115,Lookup!$G$79:$J$89,2,FALSE)</f>
        <v>No breakeven</v>
      </c>
      <c r="AV115" s="345" t="str">
        <f>VLOOKUP(AT115,Lookup!$G$79:$J$89,4,FALSE)</f>
        <v>Annual costs greater than annual benefits</v>
      </c>
      <c r="AW115" s="181" t="str">
        <f>VLOOKUP(AX115,Lookup!$C$4:$D$14,2,FALSE)</f>
        <v>Slight Improvement</v>
      </c>
      <c r="AX115" s="193">
        <f>VLOOKUP(AY115,Lookup!$G$92:$J$97,4,FALSE)</f>
        <v>1</v>
      </c>
      <c r="AY115" s="181" t="s">
        <v>2636</v>
      </c>
      <c r="AZ115" s="281" t="s">
        <v>1916</v>
      </c>
      <c r="BA115" s="181" t="str">
        <f>VLOOKUP(BB115,Lookup!$C$4:$D$14,2,FALSE)</f>
        <v>Moderate Worsening</v>
      </c>
      <c r="BB115" s="193">
        <f>VLOOKUP(BC115,Lookup!$G$100:$K$110,5,FALSE)</f>
        <v>-3</v>
      </c>
      <c r="BC115" s="181" t="s">
        <v>2632</v>
      </c>
      <c r="BD115" s="281" t="s">
        <v>3209</v>
      </c>
      <c r="BE115" s="181" t="str">
        <f>VLOOKUP(BF115,Lookup!$C$4:$D$14,2,FALSE)</f>
        <v>No Effect</v>
      </c>
      <c r="BF115" s="193">
        <f>IF(X115=0,0,IF(X115&gt;Lookup!$F$113,-5,IF(X115&gt;Lookup!$F$114,-4,IF(X115&gt;Lookup!$F$115,-3,IF(X115&gt;Lookup!$F$116,-2,IF(X115&gt;Lookup!$F$117,-1,0))))))</f>
        <v>0</v>
      </c>
      <c r="BG115" s="195" t="str">
        <f>VLOOKUP(BF115,Lookup!$G$113:$H$118,2,FALSE)</f>
        <v>No change in on-farm equipment</v>
      </c>
      <c r="BH115" s="281" t="s">
        <v>1846</v>
      </c>
      <c r="BI115" s="181" t="str">
        <f>VLOOKUP(BJ115,Lookup!$C$4:$D$14,2,FALSE)</f>
        <v>Slight Improvement</v>
      </c>
      <c r="BJ115" s="193">
        <f>VLOOKUP(BK115,Lookup!$G$121:$L$131,6,FALSE)</f>
        <v>1</v>
      </c>
      <c r="BK115" s="181" t="s">
        <v>2638</v>
      </c>
      <c r="BL115" s="281" t="s">
        <v>3321</v>
      </c>
      <c r="BM115" s="181" t="str">
        <f>VLOOKUP(BN115,Lookup!$C$4:$D$14,2,FALSE)</f>
        <v>No Effect</v>
      </c>
      <c r="BN115" s="193">
        <f>VLOOKUP(BO115,Lookup!$G$134:$L$144,6,FALSE)</f>
        <v>0</v>
      </c>
      <c r="BO115" s="181" t="s">
        <v>2646</v>
      </c>
      <c r="BP115" s="281" t="s">
        <v>3154</v>
      </c>
      <c r="BQ115" s="181" t="str">
        <f>VLOOKUP(BR115,Lookup!$C$4:$D$14,2,FALSE)</f>
        <v>Moderate Worsening</v>
      </c>
      <c r="BR115" s="193">
        <f>VLOOKUP(BS115,Lookup!$G$147:$L$157,6,FALSE)</f>
        <v>-3</v>
      </c>
      <c r="BS115" s="181" t="s">
        <v>2635</v>
      </c>
      <c r="BT115" s="281" t="s">
        <v>3557</v>
      </c>
      <c r="BU115" s="175" t="s">
        <v>2231</v>
      </c>
    </row>
    <row r="116" spans="1:73" ht="39.950000000000003" customHeight="1" thickBot="1" x14ac:dyDescent="0.25">
      <c r="A116" s="173">
        <f t="shared" si="12"/>
        <v>113</v>
      </c>
      <c r="B116" s="178" t="s">
        <v>50</v>
      </c>
      <c r="C116" s="179" t="s">
        <v>1597</v>
      </c>
      <c r="D116" s="180">
        <v>555</v>
      </c>
      <c r="E116" s="180" t="s">
        <v>1944</v>
      </c>
      <c r="F116" s="273" t="str">
        <f>VLOOKUP($D116,'Practice Descriptions'!$E$11:$F$186,2,FALSE)</f>
        <v>A rock retaining wall constructed across the slope to form and support a bench terrace that will control the flow of water and check erosion on sloping land.</v>
      </c>
      <c r="G116" s="182">
        <v>10</v>
      </c>
      <c r="H116" s="183">
        <v>4.5</v>
      </c>
      <c r="I116" s="184">
        <v>0</v>
      </c>
      <c r="J116" s="184">
        <v>0.02</v>
      </c>
      <c r="K116" s="419">
        <f>IF(E116="No.",1,IF(E116="Ac.",1,(SQRT(VLOOKUP(O116,Lookup!$F$9:$H$18,3,FALSE)))*208/VLOOKUP(O116,Lookup!$F$9:$H$18,3,FALSE)))</f>
        <v>16.443843832875572</v>
      </c>
      <c r="L116" s="185" t="str">
        <f t="shared" si="8"/>
        <v>Assume length 1 side of square field (208'/Ac)</v>
      </c>
      <c r="M116" s="184">
        <v>0</v>
      </c>
      <c r="N116" s="186">
        <f>IF(G116=1,H116,PMT(Lookup!$G$4,G116,-H116)+(H116*J116)+(M116*P116))*K116</f>
        <v>11.121192960371594</v>
      </c>
      <c r="O116" s="181" t="s">
        <v>1260</v>
      </c>
      <c r="P116" s="186">
        <f>VLOOKUP($O116,Lookup!$F$9:$I$18,4,FALSE)</f>
        <v>50</v>
      </c>
      <c r="Q116" s="184">
        <v>0</v>
      </c>
      <c r="R116" s="183">
        <v>2</v>
      </c>
      <c r="S116" s="188" t="s">
        <v>3601</v>
      </c>
      <c r="T116" s="186">
        <f t="shared" si="10"/>
        <v>2</v>
      </c>
      <c r="U116" s="189">
        <f t="shared" si="11"/>
        <v>0.17983682210412558</v>
      </c>
      <c r="V116" s="189">
        <f t="shared" si="9"/>
        <v>0</v>
      </c>
      <c r="W116" s="190">
        <f>IF(P116=0,0,IF(Q116+R116=0,0,PV(Lookup!$G$4,G116,-T116)/H116))</f>
        <v>3.4111445970812579</v>
      </c>
      <c r="X116" s="190">
        <f>IF(I116=0,0,PMT(Lookup!$G$4,G116,-(H116*I116*K116))/P116)</f>
        <v>0</v>
      </c>
      <c r="Y116" s="42" t="s">
        <v>963</v>
      </c>
      <c r="Z116" s="192">
        <f>VLOOKUP(Y116,Lookup!$B$4:$C$14,2,FALSE)</f>
        <v>2</v>
      </c>
      <c r="AA116" s="281" t="s">
        <v>227</v>
      </c>
      <c r="AB116" s="282" t="s">
        <v>1072</v>
      </c>
      <c r="AC116" s="181" t="str">
        <f>VLOOKUP(AD116,Lookup!$C$4:$D$14,2,FALSE)</f>
        <v>Slight to Moderate Worsening</v>
      </c>
      <c r="AD116" s="193">
        <f>IF(P116/H116&lt;Lookup!$F$33,-5,IF(P116/H116&lt;Lookup!$F$32,-4,IF(P116/H116&lt;Lookup!$F$31,-3,IF(P116/H116&lt;Lookup!$F$30,-2,IF(P116/H116&lt;Lookup!$F$29,-1,-5)))))</f>
        <v>-2</v>
      </c>
      <c r="AE116" s="194" t="str">
        <f>VLOOKUP(AD116,Lookup!$G$28:$J$33,2,FALSE)</f>
        <v>One-time practice implementation cost 5 to 100% of enterprise annual net income</v>
      </c>
      <c r="AF116" s="281" t="s">
        <v>1842</v>
      </c>
      <c r="AG116" s="181" t="str">
        <f>VLOOKUP(AH116,Lookup!$C$4:$D$14,2,FALSE)</f>
        <v>Slight to Moderate Worsening</v>
      </c>
      <c r="AH116" s="193">
        <f>IF(J116&gt;Lookup!$F$43,-5,IF(J116&gt;Lookup!$F$42,-4,IF(J116&gt;Lookup!$F$41,-3,IF(J116&gt;Lookup!$F$40,-2,IF(J116&gt;Lookup!$F$39,-1,0)))))</f>
        <v>-2</v>
      </c>
      <c r="AI116" s="194" t="str">
        <f>VLOOKUP(AH116,Lookup!$G$38:$J$43,2,FALSE)</f>
        <v>Annual O&amp;M costs 1 to 2% of total installation costs</v>
      </c>
      <c r="AJ116" s="281" t="s">
        <v>2997</v>
      </c>
      <c r="AK116" s="181" t="str">
        <f>VLOOKUP(AL116,Lookup!$C$4:$D$14,2,FALSE)</f>
        <v>Moderate Worsening</v>
      </c>
      <c r="AL116" s="346">
        <f>IF(N116=0,0,IF(U116&lt;Lookup!$F$58,-5,IF(U116&lt;Lookup!$F$57,-4,IF(U116&lt;Lookup!$F$56,-3,IF(U116&lt;Lookup!$F$55,-2,IF(U116&lt;Lookup!$F$54,-1,IF(U116&lt;Lookup!$F$53,0,IF(U116&lt;Lookup!$F$52,1,IF(U116&lt;Lookup!$F$51,2,IF(U116&lt;Lookup!$F$50,3,IF(U116&lt;Lookup!$F$49,4,5)))))))))))</f>
        <v>-3</v>
      </c>
      <c r="AM116" s="194" t="str">
        <f>VLOOKUP(AL116,Lookup!$G$48:$J$58,2,FALSE)</f>
        <v>B/C Ratio .10 to .25</v>
      </c>
      <c r="AN116" s="281" t="s">
        <v>1843</v>
      </c>
      <c r="AO116" s="181" t="str">
        <f>VLOOKUP(AP116,Lookup!$C$4:$D$14,2,FALSE)</f>
        <v>No Effect</v>
      </c>
      <c r="AP116" s="193">
        <f>IF(Q116=0,0,IF(Q116&gt;Lookup!$F$63,5,IF(Q116&gt;Lookup!$F$64,4,IF(Q116&gt;Lookup!$F$65,3,IF(Q116&gt;Lookup!$F$66,2,IF(Q116&gt;Lookup!$F$67,1,IF(Q116&gt;Lookup!$F$69,-1,IF(Q116&gt;Lookup!$F$70,-2,IF(Q116&gt;Lookup!$F$71,-3,IF(Q116&gt;Lookup!$F$72,-4,-5))))))))))</f>
        <v>0</v>
      </c>
      <c r="AQ116" s="194" t="str">
        <f>VLOOKUP(AP116,Lookup!$G$63:$J$73,2,FALSE)</f>
        <v>No change in yield</v>
      </c>
      <c r="AR116" s="281" t="s">
        <v>3081</v>
      </c>
      <c r="AS116" s="181" t="str">
        <f>VLOOKUP(AT116,Lookup!$C$4:$D$14,2,FALSE)</f>
        <v>No Effect</v>
      </c>
      <c r="AT116" s="193">
        <f>IF(V116=0,0,IF(V116&lt;Lookup!$F$79,5,IF(V116&lt;Lookup!$F$80,4,IF(V116&lt;Lookup!$F$81,3,IF(V116&lt;Lookup!$F$82,2,IF(V116&lt;Lookup!$F$83,1,IF(V116&lt;Lookup!$F$85,-1,IF(V116&lt;Lookup!$F$86,-2,IF(V116&lt;Lookup!$F$87,-3,IF(V116&lt;Lookup!$F$88,-4,-5))))))))))</f>
        <v>0</v>
      </c>
      <c r="AU116" s="194" t="str">
        <f>VLOOKUP(AT116,Lookup!$G$79:$J$89,2,FALSE)</f>
        <v>No breakeven</v>
      </c>
      <c r="AV116" s="345" t="str">
        <f>VLOOKUP(AT116,Lookup!$G$79:$J$89,4,FALSE)</f>
        <v>Annual costs greater than annual benefits</v>
      </c>
      <c r="AW116" s="181" t="str">
        <f>VLOOKUP(AX116,Lookup!$C$4:$D$14,2,FALSE)</f>
        <v>Slight Improvement</v>
      </c>
      <c r="AX116" s="193">
        <f>VLOOKUP(AY116,Lookup!$G$92:$J$97,4,FALSE)</f>
        <v>1</v>
      </c>
      <c r="AY116" s="181" t="s">
        <v>2636</v>
      </c>
      <c r="AZ116" s="281" t="s">
        <v>3551</v>
      </c>
      <c r="BA116" s="181" t="str">
        <f>VLOOKUP(BB116,Lookup!$C$4:$D$14,2,FALSE)</f>
        <v>Slight Worsening</v>
      </c>
      <c r="BB116" s="193">
        <f>VLOOKUP(BC116,Lookup!$G$100:$K$110,5,FALSE)</f>
        <v>-1</v>
      </c>
      <c r="BC116" s="181" t="s">
        <v>2637</v>
      </c>
      <c r="BD116" s="281" t="s">
        <v>1860</v>
      </c>
      <c r="BE116" s="181" t="str">
        <f>VLOOKUP(BF116,Lookup!$C$4:$D$14,2,FALSE)</f>
        <v>No Effect</v>
      </c>
      <c r="BF116" s="193">
        <f>IF(X116=0,0,IF(X116&gt;Lookup!$F$113,-5,IF(X116&gt;Lookup!$F$114,-4,IF(X116&gt;Lookup!$F$115,-3,IF(X116&gt;Lookup!$F$116,-2,IF(X116&gt;Lookup!$F$117,-1,0))))))</f>
        <v>0</v>
      </c>
      <c r="BG116" s="195" t="str">
        <f>VLOOKUP(BF116,Lookup!$G$113:$H$118,2,FALSE)</f>
        <v>No change in on-farm equipment</v>
      </c>
      <c r="BH116" s="281" t="s">
        <v>1846</v>
      </c>
      <c r="BI116" s="181" t="str">
        <f>VLOOKUP(BJ116,Lookup!$C$4:$D$14,2,FALSE)</f>
        <v>Slight Improvement</v>
      </c>
      <c r="BJ116" s="193">
        <f>VLOOKUP(BK116,Lookup!$G$121:$L$131,6,FALSE)</f>
        <v>1</v>
      </c>
      <c r="BK116" s="181" t="s">
        <v>2638</v>
      </c>
      <c r="BL116" s="281" t="s">
        <v>3323</v>
      </c>
      <c r="BM116" s="181" t="str">
        <f>VLOOKUP(BN116,Lookup!$C$4:$D$14,2,FALSE)</f>
        <v>No Effect</v>
      </c>
      <c r="BN116" s="193">
        <f>VLOOKUP(BO116,Lookup!$G$134:$L$144,6,FALSE)</f>
        <v>0</v>
      </c>
      <c r="BO116" s="181" t="s">
        <v>2646</v>
      </c>
      <c r="BP116" s="281" t="s">
        <v>3154</v>
      </c>
      <c r="BQ116" s="181" t="str">
        <f>VLOOKUP(BR116,Lookup!$C$4:$D$14,2,FALSE)</f>
        <v>Slight to Moderate Improvement</v>
      </c>
      <c r="BR116" s="193">
        <f>VLOOKUP(BS116,Lookup!$G$147:$L$157,6,FALSE)</f>
        <v>2</v>
      </c>
      <c r="BS116" s="181" t="s">
        <v>2641</v>
      </c>
      <c r="BT116" s="281" t="s">
        <v>3476</v>
      </c>
      <c r="BU116" s="175" t="s">
        <v>2231</v>
      </c>
    </row>
    <row r="117" spans="1:73" ht="39.950000000000003" customHeight="1" thickBot="1" x14ac:dyDescent="0.25">
      <c r="A117" s="173">
        <f t="shared" si="12"/>
        <v>114</v>
      </c>
      <c r="B117" s="178" t="s">
        <v>51</v>
      </c>
      <c r="C117" s="179" t="s">
        <v>1599</v>
      </c>
      <c r="D117" s="180">
        <v>558</v>
      </c>
      <c r="E117" s="180" t="s">
        <v>3647</v>
      </c>
      <c r="F117" s="273" t="str">
        <f>VLOOKUP($D117,'Practice Descriptions'!$E$11:$F$186,2,FALSE)</f>
        <v>Structures that collect, control, and transport precipitation from roofs.</v>
      </c>
      <c r="G117" s="182">
        <v>15</v>
      </c>
      <c r="H117" s="183">
        <v>3000</v>
      </c>
      <c r="I117" s="184">
        <v>0</v>
      </c>
      <c r="J117" s="184">
        <v>0.01</v>
      </c>
      <c r="K117" s="419">
        <f>IF(E117="No.",1,IF(E117="Ac.",1,(SQRT(VLOOKUP(O117,Lookup!$F$9:$H$18,3,FALSE)))*208/VLOOKUP(O117,Lookup!$F$9:$H$18,3,FALSE)))</f>
        <v>1</v>
      </c>
      <c r="L117" s="185" t="str">
        <f t="shared" si="8"/>
        <v/>
      </c>
      <c r="M117" s="184">
        <v>0</v>
      </c>
      <c r="N117" s="186">
        <f>IF(G117=1,H117,PMT(Lookup!$G$4,G117,-H117)+(H117*J117)+(M117*P117))*K117</f>
        <v>321.47403679463281</v>
      </c>
      <c r="O117" s="187" t="s">
        <v>2221</v>
      </c>
      <c r="P117" s="186">
        <f>VLOOKUP($O117,Lookup!$F$9:$I$18,4,FALSE)</f>
        <v>1</v>
      </c>
      <c r="Q117" s="184">
        <v>0</v>
      </c>
      <c r="R117" s="183">
        <v>5</v>
      </c>
      <c r="S117" s="188" t="s">
        <v>3602</v>
      </c>
      <c r="T117" s="186">
        <f t="shared" si="10"/>
        <v>5</v>
      </c>
      <c r="U117" s="189">
        <f t="shared" si="11"/>
        <v>1.5553355567541987E-2</v>
      </c>
      <c r="V117" s="189">
        <f t="shared" si="9"/>
        <v>0</v>
      </c>
      <c r="W117" s="190">
        <f>IF(P117=0,0,IF(Q117+R117=0,0,PV(Lookup!$G$4,G117,-T117)/H117))</f>
        <v>1.7154186544316153E-2</v>
      </c>
      <c r="X117" s="190">
        <f>IF(I117=0,0,PMT(Lookup!$G$4,G117,-(H117*I117*K117))/P117)</f>
        <v>0</v>
      </c>
      <c r="Y117" s="42" t="s">
        <v>986</v>
      </c>
      <c r="Z117" s="192">
        <f>VLOOKUP(Y117,Lookup!$B$4:$C$14,2,FALSE)</f>
        <v>0</v>
      </c>
      <c r="AA117" s="281" t="s">
        <v>1479</v>
      </c>
      <c r="AB117" s="282" t="s">
        <v>1072</v>
      </c>
      <c r="AC117" s="181" t="str">
        <f>VLOOKUP(AD117,Lookup!$C$4:$D$14,2,FALSE)</f>
        <v>Substantial Worsening</v>
      </c>
      <c r="AD117" s="193">
        <f>IF(P117/H117&lt;Lookup!$F$33,-5,IF(P117/H117&lt;Lookup!$F$32,-4,IF(P117/H117&lt;Lookup!$F$31,-3,IF(P117/H117&lt;Lookup!$F$30,-2,IF(P117/H117&lt;Lookup!$F$29,-1,-5)))))</f>
        <v>-5</v>
      </c>
      <c r="AE117" s="194" t="str">
        <f>VLOOKUP(AD117,Lookup!$G$28:$J$33,2,FALSE)</f>
        <v>One-time practice implementation cost 5 times or greater enterprise annual net income</v>
      </c>
      <c r="AF117" s="281" t="s">
        <v>1847</v>
      </c>
      <c r="AG117" s="181" t="str">
        <f>VLOOKUP(AH117,Lookup!$C$4:$D$14,2,FALSE)</f>
        <v>Slight Worsening</v>
      </c>
      <c r="AH117" s="193">
        <f>IF(J117&gt;Lookup!$F$43,-5,IF(J117&gt;Lookup!$F$42,-4,IF(J117&gt;Lookup!$F$41,-3,IF(J117&gt;Lookup!$F$40,-2,IF(J117&gt;Lookup!$F$39,-1,0)))))</f>
        <v>-1</v>
      </c>
      <c r="AI117" s="194" t="str">
        <f>VLOOKUP(AH117,Lookup!$G$38:$J$43,2,FALSE)</f>
        <v>Annual O&amp;M costs less than 1% of total installation costs</v>
      </c>
      <c r="AJ117" s="281" t="s">
        <v>2998</v>
      </c>
      <c r="AK117" s="181" t="str">
        <f>VLOOKUP(AL117,Lookup!$C$4:$D$14,2,FALSE)</f>
        <v>Substantial Worsening</v>
      </c>
      <c r="AL117" s="346">
        <f>IF(N117=0,0,IF(U117&lt;Lookup!$F$58,-5,IF(U117&lt;Lookup!$F$57,-4,IF(U117&lt;Lookup!$F$56,-3,IF(U117&lt;Lookup!$F$55,-2,IF(U117&lt;Lookup!$F$54,-1,IF(U117&lt;Lookup!$F$53,0,IF(U117&lt;Lookup!$F$52,1,IF(U117&lt;Lookup!$F$51,2,IF(U117&lt;Lookup!$F$50,3,IF(U117&lt;Lookup!$F$49,4,5)))))))))))</f>
        <v>-5</v>
      </c>
      <c r="AM117" s="194" t="str">
        <f>VLOOKUP(AL117,Lookup!$G$48:$J$58,2,FALSE)</f>
        <v>B/C Ratio less than .02</v>
      </c>
      <c r="AN117" s="281" t="s">
        <v>3059</v>
      </c>
      <c r="AO117" s="181" t="str">
        <f>VLOOKUP(AP117,Lookup!$C$4:$D$14,2,FALSE)</f>
        <v>No Effect</v>
      </c>
      <c r="AP117" s="193">
        <f>IF(Q117=0,0,IF(Q117&gt;Lookup!$F$63,5,IF(Q117&gt;Lookup!$F$64,4,IF(Q117&gt;Lookup!$F$65,3,IF(Q117&gt;Lookup!$F$66,2,IF(Q117&gt;Lookup!$F$67,1,IF(Q117&gt;Lookup!$F$69,-1,IF(Q117&gt;Lookup!$F$70,-2,IF(Q117&gt;Lookup!$F$71,-3,IF(Q117&gt;Lookup!$F$72,-4,-5))))))))))</f>
        <v>0</v>
      </c>
      <c r="AQ117" s="194" t="str">
        <f>VLOOKUP(AP117,Lookup!$G$63:$J$73,2,FALSE)</f>
        <v>No change in yield</v>
      </c>
      <c r="AR117" s="281" t="s">
        <v>3081</v>
      </c>
      <c r="AS117" s="181" t="str">
        <f>VLOOKUP(AT117,Lookup!$C$4:$D$14,2,FALSE)</f>
        <v>No Effect</v>
      </c>
      <c r="AT117" s="193">
        <f>IF(V117=0,0,IF(V117&lt;Lookup!$F$79,5,IF(V117&lt;Lookup!$F$80,4,IF(V117&lt;Lookup!$F$81,3,IF(V117&lt;Lookup!$F$82,2,IF(V117&lt;Lookup!$F$83,1,IF(V117&lt;Lookup!$F$85,-1,IF(V117&lt;Lookup!$F$86,-2,IF(V117&lt;Lookup!$F$87,-3,IF(V117&lt;Lookup!$F$88,-4,-5))))))))))</f>
        <v>0</v>
      </c>
      <c r="AU117" s="194" t="str">
        <f>VLOOKUP(AT117,Lookup!$G$79:$J$89,2,FALSE)</f>
        <v>No breakeven</v>
      </c>
      <c r="AV117" s="345" t="str">
        <f>VLOOKUP(AT117,Lookup!$G$79:$J$89,4,FALSE)</f>
        <v>Annual costs greater than annual benefits</v>
      </c>
      <c r="AW117" s="181" t="str">
        <f>VLOOKUP(AX117,Lookup!$C$4:$D$14,2,FALSE)</f>
        <v>No Effect</v>
      </c>
      <c r="AX117" s="193">
        <f>VLOOKUP(AY117,Lookup!$G$92:$J$97,4,FALSE)</f>
        <v>0</v>
      </c>
      <c r="AY117" s="181" t="s">
        <v>2642</v>
      </c>
      <c r="AZ117" s="281" t="s">
        <v>3154</v>
      </c>
      <c r="BA117" s="181" t="str">
        <f>VLOOKUP(BB117,Lookup!$C$4:$D$14,2,FALSE)</f>
        <v>No Effect</v>
      </c>
      <c r="BB117" s="193">
        <f>VLOOKUP(BC117,Lookup!$G$100:$K$110,5,FALSE)</f>
        <v>0</v>
      </c>
      <c r="BC117" s="181" t="s">
        <v>2643</v>
      </c>
      <c r="BD117" s="281" t="s">
        <v>3154</v>
      </c>
      <c r="BE117" s="181" t="str">
        <f>VLOOKUP(BF117,Lookup!$C$4:$D$14,2,FALSE)</f>
        <v>No Effect</v>
      </c>
      <c r="BF117" s="193">
        <f>IF(X117=0,0,IF(X117&gt;Lookup!$F$113,-5,IF(X117&gt;Lookup!$F$114,-4,IF(X117&gt;Lookup!$F$115,-3,IF(X117&gt;Lookup!$F$116,-2,IF(X117&gt;Lookup!$F$117,-1,0))))))</f>
        <v>0</v>
      </c>
      <c r="BG117" s="195" t="str">
        <f>VLOOKUP(BF117,Lookup!$G$113:$H$118,2,FALSE)</f>
        <v>No change in on-farm equipment</v>
      </c>
      <c r="BH117" s="281" t="s">
        <v>1920</v>
      </c>
      <c r="BI117" s="181" t="str">
        <f>VLOOKUP(BJ117,Lookup!$C$4:$D$14,2,FALSE)</f>
        <v>Slight Worsening</v>
      </c>
      <c r="BJ117" s="193">
        <f>VLOOKUP(BK117,Lookup!$G$121:$L$131,6,FALSE)</f>
        <v>-1</v>
      </c>
      <c r="BK117" s="181" t="s">
        <v>2640</v>
      </c>
      <c r="BL117" s="281" t="s">
        <v>1918</v>
      </c>
      <c r="BM117" s="181" t="str">
        <f>VLOOKUP(BN117,Lookup!$C$4:$D$14,2,FALSE)</f>
        <v>Slight Worsening</v>
      </c>
      <c r="BN117" s="193">
        <f>VLOOKUP(BO117,Lookup!$G$134:$L$144,6,FALSE)</f>
        <v>-1</v>
      </c>
      <c r="BO117" s="181" t="s">
        <v>3373</v>
      </c>
      <c r="BP117" s="281" t="s">
        <v>1919</v>
      </c>
      <c r="BQ117" s="181" t="str">
        <f>VLOOKUP(BR117,Lookup!$C$4:$D$14,2,FALSE)</f>
        <v>Slight to Moderate Improvement</v>
      </c>
      <c r="BR117" s="193">
        <f>VLOOKUP(BS117,Lookup!$G$147:$L$157,6,FALSE)</f>
        <v>2</v>
      </c>
      <c r="BS117" s="181" t="s">
        <v>2641</v>
      </c>
      <c r="BT117" s="281" t="s">
        <v>3477</v>
      </c>
      <c r="BU117" s="175" t="s">
        <v>2231</v>
      </c>
    </row>
    <row r="118" spans="1:73" ht="39.950000000000003" customHeight="1" thickBot="1" x14ac:dyDescent="0.25">
      <c r="A118" s="173">
        <f t="shared" si="12"/>
        <v>115</v>
      </c>
      <c r="B118" s="178" t="s">
        <v>1521</v>
      </c>
      <c r="C118" s="179" t="s">
        <v>1599</v>
      </c>
      <c r="D118" s="180">
        <v>367</v>
      </c>
      <c r="E118" s="180" t="s">
        <v>3647</v>
      </c>
      <c r="F118" s="273" t="str">
        <f>VLOOKUP($D118,'Practice Descriptions'!$E$11:$F$186,2,FALSE)</f>
        <v>A rigid, semi-rigid, or flexible manufactured membrane, composite material, or roof structure placed over a waste management facility.</v>
      </c>
      <c r="G118" s="182">
        <v>25</v>
      </c>
      <c r="H118" s="183">
        <v>5000</v>
      </c>
      <c r="I118" s="184">
        <v>0</v>
      </c>
      <c r="J118" s="184">
        <v>0.01</v>
      </c>
      <c r="K118" s="419">
        <f>IF(E118="No.",1,IF(E118="Ac.",1,(SQRT(VLOOKUP(O118,Lookup!$F$9:$H$18,3,FALSE)))*208/VLOOKUP(O118,Lookup!$F$9:$H$18,3,FALSE)))</f>
        <v>1</v>
      </c>
      <c r="L118" s="185" t="str">
        <f t="shared" si="8"/>
        <v/>
      </c>
      <c r="M118" s="184">
        <v>0</v>
      </c>
      <c r="N118" s="186">
        <f>IF(G118=1,H118,PMT(Lookup!$G$4,G118,-H118)+(H118*J118)+(M118*P118))*K118</f>
        <v>409.21985895463911</v>
      </c>
      <c r="O118" s="187" t="s">
        <v>2221</v>
      </c>
      <c r="P118" s="186">
        <f>VLOOKUP($O118,Lookup!$F$9:$I$18,4,FALSE)</f>
        <v>1</v>
      </c>
      <c r="Q118" s="184">
        <v>0</v>
      </c>
      <c r="R118" s="183">
        <v>5</v>
      </c>
      <c r="S118" s="188" t="s">
        <v>3602</v>
      </c>
      <c r="T118" s="186">
        <f t="shared" si="10"/>
        <v>5</v>
      </c>
      <c r="U118" s="189">
        <f t="shared" si="11"/>
        <v>1.2218370860037455E-2</v>
      </c>
      <c r="V118" s="189">
        <f t="shared" si="9"/>
        <v>0</v>
      </c>
      <c r="W118" s="190">
        <f>IF(P118=0,0,IF(Q118+R118=0,0,PV(Lookup!$G$4,G118,-T118)/H118))</f>
        <v>1.3919052288897482E-2</v>
      </c>
      <c r="X118" s="190">
        <f>IF(I118=0,0,PMT(Lookup!$G$4,G118,-(H118*I118*K118))/P118)</f>
        <v>0</v>
      </c>
      <c r="Y118" s="42" t="s">
        <v>963</v>
      </c>
      <c r="Z118" s="192">
        <f>VLOOKUP(Y118,Lookup!$B$4:$C$14,2,FALSE)</f>
        <v>2</v>
      </c>
      <c r="AA118" s="281" t="s">
        <v>1479</v>
      </c>
      <c r="AB118" s="282" t="s">
        <v>1072</v>
      </c>
      <c r="AC118" s="181" t="str">
        <f>VLOOKUP(AD118,Lookup!$C$4:$D$14,2,FALSE)</f>
        <v>Substantial Worsening</v>
      </c>
      <c r="AD118" s="193">
        <f>IF(P118/H118&lt;Lookup!$F$33,-5,IF(P118/H118&lt;Lookup!$F$32,-4,IF(P118/H118&lt;Lookup!$F$31,-3,IF(P118/H118&lt;Lookup!$F$30,-2,IF(P118/H118&lt;Lookup!$F$29,-1,-5)))))</f>
        <v>-5</v>
      </c>
      <c r="AE118" s="194" t="str">
        <f>VLOOKUP(AD118,Lookup!$G$28:$J$33,2,FALSE)</f>
        <v>One-time practice implementation cost 5 times or greater enterprise annual net income</v>
      </c>
      <c r="AF118" s="281" t="s">
        <v>1847</v>
      </c>
      <c r="AG118" s="181" t="str">
        <f>VLOOKUP(AH118,Lookup!$C$4:$D$14,2,FALSE)</f>
        <v>Slight Worsening</v>
      </c>
      <c r="AH118" s="193">
        <f>IF(J118&gt;Lookup!$F$43,-5,IF(J118&gt;Lookup!$F$42,-4,IF(J118&gt;Lookup!$F$41,-3,IF(J118&gt;Lookup!$F$40,-2,IF(J118&gt;Lookup!$F$39,-1,0)))))</f>
        <v>-1</v>
      </c>
      <c r="AI118" s="194" t="str">
        <f>VLOOKUP(AH118,Lookup!$G$38:$J$43,2,FALSE)</f>
        <v>Annual O&amp;M costs less than 1% of total installation costs</v>
      </c>
      <c r="AJ118" s="281" t="s">
        <v>3000</v>
      </c>
      <c r="AK118" s="181" t="str">
        <f>VLOOKUP(AL118,Lookup!$C$4:$D$14,2,FALSE)</f>
        <v>Substantial Worsening</v>
      </c>
      <c r="AL118" s="346">
        <f>IF(N118=0,0,IF(U118&lt;Lookup!$F$58,-5,IF(U118&lt;Lookup!$F$57,-4,IF(U118&lt;Lookup!$F$56,-3,IF(U118&lt;Lookup!$F$55,-2,IF(U118&lt;Lookup!$F$54,-1,IF(U118&lt;Lookup!$F$53,0,IF(U118&lt;Lookup!$F$52,1,IF(U118&lt;Lookup!$F$51,2,IF(U118&lt;Lookup!$F$50,3,IF(U118&lt;Lookup!$F$49,4,5)))))))))))</f>
        <v>-5</v>
      </c>
      <c r="AM118" s="194" t="str">
        <f>VLOOKUP(AL118,Lookup!$G$48:$J$58,2,FALSE)</f>
        <v>B/C Ratio less than .02</v>
      </c>
      <c r="AN118" s="281" t="s">
        <v>3059</v>
      </c>
      <c r="AO118" s="181" t="str">
        <f>VLOOKUP(AP118,Lookup!$C$4:$D$14,2,FALSE)</f>
        <v>No Effect</v>
      </c>
      <c r="AP118" s="193">
        <f>IF(Q118=0,0,IF(Q118&gt;Lookup!$F$63,5,IF(Q118&gt;Lookup!$F$64,4,IF(Q118&gt;Lookup!$F$65,3,IF(Q118&gt;Lookup!$F$66,2,IF(Q118&gt;Lookup!$F$67,1,IF(Q118&gt;Lookup!$F$69,-1,IF(Q118&gt;Lookup!$F$70,-2,IF(Q118&gt;Lookup!$F$71,-3,IF(Q118&gt;Lookup!$F$72,-4,-5))))))))))</f>
        <v>0</v>
      </c>
      <c r="AQ118" s="194" t="str">
        <f>VLOOKUP(AP118,Lookup!$G$63:$J$73,2,FALSE)</f>
        <v>No change in yield</v>
      </c>
      <c r="AR118" s="281" t="s">
        <v>3081</v>
      </c>
      <c r="AS118" s="181" t="str">
        <f>VLOOKUP(AT118,Lookup!$C$4:$D$14,2,FALSE)</f>
        <v>No Effect</v>
      </c>
      <c r="AT118" s="193">
        <f>IF(V118=0,0,IF(V118&lt;Lookup!$F$79,5,IF(V118&lt;Lookup!$F$80,4,IF(V118&lt;Lookup!$F$81,3,IF(V118&lt;Lookup!$F$82,2,IF(V118&lt;Lookup!$F$83,1,IF(V118&lt;Lookup!$F$85,-1,IF(V118&lt;Lookup!$F$86,-2,IF(V118&lt;Lookup!$F$87,-3,IF(V118&lt;Lookup!$F$88,-4,-5))))))))))</f>
        <v>0</v>
      </c>
      <c r="AU118" s="194" t="str">
        <f>VLOOKUP(AT118,Lookup!$G$79:$J$89,2,FALSE)</f>
        <v>No breakeven</v>
      </c>
      <c r="AV118" s="345" t="str">
        <f>VLOOKUP(AT118,Lookup!$G$79:$J$89,4,FALSE)</f>
        <v>Annual costs greater than annual benefits</v>
      </c>
      <c r="AW118" s="181" t="str">
        <f>VLOOKUP(AX118,Lookup!$C$4:$D$14,2,FALSE)</f>
        <v>No Effect</v>
      </c>
      <c r="AX118" s="193">
        <f>VLOOKUP(AY118,Lookup!$G$92:$J$97,4,FALSE)</f>
        <v>0</v>
      </c>
      <c r="AY118" s="181" t="s">
        <v>2642</v>
      </c>
      <c r="AZ118" s="281" t="s">
        <v>3154</v>
      </c>
      <c r="BA118" s="181" t="str">
        <f>VLOOKUP(BB118,Lookup!$C$4:$D$14,2,FALSE)</f>
        <v>No Effect</v>
      </c>
      <c r="BB118" s="193">
        <f>VLOOKUP(BC118,Lookup!$G$100:$K$110,5,FALSE)</f>
        <v>0</v>
      </c>
      <c r="BC118" s="181" t="s">
        <v>2643</v>
      </c>
      <c r="BD118" s="281" t="s">
        <v>3154</v>
      </c>
      <c r="BE118" s="181" t="str">
        <f>VLOOKUP(BF118,Lookup!$C$4:$D$14,2,FALSE)</f>
        <v>No Effect</v>
      </c>
      <c r="BF118" s="193">
        <f>IF(X118=0,0,IF(X118&gt;Lookup!$F$113,-5,IF(X118&gt;Lookup!$F$114,-4,IF(X118&gt;Lookup!$F$115,-3,IF(X118&gt;Lookup!$F$116,-2,IF(X118&gt;Lookup!$F$117,-1,0))))))</f>
        <v>0</v>
      </c>
      <c r="BG118" s="195" t="str">
        <f>VLOOKUP(BF118,Lookup!$G$113:$H$118,2,FALSE)</f>
        <v>No change in on-farm equipment</v>
      </c>
      <c r="BH118" s="281" t="s">
        <v>1920</v>
      </c>
      <c r="BI118" s="181" t="str">
        <f>VLOOKUP(BJ118,Lookup!$C$4:$D$14,2,FALSE)</f>
        <v>Slight Worsening</v>
      </c>
      <c r="BJ118" s="193">
        <f>VLOOKUP(BK118,Lookup!$G$121:$L$131,6,FALSE)</f>
        <v>-1</v>
      </c>
      <c r="BK118" s="181" t="s">
        <v>2640</v>
      </c>
      <c r="BL118" s="281" t="s">
        <v>3324</v>
      </c>
      <c r="BM118" s="181" t="str">
        <f>VLOOKUP(BN118,Lookup!$C$4:$D$14,2,FALSE)</f>
        <v>Slight Worsening</v>
      </c>
      <c r="BN118" s="193">
        <f>VLOOKUP(BO118,Lookup!$G$134:$L$144,6,FALSE)</f>
        <v>-1</v>
      </c>
      <c r="BO118" s="181" t="s">
        <v>3373</v>
      </c>
      <c r="BP118" s="281" t="s">
        <v>3411</v>
      </c>
      <c r="BQ118" s="181" t="str">
        <f>VLOOKUP(BR118,Lookup!$C$4:$D$14,2,FALSE)</f>
        <v>Slight to Moderate Improvement</v>
      </c>
      <c r="BR118" s="193">
        <f>VLOOKUP(BS118,Lookup!$G$147:$L$157,6,FALSE)</f>
        <v>2</v>
      </c>
      <c r="BS118" s="181" t="s">
        <v>2641</v>
      </c>
      <c r="BT118" s="281" t="s">
        <v>3477</v>
      </c>
      <c r="BU118" s="175" t="s">
        <v>2231</v>
      </c>
    </row>
    <row r="119" spans="1:73" ht="39.950000000000003" customHeight="1" thickBot="1" x14ac:dyDescent="0.25">
      <c r="A119" s="173">
        <f t="shared" si="12"/>
        <v>116</v>
      </c>
      <c r="B119" s="178" t="s">
        <v>52</v>
      </c>
      <c r="C119" s="179" t="s">
        <v>1597</v>
      </c>
      <c r="D119" s="180">
        <v>557</v>
      </c>
      <c r="E119" s="180" t="s">
        <v>3646</v>
      </c>
      <c r="F119" s="273" t="str">
        <f>VLOOKUP($D119,'Practice Descriptions'!$E$11:$F$186,2,FALSE)</f>
        <v>A system of crop rows on planned grades and lengths.</v>
      </c>
      <c r="G119" s="182">
        <v>5</v>
      </c>
      <c r="H119" s="183">
        <v>15</v>
      </c>
      <c r="I119" s="184">
        <v>0</v>
      </c>
      <c r="J119" s="184">
        <v>0</v>
      </c>
      <c r="K119" s="419">
        <f>IF(E119="No.",1,IF(E119="Ac.",1,(SQRT(VLOOKUP(O119,Lookup!$F$9:$H$18,3,FALSE)))*208/VLOOKUP(O119,Lookup!$F$9:$H$18,3,FALSE)))</f>
        <v>1</v>
      </c>
      <c r="L119" s="185" t="str">
        <f t="shared" si="8"/>
        <v/>
      </c>
      <c r="M119" s="184">
        <v>0</v>
      </c>
      <c r="N119" s="186">
        <f>IF(G119=1,H119,PMT(Lookup!$G$4,G119,-H119)+(H119*J119)+(M119*P119))*K119</f>
        <v>3.4766022177167208</v>
      </c>
      <c r="O119" s="187" t="s">
        <v>1110</v>
      </c>
      <c r="P119" s="186">
        <f>VLOOKUP($O119,Lookup!$F$9:$I$18,4,FALSE)</f>
        <v>300</v>
      </c>
      <c r="Q119" s="184">
        <v>0.01</v>
      </c>
      <c r="R119" s="183">
        <v>1</v>
      </c>
      <c r="S119" s="188" t="s">
        <v>3634</v>
      </c>
      <c r="T119" s="186">
        <f t="shared" si="10"/>
        <v>4</v>
      </c>
      <c r="U119" s="189">
        <f t="shared" si="11"/>
        <v>1.1505486533995897</v>
      </c>
      <c r="V119" s="189">
        <f t="shared" si="9"/>
        <v>3.75</v>
      </c>
      <c r="W119" s="190">
        <f>IF(P119=0,0,IF(Q119+R119=0,0,PV(Lookup!$G$4,G119,-T119)/H119))</f>
        <v>1.1505486533995897</v>
      </c>
      <c r="X119" s="190">
        <f>IF(I119=0,0,PMT(Lookup!$G$4,G119,-(H119*I119*K119))/P119)</f>
        <v>0</v>
      </c>
      <c r="Y119" s="42" t="s">
        <v>986</v>
      </c>
      <c r="Z119" s="192">
        <f>VLOOKUP(Y119,Lookup!$B$4:$C$14,2,FALSE)</f>
        <v>0</v>
      </c>
      <c r="AA119" s="281" t="s">
        <v>2759</v>
      </c>
      <c r="AB119" s="282" t="s">
        <v>1072</v>
      </c>
      <c r="AC119" s="181" t="str">
        <f>VLOOKUP(AD119,Lookup!$C$4:$D$14,2,FALSE)</f>
        <v>Slight Worsening</v>
      </c>
      <c r="AD119" s="193">
        <f>IF(P119/H119&lt;Lookup!$F$33,-5,IF(P119/H119&lt;Lookup!$F$32,-4,IF(P119/H119&lt;Lookup!$F$31,-3,IF(P119/H119&lt;Lookup!$F$30,-2,IF(P119/H119&lt;Lookup!$F$29,-1,-5)))))</f>
        <v>-1</v>
      </c>
      <c r="AE119" s="194" t="str">
        <f>VLOOKUP(AD119,Lookup!$G$28:$J$33,2,FALSE)</f>
        <v>One-time practice implementation cost 5% or less of enterprise annual net income</v>
      </c>
      <c r="AF119" s="281" t="s">
        <v>1894</v>
      </c>
      <c r="AG119" s="181" t="str">
        <f>VLOOKUP(AH119,Lookup!$C$4:$D$14,2,FALSE)</f>
        <v>No Effect</v>
      </c>
      <c r="AH119" s="193">
        <f>IF(J119&gt;Lookup!$F$43,-5,IF(J119&gt;Lookup!$F$42,-4,IF(J119&gt;Lookup!$F$41,-3,IF(J119&gt;Lookup!$F$40,-2,IF(J119&gt;Lookup!$F$39,-1,0)))))</f>
        <v>0</v>
      </c>
      <c r="AI119" s="194" t="str">
        <f>VLOOKUP(AH119,Lookup!$G$38:$J$43,2,FALSE)</f>
        <v>No O&amp;M costs</v>
      </c>
      <c r="AJ119" s="281" t="s">
        <v>3005</v>
      </c>
      <c r="AK119" s="181" t="str">
        <f>VLOOKUP(AL119,Lookup!$C$4:$D$14,2,FALSE)</f>
        <v>No Effect</v>
      </c>
      <c r="AL119" s="346">
        <f>IF(N119=0,0,IF(U119&lt;Lookup!$F$58,-5,IF(U119&lt;Lookup!$F$57,-4,IF(U119&lt;Lookup!$F$56,-3,IF(U119&lt;Lookup!$F$55,-2,IF(U119&lt;Lookup!$F$54,-1,IF(U119&lt;Lookup!$F$53,0,IF(U119&lt;Lookup!$F$52,1,IF(U119&lt;Lookup!$F$51,2,IF(U119&lt;Lookup!$F$50,3,IF(U119&lt;Lookup!$F$49,4,5)))))))))))</f>
        <v>0</v>
      </c>
      <c r="AM119" s="194" t="str">
        <f>VLOOKUP(AL119,Lookup!$G$48:$J$58,2,FALSE)</f>
        <v>B/C Ratio .75 to 1.25</v>
      </c>
      <c r="AN119" s="281" t="s">
        <v>3060</v>
      </c>
      <c r="AO119" s="181" t="str">
        <f>VLOOKUP(AP119,Lookup!$C$4:$D$14,2,FALSE)</f>
        <v>Slight Improvement</v>
      </c>
      <c r="AP119" s="193">
        <f>IF(Q119=0,0,IF(Q119&gt;Lookup!$F$63,5,IF(Q119&gt;Lookup!$F$64,4,IF(Q119&gt;Lookup!$F$65,3,IF(Q119&gt;Lookup!$F$66,2,IF(Q119&gt;Lookup!$F$67,1,IF(Q119&gt;Lookup!$F$69,-1,IF(Q119&gt;Lookup!$F$70,-2,IF(Q119&gt;Lookup!$F$71,-3,IF(Q119&gt;Lookup!$F$72,-4,-5))))))))))</f>
        <v>1</v>
      </c>
      <c r="AQ119" s="194" t="str">
        <f>VLOOKUP(AP119,Lookup!$G$63:$J$73,2,FALSE)</f>
        <v>5% or less yield increase</v>
      </c>
      <c r="AR119" s="281" t="s">
        <v>3118</v>
      </c>
      <c r="AS119" s="181" t="str">
        <f>VLOOKUP(AT119,Lookup!$C$4:$D$14,2,FALSE)</f>
        <v>Slight to Moderate Improvement</v>
      </c>
      <c r="AT119" s="193">
        <f>IF(V119=0,0,IF(V119&lt;Lookup!$F$79,5,IF(V119&lt;Lookup!$F$80,4,IF(V119&lt;Lookup!$F$81,3,IF(V119&lt;Lookup!$F$82,2,IF(V119&lt;Lookup!$F$83,1,IF(V119&lt;Lookup!$F$85,-1,IF(V119&lt;Lookup!$F$86,-2,IF(V119&lt;Lookup!$F$87,-3,IF(V119&lt;Lookup!$F$88,-4,-5))))))))))</f>
        <v>2</v>
      </c>
      <c r="AU119" s="194" t="str">
        <f>VLOOKUP(AT119,Lookup!$G$79:$J$89,2,FALSE)</f>
        <v>3-4 years to breakeven</v>
      </c>
      <c r="AV119" s="345" t="str">
        <f>VLOOKUP(AT119,Lookup!$G$79:$J$89,4,FALSE)</f>
        <v>Annual benefits moderately greater than annual costs</v>
      </c>
      <c r="AW119" s="181" t="str">
        <f>VLOOKUP(AX119,Lookup!$C$4:$D$14,2,FALSE)</f>
        <v>No Effect</v>
      </c>
      <c r="AX119" s="193">
        <f>VLOOKUP(AY119,Lookup!$G$92:$J$97,4,FALSE)</f>
        <v>0</v>
      </c>
      <c r="AY119" s="181" t="s">
        <v>2642</v>
      </c>
      <c r="AZ119" s="281" t="s">
        <v>3154</v>
      </c>
      <c r="BA119" s="181" t="str">
        <f>VLOOKUP(BB119,Lookup!$C$4:$D$14,2,FALSE)</f>
        <v>No Effect</v>
      </c>
      <c r="BB119" s="193">
        <f>VLOOKUP(BC119,Lookup!$G$100:$K$110,5,FALSE)</f>
        <v>0</v>
      </c>
      <c r="BC119" s="181" t="s">
        <v>2643</v>
      </c>
      <c r="BD119" s="281" t="s">
        <v>3154</v>
      </c>
      <c r="BE119" s="181" t="str">
        <f>VLOOKUP(BF119,Lookup!$C$4:$D$14,2,FALSE)</f>
        <v>No Effect</v>
      </c>
      <c r="BF119" s="193">
        <f>IF(X119=0,0,IF(X119&gt;Lookup!$F$113,-5,IF(X119&gt;Lookup!$F$114,-4,IF(X119&gt;Lookup!$F$115,-3,IF(X119&gt;Lookup!$F$116,-2,IF(X119&gt;Lookup!$F$117,-1,0))))))</f>
        <v>0</v>
      </c>
      <c r="BG119" s="195" t="str">
        <f>VLOOKUP(BF119,Lookup!$G$113:$H$118,2,FALSE)</f>
        <v>No change in on-farm equipment</v>
      </c>
      <c r="BH119" s="281" t="s">
        <v>1920</v>
      </c>
      <c r="BI119" s="181" t="str">
        <f>VLOOKUP(BJ119,Lookup!$C$4:$D$14,2,FALSE)</f>
        <v>Slight Worsening</v>
      </c>
      <c r="BJ119" s="193">
        <f>VLOOKUP(BK119,Lookup!$G$121:$L$131,6,FALSE)</f>
        <v>-1</v>
      </c>
      <c r="BK119" s="181" t="s">
        <v>2640</v>
      </c>
      <c r="BL119" s="281" t="s">
        <v>3325</v>
      </c>
      <c r="BM119" s="181" t="str">
        <f>VLOOKUP(BN119,Lookup!$C$4:$D$14,2,FALSE)</f>
        <v>Slight Worsening</v>
      </c>
      <c r="BN119" s="193">
        <f>VLOOKUP(BO119,Lookup!$G$134:$L$144,6,FALSE)</f>
        <v>-1</v>
      </c>
      <c r="BO119" s="181" t="s">
        <v>3373</v>
      </c>
      <c r="BP119" s="281" t="s">
        <v>3409</v>
      </c>
      <c r="BQ119" s="181" t="str">
        <f>VLOOKUP(BR119,Lookup!$C$4:$D$14,2,FALSE)</f>
        <v>Slight Worsening</v>
      </c>
      <c r="BR119" s="193">
        <f>VLOOKUP(BS119,Lookup!$G$147:$L$157,6,FALSE)</f>
        <v>-1</v>
      </c>
      <c r="BS119" s="181" t="s">
        <v>2658</v>
      </c>
      <c r="BT119" s="281" t="s">
        <v>3558</v>
      </c>
      <c r="BU119" s="175" t="s">
        <v>2231</v>
      </c>
    </row>
    <row r="120" spans="1:73" ht="39.950000000000003" customHeight="1" thickBot="1" x14ac:dyDescent="0.25">
      <c r="A120" s="173">
        <f t="shared" si="12"/>
        <v>117</v>
      </c>
      <c r="B120" s="178" t="s">
        <v>53</v>
      </c>
      <c r="C120" s="179" t="s">
        <v>1471</v>
      </c>
      <c r="D120" s="180">
        <v>610</v>
      </c>
      <c r="E120" s="180" t="s">
        <v>3646</v>
      </c>
      <c r="F120" s="273" t="str">
        <f>VLOOKUP($D120,'Practice Descriptions'!$E$11:$F$186,2,FALSE)</f>
        <v>Management of land, water and plants to reduce accumulations of salts and/or sodium on the soil surface and in the crop rooting zone.</v>
      </c>
      <c r="G120" s="182">
        <v>3</v>
      </c>
      <c r="H120" s="183">
        <v>30</v>
      </c>
      <c r="I120" s="184">
        <v>0.05</v>
      </c>
      <c r="J120" s="184">
        <v>0.05</v>
      </c>
      <c r="K120" s="419">
        <f>IF(E120="No.",1,IF(E120="Ac.",1,(SQRT(VLOOKUP(O120,Lookup!$F$9:$H$18,3,FALSE)))*208/VLOOKUP(O120,Lookup!$F$9:$H$18,3,FALSE)))</f>
        <v>1</v>
      </c>
      <c r="L120" s="185" t="str">
        <f t="shared" si="8"/>
        <v/>
      </c>
      <c r="M120" s="184">
        <v>0</v>
      </c>
      <c r="N120" s="186">
        <f>IF(G120=1,H120,PMT(Lookup!$G$4,G120,-H120)+(H120*J120)+(M120*P120))*K120</f>
        <v>12.542069371228182</v>
      </c>
      <c r="O120" s="187" t="s">
        <v>1110</v>
      </c>
      <c r="P120" s="186">
        <f>VLOOKUP($O120,Lookup!$F$9:$I$18,4,FALSE)</f>
        <v>300</v>
      </c>
      <c r="Q120" s="184">
        <v>0.25</v>
      </c>
      <c r="R120" s="183">
        <v>0</v>
      </c>
      <c r="S120" s="188" t="s">
        <v>3634</v>
      </c>
      <c r="T120" s="186">
        <f t="shared" si="10"/>
        <v>75</v>
      </c>
      <c r="U120" s="189">
        <f t="shared" si="11"/>
        <v>5.9798744353983446</v>
      </c>
      <c r="V120" s="189">
        <f t="shared" si="9"/>
        <v>0.4</v>
      </c>
      <c r="W120" s="190">
        <f>IF(P120=0,0,IF(Q120+R120=0,0,PV(Lookup!$G$4,G120,-T120)/H120))</f>
        <v>6.7922051092546161</v>
      </c>
      <c r="X120" s="190">
        <f>IF(I120=0,0,PMT(Lookup!$G$4,G120,-(H120*I120*K120))/P120)</f>
        <v>1.8403448952046971E-3</v>
      </c>
      <c r="Y120" s="42" t="s">
        <v>986</v>
      </c>
      <c r="Z120" s="192">
        <f>VLOOKUP(Y120,Lookup!$B$4:$C$14,2,FALSE)</f>
        <v>0</v>
      </c>
      <c r="AA120" s="281" t="s">
        <v>2759</v>
      </c>
      <c r="AB120" s="282" t="s">
        <v>1072</v>
      </c>
      <c r="AC120" s="181" t="str">
        <f>VLOOKUP(AD120,Lookup!$C$4:$D$14,2,FALSE)</f>
        <v>Slight to Moderate Worsening</v>
      </c>
      <c r="AD120" s="193">
        <f>IF(P120/H120&lt;Lookup!$F$33,-5,IF(P120/H120&lt;Lookup!$F$32,-4,IF(P120/H120&lt;Lookup!$F$31,-3,IF(P120/H120&lt;Lookup!$F$30,-2,IF(P120/H120&lt;Lookup!$F$29,-1,-5)))))</f>
        <v>-2</v>
      </c>
      <c r="AE120" s="194" t="str">
        <f>VLOOKUP(AD120,Lookup!$G$28:$J$33,2,FALSE)</f>
        <v>One-time practice implementation cost 5 to 100% of enterprise annual net income</v>
      </c>
      <c r="AF120" s="281" t="s">
        <v>2957</v>
      </c>
      <c r="AG120" s="181" t="str">
        <f>VLOOKUP(AH120,Lookup!$C$4:$D$14,2,FALSE)</f>
        <v>Substantial Worsening</v>
      </c>
      <c r="AH120" s="193">
        <f>IF(J120&gt;Lookup!$F$43,-5,IF(J120&gt;Lookup!$F$42,-4,IF(J120&gt;Lookup!$F$41,-3,IF(J120&gt;Lookup!$F$40,-2,IF(J120&gt;Lookup!$F$39,-1,0)))))</f>
        <v>-5</v>
      </c>
      <c r="AI120" s="194" t="str">
        <f>VLOOKUP(AH120,Lookup!$G$38:$J$43,2,FALSE)</f>
        <v>Annual O&amp;M costs greater than 4% of total installation costs</v>
      </c>
      <c r="AJ120" s="281" t="s">
        <v>3061</v>
      </c>
      <c r="AK120" s="181" t="str">
        <f>VLOOKUP(AL120,Lookup!$C$4:$D$14,2,FALSE)</f>
        <v>Substantial Improvement</v>
      </c>
      <c r="AL120" s="346">
        <f>IF(N120=0,0,IF(U120&lt;Lookup!$F$58,-5,IF(U120&lt;Lookup!$F$57,-4,IF(U120&lt;Lookup!$F$56,-3,IF(U120&lt;Lookup!$F$55,-2,IF(U120&lt;Lookup!$F$54,-1,IF(U120&lt;Lookup!$F$53,0,IF(U120&lt;Lookup!$F$52,1,IF(U120&lt;Lookup!$F$51,2,IF(U120&lt;Lookup!$F$50,3,IF(U120&lt;Lookup!$F$49,4,5)))))))))))</f>
        <v>5</v>
      </c>
      <c r="AM120" s="194" t="str">
        <f>VLOOKUP(AL120,Lookup!$G$48:$J$58,2,FALSE)</f>
        <v>B/C Ratio greater than 2.25</v>
      </c>
      <c r="AN120" s="281" t="s">
        <v>3060</v>
      </c>
      <c r="AO120" s="181" t="str">
        <f>VLOOKUP(AP120,Lookup!$C$4:$D$14,2,FALSE)</f>
        <v>Moderate to Substantial Improvement</v>
      </c>
      <c r="AP120" s="193">
        <f>IF(Q120=0,0,IF(Q120&gt;Lookup!$F$63,5,IF(Q120&gt;Lookup!$F$64,4,IF(Q120&gt;Lookup!$F$65,3,IF(Q120&gt;Lookup!$F$66,2,IF(Q120&gt;Lookup!$F$67,1,IF(Q120&gt;Lookup!$F$69,-1,IF(Q120&gt;Lookup!$F$70,-2,IF(Q120&gt;Lookup!$F$71,-3,IF(Q120&gt;Lookup!$F$72,-4,-5))))))))))</f>
        <v>4</v>
      </c>
      <c r="AQ120" s="194" t="str">
        <f>VLOOKUP(AP120,Lookup!$G$63:$J$73,2,FALSE)</f>
        <v>25 to 50% yield increase</v>
      </c>
      <c r="AR120" s="281" t="s">
        <v>3130</v>
      </c>
      <c r="AS120" s="181" t="str">
        <f>VLOOKUP(AT120,Lookup!$C$4:$D$14,2,FALSE)</f>
        <v>Substantial Improvement</v>
      </c>
      <c r="AT120" s="193">
        <f>IF(V120=0,0,IF(V120&lt;Lookup!$F$79,5,IF(V120&lt;Lookup!$F$80,4,IF(V120&lt;Lookup!$F$81,3,IF(V120&lt;Lookup!$F$82,2,IF(V120&lt;Lookup!$F$83,1,IF(V120&lt;Lookup!$F$85,-1,IF(V120&lt;Lookup!$F$86,-2,IF(V120&lt;Lookup!$F$87,-3,IF(V120&lt;Lookup!$F$88,-4,-5))))))))))</f>
        <v>5</v>
      </c>
      <c r="AU120" s="194" t="str">
        <f>VLOOKUP(AT120,Lookup!$G$79:$J$89,2,FALSE)</f>
        <v>1 or less years to breakeven</v>
      </c>
      <c r="AV120" s="345" t="str">
        <f>VLOOKUP(AT120,Lookup!$G$79:$J$89,4,FALSE)</f>
        <v>Annual benefits significantly greater than annual costs</v>
      </c>
      <c r="AW120" s="181" t="str">
        <f>VLOOKUP(AX120,Lookup!$C$4:$D$14,2,FALSE)</f>
        <v>Slight to Moderate Improvement</v>
      </c>
      <c r="AX120" s="193">
        <f>VLOOKUP(AY120,Lookup!$G$92:$J$97,4,FALSE)</f>
        <v>2</v>
      </c>
      <c r="AY120" s="181" t="s">
        <v>2653</v>
      </c>
      <c r="AZ120" s="281" t="s">
        <v>2670</v>
      </c>
      <c r="BA120" s="181" t="str">
        <f>VLOOKUP(BB120,Lookup!$C$4:$D$14,2,FALSE)</f>
        <v>Moderate Improvement</v>
      </c>
      <c r="BB120" s="193">
        <f>VLOOKUP(BC120,Lookup!$G$100:$K$110,5,FALSE)</f>
        <v>3</v>
      </c>
      <c r="BC120" s="181" t="s">
        <v>2644</v>
      </c>
      <c r="BD120" s="281" t="s">
        <v>1917</v>
      </c>
      <c r="BE120" s="181" t="str">
        <f>VLOOKUP(BF120,Lookup!$C$4:$D$14,2,FALSE)</f>
        <v>Slight Worsening</v>
      </c>
      <c r="BF120" s="193">
        <f>IF(X120=0,0,IF(X120&gt;Lookup!$F$113,-5,IF(X120&gt;Lookup!$F$114,-4,IF(X120&gt;Lookup!$F$115,-3,IF(X120&gt;Lookup!$F$116,-2,IF(X120&gt;Lookup!$F$117,-1,0))))))</f>
        <v>-1</v>
      </c>
      <c r="BG120" s="195" t="str">
        <f>VLOOKUP(BF120,Lookup!$G$113:$H$118,2,FALSE)</f>
        <v>Annual on-farm equipment costs 5% or less of enterprise annual net income</v>
      </c>
      <c r="BH120" s="281" t="s">
        <v>3559</v>
      </c>
      <c r="BI120" s="181" t="str">
        <f>VLOOKUP(BJ120,Lookup!$C$4:$D$14,2,FALSE)</f>
        <v>Slight Worsening</v>
      </c>
      <c r="BJ120" s="193">
        <f>VLOOKUP(BK120,Lookup!$G$121:$L$131,6,FALSE)</f>
        <v>-1</v>
      </c>
      <c r="BK120" s="181" t="s">
        <v>2640</v>
      </c>
      <c r="BL120" s="281" t="s">
        <v>3326</v>
      </c>
      <c r="BM120" s="181" t="str">
        <f>VLOOKUP(BN120,Lookup!$C$4:$D$14,2,FALSE)</f>
        <v>Slight to Moderate Worsening</v>
      </c>
      <c r="BN120" s="193">
        <f>VLOOKUP(BO120,Lookup!$G$134:$L$144,6,FALSE)</f>
        <v>-2</v>
      </c>
      <c r="BO120" s="181" t="s">
        <v>3374</v>
      </c>
      <c r="BP120" s="281" t="s">
        <v>3409</v>
      </c>
      <c r="BQ120" s="181" t="str">
        <f>VLOOKUP(BR120,Lookup!$C$4:$D$14,2,FALSE)</f>
        <v>Moderate to Substantial Improvement</v>
      </c>
      <c r="BR120" s="193">
        <f>VLOOKUP(BS120,Lookup!$G$147:$L$157,6,FALSE)</f>
        <v>4</v>
      </c>
      <c r="BS120" s="181" t="s">
        <v>2645</v>
      </c>
      <c r="BT120" s="281" t="s">
        <v>3478</v>
      </c>
      <c r="BU120" s="175" t="s">
        <v>2231</v>
      </c>
    </row>
    <row r="121" spans="1:73" ht="39.950000000000003" customHeight="1" thickBot="1" x14ac:dyDescent="0.25">
      <c r="A121" s="173">
        <f t="shared" si="12"/>
        <v>118</v>
      </c>
      <c r="B121" s="178" t="s">
        <v>1520</v>
      </c>
      <c r="C121" s="179" t="s">
        <v>1605</v>
      </c>
      <c r="D121" s="180">
        <v>798</v>
      </c>
      <c r="E121" s="180" t="s">
        <v>3647</v>
      </c>
      <c r="F121" s="273" t="e">
        <f>VLOOKUP($D121,'Practice Descriptions'!$E$11:$F$186,2,FALSE)</f>
        <v>#N/A</v>
      </c>
      <c r="G121" s="182">
        <v>5</v>
      </c>
      <c r="H121" s="183">
        <v>2500</v>
      </c>
      <c r="I121" s="184">
        <v>0.9</v>
      </c>
      <c r="J121" s="184">
        <v>0.05</v>
      </c>
      <c r="K121" s="419">
        <f>IF(E121="No.",1,IF(E121="Ac.",1,(SQRT(VLOOKUP(O121,Lookup!$F$9:$H$18,3,FALSE)))*208/VLOOKUP(O121,Lookup!$F$9:$H$18,3,FALSE)))</f>
        <v>1</v>
      </c>
      <c r="L121" s="185" t="str">
        <f t="shared" si="8"/>
        <v/>
      </c>
      <c r="M121" s="184">
        <v>0</v>
      </c>
      <c r="N121" s="186">
        <f>IF(G121=1,H121,PMT(Lookup!$G$4,G121,-H121)+(H121*J121)+(M121*P121))*K121</f>
        <v>704.4337029527868</v>
      </c>
      <c r="O121" s="187" t="s">
        <v>1110</v>
      </c>
      <c r="P121" s="186">
        <f>VLOOKUP($O121,Lookup!$F$9:$I$18,4,FALSE)</f>
        <v>300</v>
      </c>
      <c r="Q121" s="184">
        <v>2</v>
      </c>
      <c r="R121" s="183">
        <v>25</v>
      </c>
      <c r="S121" s="188" t="s">
        <v>3603</v>
      </c>
      <c r="T121" s="186">
        <f t="shared" si="10"/>
        <v>625</v>
      </c>
      <c r="U121" s="189">
        <f t="shared" si="11"/>
        <v>0.88723750351548603</v>
      </c>
      <c r="V121" s="189">
        <f t="shared" si="9"/>
        <v>0</v>
      </c>
      <c r="W121" s="190">
        <f>IF(P121=0,0,IF(Q121+R121=0,0,PV(Lookup!$G$4,G121,-T121)/H121))</f>
        <v>1.0786393625621153</v>
      </c>
      <c r="X121" s="190">
        <f>IF(I121=0,0,PMT(Lookup!$G$4,G121,-(H121*I121*K121))/P121)</f>
        <v>1.7383011088583604</v>
      </c>
      <c r="Y121" s="42" t="s">
        <v>986</v>
      </c>
      <c r="Z121" s="192">
        <f>VLOOKUP(Y121,Lookup!$B$4:$C$14,2,FALSE)</f>
        <v>0</v>
      </c>
      <c r="AA121" s="281" t="s">
        <v>2759</v>
      </c>
      <c r="AB121" s="282" t="s">
        <v>1072</v>
      </c>
      <c r="AC121" s="181" t="str">
        <f>VLOOKUP(AD121,Lookup!$C$4:$D$14,2,FALSE)</f>
        <v>Substantial Worsening</v>
      </c>
      <c r="AD121" s="193">
        <f>IF(P121/H121&lt;Lookup!$F$33,-5,IF(P121/H121&lt;Lookup!$F$32,-4,IF(P121/H121&lt;Lookup!$F$31,-3,IF(P121/H121&lt;Lookup!$F$30,-2,IF(P121/H121&lt;Lookup!$F$29,-1,-5)))))</f>
        <v>-5</v>
      </c>
      <c r="AE121" s="194" t="str">
        <f>VLOOKUP(AD121,Lookup!$G$28:$J$33,2,FALSE)</f>
        <v>One-time practice implementation cost 5 times or greater enterprise annual net income</v>
      </c>
      <c r="AF121" s="281" t="s">
        <v>1847</v>
      </c>
      <c r="AG121" s="181" t="str">
        <f>VLOOKUP(AH121,Lookup!$C$4:$D$14,2,FALSE)</f>
        <v>Substantial Worsening</v>
      </c>
      <c r="AH121" s="193">
        <f>IF(J121&gt;Lookup!$F$43,-5,IF(J121&gt;Lookup!$F$42,-4,IF(J121&gt;Lookup!$F$41,-3,IF(J121&gt;Lookup!$F$40,-2,IF(J121&gt;Lookup!$F$39,-1,0)))))</f>
        <v>-5</v>
      </c>
      <c r="AI121" s="194" t="str">
        <f>VLOOKUP(AH121,Lookup!$G$38:$J$43,2,FALSE)</f>
        <v>Annual O&amp;M costs greater than 4% of total installation costs</v>
      </c>
      <c r="AJ121" s="281" t="s">
        <v>2998</v>
      </c>
      <c r="AK121" s="181" t="str">
        <f>VLOOKUP(AL121,Lookup!$C$4:$D$14,2,FALSE)</f>
        <v>No Effect</v>
      </c>
      <c r="AL121" s="346">
        <f>IF(N121=0,0,IF(U121&lt;Lookup!$F$58,-5,IF(U121&lt;Lookup!$F$57,-4,IF(U121&lt;Lookup!$F$56,-3,IF(U121&lt;Lookup!$F$55,-2,IF(U121&lt;Lookup!$F$54,-1,IF(U121&lt;Lookup!$F$53,0,IF(U121&lt;Lookup!$F$52,1,IF(U121&lt;Lookup!$F$51,2,IF(U121&lt;Lookup!$F$50,3,IF(U121&lt;Lookup!$F$49,4,5)))))))))))</f>
        <v>0</v>
      </c>
      <c r="AM121" s="194" t="str">
        <f>VLOOKUP(AL121,Lookup!$G$48:$J$58,2,FALSE)</f>
        <v>B/C Ratio .75 to 1.25</v>
      </c>
      <c r="AN121" s="281" t="s">
        <v>3062</v>
      </c>
      <c r="AO121" s="181" t="str">
        <f>VLOOKUP(AP121,Lookup!$C$4:$D$14,2,FALSE)</f>
        <v>Substantial Improvement</v>
      </c>
      <c r="AP121" s="193">
        <f>IF(Q121=0,0,IF(Q121&gt;Lookup!$F$63,5,IF(Q121&gt;Lookup!$F$64,4,IF(Q121&gt;Lookup!$F$65,3,IF(Q121&gt;Lookup!$F$66,2,IF(Q121&gt;Lookup!$F$67,1,IF(Q121&gt;Lookup!$F$69,-1,IF(Q121&gt;Lookup!$F$70,-2,IF(Q121&gt;Lookup!$F$71,-3,IF(Q121&gt;Lookup!$F$72,-4,-5))))))))))</f>
        <v>5</v>
      </c>
      <c r="AQ121" s="194" t="str">
        <f>VLOOKUP(AP121,Lookup!$G$63:$J$73,2,FALSE)</f>
        <v>Greater than 50% yield increase</v>
      </c>
      <c r="AR121" s="281" t="s">
        <v>3131</v>
      </c>
      <c r="AS121" s="181" t="str">
        <f>VLOOKUP(AT121,Lookup!$C$4:$D$14,2,FALSE)</f>
        <v>No Effect</v>
      </c>
      <c r="AT121" s="193">
        <f>IF(V121=0,0,IF(V121&lt;Lookup!$F$79,5,IF(V121&lt;Lookup!$F$80,4,IF(V121&lt;Lookup!$F$81,3,IF(V121&lt;Lookup!$F$82,2,IF(V121&lt;Lookup!$F$83,1,IF(V121&lt;Lookup!$F$85,-1,IF(V121&lt;Lookup!$F$86,-2,IF(V121&lt;Lookup!$F$87,-3,IF(V121&lt;Lookup!$F$88,-4,-5))))))))))</f>
        <v>0</v>
      </c>
      <c r="AU121" s="194" t="str">
        <f>VLOOKUP(AT121,Lookup!$G$79:$J$89,2,FALSE)</f>
        <v>No breakeven</v>
      </c>
      <c r="AV121" s="345" t="str">
        <f>VLOOKUP(AT121,Lookup!$G$79:$J$89,4,FALSE)</f>
        <v>Annual costs greater than annual benefits</v>
      </c>
      <c r="AW121" s="181" t="str">
        <f>VLOOKUP(AX121,Lookup!$C$4:$D$14,2,FALSE)</f>
        <v>Slight Improvement</v>
      </c>
      <c r="AX121" s="193">
        <f>VLOOKUP(AY121,Lookup!$G$92:$J$97,4,FALSE)</f>
        <v>1</v>
      </c>
      <c r="AY121" s="181" t="s">
        <v>2636</v>
      </c>
      <c r="AZ121" s="281" t="s">
        <v>3161</v>
      </c>
      <c r="BA121" s="181" t="str">
        <f>VLOOKUP(BB121,Lookup!$C$4:$D$14,2,FALSE)</f>
        <v>Slight Improvement</v>
      </c>
      <c r="BB121" s="193">
        <f>VLOOKUP(BC121,Lookup!$G$100:$K$110,5,FALSE)</f>
        <v>1</v>
      </c>
      <c r="BC121" s="181" t="s">
        <v>2651</v>
      </c>
      <c r="BD121" s="281" t="s">
        <v>3208</v>
      </c>
      <c r="BE121" s="181" t="str">
        <f>VLOOKUP(BF121,Lookup!$C$4:$D$14,2,FALSE)</f>
        <v>Substantial Worsening</v>
      </c>
      <c r="BF121" s="193">
        <f>IF(X121=0,0,IF(X121&gt;Lookup!$F$113,-5,IF(X121&gt;Lookup!$F$114,-4,IF(X121&gt;Lookup!$F$115,-3,IF(X121&gt;Lookup!$F$116,-2,IF(X121&gt;Lookup!$F$117,-1,0))))))</f>
        <v>-5</v>
      </c>
      <c r="BG121" s="195" t="str">
        <f>VLOOKUP(BF121,Lookup!$G$113:$H$118,2,FALSE)</f>
        <v>Annual on-farm equipment costs 75% or greater of enterprise annual net income</v>
      </c>
      <c r="BH121" s="281" t="s">
        <v>1921</v>
      </c>
      <c r="BI121" s="181" t="str">
        <f>VLOOKUP(BJ121,Lookup!$C$4:$D$14,2,FALSE)</f>
        <v>Slight to Moderate Worsening</v>
      </c>
      <c r="BJ121" s="193">
        <f>VLOOKUP(BK121,Lookup!$G$121:$L$131,6,FALSE)</f>
        <v>-2</v>
      </c>
      <c r="BK121" s="181" t="s">
        <v>2649</v>
      </c>
      <c r="BL121" s="281" t="s">
        <v>3327</v>
      </c>
      <c r="BM121" s="181" t="str">
        <f>VLOOKUP(BN121,Lookup!$C$4:$D$14,2,FALSE)</f>
        <v>Slight to Moderate Worsening</v>
      </c>
      <c r="BN121" s="193">
        <f>VLOOKUP(BO121,Lookup!$G$134:$L$144,6,FALSE)</f>
        <v>-2</v>
      </c>
      <c r="BO121" s="181" t="s">
        <v>3374</v>
      </c>
      <c r="BP121" s="281" t="s">
        <v>3409</v>
      </c>
      <c r="BQ121" s="181" t="str">
        <f>VLOOKUP(BR121,Lookup!$C$4:$D$14,2,FALSE)</f>
        <v>Slight to Moderate Improvement</v>
      </c>
      <c r="BR121" s="193">
        <f>VLOOKUP(BS121,Lookup!$G$147:$L$157,6,FALSE)</f>
        <v>2</v>
      </c>
      <c r="BS121" s="181" t="s">
        <v>2641</v>
      </c>
      <c r="BT121" s="281" t="s">
        <v>3560</v>
      </c>
      <c r="BU121" s="175" t="s">
        <v>2231</v>
      </c>
    </row>
    <row r="122" spans="1:73" ht="39.950000000000003" customHeight="1" thickBot="1" x14ac:dyDescent="0.25">
      <c r="A122" s="173">
        <f t="shared" si="12"/>
        <v>119</v>
      </c>
      <c r="B122" s="178" t="s">
        <v>54</v>
      </c>
      <c r="C122" s="179" t="s">
        <v>1606</v>
      </c>
      <c r="D122" s="180">
        <v>350</v>
      </c>
      <c r="E122" s="180" t="s">
        <v>3647</v>
      </c>
      <c r="F122" s="273" t="str">
        <f>VLOOKUP($D122,'Practice Descriptions'!$E$11:$F$186,2,FALSE)</f>
        <v>A basin constructed with an engineered outlet, formed by an embankment or excavation or a combination of the two.</v>
      </c>
      <c r="G122" s="182">
        <v>20</v>
      </c>
      <c r="H122" s="183">
        <v>3500</v>
      </c>
      <c r="I122" s="184">
        <v>0.02</v>
      </c>
      <c r="J122" s="184">
        <v>0.03</v>
      </c>
      <c r="K122" s="419">
        <f>IF(E122="No.",1,IF(E122="Ac.",1,(SQRT(VLOOKUP(O122,Lookup!$F$9:$H$18,3,FALSE)))*208/VLOOKUP(O122,Lookup!$F$9:$H$18,3,FALSE)))</f>
        <v>1</v>
      </c>
      <c r="L122" s="185" t="str">
        <f t="shared" si="8"/>
        <v/>
      </c>
      <c r="M122" s="184">
        <v>0</v>
      </c>
      <c r="N122" s="186">
        <f>IF(G122=1,H122,PMT(Lookup!$G$4,G122,-H122)+(H122*J122)+(M122*P122))*K122</f>
        <v>388.83338251084274</v>
      </c>
      <c r="O122" s="187" t="s">
        <v>1110</v>
      </c>
      <c r="P122" s="186">
        <f>VLOOKUP($O122,Lookup!$F$9:$I$18,4,FALSE)</f>
        <v>300</v>
      </c>
      <c r="Q122" s="184">
        <v>0</v>
      </c>
      <c r="R122" s="183">
        <v>5</v>
      </c>
      <c r="S122" s="188" t="s">
        <v>3584</v>
      </c>
      <c r="T122" s="186">
        <f t="shared" si="10"/>
        <v>5</v>
      </c>
      <c r="U122" s="189">
        <f t="shared" si="11"/>
        <v>1.2858978227931788E-2</v>
      </c>
      <c r="V122" s="189">
        <f t="shared" si="9"/>
        <v>0</v>
      </c>
      <c r="W122" s="190">
        <f>IF(P122=0,0,IF(Q122+R122=0,0,PV(Lookup!$G$4,G122,-T122)/H122))</f>
        <v>1.7615968762268452E-2</v>
      </c>
      <c r="X122" s="190">
        <f>IF(I122=0,0,PMT(Lookup!$G$4,G122,-(H122*I122*K122))/P122)</f>
        <v>1.8922225500722853E-2</v>
      </c>
      <c r="Y122" s="42" t="s">
        <v>964</v>
      </c>
      <c r="Z122" s="192">
        <f>VLOOKUP(Y122,Lookup!$B$4:$C$14,2,FALSE)</f>
        <v>4</v>
      </c>
      <c r="AA122" s="281" t="s">
        <v>2671</v>
      </c>
      <c r="AB122" s="282" t="s">
        <v>1072</v>
      </c>
      <c r="AC122" s="181" t="str">
        <f>VLOOKUP(AD122,Lookup!$C$4:$D$14,2,FALSE)</f>
        <v>Substantial Worsening</v>
      </c>
      <c r="AD122" s="193">
        <f>IF(P122/H122&lt;Lookup!$F$33,-5,IF(P122/H122&lt;Lookup!$F$32,-4,IF(P122/H122&lt;Lookup!$F$31,-3,IF(P122/H122&lt;Lookup!$F$30,-2,IF(P122/H122&lt;Lookup!$F$29,-1,-5)))))</f>
        <v>-5</v>
      </c>
      <c r="AE122" s="194" t="str">
        <f>VLOOKUP(AD122,Lookup!$G$28:$J$33,2,FALSE)</f>
        <v>One-time practice implementation cost 5 times or greater enterprise annual net income</v>
      </c>
      <c r="AF122" s="281" t="s">
        <v>1847</v>
      </c>
      <c r="AG122" s="181" t="str">
        <f>VLOOKUP(AH122,Lookup!$C$4:$D$14,2,FALSE)</f>
        <v>Moderate Worsening</v>
      </c>
      <c r="AH122" s="193">
        <f>IF(J122&gt;Lookup!$F$43,-5,IF(J122&gt;Lookup!$F$42,-4,IF(J122&gt;Lookup!$F$41,-3,IF(J122&gt;Lookup!$F$40,-2,IF(J122&gt;Lookup!$F$39,-1,0)))))</f>
        <v>-3</v>
      </c>
      <c r="AI122" s="194" t="str">
        <f>VLOOKUP(AH122,Lookup!$G$38:$J$43,2,FALSE)</f>
        <v>Annual O&amp;M costs 2 to 3% of total installation costs</v>
      </c>
      <c r="AJ122" s="281" t="s">
        <v>2998</v>
      </c>
      <c r="AK122" s="181" t="str">
        <f>VLOOKUP(AL122,Lookup!$C$4:$D$14,2,FALSE)</f>
        <v>Substantial Worsening</v>
      </c>
      <c r="AL122" s="346">
        <f>IF(N122=0,0,IF(U122&lt;Lookup!$F$58,-5,IF(U122&lt;Lookup!$F$57,-4,IF(U122&lt;Lookup!$F$56,-3,IF(U122&lt;Lookup!$F$55,-2,IF(U122&lt;Lookup!$F$54,-1,IF(U122&lt;Lookup!$F$53,0,IF(U122&lt;Lookup!$F$52,1,IF(U122&lt;Lookup!$F$51,2,IF(U122&lt;Lookup!$F$50,3,IF(U122&lt;Lookup!$F$49,4,5)))))))))))</f>
        <v>-5</v>
      </c>
      <c r="AM122" s="194" t="str">
        <f>VLOOKUP(AL122,Lookup!$G$48:$J$58,2,FALSE)</f>
        <v>B/C Ratio less than .02</v>
      </c>
      <c r="AN122" s="281" t="s">
        <v>3063</v>
      </c>
      <c r="AO122" s="181" t="str">
        <f>VLOOKUP(AP122,Lookup!$C$4:$D$14,2,FALSE)</f>
        <v>No Effect</v>
      </c>
      <c r="AP122" s="193">
        <f>IF(Q122=0,0,IF(Q122&gt;Lookup!$F$63,5,IF(Q122&gt;Lookup!$F$64,4,IF(Q122&gt;Lookup!$F$65,3,IF(Q122&gt;Lookup!$F$66,2,IF(Q122&gt;Lookup!$F$67,1,IF(Q122&gt;Lookup!$F$69,-1,IF(Q122&gt;Lookup!$F$70,-2,IF(Q122&gt;Lookup!$F$71,-3,IF(Q122&gt;Lookup!$F$72,-4,-5))))))))))</f>
        <v>0</v>
      </c>
      <c r="AQ122" s="194" t="str">
        <f>VLOOKUP(AP122,Lookup!$G$63:$J$73,2,FALSE)</f>
        <v>No change in yield</v>
      </c>
      <c r="AR122" s="281" t="s">
        <v>3081</v>
      </c>
      <c r="AS122" s="181" t="str">
        <f>VLOOKUP(AT122,Lookup!$C$4:$D$14,2,FALSE)</f>
        <v>No Effect</v>
      </c>
      <c r="AT122" s="193">
        <f>IF(V122=0,0,IF(V122&lt;Lookup!$F$79,5,IF(V122&lt;Lookup!$F$80,4,IF(V122&lt;Lookup!$F$81,3,IF(V122&lt;Lookup!$F$82,2,IF(V122&lt;Lookup!$F$83,1,IF(V122&lt;Lookup!$F$85,-1,IF(V122&lt;Lookup!$F$86,-2,IF(V122&lt;Lookup!$F$87,-3,IF(V122&lt;Lookup!$F$88,-4,-5))))))))))</f>
        <v>0</v>
      </c>
      <c r="AU122" s="194" t="str">
        <f>VLOOKUP(AT122,Lookup!$G$79:$J$89,2,FALSE)</f>
        <v>No breakeven</v>
      </c>
      <c r="AV122" s="345" t="str">
        <f>VLOOKUP(AT122,Lookup!$G$79:$J$89,4,FALSE)</f>
        <v>Annual costs greater than annual benefits</v>
      </c>
      <c r="AW122" s="181" t="str">
        <f>VLOOKUP(AX122,Lookup!$C$4:$D$14,2,FALSE)</f>
        <v>Slight Improvement</v>
      </c>
      <c r="AX122" s="193">
        <f>VLOOKUP(AY122,Lookup!$G$92:$J$97,4,FALSE)</f>
        <v>1</v>
      </c>
      <c r="AY122" s="181" t="s">
        <v>2636</v>
      </c>
      <c r="AZ122" s="281" t="s">
        <v>3551</v>
      </c>
      <c r="BA122" s="181" t="str">
        <f>VLOOKUP(BB122,Lookup!$C$4:$D$14,2,FALSE)</f>
        <v>Slight Worsening</v>
      </c>
      <c r="BB122" s="193">
        <f>VLOOKUP(BC122,Lookup!$G$100:$K$110,5,FALSE)</f>
        <v>-1</v>
      </c>
      <c r="BC122" s="181" t="s">
        <v>2637</v>
      </c>
      <c r="BD122" s="281" t="s">
        <v>1860</v>
      </c>
      <c r="BE122" s="181" t="str">
        <f>VLOOKUP(BF122,Lookup!$C$4:$D$14,2,FALSE)</f>
        <v>Slight Worsening</v>
      </c>
      <c r="BF122" s="193">
        <f>IF(X122=0,0,IF(X122&gt;Lookup!$F$113,-5,IF(X122&gt;Lookup!$F$114,-4,IF(X122&gt;Lookup!$F$115,-3,IF(X122&gt;Lookup!$F$116,-2,IF(X122&gt;Lookup!$F$117,-1,0))))))</f>
        <v>-1</v>
      </c>
      <c r="BG122" s="195" t="str">
        <f>VLOOKUP(BF122,Lookup!$G$113:$H$118,2,FALSE)</f>
        <v>Annual on-farm equipment costs 5% or less of enterprise annual net income</v>
      </c>
      <c r="BH122" s="281" t="s">
        <v>3233</v>
      </c>
      <c r="BI122" s="181" t="str">
        <f>VLOOKUP(BJ122,Lookup!$C$4:$D$14,2,FALSE)</f>
        <v>Slight to Moderate Worsening</v>
      </c>
      <c r="BJ122" s="193">
        <f>VLOOKUP(BK122,Lookup!$G$121:$L$131,6,FALSE)</f>
        <v>-2</v>
      </c>
      <c r="BK122" s="181" t="s">
        <v>2649</v>
      </c>
      <c r="BL122" s="281" t="s">
        <v>3328</v>
      </c>
      <c r="BM122" s="181" t="str">
        <f>VLOOKUP(BN122,Lookup!$C$4:$D$14,2,FALSE)</f>
        <v>Slight to Moderate Worsening</v>
      </c>
      <c r="BN122" s="193">
        <f>VLOOKUP(BO122,Lookup!$G$134:$L$144,6,FALSE)</f>
        <v>-2</v>
      </c>
      <c r="BO122" s="181" t="s">
        <v>3374</v>
      </c>
      <c r="BP122" s="281" t="s">
        <v>3412</v>
      </c>
      <c r="BQ122" s="181" t="str">
        <f>VLOOKUP(BR122,Lookup!$C$4:$D$14,2,FALSE)</f>
        <v>Slight to Moderate Improvement</v>
      </c>
      <c r="BR122" s="193">
        <f>VLOOKUP(BS122,Lookup!$G$147:$L$157,6,FALSE)</f>
        <v>2</v>
      </c>
      <c r="BS122" s="181" t="s">
        <v>2641</v>
      </c>
      <c r="BT122" s="281" t="s">
        <v>3479</v>
      </c>
      <c r="BU122" s="175" t="s">
        <v>2231</v>
      </c>
    </row>
    <row r="123" spans="1:73" ht="39.950000000000003" customHeight="1" thickBot="1" x14ac:dyDescent="0.25">
      <c r="A123" s="173">
        <f t="shared" si="12"/>
        <v>120</v>
      </c>
      <c r="B123" s="178" t="s">
        <v>349</v>
      </c>
      <c r="C123" s="179" t="s">
        <v>1477</v>
      </c>
      <c r="D123" s="180">
        <v>646</v>
      </c>
      <c r="E123" s="180" t="s">
        <v>3646</v>
      </c>
      <c r="F123" s="273" t="str">
        <f>VLOOKUP($D123,'Practice Descriptions'!$E$11:$F$186,2,FALSE)</f>
        <v>The inundation of lands to provide habitat for fish and/or wildlife.</v>
      </c>
      <c r="G123" s="182">
        <v>10</v>
      </c>
      <c r="H123" s="183">
        <v>250</v>
      </c>
      <c r="I123" s="184">
        <v>0.01</v>
      </c>
      <c r="J123" s="184">
        <v>0</v>
      </c>
      <c r="K123" s="419">
        <f>IF(E123="No.",1,IF(E123="Ac.",1,(SQRT(VLOOKUP(O123,Lookup!$F$9:$H$18,3,FALSE)))*208/VLOOKUP(O123,Lookup!$F$9:$H$18,3,FALSE)))</f>
        <v>1</v>
      </c>
      <c r="L123" s="185" t="str">
        <f t="shared" si="8"/>
        <v/>
      </c>
      <c r="M123" s="184">
        <v>0</v>
      </c>
      <c r="N123" s="186">
        <f>IF(G123=1,H123,PMT(Lookup!$G$4,G123,-H123)+(H123*J123)+(M123*P123))*K123</f>
        <v>32.572970142099294</v>
      </c>
      <c r="O123" s="187" t="s">
        <v>2225</v>
      </c>
      <c r="P123" s="186">
        <f>VLOOKUP($O123,Lookup!$F$9:$I$18,4,FALSE)</f>
        <v>100</v>
      </c>
      <c r="Q123" s="184">
        <v>0</v>
      </c>
      <c r="R123" s="183">
        <v>3</v>
      </c>
      <c r="S123" s="188" t="s">
        <v>3635</v>
      </c>
      <c r="T123" s="186">
        <f t="shared" si="10"/>
        <v>3</v>
      </c>
      <c r="U123" s="189">
        <f t="shared" si="11"/>
        <v>9.2100904121193941E-2</v>
      </c>
      <c r="V123" s="189">
        <f t="shared" si="9"/>
        <v>0</v>
      </c>
      <c r="W123" s="190">
        <f>IF(P123=0,0,IF(Q123+R123=0,0,PV(Lookup!$G$4,G123,-T123)/H123))</f>
        <v>9.2100904121193969E-2</v>
      </c>
      <c r="X123" s="190">
        <f>IF(I123=0,0,PMT(Lookup!$G$4,G123,-(H123*I123*K123))/P123)</f>
        <v>3.2572970142099294E-3</v>
      </c>
      <c r="Y123" s="42" t="s">
        <v>963</v>
      </c>
      <c r="Z123" s="192">
        <f>VLOOKUP(Y123,Lookup!$B$4:$C$14,2,FALSE)</f>
        <v>2</v>
      </c>
      <c r="AA123" s="281" t="s">
        <v>227</v>
      </c>
      <c r="AB123" s="282" t="s">
        <v>1072</v>
      </c>
      <c r="AC123" s="181" t="str">
        <f>VLOOKUP(AD123,Lookup!$C$4:$D$14,2,FALSE)</f>
        <v>Moderate to Substantial Worsening</v>
      </c>
      <c r="AD123" s="193">
        <f>IF(P123/H123&lt;Lookup!$F$33,-5,IF(P123/H123&lt;Lookup!$F$32,-4,IF(P123/H123&lt;Lookup!$F$31,-3,IF(P123/H123&lt;Lookup!$F$30,-2,IF(P123/H123&lt;Lookup!$F$29,-1,-5)))))</f>
        <v>-4</v>
      </c>
      <c r="AE123" s="194" t="str">
        <f>VLOOKUP(AD123,Lookup!$G$28:$J$33,2,FALSE)</f>
        <v>One-time practice implementation cost 2 to 5 times enterprise annual net income</v>
      </c>
      <c r="AF123" s="281" t="s">
        <v>1847</v>
      </c>
      <c r="AG123" s="181" t="str">
        <f>VLOOKUP(AH123,Lookup!$C$4:$D$14,2,FALSE)</f>
        <v>No Effect</v>
      </c>
      <c r="AH123" s="193">
        <f>IF(J123&gt;Lookup!$F$43,-5,IF(J123&gt;Lookup!$F$42,-4,IF(J123&gt;Lookup!$F$41,-3,IF(J123&gt;Lookup!$F$40,-2,IF(J123&gt;Lookup!$F$39,-1,0)))))</f>
        <v>0</v>
      </c>
      <c r="AI123" s="194" t="str">
        <f>VLOOKUP(AH123,Lookup!$G$38:$J$43,2,FALSE)</f>
        <v>No O&amp;M costs</v>
      </c>
      <c r="AJ123" s="281" t="s">
        <v>3005</v>
      </c>
      <c r="AK123" s="181" t="str">
        <f>VLOOKUP(AL123,Lookup!$C$4:$D$14,2,FALSE)</f>
        <v>Moderate to Substantial Worsening</v>
      </c>
      <c r="AL123" s="346">
        <f>IF(N123=0,0,IF(U123&lt;Lookup!$F$58,-5,IF(U123&lt;Lookup!$F$57,-4,IF(U123&lt;Lookup!$F$56,-3,IF(U123&lt;Lookup!$F$55,-2,IF(U123&lt;Lookup!$F$54,-1,IF(U123&lt;Lookup!$F$53,0,IF(U123&lt;Lookup!$F$52,1,IF(U123&lt;Lookup!$F$51,2,IF(U123&lt;Lookup!$F$50,3,IF(U123&lt;Lookup!$F$49,4,5)))))))))))</f>
        <v>-4</v>
      </c>
      <c r="AM123" s="194" t="str">
        <f>VLOOKUP(AL123,Lookup!$G$48:$J$58,2,FALSE)</f>
        <v>B/C Ratio .05 to .10</v>
      </c>
      <c r="AN123" s="281" t="s">
        <v>3029</v>
      </c>
      <c r="AO123" s="181" t="str">
        <f>VLOOKUP(AP123,Lookup!$C$4:$D$14,2,FALSE)</f>
        <v>No Effect</v>
      </c>
      <c r="AP123" s="193">
        <f>IF(Q123=0,0,IF(Q123&gt;Lookup!$F$63,5,IF(Q123&gt;Lookup!$F$64,4,IF(Q123&gt;Lookup!$F$65,3,IF(Q123&gt;Lookup!$F$66,2,IF(Q123&gt;Lookup!$F$67,1,IF(Q123&gt;Lookup!$F$69,-1,IF(Q123&gt;Lookup!$F$70,-2,IF(Q123&gt;Lookup!$F$71,-3,IF(Q123&gt;Lookup!$F$72,-4,-5))))))))))</f>
        <v>0</v>
      </c>
      <c r="AQ123" s="194" t="str">
        <f>VLOOKUP(AP123,Lookup!$G$63:$J$73,2,FALSE)</f>
        <v>No change in yield</v>
      </c>
      <c r="AR123" s="281" t="s">
        <v>3081</v>
      </c>
      <c r="AS123" s="181" t="str">
        <f>VLOOKUP(AT123,Lookup!$C$4:$D$14,2,FALSE)</f>
        <v>No Effect</v>
      </c>
      <c r="AT123" s="193">
        <f>IF(V123=0,0,IF(V123&lt;Lookup!$F$79,5,IF(V123&lt;Lookup!$F$80,4,IF(V123&lt;Lookup!$F$81,3,IF(V123&lt;Lookup!$F$82,2,IF(V123&lt;Lookup!$F$83,1,IF(V123&lt;Lookup!$F$85,-1,IF(V123&lt;Lookup!$F$86,-2,IF(V123&lt;Lookup!$F$87,-3,IF(V123&lt;Lookup!$F$88,-4,-5))))))))))</f>
        <v>0</v>
      </c>
      <c r="AU123" s="194" t="str">
        <f>VLOOKUP(AT123,Lookup!$G$79:$J$89,2,FALSE)</f>
        <v>No breakeven</v>
      </c>
      <c r="AV123" s="345" t="str">
        <f>VLOOKUP(AT123,Lookup!$G$79:$J$89,4,FALSE)</f>
        <v>Annual costs greater than annual benefits</v>
      </c>
      <c r="AW123" s="181" t="str">
        <f>VLOOKUP(AX123,Lookup!$C$4:$D$14,2,FALSE)</f>
        <v>Moderate Improvement</v>
      </c>
      <c r="AX123" s="193">
        <f>VLOOKUP(AY123,Lookup!$G$92:$J$97,4,FALSE)</f>
        <v>3</v>
      </c>
      <c r="AY123" s="181" t="s">
        <v>2631</v>
      </c>
      <c r="AZ123" s="281" t="s">
        <v>3176</v>
      </c>
      <c r="BA123" s="181" t="str">
        <f>VLOOKUP(BB123,Lookup!$C$4:$D$14,2,FALSE)</f>
        <v>Moderate Worsening</v>
      </c>
      <c r="BB123" s="193">
        <f>VLOOKUP(BC123,Lookup!$G$100:$K$110,5,FALSE)</f>
        <v>-3</v>
      </c>
      <c r="BC123" s="181" t="s">
        <v>2632</v>
      </c>
      <c r="BD123" s="281" t="s">
        <v>3210</v>
      </c>
      <c r="BE123" s="181" t="str">
        <f>VLOOKUP(BF123,Lookup!$C$4:$D$14,2,FALSE)</f>
        <v>Slight Worsening</v>
      </c>
      <c r="BF123" s="193">
        <f>IF(X123=0,0,IF(X123&gt;Lookup!$F$113,-5,IF(X123&gt;Lookup!$F$114,-4,IF(X123&gt;Lookup!$F$115,-3,IF(X123&gt;Lookup!$F$116,-2,IF(X123&gt;Lookup!$F$117,-1,0))))))</f>
        <v>-1</v>
      </c>
      <c r="BG123" s="195" t="str">
        <f>VLOOKUP(BF123,Lookup!$G$113:$H$118,2,FALSE)</f>
        <v>Annual on-farm equipment costs 5% or less of enterprise annual net income</v>
      </c>
      <c r="BH123" s="281" t="s">
        <v>3242</v>
      </c>
      <c r="BI123" s="181" t="str">
        <f>VLOOKUP(BJ123,Lookup!$C$4:$D$14,2,FALSE)</f>
        <v>Slight Worsening</v>
      </c>
      <c r="BJ123" s="193">
        <f>VLOOKUP(BK123,Lookup!$G$121:$L$131,6,FALSE)</f>
        <v>-1</v>
      </c>
      <c r="BK123" s="181" t="s">
        <v>2640</v>
      </c>
      <c r="BL123" s="281" t="s">
        <v>3329</v>
      </c>
      <c r="BM123" s="181" t="str">
        <f>VLOOKUP(BN123,Lookup!$C$4:$D$14,2,FALSE)</f>
        <v>Slight Worsening</v>
      </c>
      <c r="BN123" s="193">
        <f>VLOOKUP(BO123,Lookup!$G$134:$L$144,6,FALSE)</f>
        <v>-1</v>
      </c>
      <c r="BO123" s="181" t="s">
        <v>3373</v>
      </c>
      <c r="BP123" s="281" t="s">
        <v>3413</v>
      </c>
      <c r="BQ123" s="181" t="str">
        <f>VLOOKUP(BR123,Lookup!$C$4:$D$14,2,FALSE)</f>
        <v>Slight to Moderate Improvement</v>
      </c>
      <c r="BR123" s="193">
        <f>VLOOKUP(BS123,Lookup!$G$147:$L$157,6,FALSE)</f>
        <v>2</v>
      </c>
      <c r="BS123" s="181" t="s">
        <v>2641</v>
      </c>
      <c r="BT123" s="281" t="s">
        <v>3561</v>
      </c>
      <c r="BU123" s="175" t="s">
        <v>2231</v>
      </c>
    </row>
    <row r="124" spans="1:73" ht="39.950000000000003" customHeight="1" thickBot="1" x14ac:dyDescent="0.25">
      <c r="A124" s="173">
        <f t="shared" si="12"/>
        <v>121</v>
      </c>
      <c r="B124" s="178" t="s">
        <v>350</v>
      </c>
      <c r="C124" s="179" t="s">
        <v>1598</v>
      </c>
      <c r="D124" s="180">
        <v>381</v>
      </c>
      <c r="E124" s="180" t="s">
        <v>3646</v>
      </c>
      <c r="F124" s="273" t="str">
        <f>VLOOKUP($D124,'Practice Descriptions'!$E$11:$F$186,2,FALSE)</f>
        <v>An application establishing a combination of trees or shrubs and compatible forages on the same acreage.</v>
      </c>
      <c r="G124" s="182">
        <v>5</v>
      </c>
      <c r="H124" s="183">
        <v>200</v>
      </c>
      <c r="I124" s="184">
        <v>0</v>
      </c>
      <c r="J124" s="184">
        <v>0.03</v>
      </c>
      <c r="K124" s="419">
        <f>IF(E124="No.",1,IF(E124="Ac.",1,(SQRT(VLOOKUP(O124,Lookup!$F$9:$H$18,3,FALSE)))*208/VLOOKUP(O124,Lookup!$F$9:$H$18,3,FALSE)))</f>
        <v>1</v>
      </c>
      <c r="L124" s="185" t="str">
        <f t="shared" si="8"/>
        <v/>
      </c>
      <c r="M124" s="184">
        <v>0</v>
      </c>
      <c r="N124" s="186">
        <f>IF(G124=1,H124,PMT(Lookup!$G$4,G124,-H124)+(H124*J124)+(M124*P124))*K124</f>
        <v>52.354696236222949</v>
      </c>
      <c r="O124" s="181" t="s">
        <v>1260</v>
      </c>
      <c r="P124" s="186">
        <f>VLOOKUP($O124,Lookup!$F$9:$I$18,4,FALSE)</f>
        <v>50</v>
      </c>
      <c r="Q124" s="184">
        <v>0.2</v>
      </c>
      <c r="R124" s="183">
        <v>20</v>
      </c>
      <c r="S124" s="188" t="s">
        <v>3636</v>
      </c>
      <c r="T124" s="186">
        <f t="shared" si="10"/>
        <v>30</v>
      </c>
      <c r="U124" s="189">
        <f t="shared" si="11"/>
        <v>0.57301449834874074</v>
      </c>
      <c r="V124" s="189">
        <f t="shared" si="9"/>
        <v>0</v>
      </c>
      <c r="W124" s="190">
        <f>IF(P124=0,0,IF(Q124+R124=0,0,PV(Lookup!$G$4,G124,-T124)/H124))</f>
        <v>0.64718361753726905</v>
      </c>
      <c r="X124" s="190">
        <f>IF(I124=0,0,PMT(Lookup!$G$4,G124,-(H124*I124*K124))/P124)</f>
        <v>0</v>
      </c>
      <c r="Y124" s="42" t="s">
        <v>963</v>
      </c>
      <c r="Z124" s="192">
        <f>VLOOKUP(Y124,Lookup!$B$4:$C$14,2,FALSE)</f>
        <v>2</v>
      </c>
      <c r="AA124" s="281" t="s">
        <v>1922</v>
      </c>
      <c r="AB124" s="282" t="s">
        <v>1072</v>
      </c>
      <c r="AC124" s="181" t="str">
        <f>VLOOKUP(AD124,Lookup!$C$4:$D$14,2,FALSE)</f>
        <v>Moderate to Substantial Worsening</v>
      </c>
      <c r="AD124" s="193">
        <f>IF(P124/H124&lt;Lookup!$F$33,-5,IF(P124/H124&lt;Lookup!$F$32,-4,IF(P124/H124&lt;Lookup!$F$31,-3,IF(P124/H124&lt;Lookup!$F$30,-2,IF(P124/H124&lt;Lookup!$F$29,-1,-5)))))</f>
        <v>-4</v>
      </c>
      <c r="AE124" s="194" t="str">
        <f>VLOOKUP(AD124,Lookup!$G$28:$J$33,2,FALSE)</f>
        <v>One-time practice implementation cost 2 to 5 times enterprise annual net income</v>
      </c>
      <c r="AF124" s="281" t="s">
        <v>1891</v>
      </c>
      <c r="AG124" s="181" t="str">
        <f>VLOOKUP(AH124,Lookup!$C$4:$D$14,2,FALSE)</f>
        <v>Moderate Worsening</v>
      </c>
      <c r="AH124" s="193">
        <f>IF(J124&gt;Lookup!$F$43,-5,IF(J124&gt;Lookup!$F$42,-4,IF(J124&gt;Lookup!$F$41,-3,IF(J124&gt;Lookup!$F$40,-2,IF(J124&gt;Lookup!$F$39,-1,0)))))</f>
        <v>-3</v>
      </c>
      <c r="AI124" s="194" t="str">
        <f>VLOOKUP(AH124,Lookup!$G$38:$J$43,2,FALSE)</f>
        <v>Annual O&amp;M costs 2 to 3% of total installation costs</v>
      </c>
      <c r="AJ124" s="281" t="s">
        <v>2978</v>
      </c>
      <c r="AK124" s="181" t="str">
        <f>VLOOKUP(AL124,Lookup!$C$4:$D$14,2,FALSE)</f>
        <v>Slight Worsening</v>
      </c>
      <c r="AL124" s="346">
        <f>IF(N124=0,0,IF(U124&lt;Lookup!$F$58,-5,IF(U124&lt;Lookup!$F$57,-4,IF(U124&lt;Lookup!$F$56,-3,IF(U124&lt;Lookup!$F$55,-2,IF(U124&lt;Lookup!$F$54,-1,IF(U124&lt;Lookup!$F$53,0,IF(U124&lt;Lookup!$F$52,1,IF(U124&lt;Lookup!$F$51,2,IF(U124&lt;Lookup!$F$50,3,IF(U124&lt;Lookup!$F$49,4,5)))))))))))</f>
        <v>-1</v>
      </c>
      <c r="AM124" s="194" t="str">
        <f>VLOOKUP(AL124,Lookup!$G$48:$J$58,2,FALSE)</f>
        <v>B/C Ratio .50 to .75</v>
      </c>
      <c r="AN124" s="281" t="s">
        <v>3046</v>
      </c>
      <c r="AO124" s="181" t="str">
        <f>VLOOKUP(AP124,Lookup!$C$4:$D$14,2,FALSE)</f>
        <v>Slight to Moderate Improvement</v>
      </c>
      <c r="AP124" s="193">
        <f>IF(Q124=0,0,IF(Q124&gt;Lookup!$F$63,5,IF(Q124&gt;Lookup!$F$64,4,IF(Q124&gt;Lookup!$F$65,3,IF(Q124&gt;Lookup!$F$66,2,IF(Q124&gt;Lookup!$F$67,1,IF(Q124&gt;Lookup!$F$69,-1,IF(Q124&gt;Lookup!$F$70,-2,IF(Q124&gt;Lookup!$F$71,-3,IF(Q124&gt;Lookup!$F$72,-4,-5))))))))))</f>
        <v>2</v>
      </c>
      <c r="AQ124" s="194" t="str">
        <f>VLOOKUP(AP124,Lookup!$G$63:$J$73,2,FALSE)</f>
        <v>5 to 10% yield increase</v>
      </c>
      <c r="AR124" s="281" t="s">
        <v>3118</v>
      </c>
      <c r="AS124" s="181" t="str">
        <f>VLOOKUP(AT124,Lookup!$C$4:$D$14,2,FALSE)</f>
        <v>No Effect</v>
      </c>
      <c r="AT124" s="193">
        <f>IF(V124=0,0,IF(V124&lt;Lookup!$F$79,5,IF(V124&lt;Lookup!$F$80,4,IF(V124&lt;Lookup!$F$81,3,IF(V124&lt;Lookup!$F$82,2,IF(V124&lt;Lookup!$F$83,1,IF(V124&lt;Lookup!$F$85,-1,IF(V124&lt;Lookup!$F$86,-2,IF(V124&lt;Lookup!$F$87,-3,IF(V124&lt;Lookup!$F$88,-4,-5))))))))))</f>
        <v>0</v>
      </c>
      <c r="AU124" s="194" t="str">
        <f>VLOOKUP(AT124,Lookup!$G$79:$J$89,2,FALSE)</f>
        <v>No breakeven</v>
      </c>
      <c r="AV124" s="345" t="str">
        <f>VLOOKUP(AT124,Lookup!$G$79:$J$89,4,FALSE)</f>
        <v>Annual costs greater than annual benefits</v>
      </c>
      <c r="AW124" s="181" t="str">
        <f>VLOOKUP(AX124,Lookup!$C$4:$D$14,2,FALSE)</f>
        <v>Moderate Improvement</v>
      </c>
      <c r="AX124" s="193">
        <f>VLOOKUP(AY124,Lookup!$G$92:$J$97,4,FALSE)</f>
        <v>3</v>
      </c>
      <c r="AY124" s="181" t="s">
        <v>2631</v>
      </c>
      <c r="AZ124" s="281" t="s">
        <v>3177</v>
      </c>
      <c r="BA124" s="181" t="str">
        <f>VLOOKUP(BB124,Lookup!$C$4:$D$14,2,FALSE)</f>
        <v>Moderate Worsening</v>
      </c>
      <c r="BB124" s="193">
        <f>VLOOKUP(BC124,Lookup!$G$100:$K$110,5,FALSE)</f>
        <v>-3</v>
      </c>
      <c r="BC124" s="181" t="s">
        <v>2632</v>
      </c>
      <c r="BD124" s="281" t="s">
        <v>3211</v>
      </c>
      <c r="BE124" s="181" t="str">
        <f>VLOOKUP(BF124,Lookup!$C$4:$D$14,2,FALSE)</f>
        <v>No Effect</v>
      </c>
      <c r="BF124" s="193">
        <f>IF(X124=0,0,IF(X124&gt;Lookup!$F$113,-5,IF(X124&gt;Lookup!$F$114,-4,IF(X124&gt;Lookup!$F$115,-3,IF(X124&gt;Lookup!$F$116,-2,IF(X124&gt;Lookup!$F$117,-1,0))))))</f>
        <v>0</v>
      </c>
      <c r="BG124" s="195" t="str">
        <f>VLOOKUP(BF124,Lookup!$G$113:$H$118,2,FALSE)</f>
        <v>No change in on-farm equipment</v>
      </c>
      <c r="BH124" s="281" t="s">
        <v>1849</v>
      </c>
      <c r="BI124" s="181" t="str">
        <f>VLOOKUP(BJ124,Lookup!$C$4:$D$14,2,FALSE)</f>
        <v>Slight Worsening</v>
      </c>
      <c r="BJ124" s="193">
        <f>VLOOKUP(BK124,Lookup!$G$121:$L$131,6,FALSE)</f>
        <v>-1</v>
      </c>
      <c r="BK124" s="181" t="s">
        <v>2640</v>
      </c>
      <c r="BL124" s="281" t="s">
        <v>3330</v>
      </c>
      <c r="BM124" s="181" t="str">
        <f>VLOOKUP(BN124,Lookup!$C$4:$D$14,2,FALSE)</f>
        <v>No Effect</v>
      </c>
      <c r="BN124" s="193">
        <f>VLOOKUP(BO124,Lookup!$G$134:$L$144,6,FALSE)</f>
        <v>0</v>
      </c>
      <c r="BO124" s="181" t="s">
        <v>2646</v>
      </c>
      <c r="BP124" s="281" t="s">
        <v>3154</v>
      </c>
      <c r="BQ124" s="181" t="str">
        <f>VLOOKUP(BR124,Lookup!$C$4:$D$14,2,FALSE)</f>
        <v>Slight to Moderate Improvement</v>
      </c>
      <c r="BR124" s="193">
        <f>VLOOKUP(BS124,Lookup!$G$147:$L$157,6,FALSE)</f>
        <v>2</v>
      </c>
      <c r="BS124" s="181" t="s">
        <v>2641</v>
      </c>
      <c r="BT124" s="281" t="s">
        <v>3480</v>
      </c>
      <c r="BU124" s="175" t="s">
        <v>2231</v>
      </c>
    </row>
    <row r="125" spans="1:73" ht="39.950000000000003" customHeight="1" thickBot="1" x14ac:dyDescent="0.25">
      <c r="A125" s="173">
        <f t="shared" si="12"/>
        <v>122</v>
      </c>
      <c r="B125" s="178" t="s">
        <v>351</v>
      </c>
      <c r="C125" s="179" t="s">
        <v>1599</v>
      </c>
      <c r="D125" s="180">
        <v>632</v>
      </c>
      <c r="E125" s="180" t="s">
        <v>3647</v>
      </c>
      <c r="F125" s="273" t="str">
        <f>VLOOKUP($D125,'Practice Descriptions'!$E$11:$F$186,2,FALSE)</f>
        <v>A filtration or screening device, settling tank, settling basin, or settling channel used to separate a portion of solids from a liquid waste stream.</v>
      </c>
      <c r="G125" s="182">
        <v>15</v>
      </c>
      <c r="H125" s="183">
        <v>10000</v>
      </c>
      <c r="I125" s="184">
        <v>0.25</v>
      </c>
      <c r="J125" s="184">
        <v>0.03</v>
      </c>
      <c r="K125" s="419">
        <f>IF(E125="No.",1,IF(E125="Ac.",1,(SQRT(VLOOKUP(O125,Lookup!$F$9:$H$18,3,FALSE)))*208/VLOOKUP(O125,Lookup!$F$9:$H$18,3,FALSE)))</f>
        <v>1</v>
      </c>
      <c r="L125" s="185" t="str">
        <f t="shared" si="8"/>
        <v/>
      </c>
      <c r="M125" s="184">
        <v>0</v>
      </c>
      <c r="N125" s="186">
        <f>IF(G125=1,H125,PMT(Lookup!$G$4,G125,-H125)+(H125*J125)+(M125*P125))*K125</f>
        <v>1271.5801226487761</v>
      </c>
      <c r="O125" s="187" t="s">
        <v>2225</v>
      </c>
      <c r="P125" s="186">
        <f>VLOOKUP($O125,Lookup!$F$9:$I$18,4,FALSE)</f>
        <v>100</v>
      </c>
      <c r="Q125" s="184">
        <v>0</v>
      </c>
      <c r="R125" s="183">
        <v>1000</v>
      </c>
      <c r="S125" s="188" t="s">
        <v>3637</v>
      </c>
      <c r="T125" s="186">
        <f t="shared" si="10"/>
        <v>1000</v>
      </c>
      <c r="U125" s="189">
        <f t="shared" si="11"/>
        <v>0.78642311419349753</v>
      </c>
      <c r="V125" s="189">
        <f t="shared" si="9"/>
        <v>0</v>
      </c>
      <c r="W125" s="190">
        <f>IF(P125=0,0,IF(Q125+R125=0,0,PV(Lookup!$G$4,G125,-T125)/H125))</f>
        <v>1.0292511926589691</v>
      </c>
      <c r="X125" s="190">
        <f>IF(I125=0,0,PMT(Lookup!$G$4,G125,-(H125*I125*K125))/P125)</f>
        <v>2.4289503066219402</v>
      </c>
      <c r="Y125" s="42" t="s">
        <v>963</v>
      </c>
      <c r="Z125" s="192">
        <f>VLOOKUP(Y125,Lookup!$B$4:$C$14,2,FALSE)</f>
        <v>2</v>
      </c>
      <c r="AA125" s="281" t="s">
        <v>902</v>
      </c>
      <c r="AB125" s="282" t="s">
        <v>1072</v>
      </c>
      <c r="AC125" s="181" t="str">
        <f>VLOOKUP(AD125,Lookup!$C$4:$D$14,2,FALSE)</f>
        <v>Substantial Worsening</v>
      </c>
      <c r="AD125" s="193">
        <f>IF(P125/H125&lt;Lookup!$F$33,-5,IF(P125/H125&lt;Lookup!$F$32,-4,IF(P125/H125&lt;Lookup!$F$31,-3,IF(P125/H125&lt;Lookup!$F$30,-2,IF(P125/H125&lt;Lookup!$F$29,-1,-5)))))</f>
        <v>-5</v>
      </c>
      <c r="AE125" s="194" t="str">
        <f>VLOOKUP(AD125,Lookup!$G$28:$J$33,2,FALSE)</f>
        <v>One-time practice implementation cost 5 times or greater enterprise annual net income</v>
      </c>
      <c r="AF125" s="281" t="s">
        <v>1847</v>
      </c>
      <c r="AG125" s="181" t="str">
        <f>VLOOKUP(AH125,Lookup!$C$4:$D$14,2,FALSE)</f>
        <v>Moderate Worsening</v>
      </c>
      <c r="AH125" s="193">
        <f>IF(J125&gt;Lookup!$F$43,-5,IF(J125&gt;Lookup!$F$42,-4,IF(J125&gt;Lookup!$F$41,-3,IF(J125&gt;Lookup!$F$40,-2,IF(J125&gt;Lookup!$F$39,-1,0)))))</f>
        <v>-3</v>
      </c>
      <c r="AI125" s="194" t="str">
        <f>VLOOKUP(AH125,Lookup!$G$38:$J$43,2,FALSE)</f>
        <v>Annual O&amp;M costs 2 to 3% of total installation costs</v>
      </c>
      <c r="AJ125" s="281" t="s">
        <v>2998</v>
      </c>
      <c r="AK125" s="181" t="str">
        <f>VLOOKUP(AL125,Lookup!$C$4:$D$14,2,FALSE)</f>
        <v>No Effect</v>
      </c>
      <c r="AL125" s="346">
        <f>IF(N125=0,0,IF(U125&lt;Lookup!$F$58,-5,IF(U125&lt;Lookup!$F$57,-4,IF(U125&lt;Lookup!$F$56,-3,IF(U125&lt;Lookup!$F$55,-2,IF(U125&lt;Lookup!$F$54,-1,IF(U125&lt;Lookup!$F$53,0,IF(U125&lt;Lookup!$F$52,1,IF(U125&lt;Lookup!$F$51,2,IF(U125&lt;Lookup!$F$50,3,IF(U125&lt;Lookup!$F$49,4,5)))))))))))</f>
        <v>0</v>
      </c>
      <c r="AM125" s="194" t="str">
        <f>VLOOKUP(AL125,Lookup!$G$48:$J$58,2,FALSE)</f>
        <v>B/C Ratio .75 to 1.25</v>
      </c>
      <c r="AN125" s="281" t="s">
        <v>3029</v>
      </c>
      <c r="AO125" s="181" t="str">
        <f>VLOOKUP(AP125,Lookup!$C$4:$D$14,2,FALSE)</f>
        <v>No Effect</v>
      </c>
      <c r="AP125" s="193">
        <f>IF(Q125=0,0,IF(Q125&gt;Lookup!$F$63,5,IF(Q125&gt;Lookup!$F$64,4,IF(Q125&gt;Lookup!$F$65,3,IF(Q125&gt;Lookup!$F$66,2,IF(Q125&gt;Lookup!$F$67,1,IF(Q125&gt;Lookup!$F$69,-1,IF(Q125&gt;Lookup!$F$70,-2,IF(Q125&gt;Lookup!$F$71,-3,IF(Q125&gt;Lookup!$F$72,-4,-5))))))))))</f>
        <v>0</v>
      </c>
      <c r="AQ125" s="194" t="str">
        <f>VLOOKUP(AP125,Lookup!$G$63:$J$73,2,FALSE)</f>
        <v>No change in yield</v>
      </c>
      <c r="AR125" s="281" t="s">
        <v>3081</v>
      </c>
      <c r="AS125" s="181" t="str">
        <f>VLOOKUP(AT125,Lookup!$C$4:$D$14,2,FALSE)</f>
        <v>No Effect</v>
      </c>
      <c r="AT125" s="193">
        <f>IF(V125=0,0,IF(V125&lt;Lookup!$F$79,5,IF(V125&lt;Lookup!$F$80,4,IF(V125&lt;Lookup!$F$81,3,IF(V125&lt;Lookup!$F$82,2,IF(V125&lt;Lookup!$F$83,1,IF(V125&lt;Lookup!$F$85,-1,IF(V125&lt;Lookup!$F$86,-2,IF(V125&lt;Lookup!$F$87,-3,IF(V125&lt;Lookup!$F$88,-4,-5))))))))))</f>
        <v>0</v>
      </c>
      <c r="AU125" s="194" t="str">
        <f>VLOOKUP(AT125,Lookup!$G$79:$J$89,2,FALSE)</f>
        <v>No breakeven</v>
      </c>
      <c r="AV125" s="345" t="str">
        <f>VLOOKUP(AT125,Lookup!$G$79:$J$89,4,FALSE)</f>
        <v>Annual costs greater than annual benefits</v>
      </c>
      <c r="AW125" s="181" t="str">
        <f>VLOOKUP(AX125,Lookup!$C$4:$D$14,2,FALSE)</f>
        <v>Slight Improvement</v>
      </c>
      <c r="AX125" s="193">
        <f>VLOOKUP(AY125,Lookup!$G$92:$J$97,4,FALSE)</f>
        <v>1</v>
      </c>
      <c r="AY125" s="181" t="s">
        <v>2636</v>
      </c>
      <c r="AZ125" s="281" t="s">
        <v>3562</v>
      </c>
      <c r="BA125" s="181" t="str">
        <f>VLOOKUP(BB125,Lookup!$C$4:$D$14,2,FALSE)</f>
        <v>Slight Worsening</v>
      </c>
      <c r="BB125" s="193">
        <f>VLOOKUP(BC125,Lookup!$G$100:$K$110,5,FALSE)</f>
        <v>-1</v>
      </c>
      <c r="BC125" s="181" t="s">
        <v>2637</v>
      </c>
      <c r="BD125" s="281" t="s">
        <v>3184</v>
      </c>
      <c r="BE125" s="181" t="str">
        <f>VLOOKUP(BF125,Lookup!$C$4:$D$14,2,FALSE)</f>
        <v>Substantial Worsening</v>
      </c>
      <c r="BF125" s="193">
        <f>IF(X125=0,0,IF(X125&gt;Lookup!$F$113,-5,IF(X125&gt;Lookup!$F$114,-4,IF(X125&gt;Lookup!$F$115,-3,IF(X125&gt;Lookup!$F$116,-2,IF(X125&gt;Lookup!$F$117,-1,0))))))</f>
        <v>-5</v>
      </c>
      <c r="BG125" s="195" t="str">
        <f>VLOOKUP(BF125,Lookup!$G$113:$H$118,2,FALSE)</f>
        <v>Annual on-farm equipment costs 75% or greater of enterprise annual net income</v>
      </c>
      <c r="BH125" s="281" t="s">
        <v>3525</v>
      </c>
      <c r="BI125" s="181" t="str">
        <f>VLOOKUP(BJ125,Lookup!$C$4:$D$14,2,FALSE)</f>
        <v>Slight to Moderate Worsening</v>
      </c>
      <c r="BJ125" s="193">
        <f>VLOOKUP(BK125,Lookup!$G$121:$L$131,6,FALSE)</f>
        <v>-2</v>
      </c>
      <c r="BK125" s="181" t="s">
        <v>2649</v>
      </c>
      <c r="BL125" s="281" t="s">
        <v>3331</v>
      </c>
      <c r="BM125" s="181" t="str">
        <f>VLOOKUP(BN125,Lookup!$C$4:$D$14,2,FALSE)</f>
        <v>Slight to Moderate Worsening</v>
      </c>
      <c r="BN125" s="193">
        <f>VLOOKUP(BO125,Lookup!$G$134:$L$144,6,FALSE)</f>
        <v>-2</v>
      </c>
      <c r="BO125" s="181" t="s">
        <v>3374</v>
      </c>
      <c r="BP125" s="281" t="s">
        <v>3376</v>
      </c>
      <c r="BQ125" s="181" t="str">
        <f>VLOOKUP(BR125,Lookup!$C$4:$D$14,2,FALSE)</f>
        <v>Slight to Moderate Improvement</v>
      </c>
      <c r="BR125" s="193">
        <f>VLOOKUP(BS125,Lookup!$G$147:$L$157,6,FALSE)</f>
        <v>2</v>
      </c>
      <c r="BS125" s="181" t="s">
        <v>2641</v>
      </c>
      <c r="BT125" s="281" t="s">
        <v>3481</v>
      </c>
      <c r="BU125" s="175" t="s">
        <v>2231</v>
      </c>
    </row>
    <row r="126" spans="1:73" ht="39.950000000000003" customHeight="1" thickBot="1" x14ac:dyDescent="0.25">
      <c r="A126" s="173">
        <f t="shared" si="12"/>
        <v>123</v>
      </c>
      <c r="B126" s="178" t="s">
        <v>352</v>
      </c>
      <c r="C126" s="179" t="s">
        <v>1597</v>
      </c>
      <c r="D126" s="180">
        <v>572</v>
      </c>
      <c r="E126" s="180" t="s">
        <v>3646</v>
      </c>
      <c r="F126" s="273" t="str">
        <f>VLOOKUP($D126,'Practice Descriptions'!$E$11:$F$186,2,FALSE)</f>
        <v>Disposal of surplus excavated materials</v>
      </c>
      <c r="G126" s="182">
        <v>1</v>
      </c>
      <c r="H126" s="183">
        <v>5</v>
      </c>
      <c r="I126" s="184">
        <v>0.05</v>
      </c>
      <c r="J126" s="184">
        <v>0</v>
      </c>
      <c r="K126" s="419">
        <f>IF(E126="No.",1,IF(E126="Ac.",1,(SQRT(VLOOKUP(O126,Lookup!$F$9:$H$18,3,FALSE)))*208/VLOOKUP(O126,Lookup!$F$9:$H$18,3,FALSE)))</f>
        <v>1</v>
      </c>
      <c r="L126" s="185" t="str">
        <f t="shared" si="8"/>
        <v/>
      </c>
      <c r="M126" s="184">
        <v>0</v>
      </c>
      <c r="N126" s="186">
        <f>IF(G126=1,H126,PMT(Lookup!$G$4,G126,-H126)+(H126*J126)+(M126*P126))*K126</f>
        <v>5</v>
      </c>
      <c r="O126" s="181" t="s">
        <v>1260</v>
      </c>
      <c r="P126" s="186">
        <f>VLOOKUP($O126,Lookup!$F$9:$I$18,4,FALSE)</f>
        <v>50</v>
      </c>
      <c r="Q126" s="184">
        <v>0</v>
      </c>
      <c r="R126" s="183">
        <v>0</v>
      </c>
      <c r="S126" s="188" t="s">
        <v>3638</v>
      </c>
      <c r="T126" s="186">
        <f t="shared" si="10"/>
        <v>0</v>
      </c>
      <c r="U126" s="189">
        <f t="shared" si="11"/>
        <v>0</v>
      </c>
      <c r="V126" s="189">
        <f t="shared" si="9"/>
        <v>0</v>
      </c>
      <c r="W126" s="190">
        <f>IF(P126=0,0,IF(Q126+R126=0,0,PV(Lookup!$G$4,G126,-T126)/H126))</f>
        <v>0</v>
      </c>
      <c r="X126" s="190">
        <f>IF(I126=0,0,PMT(Lookup!$G$4,G126,-(H126*I126*K126))/P126)</f>
        <v>5.2562500000000014E-3</v>
      </c>
      <c r="Y126" s="42" t="s">
        <v>986</v>
      </c>
      <c r="Z126" s="192">
        <f>VLOOKUP(Y126,Lookup!$B$4:$C$14,2,FALSE)</f>
        <v>0</v>
      </c>
      <c r="AA126" s="281" t="s">
        <v>1923</v>
      </c>
      <c r="AB126" s="282" t="s">
        <v>1072</v>
      </c>
      <c r="AC126" s="181" t="str">
        <f>VLOOKUP(AD126,Lookup!$C$4:$D$14,2,FALSE)</f>
        <v>Slight to Moderate Worsening</v>
      </c>
      <c r="AD126" s="193">
        <f>IF(P126/H126&lt;Lookup!$F$33,-5,IF(P126/H126&lt;Lookup!$F$32,-4,IF(P126/H126&lt;Lookup!$F$31,-3,IF(P126/H126&lt;Lookup!$F$30,-2,IF(P126/H126&lt;Lookup!$F$29,-1,-5)))))</f>
        <v>-2</v>
      </c>
      <c r="AE126" s="194" t="str">
        <f>VLOOKUP(AD126,Lookup!$G$28:$J$33,2,FALSE)</f>
        <v>One-time practice implementation cost 5 to 100% of enterprise annual net income</v>
      </c>
      <c r="AF126" s="281" t="s">
        <v>2969</v>
      </c>
      <c r="AG126" s="181" t="str">
        <f>VLOOKUP(AH126,Lookup!$C$4:$D$14,2,FALSE)</f>
        <v>No Effect</v>
      </c>
      <c r="AH126" s="193">
        <f>IF(J126&gt;Lookup!$F$43,-5,IF(J126&gt;Lookup!$F$42,-4,IF(J126&gt;Lookup!$F$41,-3,IF(J126&gt;Lookup!$F$40,-2,IF(J126&gt;Lookup!$F$39,-1,0)))))</f>
        <v>0</v>
      </c>
      <c r="AI126" s="194" t="str">
        <f>VLOOKUP(AH126,Lookup!$G$38:$J$43,2,FALSE)</f>
        <v>No O&amp;M costs</v>
      </c>
      <c r="AJ126" s="281" t="s">
        <v>3005</v>
      </c>
      <c r="AK126" s="181" t="str">
        <f>VLOOKUP(AL126,Lookup!$C$4:$D$14,2,FALSE)</f>
        <v>Substantial Worsening</v>
      </c>
      <c r="AL126" s="346">
        <f>IF(N126=0,0,IF(U126&lt;Lookup!$F$58,-5,IF(U126&lt;Lookup!$F$57,-4,IF(U126&lt;Lookup!$F$56,-3,IF(U126&lt;Lookup!$F$55,-2,IF(U126&lt;Lookup!$F$54,-1,IF(U126&lt;Lookup!$F$53,0,IF(U126&lt;Lookup!$F$52,1,IF(U126&lt;Lookup!$F$51,2,IF(U126&lt;Lookup!$F$50,3,IF(U126&lt;Lookup!$F$49,4,5)))))))))))</f>
        <v>-5</v>
      </c>
      <c r="AM126" s="194" t="str">
        <f>VLOOKUP(AL126,Lookup!$G$48:$J$58,2,FALSE)</f>
        <v>B/C Ratio less than .02</v>
      </c>
      <c r="AN126" s="281" t="s">
        <v>3046</v>
      </c>
      <c r="AO126" s="181" t="str">
        <f>VLOOKUP(AP126,Lookup!$C$4:$D$14,2,FALSE)</f>
        <v>No Effect</v>
      </c>
      <c r="AP126" s="193">
        <f>IF(Q126=0,0,IF(Q126&gt;Lookup!$F$63,5,IF(Q126&gt;Lookup!$F$64,4,IF(Q126&gt;Lookup!$F$65,3,IF(Q126&gt;Lookup!$F$66,2,IF(Q126&gt;Lookup!$F$67,1,IF(Q126&gt;Lookup!$F$69,-1,IF(Q126&gt;Lookup!$F$70,-2,IF(Q126&gt;Lookup!$F$71,-3,IF(Q126&gt;Lookup!$F$72,-4,-5))))))))))</f>
        <v>0</v>
      </c>
      <c r="AQ126" s="194" t="str">
        <f>VLOOKUP(AP126,Lookup!$G$63:$J$73,2,FALSE)</f>
        <v>No change in yield</v>
      </c>
      <c r="AR126" s="281" t="s">
        <v>3081</v>
      </c>
      <c r="AS126" s="181" t="str">
        <f>VLOOKUP(AT126,Lookup!$C$4:$D$14,2,FALSE)</f>
        <v>No Effect</v>
      </c>
      <c r="AT126" s="193">
        <f>IF(V126=0,0,IF(V126&lt;Lookup!$F$79,5,IF(V126&lt;Lookup!$F$80,4,IF(V126&lt;Lookup!$F$81,3,IF(V126&lt;Lookup!$F$82,2,IF(V126&lt;Lookup!$F$83,1,IF(V126&lt;Lookup!$F$85,-1,IF(V126&lt;Lookup!$F$86,-2,IF(V126&lt;Lookup!$F$87,-3,IF(V126&lt;Lookup!$F$88,-4,-5))))))))))</f>
        <v>0</v>
      </c>
      <c r="AU126" s="194" t="str">
        <f>VLOOKUP(AT126,Lookup!$G$79:$J$89,2,FALSE)</f>
        <v>No breakeven</v>
      </c>
      <c r="AV126" s="345" t="str">
        <f>VLOOKUP(AT126,Lookup!$G$79:$J$89,4,FALSE)</f>
        <v>Annual costs greater than annual benefits</v>
      </c>
      <c r="AW126" s="181" t="str">
        <f>VLOOKUP(AX126,Lookup!$C$4:$D$14,2,FALSE)</f>
        <v>Slight Improvement</v>
      </c>
      <c r="AX126" s="193">
        <f>VLOOKUP(AY126,Lookup!$G$92:$J$97,4,FALSE)</f>
        <v>1</v>
      </c>
      <c r="AY126" s="181" t="s">
        <v>2636</v>
      </c>
      <c r="AZ126" s="281" t="s">
        <v>3562</v>
      </c>
      <c r="BA126" s="181" t="str">
        <f>VLOOKUP(BB126,Lookup!$C$4:$D$14,2,FALSE)</f>
        <v>Slight Worsening</v>
      </c>
      <c r="BB126" s="193">
        <f>VLOOKUP(BC126,Lookup!$G$100:$K$110,5,FALSE)</f>
        <v>-1</v>
      </c>
      <c r="BC126" s="181" t="s">
        <v>2637</v>
      </c>
      <c r="BD126" s="281" t="s">
        <v>3184</v>
      </c>
      <c r="BE126" s="181" t="str">
        <f>VLOOKUP(BF126,Lookup!$C$4:$D$14,2,FALSE)</f>
        <v>Slight Worsening</v>
      </c>
      <c r="BF126" s="193">
        <f>IF(X126=0,0,IF(X126&gt;Lookup!$F$113,-5,IF(X126&gt;Lookup!$F$114,-4,IF(X126&gt;Lookup!$F$115,-3,IF(X126&gt;Lookup!$F$116,-2,IF(X126&gt;Lookup!$F$117,-1,0))))))</f>
        <v>-1</v>
      </c>
      <c r="BG126" s="195" t="str">
        <f>VLOOKUP(BF126,Lookup!$G$113:$H$118,2,FALSE)</f>
        <v>Annual on-farm equipment costs 5% or less of enterprise annual net income</v>
      </c>
      <c r="BH126" s="281" t="s">
        <v>3233</v>
      </c>
      <c r="BI126" s="181" t="str">
        <f>VLOOKUP(BJ126,Lookup!$C$4:$D$14,2,FALSE)</f>
        <v>Slight Worsening</v>
      </c>
      <c r="BJ126" s="193">
        <f>VLOOKUP(BK126,Lookup!$G$121:$L$131,6,FALSE)</f>
        <v>-1</v>
      </c>
      <c r="BK126" s="181" t="s">
        <v>2640</v>
      </c>
      <c r="BL126" s="281" t="s">
        <v>3332</v>
      </c>
      <c r="BM126" s="181" t="str">
        <f>VLOOKUP(BN126,Lookup!$C$4:$D$14,2,FALSE)</f>
        <v>No Effect</v>
      </c>
      <c r="BN126" s="193">
        <f>VLOOKUP(BO126,Lookup!$G$134:$L$144,6,FALSE)</f>
        <v>0</v>
      </c>
      <c r="BO126" s="181" t="s">
        <v>2646</v>
      </c>
      <c r="BP126" s="281" t="s">
        <v>3154</v>
      </c>
      <c r="BQ126" s="181" t="str">
        <f>VLOOKUP(BR126,Lookup!$C$4:$D$14,2,FALSE)</f>
        <v>Slight Worsening</v>
      </c>
      <c r="BR126" s="193">
        <f>VLOOKUP(BS126,Lookup!$G$147:$L$157,6,FALSE)</f>
        <v>-1</v>
      </c>
      <c r="BS126" s="181" t="s">
        <v>2658</v>
      </c>
      <c r="BT126" s="281" t="s">
        <v>3482</v>
      </c>
      <c r="BU126" s="175" t="s">
        <v>2231</v>
      </c>
    </row>
    <row r="127" spans="1:73" ht="39.950000000000003" customHeight="1" thickBot="1" x14ac:dyDescent="0.25">
      <c r="A127" s="173">
        <f t="shared" si="12"/>
        <v>124</v>
      </c>
      <c r="B127" s="178" t="s">
        <v>353</v>
      </c>
      <c r="C127" s="179" t="s">
        <v>1601</v>
      </c>
      <c r="D127" s="180">
        <v>574</v>
      </c>
      <c r="E127" s="180" t="s">
        <v>3647</v>
      </c>
      <c r="F127" s="273" t="str">
        <f>VLOOKUP($D127,'Practice Descriptions'!$E$11:$F$186,2,FALSE)</f>
        <v>Collection of water from springs or seeps to provide water for a conservation need.</v>
      </c>
      <c r="G127" s="182">
        <v>10</v>
      </c>
      <c r="H127" s="183">
        <v>3000</v>
      </c>
      <c r="I127" s="184">
        <v>0.05</v>
      </c>
      <c r="J127" s="184">
        <v>0.01</v>
      </c>
      <c r="K127" s="419">
        <f>IF(E127="No.",1,IF(E127="Ac.",1,(SQRT(VLOOKUP(O127,Lookup!$F$9:$H$18,3,FALSE)))*208/VLOOKUP(O127,Lookup!$F$9:$H$18,3,FALSE)))</f>
        <v>1</v>
      </c>
      <c r="L127" s="185" t="str">
        <f t="shared" si="8"/>
        <v/>
      </c>
      <c r="M127" s="184">
        <v>0</v>
      </c>
      <c r="N127" s="186">
        <f>IF(G127=1,H127,PMT(Lookup!$G$4,G127,-H127)+(H127*J127)+(M127*P127))*K127</f>
        <v>420.87564170519153</v>
      </c>
      <c r="O127" s="187" t="s">
        <v>2214</v>
      </c>
      <c r="P127" s="186">
        <f>VLOOKUP($O127,Lookup!$F$9:$I$18,4,FALSE)</f>
        <v>5</v>
      </c>
      <c r="Q127" s="184">
        <v>0.3</v>
      </c>
      <c r="R127" s="183">
        <v>0.1</v>
      </c>
      <c r="S127" s="188" t="s">
        <v>2667</v>
      </c>
      <c r="T127" s="186">
        <f t="shared" si="10"/>
        <v>1.6</v>
      </c>
      <c r="U127" s="189">
        <f t="shared" si="11"/>
        <v>3.8015980053337072E-3</v>
      </c>
      <c r="V127" s="189">
        <f t="shared" si="9"/>
        <v>0</v>
      </c>
      <c r="W127" s="190">
        <f>IF(P127=0,0,IF(Q127+R127=0,0,PV(Lookup!$G$4,G127,-T127)/H127))</f>
        <v>4.0933735164975097E-3</v>
      </c>
      <c r="X127" s="190">
        <f>IF(I127=0,0,PMT(Lookup!$G$4,G127,-(H127*I127*K127))/P127)</f>
        <v>3.9087564170519151</v>
      </c>
      <c r="Y127" s="42" t="s">
        <v>963</v>
      </c>
      <c r="Z127" s="192">
        <f>VLOOKUP(Y127,Lookup!$B$4:$C$14,2,FALSE)</f>
        <v>2</v>
      </c>
      <c r="AA127" s="281" t="s">
        <v>1852</v>
      </c>
      <c r="AB127" s="282" t="s">
        <v>1072</v>
      </c>
      <c r="AC127" s="181" t="str">
        <f>VLOOKUP(AD127,Lookup!$C$4:$D$14,2,FALSE)</f>
        <v>Substantial Worsening</v>
      </c>
      <c r="AD127" s="193">
        <f>IF(P127/H127&lt;Lookup!$F$33,-5,IF(P127/H127&lt;Lookup!$F$32,-4,IF(P127/H127&lt;Lookup!$F$31,-3,IF(P127/H127&lt;Lookup!$F$30,-2,IF(P127/H127&lt;Lookup!$F$29,-1,-5)))))</f>
        <v>-5</v>
      </c>
      <c r="AE127" s="194" t="str">
        <f>VLOOKUP(AD127,Lookup!$G$28:$J$33,2,FALSE)</f>
        <v>One-time practice implementation cost 5 times or greater enterprise annual net income</v>
      </c>
      <c r="AF127" s="281" t="s">
        <v>1847</v>
      </c>
      <c r="AG127" s="181" t="str">
        <f>VLOOKUP(AH127,Lookup!$C$4:$D$14,2,FALSE)</f>
        <v>Slight Worsening</v>
      </c>
      <c r="AH127" s="193">
        <f>IF(J127&gt;Lookup!$F$43,-5,IF(J127&gt;Lookup!$F$42,-4,IF(J127&gt;Lookup!$F$41,-3,IF(J127&gt;Lookup!$F$40,-2,IF(J127&gt;Lookup!$F$39,-1,0)))))</f>
        <v>-1</v>
      </c>
      <c r="AI127" s="194" t="str">
        <f>VLOOKUP(AH127,Lookup!$G$38:$J$43,2,FALSE)</f>
        <v>Annual O&amp;M costs less than 1% of total installation costs</v>
      </c>
      <c r="AJ127" s="281" t="s">
        <v>3563</v>
      </c>
      <c r="AK127" s="181" t="str">
        <f>VLOOKUP(AL127,Lookup!$C$4:$D$14,2,FALSE)</f>
        <v>Substantial Worsening</v>
      </c>
      <c r="AL127" s="346">
        <f>IF(N127=0,0,IF(U127&lt;Lookup!$F$58,-5,IF(U127&lt;Lookup!$F$57,-4,IF(U127&lt;Lookup!$F$56,-3,IF(U127&lt;Lookup!$F$55,-2,IF(U127&lt;Lookup!$F$54,-1,IF(U127&lt;Lookup!$F$53,0,IF(U127&lt;Lookup!$F$52,1,IF(U127&lt;Lookup!$F$51,2,IF(U127&lt;Lookup!$F$50,3,IF(U127&lt;Lookup!$F$49,4,5)))))))))))</f>
        <v>-5</v>
      </c>
      <c r="AM127" s="194" t="str">
        <f>VLOOKUP(AL127,Lookup!$G$48:$J$58,2,FALSE)</f>
        <v>B/C Ratio less than .02</v>
      </c>
      <c r="AN127" s="281" t="s">
        <v>3064</v>
      </c>
      <c r="AO127" s="181" t="str">
        <f>VLOOKUP(AP127,Lookup!$C$4:$D$14,2,FALSE)</f>
        <v>Moderate to Substantial Improvement</v>
      </c>
      <c r="AP127" s="193">
        <f>IF(Q127=0,0,IF(Q127&gt;Lookup!$F$63,5,IF(Q127&gt;Lookup!$F$64,4,IF(Q127&gt;Lookup!$F$65,3,IF(Q127&gt;Lookup!$F$66,2,IF(Q127&gt;Lookup!$F$67,1,IF(Q127&gt;Lookup!$F$69,-1,IF(Q127&gt;Lookup!$F$70,-2,IF(Q127&gt;Lookup!$F$71,-3,IF(Q127&gt;Lookup!$F$72,-4,-5))))))))))</f>
        <v>4</v>
      </c>
      <c r="AQ127" s="194" t="str">
        <f>VLOOKUP(AP127,Lookup!$G$63:$J$73,2,FALSE)</f>
        <v>25 to 50% yield increase</v>
      </c>
      <c r="AR127" s="281" t="s">
        <v>3122</v>
      </c>
      <c r="AS127" s="181" t="str">
        <f>VLOOKUP(AT127,Lookup!$C$4:$D$14,2,FALSE)</f>
        <v>No Effect</v>
      </c>
      <c r="AT127" s="193">
        <f>IF(V127=0,0,IF(V127&lt;Lookup!$F$79,5,IF(V127&lt;Lookup!$F$80,4,IF(V127&lt;Lookup!$F$81,3,IF(V127&lt;Lookup!$F$82,2,IF(V127&lt;Lookup!$F$83,1,IF(V127&lt;Lookup!$F$85,-1,IF(V127&lt;Lookup!$F$86,-2,IF(V127&lt;Lookup!$F$87,-3,IF(V127&lt;Lookup!$F$88,-4,-5))))))))))</f>
        <v>0</v>
      </c>
      <c r="AU127" s="194" t="str">
        <f>VLOOKUP(AT127,Lookup!$G$79:$J$89,2,FALSE)</f>
        <v>No breakeven</v>
      </c>
      <c r="AV127" s="345" t="str">
        <f>VLOOKUP(AT127,Lookup!$G$79:$J$89,4,FALSE)</f>
        <v>Annual costs greater than annual benefits</v>
      </c>
      <c r="AW127" s="181" t="str">
        <f>VLOOKUP(AX127,Lookup!$C$4:$D$14,2,FALSE)</f>
        <v>No Effect</v>
      </c>
      <c r="AX127" s="193">
        <f>VLOOKUP(AY127,Lookup!$G$92:$J$97,4,FALSE)</f>
        <v>0</v>
      </c>
      <c r="AY127" s="181" t="s">
        <v>2642</v>
      </c>
      <c r="AZ127" s="281" t="s">
        <v>3154</v>
      </c>
      <c r="BA127" s="181" t="str">
        <f>VLOOKUP(BB127,Lookup!$C$4:$D$14,2,FALSE)</f>
        <v>Moderate Improvement</v>
      </c>
      <c r="BB127" s="193">
        <f>VLOOKUP(BC127,Lookup!$G$100:$K$110,5,FALSE)</f>
        <v>3</v>
      </c>
      <c r="BC127" s="181" t="s">
        <v>2644</v>
      </c>
      <c r="BD127" s="281" t="s">
        <v>3212</v>
      </c>
      <c r="BE127" s="181" t="str">
        <f>VLOOKUP(BF127,Lookup!$C$4:$D$14,2,FALSE)</f>
        <v>Substantial Worsening</v>
      </c>
      <c r="BF127" s="193">
        <f>IF(X127=0,0,IF(X127&gt;Lookup!$F$113,-5,IF(X127&gt;Lookup!$F$114,-4,IF(X127&gt;Lookup!$F$115,-3,IF(X127&gt;Lookup!$F$116,-2,IF(X127&gt;Lookup!$F$117,-1,0))))))</f>
        <v>-5</v>
      </c>
      <c r="BG127" s="195" t="str">
        <f>VLOOKUP(BF127,Lookup!$G$113:$H$118,2,FALSE)</f>
        <v>Annual on-farm equipment costs 75% or greater of enterprise annual net income</v>
      </c>
      <c r="BH127" s="281" t="s">
        <v>3525</v>
      </c>
      <c r="BI127" s="181" t="str">
        <f>VLOOKUP(BJ127,Lookup!$C$4:$D$14,2,FALSE)</f>
        <v>Slight Worsening</v>
      </c>
      <c r="BJ127" s="193">
        <f>VLOOKUP(BK127,Lookup!$G$121:$L$131,6,FALSE)</f>
        <v>-1</v>
      </c>
      <c r="BK127" s="181" t="s">
        <v>2640</v>
      </c>
      <c r="BL127" s="281" t="s">
        <v>3564</v>
      </c>
      <c r="BM127" s="181" t="str">
        <f>VLOOKUP(BN127,Lookup!$C$4:$D$14,2,FALSE)</f>
        <v>Slight Worsening</v>
      </c>
      <c r="BN127" s="193">
        <f>VLOOKUP(BO127,Lookup!$G$134:$L$144,6,FALSE)</f>
        <v>-1</v>
      </c>
      <c r="BO127" s="181" t="s">
        <v>3373</v>
      </c>
      <c r="BP127" s="281" t="s">
        <v>3415</v>
      </c>
      <c r="BQ127" s="181" t="str">
        <f>VLOOKUP(BR127,Lookup!$C$4:$D$14,2,FALSE)</f>
        <v>Moderate to Substantial Improvement</v>
      </c>
      <c r="BR127" s="193">
        <f>VLOOKUP(BS127,Lookup!$G$147:$L$157,6,FALSE)</f>
        <v>4</v>
      </c>
      <c r="BS127" s="181" t="s">
        <v>2645</v>
      </c>
      <c r="BT127" s="281" t="s">
        <v>3483</v>
      </c>
      <c r="BU127" s="175" t="s">
        <v>2231</v>
      </c>
    </row>
    <row r="128" spans="1:73" ht="39.950000000000003" customHeight="1" thickBot="1" x14ac:dyDescent="0.25">
      <c r="A128" s="173">
        <f t="shared" si="12"/>
        <v>125</v>
      </c>
      <c r="B128" s="178" t="s">
        <v>1522</v>
      </c>
      <c r="C128" s="179" t="s">
        <v>1597</v>
      </c>
      <c r="D128" s="180">
        <v>570</v>
      </c>
      <c r="E128" s="180" t="s">
        <v>3649</v>
      </c>
      <c r="F128" s="273" t="str">
        <f>VLOOKUP($D128,'Practice Descriptions'!$E$11:$F$186,2,FALSE)</f>
        <v>Controlling the quantity and quality of stormwater runoff.</v>
      </c>
      <c r="G128" s="182">
        <v>15</v>
      </c>
      <c r="H128" s="183">
        <v>2500</v>
      </c>
      <c r="I128" s="184">
        <v>0</v>
      </c>
      <c r="J128" s="184">
        <v>0.1</v>
      </c>
      <c r="K128" s="419">
        <v>1</v>
      </c>
      <c r="L128" s="185" t="str">
        <f t="shared" si="8"/>
        <v/>
      </c>
      <c r="M128" s="184">
        <v>0</v>
      </c>
      <c r="N128" s="186">
        <f>IF(G128=1,H128,PMT(Lookup!$G$4,G128,-H128)+(H128*J128)+(M128*P128))*K128</f>
        <v>492.89503066219402</v>
      </c>
      <c r="O128" s="187" t="s">
        <v>2221</v>
      </c>
      <c r="P128" s="186">
        <f>VLOOKUP($O128,Lookup!$F$9:$I$18,4,FALSE)</f>
        <v>1</v>
      </c>
      <c r="Q128" s="184">
        <v>0</v>
      </c>
      <c r="R128" s="183">
        <v>500</v>
      </c>
      <c r="S128" s="188" t="s">
        <v>3602</v>
      </c>
      <c r="T128" s="186">
        <f t="shared" si="10"/>
        <v>500</v>
      </c>
      <c r="U128" s="189">
        <f t="shared" si="11"/>
        <v>1.0144147716974559</v>
      </c>
      <c r="V128" s="189">
        <f t="shared" si="9"/>
        <v>5</v>
      </c>
      <c r="W128" s="190">
        <f>IF(P128=0,0,IF(Q128+R128=0,0,PV(Lookup!$G$4,G128,-T128)/H128))</f>
        <v>2.0585023853179383</v>
      </c>
      <c r="X128" s="190">
        <f>IF(I128=0,0,PMT(Lookup!$G$4,G128,-(H128*I128*K128))/P128)</f>
        <v>0</v>
      </c>
      <c r="Y128" s="42" t="s">
        <v>963</v>
      </c>
      <c r="Z128" s="192">
        <f>VLOOKUP(Y128,Lookup!$B$4:$C$14,2,FALSE)</f>
        <v>2</v>
      </c>
      <c r="AA128" s="281" t="s">
        <v>227</v>
      </c>
      <c r="AB128" s="282" t="s">
        <v>1072</v>
      </c>
      <c r="AC128" s="181" t="str">
        <f>VLOOKUP(AD128,Lookup!$C$4:$D$14,2,FALSE)</f>
        <v>Substantial Worsening</v>
      </c>
      <c r="AD128" s="193">
        <f>IF(P128/H128&lt;Lookup!$F$33,-5,IF(P128/H128&lt;Lookup!$F$32,-4,IF(P128/H128&lt;Lookup!$F$31,-3,IF(P128/H128&lt;Lookup!$F$30,-2,IF(P128/H128&lt;Lookup!$F$29,-1,-5)))))</f>
        <v>-5</v>
      </c>
      <c r="AE128" s="194" t="str">
        <f>VLOOKUP(AD128,Lookup!$G$28:$J$33,2,FALSE)</f>
        <v>One-time practice implementation cost 5 times or greater enterprise annual net income</v>
      </c>
      <c r="AF128" s="281" t="s">
        <v>1847</v>
      </c>
      <c r="AG128" s="181" t="str">
        <f>VLOOKUP(AH128,Lookup!$C$4:$D$14,2,FALSE)</f>
        <v>Substantial Worsening</v>
      </c>
      <c r="AH128" s="193">
        <f>IF(J128&gt;Lookup!$F$43,-5,IF(J128&gt;Lookup!$F$42,-4,IF(J128&gt;Lookup!$F$41,-3,IF(J128&gt;Lookup!$F$40,-2,IF(J128&gt;Lookup!$F$39,-1,0)))))</f>
        <v>-5</v>
      </c>
      <c r="AI128" s="194" t="str">
        <f>VLOOKUP(AH128,Lookup!$G$38:$J$43,2,FALSE)</f>
        <v>Annual O&amp;M costs greater than 4% of total installation costs</v>
      </c>
      <c r="AJ128" s="281" t="s">
        <v>3015</v>
      </c>
      <c r="AK128" s="181" t="str">
        <f>VLOOKUP(AL128,Lookup!$C$4:$D$14,2,FALSE)</f>
        <v>No Effect</v>
      </c>
      <c r="AL128" s="346">
        <f>IF(N128=0,0,IF(U128&lt;Lookup!$F$58,-5,IF(U128&lt;Lookup!$F$57,-4,IF(U128&lt;Lookup!$F$56,-3,IF(U128&lt;Lookup!$F$55,-2,IF(U128&lt;Lookup!$F$54,-1,IF(U128&lt;Lookup!$F$53,0,IF(U128&lt;Lookup!$F$52,1,IF(U128&lt;Lookup!$F$51,2,IF(U128&lt;Lookup!$F$50,3,IF(U128&lt;Lookup!$F$49,4,5)))))))))))</f>
        <v>0</v>
      </c>
      <c r="AM128" s="194" t="str">
        <f>VLOOKUP(AL128,Lookup!$G$48:$J$58,2,FALSE)</f>
        <v>B/C Ratio .75 to 1.25</v>
      </c>
      <c r="AN128" s="281" t="s">
        <v>3029</v>
      </c>
      <c r="AO128" s="181" t="str">
        <f>VLOOKUP(AP128,Lookup!$C$4:$D$14,2,FALSE)</f>
        <v>No Effect</v>
      </c>
      <c r="AP128" s="193">
        <f>IF(Q128=0,0,IF(Q128&gt;Lookup!$F$63,5,IF(Q128&gt;Lookup!$F$64,4,IF(Q128&gt;Lookup!$F$65,3,IF(Q128&gt;Lookup!$F$66,2,IF(Q128&gt;Lookup!$F$67,1,IF(Q128&gt;Lookup!$F$69,-1,IF(Q128&gt;Lookup!$F$70,-2,IF(Q128&gt;Lookup!$F$71,-3,IF(Q128&gt;Lookup!$F$72,-4,-5))))))))))</f>
        <v>0</v>
      </c>
      <c r="AQ128" s="194" t="str">
        <f>VLOOKUP(AP128,Lookup!$G$63:$J$73,2,FALSE)</f>
        <v>No change in yield</v>
      </c>
      <c r="AR128" s="281" t="s">
        <v>3132</v>
      </c>
      <c r="AS128" s="181" t="str">
        <f>VLOOKUP(AT128,Lookup!$C$4:$D$14,2,FALSE)</f>
        <v>Slight Worsening</v>
      </c>
      <c r="AT128" s="193">
        <f>IF(V128=0,0,IF(V128&lt;Lookup!$F$79,5,IF(V128&lt;Lookup!$F$80,4,IF(V128&lt;Lookup!$F$81,3,IF(V128&lt;Lookup!$F$82,2,IF(V128&lt;Lookup!$F$83,1,IF(V128&lt;Lookup!$F$85,-1,IF(V128&lt;Lookup!$F$86,-2,IF(V128&lt;Lookup!$F$87,-3,IF(V128&lt;Lookup!$F$88,-4,-5))))))))))</f>
        <v>-1</v>
      </c>
      <c r="AU128" s="194" t="str">
        <f>VLOOKUP(AT128,Lookup!$G$79:$J$89,2,FALSE)</f>
        <v>5-6 years to breakeven</v>
      </c>
      <c r="AV128" s="345" t="str">
        <f>VLOOKUP(AT128,Lookup!$G$79:$J$89,4,FALSE)</f>
        <v>Annual benefits moderately greater than annual costs</v>
      </c>
      <c r="AW128" s="181" t="str">
        <f>VLOOKUP(AX128,Lookup!$C$4:$D$14,2,FALSE)</f>
        <v>No Effect</v>
      </c>
      <c r="AX128" s="193">
        <f>VLOOKUP(AY128,Lookup!$G$92:$J$97,4,FALSE)</f>
        <v>0</v>
      </c>
      <c r="AY128" s="181" t="s">
        <v>2642</v>
      </c>
      <c r="AZ128" s="281" t="s">
        <v>3154</v>
      </c>
      <c r="BA128" s="181" t="str">
        <f>VLOOKUP(BB128,Lookup!$C$4:$D$14,2,FALSE)</f>
        <v>No Effect</v>
      </c>
      <c r="BB128" s="193">
        <f>VLOOKUP(BC128,Lookup!$G$100:$K$110,5,FALSE)</f>
        <v>0</v>
      </c>
      <c r="BC128" s="181" t="s">
        <v>2643</v>
      </c>
      <c r="BD128" s="281" t="s">
        <v>3154</v>
      </c>
      <c r="BE128" s="181" t="str">
        <f>VLOOKUP(BF128,Lookup!$C$4:$D$14,2,FALSE)</f>
        <v>No Effect</v>
      </c>
      <c r="BF128" s="193">
        <f>IF(X128=0,0,IF(X128&gt;Lookup!$F$113,-5,IF(X128&gt;Lookup!$F$114,-4,IF(X128&gt;Lookup!$F$115,-3,IF(X128&gt;Lookup!$F$116,-2,IF(X128&gt;Lookup!$F$117,-1,0))))))</f>
        <v>0</v>
      </c>
      <c r="BG128" s="195" t="str">
        <f>VLOOKUP(BF128,Lookup!$G$113:$H$118,2,FALSE)</f>
        <v>No change in on-farm equipment</v>
      </c>
      <c r="BH128" s="281" t="s">
        <v>1841</v>
      </c>
      <c r="BI128" s="181" t="str">
        <f>VLOOKUP(BJ128,Lookup!$C$4:$D$14,2,FALSE)</f>
        <v>Slight Worsening</v>
      </c>
      <c r="BJ128" s="193">
        <f>VLOOKUP(BK128,Lookup!$G$121:$L$131,6,FALSE)</f>
        <v>-1</v>
      </c>
      <c r="BK128" s="181" t="s">
        <v>2640</v>
      </c>
      <c r="BL128" s="281" t="s">
        <v>3565</v>
      </c>
      <c r="BM128" s="181" t="str">
        <f>VLOOKUP(BN128,Lookup!$C$4:$D$14,2,FALSE)</f>
        <v>Slight Worsening</v>
      </c>
      <c r="BN128" s="193">
        <f>VLOOKUP(BO128,Lookup!$G$134:$L$144,6,FALSE)</f>
        <v>-1</v>
      </c>
      <c r="BO128" s="181" t="s">
        <v>3373</v>
      </c>
      <c r="BP128" s="281" t="s">
        <v>3414</v>
      </c>
      <c r="BQ128" s="181" t="str">
        <f>VLOOKUP(BR128,Lookup!$C$4:$D$14,2,FALSE)</f>
        <v>Slight to Moderate Improvement</v>
      </c>
      <c r="BR128" s="193">
        <f>VLOOKUP(BS128,Lookup!$G$147:$L$157,6,FALSE)</f>
        <v>2</v>
      </c>
      <c r="BS128" s="181" t="s">
        <v>2641</v>
      </c>
      <c r="BT128" s="281" t="s">
        <v>3477</v>
      </c>
      <c r="BU128" s="175" t="s">
        <v>2231</v>
      </c>
    </row>
    <row r="129" spans="1:73" ht="39.950000000000003" customHeight="1" thickBot="1" x14ac:dyDescent="0.25">
      <c r="A129" s="173">
        <f t="shared" si="12"/>
        <v>126</v>
      </c>
      <c r="B129" s="178" t="s">
        <v>354</v>
      </c>
      <c r="C129" s="179" t="s">
        <v>1604</v>
      </c>
      <c r="D129" s="180">
        <v>578</v>
      </c>
      <c r="E129" s="180" t="s">
        <v>3647</v>
      </c>
      <c r="F129" s="273" t="str">
        <f>VLOOKUP($D129,'Practice Descriptions'!$E$11:$F$186,2,FALSE)</f>
        <v>A stabilized area or structure constructed across a stream to provide a travel way for people, livestock, equipment, or vehicles.</v>
      </c>
      <c r="G129" s="182">
        <v>10</v>
      </c>
      <c r="H129" s="183">
        <v>5000</v>
      </c>
      <c r="I129" s="184">
        <v>0</v>
      </c>
      <c r="J129" s="184">
        <v>0.1</v>
      </c>
      <c r="K129" s="419">
        <f>IF(E129="No.",1,IF(E129="Ac.",1,(SQRT(VLOOKUP(O129,Lookup!$F$9:$H$18,3,FALSE)))*208/VLOOKUP(O129,Lookup!$F$9:$H$18,3,FALSE)))</f>
        <v>1</v>
      </c>
      <c r="L129" s="185" t="str">
        <f t="shared" si="8"/>
        <v/>
      </c>
      <c r="M129" s="184">
        <v>0</v>
      </c>
      <c r="N129" s="186">
        <f>IF(G129=1,H129,PMT(Lookup!$G$4,G129,-H129)+(H129*J129)+(M129*P129))*K129</f>
        <v>1151.459402841986</v>
      </c>
      <c r="O129" s="181" t="s">
        <v>1260</v>
      </c>
      <c r="P129" s="186">
        <f>VLOOKUP($O129,Lookup!$F$9:$I$18,4,FALSE)</f>
        <v>50</v>
      </c>
      <c r="Q129" s="184">
        <v>0</v>
      </c>
      <c r="R129" s="183">
        <v>1</v>
      </c>
      <c r="S129" s="188" t="s">
        <v>2667</v>
      </c>
      <c r="T129" s="186">
        <f t="shared" si="10"/>
        <v>1</v>
      </c>
      <c r="U129" s="189">
        <f t="shared" si="11"/>
        <v>8.6846309781468635E-4</v>
      </c>
      <c r="V129" s="189">
        <f t="shared" si="9"/>
        <v>0</v>
      </c>
      <c r="W129" s="190">
        <f>IF(P129=0,0,IF(Q129+R129=0,0,PV(Lookup!$G$4,G129,-T129)/H129))</f>
        <v>1.535015068686566E-3</v>
      </c>
      <c r="X129" s="190">
        <f>IF(I129=0,0,PMT(Lookup!$G$4,G129,-(H129*I129*K129))/P129)</f>
        <v>0</v>
      </c>
      <c r="Y129" s="42" t="s">
        <v>963</v>
      </c>
      <c r="Z129" s="192">
        <f>VLOOKUP(Y129,Lookup!$B$4:$C$14,2,FALSE)</f>
        <v>2</v>
      </c>
      <c r="AA129" s="281" t="s">
        <v>227</v>
      </c>
      <c r="AB129" s="282" t="s">
        <v>1072</v>
      </c>
      <c r="AC129" s="181" t="str">
        <f>VLOOKUP(AD129,Lookup!$C$4:$D$14,2,FALSE)</f>
        <v>Substantial Worsening</v>
      </c>
      <c r="AD129" s="193">
        <f>IF(P129/H129&lt;Lookup!$F$33,-5,IF(P129/H129&lt;Lookup!$F$32,-4,IF(P129/H129&lt;Lookup!$F$31,-3,IF(P129/H129&lt;Lookup!$F$30,-2,IF(P129/H129&lt;Lookup!$F$29,-1,-5)))))</f>
        <v>-5</v>
      </c>
      <c r="AE129" s="194" t="str">
        <f>VLOOKUP(AD129,Lookup!$G$28:$J$33,2,FALSE)</f>
        <v>One-time practice implementation cost 5 times or greater enterprise annual net income</v>
      </c>
      <c r="AF129" s="281" t="s">
        <v>1847</v>
      </c>
      <c r="AG129" s="181" t="str">
        <f>VLOOKUP(AH129,Lookup!$C$4:$D$14,2,FALSE)</f>
        <v>Substantial Worsening</v>
      </c>
      <c r="AH129" s="193">
        <f>IF(J129&gt;Lookup!$F$43,-5,IF(J129&gt;Lookup!$F$42,-4,IF(J129&gt;Lookup!$F$41,-3,IF(J129&gt;Lookup!$F$40,-2,IF(J129&gt;Lookup!$F$39,-1,0)))))</f>
        <v>-5</v>
      </c>
      <c r="AI129" s="194" t="str">
        <f>VLOOKUP(AH129,Lookup!$G$38:$J$43,2,FALSE)</f>
        <v>Annual O&amp;M costs greater than 4% of total installation costs</v>
      </c>
      <c r="AJ129" s="281" t="s">
        <v>3003</v>
      </c>
      <c r="AK129" s="181" t="str">
        <f>VLOOKUP(AL129,Lookup!$C$4:$D$14,2,FALSE)</f>
        <v>Substantial Worsening</v>
      </c>
      <c r="AL129" s="346">
        <f>IF(N129=0,0,IF(U129&lt;Lookup!$F$58,-5,IF(U129&lt;Lookup!$F$57,-4,IF(U129&lt;Lookup!$F$56,-3,IF(U129&lt;Lookup!$F$55,-2,IF(U129&lt;Lookup!$F$54,-1,IF(U129&lt;Lookup!$F$53,0,IF(U129&lt;Lookup!$F$52,1,IF(U129&lt;Lookup!$F$51,2,IF(U129&lt;Lookup!$F$50,3,IF(U129&lt;Lookup!$F$49,4,5)))))))))))</f>
        <v>-5</v>
      </c>
      <c r="AM129" s="194" t="str">
        <f>VLOOKUP(AL129,Lookup!$G$48:$J$58,2,FALSE)</f>
        <v>B/C Ratio less than .02</v>
      </c>
      <c r="AN129" s="281" t="s">
        <v>3029</v>
      </c>
      <c r="AO129" s="181" t="str">
        <f>VLOOKUP(AP129,Lookup!$C$4:$D$14,2,FALSE)</f>
        <v>No Effect</v>
      </c>
      <c r="AP129" s="193">
        <f>IF(Q129=0,0,IF(Q129&gt;Lookup!$F$63,5,IF(Q129&gt;Lookup!$F$64,4,IF(Q129&gt;Lookup!$F$65,3,IF(Q129&gt;Lookup!$F$66,2,IF(Q129&gt;Lookup!$F$67,1,IF(Q129&gt;Lookup!$F$69,-1,IF(Q129&gt;Lookup!$F$70,-2,IF(Q129&gt;Lookup!$F$71,-3,IF(Q129&gt;Lookup!$F$72,-4,-5))))))))))</f>
        <v>0</v>
      </c>
      <c r="AQ129" s="194" t="str">
        <f>VLOOKUP(AP129,Lookup!$G$63:$J$73,2,FALSE)</f>
        <v>No change in yield</v>
      </c>
      <c r="AR129" s="281" t="s">
        <v>3081</v>
      </c>
      <c r="AS129" s="181" t="str">
        <f>VLOOKUP(AT129,Lookup!$C$4:$D$14,2,FALSE)</f>
        <v>No Effect</v>
      </c>
      <c r="AT129" s="193">
        <f>IF(V129=0,0,IF(V129&lt;Lookup!$F$79,5,IF(V129&lt;Lookup!$F$80,4,IF(V129&lt;Lookup!$F$81,3,IF(V129&lt;Lookup!$F$82,2,IF(V129&lt;Lookup!$F$83,1,IF(V129&lt;Lookup!$F$85,-1,IF(V129&lt;Lookup!$F$86,-2,IF(V129&lt;Lookup!$F$87,-3,IF(V129&lt;Lookup!$F$88,-4,-5))))))))))</f>
        <v>0</v>
      </c>
      <c r="AU129" s="194" t="str">
        <f>VLOOKUP(AT129,Lookup!$G$79:$J$89,2,FALSE)</f>
        <v>No breakeven</v>
      </c>
      <c r="AV129" s="345" t="str">
        <f>VLOOKUP(AT129,Lookup!$G$79:$J$89,4,FALSE)</f>
        <v>Annual costs greater than annual benefits</v>
      </c>
      <c r="AW129" s="181" t="str">
        <f>VLOOKUP(AX129,Lookup!$C$4:$D$14,2,FALSE)</f>
        <v>No Effect</v>
      </c>
      <c r="AX129" s="193">
        <f>VLOOKUP(AY129,Lookup!$G$92:$J$97,4,FALSE)</f>
        <v>0</v>
      </c>
      <c r="AY129" s="181" t="s">
        <v>2642</v>
      </c>
      <c r="AZ129" s="281" t="s">
        <v>3154</v>
      </c>
      <c r="BA129" s="181" t="str">
        <f>VLOOKUP(BB129,Lookup!$C$4:$D$14,2,FALSE)</f>
        <v>No Effect</v>
      </c>
      <c r="BB129" s="193">
        <f>VLOOKUP(BC129,Lookup!$G$100:$K$110,5,FALSE)</f>
        <v>0</v>
      </c>
      <c r="BC129" s="181" t="s">
        <v>2643</v>
      </c>
      <c r="BD129" s="281" t="s">
        <v>3154</v>
      </c>
      <c r="BE129" s="181" t="str">
        <f>VLOOKUP(BF129,Lookup!$C$4:$D$14,2,FALSE)</f>
        <v>No Effect</v>
      </c>
      <c r="BF129" s="193">
        <f>IF(X129=0,0,IF(X129&gt;Lookup!$F$113,-5,IF(X129&gt;Lookup!$F$114,-4,IF(X129&gt;Lookup!$F$115,-3,IF(X129&gt;Lookup!$F$116,-2,IF(X129&gt;Lookup!$F$117,-1,0))))))</f>
        <v>0</v>
      </c>
      <c r="BG129" s="195" t="str">
        <f>VLOOKUP(BF129,Lookup!$G$113:$H$118,2,FALSE)</f>
        <v>No change in on-farm equipment</v>
      </c>
      <c r="BH129" s="281" t="s">
        <v>1841</v>
      </c>
      <c r="BI129" s="181" t="str">
        <f>VLOOKUP(BJ129,Lookup!$C$4:$D$14,2,FALSE)</f>
        <v>Slight Improvement</v>
      </c>
      <c r="BJ129" s="193">
        <f>VLOOKUP(BK129,Lookup!$G$121:$L$131,6,FALSE)</f>
        <v>1</v>
      </c>
      <c r="BK129" s="181" t="s">
        <v>2638</v>
      </c>
      <c r="BL129" s="281" t="s">
        <v>3333</v>
      </c>
      <c r="BM129" s="181" t="str">
        <f>VLOOKUP(BN129,Lookup!$C$4:$D$14,2,FALSE)</f>
        <v>No Effect</v>
      </c>
      <c r="BN129" s="193">
        <f>VLOOKUP(BO129,Lookup!$G$134:$L$144,6,FALSE)</f>
        <v>0</v>
      </c>
      <c r="BO129" s="181" t="s">
        <v>2646</v>
      </c>
      <c r="BP129" s="281" t="s">
        <v>3154</v>
      </c>
      <c r="BQ129" s="181" t="str">
        <f>VLOOKUP(BR129,Lookup!$C$4:$D$14,2,FALSE)</f>
        <v>Slight to Moderate Improvement</v>
      </c>
      <c r="BR129" s="193">
        <f>VLOOKUP(BS129,Lookup!$G$147:$L$157,6,FALSE)</f>
        <v>2</v>
      </c>
      <c r="BS129" s="181" t="s">
        <v>2641</v>
      </c>
      <c r="BT129" s="281" t="s">
        <v>3484</v>
      </c>
      <c r="BU129" s="175" t="s">
        <v>2231</v>
      </c>
    </row>
    <row r="130" spans="1:73" ht="39.950000000000003" customHeight="1" thickBot="1" x14ac:dyDescent="0.25">
      <c r="A130" s="173">
        <f t="shared" si="12"/>
        <v>127</v>
      </c>
      <c r="B130" s="178" t="s">
        <v>355</v>
      </c>
      <c r="C130" s="179" t="s">
        <v>1466</v>
      </c>
      <c r="D130" s="180">
        <v>395</v>
      </c>
      <c r="E130" s="180" t="s">
        <v>3646</v>
      </c>
      <c r="F130" s="273" t="str">
        <f>VLOOKUP($D130,'Practice Descriptions'!$E$11:$F$186,2,FALSE)</f>
        <v>Maintain, improve or restore physical, chemical and biological functions of a stream, and its associated riparian zone, necessary for meeting the life history requirements of desired aquatic species.</v>
      </c>
      <c r="G130" s="182">
        <v>10</v>
      </c>
      <c r="H130" s="183">
        <v>5000</v>
      </c>
      <c r="I130" s="184">
        <v>0</v>
      </c>
      <c r="J130" s="184">
        <v>0.02</v>
      </c>
      <c r="K130" s="419">
        <f>IF(E130="No.",1,IF(E130="Ac.",1,(SQRT(VLOOKUP(O130,Lookup!$F$9:$H$18,3,FALSE)))*208/VLOOKUP(O130,Lookup!$F$9:$H$18,3,FALSE)))</f>
        <v>1</v>
      </c>
      <c r="L130" s="185" t="str">
        <f t="shared" si="8"/>
        <v/>
      </c>
      <c r="M130" s="184">
        <v>0</v>
      </c>
      <c r="N130" s="186">
        <f>IF(G130=1,H130,PMT(Lookup!$G$4,G130,-H130)+(H130*J130)+(M130*P130))*K130</f>
        <v>751.45940284198593</v>
      </c>
      <c r="O130" s="181" t="s">
        <v>1260</v>
      </c>
      <c r="P130" s="186">
        <f>VLOOKUP($O130,Lookup!$F$9:$I$18,4,FALSE)</f>
        <v>50</v>
      </c>
      <c r="Q130" s="184">
        <v>0</v>
      </c>
      <c r="R130" s="183">
        <v>100</v>
      </c>
      <c r="S130" s="188" t="s">
        <v>3635</v>
      </c>
      <c r="T130" s="186">
        <f t="shared" si="10"/>
        <v>100</v>
      </c>
      <c r="U130" s="189">
        <f t="shared" si="11"/>
        <v>0.13307438781363898</v>
      </c>
      <c r="V130" s="189">
        <f t="shared" si="9"/>
        <v>0</v>
      </c>
      <c r="W130" s="190">
        <f>IF(P130=0,0,IF(Q130+R130=0,0,PV(Lookup!$G$4,G130,-T130)/H130))</f>
        <v>0.1535015068686566</v>
      </c>
      <c r="X130" s="190">
        <f>IF(I130=0,0,PMT(Lookup!$G$4,G130,-(H130*I130*K130))/P130)</f>
        <v>0</v>
      </c>
      <c r="Y130" s="42" t="s">
        <v>963</v>
      </c>
      <c r="Z130" s="192">
        <f>VLOOKUP(Y130,Lookup!$B$4:$C$14,2,FALSE)</f>
        <v>2</v>
      </c>
      <c r="AA130" s="281" t="s">
        <v>227</v>
      </c>
      <c r="AB130" s="282" t="s">
        <v>1072</v>
      </c>
      <c r="AC130" s="181" t="str">
        <f>VLOOKUP(AD130,Lookup!$C$4:$D$14,2,FALSE)</f>
        <v>Substantial Worsening</v>
      </c>
      <c r="AD130" s="193">
        <f>IF(P130/H130&lt;Lookup!$F$33,-5,IF(P130/H130&lt;Lookup!$F$32,-4,IF(P130/H130&lt;Lookup!$F$31,-3,IF(P130/H130&lt;Lookup!$F$30,-2,IF(P130/H130&lt;Lookup!$F$29,-1,-5)))))</f>
        <v>-5</v>
      </c>
      <c r="AE130" s="194" t="str">
        <f>VLOOKUP(AD130,Lookup!$G$28:$J$33,2,FALSE)</f>
        <v>One-time practice implementation cost 5 times or greater enterprise annual net income</v>
      </c>
      <c r="AF130" s="281" t="s">
        <v>1854</v>
      </c>
      <c r="AG130" s="181" t="str">
        <f>VLOOKUP(AH130,Lookup!$C$4:$D$14,2,FALSE)</f>
        <v>Slight to Moderate Worsening</v>
      </c>
      <c r="AH130" s="193">
        <f>IF(J130&gt;Lookup!$F$43,-5,IF(J130&gt;Lookup!$F$42,-4,IF(J130&gt;Lookup!$F$41,-3,IF(J130&gt;Lookup!$F$40,-2,IF(J130&gt;Lookup!$F$39,-1,0)))))</f>
        <v>-2</v>
      </c>
      <c r="AI130" s="194" t="str">
        <f>VLOOKUP(AH130,Lookup!$G$38:$J$43,2,FALSE)</f>
        <v>Annual O&amp;M costs 1 to 2% of total installation costs</v>
      </c>
      <c r="AJ130" s="281" t="s">
        <v>3003</v>
      </c>
      <c r="AK130" s="181" t="str">
        <f>VLOOKUP(AL130,Lookup!$C$4:$D$14,2,FALSE)</f>
        <v>Moderate Worsening</v>
      </c>
      <c r="AL130" s="346">
        <f>IF(N130=0,0,IF(U130&lt;Lookup!$F$58,-5,IF(U130&lt;Lookup!$F$57,-4,IF(U130&lt;Lookup!$F$56,-3,IF(U130&lt;Lookup!$F$55,-2,IF(U130&lt;Lookup!$F$54,-1,IF(U130&lt;Lookup!$F$53,0,IF(U130&lt;Lookup!$F$52,1,IF(U130&lt;Lookup!$F$51,2,IF(U130&lt;Lookup!$F$50,3,IF(U130&lt;Lookup!$F$49,4,5)))))))))))</f>
        <v>-3</v>
      </c>
      <c r="AM130" s="194" t="str">
        <f>VLOOKUP(AL130,Lookup!$G$48:$J$58,2,FALSE)</f>
        <v>B/C Ratio .10 to .25</v>
      </c>
      <c r="AN130" s="281" t="s">
        <v>3029</v>
      </c>
      <c r="AO130" s="181" t="str">
        <f>VLOOKUP(AP130,Lookup!$C$4:$D$14,2,FALSE)</f>
        <v>No Effect</v>
      </c>
      <c r="AP130" s="193">
        <f>IF(Q130=0,0,IF(Q130&gt;Lookup!$F$63,5,IF(Q130&gt;Lookup!$F$64,4,IF(Q130&gt;Lookup!$F$65,3,IF(Q130&gt;Lookup!$F$66,2,IF(Q130&gt;Lookup!$F$67,1,IF(Q130&gt;Lookup!$F$69,-1,IF(Q130&gt;Lookup!$F$70,-2,IF(Q130&gt;Lookup!$F$71,-3,IF(Q130&gt;Lookup!$F$72,-4,-5))))))))))</f>
        <v>0</v>
      </c>
      <c r="AQ130" s="194" t="str">
        <f>VLOOKUP(AP130,Lookup!$G$63:$J$73,2,FALSE)</f>
        <v>No change in yield</v>
      </c>
      <c r="AR130" s="281" t="s">
        <v>3081</v>
      </c>
      <c r="AS130" s="181" t="str">
        <f>VLOOKUP(AT130,Lookup!$C$4:$D$14,2,FALSE)</f>
        <v>No Effect</v>
      </c>
      <c r="AT130" s="193">
        <f>IF(V130=0,0,IF(V130&lt;Lookup!$F$79,5,IF(V130&lt;Lookup!$F$80,4,IF(V130&lt;Lookup!$F$81,3,IF(V130&lt;Lookup!$F$82,2,IF(V130&lt;Lookup!$F$83,1,IF(V130&lt;Lookup!$F$85,-1,IF(V130&lt;Lookup!$F$86,-2,IF(V130&lt;Lookup!$F$87,-3,IF(V130&lt;Lookup!$F$88,-4,-5))))))))))</f>
        <v>0</v>
      </c>
      <c r="AU130" s="194" t="str">
        <f>VLOOKUP(AT130,Lookup!$G$79:$J$89,2,FALSE)</f>
        <v>No breakeven</v>
      </c>
      <c r="AV130" s="345" t="str">
        <f>VLOOKUP(AT130,Lookup!$G$79:$J$89,4,FALSE)</f>
        <v>Annual costs greater than annual benefits</v>
      </c>
      <c r="AW130" s="181" t="str">
        <f>VLOOKUP(AX130,Lookup!$C$4:$D$14,2,FALSE)</f>
        <v>No Effect</v>
      </c>
      <c r="AX130" s="193">
        <f>VLOOKUP(AY130,Lookup!$G$92:$J$97,4,FALSE)</f>
        <v>0</v>
      </c>
      <c r="AY130" s="181" t="s">
        <v>2642</v>
      </c>
      <c r="AZ130" s="281" t="s">
        <v>3154</v>
      </c>
      <c r="BA130" s="181" t="str">
        <f>VLOOKUP(BB130,Lookup!$C$4:$D$14,2,FALSE)</f>
        <v>No Effect</v>
      </c>
      <c r="BB130" s="193">
        <f>VLOOKUP(BC130,Lookup!$G$100:$K$110,5,FALSE)</f>
        <v>0</v>
      </c>
      <c r="BC130" s="181" t="s">
        <v>2643</v>
      </c>
      <c r="BD130" s="281" t="s">
        <v>3154</v>
      </c>
      <c r="BE130" s="181" t="str">
        <f>VLOOKUP(BF130,Lookup!$C$4:$D$14,2,FALSE)</f>
        <v>No Effect</v>
      </c>
      <c r="BF130" s="193">
        <f>IF(X130=0,0,IF(X130&gt;Lookup!$F$113,-5,IF(X130&gt;Lookup!$F$114,-4,IF(X130&gt;Lookup!$F$115,-3,IF(X130&gt;Lookup!$F$116,-2,IF(X130&gt;Lookup!$F$117,-1,0))))))</f>
        <v>0</v>
      </c>
      <c r="BG130" s="195" t="str">
        <f>VLOOKUP(BF130,Lookup!$G$113:$H$118,2,FALSE)</f>
        <v>No change in on-farm equipment</v>
      </c>
      <c r="BH130" s="281" t="s">
        <v>1841</v>
      </c>
      <c r="BI130" s="181" t="str">
        <f>VLOOKUP(BJ130,Lookup!$C$4:$D$14,2,FALSE)</f>
        <v>Slight Worsening</v>
      </c>
      <c r="BJ130" s="193">
        <f>VLOOKUP(BK130,Lookup!$G$121:$L$131,6,FALSE)</f>
        <v>-1</v>
      </c>
      <c r="BK130" s="181" t="s">
        <v>2640</v>
      </c>
      <c r="BL130" s="281" t="s">
        <v>3335</v>
      </c>
      <c r="BM130" s="181" t="str">
        <f>VLOOKUP(BN130,Lookup!$C$4:$D$14,2,FALSE)</f>
        <v>Slight to Moderate Worsening</v>
      </c>
      <c r="BN130" s="193">
        <f>VLOOKUP(BO130,Lookup!$G$134:$L$144,6,FALSE)</f>
        <v>-2</v>
      </c>
      <c r="BO130" s="181" t="s">
        <v>3374</v>
      </c>
      <c r="BP130" s="281" t="s">
        <v>3415</v>
      </c>
      <c r="BQ130" s="181" t="str">
        <f>VLOOKUP(BR130,Lookup!$C$4:$D$14,2,FALSE)</f>
        <v>Slight to Moderate Improvement</v>
      </c>
      <c r="BR130" s="193">
        <f>VLOOKUP(BS130,Lookup!$G$147:$L$157,6,FALSE)</f>
        <v>2</v>
      </c>
      <c r="BS130" s="181" t="s">
        <v>2641</v>
      </c>
      <c r="BT130" s="281" t="s">
        <v>3566</v>
      </c>
      <c r="BU130" s="175" t="s">
        <v>2231</v>
      </c>
    </row>
    <row r="131" spans="1:73" ht="39.950000000000003" customHeight="1" thickBot="1" x14ac:dyDescent="0.25">
      <c r="A131" s="173">
        <f t="shared" si="12"/>
        <v>128</v>
      </c>
      <c r="B131" s="178" t="s">
        <v>356</v>
      </c>
      <c r="C131" s="179" t="s">
        <v>1606</v>
      </c>
      <c r="D131" s="180">
        <v>580</v>
      </c>
      <c r="E131" s="180" t="s">
        <v>1944</v>
      </c>
      <c r="F131" s="273" t="str">
        <f>VLOOKUP($D131,'Practice Descriptions'!$E$11:$F$186,2,FALSE)</f>
        <v>Treatment(s) used to stabilize and protect banks of streams or constructed channels, and shorelines of lakes, reservoirs, or estuaries.</v>
      </c>
      <c r="G131" s="182">
        <v>20</v>
      </c>
      <c r="H131" s="183">
        <v>30</v>
      </c>
      <c r="I131" s="184">
        <v>0</v>
      </c>
      <c r="J131" s="184">
        <v>0.1</v>
      </c>
      <c r="K131" s="419">
        <f>IF(E131="No.",1,IF(E131="Ac.",1,(SQRT(VLOOKUP(O131,Lookup!$F$9:$H$18,3,FALSE)))*208/VLOOKUP(O131,Lookup!$F$9:$H$18,3,FALSE)))</f>
        <v>16.443843832875572</v>
      </c>
      <c r="L131" s="185" t="str">
        <f t="shared" si="8"/>
        <v>Assume length 1 side of square field (208'/Ac)</v>
      </c>
      <c r="M131" s="184">
        <v>0</v>
      </c>
      <c r="N131" s="186">
        <f>IF(G131=1,H131,PMT(Lookup!$G$4,G131,-H131)+(H131*J131)+(M131*P131))*K131</f>
        <v>89.337061354899305</v>
      </c>
      <c r="O131" s="181" t="s">
        <v>1260</v>
      </c>
      <c r="P131" s="186">
        <f>VLOOKUP($O131,Lookup!$F$9:$I$18,4,FALSE)</f>
        <v>50</v>
      </c>
      <c r="Q131" s="184">
        <v>0.1</v>
      </c>
      <c r="R131" s="183">
        <v>0</v>
      </c>
      <c r="S131" s="188" t="s">
        <v>3635</v>
      </c>
      <c r="T131" s="186">
        <f t="shared" si="10"/>
        <v>5</v>
      </c>
      <c r="U131" s="189">
        <f t="shared" si="11"/>
        <v>5.59678136281768E-2</v>
      </c>
      <c r="V131" s="189">
        <f t="shared" si="9"/>
        <v>0</v>
      </c>
      <c r="W131" s="190">
        <f>IF(P131=0,0,IF(Q131+R131=0,0,PV(Lookup!$G$4,G131,-T131)/H131))</f>
        <v>2.0551963555979862</v>
      </c>
      <c r="X131" s="190">
        <f>IF(I131=0,0,PMT(Lookup!$G$4,G131,-(H131*I131*K131))/P131)</f>
        <v>0</v>
      </c>
      <c r="Y131" s="42" t="s">
        <v>963</v>
      </c>
      <c r="Z131" s="192">
        <f>VLOOKUP(Y131,Lookup!$B$4:$C$14,2,FALSE)</f>
        <v>2</v>
      </c>
      <c r="AA131" s="281" t="s">
        <v>227</v>
      </c>
      <c r="AB131" s="282" t="s">
        <v>1072</v>
      </c>
      <c r="AC131" s="181" t="str">
        <f>VLOOKUP(AD131,Lookup!$C$4:$D$14,2,FALSE)</f>
        <v>Slight to Moderate Worsening</v>
      </c>
      <c r="AD131" s="193">
        <f>IF(P131/H131&lt;Lookup!$F$33,-5,IF(P131/H131&lt;Lookup!$F$32,-4,IF(P131/H131&lt;Lookup!$F$31,-3,IF(P131/H131&lt;Lookup!$F$30,-2,IF(P131/H131&lt;Lookup!$F$29,-1,-5)))))</f>
        <v>-2</v>
      </c>
      <c r="AE131" s="194" t="str">
        <f>VLOOKUP(AD131,Lookup!$G$28:$J$33,2,FALSE)</f>
        <v>One-time practice implementation cost 5 to 100% of enterprise annual net income</v>
      </c>
      <c r="AF131" s="281" t="s">
        <v>1842</v>
      </c>
      <c r="AG131" s="181" t="str">
        <f>VLOOKUP(AH131,Lookup!$C$4:$D$14,2,FALSE)</f>
        <v>Substantial Worsening</v>
      </c>
      <c r="AH131" s="193">
        <f>IF(J131&gt;Lookup!$F$43,-5,IF(J131&gt;Lookup!$F$42,-4,IF(J131&gt;Lookup!$F$41,-3,IF(J131&gt;Lookup!$F$40,-2,IF(J131&gt;Lookup!$F$39,-1,0)))))</f>
        <v>-5</v>
      </c>
      <c r="AI131" s="194" t="str">
        <f>VLOOKUP(AH131,Lookup!$G$38:$J$43,2,FALSE)</f>
        <v>Annual O&amp;M costs greater than 4% of total installation costs</v>
      </c>
      <c r="AJ131" s="281" t="s">
        <v>3002</v>
      </c>
      <c r="AK131" s="181" t="str">
        <f>VLOOKUP(AL131,Lookup!$C$4:$D$14,2,FALSE)</f>
        <v>Moderate to Substantial Worsening</v>
      </c>
      <c r="AL131" s="346">
        <f>IF(N131=0,0,IF(U131&lt;Lookup!$F$58,-5,IF(U131&lt;Lookup!$F$57,-4,IF(U131&lt;Lookup!$F$56,-3,IF(U131&lt;Lookup!$F$55,-2,IF(U131&lt;Lookup!$F$54,-1,IF(U131&lt;Lookup!$F$53,0,IF(U131&lt;Lookup!$F$52,1,IF(U131&lt;Lookup!$F$51,2,IF(U131&lt;Lookup!$F$50,3,IF(U131&lt;Lookup!$F$49,4,5)))))))))))</f>
        <v>-4</v>
      </c>
      <c r="AM131" s="194" t="str">
        <f>VLOOKUP(AL131,Lookup!$G$48:$J$58,2,FALSE)</f>
        <v>B/C Ratio .05 to .10</v>
      </c>
      <c r="AN131" s="281" t="s">
        <v>3029</v>
      </c>
      <c r="AO131" s="181" t="str">
        <f>VLOOKUP(AP131,Lookup!$C$4:$D$14,2,FALSE)</f>
        <v>Slight to Moderate Improvement</v>
      </c>
      <c r="AP131" s="193">
        <f>IF(Q131=0,0,IF(Q131&gt;Lookup!$F$63,5,IF(Q131&gt;Lookup!$F$64,4,IF(Q131&gt;Lookup!$F$65,3,IF(Q131&gt;Lookup!$F$66,2,IF(Q131&gt;Lookup!$F$67,1,IF(Q131&gt;Lookup!$F$69,-1,IF(Q131&gt;Lookup!$F$70,-2,IF(Q131&gt;Lookup!$F$71,-3,IF(Q131&gt;Lookup!$F$72,-4,-5))))))))))</f>
        <v>2</v>
      </c>
      <c r="AQ131" s="194" t="str">
        <f>VLOOKUP(AP131,Lookup!$G$63:$J$73,2,FALSE)</f>
        <v>5 to 10% yield increase</v>
      </c>
      <c r="AR131" s="281" t="s">
        <v>3134</v>
      </c>
      <c r="AS131" s="181" t="str">
        <f>VLOOKUP(AT131,Lookup!$C$4:$D$14,2,FALSE)</f>
        <v>No Effect</v>
      </c>
      <c r="AT131" s="193">
        <f>IF(V131=0,0,IF(V131&lt;Lookup!$F$79,5,IF(V131&lt;Lookup!$F$80,4,IF(V131&lt;Lookup!$F$81,3,IF(V131&lt;Lookup!$F$82,2,IF(V131&lt;Lookup!$F$83,1,IF(V131&lt;Lookup!$F$85,-1,IF(V131&lt;Lookup!$F$86,-2,IF(V131&lt;Lookup!$F$87,-3,IF(V131&lt;Lookup!$F$88,-4,-5))))))))))</f>
        <v>0</v>
      </c>
      <c r="AU131" s="194" t="str">
        <f>VLOOKUP(AT131,Lookup!$G$79:$J$89,2,FALSE)</f>
        <v>No breakeven</v>
      </c>
      <c r="AV131" s="345" t="str">
        <f>VLOOKUP(AT131,Lookup!$G$79:$J$89,4,FALSE)</f>
        <v>Annual costs greater than annual benefits</v>
      </c>
      <c r="AW131" s="181" t="str">
        <f>VLOOKUP(AX131,Lookup!$C$4:$D$14,2,FALSE)</f>
        <v>Slight Improvement</v>
      </c>
      <c r="AX131" s="193">
        <f>VLOOKUP(AY131,Lookup!$G$92:$J$97,4,FALSE)</f>
        <v>1</v>
      </c>
      <c r="AY131" s="181" t="s">
        <v>2636</v>
      </c>
      <c r="AZ131" s="281" t="s">
        <v>3562</v>
      </c>
      <c r="BA131" s="181" t="str">
        <f>VLOOKUP(BB131,Lookup!$C$4:$D$14,2,FALSE)</f>
        <v>Slight Worsening</v>
      </c>
      <c r="BB131" s="193">
        <f>VLOOKUP(BC131,Lookup!$G$100:$K$110,5,FALSE)</f>
        <v>-1</v>
      </c>
      <c r="BC131" s="181" t="s">
        <v>2637</v>
      </c>
      <c r="BD131" s="281" t="s">
        <v>3213</v>
      </c>
      <c r="BE131" s="181" t="str">
        <f>VLOOKUP(BF131,Lookup!$C$4:$D$14,2,FALSE)</f>
        <v>No Effect</v>
      </c>
      <c r="BF131" s="193">
        <f>IF(X131=0,0,IF(X131&gt;Lookup!$F$113,-5,IF(X131&gt;Lookup!$F$114,-4,IF(X131&gt;Lookup!$F$115,-3,IF(X131&gt;Lookup!$F$116,-2,IF(X131&gt;Lookup!$F$117,-1,0))))))</f>
        <v>0</v>
      </c>
      <c r="BG131" s="195" t="str">
        <f>VLOOKUP(BF131,Lookup!$G$113:$H$118,2,FALSE)</f>
        <v>No change in on-farm equipment</v>
      </c>
      <c r="BH131" s="281" t="s">
        <v>1841</v>
      </c>
      <c r="BI131" s="181" t="str">
        <f>VLOOKUP(BJ131,Lookup!$C$4:$D$14,2,FALSE)</f>
        <v>Slight Improvement</v>
      </c>
      <c r="BJ131" s="193">
        <f>VLOOKUP(BK131,Lookup!$G$121:$L$131,6,FALSE)</f>
        <v>1</v>
      </c>
      <c r="BK131" s="181" t="s">
        <v>2638</v>
      </c>
      <c r="BL131" s="281" t="s">
        <v>3334</v>
      </c>
      <c r="BM131" s="181" t="str">
        <f>VLOOKUP(BN131,Lookup!$C$4:$D$14,2,FALSE)</f>
        <v>Slight Worsening</v>
      </c>
      <c r="BN131" s="193">
        <f>VLOOKUP(BO131,Lookup!$G$134:$L$144,6,FALSE)</f>
        <v>-1</v>
      </c>
      <c r="BO131" s="181" t="s">
        <v>3373</v>
      </c>
      <c r="BP131" s="281" t="s">
        <v>3415</v>
      </c>
      <c r="BQ131" s="181" t="str">
        <f>VLOOKUP(BR131,Lookup!$C$4:$D$14,2,FALSE)</f>
        <v>Slight to Moderate Improvement</v>
      </c>
      <c r="BR131" s="193">
        <f>VLOOKUP(BS131,Lookup!$G$147:$L$157,6,FALSE)</f>
        <v>2</v>
      </c>
      <c r="BS131" s="181" t="s">
        <v>2641</v>
      </c>
      <c r="BT131" s="281" t="s">
        <v>3567</v>
      </c>
      <c r="BU131" s="175" t="s">
        <v>2231</v>
      </c>
    </row>
    <row r="132" spans="1:73" ht="39.950000000000003" customHeight="1" thickBot="1" x14ac:dyDescent="0.25">
      <c r="A132" s="173">
        <f t="shared" si="12"/>
        <v>129</v>
      </c>
      <c r="B132" s="178" t="s">
        <v>357</v>
      </c>
      <c r="C132" s="179" t="s">
        <v>1605</v>
      </c>
      <c r="D132" s="180">
        <v>585</v>
      </c>
      <c r="E132" s="180" t="s">
        <v>3646</v>
      </c>
      <c r="F132" s="273" t="e">
        <f>VLOOKUP($D132,'Practice Descriptions'!$E$11:$F$186,2,FALSE)</f>
        <v>#N/A</v>
      </c>
      <c r="G132" s="182">
        <v>5</v>
      </c>
      <c r="H132" s="183">
        <v>15</v>
      </c>
      <c r="I132" s="184">
        <v>0</v>
      </c>
      <c r="J132" s="184">
        <v>0.01</v>
      </c>
      <c r="K132" s="419">
        <f>IF(E132="No.",1,IF(E132="Ac.",1,(SQRT(VLOOKUP(O132,Lookup!$F$9:$H$18,3,FALSE)))*208/VLOOKUP(O132,Lookup!$F$9:$H$18,3,FALSE)))</f>
        <v>1</v>
      </c>
      <c r="L132" s="185" t="str">
        <f t="shared" si="8"/>
        <v/>
      </c>
      <c r="M132" s="184">
        <v>0</v>
      </c>
      <c r="N132" s="186">
        <f>IF(G132=1,H132,PMT(Lookup!$G$4,G132,-H132)+(H132*J132)+(M132*P132))*K132</f>
        <v>3.6266022177167208</v>
      </c>
      <c r="O132" s="187" t="s">
        <v>1110</v>
      </c>
      <c r="P132" s="186">
        <f>VLOOKUP($O132,Lookup!$F$9:$I$18,4,FALSE)</f>
        <v>300</v>
      </c>
      <c r="Q132" s="184">
        <v>0.02</v>
      </c>
      <c r="R132" s="183">
        <v>1</v>
      </c>
      <c r="S132" s="188" t="s">
        <v>3639</v>
      </c>
      <c r="T132" s="186">
        <f t="shared" si="10"/>
        <v>7</v>
      </c>
      <c r="U132" s="189">
        <f t="shared" si="11"/>
        <v>1.930181359787273</v>
      </c>
      <c r="V132" s="189">
        <f t="shared" si="9"/>
        <v>2.1428571428571428</v>
      </c>
      <c r="W132" s="190">
        <f>IF(P132=0,0,IF(Q132+R132=0,0,PV(Lookup!$G$4,G132,-T132)/H132))</f>
        <v>2.013460143449282</v>
      </c>
      <c r="X132" s="190">
        <f>IF(I132=0,0,PMT(Lookup!$G$4,G132,-(H132*I132*K132))/P132)</f>
        <v>0</v>
      </c>
      <c r="Y132" s="42" t="s">
        <v>986</v>
      </c>
      <c r="Z132" s="192">
        <f>VLOOKUP(Y132,Lookup!$B$4:$C$14,2,FALSE)</f>
        <v>0</v>
      </c>
      <c r="AA132" s="281" t="s">
        <v>2759</v>
      </c>
      <c r="AB132" s="282" t="s">
        <v>1072</v>
      </c>
      <c r="AC132" s="181" t="str">
        <f>VLOOKUP(AD132,Lookup!$C$4:$D$14,2,FALSE)</f>
        <v>Slight Worsening</v>
      </c>
      <c r="AD132" s="193">
        <f>IF(P132/H132&lt;Lookup!$F$33,-5,IF(P132/H132&lt;Lookup!$F$32,-4,IF(P132/H132&lt;Lookup!$F$31,-3,IF(P132/H132&lt;Lookup!$F$30,-2,IF(P132/H132&lt;Lookup!$F$29,-1,-5)))))</f>
        <v>-1</v>
      </c>
      <c r="AE132" s="194" t="str">
        <f>VLOOKUP(AD132,Lookup!$G$28:$J$33,2,FALSE)</f>
        <v>One-time practice implementation cost 5% or less of enterprise annual net income</v>
      </c>
      <c r="AF132" s="281" t="s">
        <v>1863</v>
      </c>
      <c r="AG132" s="181" t="str">
        <f>VLOOKUP(AH132,Lookup!$C$4:$D$14,2,FALSE)</f>
        <v>Slight Worsening</v>
      </c>
      <c r="AH132" s="193">
        <f>IF(J132&gt;Lookup!$F$43,-5,IF(J132&gt;Lookup!$F$42,-4,IF(J132&gt;Lookup!$F$41,-3,IF(J132&gt;Lookup!$F$40,-2,IF(J132&gt;Lookup!$F$39,-1,0)))))</f>
        <v>-1</v>
      </c>
      <c r="AI132" s="194" t="str">
        <f>VLOOKUP(AH132,Lookup!$G$38:$J$43,2,FALSE)</f>
        <v>Annual O&amp;M costs less than 1% of total installation costs</v>
      </c>
      <c r="AJ132" s="281" t="s">
        <v>2978</v>
      </c>
      <c r="AK132" s="181" t="str">
        <f>VLOOKUP(AL132,Lookup!$C$4:$D$14,2,FALSE)</f>
        <v>Moderate Improvement</v>
      </c>
      <c r="AL132" s="346">
        <f>IF(N132=0,0,IF(U132&lt;Lookup!$F$58,-5,IF(U132&lt;Lookup!$F$57,-4,IF(U132&lt;Lookup!$F$56,-3,IF(U132&lt;Lookup!$F$55,-2,IF(U132&lt;Lookup!$F$54,-1,IF(U132&lt;Lookup!$F$53,0,IF(U132&lt;Lookup!$F$52,1,IF(U132&lt;Lookup!$F$51,2,IF(U132&lt;Lookup!$F$50,3,IF(U132&lt;Lookup!$F$49,4,5)))))))))))</f>
        <v>3</v>
      </c>
      <c r="AM132" s="194" t="str">
        <f>VLOOKUP(AL132,Lookup!$G$48:$J$58,2,FALSE)</f>
        <v>B/C Ratio 1.75 to 2.00</v>
      </c>
      <c r="AN132" s="281" t="s">
        <v>3041</v>
      </c>
      <c r="AO132" s="181" t="str">
        <f>VLOOKUP(AP132,Lookup!$C$4:$D$14,2,FALSE)</f>
        <v>Slight Improvement</v>
      </c>
      <c r="AP132" s="193">
        <f>IF(Q132=0,0,IF(Q132&gt;Lookup!$F$63,5,IF(Q132&gt;Lookup!$F$64,4,IF(Q132&gt;Lookup!$F$65,3,IF(Q132&gt;Lookup!$F$66,2,IF(Q132&gt;Lookup!$F$67,1,IF(Q132&gt;Lookup!$F$69,-1,IF(Q132&gt;Lookup!$F$70,-2,IF(Q132&gt;Lookup!$F$71,-3,IF(Q132&gt;Lookup!$F$72,-4,-5))))))))))</f>
        <v>1</v>
      </c>
      <c r="AQ132" s="194" t="str">
        <f>VLOOKUP(AP132,Lookup!$G$63:$J$73,2,FALSE)</f>
        <v>5% or less yield increase</v>
      </c>
      <c r="AR132" s="281" t="s">
        <v>3133</v>
      </c>
      <c r="AS132" s="181" t="str">
        <f>VLOOKUP(AT132,Lookup!$C$4:$D$14,2,FALSE)</f>
        <v>Moderate Improvement</v>
      </c>
      <c r="AT132" s="193">
        <f>IF(V132=0,0,IF(V132&lt;Lookup!$F$79,5,IF(V132&lt;Lookup!$F$80,4,IF(V132&lt;Lookup!$F$81,3,IF(V132&lt;Lookup!$F$82,2,IF(V132&lt;Lookup!$F$83,1,IF(V132&lt;Lookup!$F$85,-1,IF(V132&lt;Lookup!$F$86,-2,IF(V132&lt;Lookup!$F$87,-3,IF(V132&lt;Lookup!$F$88,-4,-5))))))))))</f>
        <v>3</v>
      </c>
      <c r="AU132" s="194" t="str">
        <f>VLOOKUP(AT132,Lookup!$G$79:$J$89,2,FALSE)</f>
        <v>2-3 years to breakeven</v>
      </c>
      <c r="AV132" s="345" t="str">
        <f>VLOOKUP(AT132,Lookup!$G$79:$J$89,4,FALSE)</f>
        <v>Annual benefits significantly greater than annual costs</v>
      </c>
      <c r="AW132" s="181" t="str">
        <f>VLOOKUP(AX132,Lookup!$C$4:$D$14,2,FALSE)</f>
        <v>No Effect</v>
      </c>
      <c r="AX132" s="193">
        <f>VLOOKUP(AY132,Lookup!$G$92:$J$97,4,FALSE)</f>
        <v>0</v>
      </c>
      <c r="AY132" s="181" t="s">
        <v>2642</v>
      </c>
      <c r="AZ132" s="281" t="s">
        <v>3154</v>
      </c>
      <c r="BA132" s="181" t="str">
        <f>VLOOKUP(BB132,Lookup!$C$4:$D$14,2,FALSE)</f>
        <v>Slight Worsening</v>
      </c>
      <c r="BB132" s="193">
        <f>VLOOKUP(BC132,Lookup!$G$100:$K$110,5,FALSE)</f>
        <v>-1</v>
      </c>
      <c r="BC132" s="181" t="s">
        <v>2637</v>
      </c>
      <c r="BD132" s="281" t="s">
        <v>3214</v>
      </c>
      <c r="BE132" s="181" t="str">
        <f>VLOOKUP(BF132,Lookup!$C$4:$D$14,2,FALSE)</f>
        <v>No Effect</v>
      </c>
      <c r="BF132" s="193">
        <f>IF(X132=0,0,IF(X132&gt;Lookup!$F$113,-5,IF(X132&gt;Lookup!$F$114,-4,IF(X132&gt;Lookup!$F$115,-3,IF(X132&gt;Lookup!$F$116,-2,IF(X132&gt;Lookup!$F$117,-1,0))))))</f>
        <v>0</v>
      </c>
      <c r="BG132" s="195" t="str">
        <f>VLOOKUP(BF132,Lookup!$G$113:$H$118,2,FALSE)</f>
        <v>No change in on-farm equipment</v>
      </c>
      <c r="BH132" s="281" t="s">
        <v>1849</v>
      </c>
      <c r="BI132" s="181" t="str">
        <f>VLOOKUP(BJ132,Lookup!$C$4:$D$14,2,FALSE)</f>
        <v>Slight Worsening</v>
      </c>
      <c r="BJ132" s="193">
        <f>VLOOKUP(BK132,Lookup!$G$121:$L$131,6,FALSE)</f>
        <v>-1</v>
      </c>
      <c r="BK132" s="181" t="s">
        <v>2640</v>
      </c>
      <c r="BL132" s="281" t="s">
        <v>3336</v>
      </c>
      <c r="BM132" s="181" t="str">
        <f>VLOOKUP(BN132,Lookup!$C$4:$D$14,2,FALSE)</f>
        <v>Slight to Moderate Worsening</v>
      </c>
      <c r="BN132" s="193">
        <f>VLOOKUP(BO132,Lookup!$G$134:$L$144,6,FALSE)</f>
        <v>-2</v>
      </c>
      <c r="BO132" s="181" t="s">
        <v>3374</v>
      </c>
      <c r="BP132" s="281" t="s">
        <v>3409</v>
      </c>
      <c r="BQ132" s="181" t="str">
        <f>VLOOKUP(BR132,Lookup!$C$4:$D$14,2,FALSE)</f>
        <v>Slight Worsening</v>
      </c>
      <c r="BR132" s="193">
        <f>VLOOKUP(BS132,Lookup!$G$147:$L$157,6,FALSE)</f>
        <v>-1</v>
      </c>
      <c r="BS132" s="181" t="s">
        <v>2658</v>
      </c>
      <c r="BT132" s="281" t="s">
        <v>3558</v>
      </c>
      <c r="BU132" s="175" t="s">
        <v>2231</v>
      </c>
    </row>
    <row r="133" spans="1:73" ht="39.950000000000003" customHeight="1" thickBot="1" x14ac:dyDescent="0.25">
      <c r="A133" s="173">
        <f>+A132+1</f>
        <v>130</v>
      </c>
      <c r="B133" s="178" t="s">
        <v>358</v>
      </c>
      <c r="C133" s="179" t="s">
        <v>1606</v>
      </c>
      <c r="D133" s="180">
        <v>587</v>
      </c>
      <c r="E133" s="180" t="s">
        <v>3647</v>
      </c>
      <c r="F133" s="273" t="str">
        <f>VLOOKUP($D133,'Practice Descriptions'!$E$11:$F$186,2,FALSE)</f>
        <v>A structure in a water management system that conveys water, controls the direction or rate of flow, maintains a desired water surface elevation or measures water.</v>
      </c>
      <c r="G133" s="182">
        <v>20</v>
      </c>
      <c r="H133" s="183">
        <v>10000</v>
      </c>
      <c r="I133" s="184">
        <v>0.25</v>
      </c>
      <c r="J133" s="184">
        <v>0.01</v>
      </c>
      <c r="K133" s="419">
        <f>IF(E133="No.",1,IF(E133="Ac.",1,(SQRT(VLOOKUP(O133,Lookup!$F$9:$H$18,3,FALSE)))*208/VLOOKUP(O133,Lookup!$F$9:$H$18,3,FALSE)))</f>
        <v>1</v>
      </c>
      <c r="L133" s="185" t="str">
        <f t="shared" si="8"/>
        <v/>
      </c>
      <c r="M133" s="184">
        <v>0</v>
      </c>
      <c r="N133" s="186">
        <f>IF(G133=1,H133,PMT(Lookup!$G$4,G133,-H133)+(H133*J133)+(M133*P133))*K133</f>
        <v>910.95252145955078</v>
      </c>
      <c r="O133" s="187" t="s">
        <v>1110</v>
      </c>
      <c r="P133" s="186">
        <f>VLOOKUP($O133,Lookup!$F$9:$I$18,4,FALSE)</f>
        <v>300</v>
      </c>
      <c r="Q133" s="184">
        <v>0.03</v>
      </c>
      <c r="R133" s="183">
        <v>2</v>
      </c>
      <c r="S133" s="188" t="s">
        <v>3604</v>
      </c>
      <c r="T133" s="186">
        <f t="shared" si="10"/>
        <v>11</v>
      </c>
      <c r="U133" s="189">
        <f t="shared" si="11"/>
        <v>1.2075272575540519E-2</v>
      </c>
      <c r="V133" s="189">
        <f t="shared" si="9"/>
        <v>0</v>
      </c>
      <c r="W133" s="190">
        <f>IF(P133=0,0,IF(Q133+R133=0,0,PV(Lookup!$G$4,G133,-T133)/H133))</f>
        <v>1.3564295946946709E-2</v>
      </c>
      <c r="X133" s="190">
        <f>IF(I133=0,0,PMT(Lookup!$G$4,G133,-(H133*I133*K133))/P133)</f>
        <v>0.67579376788295897</v>
      </c>
      <c r="Y133" s="42" t="s">
        <v>963</v>
      </c>
      <c r="Z133" s="192">
        <f>VLOOKUP(Y133,Lookup!$B$4:$C$14,2,FALSE)</f>
        <v>2</v>
      </c>
      <c r="AA133" s="281" t="s">
        <v>227</v>
      </c>
      <c r="AB133" s="282" t="s">
        <v>1072</v>
      </c>
      <c r="AC133" s="181" t="str">
        <f>VLOOKUP(AD133,Lookup!$C$4:$D$14,2,FALSE)</f>
        <v>Substantial Worsening</v>
      </c>
      <c r="AD133" s="193">
        <f>IF(P133/H133&lt;Lookup!$F$33,-5,IF(P133/H133&lt;Lookup!$F$32,-4,IF(P133/H133&lt;Lookup!$F$31,-3,IF(P133/H133&lt;Lookup!$F$30,-2,IF(P133/H133&lt;Lookup!$F$29,-1,-5)))))</f>
        <v>-5</v>
      </c>
      <c r="AE133" s="194" t="str">
        <f>VLOOKUP(AD133,Lookup!$G$28:$J$33,2,FALSE)</f>
        <v>One-time practice implementation cost 5 times or greater enterprise annual net income</v>
      </c>
      <c r="AF133" s="281" t="s">
        <v>1847</v>
      </c>
      <c r="AG133" s="181" t="str">
        <f>VLOOKUP(AH133,Lookup!$C$4:$D$14,2,FALSE)</f>
        <v>Slight Worsening</v>
      </c>
      <c r="AH133" s="193">
        <f>IF(J133&gt;Lookup!$F$43,-5,IF(J133&gt;Lookup!$F$42,-4,IF(J133&gt;Lookup!$F$41,-3,IF(J133&gt;Lookup!$F$40,-2,IF(J133&gt;Lookup!$F$39,-1,0)))))</f>
        <v>-1</v>
      </c>
      <c r="AI133" s="194" t="str">
        <f>VLOOKUP(AH133,Lookup!$G$38:$J$43,2,FALSE)</f>
        <v>Annual O&amp;M costs less than 1% of total installation costs</v>
      </c>
      <c r="AJ133" s="281" t="s">
        <v>2998</v>
      </c>
      <c r="AK133" s="181" t="str">
        <f>VLOOKUP(AL133,Lookup!$C$4:$D$14,2,FALSE)</f>
        <v>Substantial Worsening</v>
      </c>
      <c r="AL133" s="346">
        <f>IF(N133=0,0,IF(U133&lt;Lookup!$F$58,-5,IF(U133&lt;Lookup!$F$57,-4,IF(U133&lt;Lookup!$F$56,-3,IF(U133&lt;Lookup!$F$55,-2,IF(U133&lt;Lookup!$F$54,-1,IF(U133&lt;Lookup!$F$53,0,IF(U133&lt;Lookup!$F$52,1,IF(U133&lt;Lookup!$F$51,2,IF(U133&lt;Lookup!$F$50,3,IF(U133&lt;Lookup!$F$49,4,5)))))))))))</f>
        <v>-5</v>
      </c>
      <c r="AM133" s="194" t="str">
        <f>VLOOKUP(AL133,Lookup!$G$48:$J$58,2,FALSE)</f>
        <v>B/C Ratio less than .02</v>
      </c>
      <c r="AN133" s="281" t="s">
        <v>3066</v>
      </c>
      <c r="AO133" s="181" t="str">
        <f>VLOOKUP(AP133,Lookup!$C$4:$D$14,2,FALSE)</f>
        <v>Slight Improvement</v>
      </c>
      <c r="AP133" s="193">
        <f>IF(Q133=0,0,IF(Q133&gt;Lookup!$F$63,5,IF(Q133&gt;Lookup!$F$64,4,IF(Q133&gt;Lookup!$F$65,3,IF(Q133&gt;Lookup!$F$66,2,IF(Q133&gt;Lookup!$F$67,1,IF(Q133&gt;Lookup!$F$69,-1,IF(Q133&gt;Lookup!$F$70,-2,IF(Q133&gt;Lookup!$F$71,-3,IF(Q133&gt;Lookup!$F$72,-4,-5))))))))))</f>
        <v>1</v>
      </c>
      <c r="AQ133" s="194" t="str">
        <f>VLOOKUP(AP133,Lookup!$G$63:$J$73,2,FALSE)</f>
        <v>5% or less yield increase</v>
      </c>
      <c r="AR133" s="281" t="s">
        <v>3134</v>
      </c>
      <c r="AS133" s="181" t="str">
        <f>VLOOKUP(AT133,Lookup!$C$4:$D$14,2,FALSE)</f>
        <v>No Effect</v>
      </c>
      <c r="AT133" s="193">
        <f>IF(V133=0,0,IF(V133&lt;Lookup!$F$79,5,IF(V133&lt;Lookup!$F$80,4,IF(V133&lt;Lookup!$F$81,3,IF(V133&lt;Lookup!$F$82,2,IF(V133&lt;Lookup!$F$83,1,IF(V133&lt;Lookup!$F$85,-1,IF(V133&lt;Lookup!$F$86,-2,IF(V133&lt;Lookup!$F$87,-3,IF(V133&lt;Lookup!$F$88,-4,-5))))))))))</f>
        <v>0</v>
      </c>
      <c r="AU133" s="194" t="str">
        <f>VLOOKUP(AT133,Lookup!$G$79:$J$89,2,FALSE)</f>
        <v>No breakeven</v>
      </c>
      <c r="AV133" s="345" t="str">
        <f>VLOOKUP(AT133,Lookup!$G$79:$J$89,4,FALSE)</f>
        <v>Annual costs greater than annual benefits</v>
      </c>
      <c r="AW133" s="181" t="str">
        <f>VLOOKUP(AX133,Lookup!$C$4:$D$14,2,FALSE)</f>
        <v>Slight Improvement</v>
      </c>
      <c r="AX133" s="193">
        <f>VLOOKUP(AY133,Lookup!$G$92:$J$97,4,FALSE)</f>
        <v>1</v>
      </c>
      <c r="AY133" s="181" t="s">
        <v>2636</v>
      </c>
      <c r="AZ133" s="281" t="s">
        <v>3562</v>
      </c>
      <c r="BA133" s="181" t="str">
        <f>VLOOKUP(BB133,Lookup!$C$4:$D$14,2,FALSE)</f>
        <v>Slight Worsening</v>
      </c>
      <c r="BB133" s="193">
        <f>VLOOKUP(BC133,Lookup!$G$100:$K$110,5,FALSE)</f>
        <v>-1</v>
      </c>
      <c r="BC133" s="181" t="s">
        <v>2637</v>
      </c>
      <c r="BD133" s="281" t="s">
        <v>3184</v>
      </c>
      <c r="BE133" s="181" t="str">
        <f>VLOOKUP(BF133,Lookup!$C$4:$D$14,2,FALSE)</f>
        <v>Moderate to Substantial Worsening</v>
      </c>
      <c r="BF133" s="193">
        <f>IF(X133=0,0,IF(X133&gt;Lookup!$F$113,-5,IF(X133&gt;Lookup!$F$114,-4,IF(X133&gt;Lookup!$F$115,-3,IF(X133&gt;Lookup!$F$116,-2,IF(X133&gt;Lookup!$F$117,-1,0))))))</f>
        <v>-4</v>
      </c>
      <c r="BG133" s="195" t="str">
        <f>VLOOKUP(BF133,Lookup!$G$113:$H$118,2,FALSE)</f>
        <v>Annual on-farm equipment costs 75 to 50% of enterprise annual net income</v>
      </c>
      <c r="BH133" s="281" t="s">
        <v>3242</v>
      </c>
      <c r="BI133" s="181" t="str">
        <f>VLOOKUP(BJ133,Lookup!$C$4:$D$14,2,FALSE)</f>
        <v>Slight Improvement</v>
      </c>
      <c r="BJ133" s="193">
        <f>VLOOKUP(BK133,Lookup!$G$121:$L$131,6,FALSE)</f>
        <v>1</v>
      </c>
      <c r="BK133" s="181" t="s">
        <v>2638</v>
      </c>
      <c r="BL133" s="281" t="s">
        <v>3337</v>
      </c>
      <c r="BM133" s="181" t="str">
        <f>VLOOKUP(BN133,Lookup!$C$4:$D$14,2,FALSE)</f>
        <v>Slight Worsening</v>
      </c>
      <c r="BN133" s="193">
        <f>VLOOKUP(BO133,Lookup!$G$134:$L$144,6,FALSE)</f>
        <v>-1</v>
      </c>
      <c r="BO133" s="181" t="s">
        <v>3373</v>
      </c>
      <c r="BP133" s="281" t="s">
        <v>3416</v>
      </c>
      <c r="BQ133" s="181" t="str">
        <f>VLOOKUP(BR133,Lookup!$C$4:$D$14,2,FALSE)</f>
        <v>Slight to Moderate Improvement</v>
      </c>
      <c r="BR133" s="193">
        <f>VLOOKUP(BS133,Lookup!$G$147:$L$157,6,FALSE)</f>
        <v>2</v>
      </c>
      <c r="BS133" s="181" t="s">
        <v>2641</v>
      </c>
      <c r="BT133" s="281" t="s">
        <v>3485</v>
      </c>
      <c r="BU133" s="175" t="s">
        <v>2231</v>
      </c>
    </row>
    <row r="134" spans="1:73" ht="39.950000000000003" customHeight="1" thickBot="1" x14ac:dyDescent="0.25">
      <c r="A134" s="173">
        <f t="shared" ref="A134:A169" si="19">+A133+1</f>
        <v>131</v>
      </c>
      <c r="B134" s="178" t="s">
        <v>3871</v>
      </c>
      <c r="C134" s="179" t="s">
        <v>3872</v>
      </c>
      <c r="D134" s="180">
        <v>649</v>
      </c>
      <c r="E134" s="180" t="s">
        <v>3647</v>
      </c>
      <c r="F134" s="273"/>
      <c r="G134" s="182"/>
      <c r="H134" s="183"/>
      <c r="I134" s="184"/>
      <c r="J134" s="184"/>
      <c r="K134" s="419"/>
      <c r="L134" s="185"/>
      <c r="M134" s="184"/>
      <c r="N134" s="186"/>
      <c r="O134" s="187"/>
      <c r="P134" s="186"/>
      <c r="Q134" s="184"/>
      <c r="R134" s="183"/>
      <c r="S134" s="188"/>
      <c r="T134" s="186"/>
      <c r="U134" s="189"/>
      <c r="V134" s="189"/>
      <c r="W134" s="190"/>
      <c r="X134" s="190"/>
      <c r="Y134" s="42"/>
      <c r="Z134" s="192"/>
      <c r="AA134" s="281"/>
      <c r="AB134" s="282"/>
      <c r="AC134" s="181"/>
      <c r="AD134" s="193"/>
      <c r="AE134" s="194"/>
      <c r="AF134" s="281"/>
      <c r="AG134" s="181"/>
      <c r="AH134" s="193"/>
      <c r="AI134" s="194"/>
      <c r="AJ134" s="281"/>
      <c r="AK134" s="181"/>
      <c r="AL134" s="346"/>
      <c r="AM134" s="194"/>
      <c r="AN134" s="281"/>
      <c r="AO134" s="181"/>
      <c r="AP134" s="193"/>
      <c r="AQ134" s="194"/>
      <c r="AR134" s="281"/>
      <c r="AS134" s="181"/>
      <c r="AT134" s="193"/>
      <c r="AU134" s="194"/>
      <c r="AV134" s="345"/>
      <c r="AW134" s="181"/>
      <c r="AX134" s="193"/>
      <c r="AY134" s="181"/>
      <c r="AZ134" s="281"/>
      <c r="BA134" s="181"/>
      <c r="BB134" s="193"/>
      <c r="BC134" s="181"/>
      <c r="BD134" s="281"/>
      <c r="BE134" s="181"/>
      <c r="BF134" s="193"/>
      <c r="BG134" s="195"/>
      <c r="BH134" s="281"/>
      <c r="BI134" s="181"/>
      <c r="BJ134" s="193"/>
      <c r="BK134" s="181"/>
      <c r="BL134" s="281"/>
      <c r="BM134" s="181"/>
      <c r="BN134" s="193"/>
      <c r="BO134" s="181"/>
      <c r="BP134" s="281"/>
      <c r="BQ134" s="181"/>
      <c r="BR134" s="193"/>
      <c r="BS134" s="181"/>
      <c r="BT134" s="281"/>
    </row>
    <row r="135" spans="1:73" ht="39.950000000000003" customHeight="1" thickBot="1" x14ac:dyDescent="0.25">
      <c r="A135" s="173">
        <f t="shared" si="19"/>
        <v>132</v>
      </c>
      <c r="B135" s="178" t="s">
        <v>359</v>
      </c>
      <c r="C135" s="179" t="s">
        <v>1601</v>
      </c>
      <c r="D135" s="180">
        <v>606</v>
      </c>
      <c r="E135" s="180" t="s">
        <v>1944</v>
      </c>
      <c r="F135" s="273" t="str">
        <f>VLOOKUP($D135,'Practice Descriptions'!$E$11:$F$186,2,FALSE)</f>
        <v>A conduit installed beneath the ground surface to collect and/or convey excess water.</v>
      </c>
      <c r="G135" s="182">
        <v>20</v>
      </c>
      <c r="H135" s="183">
        <v>7</v>
      </c>
      <c r="I135" s="184">
        <v>0.05</v>
      </c>
      <c r="J135" s="184">
        <v>0.03</v>
      </c>
      <c r="K135" s="419">
        <f>IF(E135="No.",1,IF(E135="Ac.",1,(SQRT(VLOOKUP(O135,Lookup!$F$9:$H$18,3,FALSE)))*208/VLOOKUP(O135,Lookup!$F$9:$H$18,3,FALSE)))</f>
        <v>23.255106965997815</v>
      </c>
      <c r="L135" s="185" t="str">
        <f t="shared" ref="L135:L162" si="20">IF(K135&gt;1,"Assume length 1 side of square field (208'/Ac)","")</f>
        <v>Assume length 1 side of square field (208'/Ac)</v>
      </c>
      <c r="M135" s="184">
        <v>0</v>
      </c>
      <c r="N135" s="186">
        <f>IF(G135=1,H135,PMT(Lookup!$G$4,G135,-H135)+(H135*J135)+(M135*P135))*K135</f>
        <v>18.084723804480785</v>
      </c>
      <c r="O135" s="187" t="s">
        <v>1110</v>
      </c>
      <c r="P135" s="186">
        <f>VLOOKUP($O135,Lookup!$F$9:$I$18,4,FALSE)</f>
        <v>300</v>
      </c>
      <c r="Q135" s="184">
        <v>0.05</v>
      </c>
      <c r="R135" s="183">
        <v>3</v>
      </c>
      <c r="S135" s="188" t="s">
        <v>3605</v>
      </c>
      <c r="T135" s="186">
        <f t="shared" si="10"/>
        <v>18</v>
      </c>
      <c r="U135" s="189">
        <f t="shared" si="11"/>
        <v>0.99531517288310523</v>
      </c>
      <c r="V135" s="189">
        <f t="shared" ref="V135:V169" si="21">IF(N135&gt;T135,0,(H135*K135)/T135)</f>
        <v>0</v>
      </c>
      <c r="W135" s="190">
        <f>IF(P135=0,0,IF(Q135+R135=0,0,PV(Lookup!$G$4,G135,-T135)/H135))</f>
        <v>31.708743772083213</v>
      </c>
      <c r="X135" s="190">
        <f>IF(I135=0,0,PMT(Lookup!$G$4,G135,-(H135*I135*K135))/P135)</f>
        <v>2.2001918902702076E-3</v>
      </c>
      <c r="Y135" s="42" t="s">
        <v>963</v>
      </c>
      <c r="Z135" s="192">
        <f>VLOOKUP(Y135,Lookup!$B$4:$C$14,2,FALSE)</f>
        <v>2</v>
      </c>
      <c r="AA135" s="281" t="s">
        <v>1924</v>
      </c>
      <c r="AB135" s="282" t="s">
        <v>1072</v>
      </c>
      <c r="AC135" s="181" t="str">
        <f>VLOOKUP(AD135,Lookup!$C$4:$D$14,2,FALSE)</f>
        <v>Slight Worsening</v>
      </c>
      <c r="AD135" s="193">
        <f>IF(P135/H135&lt;Lookup!$F$33,-5,IF(P135/H135&lt;Lookup!$F$32,-4,IF(P135/H135&lt;Lookup!$F$31,-3,IF(P135/H135&lt;Lookup!$F$30,-2,IF(P135/H135&lt;Lookup!$F$29,-1,-5)))))</f>
        <v>-1</v>
      </c>
      <c r="AE135" s="194" t="str">
        <f>VLOOKUP(AD135,Lookup!$G$28:$J$33,2,FALSE)</f>
        <v>One-time practice implementation cost 5% or less of enterprise annual net income</v>
      </c>
      <c r="AF135" s="281" t="s">
        <v>1847</v>
      </c>
      <c r="AG135" s="181" t="str">
        <f>VLOOKUP(AH135,Lookup!$C$4:$D$14,2,FALSE)</f>
        <v>Moderate Worsening</v>
      </c>
      <c r="AH135" s="193">
        <f>IF(J135&gt;Lookup!$F$43,-5,IF(J135&gt;Lookup!$F$42,-4,IF(J135&gt;Lookup!$F$41,-3,IF(J135&gt;Lookup!$F$40,-2,IF(J135&gt;Lookup!$F$39,-1,0)))))</f>
        <v>-3</v>
      </c>
      <c r="AI135" s="194" t="str">
        <f>VLOOKUP(AH135,Lookup!$G$38:$J$43,2,FALSE)</f>
        <v>Annual O&amp;M costs 2 to 3% of total installation costs</v>
      </c>
      <c r="AJ135" s="281" t="s">
        <v>2998</v>
      </c>
      <c r="AK135" s="181" t="str">
        <f>VLOOKUP(AL135,Lookup!$C$4:$D$14,2,FALSE)</f>
        <v>No Effect</v>
      </c>
      <c r="AL135" s="346">
        <f>IF(N135=0,0,IF(U135&lt;Lookup!$F$58,-5,IF(U135&lt;Lookup!$F$57,-4,IF(U135&lt;Lookup!$F$56,-3,IF(U135&lt;Lookup!$F$55,-2,IF(U135&lt;Lookup!$F$54,-1,IF(U135&lt;Lookup!$F$53,0,IF(U135&lt;Lookup!$F$52,1,IF(U135&lt;Lookup!$F$51,2,IF(U135&lt;Lookup!$F$50,3,IF(U135&lt;Lookup!$F$49,4,5)))))))))))</f>
        <v>0</v>
      </c>
      <c r="AM135" s="194" t="str">
        <f>VLOOKUP(AL135,Lookup!$G$48:$J$58,2,FALSE)</f>
        <v>B/C Ratio .75 to 1.25</v>
      </c>
      <c r="AN135" s="281" t="s">
        <v>3065</v>
      </c>
      <c r="AO135" s="181" t="str">
        <f>VLOOKUP(AP135,Lookup!$C$4:$D$14,2,FALSE)</f>
        <v>Slight to Moderate Improvement</v>
      </c>
      <c r="AP135" s="193">
        <f>IF(Q135=0,0,IF(Q135&gt;Lookup!$F$63,5,IF(Q135&gt;Lookup!$F$64,4,IF(Q135&gt;Lookup!$F$65,3,IF(Q135&gt;Lookup!$F$66,2,IF(Q135&gt;Lookup!$F$67,1,IF(Q135&gt;Lookup!$F$69,-1,IF(Q135&gt;Lookup!$F$70,-2,IF(Q135&gt;Lookup!$F$71,-3,IF(Q135&gt;Lookup!$F$72,-4,-5))))))))))</f>
        <v>2</v>
      </c>
      <c r="AQ135" s="194" t="str">
        <f>VLOOKUP(AP135,Lookup!$G$63:$J$73,2,FALSE)</f>
        <v>5 to 10% yield increase</v>
      </c>
      <c r="AR135" s="281" t="s">
        <v>3114</v>
      </c>
      <c r="AS135" s="181" t="str">
        <f>VLOOKUP(AT135,Lookup!$C$4:$D$14,2,FALSE)</f>
        <v>No Effect</v>
      </c>
      <c r="AT135" s="193">
        <f>IF(V135=0,0,IF(V135&lt;Lookup!$F$79,5,IF(V135&lt;Lookup!$F$80,4,IF(V135&lt;Lookup!$F$81,3,IF(V135&lt;Lookup!$F$82,2,IF(V135&lt;Lookup!$F$83,1,IF(V135&lt;Lookup!$F$85,-1,IF(V135&lt;Lookup!$F$86,-2,IF(V135&lt;Lookup!$F$87,-3,IF(V135&lt;Lookup!$F$88,-4,-5))))))))))</f>
        <v>0</v>
      </c>
      <c r="AU135" s="194" t="str">
        <f>VLOOKUP(AT135,Lookup!$G$79:$J$89,2,FALSE)</f>
        <v>No breakeven</v>
      </c>
      <c r="AV135" s="345" t="str">
        <f>VLOOKUP(AT135,Lookup!$G$79:$J$89,4,FALSE)</f>
        <v>Annual costs greater than annual benefits</v>
      </c>
      <c r="AW135" s="181" t="str">
        <f>VLOOKUP(AX135,Lookup!$C$4:$D$14,2,FALSE)</f>
        <v>Slight Improvement</v>
      </c>
      <c r="AX135" s="193">
        <f>VLOOKUP(AY135,Lookup!$G$92:$J$97,4,FALSE)</f>
        <v>1</v>
      </c>
      <c r="AY135" s="181" t="s">
        <v>2636</v>
      </c>
      <c r="AZ135" s="281" t="s">
        <v>3562</v>
      </c>
      <c r="BA135" s="181" t="str">
        <f>VLOOKUP(BB135,Lookup!$C$4:$D$14,2,FALSE)</f>
        <v>Slight Improvement</v>
      </c>
      <c r="BB135" s="193">
        <f>VLOOKUP(BC135,Lookup!$G$100:$K$110,5,FALSE)</f>
        <v>1</v>
      </c>
      <c r="BC135" s="181" t="s">
        <v>2651</v>
      </c>
      <c r="BD135" s="281" t="s">
        <v>3215</v>
      </c>
      <c r="BE135" s="181" t="str">
        <f>VLOOKUP(BF135,Lookup!$C$4:$D$14,2,FALSE)</f>
        <v>Slight Worsening</v>
      </c>
      <c r="BF135" s="193">
        <f>IF(X135=0,0,IF(X135&gt;Lookup!$F$113,-5,IF(X135&gt;Lookup!$F$114,-4,IF(X135&gt;Lookup!$F$115,-3,IF(X135&gt;Lookup!$F$116,-2,IF(X135&gt;Lookup!$F$117,-1,0))))))</f>
        <v>-1</v>
      </c>
      <c r="BG135" s="195" t="str">
        <f>VLOOKUP(BF135,Lookup!$G$113:$H$118,2,FALSE)</f>
        <v>Annual on-farm equipment costs 5% or less of enterprise annual net income</v>
      </c>
      <c r="BH135" s="281" t="s">
        <v>3242</v>
      </c>
      <c r="BI135" s="181" t="str">
        <f>VLOOKUP(BJ135,Lookup!$C$4:$D$14,2,FALSE)</f>
        <v>Slight Improvement</v>
      </c>
      <c r="BJ135" s="193">
        <f>VLOOKUP(BK135,Lookup!$G$121:$L$131,6,FALSE)</f>
        <v>1</v>
      </c>
      <c r="BK135" s="181" t="s">
        <v>2638</v>
      </c>
      <c r="BL135" s="281" t="s">
        <v>3338</v>
      </c>
      <c r="BM135" s="181" t="str">
        <f>VLOOKUP(BN135,Lookup!$C$4:$D$14,2,FALSE)</f>
        <v>Slight Worsening</v>
      </c>
      <c r="BN135" s="193">
        <f>VLOOKUP(BO135,Lookup!$G$134:$L$144,6,FALSE)</f>
        <v>-1</v>
      </c>
      <c r="BO135" s="181" t="s">
        <v>3373</v>
      </c>
      <c r="BP135" s="281" t="s">
        <v>3416</v>
      </c>
      <c r="BQ135" s="181" t="str">
        <f>VLOOKUP(BR135,Lookup!$C$4:$D$14,2,FALSE)</f>
        <v>Moderate to Substantial Improvement</v>
      </c>
      <c r="BR135" s="193">
        <f>VLOOKUP(BS135,Lookup!$G$147:$L$157,6,FALSE)</f>
        <v>4</v>
      </c>
      <c r="BS135" s="181" t="s">
        <v>2645</v>
      </c>
      <c r="BT135" s="281" t="s">
        <v>3486</v>
      </c>
      <c r="BU135" s="175" t="s">
        <v>2231</v>
      </c>
    </row>
    <row r="136" spans="1:73" ht="39.950000000000003" customHeight="1" thickBot="1" x14ac:dyDescent="0.25">
      <c r="A136" s="173">
        <f t="shared" si="19"/>
        <v>133</v>
      </c>
      <c r="B136" s="178" t="s">
        <v>360</v>
      </c>
      <c r="C136" s="179" t="s">
        <v>1601</v>
      </c>
      <c r="D136" s="180">
        <v>607</v>
      </c>
      <c r="E136" s="180" t="s">
        <v>1944</v>
      </c>
      <c r="F136" s="273" t="str">
        <f>VLOOKUP($D136,'Practice Descriptions'!$E$11:$F$186,2,FALSE)</f>
        <v>A graded ditch for collecting excess water in a field.</v>
      </c>
      <c r="G136" s="182">
        <v>15</v>
      </c>
      <c r="H136" s="183">
        <v>15</v>
      </c>
      <c r="I136" s="184">
        <v>0.02</v>
      </c>
      <c r="J136" s="184">
        <v>0.03</v>
      </c>
      <c r="K136" s="419">
        <f>IF(E136="No.",1,IF(E136="Ac.",1,(SQRT(VLOOKUP(O136,Lookup!$F$9:$H$18,3,FALSE)))*208/VLOOKUP(O136,Lookup!$F$9:$H$18,3,FALSE)))</f>
        <v>23.255106965997815</v>
      </c>
      <c r="L136" s="185" t="str">
        <f t="shared" si="20"/>
        <v>Assume length 1 side of square field (208'/Ac)</v>
      </c>
      <c r="M136" s="184">
        <v>0</v>
      </c>
      <c r="N136" s="186">
        <f>IF(G136=1,H136,PMT(Lookup!$G$4,G136,-H136)+(H136*J136)+(M136*P136))*K136</f>
        <v>44.356097652050863</v>
      </c>
      <c r="O136" s="187" t="s">
        <v>1110</v>
      </c>
      <c r="P136" s="186">
        <f>VLOOKUP($O136,Lookup!$F$9:$I$18,4,FALSE)</f>
        <v>300</v>
      </c>
      <c r="Q136" s="184">
        <v>0.15</v>
      </c>
      <c r="R136" s="183">
        <v>5</v>
      </c>
      <c r="S136" s="188" t="s">
        <v>3605</v>
      </c>
      <c r="T136" s="186">
        <f t="shared" si="10"/>
        <v>50</v>
      </c>
      <c r="U136" s="189">
        <f t="shared" si="11"/>
        <v>1.1272407323164999</v>
      </c>
      <c r="V136" s="189">
        <f t="shared" si="21"/>
        <v>6.9765320897993446</v>
      </c>
      <c r="W136" s="190">
        <f>IF(P136=0,0,IF(Q136+R136=0,0,PV(Lookup!$G$4,G136,-T136)/H136))</f>
        <v>34.308373088632301</v>
      </c>
      <c r="X136" s="190">
        <f>IF(I136=0,0,PMT(Lookup!$G$4,G136,-(H136*I136*K136))/P136)</f>
        <v>2.2594199678234563E-3</v>
      </c>
      <c r="Y136" s="42" t="s">
        <v>963</v>
      </c>
      <c r="Z136" s="192">
        <f>VLOOKUP(Y136,Lookup!$B$4:$C$14,2,FALSE)</f>
        <v>2</v>
      </c>
      <c r="AA136" s="281" t="s">
        <v>2672</v>
      </c>
      <c r="AB136" s="282" t="s">
        <v>1072</v>
      </c>
      <c r="AC136" s="181" t="str">
        <f>VLOOKUP(AD136,Lookup!$C$4:$D$14,2,FALSE)</f>
        <v>Slight Worsening</v>
      </c>
      <c r="AD136" s="193">
        <f>IF(P136/H136&lt;Lookup!$F$33,-5,IF(P136/H136&lt;Lookup!$F$32,-4,IF(P136/H136&lt;Lookup!$F$31,-3,IF(P136/H136&lt;Lookup!$F$30,-2,IF(P136/H136&lt;Lookup!$F$29,-1,-5)))))</f>
        <v>-1</v>
      </c>
      <c r="AE136" s="194" t="str">
        <f>VLOOKUP(AD136,Lookup!$G$28:$J$33,2,FALSE)</f>
        <v>One-time practice implementation cost 5% or less of enterprise annual net income</v>
      </c>
      <c r="AF136" s="281" t="s">
        <v>1847</v>
      </c>
      <c r="AG136" s="181" t="str">
        <f>VLOOKUP(AH136,Lookup!$C$4:$D$14,2,FALSE)</f>
        <v>Moderate Worsening</v>
      </c>
      <c r="AH136" s="193">
        <f>IF(J136&gt;Lookup!$F$43,-5,IF(J136&gt;Lookup!$F$42,-4,IF(J136&gt;Lookup!$F$41,-3,IF(J136&gt;Lookup!$F$40,-2,IF(J136&gt;Lookup!$F$39,-1,0)))))</f>
        <v>-3</v>
      </c>
      <c r="AI136" s="194" t="str">
        <f>VLOOKUP(AH136,Lookup!$G$38:$J$43,2,FALSE)</f>
        <v>Annual O&amp;M costs 2 to 3% of total installation costs</v>
      </c>
      <c r="AJ136" s="281" t="s">
        <v>2998</v>
      </c>
      <c r="AK136" s="181" t="str">
        <f>VLOOKUP(AL136,Lookup!$C$4:$D$14,2,FALSE)</f>
        <v>No Effect</v>
      </c>
      <c r="AL136" s="346">
        <f>IF(N136=0,0,IF(U136&lt;Lookup!$F$58,-5,IF(U136&lt;Lookup!$F$57,-4,IF(U136&lt;Lookup!$F$56,-3,IF(U136&lt;Lookup!$F$55,-2,IF(U136&lt;Lookup!$F$54,-1,IF(U136&lt;Lookup!$F$53,0,IF(U136&lt;Lookup!$F$52,1,IF(U136&lt;Lookup!$F$51,2,IF(U136&lt;Lookup!$F$50,3,IF(U136&lt;Lookup!$F$49,4,5)))))))))))</f>
        <v>0</v>
      </c>
      <c r="AM136" s="194" t="str">
        <f>VLOOKUP(AL136,Lookup!$G$48:$J$58,2,FALSE)</f>
        <v>B/C Ratio .75 to 1.25</v>
      </c>
      <c r="AN136" s="281" t="s">
        <v>3065</v>
      </c>
      <c r="AO136" s="181" t="str">
        <f>VLOOKUP(AP136,Lookup!$C$4:$D$14,2,FALSE)</f>
        <v>Slight to Moderate Improvement</v>
      </c>
      <c r="AP136" s="193">
        <f>IF(Q136=0,0,IF(Q136&gt;Lookup!$F$63,5,IF(Q136&gt;Lookup!$F$64,4,IF(Q136&gt;Lookup!$F$65,3,IF(Q136&gt;Lookup!$F$66,2,IF(Q136&gt;Lookup!$F$67,1,IF(Q136&gt;Lookup!$F$69,-1,IF(Q136&gt;Lookup!$F$70,-2,IF(Q136&gt;Lookup!$F$71,-3,IF(Q136&gt;Lookup!$F$72,-4,-5))))))))))</f>
        <v>2</v>
      </c>
      <c r="AQ136" s="194" t="str">
        <f>VLOOKUP(AP136,Lookup!$G$63:$J$73,2,FALSE)</f>
        <v>5 to 10% yield increase</v>
      </c>
      <c r="AR136" s="281" t="s">
        <v>3114</v>
      </c>
      <c r="AS136" s="181" t="str">
        <f>VLOOKUP(AT136,Lookup!$C$4:$D$14,2,FALSE)</f>
        <v>Slight to Moderate Worsening</v>
      </c>
      <c r="AT136" s="193">
        <f>IF(V136=0,0,IF(V136&lt;Lookup!$F$79,5,IF(V136&lt;Lookup!$F$80,4,IF(V136&lt;Lookup!$F$81,3,IF(V136&lt;Lookup!$F$82,2,IF(V136&lt;Lookup!$F$83,1,IF(V136&lt;Lookup!$F$85,-1,IF(V136&lt;Lookup!$F$86,-2,IF(V136&lt;Lookup!$F$87,-3,IF(V136&lt;Lookup!$F$88,-4,-5))))))))))</f>
        <v>-2</v>
      </c>
      <c r="AU136" s="194" t="str">
        <f>VLOOKUP(AT136,Lookup!$G$79:$J$89,2,FALSE)</f>
        <v>6-7 years to breakeven</v>
      </c>
      <c r="AV136" s="345" t="str">
        <f>VLOOKUP(AT136,Lookup!$G$79:$J$89,4,FALSE)</f>
        <v>Annual benefits moderately greater than annual costs</v>
      </c>
      <c r="AW136" s="181" t="str">
        <f>VLOOKUP(AX136,Lookup!$C$4:$D$14,2,FALSE)</f>
        <v>Slight Improvement</v>
      </c>
      <c r="AX136" s="193">
        <f>VLOOKUP(AY136,Lookup!$G$92:$J$97,4,FALSE)</f>
        <v>1</v>
      </c>
      <c r="AY136" s="181" t="s">
        <v>2636</v>
      </c>
      <c r="AZ136" s="281" t="s">
        <v>1925</v>
      </c>
      <c r="BA136" s="181" t="str">
        <f>VLOOKUP(BB136,Lookup!$C$4:$D$14,2,FALSE)</f>
        <v>Moderate Improvement</v>
      </c>
      <c r="BB136" s="193">
        <f>VLOOKUP(BC136,Lookup!$G$100:$K$110,5,FALSE)</f>
        <v>3</v>
      </c>
      <c r="BC136" s="181" t="s">
        <v>2644</v>
      </c>
      <c r="BD136" s="281" t="s">
        <v>3215</v>
      </c>
      <c r="BE136" s="181" t="str">
        <f>VLOOKUP(BF136,Lookup!$C$4:$D$14,2,FALSE)</f>
        <v>Slight Worsening</v>
      </c>
      <c r="BF136" s="193">
        <f>IF(X136=0,0,IF(X136&gt;Lookup!$F$113,-5,IF(X136&gt;Lookup!$F$114,-4,IF(X136&gt;Lookup!$F$115,-3,IF(X136&gt;Lookup!$F$116,-2,IF(X136&gt;Lookup!$F$117,-1,0))))))</f>
        <v>-1</v>
      </c>
      <c r="BG136" s="195" t="str">
        <f>VLOOKUP(BF136,Lookup!$G$113:$H$118,2,FALSE)</f>
        <v>Annual on-farm equipment costs 5% or less of enterprise annual net income</v>
      </c>
      <c r="BH136" s="281" t="s">
        <v>3233</v>
      </c>
      <c r="BI136" s="181" t="str">
        <f>VLOOKUP(BJ136,Lookup!$C$4:$D$14,2,FALSE)</f>
        <v>Slight Improvement</v>
      </c>
      <c r="BJ136" s="193">
        <f>VLOOKUP(BK136,Lookup!$G$121:$L$131,6,FALSE)</f>
        <v>1</v>
      </c>
      <c r="BK136" s="181" t="s">
        <v>2638</v>
      </c>
      <c r="BL136" s="281" t="s">
        <v>3338</v>
      </c>
      <c r="BM136" s="181" t="str">
        <f>VLOOKUP(BN136,Lookup!$C$4:$D$14,2,FALSE)</f>
        <v>Slight Worsening</v>
      </c>
      <c r="BN136" s="193">
        <f>VLOOKUP(BO136,Lookup!$G$134:$L$144,6,FALSE)</f>
        <v>-1</v>
      </c>
      <c r="BO136" s="181" t="s">
        <v>3373</v>
      </c>
      <c r="BP136" s="281" t="s">
        <v>3416</v>
      </c>
      <c r="BQ136" s="181" t="str">
        <f>VLOOKUP(BR136,Lookup!$C$4:$D$14,2,FALSE)</f>
        <v>Moderate to Substantial Improvement</v>
      </c>
      <c r="BR136" s="193">
        <f>VLOOKUP(BS136,Lookup!$G$147:$L$157,6,FALSE)</f>
        <v>4</v>
      </c>
      <c r="BS136" s="181" t="s">
        <v>2645</v>
      </c>
      <c r="BT136" s="281" t="s">
        <v>3486</v>
      </c>
      <c r="BU136" s="175" t="s">
        <v>2231</v>
      </c>
    </row>
    <row r="137" spans="1:73" ht="39.950000000000003" customHeight="1" thickBot="1" x14ac:dyDescent="0.25">
      <c r="A137" s="173">
        <f t="shared" si="19"/>
        <v>134</v>
      </c>
      <c r="B137" s="178" t="s">
        <v>361</v>
      </c>
      <c r="C137" s="179" t="s">
        <v>1601</v>
      </c>
      <c r="D137" s="180">
        <v>608</v>
      </c>
      <c r="E137" s="180" t="s">
        <v>1944</v>
      </c>
      <c r="F137" s="273" t="str">
        <f>VLOOKUP($D137,'Practice Descriptions'!$E$11:$F$186,2,FALSE)</f>
        <v>An open drainage ditch constructed to a designed cross section, alignment and grade.</v>
      </c>
      <c r="G137" s="182">
        <v>15</v>
      </c>
      <c r="H137" s="183">
        <v>20</v>
      </c>
      <c r="I137" s="184">
        <v>0.02</v>
      </c>
      <c r="J137" s="184">
        <v>0.03</v>
      </c>
      <c r="K137" s="419">
        <f>IF(E137="No.",1,IF(E137="Ac.",1,(SQRT(VLOOKUP(O137,Lookup!$F$9:$H$18,3,FALSE)))*208/VLOOKUP(O137,Lookup!$F$9:$H$18,3,FALSE)))</f>
        <v>23.255106965997815</v>
      </c>
      <c r="L137" s="185" t="str">
        <f t="shared" si="20"/>
        <v>Assume length 1 side of square field (208'/Ac)</v>
      </c>
      <c r="M137" s="184">
        <v>0</v>
      </c>
      <c r="N137" s="186">
        <f>IF(G137=1,H137,PMT(Lookup!$G$4,G137,-H137)+(H137*J137)+(M137*P137))*K137</f>
        <v>59.14146353606781</v>
      </c>
      <c r="O137" s="187" t="s">
        <v>1110</v>
      </c>
      <c r="P137" s="186">
        <f>VLOOKUP($O137,Lookup!$F$9:$I$18,4,FALSE)</f>
        <v>300</v>
      </c>
      <c r="Q137" s="184">
        <v>0.15</v>
      </c>
      <c r="R137" s="183">
        <v>5</v>
      </c>
      <c r="S137" s="188" t="s">
        <v>3605</v>
      </c>
      <c r="T137" s="186">
        <f t="shared" ref="T137:T169" si="22">+P137*Q137+R137</f>
        <v>50</v>
      </c>
      <c r="U137" s="189">
        <f t="shared" ref="U137:U169" si="23">+T137/N137</f>
        <v>0.84543054923737504</v>
      </c>
      <c r="V137" s="189">
        <f t="shared" si="21"/>
        <v>0</v>
      </c>
      <c r="W137" s="190">
        <f>IF(P137=0,0,IF(Q137+R137=0,0,PV(Lookup!$G$4,G137,-T137)/H137))</f>
        <v>25.731279816474228</v>
      </c>
      <c r="X137" s="190">
        <f>IF(I137=0,0,PMT(Lookup!$G$4,G137,-(H137*I137*K137))/P137)</f>
        <v>3.0125599570979414E-3</v>
      </c>
      <c r="Y137" s="42" t="s">
        <v>963</v>
      </c>
      <c r="Z137" s="192">
        <f>VLOOKUP(Y137,Lookup!$B$4:$C$14,2,FALSE)</f>
        <v>2</v>
      </c>
      <c r="AA137" s="281" t="s">
        <v>227</v>
      </c>
      <c r="AB137" s="282" t="s">
        <v>1072</v>
      </c>
      <c r="AC137" s="181" t="str">
        <f>VLOOKUP(AD137,Lookup!$C$4:$D$14,2,FALSE)</f>
        <v>Slight to Moderate Worsening</v>
      </c>
      <c r="AD137" s="193">
        <f>IF(P137/H137&lt;Lookup!$F$33,-5,IF(P137/H137&lt;Lookup!$F$32,-4,IF(P137/H137&lt;Lookup!$F$31,-3,IF(P137/H137&lt;Lookup!$F$30,-2,IF(P137/H137&lt;Lookup!$F$29,-1,-5)))))</f>
        <v>-2</v>
      </c>
      <c r="AE137" s="194" t="str">
        <f>VLOOKUP(AD137,Lookup!$G$28:$J$33,2,FALSE)</f>
        <v>One-time practice implementation cost 5 to 100% of enterprise annual net income</v>
      </c>
      <c r="AF137" s="281" t="s">
        <v>1847</v>
      </c>
      <c r="AG137" s="181" t="str">
        <f>VLOOKUP(AH137,Lookup!$C$4:$D$14,2,FALSE)</f>
        <v>Moderate Worsening</v>
      </c>
      <c r="AH137" s="193">
        <f>IF(J137&gt;Lookup!$F$43,-5,IF(J137&gt;Lookup!$F$42,-4,IF(J137&gt;Lookup!$F$41,-3,IF(J137&gt;Lookup!$F$40,-2,IF(J137&gt;Lookup!$F$39,-1,0)))))</f>
        <v>-3</v>
      </c>
      <c r="AI137" s="194" t="str">
        <f>VLOOKUP(AH137,Lookup!$G$38:$J$43,2,FALSE)</f>
        <v>Annual O&amp;M costs 2 to 3% of total installation costs</v>
      </c>
      <c r="AJ137" s="281" t="s">
        <v>2998</v>
      </c>
      <c r="AK137" s="181" t="str">
        <f>VLOOKUP(AL137,Lookup!$C$4:$D$14,2,FALSE)</f>
        <v>No Effect</v>
      </c>
      <c r="AL137" s="346">
        <f>IF(N137=0,0,IF(U137&lt;Lookup!$F$58,-5,IF(U137&lt;Lookup!$F$57,-4,IF(U137&lt;Lookup!$F$56,-3,IF(U137&lt;Lookup!$F$55,-2,IF(U137&lt;Lookup!$F$54,-1,IF(U137&lt;Lookup!$F$53,0,IF(U137&lt;Lookup!$F$52,1,IF(U137&lt;Lookup!$F$51,2,IF(U137&lt;Lookup!$F$50,3,IF(U137&lt;Lookup!$F$49,4,5)))))))))))</f>
        <v>0</v>
      </c>
      <c r="AM137" s="194" t="str">
        <f>VLOOKUP(AL137,Lookup!$G$48:$J$58,2,FALSE)</f>
        <v>B/C Ratio .75 to 1.25</v>
      </c>
      <c r="AN137" s="281" t="s">
        <v>3065</v>
      </c>
      <c r="AO137" s="181" t="str">
        <f>VLOOKUP(AP137,Lookup!$C$4:$D$14,2,FALSE)</f>
        <v>Slight to Moderate Improvement</v>
      </c>
      <c r="AP137" s="193">
        <f>IF(Q137=0,0,IF(Q137&gt;Lookup!$F$63,5,IF(Q137&gt;Lookup!$F$64,4,IF(Q137&gt;Lookup!$F$65,3,IF(Q137&gt;Lookup!$F$66,2,IF(Q137&gt;Lookup!$F$67,1,IF(Q137&gt;Lookup!$F$69,-1,IF(Q137&gt;Lookup!$F$70,-2,IF(Q137&gt;Lookup!$F$71,-3,IF(Q137&gt;Lookup!$F$72,-4,-5))))))))))</f>
        <v>2</v>
      </c>
      <c r="AQ137" s="194" t="str">
        <f>VLOOKUP(AP137,Lookup!$G$63:$J$73,2,FALSE)</f>
        <v>5 to 10% yield increase</v>
      </c>
      <c r="AR137" s="281" t="s">
        <v>3114</v>
      </c>
      <c r="AS137" s="181" t="str">
        <f>VLOOKUP(AT137,Lookup!$C$4:$D$14,2,FALSE)</f>
        <v>No Effect</v>
      </c>
      <c r="AT137" s="193">
        <f>IF(V137=0,0,IF(V137&lt;Lookup!$F$79,5,IF(V137&lt;Lookup!$F$80,4,IF(V137&lt;Lookup!$F$81,3,IF(V137&lt;Lookup!$F$82,2,IF(V137&lt;Lookup!$F$83,1,IF(V137&lt;Lookup!$F$85,-1,IF(V137&lt;Lookup!$F$86,-2,IF(V137&lt;Lookup!$F$87,-3,IF(V137&lt;Lookup!$F$88,-4,-5))))))))))</f>
        <v>0</v>
      </c>
      <c r="AU137" s="194" t="str">
        <f>VLOOKUP(AT137,Lookup!$G$79:$J$89,2,FALSE)</f>
        <v>No breakeven</v>
      </c>
      <c r="AV137" s="345" t="str">
        <f>VLOOKUP(AT137,Lookup!$G$79:$J$89,4,FALSE)</f>
        <v>Annual costs greater than annual benefits</v>
      </c>
      <c r="AW137" s="181" t="str">
        <f>VLOOKUP(AX137,Lookup!$C$4:$D$14,2,FALSE)</f>
        <v>Slight Improvement</v>
      </c>
      <c r="AX137" s="193">
        <f>VLOOKUP(AY137,Lookup!$G$92:$J$97,4,FALSE)</f>
        <v>1</v>
      </c>
      <c r="AY137" s="181" t="s">
        <v>2636</v>
      </c>
      <c r="AZ137" s="281" t="s">
        <v>1925</v>
      </c>
      <c r="BA137" s="181" t="str">
        <f>VLOOKUP(BB137,Lookup!$C$4:$D$14,2,FALSE)</f>
        <v>Moderate Improvement</v>
      </c>
      <c r="BB137" s="193">
        <f>VLOOKUP(BC137,Lookup!$G$100:$K$110,5,FALSE)</f>
        <v>3</v>
      </c>
      <c r="BC137" s="181" t="s">
        <v>2644</v>
      </c>
      <c r="BD137" s="281" t="s">
        <v>3215</v>
      </c>
      <c r="BE137" s="181" t="str">
        <f>VLOOKUP(BF137,Lookup!$C$4:$D$14,2,FALSE)</f>
        <v>Slight Worsening</v>
      </c>
      <c r="BF137" s="193">
        <f>IF(X137=0,0,IF(X137&gt;Lookup!$F$113,-5,IF(X137&gt;Lookup!$F$114,-4,IF(X137&gt;Lookup!$F$115,-3,IF(X137&gt;Lookup!$F$116,-2,IF(X137&gt;Lookup!$F$117,-1,0))))))</f>
        <v>-1</v>
      </c>
      <c r="BG137" s="195" t="str">
        <f>VLOOKUP(BF137,Lookup!$G$113:$H$118,2,FALSE)</f>
        <v>Annual on-farm equipment costs 5% or less of enterprise annual net income</v>
      </c>
      <c r="BH137" s="281" t="s">
        <v>3233</v>
      </c>
      <c r="BI137" s="181" t="str">
        <f>VLOOKUP(BJ137,Lookup!$C$4:$D$14,2,FALSE)</f>
        <v>Slight Improvement</v>
      </c>
      <c r="BJ137" s="193">
        <f>VLOOKUP(BK137,Lookup!$G$121:$L$131,6,FALSE)</f>
        <v>1</v>
      </c>
      <c r="BK137" s="181" t="s">
        <v>2638</v>
      </c>
      <c r="BL137" s="281" t="s">
        <v>3338</v>
      </c>
      <c r="BM137" s="181" t="str">
        <f>VLOOKUP(BN137,Lookup!$C$4:$D$14,2,FALSE)</f>
        <v>Slight Worsening</v>
      </c>
      <c r="BN137" s="193">
        <f>VLOOKUP(BO137,Lookup!$G$134:$L$144,6,FALSE)</f>
        <v>-1</v>
      </c>
      <c r="BO137" s="181" t="s">
        <v>3373</v>
      </c>
      <c r="BP137" s="281" t="s">
        <v>3416</v>
      </c>
      <c r="BQ137" s="181" t="str">
        <f>VLOOKUP(BR137,Lookup!$C$4:$D$14,2,FALSE)</f>
        <v>Moderate to Substantial Improvement</v>
      </c>
      <c r="BR137" s="193">
        <f>VLOOKUP(BS137,Lookup!$G$147:$L$157,6,FALSE)</f>
        <v>4</v>
      </c>
      <c r="BS137" s="181" t="s">
        <v>2645</v>
      </c>
      <c r="BT137" s="281" t="s">
        <v>3486</v>
      </c>
      <c r="BU137" s="175" t="s">
        <v>2231</v>
      </c>
    </row>
    <row r="138" spans="1:73" ht="39.950000000000003" customHeight="1" thickBot="1" x14ac:dyDescent="0.25">
      <c r="A138" s="173">
        <f t="shared" si="19"/>
        <v>135</v>
      </c>
      <c r="B138" s="178" t="s">
        <v>362</v>
      </c>
      <c r="C138" s="179" t="s">
        <v>1605</v>
      </c>
      <c r="D138" s="180">
        <v>609</v>
      </c>
      <c r="E138" s="180" t="s">
        <v>3646</v>
      </c>
      <c r="F138" s="273" t="str">
        <f>VLOOKUP($D138,'Practice Descriptions'!$E$11:$F$186,2,FALSE)</f>
        <v>Performing tillage operations that create random roughness of the soil surface.</v>
      </c>
      <c r="G138" s="182">
        <v>1</v>
      </c>
      <c r="H138" s="183">
        <v>15</v>
      </c>
      <c r="I138" s="184">
        <v>0</v>
      </c>
      <c r="J138" s="184">
        <v>0</v>
      </c>
      <c r="K138" s="419">
        <f>IF(E138="No.",1,IF(E138="Ac.",1,(SQRT(VLOOKUP(O138,Lookup!$F$9:$H$18,3,FALSE)))*208/VLOOKUP(O138,Lookup!$F$9:$H$18,3,FALSE)))</f>
        <v>1</v>
      </c>
      <c r="L138" s="185" t="str">
        <f t="shared" si="20"/>
        <v/>
      </c>
      <c r="M138" s="184">
        <v>0</v>
      </c>
      <c r="N138" s="186">
        <f>IF(G138=1,H138,PMT(Lookup!$G$4,G138,-H138)+(H138*J138)+(M138*P138))*K138</f>
        <v>15</v>
      </c>
      <c r="O138" s="187" t="s">
        <v>1110</v>
      </c>
      <c r="P138" s="186">
        <f>VLOOKUP($O138,Lookup!$F$9:$I$18,4,FALSE)</f>
        <v>300</v>
      </c>
      <c r="Q138" s="184">
        <v>0.05</v>
      </c>
      <c r="R138" s="183">
        <v>1</v>
      </c>
      <c r="S138" s="188" t="s">
        <v>3606</v>
      </c>
      <c r="T138" s="186">
        <f t="shared" si="22"/>
        <v>16</v>
      </c>
      <c r="U138" s="189">
        <f t="shared" si="23"/>
        <v>1.0666666666666667</v>
      </c>
      <c r="V138" s="189">
        <f t="shared" si="21"/>
        <v>0.9375</v>
      </c>
      <c r="W138" s="190">
        <f>IF(P138=0,0,IF(Q138+R138=0,0,PV(Lookup!$G$4,G138,-T138)/H138))</f>
        <v>1.0146650812524778</v>
      </c>
      <c r="X138" s="190">
        <f>IF(I138=0,0,PMT(Lookup!$G$4,G138,-(H138*I138*K138))/P138)</f>
        <v>0</v>
      </c>
      <c r="Y138" s="42" t="s">
        <v>986</v>
      </c>
      <c r="Z138" s="192">
        <f>VLOOKUP(Y138,Lookup!$B$4:$C$14,2,FALSE)</f>
        <v>0</v>
      </c>
      <c r="AA138" s="281" t="s">
        <v>2759</v>
      </c>
      <c r="AB138" s="282" t="s">
        <v>1072</v>
      </c>
      <c r="AC138" s="181" t="str">
        <f>VLOOKUP(AD138,Lookup!$C$4:$D$14,2,FALSE)</f>
        <v>Slight Worsening</v>
      </c>
      <c r="AD138" s="193">
        <f>IF(P138/H138&lt;Lookup!$F$33,-5,IF(P138/H138&lt;Lookup!$F$32,-4,IF(P138/H138&lt;Lookup!$F$31,-3,IF(P138/H138&lt;Lookup!$F$30,-2,IF(P138/H138&lt;Lookup!$F$29,-1,-5)))))</f>
        <v>-1</v>
      </c>
      <c r="AE138" s="194" t="str">
        <f>VLOOKUP(AD138,Lookup!$G$28:$J$33,2,FALSE)</f>
        <v>One-time practice implementation cost 5% or less of enterprise annual net income</v>
      </c>
      <c r="AF138" s="281" t="s">
        <v>1914</v>
      </c>
      <c r="AG138" s="181" t="str">
        <f>VLOOKUP(AH138,Lookup!$C$4:$D$14,2,FALSE)</f>
        <v>No Effect</v>
      </c>
      <c r="AH138" s="193">
        <f>IF(J138&gt;Lookup!$F$43,-5,IF(J138&gt;Lookup!$F$42,-4,IF(J138&gt;Lookup!$F$41,-3,IF(J138&gt;Lookup!$F$40,-2,IF(J138&gt;Lookup!$F$39,-1,0)))))</f>
        <v>0</v>
      </c>
      <c r="AI138" s="194" t="str">
        <f>VLOOKUP(AH138,Lookup!$G$38:$J$43,2,FALSE)</f>
        <v>No O&amp;M costs</v>
      </c>
      <c r="AJ138" s="281" t="s">
        <v>3005</v>
      </c>
      <c r="AK138" s="181" t="str">
        <f>VLOOKUP(AL138,Lookup!$C$4:$D$14,2,FALSE)</f>
        <v>No Effect</v>
      </c>
      <c r="AL138" s="346">
        <f>IF(N138=0,0,IF(U138&lt;Lookup!$F$58,-5,IF(U138&lt;Lookup!$F$57,-4,IF(U138&lt;Lookup!$F$56,-3,IF(U138&lt;Lookup!$F$55,-2,IF(U138&lt;Lookup!$F$54,-1,IF(U138&lt;Lookup!$F$53,0,IF(U138&lt;Lookup!$F$52,1,IF(U138&lt;Lookup!$F$51,2,IF(U138&lt;Lookup!$F$50,3,IF(U138&lt;Lookup!$F$49,4,5)))))))))))</f>
        <v>0</v>
      </c>
      <c r="AM138" s="194" t="str">
        <f>VLOOKUP(AL138,Lookup!$G$48:$J$58,2,FALSE)</f>
        <v>B/C Ratio .75 to 1.25</v>
      </c>
      <c r="AN138" s="281" t="s">
        <v>3060</v>
      </c>
      <c r="AO138" s="181" t="str">
        <f>VLOOKUP(AP138,Lookup!$C$4:$D$14,2,FALSE)</f>
        <v>Slight to Moderate Improvement</v>
      </c>
      <c r="AP138" s="193">
        <f>IF(Q138=0,0,IF(Q138&gt;Lookup!$F$63,5,IF(Q138&gt;Lookup!$F$64,4,IF(Q138&gt;Lookup!$F$65,3,IF(Q138&gt;Lookup!$F$66,2,IF(Q138&gt;Lookup!$F$67,1,IF(Q138&gt;Lookup!$F$69,-1,IF(Q138&gt;Lookup!$F$70,-2,IF(Q138&gt;Lookup!$F$71,-3,IF(Q138&gt;Lookup!$F$72,-4,-5))))))))))</f>
        <v>2</v>
      </c>
      <c r="AQ138" s="194" t="str">
        <f>VLOOKUP(AP138,Lookup!$G$63:$J$73,2,FALSE)</f>
        <v>5 to 10% yield increase</v>
      </c>
      <c r="AR138" s="281" t="s">
        <v>3568</v>
      </c>
      <c r="AS138" s="181" t="str">
        <f>VLOOKUP(AT138,Lookup!$C$4:$D$14,2,FALSE)</f>
        <v>Substantial Improvement</v>
      </c>
      <c r="AT138" s="193">
        <f>IF(V138=0,0,IF(V138&lt;Lookup!$F$79,5,IF(V138&lt;Lookup!$F$80,4,IF(V138&lt;Lookup!$F$81,3,IF(V138&lt;Lookup!$F$82,2,IF(V138&lt;Lookup!$F$83,1,IF(V138&lt;Lookup!$F$85,-1,IF(V138&lt;Lookup!$F$86,-2,IF(V138&lt;Lookup!$F$87,-3,IF(V138&lt;Lookup!$F$88,-4,-5))))))))))</f>
        <v>5</v>
      </c>
      <c r="AU138" s="194" t="str">
        <f>VLOOKUP(AT138,Lookup!$G$79:$J$89,2,FALSE)</f>
        <v>1 or less years to breakeven</v>
      </c>
      <c r="AV138" s="345" t="str">
        <f>VLOOKUP(AT138,Lookup!$G$79:$J$89,4,FALSE)</f>
        <v>Annual benefits significantly greater than annual costs</v>
      </c>
      <c r="AW138" s="181" t="str">
        <f>VLOOKUP(AX138,Lookup!$C$4:$D$14,2,FALSE)</f>
        <v>No Effect</v>
      </c>
      <c r="AX138" s="193">
        <f>VLOOKUP(AY138,Lookup!$G$92:$J$97,4,FALSE)</f>
        <v>0</v>
      </c>
      <c r="AY138" s="181" t="s">
        <v>2642</v>
      </c>
      <c r="AZ138" s="281" t="s">
        <v>3154</v>
      </c>
      <c r="BA138" s="181" t="str">
        <f>VLOOKUP(BB138,Lookup!$C$4:$D$14,2,FALSE)</f>
        <v>No Effect</v>
      </c>
      <c r="BB138" s="193">
        <f>VLOOKUP(BC138,Lookup!$G$100:$K$110,5,FALSE)</f>
        <v>0</v>
      </c>
      <c r="BC138" s="181" t="s">
        <v>2643</v>
      </c>
      <c r="BD138" s="281" t="s">
        <v>3154</v>
      </c>
      <c r="BE138" s="181" t="str">
        <f>VLOOKUP(BF138,Lookup!$C$4:$D$14,2,FALSE)</f>
        <v>No Effect</v>
      </c>
      <c r="BF138" s="193">
        <f>IF(X138=0,0,IF(X138&gt;Lookup!$F$113,-5,IF(X138&gt;Lookup!$F$114,-4,IF(X138&gt;Lookup!$F$115,-3,IF(X138&gt;Lookup!$F$116,-2,IF(X138&gt;Lookup!$F$117,-1,0))))))</f>
        <v>0</v>
      </c>
      <c r="BG138" s="195" t="str">
        <f>VLOOKUP(BF138,Lookup!$G$113:$H$118,2,FALSE)</f>
        <v>No change in on-farm equipment</v>
      </c>
      <c r="BH138" s="281" t="s">
        <v>1841</v>
      </c>
      <c r="BI138" s="181" t="str">
        <f>VLOOKUP(BJ138,Lookup!$C$4:$D$14,2,FALSE)</f>
        <v>Slight Worsening</v>
      </c>
      <c r="BJ138" s="193">
        <f>VLOOKUP(BK138,Lookup!$G$121:$L$131,6,FALSE)</f>
        <v>-1</v>
      </c>
      <c r="BK138" s="181" t="s">
        <v>2640</v>
      </c>
      <c r="BL138" s="281" t="s">
        <v>3339</v>
      </c>
      <c r="BM138" s="181" t="str">
        <f>VLOOKUP(BN138,Lookup!$C$4:$D$14,2,FALSE)</f>
        <v>No Effect</v>
      </c>
      <c r="BN138" s="193">
        <f>VLOOKUP(BO138,Lookup!$G$134:$L$144,6,FALSE)</f>
        <v>0</v>
      </c>
      <c r="BO138" s="181" t="s">
        <v>2646</v>
      </c>
      <c r="BP138" s="281" t="s">
        <v>3154</v>
      </c>
      <c r="BQ138" s="181" t="str">
        <f>VLOOKUP(BR138,Lookup!$C$4:$D$14,2,FALSE)</f>
        <v>No Effect</v>
      </c>
      <c r="BR138" s="193">
        <f>VLOOKUP(BS138,Lookup!$G$147:$L$157,6,FALSE)</f>
        <v>0</v>
      </c>
      <c r="BS138" s="181" t="s">
        <v>2676</v>
      </c>
      <c r="BT138" s="281" t="s">
        <v>3154</v>
      </c>
      <c r="BU138" s="175" t="s">
        <v>2231</v>
      </c>
    </row>
    <row r="139" spans="1:73" ht="39.950000000000003" customHeight="1" thickBot="1" x14ac:dyDescent="0.25">
      <c r="A139" s="173">
        <f t="shared" si="19"/>
        <v>136</v>
      </c>
      <c r="B139" s="178" t="s">
        <v>363</v>
      </c>
      <c r="C139" s="179" t="s">
        <v>1597</v>
      </c>
      <c r="D139" s="180">
        <v>600</v>
      </c>
      <c r="E139" s="180" t="s">
        <v>1944</v>
      </c>
      <c r="F139" s="273" t="str">
        <f>VLOOKUP($D139,'Practice Descriptions'!$E$11:$F$186,2,FALSE)</f>
        <v>An earth embankment, or a combination ridge and channel, constructed across the field slope.</v>
      </c>
      <c r="G139" s="182">
        <v>10</v>
      </c>
      <c r="H139" s="183">
        <v>2</v>
      </c>
      <c r="I139" s="184">
        <v>0.02</v>
      </c>
      <c r="J139" s="184">
        <v>0.03</v>
      </c>
      <c r="K139" s="419">
        <f>IF(E139="No.",1,IF(E139="Ac.",1,(SQRT(VLOOKUP(O139,Lookup!$F$9:$H$18,3,FALSE)))*208/VLOOKUP(O139,Lookup!$F$9:$H$18,3,FALSE)))</f>
        <v>23.255106965997815</v>
      </c>
      <c r="L139" s="185" t="str">
        <f t="shared" si="20"/>
        <v>Assume length 1 side of square field (208'/Ac)</v>
      </c>
      <c r="M139" s="184">
        <v>0</v>
      </c>
      <c r="N139" s="186">
        <f>IF(G139=1,H139,PMT(Lookup!$G$4,G139,-H139)+(H139*J139)+(M139*P139))*K139</f>
        <v>7.4552096567980453</v>
      </c>
      <c r="O139" s="187" t="s">
        <v>1110</v>
      </c>
      <c r="P139" s="186">
        <f>VLOOKUP($O139,Lookup!$F$9:$I$18,4,FALSE)</f>
        <v>300</v>
      </c>
      <c r="Q139" s="184">
        <v>0.03</v>
      </c>
      <c r="R139" s="183">
        <v>2</v>
      </c>
      <c r="S139" s="188" t="s">
        <v>3606</v>
      </c>
      <c r="T139" s="186">
        <f t="shared" si="22"/>
        <v>11</v>
      </c>
      <c r="U139" s="189">
        <f t="shared" si="23"/>
        <v>1.4754782905360189</v>
      </c>
      <c r="V139" s="189">
        <f t="shared" si="21"/>
        <v>4.2282012665450575</v>
      </c>
      <c r="W139" s="190">
        <f>IF(P139=0,0,IF(Q139+R139=0,0,PV(Lookup!$G$4,G139,-T139)/H139))</f>
        <v>42.212914388880563</v>
      </c>
      <c r="X139" s="190">
        <f>IF(I139=0,0,PMT(Lookup!$G$4,G139,-(H139*I139*K139))/P139)</f>
        <v>4.0399354925587852E-4</v>
      </c>
      <c r="Y139" s="42" t="s">
        <v>963</v>
      </c>
      <c r="Z139" s="192">
        <f>VLOOKUP(Y139,Lookup!$B$4:$C$14,2,FALSE)</f>
        <v>2</v>
      </c>
      <c r="AA139" s="281" t="s">
        <v>227</v>
      </c>
      <c r="AB139" s="282" t="s">
        <v>1072</v>
      </c>
      <c r="AC139" s="181" t="str">
        <f>VLOOKUP(AD139,Lookup!$C$4:$D$14,2,FALSE)</f>
        <v>Substantial Worsening</v>
      </c>
      <c r="AD139" s="193">
        <f>IF(P139/H139&lt;Lookup!$F$33,-5,IF(P139/H139&lt;Lookup!$F$32,-4,IF(P139/H139&lt;Lookup!$F$31,-3,IF(P139/H139&lt;Lookup!$F$30,-2,IF(P139/H139&lt;Lookup!$F$29,-1,-5)))))</f>
        <v>-5</v>
      </c>
      <c r="AE139" s="194" t="str">
        <f>VLOOKUP(AD139,Lookup!$G$28:$J$33,2,FALSE)</f>
        <v>One-time practice implementation cost 5 times or greater enterprise annual net income</v>
      </c>
      <c r="AF139" s="281" t="s">
        <v>2969</v>
      </c>
      <c r="AG139" s="181" t="str">
        <f>VLOOKUP(AH139,Lookup!$C$4:$D$14,2,FALSE)</f>
        <v>Moderate Worsening</v>
      </c>
      <c r="AH139" s="193">
        <f>IF(J139&gt;Lookup!$F$43,-5,IF(J139&gt;Lookup!$F$42,-4,IF(J139&gt;Lookup!$F$41,-3,IF(J139&gt;Lookup!$F$40,-2,IF(J139&gt;Lookup!$F$39,-1,0)))))</f>
        <v>-3</v>
      </c>
      <c r="AI139" s="194" t="str">
        <f>VLOOKUP(AH139,Lookup!$G$38:$J$43,2,FALSE)</f>
        <v>Annual O&amp;M costs 2 to 3% of total installation costs</v>
      </c>
      <c r="AJ139" s="281" t="s">
        <v>1926</v>
      </c>
      <c r="AK139" s="181" t="str">
        <f>VLOOKUP(AL139,Lookup!$C$4:$D$14,2,FALSE)</f>
        <v>Slight Improvement</v>
      </c>
      <c r="AL139" s="346">
        <f>IF(N139=0,0,IF(U139&lt;Lookup!$F$58,-5,IF(U139&lt;Lookup!$F$57,-4,IF(U139&lt;Lookup!$F$56,-3,IF(U139&lt;Lookup!$F$55,-2,IF(U139&lt;Lookup!$F$54,-1,IF(U139&lt;Lookup!$F$53,0,IF(U139&lt;Lookup!$F$52,1,IF(U139&lt;Lookup!$F$51,2,IF(U139&lt;Lookup!$F$50,3,IF(U139&lt;Lookup!$F$49,4,5)))))))))))</f>
        <v>1</v>
      </c>
      <c r="AM139" s="194" t="str">
        <f>VLOOKUP(AL139,Lookup!$G$48:$J$58,2,FALSE)</f>
        <v>B/C Ratio 1.25 to 1.50</v>
      </c>
      <c r="AN139" s="281" t="s">
        <v>3067</v>
      </c>
      <c r="AO139" s="181" t="str">
        <f>VLOOKUP(AP139,Lookup!$C$4:$D$14,2,FALSE)</f>
        <v>Slight Improvement</v>
      </c>
      <c r="AP139" s="193">
        <f>IF(Q139=0,0,IF(Q139&gt;Lookup!$F$63,5,IF(Q139&gt;Lookup!$F$64,4,IF(Q139&gt;Lookup!$F$65,3,IF(Q139&gt;Lookup!$F$66,2,IF(Q139&gt;Lookup!$F$67,1,IF(Q139&gt;Lookup!$F$69,-1,IF(Q139&gt;Lookup!$F$70,-2,IF(Q139&gt;Lookup!$F$71,-3,IF(Q139&gt;Lookup!$F$72,-4,-5))))))))))</f>
        <v>1</v>
      </c>
      <c r="AQ139" s="194" t="str">
        <f>VLOOKUP(AP139,Lookup!$G$63:$J$73,2,FALSE)</f>
        <v>5% or less yield increase</v>
      </c>
      <c r="AR139" s="281" t="s">
        <v>3135</v>
      </c>
      <c r="AS139" s="181" t="str">
        <f>VLOOKUP(AT139,Lookup!$C$4:$D$14,2,FALSE)</f>
        <v>Slight Improvement</v>
      </c>
      <c r="AT139" s="193">
        <f>IF(V139=0,0,IF(V139&lt;Lookup!$F$79,5,IF(V139&lt;Lookup!$F$80,4,IF(V139&lt;Lookup!$F$81,3,IF(V139&lt;Lookup!$F$82,2,IF(V139&lt;Lookup!$F$83,1,IF(V139&lt;Lookup!$F$85,-1,IF(V139&lt;Lookup!$F$86,-2,IF(V139&lt;Lookup!$F$87,-3,IF(V139&lt;Lookup!$F$88,-4,-5))))))))))</f>
        <v>1</v>
      </c>
      <c r="AU139" s="194" t="str">
        <f>VLOOKUP(AT139,Lookup!$G$79:$J$89,2,FALSE)</f>
        <v>4-5 years to breakeven</v>
      </c>
      <c r="AV139" s="345" t="str">
        <f>VLOOKUP(AT139,Lookup!$G$79:$J$89,4,FALSE)</f>
        <v>Annual benefits moderately greater than annual costs</v>
      </c>
      <c r="AW139" s="181" t="str">
        <f>VLOOKUP(AX139,Lookup!$C$4:$D$14,2,FALSE)</f>
        <v>Slight Improvement</v>
      </c>
      <c r="AX139" s="193">
        <f>VLOOKUP(AY139,Lookup!$G$92:$J$97,4,FALSE)</f>
        <v>1</v>
      </c>
      <c r="AY139" s="181" t="s">
        <v>2636</v>
      </c>
      <c r="AZ139" s="281" t="s">
        <v>3562</v>
      </c>
      <c r="BA139" s="181" t="str">
        <f>VLOOKUP(BB139,Lookup!$C$4:$D$14,2,FALSE)</f>
        <v>Slight Worsening</v>
      </c>
      <c r="BB139" s="193">
        <f>VLOOKUP(BC139,Lookup!$G$100:$K$110,5,FALSE)</f>
        <v>-1</v>
      </c>
      <c r="BC139" s="181" t="s">
        <v>2637</v>
      </c>
      <c r="BD139" s="281" t="s">
        <v>3184</v>
      </c>
      <c r="BE139" s="181" t="str">
        <f>VLOOKUP(BF139,Lookup!$C$4:$D$14,2,FALSE)</f>
        <v>Slight Worsening</v>
      </c>
      <c r="BF139" s="193">
        <f>IF(X139=0,0,IF(X139&gt;Lookup!$F$113,-5,IF(X139&gt;Lookup!$F$114,-4,IF(X139&gt;Lookup!$F$115,-3,IF(X139&gt;Lookup!$F$116,-2,IF(X139&gt;Lookup!$F$117,-1,0))))))</f>
        <v>-1</v>
      </c>
      <c r="BG139" s="195" t="str">
        <f>VLOOKUP(BF139,Lookup!$G$113:$H$118,2,FALSE)</f>
        <v>Annual on-farm equipment costs 5% or less of enterprise annual net income</v>
      </c>
      <c r="BH139" s="281" t="s">
        <v>3234</v>
      </c>
      <c r="BI139" s="181" t="str">
        <f>VLOOKUP(BJ139,Lookup!$C$4:$D$14,2,FALSE)</f>
        <v>Slight Worsening</v>
      </c>
      <c r="BJ139" s="193">
        <f>VLOOKUP(BK139,Lookup!$G$121:$L$131,6,FALSE)</f>
        <v>-1</v>
      </c>
      <c r="BK139" s="181" t="s">
        <v>2640</v>
      </c>
      <c r="BL139" s="281" t="s">
        <v>3569</v>
      </c>
      <c r="BM139" s="181" t="str">
        <f>VLOOKUP(BN139,Lookup!$C$4:$D$14,2,FALSE)</f>
        <v>Slight Worsening</v>
      </c>
      <c r="BN139" s="193">
        <f>VLOOKUP(BO139,Lookup!$G$134:$L$144,6,FALSE)</f>
        <v>-1</v>
      </c>
      <c r="BO139" s="181" t="s">
        <v>3373</v>
      </c>
      <c r="BP139" s="281" t="s">
        <v>3417</v>
      </c>
      <c r="BQ139" s="181" t="str">
        <f>VLOOKUP(BR139,Lookup!$C$4:$D$14,2,FALSE)</f>
        <v>Slight Worsening</v>
      </c>
      <c r="BR139" s="193">
        <f>VLOOKUP(BS139,Lookup!$G$147:$L$157,6,FALSE)</f>
        <v>-1</v>
      </c>
      <c r="BS139" s="181" t="s">
        <v>2658</v>
      </c>
      <c r="BT139" s="281" t="s">
        <v>3570</v>
      </c>
      <c r="BU139" s="175" t="s">
        <v>2231</v>
      </c>
    </row>
    <row r="140" spans="1:73" ht="39.950000000000003" customHeight="1" thickBot="1" x14ac:dyDescent="0.25">
      <c r="A140" s="173">
        <f t="shared" si="19"/>
        <v>137</v>
      </c>
      <c r="B140" s="178" t="s">
        <v>1016</v>
      </c>
      <c r="C140" s="179" t="s">
        <v>1597</v>
      </c>
      <c r="D140" s="180">
        <v>568</v>
      </c>
      <c r="E140" s="180" t="s">
        <v>1944</v>
      </c>
      <c r="F140" s="273" t="str">
        <f>VLOOKUP($D140,'Practice Descriptions'!$E$11:$F$186,2,FALSE)</f>
        <v>A pathway for pedestrian, equestrian, bicycle, other off-road modes of recreation travel, farm-workers, construction/maintenance access and small walk behind equipment.</v>
      </c>
      <c r="G140" s="182">
        <v>15</v>
      </c>
      <c r="H140" s="183">
        <v>12</v>
      </c>
      <c r="I140" s="184">
        <v>0</v>
      </c>
      <c r="J140" s="184">
        <v>0.03</v>
      </c>
      <c r="K140" s="419">
        <f>IF(E140="No.",1,IF(E140="Ac.",1,(SQRT(VLOOKUP(O140,Lookup!$F$9:$H$18,3,FALSE)))*208/VLOOKUP(O140,Lookup!$F$9:$H$18,3,FALSE)))</f>
        <v>16.443843832875572</v>
      </c>
      <c r="L140" s="185" t="str">
        <f t="shared" si="20"/>
        <v>Assume length 1 side of square field (208'/Ac)</v>
      </c>
      <c r="M140" s="184">
        <v>0</v>
      </c>
      <c r="N140" s="186">
        <f>IF(G140=1,H140,PMT(Lookup!$G$4,G140,-H140)+(H140*J140)+(M140*P140))*K140</f>
        <v>25.091597949390284</v>
      </c>
      <c r="O140" s="187" t="s">
        <v>301</v>
      </c>
      <c r="P140" s="186">
        <f>VLOOKUP($O140,Lookup!$F$9:$I$18,4,FALSE)</f>
        <v>100</v>
      </c>
      <c r="Q140" s="184">
        <v>0.01</v>
      </c>
      <c r="R140" s="183">
        <v>0.25</v>
      </c>
      <c r="S140" s="188" t="s">
        <v>3607</v>
      </c>
      <c r="T140" s="186">
        <f t="shared" si="22"/>
        <v>1.25</v>
      </c>
      <c r="U140" s="189">
        <f t="shared" si="23"/>
        <v>4.9817472865667949E-2</v>
      </c>
      <c r="V140" s="189">
        <f t="shared" si="21"/>
        <v>0</v>
      </c>
      <c r="W140" s="190">
        <f>IF(P140=0,0,IF(Q140+R140=0,0,PV(Lookup!$G$4,G140,-T140)/H140))</f>
        <v>1.0721366590197594</v>
      </c>
      <c r="X140" s="190">
        <f>IF(I140=0,0,PMT(Lookup!$G$4,G140,-(H140*I140*K140))/P140)</f>
        <v>0</v>
      </c>
      <c r="Y140" s="42" t="s">
        <v>963</v>
      </c>
      <c r="Z140" s="192">
        <f>VLOOKUP(Y140,Lookup!$B$4:$C$14,2,FALSE)</f>
        <v>2</v>
      </c>
      <c r="AA140" s="281" t="s">
        <v>2674</v>
      </c>
      <c r="AB140" s="282" t="s">
        <v>1072</v>
      </c>
      <c r="AC140" s="181" t="str">
        <f>VLOOKUP(AD140,Lookup!$C$4:$D$14,2,FALSE)</f>
        <v>Slight to Moderate Worsening</v>
      </c>
      <c r="AD140" s="193">
        <f>IF(P140/H140&lt;Lookup!$F$33,-5,IF(P140/H140&lt;Lookup!$F$32,-4,IF(P140/H140&lt;Lookup!$F$31,-3,IF(P140/H140&lt;Lookup!$F$30,-2,IF(P140/H140&lt;Lookup!$F$29,-1,-5)))))</f>
        <v>-2</v>
      </c>
      <c r="AE140" s="194" t="str">
        <f>VLOOKUP(AD140,Lookup!$G$28:$J$33,2,FALSE)</f>
        <v>One-time practice implementation cost 5 to 100% of enterprise annual net income</v>
      </c>
      <c r="AF140" s="281" t="s">
        <v>1842</v>
      </c>
      <c r="AG140" s="181" t="str">
        <f>VLOOKUP(AH140,Lookup!$C$4:$D$14,2,FALSE)</f>
        <v>Moderate Worsening</v>
      </c>
      <c r="AH140" s="193">
        <f>IF(J140&gt;Lookup!$F$43,-5,IF(J140&gt;Lookup!$F$42,-4,IF(J140&gt;Lookup!$F$41,-3,IF(J140&gt;Lookup!$F$40,-2,IF(J140&gt;Lookup!$F$39,-1,0)))))</f>
        <v>-3</v>
      </c>
      <c r="AI140" s="194" t="str">
        <f>VLOOKUP(AH140,Lookup!$G$38:$J$43,2,FALSE)</f>
        <v>Annual O&amp;M costs 2 to 3% of total installation costs</v>
      </c>
      <c r="AJ140" s="281" t="s">
        <v>3016</v>
      </c>
      <c r="AK140" s="181" t="str">
        <f>VLOOKUP(AL140,Lookup!$C$4:$D$14,2,FALSE)</f>
        <v>Moderate to Substantial Worsening</v>
      </c>
      <c r="AL140" s="346">
        <f>IF(N140=0,0,IF(U140&lt;Lookup!$F$58,-5,IF(U140&lt;Lookup!$F$57,-4,IF(U140&lt;Lookup!$F$56,-3,IF(U140&lt;Lookup!$F$55,-2,IF(U140&lt;Lookup!$F$54,-1,IF(U140&lt;Lookup!$F$53,0,IF(U140&lt;Lookup!$F$52,1,IF(U140&lt;Lookup!$F$51,2,IF(U140&lt;Lookup!$F$50,3,IF(U140&lt;Lookup!$F$49,4,5)))))))))))</f>
        <v>-4</v>
      </c>
      <c r="AM140" s="194" t="str">
        <f>VLOOKUP(AL140,Lookup!$G$48:$J$58,2,FALSE)</f>
        <v>B/C Ratio .05 to .10</v>
      </c>
      <c r="AN140" s="281" t="s">
        <v>3046</v>
      </c>
      <c r="AO140" s="181" t="str">
        <f>VLOOKUP(AP140,Lookup!$C$4:$D$14,2,FALSE)</f>
        <v>Slight Improvement</v>
      </c>
      <c r="AP140" s="193">
        <f>IF(Q140=0,0,IF(Q140&gt;Lookup!$F$63,5,IF(Q140&gt;Lookup!$F$64,4,IF(Q140&gt;Lookup!$F$65,3,IF(Q140&gt;Lookup!$F$66,2,IF(Q140&gt;Lookup!$F$67,1,IF(Q140&gt;Lookup!$F$69,-1,IF(Q140&gt;Lookup!$F$70,-2,IF(Q140&gt;Lookup!$F$71,-3,IF(Q140&gt;Lookup!$F$72,-4,-5))))))))))</f>
        <v>1</v>
      </c>
      <c r="AQ140" s="194" t="str">
        <f>VLOOKUP(AP140,Lookup!$G$63:$J$73,2,FALSE)</f>
        <v>5% or less yield increase</v>
      </c>
      <c r="AR140" s="281" t="s">
        <v>3081</v>
      </c>
      <c r="AS140" s="181" t="str">
        <f>VLOOKUP(AT140,Lookup!$C$4:$D$14,2,FALSE)</f>
        <v>No Effect</v>
      </c>
      <c r="AT140" s="193">
        <f>IF(V140=0,0,IF(V140&lt;Lookup!$F$79,5,IF(V140&lt;Lookup!$F$80,4,IF(V140&lt;Lookup!$F$81,3,IF(V140&lt;Lookup!$F$82,2,IF(V140&lt;Lookup!$F$83,1,IF(V140&lt;Lookup!$F$85,-1,IF(V140&lt;Lookup!$F$86,-2,IF(V140&lt;Lookup!$F$87,-3,IF(V140&lt;Lookup!$F$88,-4,-5))))))))))</f>
        <v>0</v>
      </c>
      <c r="AU140" s="194" t="str">
        <f>VLOOKUP(AT140,Lookup!$G$79:$J$89,2,FALSE)</f>
        <v>No breakeven</v>
      </c>
      <c r="AV140" s="345" t="str">
        <f>VLOOKUP(AT140,Lookup!$G$79:$J$89,4,FALSE)</f>
        <v>Annual costs greater than annual benefits</v>
      </c>
      <c r="AW140" s="181" t="str">
        <f>VLOOKUP(AX140,Lookup!$C$4:$D$14,2,FALSE)</f>
        <v>Slight Improvement</v>
      </c>
      <c r="AX140" s="193">
        <f>VLOOKUP(AY140,Lookup!$G$92:$J$97,4,FALSE)</f>
        <v>1</v>
      </c>
      <c r="AY140" s="181" t="s">
        <v>2636</v>
      </c>
      <c r="AZ140" s="281" t="s">
        <v>3562</v>
      </c>
      <c r="BA140" s="181" t="str">
        <f>VLOOKUP(BB140,Lookup!$C$4:$D$14,2,FALSE)</f>
        <v>Slight Worsening</v>
      </c>
      <c r="BB140" s="193">
        <f>VLOOKUP(BC140,Lookup!$G$100:$K$110,5,FALSE)</f>
        <v>-1</v>
      </c>
      <c r="BC140" s="181" t="s">
        <v>2637</v>
      </c>
      <c r="BD140" s="281" t="s">
        <v>3184</v>
      </c>
      <c r="BE140" s="181" t="str">
        <f>VLOOKUP(BF140,Lookup!$C$4:$D$14,2,FALSE)</f>
        <v>No Effect</v>
      </c>
      <c r="BF140" s="193">
        <f>IF(X140=0,0,IF(X140&gt;Lookup!$F$113,-5,IF(X140&gt;Lookup!$F$114,-4,IF(X140&gt;Lookup!$F$115,-3,IF(X140&gt;Lookup!$F$116,-2,IF(X140&gt;Lookup!$F$117,-1,0))))))</f>
        <v>0</v>
      </c>
      <c r="BG140" s="195" t="str">
        <f>VLOOKUP(BF140,Lookup!$G$113:$H$118,2,FALSE)</f>
        <v>No change in on-farm equipment</v>
      </c>
      <c r="BH140" s="281" t="s">
        <v>1841</v>
      </c>
      <c r="BI140" s="181" t="str">
        <f>VLOOKUP(BJ140,Lookup!$C$4:$D$14,2,FALSE)</f>
        <v>Slight Improvement</v>
      </c>
      <c r="BJ140" s="193">
        <f>VLOOKUP(BK140,Lookup!$G$121:$L$131,6,FALSE)</f>
        <v>1</v>
      </c>
      <c r="BK140" s="181" t="s">
        <v>2638</v>
      </c>
      <c r="BL140" s="281" t="s">
        <v>3340</v>
      </c>
      <c r="BM140" s="181" t="str">
        <f>VLOOKUP(BN140,Lookup!$C$4:$D$14,2,FALSE)</f>
        <v>No Effect</v>
      </c>
      <c r="BN140" s="193">
        <f>VLOOKUP(BO140,Lookup!$G$134:$L$144,6,FALSE)</f>
        <v>0</v>
      </c>
      <c r="BO140" s="181" t="s">
        <v>2646</v>
      </c>
      <c r="BP140" s="281" t="s">
        <v>3154</v>
      </c>
      <c r="BQ140" s="181" t="str">
        <f>VLOOKUP(BR140,Lookup!$C$4:$D$14,2,FALSE)</f>
        <v>Slight to Moderate Improvement</v>
      </c>
      <c r="BR140" s="193">
        <f>VLOOKUP(BS140,Lookup!$G$147:$L$157,6,FALSE)</f>
        <v>2</v>
      </c>
      <c r="BS140" s="181" t="s">
        <v>2641</v>
      </c>
      <c r="BT140" s="281" t="s">
        <v>3487</v>
      </c>
      <c r="BU140" s="175" t="s">
        <v>2231</v>
      </c>
    </row>
    <row r="141" spans="1:73" ht="39.950000000000003" customHeight="1" thickBot="1" x14ac:dyDescent="0.25">
      <c r="A141" s="173">
        <f t="shared" si="19"/>
        <v>138</v>
      </c>
      <c r="B141" s="178" t="s">
        <v>364</v>
      </c>
      <c r="C141" s="179" t="s">
        <v>1475</v>
      </c>
      <c r="D141" s="180">
        <v>612</v>
      </c>
      <c r="E141" s="180" t="s">
        <v>3646</v>
      </c>
      <c r="F141" s="273" t="str">
        <f>VLOOKUP($D141,'Practice Descriptions'!$E$11:$F$186,2,FALSE)</f>
        <v>Establishing woody plants by planting seedlings or cuttings, direct seeding, or natural regeneration.</v>
      </c>
      <c r="G141" s="182">
        <v>15</v>
      </c>
      <c r="H141" s="183">
        <v>600</v>
      </c>
      <c r="I141" s="184">
        <v>0</v>
      </c>
      <c r="J141" s="184">
        <v>0.01</v>
      </c>
      <c r="K141" s="419">
        <f>IF(E141="No.",1,IF(E141="Ac.",1,(SQRT(VLOOKUP(O141,Lookup!$F$9:$H$18,3,FALSE)))*208/VLOOKUP(O141,Lookup!$F$9:$H$18,3,FALSE)))</f>
        <v>1</v>
      </c>
      <c r="L141" s="185" t="str">
        <f t="shared" si="20"/>
        <v/>
      </c>
      <c r="M141" s="184">
        <v>0</v>
      </c>
      <c r="N141" s="186">
        <f>IF(G141=1,H141,PMT(Lookup!$G$4,G141,-H141)+(H141*J141)+(M141*P141))*K141</f>
        <v>64.294807358926562</v>
      </c>
      <c r="O141" s="187" t="s">
        <v>301</v>
      </c>
      <c r="P141" s="186">
        <f>VLOOKUP($O141,Lookup!$F$9:$I$18,4,FALSE)</f>
        <v>100</v>
      </c>
      <c r="Q141" s="184">
        <v>0</v>
      </c>
      <c r="R141" s="183">
        <v>20</v>
      </c>
      <c r="S141" s="188" t="s">
        <v>3640</v>
      </c>
      <c r="T141" s="186">
        <f t="shared" si="22"/>
        <v>20</v>
      </c>
      <c r="U141" s="189">
        <f t="shared" si="23"/>
        <v>0.31106711135083975</v>
      </c>
      <c r="V141" s="189">
        <f t="shared" si="21"/>
        <v>0</v>
      </c>
      <c r="W141" s="190">
        <f>IF(P141=0,0,IF(Q141+R141=0,0,PV(Lookup!$G$4,G141,-T141)/H141))</f>
        <v>0.34308373088632305</v>
      </c>
      <c r="X141" s="190">
        <f>IF(I141=0,0,PMT(Lookup!$G$4,G141,-(H141*I141*K141))/P141)</f>
        <v>0</v>
      </c>
      <c r="Y141" s="42" t="s">
        <v>963</v>
      </c>
      <c r="Z141" s="192">
        <f>VLOOKUP(Y141,Lookup!$B$4:$C$14,2,FALSE)</f>
        <v>2</v>
      </c>
      <c r="AA141" s="281" t="s">
        <v>1927</v>
      </c>
      <c r="AB141" s="282" t="s">
        <v>1072</v>
      </c>
      <c r="AC141" s="181" t="str">
        <f>VLOOKUP(AD141,Lookup!$C$4:$D$14,2,FALSE)</f>
        <v>Substantial Worsening</v>
      </c>
      <c r="AD141" s="193">
        <f>IF(P141/H141&lt;Lookup!$F$33,-5,IF(P141/H141&lt;Lookup!$F$32,-4,IF(P141/H141&lt;Lookup!$F$31,-3,IF(P141/H141&lt;Lookup!$F$30,-2,IF(P141/H141&lt;Lookup!$F$29,-1,-5)))))</f>
        <v>-5</v>
      </c>
      <c r="AE141" s="194" t="str">
        <f>VLOOKUP(AD141,Lookup!$G$28:$J$33,2,FALSE)</f>
        <v>One-time practice implementation cost 5 times or greater enterprise annual net income</v>
      </c>
      <c r="AF141" s="281" t="s">
        <v>1891</v>
      </c>
      <c r="AG141" s="181" t="str">
        <f>VLOOKUP(AH141,Lookup!$C$4:$D$14,2,FALSE)</f>
        <v>Slight Worsening</v>
      </c>
      <c r="AH141" s="193">
        <f>IF(J141&gt;Lookup!$F$43,-5,IF(J141&gt;Lookup!$F$42,-4,IF(J141&gt;Lookup!$F$41,-3,IF(J141&gt;Lookup!$F$40,-2,IF(J141&gt;Lookup!$F$39,-1,0)))))</f>
        <v>-1</v>
      </c>
      <c r="AI141" s="194" t="str">
        <f>VLOOKUP(AH141,Lookup!$G$38:$J$43,2,FALSE)</f>
        <v>Annual O&amp;M costs less than 1% of total installation costs</v>
      </c>
      <c r="AJ141" s="281" t="s">
        <v>2978</v>
      </c>
      <c r="AK141" s="181" t="str">
        <f>VLOOKUP(AL141,Lookup!$C$4:$D$14,2,FALSE)</f>
        <v>Slight to Moderate Worsening</v>
      </c>
      <c r="AL141" s="346">
        <f>IF(N141=0,0,IF(U141&lt;Lookup!$F$58,-5,IF(U141&lt;Lookup!$F$57,-4,IF(U141&lt;Lookup!$F$56,-3,IF(U141&lt;Lookup!$F$55,-2,IF(U141&lt;Lookup!$F$54,-1,IF(U141&lt;Lookup!$F$53,0,IF(U141&lt;Lookup!$F$52,1,IF(U141&lt;Lookup!$F$51,2,IF(U141&lt;Lookup!$F$50,3,IF(U141&lt;Lookup!$F$49,4,5)))))))))))</f>
        <v>-2</v>
      </c>
      <c r="AM141" s="194" t="str">
        <f>VLOOKUP(AL141,Lookup!$G$48:$J$58,2,FALSE)</f>
        <v>B/C Ratio .25 to .50</v>
      </c>
      <c r="AN141" s="281" t="s">
        <v>3068</v>
      </c>
      <c r="AO141" s="181" t="str">
        <f>VLOOKUP(AP141,Lookup!$C$4:$D$14,2,FALSE)</f>
        <v>No Effect</v>
      </c>
      <c r="AP141" s="193">
        <f>IF(Q141=0,0,IF(Q141&gt;Lookup!$F$63,5,IF(Q141&gt;Lookup!$F$64,4,IF(Q141&gt;Lookup!$F$65,3,IF(Q141&gt;Lookup!$F$66,2,IF(Q141&gt;Lookup!$F$67,1,IF(Q141&gt;Lookup!$F$69,-1,IF(Q141&gt;Lookup!$F$70,-2,IF(Q141&gt;Lookup!$F$71,-3,IF(Q141&gt;Lookup!$F$72,-4,-5))))))))))</f>
        <v>0</v>
      </c>
      <c r="AQ141" s="194" t="str">
        <f>VLOOKUP(AP141,Lookup!$G$63:$J$73,2,FALSE)</f>
        <v>No change in yield</v>
      </c>
      <c r="AR141" s="281" t="s">
        <v>3137</v>
      </c>
      <c r="AS141" s="181" t="str">
        <f>VLOOKUP(AT141,Lookup!$C$4:$D$14,2,FALSE)</f>
        <v>No Effect</v>
      </c>
      <c r="AT141" s="193">
        <f>IF(V141=0,0,IF(V141&lt;Lookup!$F$79,5,IF(V141&lt;Lookup!$F$80,4,IF(V141&lt;Lookup!$F$81,3,IF(V141&lt;Lookup!$F$82,2,IF(V141&lt;Lookup!$F$83,1,IF(V141&lt;Lookup!$F$85,-1,IF(V141&lt;Lookup!$F$86,-2,IF(V141&lt;Lookup!$F$87,-3,IF(V141&lt;Lookup!$F$88,-4,-5))))))))))</f>
        <v>0</v>
      </c>
      <c r="AU141" s="194" t="str">
        <f>VLOOKUP(AT141,Lookup!$G$79:$J$89,2,FALSE)</f>
        <v>No breakeven</v>
      </c>
      <c r="AV141" s="345" t="str">
        <f>VLOOKUP(AT141,Lookup!$G$79:$J$89,4,FALSE)</f>
        <v>Annual costs greater than annual benefits</v>
      </c>
      <c r="AW141" s="181" t="str">
        <f>VLOOKUP(AX141,Lookup!$C$4:$D$14,2,FALSE)</f>
        <v>Moderate Improvement</v>
      </c>
      <c r="AX141" s="193">
        <f>VLOOKUP(AY141,Lookup!$G$92:$J$97,4,FALSE)</f>
        <v>3</v>
      </c>
      <c r="AY141" s="181" t="s">
        <v>2631</v>
      </c>
      <c r="AZ141" s="281" t="s">
        <v>3178</v>
      </c>
      <c r="BA141" s="181" t="str">
        <f>VLOOKUP(BB141,Lookup!$C$4:$D$14,2,FALSE)</f>
        <v>Slight to Moderate Worsening</v>
      </c>
      <c r="BB141" s="193">
        <f>VLOOKUP(BC141,Lookup!$G$100:$K$110,5,FALSE)</f>
        <v>-2</v>
      </c>
      <c r="BC141" s="181" t="s">
        <v>2659</v>
      </c>
      <c r="BD141" s="281" t="s">
        <v>3193</v>
      </c>
      <c r="BE141" s="181" t="str">
        <f>VLOOKUP(BF141,Lookup!$C$4:$D$14,2,FALSE)</f>
        <v>No Effect</v>
      </c>
      <c r="BF141" s="193">
        <f>IF(X141=0,0,IF(X141&gt;Lookup!$F$113,-5,IF(X141&gt;Lookup!$F$114,-4,IF(X141&gt;Lookup!$F$115,-3,IF(X141&gt;Lookup!$F$116,-2,IF(X141&gt;Lookup!$F$117,-1,0))))))</f>
        <v>0</v>
      </c>
      <c r="BG141" s="195" t="str">
        <f>VLOOKUP(BF141,Lookup!$G$113:$H$118,2,FALSE)</f>
        <v>No change in on-farm equipment</v>
      </c>
      <c r="BH141" s="281" t="s">
        <v>1849</v>
      </c>
      <c r="BI141" s="181" t="str">
        <f>VLOOKUP(BJ141,Lookup!$C$4:$D$14,2,FALSE)</f>
        <v>Slight Worsening</v>
      </c>
      <c r="BJ141" s="193">
        <f>VLOOKUP(BK141,Lookup!$G$121:$L$131,6,FALSE)</f>
        <v>-1</v>
      </c>
      <c r="BK141" s="181" t="s">
        <v>2640</v>
      </c>
      <c r="BL141" s="281" t="s">
        <v>3341</v>
      </c>
      <c r="BM141" s="181" t="str">
        <f>VLOOKUP(BN141,Lookup!$C$4:$D$14,2,FALSE)</f>
        <v>No Effect</v>
      </c>
      <c r="BN141" s="193">
        <f>VLOOKUP(BO141,Lookup!$G$134:$L$144,6,FALSE)</f>
        <v>0</v>
      </c>
      <c r="BO141" s="181" t="s">
        <v>2646</v>
      </c>
      <c r="BP141" s="281" t="s">
        <v>3154</v>
      </c>
      <c r="BQ141" s="181" t="str">
        <f>VLOOKUP(BR141,Lookup!$C$4:$D$14,2,FALSE)</f>
        <v>Slight Worsening</v>
      </c>
      <c r="BR141" s="193">
        <f>VLOOKUP(BS141,Lookup!$G$147:$L$157,6,FALSE)</f>
        <v>-1</v>
      </c>
      <c r="BS141" s="181" t="s">
        <v>2658</v>
      </c>
      <c r="BT141" s="281" t="s">
        <v>3571</v>
      </c>
      <c r="BU141" s="175" t="s">
        <v>2231</v>
      </c>
    </row>
    <row r="142" spans="1:73" ht="39.950000000000003" customHeight="1" thickBot="1" x14ac:dyDescent="0.25">
      <c r="A142" s="173">
        <f t="shared" si="19"/>
        <v>139</v>
      </c>
      <c r="B142" s="178" t="s">
        <v>365</v>
      </c>
      <c r="C142" s="179" t="s">
        <v>1598</v>
      </c>
      <c r="D142" s="180">
        <v>660</v>
      </c>
      <c r="E142" s="180" t="s">
        <v>3646</v>
      </c>
      <c r="F142" s="273" t="str">
        <f>VLOOKUP($D142,'Practice Descriptions'!$E$11:$F$186,2,FALSE)</f>
        <v>The removal of all or part of selected branches, leaders or roots from trees and shrubs.</v>
      </c>
      <c r="G142" s="182">
        <v>10</v>
      </c>
      <c r="H142" s="183">
        <v>200</v>
      </c>
      <c r="I142" s="184">
        <v>0</v>
      </c>
      <c r="J142" s="184">
        <v>0.01</v>
      </c>
      <c r="K142" s="419">
        <f>IF(E142="No.",1,IF(E142="Ac.",1,(SQRT(VLOOKUP(O142,Lookup!$F$9:$H$18,3,FALSE)))*208/VLOOKUP(O142,Lookup!$F$9:$H$18,3,FALSE)))</f>
        <v>1</v>
      </c>
      <c r="L142" s="185" t="str">
        <f t="shared" si="20"/>
        <v/>
      </c>
      <c r="M142" s="184">
        <v>0</v>
      </c>
      <c r="N142" s="186">
        <f>IF(G142=1,H142,PMT(Lookup!$G$4,G142,-H142)+(H142*J142)+(M142*P142))*K142</f>
        <v>28.058376113679437</v>
      </c>
      <c r="O142" s="187" t="s">
        <v>301</v>
      </c>
      <c r="P142" s="186">
        <f>VLOOKUP($O142,Lookup!$F$9:$I$18,4,FALSE)</f>
        <v>100</v>
      </c>
      <c r="Q142" s="184">
        <v>0.2</v>
      </c>
      <c r="R142" s="183">
        <v>1</v>
      </c>
      <c r="S142" s="188" t="s">
        <v>3641</v>
      </c>
      <c r="T142" s="186">
        <f t="shared" si="22"/>
        <v>21</v>
      </c>
      <c r="U142" s="189">
        <f t="shared" si="23"/>
        <v>0.74843960730007353</v>
      </c>
      <c r="V142" s="189">
        <f t="shared" si="21"/>
        <v>0</v>
      </c>
      <c r="W142" s="190">
        <f>IF(P142=0,0,IF(Q142+R142=0,0,PV(Lookup!$G$4,G142,-T142)/H142))</f>
        <v>0.80588291106044718</v>
      </c>
      <c r="X142" s="190">
        <f>IF(I142=0,0,PMT(Lookup!$G$4,G142,-(H142*I142*K142))/P142)</f>
        <v>0</v>
      </c>
      <c r="Y142" s="42" t="s">
        <v>986</v>
      </c>
      <c r="Z142" s="192">
        <f>VLOOKUP(Y142,Lookup!$B$4:$C$14,2,FALSE)</f>
        <v>0</v>
      </c>
      <c r="AA142" s="281" t="s">
        <v>2759</v>
      </c>
      <c r="AB142" s="282" t="s">
        <v>1072</v>
      </c>
      <c r="AC142" s="181" t="str">
        <f>VLOOKUP(AD142,Lookup!$C$4:$D$14,2,FALSE)</f>
        <v>Moderate Worsening</v>
      </c>
      <c r="AD142" s="193">
        <f>IF(P142/H142&lt;Lookup!$F$33,-5,IF(P142/H142&lt;Lookup!$F$32,-4,IF(P142/H142&lt;Lookup!$F$31,-3,IF(P142/H142&lt;Lookup!$F$30,-2,IF(P142/H142&lt;Lookup!$F$29,-1,-5)))))</f>
        <v>-3</v>
      </c>
      <c r="AE142" s="194" t="str">
        <f>VLOOKUP(AD142,Lookup!$G$28:$J$33,2,FALSE)</f>
        <v>One-time practice implementation cost 1 to 2 times enterprise annual net income</v>
      </c>
      <c r="AF142" s="281" t="s">
        <v>1891</v>
      </c>
      <c r="AG142" s="181" t="str">
        <f>VLOOKUP(AH142,Lookup!$C$4:$D$14,2,FALSE)</f>
        <v>Slight Worsening</v>
      </c>
      <c r="AH142" s="193">
        <f>IF(J142&gt;Lookup!$F$43,-5,IF(J142&gt;Lookup!$F$42,-4,IF(J142&gt;Lookup!$F$41,-3,IF(J142&gt;Lookup!$F$40,-2,IF(J142&gt;Lookup!$F$39,-1,0)))))</f>
        <v>-1</v>
      </c>
      <c r="AI142" s="194" t="str">
        <f>VLOOKUP(AH142,Lookup!$G$38:$J$43,2,FALSE)</f>
        <v>Annual O&amp;M costs less than 1% of total installation costs</v>
      </c>
      <c r="AJ142" s="281" t="s">
        <v>2978</v>
      </c>
      <c r="AK142" s="181" t="str">
        <f>VLOOKUP(AL142,Lookup!$C$4:$D$14,2,FALSE)</f>
        <v>Slight Worsening</v>
      </c>
      <c r="AL142" s="346">
        <f>IF(N142=0,0,IF(U142&lt;Lookup!$F$58,-5,IF(U142&lt;Lookup!$F$57,-4,IF(U142&lt;Lookup!$F$56,-3,IF(U142&lt;Lookup!$F$55,-2,IF(U142&lt;Lookup!$F$54,-1,IF(U142&lt;Lookup!$F$53,0,IF(U142&lt;Lookup!$F$52,1,IF(U142&lt;Lookup!$F$51,2,IF(U142&lt;Lookup!$F$50,3,IF(U142&lt;Lookup!$F$49,4,5)))))))))))</f>
        <v>-1</v>
      </c>
      <c r="AM142" s="194" t="str">
        <f>VLOOKUP(AL142,Lookup!$G$48:$J$58,2,FALSE)</f>
        <v>B/C Ratio .50 to .75</v>
      </c>
      <c r="AN142" s="281" t="s">
        <v>3068</v>
      </c>
      <c r="AO142" s="181" t="str">
        <f>VLOOKUP(AP142,Lookup!$C$4:$D$14,2,FALSE)</f>
        <v>Slight to Moderate Improvement</v>
      </c>
      <c r="AP142" s="193">
        <f>IF(Q142=0,0,IF(Q142&gt;Lookup!$F$63,5,IF(Q142&gt;Lookup!$F$64,4,IF(Q142&gt;Lookup!$F$65,3,IF(Q142&gt;Lookup!$F$66,2,IF(Q142&gt;Lookup!$F$67,1,IF(Q142&gt;Lookup!$F$69,-1,IF(Q142&gt;Lookup!$F$70,-2,IF(Q142&gt;Lookup!$F$71,-3,IF(Q142&gt;Lookup!$F$72,-4,-5))))))))))</f>
        <v>2</v>
      </c>
      <c r="AQ142" s="194" t="str">
        <f>VLOOKUP(AP142,Lookup!$G$63:$J$73,2,FALSE)</f>
        <v>5 to 10% yield increase</v>
      </c>
      <c r="AR142" s="281" t="s">
        <v>3136</v>
      </c>
      <c r="AS142" s="181" t="str">
        <f>VLOOKUP(AT142,Lookup!$C$4:$D$14,2,FALSE)</f>
        <v>No Effect</v>
      </c>
      <c r="AT142" s="193">
        <f>IF(V142=0,0,IF(V142&lt;Lookup!$F$79,5,IF(V142&lt;Lookup!$F$80,4,IF(V142&lt;Lookup!$F$81,3,IF(V142&lt;Lookup!$F$82,2,IF(V142&lt;Lookup!$F$83,1,IF(V142&lt;Lookup!$F$85,-1,IF(V142&lt;Lookup!$F$86,-2,IF(V142&lt;Lookup!$F$87,-3,IF(V142&lt;Lookup!$F$88,-4,-5))))))))))</f>
        <v>0</v>
      </c>
      <c r="AU142" s="194" t="str">
        <f>VLOOKUP(AT142,Lookup!$G$79:$J$89,2,FALSE)</f>
        <v>No breakeven</v>
      </c>
      <c r="AV142" s="345" t="str">
        <f>VLOOKUP(AT142,Lookup!$G$79:$J$89,4,FALSE)</f>
        <v>Annual costs greater than annual benefits</v>
      </c>
      <c r="AW142" s="181" t="str">
        <f>VLOOKUP(AX142,Lookup!$C$4:$D$14,2,FALSE)</f>
        <v>No Effect</v>
      </c>
      <c r="AX142" s="193">
        <f>VLOOKUP(AY142,Lookup!$G$92:$J$97,4,FALSE)</f>
        <v>0</v>
      </c>
      <c r="AY142" s="181" t="s">
        <v>2642</v>
      </c>
      <c r="AZ142" s="281" t="s">
        <v>3154</v>
      </c>
      <c r="BA142" s="181" t="str">
        <f>VLOOKUP(BB142,Lookup!$C$4:$D$14,2,FALSE)</f>
        <v>No Effect</v>
      </c>
      <c r="BB142" s="193">
        <f>VLOOKUP(BC142,Lookup!$G$100:$K$110,5,FALSE)</f>
        <v>0</v>
      </c>
      <c r="BC142" s="181" t="s">
        <v>2643</v>
      </c>
      <c r="BD142" s="281" t="s">
        <v>3154</v>
      </c>
      <c r="BE142" s="181" t="str">
        <f>VLOOKUP(BF142,Lookup!$C$4:$D$14,2,FALSE)</f>
        <v>No Effect</v>
      </c>
      <c r="BF142" s="193">
        <f>IF(X142=0,0,IF(X142&gt;Lookup!$F$113,-5,IF(X142&gt;Lookup!$F$114,-4,IF(X142&gt;Lookup!$F$115,-3,IF(X142&gt;Lookup!$F$116,-2,IF(X142&gt;Lookup!$F$117,-1,0))))))</f>
        <v>0</v>
      </c>
      <c r="BG142" s="195" t="str">
        <f>VLOOKUP(BF142,Lookup!$G$113:$H$118,2,FALSE)</f>
        <v>No change in on-farm equipment</v>
      </c>
      <c r="BH142" s="281" t="s">
        <v>1849</v>
      </c>
      <c r="BI142" s="181" t="str">
        <f>VLOOKUP(BJ142,Lookup!$C$4:$D$14,2,FALSE)</f>
        <v>Slight Worsening</v>
      </c>
      <c r="BJ142" s="193">
        <f>VLOOKUP(BK142,Lookup!$G$121:$L$131,6,FALSE)</f>
        <v>-1</v>
      </c>
      <c r="BK142" s="181" t="s">
        <v>2640</v>
      </c>
      <c r="BL142" s="281" t="s">
        <v>3342</v>
      </c>
      <c r="BM142" s="181" t="str">
        <f>VLOOKUP(BN142,Lookup!$C$4:$D$14,2,FALSE)</f>
        <v>No Effect</v>
      </c>
      <c r="BN142" s="193">
        <f>VLOOKUP(BO142,Lookup!$G$134:$L$144,6,FALSE)</f>
        <v>0</v>
      </c>
      <c r="BO142" s="181" t="s">
        <v>2646</v>
      </c>
      <c r="BP142" s="281" t="s">
        <v>3154</v>
      </c>
      <c r="BQ142" s="181" t="str">
        <f>VLOOKUP(BR142,Lookup!$C$4:$D$14,2,FALSE)</f>
        <v>No Effect</v>
      </c>
      <c r="BR142" s="193">
        <f>VLOOKUP(BS142,Lookup!$G$147:$L$157,6,FALSE)</f>
        <v>0</v>
      </c>
      <c r="BS142" s="181" t="s">
        <v>2676</v>
      </c>
      <c r="BT142" s="281" t="s">
        <v>3154</v>
      </c>
      <c r="BU142" s="175" t="s">
        <v>2231</v>
      </c>
    </row>
    <row r="143" spans="1:73" ht="39.950000000000003" customHeight="1" thickBot="1" x14ac:dyDescent="0.25">
      <c r="A143" s="173">
        <f t="shared" si="19"/>
        <v>140</v>
      </c>
      <c r="B143" s="178" t="s">
        <v>1394</v>
      </c>
      <c r="C143" s="179" t="s">
        <v>1598</v>
      </c>
      <c r="D143" s="180">
        <v>490</v>
      </c>
      <c r="E143" s="180" t="s">
        <v>3646</v>
      </c>
      <c r="F143" s="273" t="str">
        <f>VLOOKUP($D143,'Practice Descriptions'!$E$11:$F$186,2,FALSE)</f>
        <v>Treatment of areas to improve site conditions for establishing trees and/or shrubs.</v>
      </c>
      <c r="G143" s="182">
        <v>1</v>
      </c>
      <c r="H143" s="183">
        <v>150</v>
      </c>
      <c r="I143" s="184">
        <v>0</v>
      </c>
      <c r="J143" s="184">
        <v>0</v>
      </c>
      <c r="K143" s="419">
        <f>IF(E143="No.",1,IF(E143="Ac.",1,(SQRT(VLOOKUP(O143,Lookup!$F$9:$H$18,3,FALSE)))*208/VLOOKUP(O143,Lookup!$F$9:$H$18,3,FALSE)))</f>
        <v>1</v>
      </c>
      <c r="L143" s="185" t="str">
        <f t="shared" si="20"/>
        <v/>
      </c>
      <c r="M143" s="184">
        <v>0</v>
      </c>
      <c r="N143" s="186">
        <f>IF(G143=1,H143,PMT(Lookup!$G$4,G143,-H143)+(H143*J143)+(M143*P143))*K143</f>
        <v>150</v>
      </c>
      <c r="O143" s="187" t="s">
        <v>301</v>
      </c>
      <c r="P143" s="186">
        <f>VLOOKUP($O143,Lookup!$F$9:$I$18,4,FALSE)</f>
        <v>100</v>
      </c>
      <c r="Q143" s="184">
        <v>0</v>
      </c>
      <c r="R143" s="183">
        <v>0</v>
      </c>
      <c r="S143" s="188" t="s">
        <v>3638</v>
      </c>
      <c r="T143" s="186">
        <f t="shared" si="22"/>
        <v>0</v>
      </c>
      <c r="U143" s="189">
        <f t="shared" si="23"/>
        <v>0</v>
      </c>
      <c r="V143" s="189">
        <f t="shared" si="21"/>
        <v>0</v>
      </c>
      <c r="W143" s="190">
        <f>IF(P143=0,0,IF(Q143+R143=0,0,PV(Lookup!$G$4,G143,-T143)/H143))</f>
        <v>0</v>
      </c>
      <c r="X143" s="190">
        <f>IF(I143=0,0,PMT(Lookup!$G$4,G143,-(H143*I143*K143))/P143)</f>
        <v>0</v>
      </c>
      <c r="Y143" s="42" t="s">
        <v>963</v>
      </c>
      <c r="Z143" s="192">
        <f>VLOOKUP(Y143,Lookup!$B$4:$C$14,2,FALSE)</f>
        <v>2</v>
      </c>
      <c r="AA143" s="281" t="s">
        <v>1852</v>
      </c>
      <c r="AB143" s="282" t="s">
        <v>1072</v>
      </c>
      <c r="AC143" s="181" t="str">
        <f>VLOOKUP(AD143,Lookup!$C$4:$D$14,2,FALSE)</f>
        <v>Moderate Worsening</v>
      </c>
      <c r="AD143" s="193">
        <f>IF(P143/H143&lt;Lookup!$F$33,-5,IF(P143/H143&lt;Lookup!$F$32,-4,IF(P143/H143&lt;Lookup!$F$31,-3,IF(P143/H143&lt;Lookup!$F$30,-2,IF(P143/H143&lt;Lookup!$F$29,-1,-5)))))</f>
        <v>-3</v>
      </c>
      <c r="AE143" s="194" t="str">
        <f>VLOOKUP(AD143,Lookup!$G$28:$J$33,2,FALSE)</f>
        <v>One-time practice implementation cost 1 to 2 times enterprise annual net income</v>
      </c>
      <c r="AF143" s="281" t="s">
        <v>1928</v>
      </c>
      <c r="AG143" s="181" t="str">
        <f>VLOOKUP(AH143,Lookup!$C$4:$D$14,2,FALSE)</f>
        <v>No Effect</v>
      </c>
      <c r="AH143" s="193">
        <f>IF(J143&gt;Lookup!$F$43,-5,IF(J143&gt;Lookup!$F$42,-4,IF(J143&gt;Lookup!$F$41,-3,IF(J143&gt;Lookup!$F$40,-2,IF(J143&gt;Lookup!$F$39,-1,0)))))</f>
        <v>0</v>
      </c>
      <c r="AI143" s="194" t="str">
        <f>VLOOKUP(AH143,Lookup!$G$38:$J$43,2,FALSE)</f>
        <v>No O&amp;M costs</v>
      </c>
      <c r="AJ143" s="281" t="s">
        <v>3005</v>
      </c>
      <c r="AK143" s="181" t="str">
        <f>VLOOKUP(AL143,Lookup!$C$4:$D$14,2,FALSE)</f>
        <v>Substantial Worsening</v>
      </c>
      <c r="AL143" s="346">
        <f>IF(N143=0,0,IF(U143&lt;Lookup!$F$58,-5,IF(U143&lt;Lookup!$F$57,-4,IF(U143&lt;Lookup!$F$56,-3,IF(U143&lt;Lookup!$F$55,-2,IF(U143&lt;Lookup!$F$54,-1,IF(U143&lt;Lookup!$F$53,0,IF(U143&lt;Lookup!$F$52,1,IF(U143&lt;Lookup!$F$51,2,IF(U143&lt;Lookup!$F$50,3,IF(U143&lt;Lookup!$F$49,4,5)))))))))))</f>
        <v>-5</v>
      </c>
      <c r="AM143" s="194" t="str">
        <f>VLOOKUP(AL143,Lookup!$G$48:$J$58,2,FALSE)</f>
        <v>B/C Ratio less than .02</v>
      </c>
      <c r="AN143" s="281" t="s">
        <v>3068</v>
      </c>
      <c r="AO143" s="181" t="str">
        <f>VLOOKUP(AP143,Lookup!$C$4:$D$14,2,FALSE)</f>
        <v>No Effect</v>
      </c>
      <c r="AP143" s="193">
        <f>IF(Q143=0,0,IF(Q143&gt;Lookup!$F$63,5,IF(Q143&gt;Lookup!$F$64,4,IF(Q143&gt;Lookup!$F$65,3,IF(Q143&gt;Lookup!$F$66,2,IF(Q143&gt;Lookup!$F$67,1,IF(Q143&gt;Lookup!$F$69,-1,IF(Q143&gt;Lookup!$F$70,-2,IF(Q143&gt;Lookup!$F$71,-3,IF(Q143&gt;Lookup!$F$72,-4,-5))))))))))</f>
        <v>0</v>
      </c>
      <c r="AQ143" s="194" t="str">
        <f>VLOOKUP(AP143,Lookup!$G$63:$J$73,2,FALSE)</f>
        <v>No change in yield</v>
      </c>
      <c r="AR143" s="281" t="s">
        <v>3137</v>
      </c>
      <c r="AS143" s="181" t="str">
        <f>VLOOKUP(AT143,Lookup!$C$4:$D$14,2,FALSE)</f>
        <v>No Effect</v>
      </c>
      <c r="AT143" s="193">
        <f>IF(V143=0,0,IF(V143&lt;Lookup!$F$79,5,IF(V143&lt;Lookup!$F$80,4,IF(V143&lt;Lookup!$F$81,3,IF(V143&lt;Lookup!$F$82,2,IF(V143&lt;Lookup!$F$83,1,IF(V143&lt;Lookup!$F$85,-1,IF(V143&lt;Lookup!$F$86,-2,IF(V143&lt;Lookup!$F$87,-3,IF(V143&lt;Lookup!$F$88,-4,-5))))))))))</f>
        <v>0</v>
      </c>
      <c r="AU143" s="194" t="str">
        <f>VLOOKUP(AT143,Lookup!$G$79:$J$89,2,FALSE)</f>
        <v>No breakeven</v>
      </c>
      <c r="AV143" s="345" t="str">
        <f>VLOOKUP(AT143,Lookup!$G$79:$J$89,4,FALSE)</f>
        <v>Annual costs greater than annual benefits</v>
      </c>
      <c r="AW143" s="181" t="str">
        <f>VLOOKUP(AX143,Lookup!$C$4:$D$14,2,FALSE)</f>
        <v>Moderate Improvement</v>
      </c>
      <c r="AX143" s="193">
        <f>VLOOKUP(AY143,Lookup!$G$92:$J$97,4,FALSE)</f>
        <v>3</v>
      </c>
      <c r="AY143" s="181" t="s">
        <v>2631</v>
      </c>
      <c r="AZ143" s="281" t="s">
        <v>3178</v>
      </c>
      <c r="BA143" s="181" t="str">
        <f>VLOOKUP(BB143,Lookup!$C$4:$D$14,2,FALSE)</f>
        <v>Slight to Moderate Worsening</v>
      </c>
      <c r="BB143" s="193">
        <f>VLOOKUP(BC143,Lookup!$G$100:$K$110,5,FALSE)</f>
        <v>-2</v>
      </c>
      <c r="BC143" s="181" t="s">
        <v>2659</v>
      </c>
      <c r="BD143" s="281" t="s">
        <v>3193</v>
      </c>
      <c r="BE143" s="181" t="str">
        <f>VLOOKUP(BF143,Lookup!$C$4:$D$14,2,FALSE)</f>
        <v>No Effect</v>
      </c>
      <c r="BF143" s="193">
        <f>IF(X143=0,0,IF(X143&gt;Lookup!$F$113,-5,IF(X143&gt;Lookup!$F$114,-4,IF(X143&gt;Lookup!$F$115,-3,IF(X143&gt;Lookup!$F$116,-2,IF(X143&gt;Lookup!$F$117,-1,0))))))</f>
        <v>0</v>
      </c>
      <c r="BG143" s="195" t="str">
        <f>VLOOKUP(BF143,Lookup!$G$113:$H$118,2,FALSE)</f>
        <v>No change in on-farm equipment</v>
      </c>
      <c r="BH143" s="281" t="s">
        <v>1841</v>
      </c>
      <c r="BI143" s="181" t="str">
        <f>VLOOKUP(BJ143,Lookup!$C$4:$D$14,2,FALSE)</f>
        <v>Slight Worsening</v>
      </c>
      <c r="BJ143" s="193">
        <f>VLOOKUP(BK143,Lookup!$G$121:$L$131,6,FALSE)</f>
        <v>-1</v>
      </c>
      <c r="BK143" s="181" t="s">
        <v>2640</v>
      </c>
      <c r="BL143" s="281" t="s">
        <v>3572</v>
      </c>
      <c r="BM143" s="181" t="str">
        <f>VLOOKUP(BN143,Lookup!$C$4:$D$14,2,FALSE)</f>
        <v>No Effect</v>
      </c>
      <c r="BN143" s="193">
        <f>VLOOKUP(BO143,Lookup!$G$134:$L$144,6,FALSE)</f>
        <v>0</v>
      </c>
      <c r="BO143" s="181" t="s">
        <v>2646</v>
      </c>
      <c r="BP143" s="281" t="s">
        <v>3154</v>
      </c>
      <c r="BQ143" s="181" t="str">
        <f>VLOOKUP(BR143,Lookup!$C$4:$D$14,2,FALSE)</f>
        <v>No Effect</v>
      </c>
      <c r="BR143" s="193">
        <f>VLOOKUP(BS143,Lookup!$G$147:$L$157,6,FALSE)</f>
        <v>0</v>
      </c>
      <c r="BS143" s="181" t="s">
        <v>2676</v>
      </c>
      <c r="BT143" s="281" t="s">
        <v>3154</v>
      </c>
      <c r="BU143" s="175" t="s">
        <v>2231</v>
      </c>
    </row>
    <row r="144" spans="1:73" ht="39.950000000000003" customHeight="1" thickBot="1" x14ac:dyDescent="0.25">
      <c r="A144" s="173">
        <f t="shared" si="19"/>
        <v>141</v>
      </c>
      <c r="B144" s="178" t="s">
        <v>1395</v>
      </c>
      <c r="C144" s="179" t="s">
        <v>1597</v>
      </c>
      <c r="D144" s="180">
        <v>620</v>
      </c>
      <c r="E144" s="180" t="s">
        <v>1944</v>
      </c>
      <c r="F144" s="273" t="str">
        <f>VLOOKUP($D144,'Practice Descriptions'!$E$11:$F$186,2,FALSE)</f>
        <v>A conduit or system of conduits installed beneath the surface of the ground to convey surface water to a suitable outlet.</v>
      </c>
      <c r="G144" s="182">
        <v>20</v>
      </c>
      <c r="H144" s="183">
        <v>6</v>
      </c>
      <c r="I144" s="184">
        <v>0.05</v>
      </c>
      <c r="J144" s="184">
        <v>0.03</v>
      </c>
      <c r="K144" s="419">
        <f>IF(E144="No.",1,IF(E144="Ac.",1,(SQRT(VLOOKUP(O144,Lookup!$F$9:$H$18,3,FALSE)))*208/VLOOKUP(O144,Lookup!$F$9:$H$18,3,FALSE)))</f>
        <v>23.255106965997815</v>
      </c>
      <c r="L144" s="185" t="str">
        <f t="shared" si="20"/>
        <v>Assume length 1 side of square field (208'/Ac)</v>
      </c>
      <c r="M144" s="184">
        <v>0</v>
      </c>
      <c r="N144" s="186">
        <f>IF(G144=1,H144,PMT(Lookup!$G$4,G144,-H144)+(H144*J144)+(M144*P144))*K144</f>
        <v>15.501191832412102</v>
      </c>
      <c r="O144" s="187" t="s">
        <v>1110</v>
      </c>
      <c r="P144" s="186">
        <f>VLOOKUP($O144,Lookup!$F$9:$I$18,4,FALSE)</f>
        <v>300</v>
      </c>
      <c r="Q144" s="184">
        <v>0.02</v>
      </c>
      <c r="R144" s="183">
        <v>1</v>
      </c>
      <c r="S144" s="188" t="s">
        <v>3606</v>
      </c>
      <c r="T144" s="186">
        <f t="shared" si="22"/>
        <v>7</v>
      </c>
      <c r="U144" s="189">
        <f t="shared" si="23"/>
        <v>0.45157818028955693</v>
      </c>
      <c r="V144" s="189">
        <f t="shared" si="21"/>
        <v>0</v>
      </c>
      <c r="W144" s="190">
        <f>IF(P144=0,0,IF(Q144+R144=0,0,PV(Lookup!$G$4,G144,-T144)/H144))</f>
        <v>14.386374489185904</v>
      </c>
      <c r="X144" s="190">
        <f>IF(I144=0,0,PMT(Lookup!$G$4,G144,-(H144*I144*K144))/P144)</f>
        <v>1.8858787630887492E-3</v>
      </c>
      <c r="Y144" s="42" t="s">
        <v>963</v>
      </c>
      <c r="Z144" s="192">
        <f>VLOOKUP(Y144,Lookup!$B$4:$C$14,2,FALSE)</f>
        <v>2</v>
      </c>
      <c r="AA144" s="281" t="s">
        <v>227</v>
      </c>
      <c r="AB144" s="282" t="s">
        <v>1072</v>
      </c>
      <c r="AC144" s="181" t="str">
        <f>VLOOKUP(AD144,Lookup!$C$4:$D$14,2,FALSE)</f>
        <v>Slight Worsening</v>
      </c>
      <c r="AD144" s="193">
        <f>IF(P144/H144&lt;Lookup!$F$33,-5,IF(P144/H144&lt;Lookup!$F$32,-4,IF(P144/H144&lt;Lookup!$F$31,-3,IF(P144/H144&lt;Lookup!$F$30,-2,IF(P144/H144&lt;Lookup!$F$29,-1,-5)))))</f>
        <v>-1</v>
      </c>
      <c r="AE144" s="194" t="str">
        <f>VLOOKUP(AD144,Lookup!$G$28:$J$33,2,FALSE)</f>
        <v>One-time practice implementation cost 5% or less of enterprise annual net income</v>
      </c>
      <c r="AF144" s="281" t="s">
        <v>1847</v>
      </c>
      <c r="AG144" s="181" t="str">
        <f>VLOOKUP(AH144,Lookup!$C$4:$D$14,2,FALSE)</f>
        <v>Moderate Worsening</v>
      </c>
      <c r="AH144" s="193">
        <f>IF(J144&gt;Lookup!$F$43,-5,IF(J144&gt;Lookup!$F$42,-4,IF(J144&gt;Lookup!$F$41,-3,IF(J144&gt;Lookup!$F$40,-2,IF(J144&gt;Lookup!$F$39,-1,0)))))</f>
        <v>-3</v>
      </c>
      <c r="AI144" s="194" t="str">
        <f>VLOOKUP(AH144,Lookup!$G$38:$J$43,2,FALSE)</f>
        <v>Annual O&amp;M costs 2 to 3% of total installation costs</v>
      </c>
      <c r="AJ144" s="281" t="s">
        <v>1929</v>
      </c>
      <c r="AK144" s="181" t="str">
        <f>VLOOKUP(AL144,Lookup!$C$4:$D$14,2,FALSE)</f>
        <v>Slight to Moderate Worsening</v>
      </c>
      <c r="AL144" s="346">
        <f>IF(N144=0,0,IF(U144&lt;Lookup!$F$58,-5,IF(U144&lt;Lookup!$F$57,-4,IF(U144&lt;Lookup!$F$56,-3,IF(U144&lt;Lookup!$F$55,-2,IF(U144&lt;Lookup!$F$54,-1,IF(U144&lt;Lookup!$F$53,0,IF(U144&lt;Lookup!$F$52,1,IF(U144&lt;Lookup!$F$51,2,IF(U144&lt;Lookup!$F$50,3,IF(U144&lt;Lookup!$F$49,4,5)))))))))))</f>
        <v>-2</v>
      </c>
      <c r="AM144" s="194" t="str">
        <f>VLOOKUP(AL144,Lookup!$G$48:$J$58,2,FALSE)</f>
        <v>B/C Ratio .25 to .50</v>
      </c>
      <c r="AN144" s="281" t="s">
        <v>1942</v>
      </c>
      <c r="AO144" s="181" t="str">
        <f>VLOOKUP(AP144,Lookup!$C$4:$D$14,2,FALSE)</f>
        <v>Slight Improvement</v>
      </c>
      <c r="AP144" s="193">
        <f>IF(Q144=0,0,IF(Q144&gt;Lookup!$F$63,5,IF(Q144&gt;Lookup!$F$64,4,IF(Q144&gt;Lookup!$F$65,3,IF(Q144&gt;Lookup!$F$66,2,IF(Q144&gt;Lookup!$F$67,1,IF(Q144&gt;Lookup!$F$69,-1,IF(Q144&gt;Lookup!$F$70,-2,IF(Q144&gt;Lookup!$F$71,-3,IF(Q144&gt;Lookup!$F$72,-4,-5))))))))))</f>
        <v>1</v>
      </c>
      <c r="AQ144" s="194" t="str">
        <f>VLOOKUP(AP144,Lookup!$G$63:$J$73,2,FALSE)</f>
        <v>5% or less yield increase</v>
      </c>
      <c r="AR144" s="281" t="s">
        <v>3114</v>
      </c>
      <c r="AS144" s="181" t="str">
        <f>VLOOKUP(AT144,Lookup!$C$4:$D$14,2,FALSE)</f>
        <v>No Effect</v>
      </c>
      <c r="AT144" s="193">
        <f>IF(V144=0,0,IF(V144&lt;Lookup!$F$79,5,IF(V144&lt;Lookup!$F$80,4,IF(V144&lt;Lookup!$F$81,3,IF(V144&lt;Lookup!$F$82,2,IF(V144&lt;Lookup!$F$83,1,IF(V144&lt;Lookup!$F$85,-1,IF(V144&lt;Lookup!$F$86,-2,IF(V144&lt;Lookup!$F$87,-3,IF(V144&lt;Lookup!$F$88,-4,-5))))))))))</f>
        <v>0</v>
      </c>
      <c r="AU144" s="194" t="str">
        <f>VLOOKUP(AT144,Lookup!$G$79:$J$89,2,FALSE)</f>
        <v>No breakeven</v>
      </c>
      <c r="AV144" s="345" t="str">
        <f>VLOOKUP(AT144,Lookup!$G$79:$J$89,4,FALSE)</f>
        <v>Annual costs greater than annual benefits</v>
      </c>
      <c r="AW144" s="181" t="str">
        <f>VLOOKUP(AX144,Lookup!$C$4:$D$14,2,FALSE)</f>
        <v>No Effect</v>
      </c>
      <c r="AX144" s="193">
        <f>VLOOKUP(AY144,Lookup!$G$92:$J$97,4,FALSE)</f>
        <v>0</v>
      </c>
      <c r="AY144" s="181" t="s">
        <v>2642</v>
      </c>
      <c r="AZ144" s="281" t="s">
        <v>3154</v>
      </c>
      <c r="BA144" s="181" t="str">
        <f>VLOOKUP(BB144,Lookup!$C$4:$D$14,2,FALSE)</f>
        <v>Slight Worsening</v>
      </c>
      <c r="BB144" s="193">
        <f>VLOOKUP(BC144,Lookup!$G$100:$K$110,5,FALSE)</f>
        <v>-1</v>
      </c>
      <c r="BC144" s="181" t="s">
        <v>2637</v>
      </c>
      <c r="BD144" s="281" t="s">
        <v>3216</v>
      </c>
      <c r="BE144" s="181" t="str">
        <f>VLOOKUP(BF144,Lookup!$C$4:$D$14,2,FALSE)</f>
        <v>Slight Worsening</v>
      </c>
      <c r="BF144" s="193">
        <f>IF(X144=0,0,IF(X144&gt;Lookup!$F$113,-5,IF(X144&gt;Lookup!$F$114,-4,IF(X144&gt;Lookup!$F$115,-3,IF(X144&gt;Lookup!$F$116,-2,IF(X144&gt;Lookup!$F$117,-1,0))))))</f>
        <v>-1</v>
      </c>
      <c r="BG144" s="195" t="str">
        <f>VLOOKUP(BF144,Lookup!$G$113:$H$118,2,FALSE)</f>
        <v>Annual on-farm equipment costs 5% or less of enterprise annual net income</v>
      </c>
      <c r="BH144" s="281" t="s">
        <v>3244</v>
      </c>
      <c r="BI144" s="181" t="str">
        <f>VLOOKUP(BJ144,Lookup!$C$4:$D$14,2,FALSE)</f>
        <v>Slight Worsening</v>
      </c>
      <c r="BJ144" s="193">
        <f>VLOOKUP(BK144,Lookup!$G$121:$L$131,6,FALSE)</f>
        <v>-1</v>
      </c>
      <c r="BK144" s="181" t="s">
        <v>2640</v>
      </c>
      <c r="BL144" s="281" t="s">
        <v>3343</v>
      </c>
      <c r="BM144" s="181" t="str">
        <f>VLOOKUP(BN144,Lookup!$C$4:$D$14,2,FALSE)</f>
        <v>Slight Worsening</v>
      </c>
      <c r="BN144" s="193">
        <f>VLOOKUP(BO144,Lookup!$G$134:$L$144,6,FALSE)</f>
        <v>-1</v>
      </c>
      <c r="BO144" s="181" t="s">
        <v>3373</v>
      </c>
      <c r="BP144" s="281" t="s">
        <v>3417</v>
      </c>
      <c r="BQ144" s="181" t="str">
        <f>VLOOKUP(BR144,Lookup!$C$4:$D$14,2,FALSE)</f>
        <v>Slight to Moderate Improvement</v>
      </c>
      <c r="BR144" s="193">
        <f>VLOOKUP(BS144,Lookup!$G$147:$L$157,6,FALSE)</f>
        <v>2</v>
      </c>
      <c r="BS144" s="181" t="s">
        <v>2641</v>
      </c>
      <c r="BT144" s="281" t="s">
        <v>3486</v>
      </c>
      <c r="BU144" s="175" t="s">
        <v>2231</v>
      </c>
    </row>
    <row r="145" spans="1:73" ht="39.950000000000003" customHeight="1" thickBot="1" x14ac:dyDescent="0.25">
      <c r="A145" s="173">
        <f t="shared" si="19"/>
        <v>142</v>
      </c>
      <c r="B145" s="178" t="s">
        <v>268</v>
      </c>
      <c r="C145" s="179" t="s">
        <v>1477</v>
      </c>
      <c r="D145" s="180">
        <v>645</v>
      </c>
      <c r="E145" s="180" t="s">
        <v>3646</v>
      </c>
      <c r="F145" s="273" t="str">
        <f>VLOOKUP($D145,'Practice Descriptions'!$E$11:$F$186,2,FALSE)</f>
        <v>Provide and manage upland habitats and connectivity within the landscape for wildlife.</v>
      </c>
      <c r="G145" s="182">
        <v>1</v>
      </c>
      <c r="H145" s="183">
        <v>5</v>
      </c>
      <c r="I145" s="184">
        <v>0</v>
      </c>
      <c r="J145" s="184">
        <v>0</v>
      </c>
      <c r="K145" s="419">
        <f>IF(E145="No.",1,IF(E145="Ac.",1,(SQRT(VLOOKUP(O145,Lookup!$F$9:$H$18,3,FALSE)))*208/VLOOKUP(O145,Lookup!$F$9:$H$18,3,FALSE)))</f>
        <v>1</v>
      </c>
      <c r="L145" s="185" t="str">
        <f t="shared" si="20"/>
        <v/>
      </c>
      <c r="M145" s="184">
        <v>0</v>
      </c>
      <c r="N145" s="186">
        <f>IF(G145=1,H145,PMT(Lookup!$G$4,G145,-H145)+(H145*J145)+(M145*P145))*K145</f>
        <v>5</v>
      </c>
      <c r="O145" s="181" t="s">
        <v>2214</v>
      </c>
      <c r="P145" s="186">
        <f>VLOOKUP($O145,Lookup!$F$9:$I$18,4,FALSE)</f>
        <v>5</v>
      </c>
      <c r="Q145" s="184">
        <v>0.02</v>
      </c>
      <c r="R145" s="183">
        <v>3</v>
      </c>
      <c r="S145" s="188" t="s">
        <v>3635</v>
      </c>
      <c r="T145" s="186">
        <f t="shared" si="22"/>
        <v>3.1</v>
      </c>
      <c r="U145" s="189">
        <f t="shared" si="23"/>
        <v>0.62</v>
      </c>
      <c r="V145" s="189">
        <f t="shared" si="21"/>
        <v>0</v>
      </c>
      <c r="W145" s="190">
        <f>IF(P145=0,0,IF(Q145+R145=0,0,PV(Lookup!$G$4,G145,-T145)/H145))</f>
        <v>0.58977407847800267</v>
      </c>
      <c r="X145" s="190">
        <f>IF(I145=0,0,PMT(Lookup!$G$4,G145,-(H145*I145*K145))/P145)</f>
        <v>0</v>
      </c>
      <c r="Y145" s="42" t="s">
        <v>986</v>
      </c>
      <c r="Z145" s="192">
        <f>VLOOKUP(Y145,Lookup!$B$4:$C$14,2,FALSE)</f>
        <v>0</v>
      </c>
      <c r="AA145" s="281" t="s">
        <v>2759</v>
      </c>
      <c r="AB145" s="282" t="s">
        <v>1072</v>
      </c>
      <c r="AC145" s="181" t="str">
        <f>VLOOKUP(AD145,Lookup!$C$4:$D$14,2,FALSE)</f>
        <v>Slight to Moderate Worsening</v>
      </c>
      <c r="AD145" s="193">
        <f>IF(P145/H145&lt;Lookup!$F$33,-5,IF(P145/H145&lt;Lookup!$F$32,-4,IF(P145/H145&lt;Lookup!$F$31,-3,IF(P145/H145&lt;Lookup!$F$30,-2,IF(P145/H145&lt;Lookup!$F$29,-1,-5)))))</f>
        <v>-2</v>
      </c>
      <c r="AE145" s="194" t="str">
        <f>VLOOKUP(AD145,Lookup!$G$28:$J$33,2,FALSE)</f>
        <v>One-time practice implementation cost 5 to 100% of enterprise annual net income</v>
      </c>
      <c r="AF145" s="281" t="s">
        <v>2970</v>
      </c>
      <c r="AG145" s="181" t="str">
        <f>VLOOKUP(AH145,Lookup!$C$4:$D$14,2,FALSE)</f>
        <v>No Effect</v>
      </c>
      <c r="AH145" s="193">
        <f>IF(J145&gt;Lookup!$F$43,-5,IF(J145&gt;Lookup!$F$42,-4,IF(J145&gt;Lookup!$F$41,-3,IF(J145&gt;Lookup!$F$40,-2,IF(J145&gt;Lookup!$F$39,-1,0)))))</f>
        <v>0</v>
      </c>
      <c r="AI145" s="194" t="str">
        <f>VLOOKUP(AH145,Lookup!$G$38:$J$43,2,FALSE)</f>
        <v>No O&amp;M costs</v>
      </c>
      <c r="AJ145" s="281" t="s">
        <v>3005</v>
      </c>
      <c r="AK145" s="181" t="str">
        <f>VLOOKUP(AL145,Lookup!$C$4:$D$14,2,FALSE)</f>
        <v>Slight Worsening</v>
      </c>
      <c r="AL145" s="346">
        <f>IF(N145=0,0,IF(U145&lt;Lookup!$F$58,-5,IF(U145&lt;Lookup!$F$57,-4,IF(U145&lt;Lookup!$F$56,-3,IF(U145&lt;Lookup!$F$55,-2,IF(U145&lt;Lookup!$F$54,-1,IF(U145&lt;Lookup!$F$53,0,IF(U145&lt;Lookup!$F$52,1,IF(U145&lt;Lookup!$F$51,2,IF(U145&lt;Lookup!$F$50,3,IF(U145&lt;Lookup!$F$49,4,5)))))))))))</f>
        <v>-1</v>
      </c>
      <c r="AM145" s="194" t="str">
        <f>VLOOKUP(AL145,Lookup!$G$48:$J$58,2,FALSE)</f>
        <v>B/C Ratio .50 to .75</v>
      </c>
      <c r="AN145" s="281" t="s">
        <v>3029</v>
      </c>
      <c r="AO145" s="181" t="str">
        <f>VLOOKUP(AP145,Lookup!$C$4:$D$14,2,FALSE)</f>
        <v>Slight Improvement</v>
      </c>
      <c r="AP145" s="193">
        <f>IF(Q145=0,0,IF(Q145&gt;Lookup!$F$63,5,IF(Q145&gt;Lookup!$F$64,4,IF(Q145&gt;Lookup!$F$65,3,IF(Q145&gt;Lookup!$F$66,2,IF(Q145&gt;Lookup!$F$67,1,IF(Q145&gt;Lookup!$F$69,-1,IF(Q145&gt;Lookup!$F$70,-2,IF(Q145&gt;Lookup!$F$71,-3,IF(Q145&gt;Lookup!$F$72,-4,-5))))))))))</f>
        <v>1</v>
      </c>
      <c r="AQ145" s="194" t="str">
        <f>VLOOKUP(AP145,Lookup!$G$63:$J$73,2,FALSE)</f>
        <v>5% or less yield increase</v>
      </c>
      <c r="AR145" s="281" t="s">
        <v>3138</v>
      </c>
      <c r="AS145" s="181" t="str">
        <f>VLOOKUP(AT145,Lookup!$C$4:$D$14,2,FALSE)</f>
        <v>No Effect</v>
      </c>
      <c r="AT145" s="193">
        <f>IF(V145=0,0,IF(V145&lt;Lookup!$F$79,5,IF(V145&lt;Lookup!$F$80,4,IF(V145&lt;Lookup!$F$81,3,IF(V145&lt;Lookup!$F$82,2,IF(V145&lt;Lookup!$F$83,1,IF(V145&lt;Lookup!$F$85,-1,IF(V145&lt;Lookup!$F$86,-2,IF(V145&lt;Lookup!$F$87,-3,IF(V145&lt;Lookup!$F$88,-4,-5))))))))))</f>
        <v>0</v>
      </c>
      <c r="AU145" s="194" t="str">
        <f>VLOOKUP(AT145,Lookup!$G$79:$J$89,2,FALSE)</f>
        <v>No breakeven</v>
      </c>
      <c r="AV145" s="345" t="str">
        <f>VLOOKUP(AT145,Lookup!$G$79:$J$89,4,FALSE)</f>
        <v>Annual costs greater than annual benefits</v>
      </c>
      <c r="AW145" s="181" t="str">
        <f>VLOOKUP(AX145,Lookup!$C$4:$D$14,2,FALSE)</f>
        <v>No Effect</v>
      </c>
      <c r="AX145" s="193">
        <f>VLOOKUP(AY145,Lookup!$G$92:$J$97,4,FALSE)</f>
        <v>0</v>
      </c>
      <c r="AY145" s="181" t="s">
        <v>2642</v>
      </c>
      <c r="AZ145" s="281" t="s">
        <v>3154</v>
      </c>
      <c r="BA145" s="181" t="str">
        <f>VLOOKUP(BB145,Lookup!$C$4:$D$14,2,FALSE)</f>
        <v>No Effect</v>
      </c>
      <c r="BB145" s="193">
        <f>VLOOKUP(BC145,Lookup!$G$100:$K$110,5,FALSE)</f>
        <v>0</v>
      </c>
      <c r="BC145" s="181" t="s">
        <v>2643</v>
      </c>
      <c r="BD145" s="281" t="s">
        <v>3154</v>
      </c>
      <c r="BE145" s="181" t="str">
        <f>VLOOKUP(BF145,Lookup!$C$4:$D$14,2,FALSE)</f>
        <v>No Effect</v>
      </c>
      <c r="BF145" s="193">
        <f>IF(X145=0,0,IF(X145&gt;Lookup!$F$113,-5,IF(X145&gt;Lookup!$F$114,-4,IF(X145&gt;Lookup!$F$115,-3,IF(X145&gt;Lookup!$F$116,-2,IF(X145&gt;Lookup!$F$117,-1,0))))))</f>
        <v>0</v>
      </c>
      <c r="BG145" s="195" t="str">
        <f>VLOOKUP(BF145,Lookup!$G$113:$H$118,2,FALSE)</f>
        <v>No change in on-farm equipment</v>
      </c>
      <c r="BH145" s="281" t="s">
        <v>1849</v>
      </c>
      <c r="BI145" s="181" t="str">
        <f>VLOOKUP(BJ145,Lookup!$C$4:$D$14,2,FALSE)</f>
        <v>Slight Worsening</v>
      </c>
      <c r="BJ145" s="193">
        <f>VLOOKUP(BK145,Lookup!$G$121:$L$131,6,FALSE)</f>
        <v>-1</v>
      </c>
      <c r="BK145" s="181" t="s">
        <v>2640</v>
      </c>
      <c r="BL145" s="281" t="s">
        <v>3344</v>
      </c>
      <c r="BM145" s="181" t="str">
        <f>VLOOKUP(BN145,Lookup!$C$4:$D$14,2,FALSE)</f>
        <v>Slight to Moderate Worsening</v>
      </c>
      <c r="BN145" s="193">
        <f>VLOOKUP(BO145,Lookup!$G$134:$L$144,6,FALSE)</f>
        <v>-2</v>
      </c>
      <c r="BO145" s="181" t="s">
        <v>3374</v>
      </c>
      <c r="BP145" s="281" t="s">
        <v>3410</v>
      </c>
      <c r="BQ145" s="181" t="str">
        <f>VLOOKUP(BR145,Lookup!$C$4:$D$14,2,FALSE)</f>
        <v>Slight to Moderate Improvement</v>
      </c>
      <c r="BR145" s="193">
        <f>VLOOKUP(BS145,Lookup!$G$147:$L$157,6,FALSE)</f>
        <v>2</v>
      </c>
      <c r="BS145" s="181" t="s">
        <v>2641</v>
      </c>
      <c r="BT145" s="281" t="s">
        <v>3475</v>
      </c>
      <c r="BU145" s="175" t="s">
        <v>2231</v>
      </c>
    </row>
    <row r="146" spans="1:73" ht="39.950000000000003" customHeight="1" thickBot="1" x14ac:dyDescent="0.25">
      <c r="A146" s="173">
        <f t="shared" si="19"/>
        <v>143</v>
      </c>
      <c r="B146" s="178" t="s">
        <v>14</v>
      </c>
      <c r="C146" s="179" t="s">
        <v>1599</v>
      </c>
      <c r="D146" s="180">
        <v>635</v>
      </c>
      <c r="E146" s="180" t="s">
        <v>3646</v>
      </c>
      <c r="F146" s="273" t="str">
        <f>VLOOKUP($D146,'Practice Descriptions'!$E$11:$F$186,2,FALSE)</f>
        <v>An area of permanent vegetation used for agricultural wastewater treatment.</v>
      </c>
      <c r="G146" s="182">
        <v>10</v>
      </c>
      <c r="H146" s="183">
        <v>400</v>
      </c>
      <c r="I146" s="184">
        <v>0</v>
      </c>
      <c r="J146" s="184">
        <v>0</v>
      </c>
      <c r="K146" s="419">
        <f>IF(E146="No.",1,IF(E146="Ac.",1,(SQRT(VLOOKUP(O146,Lookup!$F$9:$H$18,3,FALSE)))*208/VLOOKUP(O146,Lookup!$F$9:$H$18,3,FALSE)))</f>
        <v>1</v>
      </c>
      <c r="L146" s="185" t="str">
        <f t="shared" si="20"/>
        <v/>
      </c>
      <c r="M146" s="184">
        <v>0</v>
      </c>
      <c r="N146" s="186">
        <f>IF(G146=1,H146,PMT(Lookup!$G$4,G146,-H146)+(H146*J146)+(M146*P146))*K146</f>
        <v>52.116752227358873</v>
      </c>
      <c r="O146" s="187" t="s">
        <v>2221</v>
      </c>
      <c r="P146" s="186">
        <f>VLOOKUP($O146,Lookup!$F$9:$I$18,4,FALSE)</f>
        <v>1</v>
      </c>
      <c r="Q146" s="184">
        <v>0</v>
      </c>
      <c r="R146" s="183">
        <v>500</v>
      </c>
      <c r="S146" s="188" t="s">
        <v>3608</v>
      </c>
      <c r="T146" s="186">
        <f t="shared" si="22"/>
        <v>500</v>
      </c>
      <c r="U146" s="189">
        <f t="shared" si="23"/>
        <v>9.5938441792910343</v>
      </c>
      <c r="V146" s="189">
        <f t="shared" si="21"/>
        <v>0.8</v>
      </c>
      <c r="W146" s="190">
        <f>IF(P146=0,0,IF(Q146+R146=0,0,PV(Lookup!$G$4,G146,-T146)/H146))</f>
        <v>9.5938441792910378</v>
      </c>
      <c r="X146" s="190">
        <f>IF(I146=0,0,PMT(Lookup!$G$4,G146,-(H146*I146*K146))/P146)</f>
        <v>0</v>
      </c>
      <c r="Y146" s="42" t="s">
        <v>965</v>
      </c>
      <c r="Z146" s="192">
        <f>VLOOKUP(Y146,Lookup!$B$4:$C$14,2,FALSE)</f>
        <v>1</v>
      </c>
      <c r="AA146" s="281" t="s">
        <v>802</v>
      </c>
      <c r="AB146" s="282" t="s">
        <v>1072</v>
      </c>
      <c r="AC146" s="181" t="str">
        <f>VLOOKUP(AD146,Lookup!$C$4:$D$14,2,FALSE)</f>
        <v>Substantial Worsening</v>
      </c>
      <c r="AD146" s="193">
        <f>IF(P146/H146&lt;Lookup!$F$33,-5,IF(P146/H146&lt;Lookup!$F$32,-4,IF(P146/H146&lt;Lookup!$F$31,-3,IF(P146/H146&lt;Lookup!$F$30,-2,IF(P146/H146&lt;Lookup!$F$29,-1,-5)))))</f>
        <v>-5</v>
      </c>
      <c r="AE146" s="194" t="str">
        <f>VLOOKUP(AD146,Lookup!$G$28:$J$33,2,FALSE)</f>
        <v>One-time practice implementation cost 5 times or greater enterprise annual net income</v>
      </c>
      <c r="AF146" s="281" t="s">
        <v>2971</v>
      </c>
      <c r="AG146" s="181" t="str">
        <f>VLOOKUP(AH146,Lookup!$C$4:$D$14,2,FALSE)</f>
        <v>No Effect</v>
      </c>
      <c r="AH146" s="193">
        <f>IF(J146&gt;Lookup!$F$43,-5,IF(J146&gt;Lookup!$F$42,-4,IF(J146&gt;Lookup!$F$41,-3,IF(J146&gt;Lookup!$F$40,-2,IF(J146&gt;Lookup!$F$39,-1,0)))))</f>
        <v>0</v>
      </c>
      <c r="AI146" s="194" t="str">
        <f>VLOOKUP(AH146,Lookup!$G$38:$J$43,2,FALSE)</f>
        <v>No O&amp;M costs</v>
      </c>
      <c r="AJ146" s="281" t="s">
        <v>3005</v>
      </c>
      <c r="AK146" s="181" t="str">
        <f>VLOOKUP(AL146,Lookup!$C$4:$D$14,2,FALSE)</f>
        <v>Substantial Improvement</v>
      </c>
      <c r="AL146" s="346">
        <f>IF(N146=0,0,IF(U146&lt;Lookup!$F$58,-5,IF(U146&lt;Lookup!$F$57,-4,IF(U146&lt;Lookup!$F$56,-3,IF(U146&lt;Lookup!$F$55,-2,IF(U146&lt;Lookup!$F$54,-1,IF(U146&lt;Lookup!$F$53,0,IF(U146&lt;Lookup!$F$52,1,IF(U146&lt;Lookup!$F$51,2,IF(U146&lt;Lookup!$F$50,3,IF(U146&lt;Lookup!$F$49,4,5)))))))))))</f>
        <v>5</v>
      </c>
      <c r="AM146" s="194" t="str">
        <f>VLOOKUP(AL146,Lookup!$G$48:$J$58,2,FALSE)</f>
        <v>B/C Ratio greater than 2.25</v>
      </c>
      <c r="AN146" s="281" t="s">
        <v>3071</v>
      </c>
      <c r="AO146" s="181" t="str">
        <f>VLOOKUP(AP146,Lookup!$C$4:$D$14,2,FALSE)</f>
        <v>No Effect</v>
      </c>
      <c r="AP146" s="193">
        <f>IF(Q146=0,0,IF(Q146&gt;Lookup!$F$63,5,IF(Q146&gt;Lookup!$F$64,4,IF(Q146&gt;Lookup!$F$65,3,IF(Q146&gt;Lookup!$F$66,2,IF(Q146&gt;Lookup!$F$67,1,IF(Q146&gt;Lookup!$F$69,-1,IF(Q146&gt;Lookup!$F$70,-2,IF(Q146&gt;Lookup!$F$71,-3,IF(Q146&gt;Lookup!$F$72,-4,-5))))))))))</f>
        <v>0</v>
      </c>
      <c r="AQ146" s="194" t="str">
        <f>VLOOKUP(AP146,Lookup!$G$63:$J$73,2,FALSE)</f>
        <v>No change in yield</v>
      </c>
      <c r="AR146" s="281" t="s">
        <v>3139</v>
      </c>
      <c r="AS146" s="181" t="str">
        <f>VLOOKUP(AT146,Lookup!$C$4:$D$14,2,FALSE)</f>
        <v>Substantial Improvement</v>
      </c>
      <c r="AT146" s="193">
        <f>IF(V146=0,0,IF(V146&lt;Lookup!$F$79,5,IF(V146&lt;Lookup!$F$80,4,IF(V146&lt;Lookup!$F$81,3,IF(V146&lt;Lookup!$F$82,2,IF(V146&lt;Lookup!$F$83,1,IF(V146&lt;Lookup!$F$85,-1,IF(V146&lt;Lookup!$F$86,-2,IF(V146&lt;Lookup!$F$87,-3,IF(V146&lt;Lookup!$F$88,-4,-5))))))))))</f>
        <v>5</v>
      </c>
      <c r="AU146" s="194" t="str">
        <f>VLOOKUP(AT146,Lookup!$G$79:$J$89,2,FALSE)</f>
        <v>1 or less years to breakeven</v>
      </c>
      <c r="AV146" s="345" t="str">
        <f>VLOOKUP(AT146,Lookup!$G$79:$J$89,4,FALSE)</f>
        <v>Annual benefits significantly greater than annual costs</v>
      </c>
      <c r="AW146" s="181" t="str">
        <f>VLOOKUP(AX146,Lookup!$C$4:$D$14,2,FALSE)</f>
        <v>Slight Improvement</v>
      </c>
      <c r="AX146" s="193">
        <f>VLOOKUP(AY146,Lookup!$G$92:$J$97,4,FALSE)</f>
        <v>1</v>
      </c>
      <c r="AY146" s="181" t="s">
        <v>2636</v>
      </c>
      <c r="AZ146" s="281" t="s">
        <v>3562</v>
      </c>
      <c r="BA146" s="181" t="str">
        <f>VLOOKUP(BB146,Lookup!$C$4:$D$14,2,FALSE)</f>
        <v>Slight Worsening</v>
      </c>
      <c r="BB146" s="193">
        <f>VLOOKUP(BC146,Lookup!$G$100:$K$110,5,FALSE)</f>
        <v>-1</v>
      </c>
      <c r="BC146" s="181" t="s">
        <v>2637</v>
      </c>
      <c r="BD146" s="281" t="s">
        <v>3216</v>
      </c>
      <c r="BE146" s="181" t="str">
        <f>VLOOKUP(BF146,Lookup!$C$4:$D$14,2,FALSE)</f>
        <v>No Effect</v>
      </c>
      <c r="BF146" s="193">
        <f>IF(X146=0,0,IF(X146&gt;Lookup!$F$113,-5,IF(X146&gt;Lookup!$F$114,-4,IF(X146&gt;Lookup!$F$115,-3,IF(X146&gt;Lookup!$F$116,-2,IF(X146&gt;Lookup!$F$117,-1,0))))))</f>
        <v>0</v>
      </c>
      <c r="BG146" s="195" t="str">
        <f>VLOOKUP(BF146,Lookup!$G$113:$H$118,2,FALSE)</f>
        <v>No change in on-farm equipment</v>
      </c>
      <c r="BH146" s="281" t="s">
        <v>1841</v>
      </c>
      <c r="BI146" s="181" t="str">
        <f>VLOOKUP(BJ146,Lookup!$C$4:$D$14,2,FALSE)</f>
        <v>Slight Worsening</v>
      </c>
      <c r="BJ146" s="193">
        <f>VLOOKUP(BK146,Lookup!$G$121:$L$131,6,FALSE)</f>
        <v>-1</v>
      </c>
      <c r="BK146" s="181" t="s">
        <v>2640</v>
      </c>
      <c r="BL146" s="281" t="s">
        <v>3345</v>
      </c>
      <c r="BM146" s="181" t="str">
        <f>VLOOKUP(BN146,Lookup!$C$4:$D$14,2,FALSE)</f>
        <v>Slight Worsening</v>
      </c>
      <c r="BN146" s="193">
        <f>VLOOKUP(BO146,Lookup!$G$134:$L$144,6,FALSE)</f>
        <v>-1</v>
      </c>
      <c r="BO146" s="181" t="s">
        <v>3373</v>
      </c>
      <c r="BP146" s="281" t="s">
        <v>3418</v>
      </c>
      <c r="BQ146" s="181" t="str">
        <f>VLOOKUP(BR146,Lookup!$C$4:$D$14,2,FALSE)</f>
        <v>Slight to Moderate Improvement</v>
      </c>
      <c r="BR146" s="193">
        <f>VLOOKUP(BS146,Lookup!$G$147:$L$157,6,FALSE)</f>
        <v>2</v>
      </c>
      <c r="BS146" s="181" t="s">
        <v>2641</v>
      </c>
      <c r="BT146" s="281" t="s">
        <v>3488</v>
      </c>
      <c r="BU146" s="175" t="s">
        <v>2231</v>
      </c>
    </row>
    <row r="147" spans="1:73" ht="39.950000000000003" customHeight="1" thickBot="1" x14ac:dyDescent="0.25">
      <c r="A147" s="173">
        <f t="shared" si="19"/>
        <v>144</v>
      </c>
      <c r="B147" s="178" t="s">
        <v>1147</v>
      </c>
      <c r="C147" s="179" t="s">
        <v>1605</v>
      </c>
      <c r="D147" s="180">
        <v>601</v>
      </c>
      <c r="E147" s="180" t="s">
        <v>1944</v>
      </c>
      <c r="F147" s="273" t="str">
        <f>VLOOKUP($D147,'Practice Descriptions'!$E$11:$F$186,2,FALSE)</f>
        <v>Permanent strips of stiff, dense vegetation established along the general contour of slopes or across concentrated flow areas.</v>
      </c>
      <c r="G147" s="182">
        <v>5</v>
      </c>
      <c r="H147" s="183">
        <v>2</v>
      </c>
      <c r="I147" s="184">
        <v>0</v>
      </c>
      <c r="J147" s="184">
        <v>0.03</v>
      </c>
      <c r="K147" s="419">
        <f>IF(E147="No.",1,IF(E147="Ac.",1,(SQRT(VLOOKUP(O147,Lookup!$F$9:$H$18,3,FALSE)))*208/VLOOKUP(O147,Lookup!$F$9:$H$18,3,FALSE)))</f>
        <v>16.443843832875572</v>
      </c>
      <c r="L147" s="185" t="str">
        <f t="shared" si="20"/>
        <v>Assume length 1 side of square field (208'/Ac)</v>
      </c>
      <c r="M147" s="184">
        <v>0</v>
      </c>
      <c r="N147" s="186">
        <f>IF(G147=1,H147,PMT(Lookup!$G$4,G147,-H147)+(H147*J147)+(M147*P147))*K147</f>
        <v>8.6091244882608837</v>
      </c>
      <c r="O147" s="181" t="s">
        <v>1260</v>
      </c>
      <c r="P147" s="186">
        <f>VLOOKUP($O147,Lookup!$F$9:$I$18,4,FALSE)</f>
        <v>50</v>
      </c>
      <c r="Q147" s="184">
        <v>0</v>
      </c>
      <c r="R147" s="183">
        <v>2</v>
      </c>
      <c r="S147" s="188" t="s">
        <v>3579</v>
      </c>
      <c r="T147" s="186">
        <f t="shared" si="22"/>
        <v>2</v>
      </c>
      <c r="U147" s="189">
        <f t="shared" si="23"/>
        <v>0.23231165988215569</v>
      </c>
      <c r="V147" s="189">
        <f t="shared" si="21"/>
        <v>0</v>
      </c>
      <c r="W147" s="190">
        <f>IF(P147=0,0,IF(Q147+R147=0,0,PV(Lookup!$G$4,G147,-T147)/H147))</f>
        <v>4.3145574502484614</v>
      </c>
      <c r="X147" s="190">
        <f>IF(I147=0,0,PMT(Lookup!$G$4,G147,-(H147*I147*K147))/P147)</f>
        <v>0</v>
      </c>
      <c r="Y147" s="42" t="s">
        <v>963</v>
      </c>
      <c r="Z147" s="192">
        <f>VLOOKUP(Y147,Lookup!$B$4:$C$14,2,FALSE)</f>
        <v>2</v>
      </c>
      <c r="AA147" s="281" t="s">
        <v>1931</v>
      </c>
      <c r="AB147" s="282" t="s">
        <v>1072</v>
      </c>
      <c r="AC147" s="181" t="str">
        <f>VLOOKUP(AD147,Lookup!$C$4:$D$14,2,FALSE)</f>
        <v>Slight Worsening</v>
      </c>
      <c r="AD147" s="193">
        <f>IF(P147/H147&lt;Lookup!$F$33,-5,IF(P147/H147&lt;Lookup!$F$32,-4,IF(P147/H147&lt;Lookup!$F$31,-3,IF(P147/H147&lt;Lookup!$F$30,-2,IF(P147/H147&lt;Lookup!$F$29,-1,-5)))))</f>
        <v>-1</v>
      </c>
      <c r="AE147" s="194" t="str">
        <f>VLOOKUP(AD147,Lookup!$G$28:$J$33,2,FALSE)</f>
        <v>One-time practice implementation cost 5% or less of enterprise annual net income</v>
      </c>
      <c r="AF147" s="281" t="s">
        <v>2972</v>
      </c>
      <c r="AG147" s="181" t="str">
        <f>VLOOKUP(AH147,Lookup!$C$4:$D$14,2,FALSE)</f>
        <v>Moderate Worsening</v>
      </c>
      <c r="AH147" s="193">
        <f>IF(J147&gt;Lookup!$F$43,-5,IF(J147&gt;Lookup!$F$42,-4,IF(J147&gt;Lookup!$F$41,-3,IF(J147&gt;Lookup!$F$40,-2,IF(J147&gt;Lookup!$F$39,-1,0)))))</f>
        <v>-3</v>
      </c>
      <c r="AI147" s="194" t="str">
        <f>VLOOKUP(AH147,Lookup!$G$38:$J$43,2,FALSE)</f>
        <v>Annual O&amp;M costs 2 to 3% of total installation costs</v>
      </c>
      <c r="AJ147" s="281" t="s">
        <v>3017</v>
      </c>
      <c r="AK147" s="181" t="str">
        <f>VLOOKUP(AL147,Lookup!$C$4:$D$14,2,FALSE)</f>
        <v>Moderate Worsening</v>
      </c>
      <c r="AL147" s="346">
        <f>IF(N147=0,0,IF(U147&lt;Lookup!$F$58,-5,IF(U147&lt;Lookup!$F$57,-4,IF(U147&lt;Lookup!$F$56,-3,IF(U147&lt;Lookup!$F$55,-2,IF(U147&lt;Lookup!$F$54,-1,IF(U147&lt;Lookup!$F$53,0,IF(U147&lt;Lookup!$F$52,1,IF(U147&lt;Lookup!$F$51,2,IF(U147&lt;Lookup!$F$50,3,IF(U147&lt;Lookup!$F$49,4,5)))))))))))</f>
        <v>-3</v>
      </c>
      <c r="AM147" s="194" t="str">
        <f>VLOOKUP(AL147,Lookup!$G$48:$J$58,2,FALSE)</f>
        <v>B/C Ratio .10 to .25</v>
      </c>
      <c r="AN147" s="281" t="s">
        <v>1843</v>
      </c>
      <c r="AO147" s="181" t="str">
        <f>VLOOKUP(AP147,Lookup!$C$4:$D$14,2,FALSE)</f>
        <v>No Effect</v>
      </c>
      <c r="AP147" s="193">
        <f>IF(Q147=0,0,IF(Q147&gt;Lookup!$F$63,5,IF(Q147&gt;Lookup!$F$64,4,IF(Q147&gt;Lookup!$F$65,3,IF(Q147&gt;Lookup!$F$66,2,IF(Q147&gt;Lookup!$F$67,1,IF(Q147&gt;Lookup!$F$69,-1,IF(Q147&gt;Lookup!$F$70,-2,IF(Q147&gt;Lookup!$F$71,-3,IF(Q147&gt;Lookup!$F$72,-4,-5))))))))))</f>
        <v>0</v>
      </c>
      <c r="AQ147" s="194" t="str">
        <f>VLOOKUP(AP147,Lookup!$G$63:$J$73,2,FALSE)</f>
        <v>No change in yield</v>
      </c>
      <c r="AR147" s="281" t="s">
        <v>3139</v>
      </c>
      <c r="AS147" s="181" t="str">
        <f>VLOOKUP(AT147,Lookup!$C$4:$D$14,2,FALSE)</f>
        <v>No Effect</v>
      </c>
      <c r="AT147" s="193">
        <f>IF(V147=0,0,IF(V147&lt;Lookup!$F$79,5,IF(V147&lt;Lookup!$F$80,4,IF(V147&lt;Lookup!$F$81,3,IF(V147&lt;Lookup!$F$82,2,IF(V147&lt;Lookup!$F$83,1,IF(V147&lt;Lookup!$F$85,-1,IF(V147&lt;Lookup!$F$86,-2,IF(V147&lt;Lookup!$F$87,-3,IF(V147&lt;Lookup!$F$88,-4,-5))))))))))</f>
        <v>0</v>
      </c>
      <c r="AU147" s="194" t="str">
        <f>VLOOKUP(AT147,Lookup!$G$79:$J$89,2,FALSE)</f>
        <v>No breakeven</v>
      </c>
      <c r="AV147" s="345" t="str">
        <f>VLOOKUP(AT147,Lookup!$G$79:$J$89,4,FALSE)</f>
        <v>Annual costs greater than annual benefits</v>
      </c>
      <c r="AW147" s="181" t="str">
        <f>VLOOKUP(AX147,Lookup!$C$4:$D$14,2,FALSE)</f>
        <v>Slight Improvement</v>
      </c>
      <c r="AX147" s="193">
        <f>VLOOKUP(AY147,Lookup!$G$92:$J$97,4,FALSE)</f>
        <v>1</v>
      </c>
      <c r="AY147" s="181" t="s">
        <v>2636</v>
      </c>
      <c r="AZ147" s="281" t="s">
        <v>3562</v>
      </c>
      <c r="BA147" s="181" t="str">
        <f>VLOOKUP(BB147,Lookup!$C$4:$D$14,2,FALSE)</f>
        <v>Slight Worsening</v>
      </c>
      <c r="BB147" s="193">
        <f>VLOOKUP(BC147,Lookup!$G$100:$K$110,5,FALSE)</f>
        <v>-1</v>
      </c>
      <c r="BC147" s="181" t="s">
        <v>2637</v>
      </c>
      <c r="BD147" s="281" t="s">
        <v>3216</v>
      </c>
      <c r="BE147" s="181" t="str">
        <f>VLOOKUP(BF147,Lookup!$C$4:$D$14,2,FALSE)</f>
        <v>No Effect</v>
      </c>
      <c r="BF147" s="193">
        <f>IF(X147=0,0,IF(X147&gt;Lookup!$F$113,-5,IF(X147&gt;Lookup!$F$114,-4,IF(X147&gt;Lookup!$F$115,-3,IF(X147&gt;Lookup!$F$116,-2,IF(X147&gt;Lookup!$F$117,-1,0))))))</f>
        <v>0</v>
      </c>
      <c r="BG147" s="195" t="str">
        <f>VLOOKUP(BF147,Lookup!$G$113:$H$118,2,FALSE)</f>
        <v>No change in on-farm equipment</v>
      </c>
      <c r="BH147" s="281" t="s">
        <v>1841</v>
      </c>
      <c r="BI147" s="181" t="str">
        <f>VLOOKUP(BJ147,Lookup!$C$4:$D$14,2,FALSE)</f>
        <v>Slight Worsening</v>
      </c>
      <c r="BJ147" s="193">
        <f>VLOOKUP(BK147,Lookup!$G$121:$L$131,6,FALSE)</f>
        <v>-1</v>
      </c>
      <c r="BK147" s="181" t="s">
        <v>2640</v>
      </c>
      <c r="BL147" s="281" t="s">
        <v>3346</v>
      </c>
      <c r="BM147" s="181" t="str">
        <f>VLOOKUP(BN147,Lookup!$C$4:$D$14,2,FALSE)</f>
        <v>No Effect</v>
      </c>
      <c r="BN147" s="193">
        <f>VLOOKUP(BO147,Lookup!$G$134:$L$144,6,FALSE)</f>
        <v>0</v>
      </c>
      <c r="BO147" s="181" t="s">
        <v>2646</v>
      </c>
      <c r="BP147" s="281" t="s">
        <v>3154</v>
      </c>
      <c r="BQ147" s="181" t="str">
        <f>VLOOKUP(BR147,Lookup!$C$4:$D$14,2,FALSE)</f>
        <v>Slight to Moderate Improvement</v>
      </c>
      <c r="BR147" s="193">
        <f>VLOOKUP(BS147,Lookup!$G$147:$L$157,6,FALSE)</f>
        <v>2</v>
      </c>
      <c r="BS147" s="181" t="s">
        <v>2641</v>
      </c>
      <c r="BT147" s="281" t="s">
        <v>3476</v>
      </c>
      <c r="BU147" s="175" t="s">
        <v>2231</v>
      </c>
    </row>
    <row r="148" spans="1:73" ht="39.950000000000003" customHeight="1" thickBot="1" x14ac:dyDescent="0.25">
      <c r="A148" s="173">
        <f t="shared" si="19"/>
        <v>145</v>
      </c>
      <c r="B148" s="178" t="s">
        <v>1148</v>
      </c>
      <c r="C148" s="179" t="s">
        <v>1604</v>
      </c>
      <c r="D148" s="180">
        <v>630</v>
      </c>
      <c r="E148" s="180" t="s">
        <v>3647</v>
      </c>
      <c r="F148" s="273" t="str">
        <f>VLOOKUP($D148,'Practice Descriptions'!$E$11:$F$186,2,FALSE)</f>
        <v>A well, pipe, pit, or bore in porous, underground strata into which drainage water can be discharged without contaminating groundwater resources.</v>
      </c>
      <c r="G148" s="182">
        <v>10</v>
      </c>
      <c r="H148" s="183">
        <v>250</v>
      </c>
      <c r="I148" s="184">
        <v>0</v>
      </c>
      <c r="J148" s="184">
        <v>0.01</v>
      </c>
      <c r="K148" s="419">
        <f>IF(E148="No.",1,IF(E148="Ac.",1,(SQRT(VLOOKUP(O148,Lookup!$F$9:$H$18,3,FALSE)))*208/VLOOKUP(O148,Lookup!$F$9:$H$18,3,FALSE)))</f>
        <v>1</v>
      </c>
      <c r="L148" s="185" t="str">
        <f t="shared" si="20"/>
        <v/>
      </c>
      <c r="M148" s="184">
        <v>0</v>
      </c>
      <c r="N148" s="186">
        <f>IF(G148=1,H148,PMT(Lookup!$G$4,G148,-H148)+(H148*J148)+(M148*P148))*K148</f>
        <v>35.072970142099294</v>
      </c>
      <c r="O148" s="187" t="s">
        <v>1110</v>
      </c>
      <c r="P148" s="186">
        <f>VLOOKUP($O148,Lookup!$F$9:$I$18,4,FALSE)</f>
        <v>300</v>
      </c>
      <c r="Q148" s="184">
        <v>0.01</v>
      </c>
      <c r="R148" s="183">
        <v>0.1</v>
      </c>
      <c r="S148" s="188" t="s">
        <v>3606</v>
      </c>
      <c r="T148" s="186">
        <f t="shared" si="22"/>
        <v>3.1</v>
      </c>
      <c r="U148" s="189">
        <f t="shared" si="23"/>
        <v>8.8387153624008688E-2</v>
      </c>
      <c r="V148" s="189">
        <f t="shared" si="21"/>
        <v>0</v>
      </c>
      <c r="W148" s="190">
        <f>IF(P148=0,0,IF(Q148+R148=0,0,PV(Lookup!$G$4,G148,-T148)/H148))</f>
        <v>9.5170934258567097E-2</v>
      </c>
      <c r="X148" s="190">
        <f>IF(I148=0,0,PMT(Lookup!$G$4,G148,-(H148*I148*K148))/P148)</f>
        <v>0</v>
      </c>
      <c r="Y148" s="42" t="s">
        <v>963</v>
      </c>
      <c r="Z148" s="192">
        <f>VLOOKUP(Y148,Lookup!$B$4:$C$14,2,FALSE)</f>
        <v>2</v>
      </c>
      <c r="AA148" s="281" t="s">
        <v>227</v>
      </c>
      <c r="AB148" s="282" t="s">
        <v>1072</v>
      </c>
      <c r="AC148" s="181" t="str">
        <f>VLOOKUP(AD148,Lookup!$C$4:$D$14,2,FALSE)</f>
        <v>Slight to Moderate Worsening</v>
      </c>
      <c r="AD148" s="193">
        <f>IF(P148/H148&lt;Lookup!$F$33,-5,IF(P148/H148&lt;Lookup!$F$32,-4,IF(P148/H148&lt;Lookup!$F$31,-3,IF(P148/H148&lt;Lookup!$F$30,-2,IF(P148/H148&lt;Lookup!$F$29,-1,-5)))))</f>
        <v>-2</v>
      </c>
      <c r="AE148" s="194" t="str">
        <f>VLOOKUP(AD148,Lookup!$G$28:$J$33,2,FALSE)</f>
        <v>One-time practice implementation cost 5 to 100% of enterprise annual net income</v>
      </c>
      <c r="AF148" s="281" t="s">
        <v>1847</v>
      </c>
      <c r="AG148" s="181" t="str">
        <f>VLOOKUP(AH148,Lookup!$C$4:$D$14,2,FALSE)</f>
        <v>Slight Worsening</v>
      </c>
      <c r="AH148" s="193">
        <f>IF(J148&gt;Lookup!$F$43,-5,IF(J148&gt;Lookup!$F$42,-4,IF(J148&gt;Lookup!$F$41,-3,IF(J148&gt;Lookup!$F$40,-2,IF(J148&gt;Lookup!$F$39,-1,0)))))</f>
        <v>-1</v>
      </c>
      <c r="AI148" s="194" t="str">
        <f>VLOOKUP(AH148,Lookup!$G$38:$J$43,2,FALSE)</f>
        <v>Annual O&amp;M costs less than 1% of total installation costs</v>
      </c>
      <c r="AJ148" s="281" t="s">
        <v>2998</v>
      </c>
      <c r="AK148" s="181" t="str">
        <f>VLOOKUP(AL148,Lookup!$C$4:$D$14,2,FALSE)</f>
        <v>Moderate to Substantial Worsening</v>
      </c>
      <c r="AL148" s="346">
        <f>IF(N148=0,0,IF(U148&lt;Lookup!$F$58,-5,IF(U148&lt;Lookup!$F$57,-4,IF(U148&lt;Lookup!$F$56,-3,IF(U148&lt;Lookup!$F$55,-2,IF(U148&lt;Lookup!$F$54,-1,IF(U148&lt;Lookup!$F$53,0,IF(U148&lt;Lookup!$F$52,1,IF(U148&lt;Lookup!$F$51,2,IF(U148&lt;Lookup!$F$50,3,IF(U148&lt;Lookup!$F$49,4,5)))))))))))</f>
        <v>-4</v>
      </c>
      <c r="AM148" s="194" t="str">
        <f>VLOOKUP(AL148,Lookup!$G$48:$J$58,2,FALSE)</f>
        <v>B/C Ratio .05 to .10</v>
      </c>
      <c r="AN148" s="281" t="s">
        <v>3041</v>
      </c>
      <c r="AO148" s="181" t="str">
        <f>VLOOKUP(AP148,Lookup!$C$4:$D$14,2,FALSE)</f>
        <v>Slight Improvement</v>
      </c>
      <c r="AP148" s="193">
        <f>IF(Q148=0,0,IF(Q148&gt;Lookup!$F$63,5,IF(Q148&gt;Lookup!$F$64,4,IF(Q148&gt;Lookup!$F$65,3,IF(Q148&gt;Lookup!$F$66,2,IF(Q148&gt;Lookup!$F$67,1,IF(Q148&gt;Lookup!$F$69,-1,IF(Q148&gt;Lookup!$F$70,-2,IF(Q148&gt;Lookup!$F$71,-3,IF(Q148&gt;Lookup!$F$72,-4,-5))))))))))</f>
        <v>1</v>
      </c>
      <c r="AQ148" s="194" t="str">
        <f>VLOOKUP(AP148,Lookup!$G$63:$J$73,2,FALSE)</f>
        <v>5% or less yield increase</v>
      </c>
      <c r="AR148" s="281" t="s">
        <v>3114</v>
      </c>
      <c r="AS148" s="181" t="str">
        <f>VLOOKUP(AT148,Lookup!$C$4:$D$14,2,FALSE)</f>
        <v>No Effect</v>
      </c>
      <c r="AT148" s="193">
        <f>IF(V148=0,0,IF(V148&lt;Lookup!$F$79,5,IF(V148&lt;Lookup!$F$80,4,IF(V148&lt;Lookup!$F$81,3,IF(V148&lt;Lookup!$F$82,2,IF(V148&lt;Lookup!$F$83,1,IF(V148&lt;Lookup!$F$85,-1,IF(V148&lt;Lookup!$F$86,-2,IF(V148&lt;Lookup!$F$87,-3,IF(V148&lt;Lookup!$F$88,-4,-5))))))))))</f>
        <v>0</v>
      </c>
      <c r="AU148" s="194" t="str">
        <f>VLOOKUP(AT148,Lookup!$G$79:$J$89,2,FALSE)</f>
        <v>No breakeven</v>
      </c>
      <c r="AV148" s="345" t="str">
        <f>VLOOKUP(AT148,Lookup!$G$79:$J$89,4,FALSE)</f>
        <v>Annual costs greater than annual benefits</v>
      </c>
      <c r="AW148" s="181" t="str">
        <f>VLOOKUP(AX148,Lookup!$C$4:$D$14,2,FALSE)</f>
        <v>No Effect</v>
      </c>
      <c r="AX148" s="193">
        <f>VLOOKUP(AY148,Lookup!$G$92:$J$97,4,FALSE)</f>
        <v>0</v>
      </c>
      <c r="AY148" s="181" t="s">
        <v>2642</v>
      </c>
      <c r="AZ148" s="281" t="s">
        <v>3154</v>
      </c>
      <c r="BA148" s="181" t="str">
        <f>VLOOKUP(BB148,Lookup!$C$4:$D$14,2,FALSE)</f>
        <v>Slight Worsening</v>
      </c>
      <c r="BB148" s="193">
        <f>VLOOKUP(BC148,Lookup!$G$100:$K$110,5,FALSE)</f>
        <v>-1</v>
      </c>
      <c r="BC148" s="181" t="s">
        <v>2637</v>
      </c>
      <c r="BD148" s="281" t="s">
        <v>3216</v>
      </c>
      <c r="BE148" s="181" t="str">
        <f>VLOOKUP(BF148,Lookup!$C$4:$D$14,2,FALSE)</f>
        <v>No Effect</v>
      </c>
      <c r="BF148" s="193">
        <f>IF(X148=0,0,IF(X148&gt;Lookup!$F$113,-5,IF(X148&gt;Lookup!$F$114,-4,IF(X148&gt;Lookup!$F$115,-3,IF(X148&gt;Lookup!$F$116,-2,IF(X148&gt;Lookup!$F$117,-1,0))))))</f>
        <v>0</v>
      </c>
      <c r="BG148" s="195" t="str">
        <f>VLOOKUP(BF148,Lookup!$G$113:$H$118,2,FALSE)</f>
        <v>No change in on-farm equipment</v>
      </c>
      <c r="BH148" s="281" t="s">
        <v>1841</v>
      </c>
      <c r="BI148" s="181" t="str">
        <f>VLOOKUP(BJ148,Lookup!$C$4:$D$14,2,FALSE)</f>
        <v>Slight Worsening</v>
      </c>
      <c r="BJ148" s="193">
        <f>VLOOKUP(BK148,Lookup!$G$121:$L$131,6,FALSE)</f>
        <v>-1</v>
      </c>
      <c r="BK148" s="181" t="s">
        <v>2640</v>
      </c>
      <c r="BL148" s="281" t="s">
        <v>3347</v>
      </c>
      <c r="BM148" s="181" t="str">
        <f>VLOOKUP(BN148,Lookup!$C$4:$D$14,2,FALSE)</f>
        <v>Slight Worsening</v>
      </c>
      <c r="BN148" s="193">
        <f>VLOOKUP(BO148,Lookup!$G$134:$L$144,6,FALSE)</f>
        <v>-1</v>
      </c>
      <c r="BO148" s="181" t="s">
        <v>3373</v>
      </c>
      <c r="BP148" s="281" t="s">
        <v>3419</v>
      </c>
      <c r="BQ148" s="181" t="str">
        <f>VLOOKUP(BR148,Lookup!$C$4:$D$14,2,FALSE)</f>
        <v>Slight to Moderate Improvement</v>
      </c>
      <c r="BR148" s="193">
        <f>VLOOKUP(BS148,Lookup!$G$147:$L$157,6,FALSE)</f>
        <v>2</v>
      </c>
      <c r="BS148" s="181" t="s">
        <v>2641</v>
      </c>
      <c r="BT148" s="281" t="s">
        <v>3486</v>
      </c>
      <c r="BU148" s="175" t="s">
        <v>2231</v>
      </c>
    </row>
    <row r="149" spans="1:73" ht="39.950000000000003" customHeight="1" thickBot="1" x14ac:dyDescent="0.25">
      <c r="A149" s="173">
        <f t="shared" si="19"/>
        <v>146</v>
      </c>
      <c r="B149" s="178" t="s">
        <v>1782</v>
      </c>
      <c r="C149" s="179" t="s">
        <v>1460</v>
      </c>
      <c r="D149" s="180">
        <v>360</v>
      </c>
      <c r="E149" s="180" t="s">
        <v>3647</v>
      </c>
      <c r="F149" s="273" t="str">
        <f>VLOOKUP($D149,'Practice Descriptions'!$E$11:$F$186,2,FALSE)</f>
        <v>The decommissioning of facilities, and/or the rehabilitation of contaminated soil, in an environmentally safe manner, where agricultural waste has been handled, treated, and/or stored and is no longer used for the intended purpose.</v>
      </c>
      <c r="G149" s="182">
        <v>15</v>
      </c>
      <c r="H149" s="183">
        <v>7500</v>
      </c>
      <c r="I149" s="184">
        <v>0</v>
      </c>
      <c r="J149" s="184">
        <v>0.02</v>
      </c>
      <c r="K149" s="419">
        <f>IF(E149="No.",1,IF(E149="Ac.",1,(SQRT(VLOOKUP(O149,Lookup!$F$9:$H$18,3,FALSE)))*208/VLOOKUP(O149,Lookup!$F$9:$H$18,3,FALSE)))</f>
        <v>1</v>
      </c>
      <c r="L149" s="185" t="str">
        <f t="shared" si="20"/>
        <v/>
      </c>
      <c r="M149" s="184">
        <v>0</v>
      </c>
      <c r="N149" s="186">
        <f>IF(G149=1,H149,PMT(Lookup!$G$4,G149,-H149)+(H149*J149)+(M149*P149))*K149</f>
        <v>878.68509198658205</v>
      </c>
      <c r="O149" s="187" t="s">
        <v>2221</v>
      </c>
      <c r="P149" s="186">
        <f>VLOOKUP($O149,Lookup!$F$9:$I$18,4,FALSE)</f>
        <v>1</v>
      </c>
      <c r="Q149" s="184">
        <v>0</v>
      </c>
      <c r="R149" s="183">
        <v>500</v>
      </c>
      <c r="S149" s="188" t="s">
        <v>3082</v>
      </c>
      <c r="T149" s="186">
        <f t="shared" si="22"/>
        <v>500</v>
      </c>
      <c r="U149" s="189">
        <f t="shared" si="23"/>
        <v>0.56903207367450737</v>
      </c>
      <c r="V149" s="189">
        <f t="shared" si="21"/>
        <v>0</v>
      </c>
      <c r="W149" s="190">
        <f>IF(P149=0,0,IF(Q149+R149=0,0,PV(Lookup!$G$4,G149,-T149)/H149))</f>
        <v>0.68616746177264609</v>
      </c>
      <c r="X149" s="190">
        <f>IF(I149=0,0,PMT(Lookup!$G$4,G149,-(H149*I149*K149))/P149)</f>
        <v>0</v>
      </c>
      <c r="Y149" s="42" t="s">
        <v>986</v>
      </c>
      <c r="Z149" s="192">
        <f>VLOOKUP(Y149,Lookup!$B$4:$C$14,2,FALSE)</f>
        <v>0</v>
      </c>
      <c r="AA149" s="281" t="s">
        <v>2759</v>
      </c>
      <c r="AB149" s="282" t="s">
        <v>1072</v>
      </c>
      <c r="AC149" s="181" t="str">
        <f>VLOOKUP(AD149,Lookup!$C$4:$D$14,2,FALSE)</f>
        <v>Substantial Worsening</v>
      </c>
      <c r="AD149" s="193">
        <f>IF(P149/H149&lt;Lookup!$F$33,-5,IF(P149/H149&lt;Lookup!$F$32,-4,IF(P149/H149&lt;Lookup!$F$31,-3,IF(P149/H149&lt;Lookup!$F$30,-2,IF(P149/H149&lt;Lookup!$F$29,-1,-5)))))</f>
        <v>-5</v>
      </c>
      <c r="AE149" s="194" t="str">
        <f>VLOOKUP(AD149,Lookup!$G$28:$J$33,2,FALSE)</f>
        <v>One-time practice implementation cost 5 times or greater enterprise annual net income</v>
      </c>
      <c r="AF149" s="281" t="s">
        <v>2965</v>
      </c>
      <c r="AG149" s="181" t="str">
        <f>VLOOKUP(AH149,Lookup!$C$4:$D$14,2,FALSE)</f>
        <v>Slight to Moderate Worsening</v>
      </c>
      <c r="AH149" s="193">
        <f>IF(J149&gt;Lookup!$F$43,-5,IF(J149&gt;Lookup!$F$42,-4,IF(J149&gt;Lookup!$F$41,-3,IF(J149&gt;Lookup!$F$40,-2,IF(J149&gt;Lookup!$F$39,-1,0)))))</f>
        <v>-2</v>
      </c>
      <c r="AI149" s="194" t="str">
        <f>VLOOKUP(AH149,Lookup!$G$38:$J$43,2,FALSE)</f>
        <v>Annual O&amp;M costs 1 to 2% of total installation costs</v>
      </c>
      <c r="AJ149" s="281" t="s">
        <v>2992</v>
      </c>
      <c r="AK149" s="181" t="str">
        <f>VLOOKUP(AL149,Lookup!$C$4:$D$14,2,FALSE)</f>
        <v>Slight Worsening</v>
      </c>
      <c r="AL149" s="346">
        <f>IF(N149=0,0,IF(U149&lt;Lookup!$F$58,-5,IF(U149&lt;Lookup!$F$57,-4,IF(U149&lt;Lookup!$F$56,-3,IF(U149&lt;Lookup!$F$55,-2,IF(U149&lt;Lookup!$F$54,-1,IF(U149&lt;Lookup!$F$53,0,IF(U149&lt;Lookup!$F$52,1,IF(U149&lt;Lookup!$F$51,2,IF(U149&lt;Lookup!$F$50,3,IF(U149&lt;Lookup!$F$49,4,5)))))))))))</f>
        <v>-1</v>
      </c>
      <c r="AM149" s="194" t="str">
        <f>VLOOKUP(AL149,Lookup!$G$48:$J$58,2,FALSE)</f>
        <v>B/C Ratio .50 to .75</v>
      </c>
      <c r="AN149" s="281" t="s">
        <v>3068</v>
      </c>
      <c r="AO149" s="181" t="str">
        <f>VLOOKUP(AP149,Lookup!$C$4:$D$14,2,FALSE)</f>
        <v>No Effect</v>
      </c>
      <c r="AP149" s="193">
        <f>IF(Q149=0,0,IF(Q149&gt;Lookup!$F$63,5,IF(Q149&gt;Lookup!$F$64,4,IF(Q149&gt;Lookup!$F$65,3,IF(Q149&gt;Lookup!$F$66,2,IF(Q149&gt;Lookup!$F$67,1,IF(Q149&gt;Lookup!$F$69,-1,IF(Q149&gt;Lookup!$F$70,-2,IF(Q149&gt;Lookup!$F$71,-3,IF(Q149&gt;Lookup!$F$72,-4,-5))))))))))</f>
        <v>0</v>
      </c>
      <c r="AQ149" s="194" t="str">
        <f>VLOOKUP(AP149,Lookup!$G$63:$J$73,2,FALSE)</f>
        <v>No change in yield</v>
      </c>
      <c r="AR149" s="281" t="s">
        <v>3081</v>
      </c>
      <c r="AS149" s="181" t="str">
        <f>VLOOKUP(AT149,Lookup!$C$4:$D$14,2,FALSE)</f>
        <v>No Effect</v>
      </c>
      <c r="AT149" s="193">
        <f>IF(V149=0,0,IF(V149&lt;Lookup!$F$79,5,IF(V149&lt;Lookup!$F$80,4,IF(V149&lt;Lookup!$F$81,3,IF(V149&lt;Lookup!$F$82,2,IF(V149&lt;Lookup!$F$83,1,IF(V149&lt;Lookup!$F$85,-1,IF(V149&lt;Lookup!$F$86,-2,IF(V149&lt;Lookup!$F$87,-3,IF(V149&lt;Lookup!$F$88,-4,-5))))))))))</f>
        <v>0</v>
      </c>
      <c r="AU149" s="194" t="str">
        <f>VLOOKUP(AT149,Lookup!$G$79:$J$89,2,FALSE)</f>
        <v>No breakeven</v>
      </c>
      <c r="AV149" s="345" t="str">
        <f>VLOOKUP(AT149,Lookup!$G$79:$J$89,4,FALSE)</f>
        <v>Annual costs greater than annual benefits</v>
      </c>
      <c r="AW149" s="181" t="str">
        <f>VLOOKUP(AX149,Lookup!$C$4:$D$14,2,FALSE)</f>
        <v>Slight Improvement</v>
      </c>
      <c r="AX149" s="193">
        <f>VLOOKUP(AY149,Lookup!$G$92:$J$97,4,FALSE)</f>
        <v>1</v>
      </c>
      <c r="AY149" s="181" t="s">
        <v>2636</v>
      </c>
      <c r="AZ149" s="281" t="s">
        <v>3573</v>
      </c>
      <c r="BA149" s="181" t="str">
        <f>VLOOKUP(BB149,Lookup!$C$4:$D$14,2,FALSE)</f>
        <v>Slight Improvement</v>
      </c>
      <c r="BB149" s="193">
        <f>VLOOKUP(BC149,Lookup!$G$100:$K$110,5,FALSE)</f>
        <v>1</v>
      </c>
      <c r="BC149" s="181" t="s">
        <v>2651</v>
      </c>
      <c r="BD149" s="281" t="s">
        <v>3217</v>
      </c>
      <c r="BE149" s="181" t="str">
        <f>VLOOKUP(BF149,Lookup!$C$4:$D$14,2,FALSE)</f>
        <v>No Effect</v>
      </c>
      <c r="BF149" s="193">
        <f>IF(X149=0,0,IF(X149&gt;Lookup!$F$113,-5,IF(X149&gt;Lookup!$F$114,-4,IF(X149&gt;Lookup!$F$115,-3,IF(X149&gt;Lookup!$F$116,-2,IF(X149&gt;Lookup!$F$117,-1,0))))))</f>
        <v>0</v>
      </c>
      <c r="BG149" s="195" t="str">
        <f>VLOOKUP(BF149,Lookup!$G$113:$H$118,2,FALSE)</f>
        <v>No change in on-farm equipment</v>
      </c>
      <c r="BH149" s="281" t="s">
        <v>1841</v>
      </c>
      <c r="BI149" s="181" t="str">
        <f>VLOOKUP(BJ149,Lookup!$C$4:$D$14,2,FALSE)</f>
        <v>Slight Worsening</v>
      </c>
      <c r="BJ149" s="193">
        <f>VLOOKUP(BK149,Lookup!$G$121:$L$131,6,FALSE)</f>
        <v>-1</v>
      </c>
      <c r="BK149" s="181" t="s">
        <v>2640</v>
      </c>
      <c r="BL149" s="281" t="s">
        <v>3348</v>
      </c>
      <c r="BM149" s="181" t="str">
        <f>VLOOKUP(BN149,Lookup!$C$4:$D$14,2,FALSE)</f>
        <v>No Effect</v>
      </c>
      <c r="BN149" s="193">
        <f>VLOOKUP(BO149,Lookup!$G$134:$L$144,6,FALSE)</f>
        <v>0</v>
      </c>
      <c r="BO149" s="181" t="s">
        <v>2646</v>
      </c>
      <c r="BP149" s="281" t="s">
        <v>3154</v>
      </c>
      <c r="BQ149" s="181" t="str">
        <f>VLOOKUP(BR149,Lookup!$C$4:$D$14,2,FALSE)</f>
        <v>Moderate to Substantial Improvement</v>
      </c>
      <c r="BR149" s="193">
        <f>VLOOKUP(BS149,Lookup!$G$147:$L$157,6,FALSE)</f>
        <v>4</v>
      </c>
      <c r="BS149" s="181" t="s">
        <v>2645</v>
      </c>
      <c r="BT149" s="281" t="s">
        <v>3468</v>
      </c>
      <c r="BU149" s="175" t="s">
        <v>2231</v>
      </c>
    </row>
    <row r="150" spans="1:73" ht="39.950000000000003" customHeight="1" thickBot="1" x14ac:dyDescent="0.25">
      <c r="A150" s="173">
        <f t="shared" si="19"/>
        <v>147</v>
      </c>
      <c r="B150" s="178" t="s">
        <v>1973</v>
      </c>
      <c r="C150" s="179" t="s">
        <v>1461</v>
      </c>
      <c r="D150" s="180">
        <v>633</v>
      </c>
      <c r="E150" s="180" t="s">
        <v>3646</v>
      </c>
      <c r="F150" s="273" t="str">
        <f>VLOOKUP($D150,'Practice Descriptions'!$E$11:$F$186,2,FALSE)</f>
        <v>The use of the by-products of agricultural production or the agricultural use of non-agricultural by-products.</v>
      </c>
      <c r="G150" s="182">
        <v>1</v>
      </c>
      <c r="H150" s="183">
        <v>3</v>
      </c>
      <c r="I150" s="184">
        <v>0.1</v>
      </c>
      <c r="J150" s="184">
        <v>0</v>
      </c>
      <c r="K150" s="419">
        <f>IF(E150="No.",1,IF(E150="Ac.",1,(SQRT(VLOOKUP(O150,Lookup!$F$9:$H$18,3,FALSE)))*208/VLOOKUP(O150,Lookup!$F$9:$H$18,3,FALSE)))</f>
        <v>1</v>
      </c>
      <c r="L150" s="185" t="str">
        <f t="shared" si="20"/>
        <v/>
      </c>
      <c r="M150" s="184">
        <v>0</v>
      </c>
      <c r="N150" s="186">
        <f>IF(G150=1,H150,PMT(Lookup!$G$4,G150,-H150)+(H150*J150)+(M150*P150))*K150</f>
        <v>3</v>
      </c>
      <c r="O150" s="187" t="s">
        <v>2221</v>
      </c>
      <c r="P150" s="186">
        <f>VLOOKUP($O150,Lookup!$F$9:$I$18,4,FALSE)</f>
        <v>1</v>
      </c>
      <c r="Q150" s="184">
        <v>0</v>
      </c>
      <c r="R150" s="183">
        <v>2</v>
      </c>
      <c r="S150" s="188" t="s">
        <v>3072</v>
      </c>
      <c r="T150" s="186">
        <f t="shared" si="22"/>
        <v>2</v>
      </c>
      <c r="U150" s="189">
        <f t="shared" si="23"/>
        <v>0.66666666666666663</v>
      </c>
      <c r="V150" s="189">
        <f t="shared" si="21"/>
        <v>0</v>
      </c>
      <c r="W150" s="190">
        <f>IF(P150=0,0,IF(Q150+R150=0,0,PV(Lookup!$G$4,G150,-T150)/H150))</f>
        <v>0.63416567578279859</v>
      </c>
      <c r="X150" s="190">
        <f>IF(I150=0,0,PMT(Lookup!$G$4,G150,-(H150*I150*K150))/P150)</f>
        <v>0.31537500000000013</v>
      </c>
      <c r="Y150" s="42" t="s">
        <v>963</v>
      </c>
      <c r="Z150" s="192">
        <f>VLOOKUP(Y150,Lookup!$B$4:$C$14,2,FALSE)</f>
        <v>2</v>
      </c>
      <c r="AA150" s="281" t="s">
        <v>1935</v>
      </c>
      <c r="AB150" s="282" t="s">
        <v>1072</v>
      </c>
      <c r="AC150" s="181" t="str">
        <f>VLOOKUP(AD150,Lookup!$C$4:$D$14,2,FALSE)</f>
        <v>Moderate to Substantial Worsening</v>
      </c>
      <c r="AD150" s="193">
        <f>IF(P150/H150&lt;Lookup!$F$33,-5,IF(P150/H150&lt;Lookup!$F$32,-4,IF(P150/H150&lt;Lookup!$F$31,-3,IF(P150/H150&lt;Lookup!$F$30,-2,IF(P150/H150&lt;Lookup!$F$29,-1,-5)))))</f>
        <v>-4</v>
      </c>
      <c r="AE150" s="194" t="str">
        <f>VLOOKUP(AD150,Lookup!$G$28:$J$33,2,FALSE)</f>
        <v>One-time practice implementation cost 2 to 5 times enterprise annual net income</v>
      </c>
      <c r="AF150" s="281" t="s">
        <v>1901</v>
      </c>
      <c r="AG150" s="181" t="str">
        <f>VLOOKUP(AH150,Lookup!$C$4:$D$14,2,FALSE)</f>
        <v>No Effect</v>
      </c>
      <c r="AH150" s="193">
        <f>IF(J150&gt;Lookup!$F$43,-5,IF(J150&gt;Lookup!$F$42,-4,IF(J150&gt;Lookup!$F$41,-3,IF(J150&gt;Lookup!$F$40,-2,IF(J150&gt;Lookup!$F$39,-1,0)))))</f>
        <v>0</v>
      </c>
      <c r="AI150" s="194" t="str">
        <f>VLOOKUP(AH150,Lookup!$G$38:$J$43,2,FALSE)</f>
        <v>No O&amp;M costs</v>
      </c>
      <c r="AJ150" s="281" t="s">
        <v>3005</v>
      </c>
      <c r="AK150" s="181" t="str">
        <f>VLOOKUP(AL150,Lookup!$C$4:$D$14,2,FALSE)</f>
        <v>Slight Worsening</v>
      </c>
      <c r="AL150" s="346">
        <f>IF(N150=0,0,IF(U150&lt;Lookup!$F$58,-5,IF(U150&lt;Lookup!$F$57,-4,IF(U150&lt;Lookup!$F$56,-3,IF(U150&lt;Lookup!$F$55,-2,IF(U150&lt;Lookup!$F$54,-1,IF(U150&lt;Lookup!$F$53,0,IF(U150&lt;Lookup!$F$52,1,IF(U150&lt;Lookup!$F$51,2,IF(U150&lt;Lookup!$F$50,3,IF(U150&lt;Lookup!$F$49,4,5)))))))))))</f>
        <v>-1</v>
      </c>
      <c r="AM150" s="194" t="str">
        <f>VLOOKUP(AL150,Lookup!$G$48:$J$58,2,FALSE)</f>
        <v>B/C Ratio .50 to .75</v>
      </c>
      <c r="AN150" s="281" t="s">
        <v>3073</v>
      </c>
      <c r="AO150" s="181" t="str">
        <f>VLOOKUP(AP150,Lookup!$C$4:$D$14,2,FALSE)</f>
        <v>No Effect</v>
      </c>
      <c r="AP150" s="193">
        <f>IF(Q150=0,0,IF(Q150&gt;Lookup!$F$63,5,IF(Q150&gt;Lookup!$F$64,4,IF(Q150&gt;Lookup!$F$65,3,IF(Q150&gt;Lookup!$F$66,2,IF(Q150&gt;Lookup!$F$67,1,IF(Q150&gt;Lookup!$F$69,-1,IF(Q150&gt;Lookup!$F$70,-2,IF(Q150&gt;Lookup!$F$71,-3,IF(Q150&gt;Lookup!$F$72,-4,-5))))))))))</f>
        <v>0</v>
      </c>
      <c r="AQ150" s="194" t="str">
        <f>VLOOKUP(AP150,Lookup!$G$63:$J$73,2,FALSE)</f>
        <v>No change in yield</v>
      </c>
      <c r="AR150" s="281" t="s">
        <v>3081</v>
      </c>
      <c r="AS150" s="181" t="str">
        <f>VLOOKUP(AT150,Lookup!$C$4:$D$14,2,FALSE)</f>
        <v>No Effect</v>
      </c>
      <c r="AT150" s="193">
        <f>IF(V150=0,0,IF(V150&lt;Lookup!$F$79,5,IF(V150&lt;Lookup!$F$80,4,IF(V150&lt;Lookup!$F$81,3,IF(V150&lt;Lookup!$F$82,2,IF(V150&lt;Lookup!$F$83,1,IF(V150&lt;Lookup!$F$85,-1,IF(V150&lt;Lookup!$F$86,-2,IF(V150&lt;Lookup!$F$87,-3,IF(V150&lt;Lookup!$F$88,-4,-5))))))))))</f>
        <v>0</v>
      </c>
      <c r="AU150" s="194" t="str">
        <f>VLOOKUP(AT150,Lookup!$G$79:$J$89,2,FALSE)</f>
        <v>No breakeven</v>
      </c>
      <c r="AV150" s="345" t="str">
        <f>VLOOKUP(AT150,Lookup!$G$79:$J$89,4,FALSE)</f>
        <v>Annual costs greater than annual benefits</v>
      </c>
      <c r="AW150" s="181" t="str">
        <f>VLOOKUP(AX150,Lookup!$C$4:$D$14,2,FALSE)</f>
        <v>No Effect</v>
      </c>
      <c r="AX150" s="193">
        <f>VLOOKUP(AY150,Lookup!$G$92:$J$97,4,FALSE)</f>
        <v>0</v>
      </c>
      <c r="AY150" s="181" t="s">
        <v>2642</v>
      </c>
      <c r="AZ150" s="281" t="s">
        <v>3154</v>
      </c>
      <c r="BA150" s="181" t="str">
        <f>VLOOKUP(BB150,Lookup!$C$4:$D$14,2,FALSE)</f>
        <v>No Effect</v>
      </c>
      <c r="BB150" s="193">
        <f>VLOOKUP(BC150,Lookup!$G$100:$K$110,5,FALSE)</f>
        <v>0</v>
      </c>
      <c r="BC150" s="181" t="s">
        <v>2643</v>
      </c>
      <c r="BD150" s="281" t="s">
        <v>3154</v>
      </c>
      <c r="BE150" s="181" t="str">
        <f>VLOOKUP(BF150,Lookup!$C$4:$D$14,2,FALSE)</f>
        <v>Moderate Worsening</v>
      </c>
      <c r="BF150" s="193">
        <f>IF(X150=0,0,IF(X150&gt;Lookup!$F$113,-5,IF(X150&gt;Lookup!$F$114,-4,IF(X150&gt;Lookup!$F$115,-3,IF(X150&gt;Lookup!$F$116,-2,IF(X150&gt;Lookup!$F$117,-1,0))))))</f>
        <v>-3</v>
      </c>
      <c r="BG150" s="195" t="str">
        <f>VLOOKUP(BF150,Lookup!$G$113:$H$118,2,FALSE)</f>
        <v>Annual on-farm equipment costs 50 to 25% of enterprise annual net income</v>
      </c>
      <c r="BH150" s="281" t="s">
        <v>1921</v>
      </c>
      <c r="BI150" s="181" t="str">
        <f>VLOOKUP(BJ150,Lookup!$C$4:$D$14,2,FALSE)</f>
        <v>Slight to Moderate Worsening</v>
      </c>
      <c r="BJ150" s="193">
        <f>VLOOKUP(BK150,Lookup!$G$121:$L$131,6,FALSE)</f>
        <v>-2</v>
      </c>
      <c r="BK150" s="181" t="s">
        <v>2649</v>
      </c>
      <c r="BL150" s="281" t="s">
        <v>3349</v>
      </c>
      <c r="BM150" s="181" t="str">
        <f>VLOOKUP(BN150,Lookup!$C$4:$D$14,2,FALSE)</f>
        <v>Slight Worsening</v>
      </c>
      <c r="BN150" s="193">
        <f>VLOOKUP(BO150,Lookup!$G$134:$L$144,6,FALSE)</f>
        <v>-1</v>
      </c>
      <c r="BO150" s="181" t="s">
        <v>3373</v>
      </c>
      <c r="BP150" s="281" t="s">
        <v>3420</v>
      </c>
      <c r="BQ150" s="181" t="str">
        <f>VLOOKUP(BR150,Lookup!$C$4:$D$14,2,FALSE)</f>
        <v>Slight Worsening</v>
      </c>
      <c r="BR150" s="193">
        <f>VLOOKUP(BS150,Lookup!$G$147:$L$157,6,FALSE)</f>
        <v>-1</v>
      </c>
      <c r="BS150" s="181" t="s">
        <v>2658</v>
      </c>
      <c r="BT150" s="281" t="s">
        <v>3489</v>
      </c>
      <c r="BU150" s="175" t="s">
        <v>2231</v>
      </c>
    </row>
    <row r="151" spans="1:73" ht="39.950000000000003" customHeight="1" thickBot="1" x14ac:dyDescent="0.25">
      <c r="A151" s="173">
        <f t="shared" si="19"/>
        <v>148</v>
      </c>
      <c r="B151" s="178" t="s">
        <v>1149</v>
      </c>
      <c r="C151" s="179" t="s">
        <v>1599</v>
      </c>
      <c r="D151" s="180">
        <v>313</v>
      </c>
      <c r="E151" s="180" t="s">
        <v>3647</v>
      </c>
      <c r="F151" s="273" t="str">
        <f>VLOOKUP($D151,'Practice Descriptions'!$E$11:$F$186,2,FALSE)</f>
        <v>A waste storage impoundment made by constructing an embankment and/or excavating a pit or dugout, or by fabricating a structure.</v>
      </c>
      <c r="G151" s="182">
        <v>15</v>
      </c>
      <c r="H151" s="183">
        <v>150000</v>
      </c>
      <c r="I151" s="184">
        <v>0.05</v>
      </c>
      <c r="J151" s="184">
        <v>0.02</v>
      </c>
      <c r="K151" s="419">
        <f>IF(E151="No.",1,IF(E151="Ac.",1,(SQRT(VLOOKUP(O151,Lookup!$F$9:$H$18,3,FALSE)))*208/VLOOKUP(O151,Lookup!$F$9:$H$18,3,FALSE)))</f>
        <v>1</v>
      </c>
      <c r="L151" s="185" t="str">
        <f t="shared" si="20"/>
        <v/>
      </c>
      <c r="M151" s="184">
        <v>0</v>
      </c>
      <c r="N151" s="186">
        <f>IF(G151=1,H151,PMT(Lookup!$G$4,G151,-H151)+(H151*J151)+(M151*P151))*K151</f>
        <v>17573.701839731639</v>
      </c>
      <c r="O151" s="187" t="s">
        <v>2221</v>
      </c>
      <c r="P151" s="186">
        <f>VLOOKUP($O151,Lookup!$F$9:$I$18,4,FALSE)</f>
        <v>1</v>
      </c>
      <c r="Q151" s="184">
        <v>0</v>
      </c>
      <c r="R151" s="183">
        <v>2500</v>
      </c>
      <c r="S151" s="188" t="s">
        <v>3082</v>
      </c>
      <c r="T151" s="186">
        <f t="shared" si="22"/>
        <v>2500</v>
      </c>
      <c r="U151" s="189">
        <f t="shared" si="23"/>
        <v>0.14225801841862684</v>
      </c>
      <c r="V151" s="189">
        <f t="shared" si="21"/>
        <v>0</v>
      </c>
      <c r="W151" s="190">
        <f>IF(P151=0,0,IF(Q151+R151=0,0,PV(Lookup!$G$4,G151,-T151)/H151))</f>
        <v>0.17154186544316152</v>
      </c>
      <c r="X151" s="190">
        <f>IF(I151=0,0,PMT(Lookup!$G$4,G151,-(H151*I151*K151))/P151)</f>
        <v>728.68509198658205</v>
      </c>
      <c r="Y151" s="42" t="s">
        <v>963</v>
      </c>
      <c r="Z151" s="192">
        <f>VLOOKUP(Y151,Lookup!$B$4:$C$14,2,FALSE)</f>
        <v>2</v>
      </c>
      <c r="AA151" s="281" t="s">
        <v>1932</v>
      </c>
      <c r="AB151" s="282" t="s">
        <v>1072</v>
      </c>
      <c r="AC151" s="181" t="str">
        <f>VLOOKUP(AD151,Lookup!$C$4:$D$14,2,FALSE)</f>
        <v>Substantial Worsening</v>
      </c>
      <c r="AD151" s="193">
        <f>IF(P151/H151&lt;Lookup!$F$33,-5,IF(P151/H151&lt;Lookup!$F$32,-4,IF(P151/H151&lt;Lookup!$F$31,-3,IF(P151/H151&lt;Lookup!$F$30,-2,IF(P151/H151&lt;Lookup!$F$29,-1,-5)))))</f>
        <v>-5</v>
      </c>
      <c r="AE151" s="194" t="str">
        <f>VLOOKUP(AD151,Lookup!$G$28:$J$33,2,FALSE)</f>
        <v>One-time practice implementation cost 5 times or greater enterprise annual net income</v>
      </c>
      <c r="AF151" s="281" t="s">
        <v>1847</v>
      </c>
      <c r="AG151" s="181" t="str">
        <f>VLOOKUP(AH151,Lookup!$C$4:$D$14,2,FALSE)</f>
        <v>Slight to Moderate Worsening</v>
      </c>
      <c r="AH151" s="193">
        <f>IF(J151&gt;Lookup!$F$43,-5,IF(J151&gt;Lookup!$F$42,-4,IF(J151&gt;Lookup!$F$41,-3,IF(J151&gt;Lookup!$F$40,-2,IF(J151&gt;Lookup!$F$39,-1,0)))))</f>
        <v>-2</v>
      </c>
      <c r="AI151" s="194" t="str">
        <f>VLOOKUP(AH151,Lookup!$G$38:$J$43,2,FALSE)</f>
        <v>Annual O&amp;M costs 1 to 2% of total installation costs</v>
      </c>
      <c r="AJ151" s="281" t="s">
        <v>2998</v>
      </c>
      <c r="AK151" s="181" t="str">
        <f>VLOOKUP(AL151,Lookup!$C$4:$D$14,2,FALSE)</f>
        <v>Moderate Worsening</v>
      </c>
      <c r="AL151" s="346">
        <f>IF(N151=0,0,IF(U151&lt;Lookup!$F$58,-5,IF(U151&lt;Lookup!$F$57,-4,IF(U151&lt;Lookup!$F$56,-3,IF(U151&lt;Lookup!$F$55,-2,IF(U151&lt;Lookup!$F$54,-1,IF(U151&lt;Lookup!$F$53,0,IF(U151&lt;Lookup!$F$52,1,IF(U151&lt;Lookup!$F$51,2,IF(U151&lt;Lookup!$F$50,3,IF(U151&lt;Lookup!$F$49,4,5)))))))))))</f>
        <v>-3</v>
      </c>
      <c r="AM151" s="194" t="str">
        <f>VLOOKUP(AL151,Lookup!$G$48:$J$58,2,FALSE)</f>
        <v>B/C Ratio .10 to .25</v>
      </c>
      <c r="AN151" s="281" t="s">
        <v>3029</v>
      </c>
      <c r="AO151" s="181" t="str">
        <f>VLOOKUP(AP151,Lookup!$C$4:$D$14,2,FALSE)</f>
        <v>No Effect</v>
      </c>
      <c r="AP151" s="193">
        <f>IF(Q151=0,0,IF(Q151&gt;Lookup!$F$63,5,IF(Q151&gt;Lookup!$F$64,4,IF(Q151&gt;Lookup!$F$65,3,IF(Q151&gt;Lookup!$F$66,2,IF(Q151&gt;Lookup!$F$67,1,IF(Q151&gt;Lookup!$F$69,-1,IF(Q151&gt;Lookup!$F$70,-2,IF(Q151&gt;Lookup!$F$71,-3,IF(Q151&gt;Lookup!$F$72,-4,-5))))))))))</f>
        <v>0</v>
      </c>
      <c r="AQ151" s="194" t="str">
        <f>VLOOKUP(AP151,Lookup!$G$63:$J$73,2,FALSE)</f>
        <v>No change in yield</v>
      </c>
      <c r="AR151" s="281" t="s">
        <v>3081</v>
      </c>
      <c r="AS151" s="181" t="str">
        <f>VLOOKUP(AT151,Lookup!$C$4:$D$14,2,FALSE)</f>
        <v>No Effect</v>
      </c>
      <c r="AT151" s="193">
        <f>IF(V151=0,0,IF(V151&lt;Lookup!$F$79,5,IF(V151&lt;Lookup!$F$80,4,IF(V151&lt;Lookup!$F$81,3,IF(V151&lt;Lookup!$F$82,2,IF(V151&lt;Lookup!$F$83,1,IF(V151&lt;Lookup!$F$85,-1,IF(V151&lt;Lookup!$F$86,-2,IF(V151&lt;Lookup!$F$87,-3,IF(V151&lt;Lookup!$F$88,-4,-5))))))))))</f>
        <v>0</v>
      </c>
      <c r="AU151" s="194" t="str">
        <f>VLOOKUP(AT151,Lookup!$G$79:$J$89,2,FALSE)</f>
        <v>No breakeven</v>
      </c>
      <c r="AV151" s="345" t="str">
        <f>VLOOKUP(AT151,Lookup!$G$79:$J$89,4,FALSE)</f>
        <v>Annual costs greater than annual benefits</v>
      </c>
      <c r="AW151" s="181" t="str">
        <f>VLOOKUP(AX151,Lookup!$C$4:$D$14,2,FALSE)</f>
        <v>Slight Improvement</v>
      </c>
      <c r="AX151" s="193">
        <f>VLOOKUP(AY151,Lookup!$G$92:$J$97,4,FALSE)</f>
        <v>1</v>
      </c>
      <c r="AY151" s="181" t="s">
        <v>2636</v>
      </c>
      <c r="AZ151" s="281" t="s">
        <v>3562</v>
      </c>
      <c r="BA151" s="181" t="str">
        <f>VLOOKUP(BB151,Lookup!$C$4:$D$14,2,FALSE)</f>
        <v>Slight Worsening</v>
      </c>
      <c r="BB151" s="193">
        <f>VLOOKUP(BC151,Lookup!$G$100:$K$110,5,FALSE)</f>
        <v>-1</v>
      </c>
      <c r="BC151" s="181" t="s">
        <v>2637</v>
      </c>
      <c r="BD151" s="281" t="s">
        <v>3216</v>
      </c>
      <c r="BE151" s="181" t="str">
        <f>VLOOKUP(BF151,Lookup!$C$4:$D$14,2,FALSE)</f>
        <v>Substantial Worsening</v>
      </c>
      <c r="BF151" s="193">
        <f>IF(X151=0,0,IF(X151&gt;Lookup!$F$113,-5,IF(X151&gt;Lookup!$F$114,-4,IF(X151&gt;Lookup!$F$115,-3,IF(X151&gt;Lookup!$F$116,-2,IF(X151&gt;Lookup!$F$117,-1,0))))))</f>
        <v>-5</v>
      </c>
      <c r="BG151" s="195" t="str">
        <f>VLOOKUP(BF151,Lookup!$G$113:$H$118,2,FALSE)</f>
        <v>Annual on-farm equipment costs 75% or greater of enterprise annual net income</v>
      </c>
      <c r="BH151" s="281" t="s">
        <v>3525</v>
      </c>
      <c r="BI151" s="181" t="str">
        <f>VLOOKUP(BJ151,Lookup!$C$4:$D$14,2,FALSE)</f>
        <v>Slight to Moderate Worsening</v>
      </c>
      <c r="BJ151" s="193">
        <f>VLOOKUP(BK151,Lookup!$G$121:$L$131,6,FALSE)</f>
        <v>-2</v>
      </c>
      <c r="BK151" s="181" t="s">
        <v>2649</v>
      </c>
      <c r="BL151" s="281" t="s">
        <v>3350</v>
      </c>
      <c r="BM151" s="181" t="str">
        <f>VLOOKUP(BN151,Lookup!$C$4:$D$14,2,FALSE)</f>
        <v>Slight to Moderate Worsening</v>
      </c>
      <c r="BN151" s="193">
        <f>VLOOKUP(BO151,Lookup!$G$134:$L$144,6,FALSE)</f>
        <v>-2</v>
      </c>
      <c r="BO151" s="181" t="s">
        <v>3374</v>
      </c>
      <c r="BP151" s="281" t="s">
        <v>3421</v>
      </c>
      <c r="BQ151" s="181" t="str">
        <f>VLOOKUP(BR151,Lookup!$C$4:$D$14,2,FALSE)</f>
        <v>Slight Worsening</v>
      </c>
      <c r="BR151" s="193">
        <f>VLOOKUP(BS151,Lookup!$G$147:$L$157,6,FALSE)</f>
        <v>-1</v>
      </c>
      <c r="BS151" s="181" t="s">
        <v>2658</v>
      </c>
      <c r="BT151" s="281" t="s">
        <v>3490</v>
      </c>
      <c r="BU151" s="175" t="s">
        <v>2231</v>
      </c>
    </row>
    <row r="152" spans="1:73" ht="39.950000000000003" customHeight="1" thickBot="1" x14ac:dyDescent="0.25">
      <c r="A152" s="173">
        <f t="shared" si="19"/>
        <v>149</v>
      </c>
      <c r="B152" s="178" t="s">
        <v>1825</v>
      </c>
      <c r="C152" s="179" t="s">
        <v>1599</v>
      </c>
      <c r="D152" s="180">
        <v>634</v>
      </c>
      <c r="E152" s="180" t="s">
        <v>3647</v>
      </c>
      <c r="F152" s="273" t="str">
        <f>VLOOKUP($D152,'Practice Descriptions'!$E$11:$F$186,2,FALSE)</f>
        <v xml:space="preserve">A system using structures, conduits or equipment to convey byproducts (wastes) from agricultural operations to points of usage.  </v>
      </c>
      <c r="G152" s="182">
        <v>10</v>
      </c>
      <c r="H152" s="183">
        <v>35000</v>
      </c>
      <c r="I152" s="184">
        <v>0.25</v>
      </c>
      <c r="J152" s="184">
        <v>0.05</v>
      </c>
      <c r="K152" s="419">
        <f>IF(E152="No.",1,IF(E152="Ac.",1,(SQRT(VLOOKUP(O152,Lookup!$F$9:$H$18,3,FALSE)))*208/VLOOKUP(O152,Lookup!$F$9:$H$18,3,FALSE)))</f>
        <v>1</v>
      </c>
      <c r="L152" s="185" t="str">
        <f t="shared" si="20"/>
        <v/>
      </c>
      <c r="M152" s="184">
        <v>0</v>
      </c>
      <c r="N152" s="186">
        <f>IF(G152=1,H152,PMT(Lookup!$G$4,G152,-H152)+(H152*J152)+(M152*P152))*K152</f>
        <v>6310.2158198939014</v>
      </c>
      <c r="O152" s="187" t="s">
        <v>2221</v>
      </c>
      <c r="P152" s="186">
        <f>VLOOKUP($O152,Lookup!$F$9:$I$18,4,FALSE)</f>
        <v>1</v>
      </c>
      <c r="Q152" s="184">
        <v>0</v>
      </c>
      <c r="R152" s="183">
        <v>1500</v>
      </c>
      <c r="S152" s="188" t="s">
        <v>3082</v>
      </c>
      <c r="T152" s="186">
        <f t="shared" si="22"/>
        <v>1500</v>
      </c>
      <c r="U152" s="189">
        <f t="shared" si="23"/>
        <v>0.23770977773391286</v>
      </c>
      <c r="V152" s="189">
        <f t="shared" si="21"/>
        <v>0</v>
      </c>
      <c r="W152" s="190">
        <f>IF(P152=0,0,IF(Q152+R152=0,0,PV(Lookup!$G$4,G152,-T152)/H152))</f>
        <v>0.3289318004328356</v>
      </c>
      <c r="X152" s="190">
        <f>IF(I152=0,0,PMT(Lookup!$G$4,G152,-(H152*I152*K152))/P152)</f>
        <v>1140.0539549734754</v>
      </c>
      <c r="Y152" s="42" t="s">
        <v>965</v>
      </c>
      <c r="Z152" s="192">
        <f>VLOOKUP(Y152,Lookup!$B$4:$C$14,2,FALSE)</f>
        <v>1</v>
      </c>
      <c r="AA152" s="281" t="s">
        <v>227</v>
      </c>
      <c r="AB152" s="282" t="s">
        <v>1072</v>
      </c>
      <c r="AC152" s="181" t="str">
        <f>VLOOKUP(AD152,Lookup!$C$4:$D$14,2,FALSE)</f>
        <v>Substantial Worsening</v>
      </c>
      <c r="AD152" s="193">
        <f>IF(P152/H152&lt;Lookup!$F$33,-5,IF(P152/H152&lt;Lookup!$F$32,-4,IF(P152/H152&lt;Lookup!$F$31,-3,IF(P152/H152&lt;Lookup!$F$30,-2,IF(P152/H152&lt;Lookup!$F$29,-1,-5)))))</f>
        <v>-5</v>
      </c>
      <c r="AE152" s="194" t="str">
        <f>VLOOKUP(AD152,Lookup!$G$28:$J$33,2,FALSE)</f>
        <v>One-time practice implementation cost 5 times or greater enterprise annual net income</v>
      </c>
      <c r="AF152" s="281" t="s">
        <v>1847</v>
      </c>
      <c r="AG152" s="181" t="str">
        <f>VLOOKUP(AH152,Lookup!$C$4:$D$14,2,FALSE)</f>
        <v>Substantial Worsening</v>
      </c>
      <c r="AH152" s="193">
        <f>IF(J152&gt;Lookup!$F$43,-5,IF(J152&gt;Lookup!$F$42,-4,IF(J152&gt;Lookup!$F$41,-3,IF(J152&gt;Lookup!$F$40,-2,IF(J152&gt;Lookup!$F$39,-1,0)))))</f>
        <v>-5</v>
      </c>
      <c r="AI152" s="194" t="str">
        <f>VLOOKUP(AH152,Lookup!$G$38:$J$43,2,FALSE)</f>
        <v>Annual O&amp;M costs greater than 4% of total installation costs</v>
      </c>
      <c r="AJ152" s="281" t="s">
        <v>2992</v>
      </c>
      <c r="AK152" s="181" t="str">
        <f>VLOOKUP(AL152,Lookup!$C$4:$D$14,2,FALSE)</f>
        <v>Moderate Worsening</v>
      </c>
      <c r="AL152" s="346">
        <f>IF(N152=0,0,IF(U152&lt;Lookup!$F$58,-5,IF(U152&lt;Lookup!$F$57,-4,IF(U152&lt;Lookup!$F$56,-3,IF(U152&lt;Lookup!$F$55,-2,IF(U152&lt;Lookup!$F$54,-1,IF(U152&lt;Lookup!$F$53,0,IF(U152&lt;Lookup!$F$52,1,IF(U152&lt;Lookup!$F$51,2,IF(U152&lt;Lookup!$F$50,3,IF(U152&lt;Lookup!$F$49,4,5)))))))))))</f>
        <v>-3</v>
      </c>
      <c r="AM152" s="194" t="str">
        <f>VLOOKUP(AL152,Lookup!$G$48:$J$58,2,FALSE)</f>
        <v>B/C Ratio .10 to .25</v>
      </c>
      <c r="AN152" s="281" t="s">
        <v>3029</v>
      </c>
      <c r="AO152" s="181" t="str">
        <f>VLOOKUP(AP152,Lookup!$C$4:$D$14,2,FALSE)</f>
        <v>No Effect</v>
      </c>
      <c r="AP152" s="193">
        <f>IF(Q152=0,0,IF(Q152&gt;Lookup!$F$63,5,IF(Q152&gt;Lookup!$F$64,4,IF(Q152&gt;Lookup!$F$65,3,IF(Q152&gt;Lookup!$F$66,2,IF(Q152&gt;Lookup!$F$67,1,IF(Q152&gt;Lookup!$F$69,-1,IF(Q152&gt;Lookup!$F$70,-2,IF(Q152&gt;Lookup!$F$71,-3,IF(Q152&gt;Lookup!$F$72,-4,-5))))))))))</f>
        <v>0</v>
      </c>
      <c r="AQ152" s="194" t="str">
        <f>VLOOKUP(AP152,Lookup!$G$63:$J$73,2,FALSE)</f>
        <v>No change in yield</v>
      </c>
      <c r="AR152" s="281" t="s">
        <v>3081</v>
      </c>
      <c r="AS152" s="181" t="str">
        <f>VLOOKUP(AT152,Lookup!$C$4:$D$14,2,FALSE)</f>
        <v>No Effect</v>
      </c>
      <c r="AT152" s="193">
        <f>IF(V152=0,0,IF(V152&lt;Lookup!$F$79,5,IF(V152&lt;Lookup!$F$80,4,IF(V152&lt;Lookup!$F$81,3,IF(V152&lt;Lookup!$F$82,2,IF(V152&lt;Lookup!$F$83,1,IF(V152&lt;Lookup!$F$85,-1,IF(V152&lt;Lookup!$F$86,-2,IF(V152&lt;Lookup!$F$87,-3,IF(V152&lt;Lookup!$F$88,-4,-5))))))))))</f>
        <v>0</v>
      </c>
      <c r="AU152" s="194" t="str">
        <f>VLOOKUP(AT152,Lookup!$G$79:$J$89,2,FALSE)</f>
        <v>No breakeven</v>
      </c>
      <c r="AV152" s="345" t="str">
        <f>VLOOKUP(AT152,Lookup!$G$79:$J$89,4,FALSE)</f>
        <v>Annual costs greater than annual benefits</v>
      </c>
      <c r="AW152" s="181" t="str">
        <f>VLOOKUP(AX152,Lookup!$C$4:$D$14,2,FALSE)</f>
        <v>No Effect</v>
      </c>
      <c r="AX152" s="193">
        <f>VLOOKUP(AY152,Lookup!$G$92:$J$97,4,FALSE)</f>
        <v>0</v>
      </c>
      <c r="AY152" s="181" t="s">
        <v>2642</v>
      </c>
      <c r="AZ152" s="281" t="s">
        <v>3154</v>
      </c>
      <c r="BA152" s="181" t="str">
        <f>VLOOKUP(BB152,Lookup!$C$4:$D$14,2,FALSE)</f>
        <v>No Effect</v>
      </c>
      <c r="BB152" s="193">
        <f>VLOOKUP(BC152,Lookup!$G$100:$K$110,5,FALSE)</f>
        <v>0</v>
      </c>
      <c r="BC152" s="181" t="s">
        <v>2643</v>
      </c>
      <c r="BD152" s="281" t="s">
        <v>3154</v>
      </c>
      <c r="BE152" s="181" t="str">
        <f>VLOOKUP(BF152,Lookup!$C$4:$D$14,2,FALSE)</f>
        <v>Substantial Worsening</v>
      </c>
      <c r="BF152" s="193">
        <f>IF(X152=0,0,IF(X152&gt;Lookup!$F$113,-5,IF(X152&gt;Lookup!$F$114,-4,IF(X152&gt;Lookup!$F$115,-3,IF(X152&gt;Lookup!$F$116,-2,IF(X152&gt;Lookup!$F$117,-1,0))))))</f>
        <v>-5</v>
      </c>
      <c r="BG152" s="195" t="str">
        <f>VLOOKUP(BF152,Lookup!$G$113:$H$118,2,FALSE)</f>
        <v>Annual on-farm equipment costs 75% or greater of enterprise annual net income</v>
      </c>
      <c r="BH152" s="281" t="s">
        <v>3525</v>
      </c>
      <c r="BI152" s="181" t="str">
        <f>VLOOKUP(BJ152,Lookup!$C$4:$D$14,2,FALSE)</f>
        <v>Slight Improvement</v>
      </c>
      <c r="BJ152" s="193">
        <f>VLOOKUP(BK152,Lookup!$G$121:$L$131,6,FALSE)</f>
        <v>1</v>
      </c>
      <c r="BK152" s="181" t="s">
        <v>2638</v>
      </c>
      <c r="BL152" s="281" t="s">
        <v>1933</v>
      </c>
      <c r="BM152" s="181" t="str">
        <f>VLOOKUP(BN152,Lookup!$C$4:$D$14,2,FALSE)</f>
        <v>Slight Worsening</v>
      </c>
      <c r="BN152" s="193">
        <f>VLOOKUP(BO152,Lookup!$G$134:$L$144,6,FALSE)</f>
        <v>-1</v>
      </c>
      <c r="BO152" s="181" t="s">
        <v>3373</v>
      </c>
      <c r="BP152" s="281" t="s">
        <v>3421</v>
      </c>
      <c r="BQ152" s="181" t="str">
        <f>VLOOKUP(BR152,Lookup!$C$4:$D$14,2,FALSE)</f>
        <v>Slight to Moderate Improvement</v>
      </c>
      <c r="BR152" s="193">
        <f>VLOOKUP(BS152,Lookup!$G$147:$L$157,6,FALSE)</f>
        <v>2</v>
      </c>
      <c r="BS152" s="181" t="s">
        <v>2641</v>
      </c>
      <c r="BT152" s="281" t="s">
        <v>3491</v>
      </c>
      <c r="BU152" s="175" t="s">
        <v>2231</v>
      </c>
    </row>
    <row r="153" spans="1:73" ht="39.950000000000003" customHeight="1" thickBot="1" x14ac:dyDescent="0.25">
      <c r="A153" s="173">
        <f t="shared" si="19"/>
        <v>150</v>
      </c>
      <c r="B153" s="178" t="s">
        <v>1150</v>
      </c>
      <c r="C153" s="179" t="s">
        <v>1599</v>
      </c>
      <c r="D153" s="180">
        <v>629</v>
      </c>
      <c r="E153" s="180" t="s">
        <v>3647</v>
      </c>
      <c r="F153" s="273" t="str">
        <f>VLOOKUP($D153,'Practice Descriptions'!$E$11:$F$186,2,FALSE)</f>
        <v>The mechanical, chemical or biological treatment of agricultural waste.</v>
      </c>
      <c r="G153" s="182">
        <v>15</v>
      </c>
      <c r="H153" s="183">
        <v>500</v>
      </c>
      <c r="I153" s="184">
        <v>0.01</v>
      </c>
      <c r="J153" s="184">
        <v>0.03</v>
      </c>
      <c r="K153" s="419">
        <f>IF(E153="No.",1,IF(E153="Ac.",1,(SQRT(VLOOKUP(O153,Lookup!$F$9:$H$18,3,FALSE)))*208/VLOOKUP(O153,Lookup!$F$9:$H$18,3,FALSE)))</f>
        <v>1</v>
      </c>
      <c r="L153" s="185" t="str">
        <f t="shared" si="20"/>
        <v/>
      </c>
      <c r="M153" s="184">
        <v>0</v>
      </c>
      <c r="N153" s="186">
        <f>IF(G153=1,H153,PMT(Lookup!$G$4,G153,-H153)+(H153*J153)+(M153*P153))*K153</f>
        <v>63.579006132438799</v>
      </c>
      <c r="O153" s="187" t="s">
        <v>2221</v>
      </c>
      <c r="P153" s="186">
        <f>VLOOKUP($O153,Lookup!$F$9:$I$18,4,FALSE)</f>
        <v>1</v>
      </c>
      <c r="Q153" s="184">
        <v>0</v>
      </c>
      <c r="R153" s="183">
        <v>100</v>
      </c>
      <c r="S153" s="188" t="s">
        <v>3082</v>
      </c>
      <c r="T153" s="186">
        <f t="shared" si="22"/>
        <v>100</v>
      </c>
      <c r="U153" s="189">
        <f t="shared" si="23"/>
        <v>1.5728462283869951</v>
      </c>
      <c r="V153" s="189">
        <f t="shared" si="21"/>
        <v>5</v>
      </c>
      <c r="W153" s="190">
        <f>IF(P153=0,0,IF(Q153+R153=0,0,PV(Lookup!$G$4,G153,-T153)/H153))</f>
        <v>2.0585023853179383</v>
      </c>
      <c r="X153" s="190">
        <f>IF(I153=0,0,PMT(Lookup!$G$4,G153,-(H153*I153*K153))/P153)</f>
        <v>0.48579006132438801</v>
      </c>
      <c r="Y153" s="42" t="s">
        <v>963</v>
      </c>
      <c r="Z153" s="192">
        <f>VLOOKUP(Y153,Lookup!$B$4:$C$14,2,FALSE)</f>
        <v>2</v>
      </c>
      <c r="AA153" s="281" t="s">
        <v>1934</v>
      </c>
      <c r="AB153" s="282" t="s">
        <v>1072</v>
      </c>
      <c r="AC153" s="181" t="str">
        <f>VLOOKUP(AD153,Lookup!$C$4:$D$14,2,FALSE)</f>
        <v>Substantial Worsening</v>
      </c>
      <c r="AD153" s="193">
        <f>IF(P153/H153&lt;Lookup!$F$33,-5,IF(P153/H153&lt;Lookup!$F$32,-4,IF(P153/H153&lt;Lookup!$F$31,-3,IF(P153/H153&lt;Lookup!$F$30,-2,IF(P153/H153&lt;Lookup!$F$29,-1,-5)))))</f>
        <v>-5</v>
      </c>
      <c r="AE153" s="194" t="str">
        <f>VLOOKUP(AD153,Lookup!$G$28:$J$33,2,FALSE)</f>
        <v>One-time practice implementation cost 5 times or greater enterprise annual net income</v>
      </c>
      <c r="AF153" s="281" t="s">
        <v>1901</v>
      </c>
      <c r="AG153" s="181" t="str">
        <f>VLOOKUP(AH153,Lookup!$C$4:$D$14,2,FALSE)</f>
        <v>Moderate Worsening</v>
      </c>
      <c r="AH153" s="193">
        <f>IF(J153&gt;Lookup!$F$43,-5,IF(J153&gt;Lookup!$F$42,-4,IF(J153&gt;Lookup!$F$41,-3,IF(J153&gt;Lookup!$F$40,-2,IF(J153&gt;Lookup!$F$39,-1,0)))))</f>
        <v>-3</v>
      </c>
      <c r="AI153" s="194" t="str">
        <f>VLOOKUP(AH153,Lookup!$G$38:$J$43,2,FALSE)</f>
        <v>Annual O&amp;M costs 2 to 3% of total installation costs</v>
      </c>
      <c r="AJ153" s="281" t="s">
        <v>2992</v>
      </c>
      <c r="AK153" s="181" t="str">
        <f>VLOOKUP(AL153,Lookup!$C$4:$D$14,2,FALSE)</f>
        <v>Slight to Moderate Improvement</v>
      </c>
      <c r="AL153" s="346">
        <f>IF(N153=0,0,IF(U153&lt;Lookup!$F$58,-5,IF(U153&lt;Lookup!$F$57,-4,IF(U153&lt;Lookup!$F$56,-3,IF(U153&lt;Lookup!$F$55,-2,IF(U153&lt;Lookup!$F$54,-1,IF(U153&lt;Lookup!$F$53,0,IF(U153&lt;Lookup!$F$52,1,IF(U153&lt;Lookup!$F$51,2,IF(U153&lt;Lookup!$F$50,3,IF(U153&lt;Lookup!$F$49,4,5)))))))))))</f>
        <v>2</v>
      </c>
      <c r="AM153" s="194" t="str">
        <f>VLOOKUP(AL153,Lookup!$G$48:$J$58,2,FALSE)</f>
        <v>B/C Ratio 1.50 to 1.75</v>
      </c>
      <c r="AN153" s="281" t="s">
        <v>3068</v>
      </c>
      <c r="AO153" s="181" t="str">
        <f>VLOOKUP(AP153,Lookup!$C$4:$D$14,2,FALSE)</f>
        <v>No Effect</v>
      </c>
      <c r="AP153" s="193">
        <f>IF(Q153=0,0,IF(Q153&gt;Lookup!$F$63,5,IF(Q153&gt;Lookup!$F$64,4,IF(Q153&gt;Lookup!$F$65,3,IF(Q153&gt;Lookup!$F$66,2,IF(Q153&gt;Lookup!$F$67,1,IF(Q153&gt;Lookup!$F$69,-1,IF(Q153&gt;Lookup!$F$70,-2,IF(Q153&gt;Lookup!$F$71,-3,IF(Q153&gt;Lookup!$F$72,-4,-5))))))))))</f>
        <v>0</v>
      </c>
      <c r="AQ153" s="194" t="str">
        <f>VLOOKUP(AP153,Lookup!$G$63:$J$73,2,FALSE)</f>
        <v>No change in yield</v>
      </c>
      <c r="AR153" s="281" t="s">
        <v>3081</v>
      </c>
      <c r="AS153" s="181" t="str">
        <f>VLOOKUP(AT153,Lookup!$C$4:$D$14,2,FALSE)</f>
        <v>Slight Worsening</v>
      </c>
      <c r="AT153" s="193">
        <f>IF(V153=0,0,IF(V153&lt;Lookup!$F$79,5,IF(V153&lt;Lookup!$F$80,4,IF(V153&lt;Lookup!$F$81,3,IF(V153&lt;Lookup!$F$82,2,IF(V153&lt;Lookup!$F$83,1,IF(V153&lt;Lookup!$F$85,-1,IF(V153&lt;Lookup!$F$86,-2,IF(V153&lt;Lookup!$F$87,-3,IF(V153&lt;Lookup!$F$88,-4,-5))))))))))</f>
        <v>-1</v>
      </c>
      <c r="AU153" s="194" t="str">
        <f>VLOOKUP(AT153,Lookup!$G$79:$J$89,2,FALSE)</f>
        <v>5-6 years to breakeven</v>
      </c>
      <c r="AV153" s="345" t="str">
        <f>VLOOKUP(AT153,Lookup!$G$79:$J$89,4,FALSE)</f>
        <v>Annual benefits moderately greater than annual costs</v>
      </c>
      <c r="AW153" s="181" t="str">
        <f>VLOOKUP(AX153,Lookup!$C$4:$D$14,2,FALSE)</f>
        <v>No Effect</v>
      </c>
      <c r="AX153" s="193">
        <f>VLOOKUP(AY153,Lookup!$G$92:$J$97,4,FALSE)</f>
        <v>0</v>
      </c>
      <c r="AY153" s="181" t="s">
        <v>2642</v>
      </c>
      <c r="AZ153" s="281" t="s">
        <v>3154</v>
      </c>
      <c r="BA153" s="181" t="str">
        <f>VLOOKUP(BB153,Lookup!$C$4:$D$14,2,FALSE)</f>
        <v>No Effect</v>
      </c>
      <c r="BB153" s="193">
        <f>VLOOKUP(BC153,Lookup!$G$100:$K$110,5,FALSE)</f>
        <v>0</v>
      </c>
      <c r="BC153" s="181" t="s">
        <v>2643</v>
      </c>
      <c r="BD153" s="281" t="s">
        <v>3154</v>
      </c>
      <c r="BE153" s="181" t="str">
        <f>VLOOKUP(BF153,Lookup!$C$4:$D$14,2,FALSE)</f>
        <v>Moderate Worsening</v>
      </c>
      <c r="BF153" s="193">
        <f>IF(X153=0,0,IF(X153&gt;Lookup!$F$113,-5,IF(X153&gt;Lookup!$F$114,-4,IF(X153&gt;Lookup!$F$115,-3,IF(X153&gt;Lookup!$F$116,-2,IF(X153&gt;Lookup!$F$117,-1,0))))))</f>
        <v>-3</v>
      </c>
      <c r="BG153" s="195" t="str">
        <f>VLOOKUP(BF153,Lookup!$G$113:$H$118,2,FALSE)</f>
        <v>Annual on-farm equipment costs 50 to 25% of enterprise annual net income</v>
      </c>
      <c r="BH153" s="281" t="s">
        <v>3245</v>
      </c>
      <c r="BI153" s="181" t="str">
        <f>VLOOKUP(BJ153,Lookup!$C$4:$D$14,2,FALSE)</f>
        <v>Slight Worsening</v>
      </c>
      <c r="BJ153" s="193">
        <f>VLOOKUP(BK153,Lookup!$G$121:$L$131,6,FALSE)</f>
        <v>-1</v>
      </c>
      <c r="BK153" s="181" t="s">
        <v>2640</v>
      </c>
      <c r="BL153" s="281" t="s">
        <v>3351</v>
      </c>
      <c r="BM153" s="181" t="str">
        <f>VLOOKUP(BN153,Lookup!$C$4:$D$14,2,FALSE)</f>
        <v>Slight Worsening</v>
      </c>
      <c r="BN153" s="193">
        <f>VLOOKUP(BO153,Lookup!$G$134:$L$144,6,FALSE)</f>
        <v>-1</v>
      </c>
      <c r="BO153" s="181" t="s">
        <v>3373</v>
      </c>
      <c r="BP153" s="281" t="s">
        <v>3366</v>
      </c>
      <c r="BQ153" s="181" t="str">
        <f>VLOOKUP(BR153,Lookup!$C$4:$D$14,2,FALSE)</f>
        <v>Slight to Moderate Improvement</v>
      </c>
      <c r="BR153" s="193">
        <f>VLOOKUP(BS153,Lookup!$G$147:$L$157,6,FALSE)</f>
        <v>2</v>
      </c>
      <c r="BS153" s="181" t="s">
        <v>2641</v>
      </c>
      <c r="BT153" s="281" t="s">
        <v>3492</v>
      </c>
      <c r="BU153" s="175" t="s">
        <v>2231</v>
      </c>
    </row>
    <row r="154" spans="1:73" ht="39.950000000000003" customHeight="1" thickBot="1" x14ac:dyDescent="0.25">
      <c r="A154" s="173">
        <f t="shared" si="19"/>
        <v>151</v>
      </c>
      <c r="B154" s="178" t="s">
        <v>1151</v>
      </c>
      <c r="C154" s="179" t="s">
        <v>1599</v>
      </c>
      <c r="D154" s="180">
        <v>359</v>
      </c>
      <c r="E154" s="180" t="s">
        <v>3647</v>
      </c>
      <c r="F154" s="273" t="str">
        <f>VLOOKUP($D154,'Practice Descriptions'!$E$11:$F$186,2,FALSE)</f>
        <v>A waste treatment impoundment made by constructing an embankment and/or excavating a pit or dugout.</v>
      </c>
      <c r="G154" s="182">
        <v>15</v>
      </c>
      <c r="H154" s="183">
        <v>75000</v>
      </c>
      <c r="I154" s="184">
        <v>0.15</v>
      </c>
      <c r="J154" s="184">
        <v>0.02</v>
      </c>
      <c r="K154" s="419">
        <f>IF(E154="No.",1,IF(E154="Ac.",1,(SQRT(VLOOKUP(O154,Lookup!$F$9:$H$18,3,FALSE)))*208/VLOOKUP(O154,Lookup!$F$9:$H$18,3,FALSE)))</f>
        <v>1</v>
      </c>
      <c r="L154" s="185" t="str">
        <f t="shared" si="20"/>
        <v/>
      </c>
      <c r="M154" s="184">
        <v>0</v>
      </c>
      <c r="N154" s="186">
        <f>IF(G154=1,H154,PMT(Lookup!$G$4,G154,-H154)+(H154*J154)+(M154*P154))*K154</f>
        <v>8786.8509198658194</v>
      </c>
      <c r="O154" s="187" t="s">
        <v>2221</v>
      </c>
      <c r="P154" s="186">
        <f>VLOOKUP($O154,Lookup!$F$9:$I$18,4,FALSE)</f>
        <v>1</v>
      </c>
      <c r="Q154" s="184">
        <v>0</v>
      </c>
      <c r="R154" s="183">
        <v>2500</v>
      </c>
      <c r="S154" s="188" t="s">
        <v>3082</v>
      </c>
      <c r="T154" s="186">
        <f t="shared" si="22"/>
        <v>2500</v>
      </c>
      <c r="U154" s="189">
        <f t="shared" si="23"/>
        <v>0.28451603683725368</v>
      </c>
      <c r="V154" s="189">
        <f t="shared" si="21"/>
        <v>0</v>
      </c>
      <c r="W154" s="190">
        <f>IF(P154=0,0,IF(Q154+R154=0,0,PV(Lookup!$G$4,G154,-T154)/H154))</f>
        <v>0.34308373088632305</v>
      </c>
      <c r="X154" s="190">
        <f>IF(I154=0,0,PMT(Lookup!$G$4,G154,-(H154*I154*K154))/P154)</f>
        <v>1093.0276379798729</v>
      </c>
      <c r="Y154" s="42" t="s">
        <v>963</v>
      </c>
      <c r="Z154" s="192">
        <f>VLOOKUP(Y154,Lookup!$B$4:$C$14,2,FALSE)</f>
        <v>2</v>
      </c>
      <c r="AA154" s="281" t="s">
        <v>1932</v>
      </c>
      <c r="AB154" s="282" t="s">
        <v>1072</v>
      </c>
      <c r="AC154" s="181" t="str">
        <f>VLOOKUP(AD154,Lookup!$C$4:$D$14,2,FALSE)</f>
        <v>Substantial Worsening</v>
      </c>
      <c r="AD154" s="193">
        <f>IF(P154/H154&lt;Lookup!$F$33,-5,IF(P154/H154&lt;Lookup!$F$32,-4,IF(P154/H154&lt;Lookup!$F$31,-3,IF(P154/H154&lt;Lookup!$F$30,-2,IF(P154/H154&lt;Lookup!$F$29,-1,-5)))))</f>
        <v>-5</v>
      </c>
      <c r="AE154" s="194" t="str">
        <f>VLOOKUP(AD154,Lookup!$G$28:$J$33,2,FALSE)</f>
        <v>One-time practice implementation cost 5 times or greater enterprise annual net income</v>
      </c>
      <c r="AF154" s="281" t="s">
        <v>1847</v>
      </c>
      <c r="AG154" s="181" t="str">
        <f>VLOOKUP(AH154,Lookup!$C$4:$D$14,2,FALSE)</f>
        <v>Slight to Moderate Worsening</v>
      </c>
      <c r="AH154" s="193">
        <f>IF(J154&gt;Lookup!$F$43,-5,IF(J154&gt;Lookup!$F$42,-4,IF(J154&gt;Lookup!$F$41,-3,IF(J154&gt;Lookup!$F$40,-2,IF(J154&gt;Lookup!$F$39,-1,0)))))</f>
        <v>-2</v>
      </c>
      <c r="AI154" s="194" t="str">
        <f>VLOOKUP(AH154,Lookup!$G$38:$J$43,2,FALSE)</f>
        <v>Annual O&amp;M costs 1 to 2% of total installation costs</v>
      </c>
      <c r="AJ154" s="281" t="s">
        <v>2998</v>
      </c>
      <c r="AK154" s="181" t="str">
        <f>VLOOKUP(AL154,Lookup!$C$4:$D$14,2,FALSE)</f>
        <v>Slight to Moderate Worsening</v>
      </c>
      <c r="AL154" s="346">
        <f>IF(N154=0,0,IF(U154&lt;Lookup!$F$58,-5,IF(U154&lt;Lookup!$F$57,-4,IF(U154&lt;Lookup!$F$56,-3,IF(U154&lt;Lookup!$F$55,-2,IF(U154&lt;Lookup!$F$54,-1,IF(U154&lt;Lookup!$F$53,0,IF(U154&lt;Lookup!$F$52,1,IF(U154&lt;Lookup!$F$51,2,IF(U154&lt;Lookup!$F$50,3,IF(U154&lt;Lookup!$F$49,4,5)))))))))))</f>
        <v>-2</v>
      </c>
      <c r="AM154" s="194" t="str">
        <f>VLOOKUP(AL154,Lookup!$G$48:$J$58,2,FALSE)</f>
        <v>B/C Ratio .25 to .50</v>
      </c>
      <c r="AN154" s="281" t="s">
        <v>3029</v>
      </c>
      <c r="AO154" s="181" t="str">
        <f>VLOOKUP(AP154,Lookup!$C$4:$D$14,2,FALSE)</f>
        <v>No Effect</v>
      </c>
      <c r="AP154" s="193">
        <f>IF(Q154=0,0,IF(Q154&gt;Lookup!$F$63,5,IF(Q154&gt;Lookup!$F$64,4,IF(Q154&gt;Lookup!$F$65,3,IF(Q154&gt;Lookup!$F$66,2,IF(Q154&gt;Lookup!$F$67,1,IF(Q154&gt;Lookup!$F$69,-1,IF(Q154&gt;Lookup!$F$70,-2,IF(Q154&gt;Lookup!$F$71,-3,IF(Q154&gt;Lookup!$F$72,-4,-5))))))))))</f>
        <v>0</v>
      </c>
      <c r="AQ154" s="194" t="str">
        <f>VLOOKUP(AP154,Lookup!$G$63:$J$73,2,FALSE)</f>
        <v>No change in yield</v>
      </c>
      <c r="AR154" s="281" t="s">
        <v>3081</v>
      </c>
      <c r="AS154" s="181" t="str">
        <f>VLOOKUP(AT154,Lookup!$C$4:$D$14,2,FALSE)</f>
        <v>No Effect</v>
      </c>
      <c r="AT154" s="193">
        <f>IF(V154=0,0,IF(V154&lt;Lookup!$F$79,5,IF(V154&lt;Lookup!$F$80,4,IF(V154&lt;Lookup!$F$81,3,IF(V154&lt;Lookup!$F$82,2,IF(V154&lt;Lookup!$F$83,1,IF(V154&lt;Lookup!$F$85,-1,IF(V154&lt;Lookup!$F$86,-2,IF(V154&lt;Lookup!$F$87,-3,IF(V154&lt;Lookup!$F$88,-4,-5))))))))))</f>
        <v>0</v>
      </c>
      <c r="AU154" s="194" t="str">
        <f>VLOOKUP(AT154,Lookup!$G$79:$J$89,2,FALSE)</f>
        <v>No breakeven</v>
      </c>
      <c r="AV154" s="345" t="str">
        <f>VLOOKUP(AT154,Lookup!$G$79:$J$89,4,FALSE)</f>
        <v>Annual costs greater than annual benefits</v>
      </c>
      <c r="AW154" s="181" t="str">
        <f>VLOOKUP(AX154,Lookup!$C$4:$D$14,2,FALSE)</f>
        <v>Slight Improvement</v>
      </c>
      <c r="AX154" s="193">
        <f>VLOOKUP(AY154,Lookup!$G$92:$J$97,4,FALSE)</f>
        <v>1</v>
      </c>
      <c r="AY154" s="181" t="s">
        <v>2636</v>
      </c>
      <c r="AZ154" s="281" t="s">
        <v>3562</v>
      </c>
      <c r="BA154" s="181" t="str">
        <f>VLOOKUP(BB154,Lookup!$C$4:$D$14,2,FALSE)</f>
        <v>Slight Worsening</v>
      </c>
      <c r="BB154" s="193">
        <f>VLOOKUP(BC154,Lookup!$G$100:$K$110,5,FALSE)</f>
        <v>-1</v>
      </c>
      <c r="BC154" s="181" t="s">
        <v>2637</v>
      </c>
      <c r="BD154" s="281" t="s">
        <v>1860</v>
      </c>
      <c r="BE154" s="181" t="str">
        <f>VLOOKUP(BF154,Lookup!$C$4:$D$14,2,FALSE)</f>
        <v>Substantial Worsening</v>
      </c>
      <c r="BF154" s="193">
        <f>IF(X154=0,0,IF(X154&gt;Lookup!$F$113,-5,IF(X154&gt;Lookup!$F$114,-4,IF(X154&gt;Lookup!$F$115,-3,IF(X154&gt;Lookup!$F$116,-2,IF(X154&gt;Lookup!$F$117,-1,0))))))</f>
        <v>-5</v>
      </c>
      <c r="BG154" s="195" t="str">
        <f>VLOOKUP(BF154,Lookup!$G$113:$H$118,2,FALSE)</f>
        <v>Annual on-farm equipment costs 75% or greater of enterprise annual net income</v>
      </c>
      <c r="BH154" s="281" t="s">
        <v>3525</v>
      </c>
      <c r="BI154" s="181" t="str">
        <f>VLOOKUP(BJ154,Lookup!$C$4:$D$14,2,FALSE)</f>
        <v>Slight to Moderate Worsening</v>
      </c>
      <c r="BJ154" s="193">
        <f>VLOOKUP(BK154,Lookup!$G$121:$L$131,6,FALSE)</f>
        <v>-2</v>
      </c>
      <c r="BK154" s="181" t="s">
        <v>2649</v>
      </c>
      <c r="BL154" s="281" t="s">
        <v>3352</v>
      </c>
      <c r="BM154" s="181" t="str">
        <f>VLOOKUP(BN154,Lookup!$C$4:$D$14,2,FALSE)</f>
        <v>Slight to Moderate Worsening</v>
      </c>
      <c r="BN154" s="193">
        <f>VLOOKUP(BO154,Lookup!$G$134:$L$144,6,FALSE)</f>
        <v>-2</v>
      </c>
      <c r="BO154" s="181" t="s">
        <v>3374</v>
      </c>
      <c r="BP154" s="281" t="s">
        <v>3421</v>
      </c>
      <c r="BQ154" s="181" t="str">
        <f>VLOOKUP(BR154,Lookup!$C$4:$D$14,2,FALSE)</f>
        <v>Slight Worsening</v>
      </c>
      <c r="BR154" s="193">
        <f>VLOOKUP(BS154,Lookup!$G$147:$L$157,6,FALSE)</f>
        <v>-1</v>
      </c>
      <c r="BS154" s="181" t="s">
        <v>2658</v>
      </c>
      <c r="BT154" s="281" t="s">
        <v>3490</v>
      </c>
      <c r="BU154" s="175" t="s">
        <v>2231</v>
      </c>
    </row>
    <row r="155" spans="1:73" ht="39.950000000000003" customHeight="1" thickBot="1" x14ac:dyDescent="0.25">
      <c r="A155" s="173">
        <f t="shared" si="19"/>
        <v>152</v>
      </c>
      <c r="B155" s="178" t="s">
        <v>1152</v>
      </c>
      <c r="C155" s="179" t="s">
        <v>1597</v>
      </c>
      <c r="D155" s="180">
        <v>638</v>
      </c>
      <c r="E155" s="180" t="s">
        <v>3647</v>
      </c>
      <c r="F155" s="273" t="str">
        <f>VLOOKUP($D155,'Practice Descriptions'!$E$11:$F$186,2,FALSE)</f>
        <v>An earth embankment or a combination ridge and channel constructed across the slope of minor watercourses to form a sediment trap and water detention basin with a stable outlet.</v>
      </c>
      <c r="G155" s="182">
        <v>10</v>
      </c>
      <c r="H155" s="183">
        <v>2500</v>
      </c>
      <c r="I155" s="184">
        <v>0.03</v>
      </c>
      <c r="J155" s="184">
        <v>0.03</v>
      </c>
      <c r="K155" s="419">
        <f>IF(E155="No.",1,IF(E155="Ac.",1,(SQRT(VLOOKUP(O155,Lookup!$F$9:$H$18,3,FALSE)))*208/VLOOKUP(O155,Lookup!$F$9:$H$18,3,FALSE)))</f>
        <v>1</v>
      </c>
      <c r="L155" s="185" t="str">
        <f t="shared" si="20"/>
        <v/>
      </c>
      <c r="M155" s="184">
        <v>0</v>
      </c>
      <c r="N155" s="186">
        <f>IF(G155=1,H155,PMT(Lookup!$G$4,G155,-H155)+(H155*J155)+(M155*P155))*K155</f>
        <v>400.72970142099297</v>
      </c>
      <c r="O155" s="187" t="s">
        <v>2214</v>
      </c>
      <c r="P155" s="186">
        <f>VLOOKUP($O155,Lookup!$F$9:$I$18,4,FALSE)</f>
        <v>5</v>
      </c>
      <c r="Q155" s="184">
        <v>0</v>
      </c>
      <c r="R155" s="183">
        <v>5</v>
      </c>
      <c r="S155" s="188" t="s">
        <v>3574</v>
      </c>
      <c r="T155" s="186">
        <f t="shared" si="22"/>
        <v>5</v>
      </c>
      <c r="U155" s="189">
        <f t="shared" si="23"/>
        <v>1.2477238353608261E-2</v>
      </c>
      <c r="V155" s="189">
        <f t="shared" si="21"/>
        <v>0</v>
      </c>
      <c r="W155" s="190">
        <f>IF(P155=0,0,IF(Q155+R155=0,0,PV(Lookup!$G$4,G155,-T155)/H155))</f>
        <v>1.535015068686566E-2</v>
      </c>
      <c r="X155" s="190">
        <f>IF(I155=0,0,PMT(Lookup!$G$4,G155,-(H155*I155*K155))/P155)</f>
        <v>1.9543782085259576</v>
      </c>
      <c r="Y155" s="42" t="s">
        <v>965</v>
      </c>
      <c r="Z155" s="192">
        <f>VLOOKUP(Y155,Lookup!$B$4:$C$14,2,FALSE)</f>
        <v>1</v>
      </c>
      <c r="AA155" s="281" t="s">
        <v>227</v>
      </c>
      <c r="AB155" s="282" t="s">
        <v>1072</v>
      </c>
      <c r="AC155" s="181" t="str">
        <f>VLOOKUP(AD155,Lookup!$C$4:$D$14,2,FALSE)</f>
        <v>Substantial Worsening</v>
      </c>
      <c r="AD155" s="193">
        <f>IF(P155/H155&lt;Lookup!$F$33,-5,IF(P155/H155&lt;Lookup!$F$32,-4,IF(P155/H155&lt;Lookup!$F$31,-3,IF(P155/H155&lt;Lookup!$F$30,-2,IF(P155/H155&lt;Lookup!$F$29,-1,-5)))))</f>
        <v>-5</v>
      </c>
      <c r="AE155" s="194" t="str">
        <f>VLOOKUP(AD155,Lookup!$G$28:$J$33,2,FALSE)</f>
        <v>One-time practice implementation cost 5 times or greater enterprise annual net income</v>
      </c>
      <c r="AF155" s="281" t="s">
        <v>1847</v>
      </c>
      <c r="AG155" s="181" t="str">
        <f>VLOOKUP(AH155,Lookup!$C$4:$D$14,2,FALSE)</f>
        <v>Moderate Worsening</v>
      </c>
      <c r="AH155" s="193">
        <f>IF(J155&gt;Lookup!$F$43,-5,IF(J155&gt;Lookup!$F$42,-4,IF(J155&gt;Lookup!$F$41,-3,IF(J155&gt;Lookup!$F$40,-2,IF(J155&gt;Lookup!$F$39,-1,0)))))</f>
        <v>-3</v>
      </c>
      <c r="AI155" s="194" t="str">
        <f>VLOOKUP(AH155,Lookup!$G$38:$J$43,2,FALSE)</f>
        <v>Annual O&amp;M costs 2 to 3% of total installation costs</v>
      </c>
      <c r="AJ155" s="281" t="s">
        <v>2998</v>
      </c>
      <c r="AK155" s="181" t="str">
        <f>VLOOKUP(AL155,Lookup!$C$4:$D$14,2,FALSE)</f>
        <v>Substantial Worsening</v>
      </c>
      <c r="AL155" s="346">
        <f>IF(N155=0,0,IF(U155&lt;Lookup!$F$58,-5,IF(U155&lt;Lookup!$F$57,-4,IF(U155&lt;Lookup!$F$56,-3,IF(U155&lt;Lookup!$F$55,-2,IF(U155&lt;Lookup!$F$54,-1,IF(U155&lt;Lookup!$F$53,0,IF(U155&lt;Lookup!$F$52,1,IF(U155&lt;Lookup!$F$51,2,IF(U155&lt;Lookup!$F$50,3,IF(U155&lt;Lookup!$F$49,4,5)))))))))))</f>
        <v>-5</v>
      </c>
      <c r="AM155" s="194" t="str">
        <f>VLOOKUP(AL155,Lookup!$G$48:$J$58,2,FALSE)</f>
        <v>B/C Ratio less than .02</v>
      </c>
      <c r="AN155" s="281" t="s">
        <v>3074</v>
      </c>
      <c r="AO155" s="181" t="str">
        <f>VLOOKUP(AP155,Lookup!$C$4:$D$14,2,FALSE)</f>
        <v>No Effect</v>
      </c>
      <c r="AP155" s="193">
        <f>IF(Q155=0,0,IF(Q155&gt;Lookup!$F$63,5,IF(Q155&gt;Lookup!$F$64,4,IF(Q155&gt;Lookup!$F$65,3,IF(Q155&gt;Lookup!$F$66,2,IF(Q155&gt;Lookup!$F$67,1,IF(Q155&gt;Lookup!$F$69,-1,IF(Q155&gt;Lookup!$F$70,-2,IF(Q155&gt;Lookup!$F$71,-3,IF(Q155&gt;Lookup!$F$72,-4,-5))))))))))</f>
        <v>0</v>
      </c>
      <c r="AQ155" s="194" t="str">
        <f>VLOOKUP(AP155,Lookup!$G$63:$J$73,2,FALSE)</f>
        <v>No change in yield</v>
      </c>
      <c r="AR155" s="281" t="s">
        <v>3081</v>
      </c>
      <c r="AS155" s="181" t="str">
        <f>VLOOKUP(AT155,Lookup!$C$4:$D$14,2,FALSE)</f>
        <v>No Effect</v>
      </c>
      <c r="AT155" s="193">
        <f>IF(V155=0,0,IF(V155&lt;Lookup!$F$79,5,IF(V155&lt;Lookup!$F$80,4,IF(V155&lt;Lookup!$F$81,3,IF(V155&lt;Lookup!$F$82,2,IF(V155&lt;Lookup!$F$83,1,IF(V155&lt;Lookup!$F$85,-1,IF(V155&lt;Lookup!$F$86,-2,IF(V155&lt;Lookup!$F$87,-3,IF(V155&lt;Lookup!$F$88,-4,-5))))))))))</f>
        <v>0</v>
      </c>
      <c r="AU155" s="194" t="str">
        <f>VLOOKUP(AT155,Lookup!$G$79:$J$89,2,FALSE)</f>
        <v>No breakeven</v>
      </c>
      <c r="AV155" s="345" t="str">
        <f>VLOOKUP(AT155,Lookup!$G$79:$J$89,4,FALSE)</f>
        <v>Annual costs greater than annual benefits</v>
      </c>
      <c r="AW155" s="181" t="str">
        <f>VLOOKUP(AX155,Lookup!$C$4:$D$14,2,FALSE)</f>
        <v>Slight Improvement</v>
      </c>
      <c r="AX155" s="193">
        <f>VLOOKUP(AY155,Lookup!$G$92:$J$97,4,FALSE)</f>
        <v>1</v>
      </c>
      <c r="AY155" s="181" t="s">
        <v>2636</v>
      </c>
      <c r="AZ155" s="281" t="s">
        <v>3562</v>
      </c>
      <c r="BA155" s="181" t="str">
        <f>VLOOKUP(BB155,Lookup!$C$4:$D$14,2,FALSE)</f>
        <v>Slight Worsening</v>
      </c>
      <c r="BB155" s="193">
        <f>VLOOKUP(BC155,Lookup!$G$100:$K$110,5,FALSE)</f>
        <v>-1</v>
      </c>
      <c r="BC155" s="181" t="s">
        <v>2637</v>
      </c>
      <c r="BD155" s="281" t="s">
        <v>1860</v>
      </c>
      <c r="BE155" s="181" t="str">
        <f>VLOOKUP(BF155,Lookup!$C$4:$D$14,2,FALSE)</f>
        <v>Substantial Worsening</v>
      </c>
      <c r="BF155" s="193">
        <f>IF(X155=0,0,IF(X155&gt;Lookup!$F$113,-5,IF(X155&gt;Lookup!$F$114,-4,IF(X155&gt;Lookup!$F$115,-3,IF(X155&gt;Lookup!$F$116,-2,IF(X155&gt;Lookup!$F$117,-1,0))))))</f>
        <v>-5</v>
      </c>
      <c r="BG155" s="195" t="str">
        <f>VLOOKUP(BF155,Lookup!$G$113:$H$118,2,FALSE)</f>
        <v>Annual on-farm equipment costs 75% or greater of enterprise annual net income</v>
      </c>
      <c r="BH155" s="281" t="s">
        <v>3525</v>
      </c>
      <c r="BI155" s="181" t="str">
        <f>VLOOKUP(BJ155,Lookup!$C$4:$D$14,2,FALSE)</f>
        <v>Slight Worsening</v>
      </c>
      <c r="BJ155" s="193">
        <f>VLOOKUP(BK155,Lookup!$G$121:$L$131,6,FALSE)</f>
        <v>-1</v>
      </c>
      <c r="BK155" s="181" t="s">
        <v>2640</v>
      </c>
      <c r="BL155" s="281" t="s">
        <v>3358</v>
      </c>
      <c r="BM155" s="181" t="str">
        <f>VLOOKUP(BN155,Lookup!$C$4:$D$14,2,FALSE)</f>
        <v>Slight Worsening</v>
      </c>
      <c r="BN155" s="193">
        <f>VLOOKUP(BO155,Lookup!$G$134:$L$144,6,FALSE)</f>
        <v>-1</v>
      </c>
      <c r="BO155" s="181" t="s">
        <v>3373</v>
      </c>
      <c r="BP155" s="281" t="s">
        <v>3422</v>
      </c>
      <c r="BQ155" s="181" t="str">
        <f>VLOOKUP(BR155,Lookup!$C$4:$D$14,2,FALSE)</f>
        <v>Slight to Moderate Improvement</v>
      </c>
      <c r="BR155" s="193">
        <f>VLOOKUP(BS155,Lookup!$G$147:$L$157,6,FALSE)</f>
        <v>2</v>
      </c>
      <c r="BS155" s="181" t="s">
        <v>2641</v>
      </c>
      <c r="BT155" s="281" t="s">
        <v>3493</v>
      </c>
      <c r="BU155" s="175" t="s">
        <v>2231</v>
      </c>
    </row>
    <row r="156" spans="1:73" ht="39.950000000000003" customHeight="1" thickBot="1" x14ac:dyDescent="0.25">
      <c r="A156" s="173">
        <f t="shared" si="19"/>
        <v>153</v>
      </c>
      <c r="B156" s="178" t="s">
        <v>1153</v>
      </c>
      <c r="C156" s="179" t="s">
        <v>1601</v>
      </c>
      <c r="D156" s="180">
        <v>636</v>
      </c>
      <c r="E156" s="180" t="s">
        <v>3647</v>
      </c>
      <c r="F156" s="273" t="str">
        <f>VLOOKUP($D156,'Practice Descriptions'!$E$11:$F$186,2,FALSE)</f>
        <v>A facility for collecting and storing runoff from precipitation.</v>
      </c>
      <c r="G156" s="182">
        <v>10</v>
      </c>
      <c r="H156" s="183">
        <v>3500</v>
      </c>
      <c r="I156" s="184">
        <v>0.01</v>
      </c>
      <c r="J156" s="184">
        <v>0.01</v>
      </c>
      <c r="K156" s="419">
        <f>IF(E156="No.",1,IF(E156="Ac.",1,(SQRT(VLOOKUP(O156,Lookup!$F$9:$H$18,3,FALSE)))*208/VLOOKUP(O156,Lookup!$F$9:$H$18,3,FALSE)))</f>
        <v>1</v>
      </c>
      <c r="L156" s="185" t="str">
        <f t="shared" si="20"/>
        <v/>
      </c>
      <c r="M156" s="184">
        <v>0</v>
      </c>
      <c r="N156" s="186">
        <f>IF(G156=1,H156,PMT(Lookup!$G$4,G156,-H156)+(H156*J156)+(M156*P156))*K156</f>
        <v>491.02158198939014</v>
      </c>
      <c r="O156" s="187" t="s">
        <v>2214</v>
      </c>
      <c r="P156" s="186">
        <f>VLOOKUP($O156,Lookup!$F$9:$I$18,4,FALSE)</f>
        <v>5</v>
      </c>
      <c r="Q156" s="184">
        <v>0.15</v>
      </c>
      <c r="R156" s="183">
        <v>0</v>
      </c>
      <c r="S156" s="188" t="s">
        <v>3643</v>
      </c>
      <c r="T156" s="186">
        <f t="shared" si="22"/>
        <v>0.75</v>
      </c>
      <c r="U156" s="189">
        <f t="shared" si="23"/>
        <v>1.5274277700001501E-3</v>
      </c>
      <c r="V156" s="189">
        <f t="shared" si="21"/>
        <v>0</v>
      </c>
      <c r="W156" s="190">
        <f>IF(P156=0,0,IF(Q156+R156=0,0,PV(Lookup!$G$4,G156,-T156)/H156))</f>
        <v>1.6446590021641778E-3</v>
      </c>
      <c r="X156" s="190">
        <f>IF(I156=0,0,PMT(Lookup!$G$4,G156,-(H156*I156*K156))/P156)</f>
        <v>0.91204316397878016</v>
      </c>
      <c r="Y156" s="42" t="s">
        <v>963</v>
      </c>
      <c r="Z156" s="192">
        <f>VLOOKUP(Y156,Lookup!$B$4:$C$14,2,FALSE)</f>
        <v>2</v>
      </c>
      <c r="AA156" s="281" t="s">
        <v>1936</v>
      </c>
      <c r="AB156" s="282" t="s">
        <v>1072</v>
      </c>
      <c r="AC156" s="181" t="str">
        <f>VLOOKUP(AD156,Lookup!$C$4:$D$14,2,FALSE)</f>
        <v>Substantial Worsening</v>
      </c>
      <c r="AD156" s="193">
        <f>IF(P156/H156&lt;Lookup!$F$33,-5,IF(P156/H156&lt;Lookup!$F$32,-4,IF(P156/H156&lt;Lookup!$F$31,-3,IF(P156/H156&lt;Lookup!$F$30,-2,IF(P156/H156&lt;Lookup!$F$29,-1,-5)))))</f>
        <v>-5</v>
      </c>
      <c r="AE156" s="194" t="str">
        <f>VLOOKUP(AD156,Lookup!$G$28:$J$33,2,FALSE)</f>
        <v>One-time practice implementation cost 5 times or greater enterprise annual net income</v>
      </c>
      <c r="AF156" s="281" t="s">
        <v>1847</v>
      </c>
      <c r="AG156" s="181" t="str">
        <f>VLOOKUP(AH156,Lookup!$C$4:$D$14,2,FALSE)</f>
        <v>Slight Worsening</v>
      </c>
      <c r="AH156" s="193">
        <f>IF(J156&gt;Lookup!$F$43,-5,IF(J156&gt;Lookup!$F$42,-4,IF(J156&gt;Lookup!$F$41,-3,IF(J156&gt;Lookup!$F$40,-2,IF(J156&gt;Lookup!$F$39,-1,0)))))</f>
        <v>-1</v>
      </c>
      <c r="AI156" s="194" t="str">
        <f>VLOOKUP(AH156,Lookup!$G$38:$J$43,2,FALSE)</f>
        <v>Annual O&amp;M costs less than 1% of total installation costs</v>
      </c>
      <c r="AJ156" s="281" t="s">
        <v>1937</v>
      </c>
      <c r="AK156" s="181" t="str">
        <f>VLOOKUP(AL156,Lookup!$C$4:$D$14,2,FALSE)</f>
        <v>Substantial Worsening</v>
      </c>
      <c r="AL156" s="346">
        <f>IF(N156=0,0,IF(U156&lt;Lookup!$F$58,-5,IF(U156&lt;Lookup!$F$57,-4,IF(U156&lt;Lookup!$F$56,-3,IF(U156&lt;Lookup!$F$55,-2,IF(U156&lt;Lookup!$F$54,-1,IF(U156&lt;Lookup!$F$53,0,IF(U156&lt;Lookup!$F$52,1,IF(U156&lt;Lookup!$F$51,2,IF(U156&lt;Lookup!$F$50,3,IF(U156&lt;Lookup!$F$49,4,5)))))))))))</f>
        <v>-5</v>
      </c>
      <c r="AM156" s="194" t="str">
        <f>VLOOKUP(AL156,Lookup!$G$48:$J$58,2,FALSE)</f>
        <v>B/C Ratio less than .02</v>
      </c>
      <c r="AN156" s="281" t="s">
        <v>3075</v>
      </c>
      <c r="AO156" s="181" t="str">
        <f>VLOOKUP(AP156,Lookup!$C$4:$D$14,2,FALSE)</f>
        <v>Slight to Moderate Improvement</v>
      </c>
      <c r="AP156" s="193">
        <f>IF(Q156=0,0,IF(Q156&gt;Lookup!$F$63,5,IF(Q156&gt;Lookup!$F$64,4,IF(Q156&gt;Lookup!$F$65,3,IF(Q156&gt;Lookup!$F$66,2,IF(Q156&gt;Lookup!$F$67,1,IF(Q156&gt;Lookup!$F$69,-1,IF(Q156&gt;Lookup!$F$70,-2,IF(Q156&gt;Lookup!$F$71,-3,IF(Q156&gt;Lookup!$F$72,-4,-5))))))))))</f>
        <v>2</v>
      </c>
      <c r="AQ156" s="194" t="str">
        <f>VLOOKUP(AP156,Lookup!$G$63:$J$73,2,FALSE)</f>
        <v>5 to 10% yield increase</v>
      </c>
      <c r="AR156" s="281" t="s">
        <v>3140</v>
      </c>
      <c r="AS156" s="181" t="str">
        <f>VLOOKUP(AT156,Lookup!$C$4:$D$14,2,FALSE)</f>
        <v>No Effect</v>
      </c>
      <c r="AT156" s="193">
        <f>IF(V156=0,0,IF(V156&lt;Lookup!$F$79,5,IF(V156&lt;Lookup!$F$80,4,IF(V156&lt;Lookup!$F$81,3,IF(V156&lt;Lookup!$F$82,2,IF(V156&lt;Lookup!$F$83,1,IF(V156&lt;Lookup!$F$85,-1,IF(V156&lt;Lookup!$F$86,-2,IF(V156&lt;Lookup!$F$87,-3,IF(V156&lt;Lookup!$F$88,-4,-5))))))))))</f>
        <v>0</v>
      </c>
      <c r="AU156" s="194" t="str">
        <f>VLOOKUP(AT156,Lookup!$G$79:$J$89,2,FALSE)</f>
        <v>No breakeven</v>
      </c>
      <c r="AV156" s="345" t="str">
        <f>VLOOKUP(AT156,Lookup!$G$79:$J$89,4,FALSE)</f>
        <v>Annual costs greater than annual benefits</v>
      </c>
      <c r="AW156" s="181" t="str">
        <f>VLOOKUP(AX156,Lookup!$C$4:$D$14,2,FALSE)</f>
        <v>Slight Improvement</v>
      </c>
      <c r="AX156" s="193">
        <f>VLOOKUP(AY156,Lookup!$G$92:$J$97,4,FALSE)</f>
        <v>1</v>
      </c>
      <c r="AY156" s="181" t="s">
        <v>2636</v>
      </c>
      <c r="AZ156" s="281" t="s">
        <v>3562</v>
      </c>
      <c r="BA156" s="181" t="str">
        <f>VLOOKUP(BB156,Lookup!$C$4:$D$14,2,FALSE)</f>
        <v>Slight Worsening</v>
      </c>
      <c r="BB156" s="193">
        <f>VLOOKUP(BC156,Lookup!$G$100:$K$110,5,FALSE)</f>
        <v>-1</v>
      </c>
      <c r="BC156" s="181" t="s">
        <v>2637</v>
      </c>
      <c r="BD156" s="281" t="s">
        <v>3165</v>
      </c>
      <c r="BE156" s="181" t="str">
        <f>VLOOKUP(BF156,Lookup!$C$4:$D$14,2,FALSE)</f>
        <v>Substantial Worsening</v>
      </c>
      <c r="BF156" s="193">
        <f>IF(X156=0,0,IF(X156&gt;Lookup!$F$113,-5,IF(X156&gt;Lookup!$F$114,-4,IF(X156&gt;Lookup!$F$115,-3,IF(X156&gt;Lookup!$F$116,-2,IF(X156&gt;Lookup!$F$117,-1,0))))))</f>
        <v>-5</v>
      </c>
      <c r="BG156" s="195" t="str">
        <f>VLOOKUP(BF156,Lookup!$G$113:$H$118,2,FALSE)</f>
        <v>Annual on-farm equipment costs 75% or greater of enterprise annual net income</v>
      </c>
      <c r="BH156" s="281" t="s">
        <v>1853</v>
      </c>
      <c r="BI156" s="181" t="str">
        <f>VLOOKUP(BJ156,Lookup!$C$4:$D$14,2,FALSE)</f>
        <v>Slight Worsening</v>
      </c>
      <c r="BJ156" s="193">
        <f>VLOOKUP(BK156,Lookup!$G$121:$L$131,6,FALSE)</f>
        <v>-1</v>
      </c>
      <c r="BK156" s="181" t="s">
        <v>2640</v>
      </c>
      <c r="BL156" s="281" t="s">
        <v>3353</v>
      </c>
      <c r="BM156" s="181" t="str">
        <f>VLOOKUP(BN156,Lookup!$C$4:$D$14,2,FALSE)</f>
        <v>Slight Worsening</v>
      </c>
      <c r="BN156" s="193">
        <f>VLOOKUP(BO156,Lookup!$G$134:$L$144,6,FALSE)</f>
        <v>-1</v>
      </c>
      <c r="BO156" s="181" t="s">
        <v>3373</v>
      </c>
      <c r="BP156" s="281" t="s">
        <v>3423</v>
      </c>
      <c r="BQ156" s="181" t="str">
        <f>VLOOKUP(BR156,Lookup!$C$4:$D$14,2,FALSE)</f>
        <v>Slight to Moderate Improvement</v>
      </c>
      <c r="BR156" s="193">
        <f>VLOOKUP(BS156,Lookup!$G$147:$L$157,6,FALSE)</f>
        <v>2</v>
      </c>
      <c r="BS156" s="181" t="s">
        <v>2641</v>
      </c>
      <c r="BT156" s="281" t="s">
        <v>3494</v>
      </c>
      <c r="BU156" s="175" t="s">
        <v>2231</v>
      </c>
    </row>
    <row r="157" spans="1:73" ht="39.950000000000003" customHeight="1" thickBot="1" x14ac:dyDescent="0.25">
      <c r="A157" s="173">
        <f t="shared" si="19"/>
        <v>154</v>
      </c>
      <c r="B157" s="178" t="s">
        <v>1154</v>
      </c>
      <c r="C157" s="179" t="s">
        <v>1604</v>
      </c>
      <c r="D157" s="180">
        <v>642</v>
      </c>
      <c r="E157" s="180" t="s">
        <v>3647</v>
      </c>
      <c r="F157" s="273" t="str">
        <f>VLOOKUP($D157,'Practice Descriptions'!$E$11:$F$186,2,FALSE)</f>
        <v>A hole drilled, dug, driven, bored, jetted or otherwise constructed to an aquifer for water supply.</v>
      </c>
      <c r="G157" s="182">
        <v>20</v>
      </c>
      <c r="H157" s="183">
        <v>7500</v>
      </c>
      <c r="I157" s="184">
        <v>0.02</v>
      </c>
      <c r="J157" s="184">
        <v>0.01</v>
      </c>
      <c r="K157" s="419">
        <f>IF(E157="No.",1,IF(E157="Ac.",1,(SQRT(VLOOKUP(O157,Lookup!$F$9:$H$18,3,FALSE)))*208/VLOOKUP(O157,Lookup!$F$9:$H$18,3,FALSE)))</f>
        <v>1</v>
      </c>
      <c r="L157" s="185" t="str">
        <f t="shared" si="20"/>
        <v/>
      </c>
      <c r="M157" s="184">
        <v>0</v>
      </c>
      <c r="N157" s="186">
        <f>IF(G157=1,H157,PMT(Lookup!$G$4,G157,-H157)+(H157*J157)+(M157*P157))*K157</f>
        <v>683.21439109466303</v>
      </c>
      <c r="O157" s="187" t="s">
        <v>2225</v>
      </c>
      <c r="P157" s="186">
        <f>VLOOKUP($O157,Lookup!$F$9:$I$18,4,FALSE)</f>
        <v>100</v>
      </c>
      <c r="Q157" s="184">
        <v>0.2</v>
      </c>
      <c r="R157" s="183">
        <v>0</v>
      </c>
      <c r="S157" s="188" t="s">
        <v>3642</v>
      </c>
      <c r="T157" s="186">
        <f t="shared" si="22"/>
        <v>20</v>
      </c>
      <c r="U157" s="189">
        <f t="shared" si="23"/>
        <v>2.9273388061916414E-2</v>
      </c>
      <c r="V157" s="189">
        <f t="shared" si="21"/>
        <v>0</v>
      </c>
      <c r="W157" s="190">
        <f>IF(P157=0,0,IF(Q157+R157=0,0,PV(Lookup!$G$4,G157,-T157)/H157))</f>
        <v>3.2883141689567782E-2</v>
      </c>
      <c r="X157" s="190">
        <f>IF(I157=0,0,PMT(Lookup!$G$4,G157,-(H157*I157*K157))/P157)</f>
        <v>0.12164287821893263</v>
      </c>
      <c r="Y157" s="42" t="s">
        <v>963</v>
      </c>
      <c r="Z157" s="192">
        <f>VLOOKUP(Y157,Lookup!$B$4:$C$14,2,FALSE)</f>
        <v>2</v>
      </c>
      <c r="AA157" s="281" t="s">
        <v>227</v>
      </c>
      <c r="AB157" s="282" t="s">
        <v>1072</v>
      </c>
      <c r="AC157" s="181" t="str">
        <f>VLOOKUP(AD157,Lookup!$C$4:$D$14,2,FALSE)</f>
        <v>Substantial Worsening</v>
      </c>
      <c r="AD157" s="193">
        <f>IF(P157/H157&lt;Lookup!$F$33,-5,IF(P157/H157&lt;Lookup!$F$32,-4,IF(P157/H157&lt;Lookup!$F$31,-3,IF(P157/H157&lt;Lookup!$F$30,-2,IF(P157/H157&lt;Lookup!$F$29,-1,-5)))))</f>
        <v>-5</v>
      </c>
      <c r="AE157" s="194" t="str">
        <f>VLOOKUP(AD157,Lookup!$G$28:$J$33,2,FALSE)</f>
        <v>One-time practice implementation cost 5 times or greater enterprise annual net income</v>
      </c>
      <c r="AF157" s="281" t="s">
        <v>1847</v>
      </c>
      <c r="AG157" s="181" t="str">
        <f>VLOOKUP(AH157,Lookup!$C$4:$D$14,2,FALSE)</f>
        <v>Slight Worsening</v>
      </c>
      <c r="AH157" s="193">
        <f>IF(J157&gt;Lookup!$F$43,-5,IF(J157&gt;Lookup!$F$42,-4,IF(J157&gt;Lookup!$F$41,-3,IF(J157&gt;Lookup!$F$40,-2,IF(J157&gt;Lookup!$F$39,-1,0)))))</f>
        <v>-1</v>
      </c>
      <c r="AI157" s="194" t="str">
        <f>VLOOKUP(AH157,Lookup!$G$38:$J$43,2,FALSE)</f>
        <v>Annual O&amp;M costs less than 1% of total installation costs</v>
      </c>
      <c r="AJ157" s="281" t="s">
        <v>2999</v>
      </c>
      <c r="AK157" s="181" t="str">
        <f>VLOOKUP(AL157,Lookup!$C$4:$D$14,2,FALSE)</f>
        <v>Moderate to Substantial Worsening</v>
      </c>
      <c r="AL157" s="346">
        <f>IF(N157=0,0,IF(U157&lt;Lookup!$F$58,-5,IF(U157&lt;Lookup!$F$57,-4,IF(U157&lt;Lookup!$F$56,-3,IF(U157&lt;Lookup!$F$55,-2,IF(U157&lt;Lookup!$F$54,-1,IF(U157&lt;Lookup!$F$53,0,IF(U157&lt;Lookup!$F$52,1,IF(U157&lt;Lookup!$F$51,2,IF(U157&lt;Lookup!$F$50,3,IF(U157&lt;Lookup!$F$49,4,5)))))))))))</f>
        <v>-4</v>
      </c>
      <c r="AM157" s="194" t="str">
        <f>VLOOKUP(AL157,Lookup!$G$48:$J$58,2,FALSE)</f>
        <v>B/C Ratio .05 to .10</v>
      </c>
      <c r="AN157" s="281" t="s">
        <v>3575</v>
      </c>
      <c r="AO157" s="181" t="str">
        <f>VLOOKUP(AP157,Lookup!$C$4:$D$14,2,FALSE)</f>
        <v>Slight to Moderate Improvement</v>
      </c>
      <c r="AP157" s="193">
        <f>IF(Q157=0,0,IF(Q157&gt;Lookup!$F$63,5,IF(Q157&gt;Lookup!$F$64,4,IF(Q157&gt;Lookup!$F$65,3,IF(Q157&gt;Lookup!$F$66,2,IF(Q157&gt;Lookup!$F$67,1,IF(Q157&gt;Lookup!$F$69,-1,IF(Q157&gt;Lookup!$F$70,-2,IF(Q157&gt;Lookup!$F$71,-3,IF(Q157&gt;Lookup!$F$72,-4,-5))))))))))</f>
        <v>2</v>
      </c>
      <c r="AQ157" s="194" t="str">
        <f>VLOOKUP(AP157,Lookup!$G$63:$J$73,2,FALSE)</f>
        <v>5 to 10% yield increase</v>
      </c>
      <c r="AR157" s="281" t="s">
        <v>3141</v>
      </c>
      <c r="AS157" s="181" t="str">
        <f>VLOOKUP(AT157,Lookup!$C$4:$D$14,2,FALSE)</f>
        <v>No Effect</v>
      </c>
      <c r="AT157" s="193">
        <f>IF(V157=0,0,IF(V157&lt;Lookup!$F$79,5,IF(V157&lt;Lookup!$F$80,4,IF(V157&lt;Lookup!$F$81,3,IF(V157&lt;Lookup!$F$82,2,IF(V157&lt;Lookup!$F$83,1,IF(V157&lt;Lookup!$F$85,-1,IF(V157&lt;Lookup!$F$86,-2,IF(V157&lt;Lookup!$F$87,-3,IF(V157&lt;Lookup!$F$88,-4,-5))))))))))</f>
        <v>0</v>
      </c>
      <c r="AU157" s="194" t="str">
        <f>VLOOKUP(AT157,Lookup!$G$79:$J$89,2,FALSE)</f>
        <v>No breakeven</v>
      </c>
      <c r="AV157" s="345" t="str">
        <f>VLOOKUP(AT157,Lookup!$G$79:$J$89,4,FALSE)</f>
        <v>Annual costs greater than annual benefits</v>
      </c>
      <c r="AW157" s="181" t="str">
        <f>VLOOKUP(AX157,Lookup!$C$4:$D$14,2,FALSE)</f>
        <v>No Effect</v>
      </c>
      <c r="AX157" s="193">
        <f>VLOOKUP(AY157,Lookup!$G$92:$J$97,4,FALSE)</f>
        <v>0</v>
      </c>
      <c r="AY157" s="181" t="s">
        <v>2642</v>
      </c>
      <c r="AZ157" s="281" t="s">
        <v>3180</v>
      </c>
      <c r="BA157" s="181" t="str">
        <f>VLOOKUP(BB157,Lookup!$C$4:$D$14,2,FALSE)</f>
        <v>Substantial Improvement</v>
      </c>
      <c r="BB157" s="193">
        <f>VLOOKUP(BC157,Lookup!$G$100:$K$110,5,FALSE)</f>
        <v>5</v>
      </c>
      <c r="BC157" s="181" t="s">
        <v>2665</v>
      </c>
      <c r="BD157" s="281" t="s">
        <v>3218</v>
      </c>
      <c r="BE157" s="181" t="str">
        <f>VLOOKUP(BF157,Lookup!$C$4:$D$14,2,FALSE)</f>
        <v>Slight to Moderate Worsening</v>
      </c>
      <c r="BF157" s="193">
        <f>IF(X157=0,0,IF(X157&gt;Lookup!$F$113,-5,IF(X157&gt;Lookup!$F$114,-4,IF(X157&gt;Lookup!$F$115,-3,IF(X157&gt;Lookup!$F$116,-2,IF(X157&gt;Lookup!$F$117,-1,0))))))</f>
        <v>-2</v>
      </c>
      <c r="BG157" s="195" t="str">
        <f>VLOOKUP(BF157,Lookup!$G$113:$H$118,2,FALSE)</f>
        <v>Annual on-farm equipment costs 25 to 5% of enterprise annual net income</v>
      </c>
      <c r="BH157" s="281" t="s">
        <v>3246</v>
      </c>
      <c r="BI157" s="181" t="str">
        <f>VLOOKUP(BJ157,Lookup!$C$4:$D$14,2,FALSE)</f>
        <v>No Effect</v>
      </c>
      <c r="BJ157" s="193">
        <f>VLOOKUP(BK157,Lookup!$G$121:$L$131,6,FALSE)</f>
        <v>0</v>
      </c>
      <c r="BK157" s="181" t="s">
        <v>2656</v>
      </c>
      <c r="BL157" s="281" t="s">
        <v>3154</v>
      </c>
      <c r="BM157" s="181" t="str">
        <f>VLOOKUP(BN157,Lookup!$C$4:$D$14,2,FALSE)</f>
        <v>Slight Worsening</v>
      </c>
      <c r="BN157" s="193">
        <f>VLOOKUP(BO157,Lookup!$G$134:$L$144,6,FALSE)</f>
        <v>-1</v>
      </c>
      <c r="BO157" s="181" t="s">
        <v>3373</v>
      </c>
      <c r="BP157" s="281" t="s">
        <v>3424</v>
      </c>
      <c r="BQ157" s="181" t="str">
        <f>VLOOKUP(BR157,Lookup!$C$4:$D$14,2,FALSE)</f>
        <v>Substantial Improvement</v>
      </c>
      <c r="BR157" s="193">
        <f>VLOOKUP(BS157,Lookup!$G$147:$L$157,6,FALSE)</f>
        <v>5</v>
      </c>
      <c r="BS157" s="181" t="s">
        <v>2639</v>
      </c>
      <c r="BT157" s="281" t="s">
        <v>3495</v>
      </c>
      <c r="BU157" s="175" t="s">
        <v>2231</v>
      </c>
    </row>
    <row r="158" spans="1:73" ht="39.950000000000003" customHeight="1" thickBot="1" x14ac:dyDescent="0.25">
      <c r="A158" s="173">
        <f t="shared" si="19"/>
        <v>155</v>
      </c>
      <c r="B158" s="178" t="s">
        <v>1799</v>
      </c>
      <c r="C158" s="179" t="s">
        <v>1604</v>
      </c>
      <c r="D158" s="180">
        <v>351</v>
      </c>
      <c r="E158" s="180" t="s">
        <v>3647</v>
      </c>
      <c r="F158" s="273" t="str">
        <f>VLOOKUP($D158,'Practice Descriptions'!$E$11:$F$186,2,FALSE)</f>
        <v>The sealing and permanent closure of an inactive, abandoned, or unusable water well.</v>
      </c>
      <c r="G158" s="182">
        <v>20</v>
      </c>
      <c r="H158" s="183">
        <v>500</v>
      </c>
      <c r="I158" s="184">
        <v>0</v>
      </c>
      <c r="J158" s="184">
        <v>0</v>
      </c>
      <c r="K158" s="419">
        <f>IF(E158="No.",1,IF(E158="Ac.",1,(SQRT(VLOOKUP(O158,Lookup!$F$9:$H$18,3,FALSE)))*208/VLOOKUP(O158,Lookup!$F$9:$H$18,3,FALSE)))</f>
        <v>1</v>
      </c>
      <c r="L158" s="185" t="str">
        <f t="shared" si="20"/>
        <v/>
      </c>
      <c r="M158" s="184">
        <v>0</v>
      </c>
      <c r="N158" s="186">
        <f>IF(G158=1,H158,PMT(Lookup!$G$4,G158,-H158)+(H158*J158)+(M158*P158))*K158</f>
        <v>40.547626072977536</v>
      </c>
      <c r="O158" s="187" t="s">
        <v>2225</v>
      </c>
      <c r="P158" s="186">
        <f>VLOOKUP($O158,Lookup!$F$9:$I$18,4,FALSE)</f>
        <v>100</v>
      </c>
      <c r="Q158" s="184">
        <v>0</v>
      </c>
      <c r="R158" s="183">
        <v>0</v>
      </c>
      <c r="S158" s="188" t="s">
        <v>3644</v>
      </c>
      <c r="T158" s="186">
        <f t="shared" si="22"/>
        <v>0</v>
      </c>
      <c r="U158" s="189">
        <f t="shared" si="23"/>
        <v>0</v>
      </c>
      <c r="V158" s="189">
        <f t="shared" si="21"/>
        <v>0</v>
      </c>
      <c r="W158" s="190">
        <f>IF(P158=0,0,IF(Q158+R158=0,0,PV(Lookup!$G$4,G158,-T158)/H158))</f>
        <v>0</v>
      </c>
      <c r="X158" s="190">
        <f>IF(I158=0,0,PMT(Lookup!$G$4,G158,-(H158*I158*K158))/P158)</f>
        <v>0</v>
      </c>
      <c r="Y158" s="42" t="s">
        <v>986</v>
      </c>
      <c r="Z158" s="192">
        <f>VLOOKUP(Y158,Lookup!$B$4:$C$14,2,FALSE)</f>
        <v>0</v>
      </c>
      <c r="AA158" s="281" t="s">
        <v>2759</v>
      </c>
      <c r="AB158" s="282" t="s">
        <v>1072</v>
      </c>
      <c r="AC158" s="181" t="str">
        <f>VLOOKUP(AD158,Lookup!$C$4:$D$14,2,FALSE)</f>
        <v>Moderate to Substantial Worsening</v>
      </c>
      <c r="AD158" s="193">
        <f>IF(P158/H158&lt;Lookup!$F$33,-5,IF(P158/H158&lt;Lookup!$F$32,-4,IF(P158/H158&lt;Lookup!$F$31,-3,IF(P158/H158&lt;Lookup!$F$30,-2,IF(P158/H158&lt;Lookup!$F$29,-1,-5)))))</f>
        <v>-4</v>
      </c>
      <c r="AE158" s="194" t="str">
        <f>VLOOKUP(AD158,Lookup!$G$28:$J$33,2,FALSE)</f>
        <v>One-time practice implementation cost 2 to 5 times enterprise annual net income</v>
      </c>
      <c r="AF158" s="281" t="s">
        <v>1842</v>
      </c>
      <c r="AG158" s="181" t="str">
        <f>VLOOKUP(AH158,Lookup!$C$4:$D$14,2,FALSE)</f>
        <v>No Effect</v>
      </c>
      <c r="AH158" s="193">
        <f>IF(J158&gt;Lookup!$F$43,-5,IF(J158&gt;Lookup!$F$42,-4,IF(J158&gt;Lookup!$F$41,-3,IF(J158&gt;Lookup!$F$40,-2,IF(J158&gt;Lookup!$F$39,-1,0)))))</f>
        <v>0</v>
      </c>
      <c r="AI158" s="194" t="str">
        <f>VLOOKUP(AH158,Lookup!$G$38:$J$43,2,FALSE)</f>
        <v>No O&amp;M costs</v>
      </c>
      <c r="AJ158" s="281" t="s">
        <v>3005</v>
      </c>
      <c r="AK158" s="181" t="str">
        <f>VLOOKUP(AL158,Lookup!$C$4:$D$14,2,FALSE)</f>
        <v>Substantial Worsening</v>
      </c>
      <c r="AL158" s="346">
        <f>IF(N158=0,0,IF(U158&lt;Lookup!$F$58,-5,IF(U158&lt;Lookup!$F$57,-4,IF(U158&lt;Lookup!$F$56,-3,IF(U158&lt;Lookup!$F$55,-2,IF(U158&lt;Lookup!$F$54,-1,IF(U158&lt;Lookup!$F$53,0,IF(U158&lt;Lookup!$F$52,1,IF(U158&lt;Lookup!$F$51,2,IF(U158&lt;Lookup!$F$50,3,IF(U158&lt;Lookup!$F$49,4,5)))))))))))</f>
        <v>-5</v>
      </c>
      <c r="AM158" s="194" t="str">
        <f>VLOOKUP(AL158,Lookup!$G$48:$J$58,2,FALSE)</f>
        <v>B/C Ratio less than .02</v>
      </c>
      <c r="AN158" s="281" t="s">
        <v>3068</v>
      </c>
      <c r="AO158" s="181" t="str">
        <f>VLOOKUP(AP158,Lookup!$C$4:$D$14,2,FALSE)</f>
        <v>No Effect</v>
      </c>
      <c r="AP158" s="193">
        <f>IF(Q158=0,0,IF(Q158&gt;Lookup!$F$63,5,IF(Q158&gt;Lookup!$F$64,4,IF(Q158&gt;Lookup!$F$65,3,IF(Q158&gt;Lookup!$F$66,2,IF(Q158&gt;Lookup!$F$67,1,IF(Q158&gt;Lookup!$F$69,-1,IF(Q158&gt;Lookup!$F$70,-2,IF(Q158&gt;Lookup!$F$71,-3,IF(Q158&gt;Lookup!$F$72,-4,-5))))))))))</f>
        <v>0</v>
      </c>
      <c r="AQ158" s="194" t="str">
        <f>VLOOKUP(AP158,Lookup!$G$63:$J$73,2,FALSE)</f>
        <v>No change in yield</v>
      </c>
      <c r="AR158" s="281" t="s">
        <v>3081</v>
      </c>
      <c r="AS158" s="181" t="str">
        <f>VLOOKUP(AT158,Lookup!$C$4:$D$14,2,FALSE)</f>
        <v>No Effect</v>
      </c>
      <c r="AT158" s="193">
        <f>IF(V158=0,0,IF(V158&lt;Lookup!$F$79,5,IF(V158&lt;Lookup!$F$80,4,IF(V158&lt;Lookup!$F$81,3,IF(V158&lt;Lookup!$F$82,2,IF(V158&lt;Lookup!$F$83,1,IF(V158&lt;Lookup!$F$85,-1,IF(V158&lt;Lookup!$F$86,-2,IF(V158&lt;Lookup!$F$87,-3,IF(V158&lt;Lookup!$F$88,-4,-5))))))))))</f>
        <v>0</v>
      </c>
      <c r="AU158" s="194" t="str">
        <f>VLOOKUP(AT158,Lookup!$G$79:$J$89,2,FALSE)</f>
        <v>No breakeven</v>
      </c>
      <c r="AV158" s="345" t="str">
        <f>VLOOKUP(AT158,Lookup!$G$79:$J$89,4,FALSE)</f>
        <v>Annual costs greater than annual benefits</v>
      </c>
      <c r="AW158" s="181" t="str">
        <f>VLOOKUP(AX158,Lookup!$C$4:$D$14,2,FALSE)</f>
        <v>No Effect</v>
      </c>
      <c r="AX158" s="193">
        <f>VLOOKUP(AY158,Lookup!$G$92:$J$97,4,FALSE)</f>
        <v>0</v>
      </c>
      <c r="AY158" s="181" t="s">
        <v>2642</v>
      </c>
      <c r="AZ158" s="281" t="s">
        <v>3179</v>
      </c>
      <c r="BA158" s="181" t="str">
        <f>VLOOKUP(BB158,Lookup!$C$4:$D$14,2,FALSE)</f>
        <v>Substantial Worsening</v>
      </c>
      <c r="BB158" s="193">
        <f>VLOOKUP(BC158,Lookup!$G$100:$K$110,5,FALSE)</f>
        <v>-5</v>
      </c>
      <c r="BC158" s="181" t="s">
        <v>2669</v>
      </c>
      <c r="BD158" s="281" t="s">
        <v>3219</v>
      </c>
      <c r="BE158" s="181" t="str">
        <f>VLOOKUP(BF158,Lookup!$C$4:$D$14,2,FALSE)</f>
        <v>No Effect</v>
      </c>
      <c r="BF158" s="193">
        <f>IF(X158=0,0,IF(X158&gt;Lookup!$F$113,-5,IF(X158&gt;Lookup!$F$114,-4,IF(X158&gt;Lookup!$F$115,-3,IF(X158&gt;Lookup!$F$116,-2,IF(X158&gt;Lookup!$F$117,-1,0))))))</f>
        <v>0</v>
      </c>
      <c r="BG158" s="195" t="str">
        <f>VLOOKUP(BF158,Lookup!$G$113:$H$118,2,FALSE)</f>
        <v>No change in on-farm equipment</v>
      </c>
      <c r="BH158" s="281" t="s">
        <v>1853</v>
      </c>
      <c r="BI158" s="181" t="str">
        <f>VLOOKUP(BJ158,Lookup!$C$4:$D$14,2,FALSE)</f>
        <v>No Effect</v>
      </c>
      <c r="BJ158" s="193">
        <f>VLOOKUP(BK158,Lookup!$G$121:$L$131,6,FALSE)</f>
        <v>0</v>
      </c>
      <c r="BK158" s="181" t="s">
        <v>2656</v>
      </c>
      <c r="BL158" s="281" t="s">
        <v>3154</v>
      </c>
      <c r="BM158" s="181" t="str">
        <f>VLOOKUP(BN158,Lookup!$C$4:$D$14,2,FALSE)</f>
        <v>No Effect</v>
      </c>
      <c r="BN158" s="193">
        <f>VLOOKUP(BO158,Lookup!$G$134:$L$144,6,FALSE)</f>
        <v>0</v>
      </c>
      <c r="BO158" s="181" t="s">
        <v>2646</v>
      </c>
      <c r="BP158" s="281" t="s">
        <v>3154</v>
      </c>
      <c r="BQ158" s="181" t="str">
        <f>VLOOKUP(BR158,Lookup!$C$4:$D$14,2,FALSE)</f>
        <v>Moderate Worsening</v>
      </c>
      <c r="BR158" s="193">
        <f>VLOOKUP(BS158,Lookup!$G$147:$L$157,6,FALSE)</f>
        <v>-3</v>
      </c>
      <c r="BS158" s="181" t="s">
        <v>2635</v>
      </c>
      <c r="BT158" s="281" t="s">
        <v>3496</v>
      </c>
      <c r="BU158" s="175" t="s">
        <v>2231</v>
      </c>
    </row>
    <row r="159" spans="1:73" ht="39.950000000000003" customHeight="1" thickBot="1" x14ac:dyDescent="0.25">
      <c r="A159" s="173">
        <f t="shared" si="19"/>
        <v>156</v>
      </c>
      <c r="B159" s="178" t="s">
        <v>305</v>
      </c>
      <c r="C159" s="179" t="s">
        <v>2064</v>
      </c>
      <c r="D159" s="180">
        <v>614</v>
      </c>
      <c r="E159" s="180" t="s">
        <v>3647</v>
      </c>
      <c r="F159" s="273" t="str">
        <f>VLOOKUP($D159,'Practice Descriptions'!$E$11:$F$186,2,FALSE)</f>
        <v>A permanent or portable device to provide an adequate amount and quality of drinking water for livestock and or wildlife.</v>
      </c>
      <c r="G159" s="182">
        <v>10</v>
      </c>
      <c r="H159" s="183">
        <v>1250</v>
      </c>
      <c r="I159" s="184">
        <v>0.1</v>
      </c>
      <c r="J159" s="184">
        <v>0.01</v>
      </c>
      <c r="K159" s="419">
        <f>IF(E159="No.",1,IF(E159="Ac.",1,(SQRT(VLOOKUP(O159,Lookup!$F$9:$H$18,3,FALSE)))*208/VLOOKUP(O159,Lookup!$F$9:$H$18,3,FALSE)))</f>
        <v>1</v>
      </c>
      <c r="L159" s="185" t="str">
        <f t="shared" si="20"/>
        <v/>
      </c>
      <c r="M159" s="184">
        <v>0</v>
      </c>
      <c r="N159" s="186">
        <f>IF(G159=1,H159,PMT(Lookup!$G$4,G159,-H159)+(H159*J159)+(M159*P159))*K159</f>
        <v>175.36485071049648</v>
      </c>
      <c r="O159" s="181" t="s">
        <v>1260</v>
      </c>
      <c r="P159" s="186">
        <f>VLOOKUP($O159,Lookup!$F$9:$I$18,4,FALSE)</f>
        <v>50</v>
      </c>
      <c r="Q159" s="184">
        <v>0.25</v>
      </c>
      <c r="R159" s="183">
        <v>1</v>
      </c>
      <c r="S159" s="188" t="s">
        <v>3643</v>
      </c>
      <c r="T159" s="186">
        <f t="shared" si="22"/>
        <v>13.5</v>
      </c>
      <c r="U159" s="189">
        <f t="shared" si="23"/>
        <v>7.6982359608007561E-2</v>
      </c>
      <c r="V159" s="189">
        <f t="shared" si="21"/>
        <v>0</v>
      </c>
      <c r="W159" s="190">
        <f>IF(P159=0,0,IF(Q159+R159=0,0,PV(Lookup!$G$4,G159,-T159)/H159))</f>
        <v>8.2890813709074571E-2</v>
      </c>
      <c r="X159" s="190">
        <f>IF(I159=0,0,PMT(Lookup!$G$4,G159,-(H159*I159*K159))/P159)</f>
        <v>0.32572970142099295</v>
      </c>
      <c r="Y159" s="42" t="s">
        <v>963</v>
      </c>
      <c r="Z159" s="192">
        <f>VLOOKUP(Y159,Lookup!$B$4:$C$14,2,FALSE)</f>
        <v>2</v>
      </c>
      <c r="AA159" s="281" t="s">
        <v>227</v>
      </c>
      <c r="AB159" s="282" t="s">
        <v>1072</v>
      </c>
      <c r="AC159" s="181" t="str">
        <f>VLOOKUP(AD159,Lookup!$C$4:$D$14,2,FALSE)</f>
        <v>Substantial Worsening</v>
      </c>
      <c r="AD159" s="193">
        <f>IF(P159/H159&lt;Lookup!$F$33,-5,IF(P159/H159&lt;Lookup!$F$32,-4,IF(P159/H159&lt;Lookup!$F$31,-3,IF(P159/H159&lt;Lookup!$F$30,-2,IF(P159/H159&lt;Lookup!$F$29,-1,-5)))))</f>
        <v>-5</v>
      </c>
      <c r="AE159" s="194" t="str">
        <f>VLOOKUP(AD159,Lookup!$G$28:$J$33,2,FALSE)</f>
        <v>One-time practice implementation cost 5 times or greater enterprise annual net income</v>
      </c>
      <c r="AF159" s="281" t="s">
        <v>1847</v>
      </c>
      <c r="AG159" s="181" t="str">
        <f>VLOOKUP(AH159,Lookup!$C$4:$D$14,2,FALSE)</f>
        <v>Slight Worsening</v>
      </c>
      <c r="AH159" s="193">
        <f>IF(J159&gt;Lookup!$F$43,-5,IF(J159&gt;Lookup!$F$42,-4,IF(J159&gt;Lookup!$F$41,-3,IF(J159&gt;Lookup!$F$40,-2,IF(J159&gt;Lookup!$F$39,-1,0)))))</f>
        <v>-1</v>
      </c>
      <c r="AI159" s="194" t="str">
        <f>VLOOKUP(AH159,Lookup!$G$38:$J$43,2,FALSE)</f>
        <v>Annual O&amp;M costs less than 1% of total installation costs</v>
      </c>
      <c r="AJ159" s="281" t="s">
        <v>2998</v>
      </c>
      <c r="AK159" s="181" t="str">
        <f>VLOOKUP(AL159,Lookup!$C$4:$D$14,2,FALSE)</f>
        <v>Moderate to Substantial Worsening</v>
      </c>
      <c r="AL159" s="346">
        <f>IF(N159=0,0,IF(U159&lt;Lookup!$F$58,-5,IF(U159&lt;Lookup!$F$57,-4,IF(U159&lt;Lookup!$F$56,-3,IF(U159&lt;Lookup!$F$55,-2,IF(U159&lt;Lookup!$F$54,-1,IF(U159&lt;Lookup!$F$53,0,IF(U159&lt;Lookup!$F$52,1,IF(U159&lt;Lookup!$F$51,2,IF(U159&lt;Lookup!$F$50,3,IF(U159&lt;Lookup!$F$49,4,5)))))))))))</f>
        <v>-4</v>
      </c>
      <c r="AM159" s="194" t="str">
        <f>VLOOKUP(AL159,Lookup!$G$48:$J$58,2,FALSE)</f>
        <v>B/C Ratio .05 to .10</v>
      </c>
      <c r="AN159" s="281" t="s">
        <v>3076</v>
      </c>
      <c r="AO159" s="181" t="str">
        <f>VLOOKUP(AP159,Lookup!$C$4:$D$14,2,FALSE)</f>
        <v>Moderate to Substantial Improvement</v>
      </c>
      <c r="AP159" s="193">
        <f>IF(Q159=0,0,IF(Q159&gt;Lookup!$F$63,5,IF(Q159&gt;Lookup!$F$64,4,IF(Q159&gt;Lookup!$F$65,3,IF(Q159&gt;Lookup!$F$66,2,IF(Q159&gt;Lookup!$F$67,1,IF(Q159&gt;Lookup!$F$69,-1,IF(Q159&gt;Lookup!$F$70,-2,IF(Q159&gt;Lookup!$F$71,-3,IF(Q159&gt;Lookup!$F$72,-4,-5))))))))))</f>
        <v>4</v>
      </c>
      <c r="AQ159" s="194" t="str">
        <f>VLOOKUP(AP159,Lookup!$G$63:$J$73,2,FALSE)</f>
        <v>25 to 50% yield increase</v>
      </c>
      <c r="AR159" s="281" t="s">
        <v>3142</v>
      </c>
      <c r="AS159" s="181" t="str">
        <f>VLOOKUP(AT159,Lookup!$C$4:$D$14,2,FALSE)</f>
        <v>No Effect</v>
      </c>
      <c r="AT159" s="193">
        <f>IF(V159=0,0,IF(V159&lt;Lookup!$F$79,5,IF(V159&lt;Lookup!$F$80,4,IF(V159&lt;Lookup!$F$81,3,IF(V159&lt;Lookup!$F$82,2,IF(V159&lt;Lookup!$F$83,1,IF(V159&lt;Lookup!$F$85,-1,IF(V159&lt;Lookup!$F$86,-2,IF(V159&lt;Lookup!$F$87,-3,IF(V159&lt;Lookup!$F$88,-4,-5))))))))))</f>
        <v>0</v>
      </c>
      <c r="AU159" s="194" t="str">
        <f>VLOOKUP(AT159,Lookup!$G$79:$J$89,2,FALSE)</f>
        <v>No breakeven</v>
      </c>
      <c r="AV159" s="345" t="str">
        <f>VLOOKUP(AT159,Lookup!$G$79:$J$89,4,FALSE)</f>
        <v>Annual costs greater than annual benefits</v>
      </c>
      <c r="AW159" s="181" t="str">
        <f>VLOOKUP(AX159,Lookup!$C$4:$D$14,2,FALSE)</f>
        <v>No Effect</v>
      </c>
      <c r="AX159" s="193">
        <f>VLOOKUP(AY159,Lookup!$G$92:$J$97,4,FALSE)</f>
        <v>0</v>
      </c>
      <c r="AY159" s="181" t="s">
        <v>2642</v>
      </c>
      <c r="AZ159" s="281" t="s">
        <v>3181</v>
      </c>
      <c r="BA159" s="181" t="str">
        <f>VLOOKUP(BB159,Lookup!$C$4:$D$14,2,FALSE)</f>
        <v>Moderate Improvement</v>
      </c>
      <c r="BB159" s="193">
        <f>VLOOKUP(BC159,Lookup!$G$100:$K$110,5,FALSE)</f>
        <v>3</v>
      </c>
      <c r="BC159" s="181" t="s">
        <v>2644</v>
      </c>
      <c r="BD159" s="281" t="s">
        <v>3220</v>
      </c>
      <c r="BE159" s="181" t="str">
        <f>VLOOKUP(BF159,Lookup!$C$4:$D$14,2,FALSE)</f>
        <v>Moderate Worsening</v>
      </c>
      <c r="BF159" s="193">
        <f>IF(X159=0,0,IF(X159&gt;Lookup!$F$113,-5,IF(X159&gt;Lookup!$F$114,-4,IF(X159&gt;Lookup!$F$115,-3,IF(X159&gt;Lookup!$F$116,-2,IF(X159&gt;Lookup!$F$117,-1,0))))))</f>
        <v>-3</v>
      </c>
      <c r="BG159" s="195" t="str">
        <f>VLOOKUP(BF159,Lookup!$G$113:$H$118,2,FALSE)</f>
        <v>Annual on-farm equipment costs 50 to 25% of enterprise annual net income</v>
      </c>
      <c r="BH159" s="281" t="s">
        <v>3525</v>
      </c>
      <c r="BI159" s="181" t="str">
        <f>VLOOKUP(BJ159,Lookup!$C$4:$D$14,2,FALSE)</f>
        <v>Slight Worsening</v>
      </c>
      <c r="BJ159" s="193">
        <f>VLOOKUP(BK159,Lookup!$G$121:$L$131,6,FALSE)</f>
        <v>-1</v>
      </c>
      <c r="BK159" s="181" t="s">
        <v>2640</v>
      </c>
      <c r="BL159" s="281" t="s">
        <v>3354</v>
      </c>
      <c r="BM159" s="181" t="str">
        <f>VLOOKUP(BN159,Lookup!$C$4:$D$14,2,FALSE)</f>
        <v>Slight Worsening</v>
      </c>
      <c r="BN159" s="193">
        <f>VLOOKUP(BO159,Lookup!$G$134:$L$144,6,FALSE)</f>
        <v>-1</v>
      </c>
      <c r="BO159" s="181" t="s">
        <v>3373</v>
      </c>
      <c r="BP159" s="281" t="s">
        <v>3423</v>
      </c>
      <c r="BQ159" s="181" t="str">
        <f>VLOOKUP(BR159,Lookup!$C$4:$D$14,2,FALSE)</f>
        <v>Slight to Moderate Improvement</v>
      </c>
      <c r="BR159" s="193">
        <f>VLOOKUP(BS159,Lookup!$G$147:$L$157,6,FALSE)</f>
        <v>2</v>
      </c>
      <c r="BS159" s="181" t="s">
        <v>2641</v>
      </c>
      <c r="BT159" s="281" t="s">
        <v>3483</v>
      </c>
      <c r="BU159" s="175" t="s">
        <v>2231</v>
      </c>
    </row>
    <row r="160" spans="1:73" ht="39.950000000000003" customHeight="1" thickBot="1" x14ac:dyDescent="0.25">
      <c r="A160" s="173">
        <f t="shared" si="19"/>
        <v>157</v>
      </c>
      <c r="B160" s="178" t="s">
        <v>306</v>
      </c>
      <c r="C160" s="179" t="s">
        <v>1601</v>
      </c>
      <c r="D160" s="180">
        <v>640</v>
      </c>
      <c r="E160" s="180" t="s">
        <v>3646</v>
      </c>
      <c r="F160" s="273" t="str">
        <f>VLOOKUP($D160,'Practice Descriptions'!$E$11:$F$186,2,FALSE)</f>
        <v>A system of dams, dikes, ditches, or other means of diverting or collecting runoff from natural channels, gullies, or streams and spreading it over relatively flat areas.</v>
      </c>
      <c r="G160" s="182">
        <v>15</v>
      </c>
      <c r="H160" s="183">
        <v>25</v>
      </c>
      <c r="I160" s="184">
        <v>0</v>
      </c>
      <c r="J160" s="184">
        <v>0.03</v>
      </c>
      <c r="K160" s="419">
        <f>IF(E160="No.",1,IF(E160="Ac.",1,(SQRT(VLOOKUP(O160,Lookup!$F$9:$H$18,3,FALSE)))*208/VLOOKUP(O160,Lookup!$F$9:$H$18,3,FALSE)))</f>
        <v>1</v>
      </c>
      <c r="L160" s="185" t="str">
        <f t="shared" si="20"/>
        <v/>
      </c>
      <c r="M160" s="184">
        <v>0</v>
      </c>
      <c r="N160" s="186">
        <f>IF(G160=1,H160,PMT(Lookup!$G$4,G160,-H160)+(H160*J160)+(M160*P160))*K160</f>
        <v>3.1789503066219402</v>
      </c>
      <c r="O160" s="187" t="s">
        <v>2214</v>
      </c>
      <c r="P160" s="186">
        <f>VLOOKUP($O160,Lookup!$F$9:$I$18,4,FALSE)</f>
        <v>5</v>
      </c>
      <c r="Q160" s="184">
        <v>0.1</v>
      </c>
      <c r="R160" s="183">
        <v>1</v>
      </c>
      <c r="S160" s="188" t="s">
        <v>3643</v>
      </c>
      <c r="T160" s="186">
        <f t="shared" si="22"/>
        <v>1.5</v>
      </c>
      <c r="U160" s="189">
        <f t="shared" si="23"/>
        <v>0.47185386851609851</v>
      </c>
      <c r="V160" s="189">
        <f t="shared" si="21"/>
        <v>0</v>
      </c>
      <c r="W160" s="190">
        <f>IF(P160=0,0,IF(Q160+R160=0,0,PV(Lookup!$G$4,G160,-T160)/H160))</f>
        <v>0.61755071559538144</v>
      </c>
      <c r="X160" s="190">
        <f>IF(I160=0,0,PMT(Lookup!$G$4,G160,-(H160*I160*K160))/P160)</f>
        <v>0</v>
      </c>
      <c r="Y160" s="42" t="s">
        <v>963</v>
      </c>
      <c r="Z160" s="192">
        <f>VLOOKUP(Y160,Lookup!$B$4:$C$14,2,FALSE)</f>
        <v>2</v>
      </c>
      <c r="AA160" s="281" t="s">
        <v>227</v>
      </c>
      <c r="AB160" s="282" t="s">
        <v>1072</v>
      </c>
      <c r="AC160" s="181" t="str">
        <f>VLOOKUP(AD160,Lookup!$C$4:$D$14,2,FALSE)</f>
        <v>Moderate to Substantial Worsening</v>
      </c>
      <c r="AD160" s="193">
        <f>IF(P160/H160&lt;Lookup!$F$33,-5,IF(P160/H160&lt;Lookup!$F$32,-4,IF(P160/H160&lt;Lookup!$F$31,-3,IF(P160/H160&lt;Lookup!$F$30,-2,IF(P160/H160&lt;Lookup!$F$29,-1,-5)))))</f>
        <v>-4</v>
      </c>
      <c r="AE160" s="194" t="str">
        <f>VLOOKUP(AD160,Lookup!$G$28:$J$33,2,FALSE)</f>
        <v>One-time practice implementation cost 2 to 5 times enterprise annual net income</v>
      </c>
      <c r="AF160" s="281" t="s">
        <v>1842</v>
      </c>
      <c r="AG160" s="181" t="str">
        <f>VLOOKUP(AH160,Lookup!$C$4:$D$14,2,FALSE)</f>
        <v>Moderate Worsening</v>
      </c>
      <c r="AH160" s="193">
        <f>IF(J160&gt;Lookup!$F$43,-5,IF(J160&gt;Lookup!$F$42,-4,IF(J160&gt;Lookup!$F$41,-3,IF(J160&gt;Lookup!$F$40,-2,IF(J160&gt;Lookup!$F$39,-1,0)))))</f>
        <v>-3</v>
      </c>
      <c r="AI160" s="194" t="str">
        <f>VLOOKUP(AH160,Lookup!$G$38:$J$43,2,FALSE)</f>
        <v>Annual O&amp;M costs 2 to 3% of total installation costs</v>
      </c>
      <c r="AJ160" s="281" t="s">
        <v>2998</v>
      </c>
      <c r="AK160" s="181" t="str">
        <f>VLOOKUP(AL160,Lookup!$C$4:$D$14,2,FALSE)</f>
        <v>Slight to Moderate Worsening</v>
      </c>
      <c r="AL160" s="346">
        <f>IF(N160=0,0,IF(U160&lt;Lookup!$F$58,-5,IF(U160&lt;Lookup!$F$57,-4,IF(U160&lt;Lookup!$F$56,-3,IF(U160&lt;Lookup!$F$55,-2,IF(U160&lt;Lookup!$F$54,-1,IF(U160&lt;Lookup!$F$53,0,IF(U160&lt;Lookup!$F$52,1,IF(U160&lt;Lookup!$F$51,2,IF(U160&lt;Lookup!$F$50,3,IF(U160&lt;Lookup!$F$49,4,5)))))))))))</f>
        <v>-2</v>
      </c>
      <c r="AM160" s="194" t="str">
        <f>VLOOKUP(AL160,Lookup!$G$48:$J$58,2,FALSE)</f>
        <v>B/C Ratio .25 to .50</v>
      </c>
      <c r="AN160" s="281" t="s">
        <v>3077</v>
      </c>
      <c r="AO160" s="181" t="str">
        <f>VLOOKUP(AP160,Lookup!$C$4:$D$14,2,FALSE)</f>
        <v>Slight to Moderate Improvement</v>
      </c>
      <c r="AP160" s="193">
        <f>IF(Q160=0,0,IF(Q160&gt;Lookup!$F$63,5,IF(Q160&gt;Lookup!$F$64,4,IF(Q160&gt;Lookup!$F$65,3,IF(Q160&gt;Lookup!$F$66,2,IF(Q160&gt;Lookup!$F$67,1,IF(Q160&gt;Lookup!$F$69,-1,IF(Q160&gt;Lookup!$F$70,-2,IF(Q160&gt;Lookup!$F$71,-3,IF(Q160&gt;Lookup!$F$72,-4,-5))))))))))</f>
        <v>2</v>
      </c>
      <c r="AQ160" s="194" t="str">
        <f>VLOOKUP(AP160,Lookup!$G$63:$J$73,2,FALSE)</f>
        <v>5 to 10% yield increase</v>
      </c>
      <c r="AR160" s="281" t="s">
        <v>3143</v>
      </c>
      <c r="AS160" s="181" t="str">
        <f>VLOOKUP(AT160,Lookup!$C$4:$D$14,2,FALSE)</f>
        <v>No Effect</v>
      </c>
      <c r="AT160" s="193">
        <f>IF(V160=0,0,IF(V160&lt;Lookup!$F$79,5,IF(V160&lt;Lookup!$F$80,4,IF(V160&lt;Lookup!$F$81,3,IF(V160&lt;Lookup!$F$82,2,IF(V160&lt;Lookup!$F$83,1,IF(V160&lt;Lookup!$F$85,-1,IF(V160&lt;Lookup!$F$86,-2,IF(V160&lt;Lookup!$F$87,-3,IF(V160&lt;Lookup!$F$88,-4,-5))))))))))</f>
        <v>0</v>
      </c>
      <c r="AU160" s="194" t="str">
        <f>VLOOKUP(AT160,Lookup!$G$79:$J$89,2,FALSE)</f>
        <v>No breakeven</v>
      </c>
      <c r="AV160" s="345" t="str">
        <f>VLOOKUP(AT160,Lookup!$G$79:$J$89,4,FALSE)</f>
        <v>Annual costs greater than annual benefits</v>
      </c>
      <c r="AW160" s="181" t="str">
        <f>VLOOKUP(AX160,Lookup!$C$4:$D$14,2,FALSE)</f>
        <v>No Effect</v>
      </c>
      <c r="AX160" s="193">
        <f>VLOOKUP(AY160,Lookup!$G$92:$J$97,4,FALSE)</f>
        <v>0</v>
      </c>
      <c r="AY160" s="181" t="s">
        <v>2642</v>
      </c>
      <c r="AZ160" s="281" t="s">
        <v>3181</v>
      </c>
      <c r="BA160" s="181" t="str">
        <f>VLOOKUP(BB160,Lookup!$C$4:$D$14,2,FALSE)</f>
        <v>Slight to Moderate Improvement</v>
      </c>
      <c r="BB160" s="193">
        <f>VLOOKUP(BC160,Lookup!$G$100:$K$110,5,FALSE)</f>
        <v>2</v>
      </c>
      <c r="BC160" s="181" t="s">
        <v>2666</v>
      </c>
      <c r="BD160" s="281" t="s">
        <v>3221</v>
      </c>
      <c r="BE160" s="181" t="str">
        <f>VLOOKUP(BF160,Lookup!$C$4:$D$14,2,FALSE)</f>
        <v>No Effect</v>
      </c>
      <c r="BF160" s="193">
        <f>IF(X160=0,0,IF(X160&gt;Lookup!$F$113,-5,IF(X160&gt;Lookup!$F$114,-4,IF(X160&gt;Lookup!$F$115,-3,IF(X160&gt;Lookup!$F$116,-2,IF(X160&gt;Lookup!$F$117,-1,0))))))</f>
        <v>0</v>
      </c>
      <c r="BG160" s="195" t="str">
        <f>VLOOKUP(BF160,Lookup!$G$113:$H$118,2,FALSE)</f>
        <v>No change in on-farm equipment</v>
      </c>
      <c r="BH160" s="281" t="s">
        <v>1841</v>
      </c>
      <c r="BI160" s="181" t="str">
        <f>VLOOKUP(BJ160,Lookup!$C$4:$D$14,2,FALSE)</f>
        <v>Slight Worsening</v>
      </c>
      <c r="BJ160" s="193">
        <f>VLOOKUP(BK160,Lookup!$G$121:$L$131,6,FALSE)</f>
        <v>-1</v>
      </c>
      <c r="BK160" s="181" t="s">
        <v>2640</v>
      </c>
      <c r="BL160" s="281" t="s">
        <v>3355</v>
      </c>
      <c r="BM160" s="181" t="str">
        <f>VLOOKUP(BN160,Lookup!$C$4:$D$14,2,FALSE)</f>
        <v>Slight Worsening</v>
      </c>
      <c r="BN160" s="193">
        <f>VLOOKUP(BO160,Lookup!$G$134:$L$144,6,FALSE)</f>
        <v>-1</v>
      </c>
      <c r="BO160" s="181" t="s">
        <v>3373</v>
      </c>
      <c r="BP160" s="281" t="s">
        <v>3423</v>
      </c>
      <c r="BQ160" s="181" t="str">
        <f>VLOOKUP(BR160,Lookup!$C$4:$D$14,2,FALSE)</f>
        <v>Slight to Moderate Improvement</v>
      </c>
      <c r="BR160" s="193">
        <f>VLOOKUP(BS160,Lookup!$G$147:$L$157,6,FALSE)</f>
        <v>2</v>
      </c>
      <c r="BS160" s="181" t="s">
        <v>2641</v>
      </c>
      <c r="BT160" s="281" t="s">
        <v>3494</v>
      </c>
      <c r="BU160" s="175" t="s">
        <v>2231</v>
      </c>
    </row>
    <row r="161" spans="1:73" ht="39.950000000000003" customHeight="1" thickBot="1" x14ac:dyDescent="0.25">
      <c r="A161" s="173">
        <f t="shared" si="19"/>
        <v>158</v>
      </c>
      <c r="B161" s="178" t="s">
        <v>307</v>
      </c>
      <c r="C161" s="179" t="s">
        <v>1604</v>
      </c>
      <c r="D161" s="180">
        <v>355</v>
      </c>
      <c r="E161" s="180" t="s">
        <v>3647</v>
      </c>
      <c r="F161" s="273" t="str">
        <f>VLOOKUP($D161,'Practice Descriptions'!$E$11:$F$186,2,FALSE)</f>
        <v xml:space="preserve">Testing the physical, biological, and chemical quality of groundwater from a water well or spring. </v>
      </c>
      <c r="G161" s="182">
        <v>1</v>
      </c>
      <c r="H161" s="183">
        <v>200</v>
      </c>
      <c r="I161" s="184">
        <v>1</v>
      </c>
      <c r="J161" s="184">
        <v>0</v>
      </c>
      <c r="K161" s="419">
        <f>IF(E161="No.",1,IF(E161="Ac.",1,(SQRT(VLOOKUP(O161,Lookup!$F$9:$H$18,3,FALSE)))*208/VLOOKUP(O161,Lookup!$F$9:$H$18,3,FALSE)))</f>
        <v>1</v>
      </c>
      <c r="L161" s="185" t="str">
        <f t="shared" si="20"/>
        <v/>
      </c>
      <c r="M161" s="184">
        <v>0</v>
      </c>
      <c r="N161" s="186">
        <f>IF(G161=1,H161,PMT(Lookup!$G$4,G161,-H161)+(H161*J161)+(M161*P161))*K161</f>
        <v>200</v>
      </c>
      <c r="O161" s="187" t="s">
        <v>2225</v>
      </c>
      <c r="P161" s="186">
        <f>VLOOKUP($O161,Lookup!$F$9:$I$18,4,FALSE)</f>
        <v>100</v>
      </c>
      <c r="Q161" s="184">
        <v>0</v>
      </c>
      <c r="R161" s="183">
        <v>0</v>
      </c>
      <c r="S161" s="188"/>
      <c r="T161" s="186">
        <f t="shared" si="22"/>
        <v>0</v>
      </c>
      <c r="U161" s="189">
        <f t="shared" si="23"/>
        <v>0</v>
      </c>
      <c r="V161" s="189">
        <f t="shared" si="21"/>
        <v>0</v>
      </c>
      <c r="W161" s="190">
        <f>IF(P161=0,0,IF(Q161+R161=0,0,PV(Lookup!$G$4,G161,-T161)/H161))</f>
        <v>0</v>
      </c>
      <c r="X161" s="190">
        <f>IF(I161=0,0,PMT(Lookup!$G$4,G161,-(H161*I161*K161))/P161)</f>
        <v>2.1025000000000005</v>
      </c>
      <c r="Y161" s="42" t="s">
        <v>986</v>
      </c>
      <c r="Z161" s="192">
        <f>VLOOKUP(Y161,Lookup!$B$4:$C$14,2,FALSE)</f>
        <v>0</v>
      </c>
      <c r="AA161" s="281" t="s">
        <v>2759</v>
      </c>
      <c r="AB161" s="282" t="s">
        <v>1072</v>
      </c>
      <c r="AC161" s="181" t="str">
        <f>VLOOKUP(AD161,Lookup!$C$4:$D$14,2,FALSE)</f>
        <v>Moderate Worsening</v>
      </c>
      <c r="AD161" s="193">
        <f>IF(P161/H161&lt;Lookup!$F$33,-5,IF(P161/H161&lt;Lookup!$F$32,-4,IF(P161/H161&lt;Lookup!$F$31,-3,IF(P161/H161&lt;Lookup!$F$30,-2,IF(P161/H161&lt;Lookup!$F$29,-1,-5)))))</f>
        <v>-3</v>
      </c>
      <c r="AE161" s="194" t="str">
        <f>VLOOKUP(AD161,Lookup!$G$28:$J$33,2,FALSE)</f>
        <v>One-time practice implementation cost 1 to 2 times enterprise annual net income</v>
      </c>
      <c r="AF161" s="281" t="s">
        <v>1850</v>
      </c>
      <c r="AG161" s="181" t="str">
        <f>VLOOKUP(AH161,Lookup!$C$4:$D$14,2,FALSE)</f>
        <v>No Effect</v>
      </c>
      <c r="AH161" s="193">
        <f>IF(J161&gt;Lookup!$F$43,-5,IF(J161&gt;Lookup!$F$42,-4,IF(J161&gt;Lookup!$F$41,-3,IF(J161&gt;Lookup!$F$40,-2,IF(J161&gt;Lookup!$F$39,-1,0)))))</f>
        <v>0</v>
      </c>
      <c r="AI161" s="194" t="str">
        <f>VLOOKUP(AH161,Lookup!$G$38:$J$43,2,FALSE)</f>
        <v>No O&amp;M costs</v>
      </c>
      <c r="AJ161" s="281" t="s">
        <v>3005</v>
      </c>
      <c r="AK161" s="181" t="str">
        <f>VLOOKUP(AL161,Lookup!$C$4:$D$14,2,FALSE)</f>
        <v>Substantial Worsening</v>
      </c>
      <c r="AL161" s="346">
        <f>IF(N161=0,0,IF(U161&lt;Lookup!$F$58,-5,IF(U161&lt;Lookup!$F$57,-4,IF(U161&lt;Lookup!$F$56,-3,IF(U161&lt;Lookup!$F$55,-2,IF(U161&lt;Lookup!$F$54,-1,IF(U161&lt;Lookup!$F$53,0,IF(U161&lt;Lookup!$F$52,1,IF(U161&lt;Lookup!$F$51,2,IF(U161&lt;Lookup!$F$50,3,IF(U161&lt;Lookup!$F$49,4,5)))))))))))</f>
        <v>-5</v>
      </c>
      <c r="AM161" s="194" t="str">
        <f>VLOOKUP(AL161,Lookup!$G$48:$J$58,2,FALSE)</f>
        <v>B/C Ratio less than .02</v>
      </c>
      <c r="AN161" s="281" t="s">
        <v>3029</v>
      </c>
      <c r="AO161" s="181" t="str">
        <f>VLOOKUP(AP161,Lookup!$C$4:$D$14,2,FALSE)</f>
        <v>No Effect</v>
      </c>
      <c r="AP161" s="193">
        <f>IF(Q161=0,0,IF(Q161&gt;Lookup!$F$63,5,IF(Q161&gt;Lookup!$F$64,4,IF(Q161&gt;Lookup!$F$65,3,IF(Q161&gt;Lookup!$F$66,2,IF(Q161&gt;Lookup!$F$67,1,IF(Q161&gt;Lookup!$F$69,-1,IF(Q161&gt;Lookup!$F$70,-2,IF(Q161&gt;Lookup!$F$71,-3,IF(Q161&gt;Lookup!$F$72,-4,-5))))))))))</f>
        <v>0</v>
      </c>
      <c r="AQ161" s="194" t="str">
        <f>VLOOKUP(AP161,Lookup!$G$63:$J$73,2,FALSE)</f>
        <v>No change in yield</v>
      </c>
      <c r="AR161" s="281" t="s">
        <v>3081</v>
      </c>
      <c r="AS161" s="181" t="str">
        <f>VLOOKUP(AT161,Lookup!$C$4:$D$14,2,FALSE)</f>
        <v>No Effect</v>
      </c>
      <c r="AT161" s="193">
        <f>IF(V161=0,0,IF(V161&lt;Lookup!$F$79,5,IF(V161&lt;Lookup!$F$80,4,IF(V161&lt;Lookup!$F$81,3,IF(V161&lt;Lookup!$F$82,2,IF(V161&lt;Lookup!$F$83,1,IF(V161&lt;Lookup!$F$85,-1,IF(V161&lt;Lookup!$F$86,-2,IF(V161&lt;Lookup!$F$87,-3,IF(V161&lt;Lookup!$F$88,-4,-5))))))))))</f>
        <v>0</v>
      </c>
      <c r="AU161" s="194" t="str">
        <f>VLOOKUP(AT161,Lookup!$G$79:$J$89,2,FALSE)</f>
        <v>No breakeven</v>
      </c>
      <c r="AV161" s="345" t="str">
        <f>VLOOKUP(AT161,Lookup!$G$79:$J$89,4,FALSE)</f>
        <v>Annual costs greater than annual benefits</v>
      </c>
      <c r="AW161" s="181" t="str">
        <f>VLOOKUP(AX161,Lookup!$C$4:$D$14,2,FALSE)</f>
        <v>No Effect</v>
      </c>
      <c r="AX161" s="193">
        <f>VLOOKUP(AY161,Lookup!$G$92:$J$97,4,FALSE)</f>
        <v>0</v>
      </c>
      <c r="AY161" s="181" t="s">
        <v>2642</v>
      </c>
      <c r="AZ161" s="281" t="s">
        <v>3154</v>
      </c>
      <c r="BA161" s="181" t="str">
        <f>VLOOKUP(BB161,Lookup!$C$4:$D$14,2,FALSE)</f>
        <v>No Effect</v>
      </c>
      <c r="BB161" s="193">
        <f>VLOOKUP(BC161,Lookup!$G$100:$K$110,5,FALSE)</f>
        <v>0</v>
      </c>
      <c r="BC161" s="181" t="s">
        <v>2643</v>
      </c>
      <c r="BD161" s="281" t="s">
        <v>3154</v>
      </c>
      <c r="BE161" s="181" t="str">
        <f>VLOOKUP(BF161,Lookup!$C$4:$D$14,2,FALSE)</f>
        <v>Substantial Worsening</v>
      </c>
      <c r="BF161" s="193">
        <f>IF(X161=0,0,IF(X161&gt;Lookup!$F$113,-5,IF(X161&gt;Lookup!$F$114,-4,IF(X161&gt;Lookup!$F$115,-3,IF(X161&gt;Lookup!$F$116,-2,IF(X161&gt;Lookup!$F$117,-1,0))))))</f>
        <v>-5</v>
      </c>
      <c r="BG161" s="195" t="str">
        <f>VLOOKUP(BF161,Lookup!$G$113:$H$118,2,FALSE)</f>
        <v>Annual on-farm equipment costs 75% or greater of enterprise annual net income</v>
      </c>
      <c r="BH161" s="281" t="s">
        <v>1853</v>
      </c>
      <c r="BI161" s="181" t="str">
        <f>VLOOKUP(BJ161,Lookup!$C$4:$D$14,2,FALSE)</f>
        <v>Slight Worsening</v>
      </c>
      <c r="BJ161" s="193">
        <f>VLOOKUP(BK161,Lookup!$G$121:$L$131,6,FALSE)</f>
        <v>-1</v>
      </c>
      <c r="BK161" s="181" t="s">
        <v>2640</v>
      </c>
      <c r="BL161" s="281" t="s">
        <v>3356</v>
      </c>
      <c r="BM161" s="181" t="str">
        <f>VLOOKUP(BN161,Lookup!$C$4:$D$14,2,FALSE)</f>
        <v>Slight to Moderate Worsening</v>
      </c>
      <c r="BN161" s="193">
        <f>VLOOKUP(BO161,Lookup!$G$134:$L$144,6,FALSE)</f>
        <v>-2</v>
      </c>
      <c r="BO161" s="181" t="s">
        <v>3374</v>
      </c>
      <c r="BP161" s="281" t="s">
        <v>3424</v>
      </c>
      <c r="BQ161" s="181" t="str">
        <f>VLOOKUP(BR161,Lookup!$C$4:$D$14,2,FALSE)</f>
        <v>No Effect</v>
      </c>
      <c r="BR161" s="193">
        <f>VLOOKUP(BS161,Lookup!$G$147:$L$157,6,FALSE)</f>
        <v>0</v>
      </c>
      <c r="BS161" s="181" t="s">
        <v>2676</v>
      </c>
      <c r="BT161" s="281" t="s">
        <v>3154</v>
      </c>
      <c r="BU161" s="175" t="s">
        <v>2231</v>
      </c>
    </row>
    <row r="162" spans="1:73" ht="39.950000000000003" customHeight="1" thickBot="1" x14ac:dyDescent="0.25">
      <c r="A162" s="173">
        <f t="shared" si="19"/>
        <v>159</v>
      </c>
      <c r="B162" s="178" t="s">
        <v>308</v>
      </c>
      <c r="C162" s="179" t="s">
        <v>1462</v>
      </c>
      <c r="D162" s="180">
        <v>658</v>
      </c>
      <c r="E162" s="180" t="s">
        <v>3646</v>
      </c>
      <c r="F162" s="273" t="str">
        <f>VLOOKUP($D162,'Practice Descriptions'!$E$11:$F$186,2,FALSE)</f>
        <v>The creation of a wetland on a site location that was historically non-wetland.</v>
      </c>
      <c r="G162" s="182">
        <v>15</v>
      </c>
      <c r="H162" s="183">
        <v>1000</v>
      </c>
      <c r="I162" s="184">
        <v>0</v>
      </c>
      <c r="J162" s="184">
        <v>0.01</v>
      </c>
      <c r="K162" s="419">
        <f>IF(E162="No.",1,IF(E162="Ac.",1,(SQRT(VLOOKUP(O162,Lookup!$F$9:$H$18,3,FALSE)))*208/VLOOKUP(O162,Lookup!$F$9:$H$18,3,FALSE)))</f>
        <v>1</v>
      </c>
      <c r="L162" s="185" t="str">
        <f t="shared" si="20"/>
        <v/>
      </c>
      <c r="M162" s="184">
        <v>1</v>
      </c>
      <c r="N162" s="186">
        <f>IF(G162=1,H162,PMT(Lookup!$G$4,G162,-H162)+(H162*J162)+(M162*P162))*K162</f>
        <v>157.15801226487758</v>
      </c>
      <c r="O162" s="181" t="s">
        <v>1260</v>
      </c>
      <c r="P162" s="186">
        <f>VLOOKUP($O162,Lookup!$F$9:$I$18,4,FALSE)</f>
        <v>50</v>
      </c>
      <c r="Q162" s="184">
        <v>0</v>
      </c>
      <c r="R162" s="183">
        <v>2</v>
      </c>
      <c r="S162" s="188" t="s">
        <v>3645</v>
      </c>
      <c r="T162" s="186">
        <f t="shared" si="22"/>
        <v>2</v>
      </c>
      <c r="U162" s="189">
        <f t="shared" si="23"/>
        <v>1.2726045406002947E-2</v>
      </c>
      <c r="V162" s="189">
        <f t="shared" si="21"/>
        <v>0</v>
      </c>
      <c r="W162" s="190">
        <f>IF(P162=0,0,IF(Q162+R162=0,0,PV(Lookup!$G$4,G162,-T162)/H162))</f>
        <v>2.0585023853179382E-2</v>
      </c>
      <c r="X162" s="190">
        <f>IF(I162=0,0,PMT(Lookup!$G$4,G162,-(H162*I162*K162))/P162)</f>
        <v>0</v>
      </c>
      <c r="Y162" s="42" t="s">
        <v>963</v>
      </c>
      <c r="Z162" s="192">
        <f>VLOOKUP(Y162,Lookup!$B$4:$C$14,2,FALSE)</f>
        <v>2</v>
      </c>
      <c r="AA162" s="281" t="s">
        <v>227</v>
      </c>
      <c r="AB162" s="282" t="s">
        <v>1072</v>
      </c>
      <c r="AC162" s="181" t="str">
        <f>VLOOKUP(AD162,Lookup!$C$4:$D$14,2,FALSE)</f>
        <v>Substantial Worsening</v>
      </c>
      <c r="AD162" s="193">
        <f>IF(P162/H162&lt;Lookup!$F$33,-5,IF(P162/H162&lt;Lookup!$F$32,-4,IF(P162/H162&lt;Lookup!$F$31,-3,IF(P162/H162&lt;Lookup!$F$30,-2,IF(P162/H162&lt;Lookup!$F$29,-1,-5)))))</f>
        <v>-5</v>
      </c>
      <c r="AE162" s="194" t="str">
        <f>VLOOKUP(AD162,Lookup!$G$28:$J$33,2,FALSE)</f>
        <v>One-time practice implementation cost 5 times or greater enterprise annual net income</v>
      </c>
      <c r="AF162" s="281" t="s">
        <v>2973</v>
      </c>
      <c r="AG162" s="181" t="str">
        <f>VLOOKUP(AH162,Lookup!$C$4:$D$14,2,FALSE)</f>
        <v>Slight Worsening</v>
      </c>
      <c r="AH162" s="193">
        <f>IF(J162&gt;Lookup!$F$43,-5,IF(J162&gt;Lookup!$F$42,-4,IF(J162&gt;Lookup!$F$41,-3,IF(J162&gt;Lookup!$F$40,-2,IF(J162&gt;Lookup!$F$39,-1,0)))))</f>
        <v>-1</v>
      </c>
      <c r="AI162" s="194" t="str">
        <f>VLOOKUP(AH162,Lookup!$G$38:$J$43,2,FALSE)</f>
        <v>Annual O&amp;M costs less than 1% of total installation costs</v>
      </c>
      <c r="AJ162" s="281" t="s">
        <v>3001</v>
      </c>
      <c r="AK162" s="181" t="str">
        <f>VLOOKUP(AL162,Lookup!$C$4:$D$14,2,FALSE)</f>
        <v>Substantial Worsening</v>
      </c>
      <c r="AL162" s="346">
        <f>IF(N162=0,0,IF(U162&lt;Lookup!$F$58,-5,IF(U162&lt;Lookup!$F$57,-4,IF(U162&lt;Lookup!$F$56,-3,IF(U162&lt;Lookup!$F$55,-2,IF(U162&lt;Lookup!$F$54,-1,IF(U162&lt;Lookup!$F$53,0,IF(U162&lt;Lookup!$F$52,1,IF(U162&lt;Lookup!$F$51,2,IF(U162&lt;Lookup!$F$50,3,IF(U162&lt;Lookup!$F$49,4,5)))))))))))</f>
        <v>-5</v>
      </c>
      <c r="AM162" s="194" t="str">
        <f>VLOOKUP(AL162,Lookup!$G$48:$J$58,2,FALSE)</f>
        <v>B/C Ratio less than .02</v>
      </c>
      <c r="AN162" s="281" t="s">
        <v>3029</v>
      </c>
      <c r="AO162" s="181" t="str">
        <f>VLOOKUP(AP162,Lookup!$C$4:$D$14,2,FALSE)</f>
        <v>No Effect</v>
      </c>
      <c r="AP162" s="193">
        <f>IF(Q162=0,0,IF(Q162&gt;Lookup!$F$63,5,IF(Q162&gt;Lookup!$F$64,4,IF(Q162&gt;Lookup!$F$65,3,IF(Q162&gt;Lookup!$F$66,2,IF(Q162&gt;Lookup!$F$67,1,IF(Q162&gt;Lookup!$F$69,-1,IF(Q162&gt;Lookup!$F$70,-2,IF(Q162&gt;Lookup!$F$71,-3,IF(Q162&gt;Lookup!$F$72,-4,-5))))))))))</f>
        <v>0</v>
      </c>
      <c r="AQ162" s="194" t="str">
        <f>VLOOKUP(AP162,Lookup!$G$63:$J$73,2,FALSE)</f>
        <v>No change in yield</v>
      </c>
      <c r="AR162" s="281" t="s">
        <v>3081</v>
      </c>
      <c r="AS162" s="181" t="str">
        <f>VLOOKUP(AT162,Lookup!$C$4:$D$14,2,FALSE)</f>
        <v>No Effect</v>
      </c>
      <c r="AT162" s="193">
        <f>IF(V162=0,0,IF(V162&lt;Lookup!$F$79,5,IF(V162&lt;Lookup!$F$80,4,IF(V162&lt;Lookup!$F$81,3,IF(V162&lt;Lookup!$F$82,2,IF(V162&lt;Lookup!$F$83,1,IF(V162&lt;Lookup!$F$85,-1,IF(V162&lt;Lookup!$F$86,-2,IF(V162&lt;Lookup!$F$87,-3,IF(V162&lt;Lookup!$F$88,-4,-5))))))))))</f>
        <v>0</v>
      </c>
      <c r="AU162" s="194" t="str">
        <f>VLOOKUP(AT162,Lookup!$G$79:$J$89,2,FALSE)</f>
        <v>No breakeven</v>
      </c>
      <c r="AV162" s="345" t="str">
        <f>VLOOKUP(AT162,Lookup!$G$79:$J$89,4,FALSE)</f>
        <v>Annual costs greater than annual benefits</v>
      </c>
      <c r="AW162" s="181" t="str">
        <f>VLOOKUP(AX162,Lookup!$C$4:$D$14,2,FALSE)</f>
        <v>Substantial Improvement</v>
      </c>
      <c r="AX162" s="193">
        <f>VLOOKUP(AY162,Lookup!$G$92:$J$97,4,FALSE)</f>
        <v>5</v>
      </c>
      <c r="AY162" s="181" t="s">
        <v>2657</v>
      </c>
      <c r="AZ162" s="281" t="s">
        <v>3182</v>
      </c>
      <c r="BA162" s="181" t="str">
        <f>VLOOKUP(BB162,Lookup!$C$4:$D$14,2,FALSE)</f>
        <v>Substantial Worsening</v>
      </c>
      <c r="BB162" s="193">
        <f>VLOOKUP(BC162,Lookup!$G$100:$K$110,5,FALSE)</f>
        <v>-5</v>
      </c>
      <c r="BC162" s="181" t="s">
        <v>2669</v>
      </c>
      <c r="BD162" s="281" t="s">
        <v>3222</v>
      </c>
      <c r="BE162" s="181" t="str">
        <f>VLOOKUP(BF162,Lookup!$C$4:$D$14,2,FALSE)</f>
        <v>No Effect</v>
      </c>
      <c r="BF162" s="193">
        <f>IF(X162=0,0,IF(X162&gt;Lookup!$F$113,-5,IF(X162&gt;Lookup!$F$114,-4,IF(X162&gt;Lookup!$F$115,-3,IF(X162&gt;Lookup!$F$116,-2,IF(X162&gt;Lookup!$F$117,-1,0))))))</f>
        <v>0</v>
      </c>
      <c r="BG162" s="195" t="str">
        <f>VLOOKUP(BF162,Lookup!$G$113:$H$118,2,FALSE)</f>
        <v>No change in on-farm equipment</v>
      </c>
      <c r="BH162" s="281" t="s">
        <v>1841</v>
      </c>
      <c r="BI162" s="181" t="str">
        <f>VLOOKUP(BJ162,Lookup!$C$4:$D$14,2,FALSE)</f>
        <v>Slight to Moderate Improvement</v>
      </c>
      <c r="BJ162" s="193">
        <f>VLOOKUP(BK162,Lookup!$G$121:$L$131,6,FALSE)</f>
        <v>2</v>
      </c>
      <c r="BK162" s="181" t="s">
        <v>2633</v>
      </c>
      <c r="BL162" s="281" t="s">
        <v>3357</v>
      </c>
      <c r="BM162" s="181" t="str">
        <f>VLOOKUP(BN162,Lookup!$C$4:$D$14,2,FALSE)</f>
        <v>Slight to Moderate Worsening</v>
      </c>
      <c r="BN162" s="193">
        <f>VLOOKUP(BO162,Lookup!$G$134:$L$144,6,FALSE)</f>
        <v>-2</v>
      </c>
      <c r="BO162" s="181" t="s">
        <v>3374</v>
      </c>
      <c r="BP162" s="281" t="s">
        <v>3425</v>
      </c>
      <c r="BQ162" s="181" t="str">
        <f>VLOOKUP(BR162,Lookup!$C$4:$D$14,2,FALSE)</f>
        <v>Slight Worsening</v>
      </c>
      <c r="BR162" s="193">
        <f>VLOOKUP(BS162,Lookup!$G$147:$L$157,6,FALSE)</f>
        <v>-1</v>
      </c>
      <c r="BS162" s="181" t="s">
        <v>2658</v>
      </c>
      <c r="BT162" s="281" t="s">
        <v>3556</v>
      </c>
      <c r="BU162" s="175" t="s">
        <v>2231</v>
      </c>
    </row>
    <row r="163" spans="1:73" ht="39.950000000000003" customHeight="1" thickBot="1" x14ac:dyDescent="0.25">
      <c r="A163" s="173">
        <f t="shared" si="19"/>
        <v>160</v>
      </c>
      <c r="B163" s="178" t="s">
        <v>309</v>
      </c>
      <c r="C163" s="179" t="s">
        <v>1462</v>
      </c>
      <c r="D163" s="180">
        <v>659</v>
      </c>
      <c r="E163" s="180" t="s">
        <v>3646</v>
      </c>
      <c r="F163" s="273" t="str">
        <f>VLOOKUP($D163,'Practice Descriptions'!$E$11:$F$186,2,FALSE)</f>
        <v>The augmentation of wetland functions beyond the original natural conditions on a former, degraded, or naturally functioning wetland site; sometimes at the expense of other functions.</v>
      </c>
      <c r="G163" s="182">
        <v>15</v>
      </c>
      <c r="H163" s="183">
        <v>400</v>
      </c>
      <c r="I163" s="184">
        <v>0</v>
      </c>
      <c r="J163" s="184">
        <v>0.01</v>
      </c>
      <c r="K163" s="419">
        <f>IF(E163="No.",1,IF(E163="Ac.",1,(SQRT(VLOOKUP(O163,Lookup!$F$9:$H$18,3,FALSE)))*208/VLOOKUP(O163,Lookup!$F$9:$H$18,3,FALSE)))</f>
        <v>1</v>
      </c>
      <c r="L163" s="185" t="str">
        <f t="shared" ref="L163:L165" si="24">IF(K163&gt;1,"Assume length 1 side of square field (208'/Ac)","")</f>
        <v/>
      </c>
      <c r="M163" s="184">
        <v>0</v>
      </c>
      <c r="N163" s="186">
        <f>IF(G163=1,H163,PMT(Lookup!$G$4,G163,-H163)+(H163*J163)+(M163*P163))*K163</f>
        <v>42.863204905951044</v>
      </c>
      <c r="O163" s="187" t="s">
        <v>1260</v>
      </c>
      <c r="P163" s="186">
        <f>VLOOKUP($O163,Lookup!$F$9:$I$18,4,FALSE)</f>
        <v>50</v>
      </c>
      <c r="Q163" s="184">
        <v>0</v>
      </c>
      <c r="R163" s="183">
        <v>0.5</v>
      </c>
      <c r="S163" s="188" t="s">
        <v>3645</v>
      </c>
      <c r="T163" s="186">
        <f t="shared" si="22"/>
        <v>0.5</v>
      </c>
      <c r="U163" s="189">
        <f t="shared" si="23"/>
        <v>1.1665016675656489E-2</v>
      </c>
      <c r="V163" s="189">
        <f t="shared" si="21"/>
        <v>0</v>
      </c>
      <c r="W163" s="190">
        <f>IF(P163=0,0,IF(Q163+R163=0,0,PV(Lookup!$G$4,G163,-T163)/H163))</f>
        <v>1.2865639908237114E-2</v>
      </c>
      <c r="X163" s="190">
        <f>IF(I163=0,0,PMT(Lookup!$G$4,G163,-(H163*I163*K163))/P163)</f>
        <v>0</v>
      </c>
      <c r="Y163" s="42" t="s">
        <v>963</v>
      </c>
      <c r="Z163" s="192">
        <f>VLOOKUP(Y163,Lookup!$B$4:$C$14,2,FALSE)</f>
        <v>2</v>
      </c>
      <c r="AA163" s="281" t="s">
        <v>227</v>
      </c>
      <c r="AB163" s="282" t="s">
        <v>1072</v>
      </c>
      <c r="AC163" s="181" t="str">
        <f>VLOOKUP(AD163,Lookup!$C$4:$D$14,2,FALSE)</f>
        <v>Substantial Worsening</v>
      </c>
      <c r="AD163" s="193">
        <f>IF(P163/H163&lt;Lookup!$F$33,-5,IF(P163/H163&lt;Lookup!$F$32,-4,IF(P163/H163&lt;Lookup!$F$31,-3,IF(P163/H163&lt;Lookup!$F$30,-2,IF(P163/H163&lt;Lookup!$F$29,-1,-5)))))</f>
        <v>-5</v>
      </c>
      <c r="AE163" s="194" t="str">
        <f>VLOOKUP(AD163,Lookup!$G$28:$J$33,2,FALSE)</f>
        <v>One-time practice implementation cost 5 times or greater enterprise annual net income</v>
      </c>
      <c r="AF163" s="281" t="s">
        <v>2973</v>
      </c>
      <c r="AG163" s="181" t="str">
        <f>VLOOKUP(AH163,Lookup!$C$4:$D$14,2,FALSE)</f>
        <v>Slight Worsening</v>
      </c>
      <c r="AH163" s="193">
        <f>IF(J163&gt;Lookup!$F$43,-5,IF(J163&gt;Lookup!$F$42,-4,IF(J163&gt;Lookup!$F$41,-3,IF(J163&gt;Lookup!$F$40,-2,IF(J163&gt;Lookup!$F$39,-1,0)))))</f>
        <v>-1</v>
      </c>
      <c r="AI163" s="194" t="str">
        <f>VLOOKUP(AH163,Lookup!$G$38:$J$43,2,FALSE)</f>
        <v>Annual O&amp;M costs less than 1% of total installation costs</v>
      </c>
      <c r="AJ163" s="281" t="s">
        <v>3001</v>
      </c>
      <c r="AK163" s="181" t="str">
        <f>VLOOKUP(AL163,Lookup!$C$4:$D$14,2,FALSE)</f>
        <v>Substantial Worsening</v>
      </c>
      <c r="AL163" s="346">
        <f>IF(N163=0,0,IF(U163&lt;Lookup!$F$58,-5,IF(U163&lt;Lookup!$F$57,-4,IF(U163&lt;Lookup!$F$56,-3,IF(U163&lt;Lookup!$F$55,-2,IF(U163&lt;Lookup!$F$54,-1,IF(U163&lt;Lookup!$F$53,0,IF(U163&lt;Lookup!$F$52,1,IF(U163&lt;Lookup!$F$51,2,IF(U163&lt;Lookup!$F$50,3,IF(U163&lt;Lookup!$F$49,4,5)))))))))))</f>
        <v>-5</v>
      </c>
      <c r="AM163" s="194" t="str">
        <f>VLOOKUP(AL163,Lookup!$G$48:$J$58,2,FALSE)</f>
        <v>B/C Ratio less than .02</v>
      </c>
      <c r="AN163" s="281" t="s">
        <v>3029</v>
      </c>
      <c r="AO163" s="181" t="str">
        <f>VLOOKUP(AP163,Lookup!$C$4:$D$14,2,FALSE)</f>
        <v>No Effect</v>
      </c>
      <c r="AP163" s="193">
        <f>IF(Q163=0,0,IF(Q163&gt;Lookup!$F$63,5,IF(Q163&gt;Lookup!$F$64,4,IF(Q163&gt;Lookup!$F$65,3,IF(Q163&gt;Lookup!$F$66,2,IF(Q163&gt;Lookup!$F$67,1,IF(Q163&gt;Lookup!$F$69,-1,IF(Q163&gt;Lookup!$F$70,-2,IF(Q163&gt;Lookup!$F$71,-3,IF(Q163&gt;Lookup!$F$72,-4,-5))))))))))</f>
        <v>0</v>
      </c>
      <c r="AQ163" s="194" t="str">
        <f>VLOOKUP(AP163,Lookup!$G$63:$J$73,2,FALSE)</f>
        <v>No change in yield</v>
      </c>
      <c r="AR163" s="281" t="s">
        <v>3081</v>
      </c>
      <c r="AS163" s="181" t="str">
        <f>VLOOKUP(AT163,Lookup!$C$4:$D$14,2,FALSE)</f>
        <v>No Effect</v>
      </c>
      <c r="AT163" s="193">
        <f>IF(V163=0,0,IF(V163&lt;Lookup!$F$79,5,IF(V163&lt;Lookup!$F$80,4,IF(V163&lt;Lookup!$F$81,3,IF(V163&lt;Lookup!$F$82,2,IF(V163&lt;Lookup!$F$83,1,IF(V163&lt;Lookup!$F$85,-1,IF(V163&lt;Lookup!$F$86,-2,IF(V163&lt;Lookup!$F$87,-3,IF(V163&lt;Lookup!$F$88,-4,-5))))))))))</f>
        <v>0</v>
      </c>
      <c r="AU163" s="194" t="str">
        <f>VLOOKUP(AT163,Lookup!$G$79:$J$89,2,FALSE)</f>
        <v>No breakeven</v>
      </c>
      <c r="AV163" s="345" t="str">
        <f>VLOOKUP(AT163,Lookup!$G$79:$J$89,4,FALSE)</f>
        <v>Annual costs greater than annual benefits</v>
      </c>
      <c r="AW163" s="181" t="str">
        <f>VLOOKUP(AX163,Lookup!$C$4:$D$14,2,FALSE)</f>
        <v>Moderate Improvement</v>
      </c>
      <c r="AX163" s="193">
        <f>VLOOKUP(AY163,Lookup!$G$92:$J$97,4,FALSE)</f>
        <v>3</v>
      </c>
      <c r="AY163" s="181" t="s">
        <v>2631</v>
      </c>
      <c r="AZ163" s="281" t="s">
        <v>3183</v>
      </c>
      <c r="BA163" s="181" t="str">
        <f>VLOOKUP(BB163,Lookup!$C$4:$D$14,2,FALSE)</f>
        <v>Moderate Worsening</v>
      </c>
      <c r="BB163" s="193">
        <f>VLOOKUP(BC163,Lookup!$G$100:$K$110,5,FALSE)</f>
        <v>-3</v>
      </c>
      <c r="BC163" s="181" t="s">
        <v>2632</v>
      </c>
      <c r="BD163" s="281" t="s">
        <v>3222</v>
      </c>
      <c r="BE163" s="181" t="str">
        <f>VLOOKUP(BF163,Lookup!$C$4:$D$14,2,FALSE)</f>
        <v>No Effect</v>
      </c>
      <c r="BF163" s="193">
        <f>IF(X163=0,0,IF(X163&gt;Lookup!$F$113,-5,IF(X163&gt;Lookup!$F$114,-4,IF(X163&gt;Lookup!$F$115,-3,IF(X163&gt;Lookup!$F$116,-2,IF(X163&gt;Lookup!$F$117,-1,0))))))</f>
        <v>0</v>
      </c>
      <c r="BG163" s="195" t="str">
        <f>VLOOKUP(BF163,Lookup!$G$113:$H$118,2,FALSE)</f>
        <v>No change in on-farm equipment</v>
      </c>
      <c r="BH163" s="281" t="s">
        <v>1841</v>
      </c>
      <c r="BI163" s="181" t="str">
        <f>VLOOKUP(BJ163,Lookup!$C$4:$D$14,2,FALSE)</f>
        <v>Slight Improvement</v>
      </c>
      <c r="BJ163" s="193">
        <f>VLOOKUP(BK163,Lookup!$G$121:$L$131,6,FALSE)</f>
        <v>1</v>
      </c>
      <c r="BK163" s="181" t="s">
        <v>2638</v>
      </c>
      <c r="BL163" s="281" t="s">
        <v>3207</v>
      </c>
      <c r="BM163" s="181" t="str">
        <f>VLOOKUP(BN163,Lookup!$C$4:$D$14,2,FALSE)</f>
        <v>Slight to Moderate Worsening</v>
      </c>
      <c r="BN163" s="193">
        <f>VLOOKUP(BO163,Lookup!$G$134:$L$144,6,FALSE)</f>
        <v>-2</v>
      </c>
      <c r="BO163" s="181" t="s">
        <v>3374</v>
      </c>
      <c r="BP163" s="281" t="s">
        <v>3425</v>
      </c>
      <c r="BQ163" s="181" t="str">
        <f>VLOOKUP(BR163,Lookup!$C$4:$D$14,2,FALSE)</f>
        <v>Slight to Moderate Improvement</v>
      </c>
      <c r="BR163" s="193">
        <f>VLOOKUP(BS163,Lookup!$G$147:$L$157,6,FALSE)</f>
        <v>2</v>
      </c>
      <c r="BS163" s="181" t="s">
        <v>2641</v>
      </c>
      <c r="BT163" s="281" t="s">
        <v>3475</v>
      </c>
      <c r="BU163" s="175" t="s">
        <v>2231</v>
      </c>
    </row>
    <row r="164" spans="1:73" ht="39.950000000000003" customHeight="1" thickBot="1" x14ac:dyDescent="0.25">
      <c r="A164" s="173">
        <f t="shared" si="19"/>
        <v>161</v>
      </c>
      <c r="B164" s="178" t="s">
        <v>310</v>
      </c>
      <c r="C164" s="179" t="s">
        <v>1462</v>
      </c>
      <c r="D164" s="180">
        <v>657</v>
      </c>
      <c r="E164" s="180" t="s">
        <v>3646</v>
      </c>
      <c r="F164" s="273" t="str">
        <f>VLOOKUP($D164,'Practice Descriptions'!$E$11:$F$186,2,FALSE)</f>
        <v xml:space="preserve">The return of a wetland and its functions to a close approximation of its original condition as it existed prior to disturbance on a former or degraded wetland site. </v>
      </c>
      <c r="G164" s="182">
        <v>15</v>
      </c>
      <c r="H164" s="183">
        <v>750</v>
      </c>
      <c r="I164" s="184">
        <v>0</v>
      </c>
      <c r="J164" s="184">
        <v>0.01</v>
      </c>
      <c r="K164" s="419">
        <f>IF(E164="No.",1,IF(E164="Ac.",1,(SQRT(VLOOKUP(O164,Lookup!$F$9:$H$18,3,FALSE)))*208/VLOOKUP(O164,Lookup!$F$9:$H$18,3,FALSE)))</f>
        <v>1</v>
      </c>
      <c r="L164" s="185" t="str">
        <f t="shared" si="24"/>
        <v/>
      </c>
      <c r="M164" s="184">
        <v>0</v>
      </c>
      <c r="N164" s="186">
        <f>IF(G164=1,H164,PMT(Lookup!$G$4,G164,-H164)+(H164*J164)+(M164*P164))*K164</f>
        <v>80.368509198658202</v>
      </c>
      <c r="O164" s="187" t="s">
        <v>1260</v>
      </c>
      <c r="P164" s="186">
        <f>VLOOKUP($O164,Lookup!$F$9:$I$18,4,FALSE)</f>
        <v>50</v>
      </c>
      <c r="Q164" s="184">
        <v>0</v>
      </c>
      <c r="R164" s="183">
        <v>1</v>
      </c>
      <c r="S164" s="188" t="s">
        <v>3645</v>
      </c>
      <c r="T164" s="186">
        <f t="shared" si="22"/>
        <v>1</v>
      </c>
      <c r="U164" s="189">
        <f t="shared" si="23"/>
        <v>1.2442684454033591E-2</v>
      </c>
      <c r="V164" s="189">
        <f t="shared" si="21"/>
        <v>0</v>
      </c>
      <c r="W164" s="190">
        <f>IF(P164=0,0,IF(Q164+R164=0,0,PV(Lookup!$G$4,G164,-T164)/H164))</f>
        <v>1.3723349235452922E-2</v>
      </c>
      <c r="X164" s="190">
        <f>IF(I164=0,0,PMT(Lookup!$G$4,G164,-(H164*I164*K164))/P164)</f>
        <v>0</v>
      </c>
      <c r="Y164" s="42" t="s">
        <v>963</v>
      </c>
      <c r="Z164" s="192">
        <f>VLOOKUP(Y164,Lookup!$B$4:$C$14,2,FALSE)</f>
        <v>2</v>
      </c>
      <c r="AA164" s="281" t="s">
        <v>227</v>
      </c>
      <c r="AB164" s="282" t="s">
        <v>1072</v>
      </c>
      <c r="AC164" s="181" t="str">
        <f>VLOOKUP(AD164,Lookup!$C$4:$D$14,2,FALSE)</f>
        <v>Substantial Worsening</v>
      </c>
      <c r="AD164" s="193">
        <f>IF(P164/H164&lt;Lookup!$F$33,-5,IF(P164/H164&lt;Lookup!$F$32,-4,IF(P164/H164&lt;Lookup!$F$31,-3,IF(P164/H164&lt;Lookup!$F$30,-2,IF(P164/H164&lt;Lookup!$F$29,-1,-5)))))</f>
        <v>-5</v>
      </c>
      <c r="AE164" s="194" t="str">
        <f>VLOOKUP(AD164,Lookup!$G$28:$J$33,2,FALSE)</f>
        <v>One-time practice implementation cost 5 times or greater enterprise annual net income</v>
      </c>
      <c r="AF164" s="281" t="s">
        <v>2973</v>
      </c>
      <c r="AG164" s="181" t="str">
        <f>VLOOKUP(AH164,Lookup!$C$4:$D$14,2,FALSE)</f>
        <v>Slight Worsening</v>
      </c>
      <c r="AH164" s="193">
        <f>IF(J164&gt;Lookup!$F$43,-5,IF(J164&gt;Lookup!$F$42,-4,IF(J164&gt;Lookup!$F$41,-3,IF(J164&gt;Lookup!$F$40,-2,IF(J164&gt;Lookup!$F$39,-1,0)))))</f>
        <v>-1</v>
      </c>
      <c r="AI164" s="194" t="str">
        <f>VLOOKUP(AH164,Lookup!$G$38:$J$43,2,FALSE)</f>
        <v>Annual O&amp;M costs less than 1% of total installation costs</v>
      </c>
      <c r="AJ164" s="281" t="s">
        <v>3001</v>
      </c>
      <c r="AK164" s="181" t="str">
        <f>VLOOKUP(AL164,Lookup!$C$4:$D$14,2,FALSE)</f>
        <v>Substantial Worsening</v>
      </c>
      <c r="AL164" s="346">
        <f>IF(N164=0,0,IF(U164&lt;Lookup!$F$58,-5,IF(U164&lt;Lookup!$F$57,-4,IF(U164&lt;Lookup!$F$56,-3,IF(U164&lt;Lookup!$F$55,-2,IF(U164&lt;Lookup!$F$54,-1,IF(U164&lt;Lookup!$F$53,0,IF(U164&lt;Lookup!$F$52,1,IF(U164&lt;Lookup!$F$51,2,IF(U164&lt;Lookup!$F$50,3,IF(U164&lt;Lookup!$F$49,4,5)))))))))))</f>
        <v>-5</v>
      </c>
      <c r="AM164" s="194" t="str">
        <f>VLOOKUP(AL164,Lookup!$G$48:$J$58,2,FALSE)</f>
        <v>B/C Ratio less than .02</v>
      </c>
      <c r="AN164" s="281" t="s">
        <v>3029</v>
      </c>
      <c r="AO164" s="181" t="str">
        <f>VLOOKUP(AP164,Lookup!$C$4:$D$14,2,FALSE)</f>
        <v>No Effect</v>
      </c>
      <c r="AP164" s="193">
        <f>IF(Q164=0,0,IF(Q164&gt;Lookup!$F$63,5,IF(Q164&gt;Lookup!$F$64,4,IF(Q164&gt;Lookup!$F$65,3,IF(Q164&gt;Lookup!$F$66,2,IF(Q164&gt;Lookup!$F$67,1,IF(Q164&gt;Lookup!$F$69,-1,IF(Q164&gt;Lookup!$F$70,-2,IF(Q164&gt;Lookup!$F$71,-3,IF(Q164&gt;Lookup!$F$72,-4,-5))))))))))</f>
        <v>0</v>
      </c>
      <c r="AQ164" s="194" t="str">
        <f>VLOOKUP(AP164,Lookup!$G$63:$J$73,2,FALSE)</f>
        <v>No change in yield</v>
      </c>
      <c r="AR164" s="281" t="s">
        <v>3081</v>
      </c>
      <c r="AS164" s="181" t="str">
        <f>VLOOKUP(AT164,Lookup!$C$4:$D$14,2,FALSE)</f>
        <v>No Effect</v>
      </c>
      <c r="AT164" s="193">
        <f>IF(V164=0,0,IF(V164&lt;Lookup!$F$79,5,IF(V164&lt;Lookup!$F$80,4,IF(V164&lt;Lookup!$F$81,3,IF(V164&lt;Lookup!$F$82,2,IF(V164&lt;Lookup!$F$83,1,IF(V164&lt;Lookup!$F$85,-1,IF(V164&lt;Lookup!$F$86,-2,IF(V164&lt;Lookup!$F$87,-3,IF(V164&lt;Lookup!$F$88,-4,-5))))))))))</f>
        <v>0</v>
      </c>
      <c r="AU164" s="194" t="str">
        <f>VLOOKUP(AT164,Lookup!$G$79:$J$89,2,FALSE)</f>
        <v>No breakeven</v>
      </c>
      <c r="AV164" s="345" t="str">
        <f>VLOOKUP(AT164,Lookup!$G$79:$J$89,4,FALSE)</f>
        <v>Annual costs greater than annual benefits</v>
      </c>
      <c r="AW164" s="181" t="str">
        <f>VLOOKUP(AX164,Lookup!$C$4:$D$14,2,FALSE)</f>
        <v>Moderate Improvement</v>
      </c>
      <c r="AX164" s="193">
        <f>VLOOKUP(AY164,Lookup!$G$92:$J$97,4,FALSE)</f>
        <v>3</v>
      </c>
      <c r="AY164" s="181" t="s">
        <v>2631</v>
      </c>
      <c r="AZ164" s="281" t="s">
        <v>3183</v>
      </c>
      <c r="BA164" s="181" t="str">
        <f>VLOOKUP(BB164,Lookup!$C$4:$D$14,2,FALSE)</f>
        <v>Moderate Worsening</v>
      </c>
      <c r="BB164" s="193">
        <f>VLOOKUP(BC164,Lookup!$G$100:$K$110,5,FALSE)</f>
        <v>-3</v>
      </c>
      <c r="BC164" s="181" t="s">
        <v>2632</v>
      </c>
      <c r="BD164" s="281" t="s">
        <v>3222</v>
      </c>
      <c r="BE164" s="181" t="str">
        <f>VLOOKUP(BF164,Lookup!$C$4:$D$14,2,FALSE)</f>
        <v>No Effect</v>
      </c>
      <c r="BF164" s="193">
        <f>IF(X164=0,0,IF(X164&gt;Lookup!$F$113,-5,IF(X164&gt;Lookup!$F$114,-4,IF(X164&gt;Lookup!$F$115,-3,IF(X164&gt;Lookup!$F$116,-2,IF(X164&gt;Lookup!$F$117,-1,0))))))</f>
        <v>0</v>
      </c>
      <c r="BG164" s="195" t="str">
        <f>VLOOKUP(BF164,Lookup!$G$113:$H$118,2,FALSE)</f>
        <v>No change in on-farm equipment</v>
      </c>
      <c r="BH164" s="281" t="s">
        <v>1841</v>
      </c>
      <c r="BI164" s="181" t="str">
        <f>VLOOKUP(BJ164,Lookup!$C$4:$D$14,2,FALSE)</f>
        <v>Slight Improvement</v>
      </c>
      <c r="BJ164" s="193">
        <f>VLOOKUP(BK164,Lookup!$G$121:$L$131,6,FALSE)</f>
        <v>1</v>
      </c>
      <c r="BK164" s="181" t="s">
        <v>2638</v>
      </c>
      <c r="BL164" s="281" t="s">
        <v>3207</v>
      </c>
      <c r="BM164" s="181" t="str">
        <f>VLOOKUP(BN164,Lookup!$C$4:$D$14,2,FALSE)</f>
        <v>Slight to Moderate Worsening</v>
      </c>
      <c r="BN164" s="193">
        <f>VLOOKUP(BO164,Lookup!$G$134:$L$144,6,FALSE)</f>
        <v>-2</v>
      </c>
      <c r="BO164" s="181" t="s">
        <v>3374</v>
      </c>
      <c r="BP164" s="281" t="s">
        <v>3425</v>
      </c>
      <c r="BQ164" s="181" t="str">
        <f>VLOOKUP(BR164,Lookup!$C$4:$D$14,2,FALSE)</f>
        <v>Slight to Moderate Improvement</v>
      </c>
      <c r="BR164" s="193">
        <f>VLOOKUP(BS164,Lookup!$G$147:$L$157,6,FALSE)</f>
        <v>2</v>
      </c>
      <c r="BS164" s="181" t="s">
        <v>2641</v>
      </c>
      <c r="BT164" s="281" t="s">
        <v>3475</v>
      </c>
      <c r="BU164" s="175" t="s">
        <v>2231</v>
      </c>
    </row>
    <row r="165" spans="1:73" ht="39.950000000000003" customHeight="1" thickBot="1" x14ac:dyDescent="0.25">
      <c r="A165" s="173">
        <f t="shared" si="19"/>
        <v>162</v>
      </c>
      <c r="B165" s="178" t="s">
        <v>1380</v>
      </c>
      <c r="C165" s="179" t="s">
        <v>1465</v>
      </c>
      <c r="D165" s="180">
        <v>644</v>
      </c>
      <c r="E165" s="180" t="s">
        <v>3646</v>
      </c>
      <c r="F165" s="273" t="str">
        <f>VLOOKUP($D165,'Practice Descriptions'!$E$11:$F$186,2,FALSE)</f>
        <v>Retaining, developing or managing wetland habitat for wetland wildlife.</v>
      </c>
      <c r="G165" s="182">
        <v>1</v>
      </c>
      <c r="H165" s="183">
        <v>10</v>
      </c>
      <c r="I165" s="184">
        <v>0</v>
      </c>
      <c r="J165" s="184">
        <v>0</v>
      </c>
      <c r="K165" s="419">
        <f>IF(E165="No.",1,IF(E165="Ac.",1,(SQRT(VLOOKUP(O165,Lookup!$F$9:$H$18,3,FALSE)))*208/VLOOKUP(O165,Lookup!$F$9:$H$18,3,FALSE)))</f>
        <v>1</v>
      </c>
      <c r="L165" s="185" t="str">
        <f t="shared" si="24"/>
        <v/>
      </c>
      <c r="M165" s="184">
        <v>0</v>
      </c>
      <c r="N165" s="186">
        <f>IF(G165=1,H165,PMT(Lookup!$G$4,G165,-H165)+(H165*J165)+(M165*P165))*K165</f>
        <v>10</v>
      </c>
      <c r="O165" s="187" t="s">
        <v>1457</v>
      </c>
      <c r="P165" s="186">
        <f>VLOOKUP($O165,Lookup!$F$9:$I$18,4,FALSE)</f>
        <v>1</v>
      </c>
      <c r="Q165" s="184">
        <v>0.1</v>
      </c>
      <c r="R165" s="183">
        <v>0.5</v>
      </c>
      <c r="S165" s="188" t="s">
        <v>3645</v>
      </c>
      <c r="T165" s="186">
        <f t="shared" si="22"/>
        <v>0.6</v>
      </c>
      <c r="U165" s="189">
        <f t="shared" si="23"/>
        <v>0.06</v>
      </c>
      <c r="V165" s="189">
        <f t="shared" si="21"/>
        <v>0</v>
      </c>
      <c r="W165" s="190">
        <f>IF(P165=0,0,IF(Q165+R165=0,0,PV(Lookup!$G$4,G165,-T165)/H165))</f>
        <v>5.7074910820451866E-2</v>
      </c>
      <c r="X165" s="190">
        <f>IF(I165=0,0,PMT(Lookup!$G$4,G165,-(H165*I165*K165))/P165)</f>
        <v>0</v>
      </c>
      <c r="Y165" s="42" t="s">
        <v>986</v>
      </c>
      <c r="Z165" s="192">
        <f>VLOOKUP(Y165,Lookup!$B$4:$C$14,2,FALSE)</f>
        <v>0</v>
      </c>
      <c r="AA165" s="281" t="s">
        <v>2759</v>
      </c>
      <c r="AB165" s="282" t="s">
        <v>1072</v>
      </c>
      <c r="AC165" s="181" t="str">
        <f>VLOOKUP(AD165,Lookup!$C$4:$D$14,2,FALSE)</f>
        <v>Substantial Worsening</v>
      </c>
      <c r="AD165" s="193">
        <f>IF(P165/H165&lt;Lookup!$F$33,-5,IF(P165/H165&lt;Lookup!$F$32,-4,IF(P165/H165&lt;Lookup!$F$31,-3,IF(P165/H165&lt;Lookup!$F$30,-2,IF(P165/H165&lt;Lookup!$F$29,-1,-5)))))</f>
        <v>-5</v>
      </c>
      <c r="AE165" s="194" t="str">
        <f>VLOOKUP(AD165,Lookup!$G$28:$J$33,2,FALSE)</f>
        <v>One-time practice implementation cost 5 times or greater enterprise annual net income</v>
      </c>
      <c r="AF165" s="281" t="s">
        <v>1850</v>
      </c>
      <c r="AG165" s="181" t="str">
        <f>VLOOKUP(AH165,Lookup!$C$4:$D$14,2,FALSE)</f>
        <v>No Effect</v>
      </c>
      <c r="AH165" s="193">
        <f>IF(J165&gt;Lookup!$F$43,-5,IF(J165&gt;Lookup!$F$42,-4,IF(J165&gt;Lookup!$F$41,-3,IF(J165&gt;Lookup!$F$40,-2,IF(J165&gt;Lookup!$F$39,-1,0)))))</f>
        <v>0</v>
      </c>
      <c r="AI165" s="194" t="str">
        <f>VLOOKUP(AH165,Lookup!$G$38:$J$43,2,FALSE)</f>
        <v>No O&amp;M costs</v>
      </c>
      <c r="AJ165" s="281" t="s">
        <v>3005</v>
      </c>
      <c r="AK165" s="181" t="str">
        <f>VLOOKUP(AL165,Lookup!$C$4:$D$14,2,FALSE)</f>
        <v>Moderate to Substantial Worsening</v>
      </c>
      <c r="AL165" s="346">
        <f>IF(N165=0,0,IF(U165&lt;Lookup!$F$58,-5,IF(U165&lt;Lookup!$F$57,-4,IF(U165&lt;Lookup!$F$56,-3,IF(U165&lt;Lookup!$F$55,-2,IF(U165&lt;Lookup!$F$54,-1,IF(U165&lt;Lookup!$F$53,0,IF(U165&lt;Lookup!$F$52,1,IF(U165&lt;Lookup!$F$51,2,IF(U165&lt;Lookup!$F$50,3,IF(U165&lt;Lookup!$F$49,4,5)))))))))))</f>
        <v>-4</v>
      </c>
      <c r="AM165" s="194" t="str">
        <f>VLOOKUP(AL165,Lookup!$G$48:$J$58,2,FALSE)</f>
        <v>B/C Ratio .05 to .10</v>
      </c>
      <c r="AN165" s="281" t="s">
        <v>3029</v>
      </c>
      <c r="AO165" s="181" t="str">
        <f>VLOOKUP(AP165,Lookup!$C$4:$D$14,2,FALSE)</f>
        <v>Slight to Moderate Improvement</v>
      </c>
      <c r="AP165" s="193">
        <f>IF(Q165=0,0,IF(Q165&gt;Lookup!$F$63,5,IF(Q165&gt;Lookup!$F$64,4,IF(Q165&gt;Lookup!$F$65,3,IF(Q165&gt;Lookup!$F$66,2,IF(Q165&gt;Lookup!$F$67,1,IF(Q165&gt;Lookup!$F$69,-1,IF(Q165&gt;Lookup!$F$70,-2,IF(Q165&gt;Lookup!$F$71,-3,IF(Q165&gt;Lookup!$F$72,-4,-5))))))))))</f>
        <v>2</v>
      </c>
      <c r="AQ165" s="194" t="str">
        <f>VLOOKUP(AP165,Lookup!$G$63:$J$73,2,FALSE)</f>
        <v>5 to 10% yield increase</v>
      </c>
      <c r="AR165" s="281" t="s">
        <v>3138</v>
      </c>
      <c r="AS165" s="181" t="str">
        <f>VLOOKUP(AT165,Lookup!$C$4:$D$14,2,FALSE)</f>
        <v>No Effect</v>
      </c>
      <c r="AT165" s="193">
        <f>IF(V165=0,0,IF(V165&lt;Lookup!$F$79,5,IF(V165&lt;Lookup!$F$80,4,IF(V165&lt;Lookup!$F$81,3,IF(V165&lt;Lookup!$F$82,2,IF(V165&lt;Lookup!$F$83,1,IF(V165&lt;Lookup!$F$85,-1,IF(V165&lt;Lookup!$F$86,-2,IF(V165&lt;Lookup!$F$87,-3,IF(V165&lt;Lookup!$F$88,-4,-5))))))))))</f>
        <v>0</v>
      </c>
      <c r="AU165" s="194" t="str">
        <f>VLOOKUP(AT165,Lookup!$G$79:$J$89,2,FALSE)</f>
        <v>No breakeven</v>
      </c>
      <c r="AV165" s="345" t="str">
        <f>VLOOKUP(AT165,Lookup!$G$79:$J$89,4,FALSE)</f>
        <v>Annual costs greater than annual benefits</v>
      </c>
      <c r="AW165" s="181" t="str">
        <f>VLOOKUP(AX165,Lookup!$C$4:$D$14,2,FALSE)</f>
        <v>No Effect</v>
      </c>
      <c r="AX165" s="193">
        <f>VLOOKUP(AY165,Lookup!$G$92:$J$97,4,FALSE)</f>
        <v>0</v>
      </c>
      <c r="AY165" s="181" t="s">
        <v>2642</v>
      </c>
      <c r="AZ165" s="281" t="s">
        <v>3154</v>
      </c>
      <c r="BA165" s="181" t="str">
        <f>VLOOKUP(BB165,Lookup!$C$4:$D$14,2,FALSE)</f>
        <v>No Effect</v>
      </c>
      <c r="BB165" s="193">
        <f>VLOOKUP(BC165,Lookup!$G$100:$K$110,5,FALSE)</f>
        <v>0</v>
      </c>
      <c r="BC165" s="181" t="s">
        <v>2643</v>
      </c>
      <c r="BD165" s="281" t="s">
        <v>3154</v>
      </c>
      <c r="BE165" s="181" t="str">
        <f>VLOOKUP(BF165,Lookup!$C$4:$D$14,2,FALSE)</f>
        <v>No Effect</v>
      </c>
      <c r="BF165" s="193">
        <f>IF(X165=0,0,IF(X165&gt;Lookup!$F$113,-5,IF(X165&gt;Lookup!$F$114,-4,IF(X165&gt;Lookup!$F$115,-3,IF(X165&gt;Lookup!$F$116,-2,IF(X165&gt;Lookup!$F$117,-1,0))))))</f>
        <v>0</v>
      </c>
      <c r="BG165" s="195" t="str">
        <f>VLOOKUP(BF165,Lookup!$G$113:$H$118,2,FALSE)</f>
        <v>No change in on-farm equipment</v>
      </c>
      <c r="BH165" s="281" t="s">
        <v>1849</v>
      </c>
      <c r="BI165" s="181" t="str">
        <f>VLOOKUP(BJ165,Lookup!$C$4:$D$14,2,FALSE)</f>
        <v>Slight Worsening</v>
      </c>
      <c r="BJ165" s="193">
        <f>VLOOKUP(BK165,Lookup!$G$121:$L$131,6,FALSE)</f>
        <v>-1</v>
      </c>
      <c r="BK165" s="181" t="s">
        <v>2640</v>
      </c>
      <c r="BL165" s="281" t="s">
        <v>3329</v>
      </c>
      <c r="BM165" s="181" t="str">
        <f>VLOOKUP(BN165,Lookup!$C$4:$D$14,2,FALSE)</f>
        <v>Moderate Worsening</v>
      </c>
      <c r="BN165" s="193">
        <f>VLOOKUP(BO165,Lookup!$G$134:$L$144,6,FALSE)</f>
        <v>-3</v>
      </c>
      <c r="BO165" s="181" t="s">
        <v>2654</v>
      </c>
      <c r="BP165" s="281" t="s">
        <v>3425</v>
      </c>
      <c r="BQ165" s="181" t="str">
        <f>VLOOKUP(BR165,Lookup!$C$4:$D$14,2,FALSE)</f>
        <v>Slight to Moderate Improvement</v>
      </c>
      <c r="BR165" s="193">
        <f>VLOOKUP(BS165,Lookup!$G$147:$L$157,6,FALSE)</f>
        <v>2</v>
      </c>
      <c r="BS165" s="181" t="s">
        <v>2641</v>
      </c>
      <c r="BT165" s="281" t="s">
        <v>3475</v>
      </c>
      <c r="BU165" s="175" t="s">
        <v>2231</v>
      </c>
    </row>
    <row r="166" spans="1:73" ht="39.950000000000003" customHeight="1" thickBot="1" x14ac:dyDescent="0.25">
      <c r="A166" s="173">
        <f t="shared" si="19"/>
        <v>163</v>
      </c>
      <c r="B166" s="496" t="s">
        <v>3847</v>
      </c>
      <c r="C166" s="179" t="s">
        <v>1477</v>
      </c>
      <c r="D166" s="180" t="s">
        <v>3708</v>
      </c>
      <c r="E166" s="180" t="s">
        <v>3856</v>
      </c>
      <c r="F166" s="273"/>
      <c r="G166" s="182"/>
      <c r="H166" s="183"/>
      <c r="I166" s="184"/>
      <c r="J166" s="184"/>
      <c r="K166" s="419"/>
      <c r="L166" s="185"/>
      <c r="M166" s="184"/>
      <c r="N166" s="186"/>
      <c r="O166" s="187"/>
      <c r="P166" s="186"/>
      <c r="Q166" s="184"/>
      <c r="R166" s="183"/>
      <c r="S166" s="188"/>
      <c r="T166" s="186"/>
      <c r="U166" s="189"/>
      <c r="V166" s="189"/>
      <c r="W166" s="190"/>
      <c r="X166" s="190"/>
      <c r="Y166" s="42"/>
      <c r="Z166" s="192"/>
      <c r="AA166" s="281"/>
      <c r="AB166" s="282"/>
      <c r="AC166" s="181"/>
      <c r="AD166" s="193"/>
      <c r="AE166" s="194"/>
      <c r="AF166" s="281"/>
      <c r="AG166" s="181"/>
      <c r="AH166" s="193"/>
      <c r="AI166" s="194"/>
      <c r="AJ166" s="281"/>
      <c r="AK166" s="181"/>
      <c r="AL166" s="346"/>
      <c r="AM166" s="194"/>
      <c r="AN166" s="281"/>
      <c r="AO166" s="181"/>
      <c r="AP166" s="193"/>
      <c r="AQ166" s="194"/>
      <c r="AR166" s="281"/>
      <c r="AS166" s="181"/>
      <c r="AT166" s="193"/>
      <c r="AU166" s="194"/>
      <c r="AV166" s="345"/>
      <c r="AW166" s="181"/>
      <c r="AX166" s="193"/>
      <c r="AY166" s="181"/>
      <c r="AZ166" s="281"/>
      <c r="BA166" s="181"/>
      <c r="BB166" s="193"/>
      <c r="BC166" s="181"/>
      <c r="BD166" s="281"/>
      <c r="BE166" s="181"/>
      <c r="BF166" s="193"/>
      <c r="BG166" s="195"/>
      <c r="BH166" s="281"/>
      <c r="BI166" s="181"/>
      <c r="BJ166" s="193"/>
      <c r="BK166" s="181"/>
      <c r="BL166" s="281"/>
      <c r="BM166" s="181"/>
      <c r="BN166" s="193"/>
      <c r="BO166" s="181"/>
      <c r="BP166" s="281"/>
      <c r="BQ166" s="181"/>
      <c r="BR166" s="193"/>
      <c r="BS166" s="181"/>
      <c r="BT166" s="281"/>
    </row>
    <row r="167" spans="1:73" ht="39.950000000000003" customHeight="1" thickBot="1" x14ac:dyDescent="0.25">
      <c r="A167" s="173">
        <f t="shared" si="19"/>
        <v>164</v>
      </c>
      <c r="B167" s="178" t="s">
        <v>1381</v>
      </c>
      <c r="C167" s="179" t="s">
        <v>1598</v>
      </c>
      <c r="D167" s="180">
        <v>380</v>
      </c>
      <c r="E167" s="180" t="s">
        <v>1944</v>
      </c>
      <c r="F167" s="273" t="str">
        <f>VLOOKUP($D167,'Practice Descriptions'!$E$11:$F$186,2,FALSE)</f>
        <v>Windbreaks or shelterbelts are single or multiple rows of trees or shrubs in linear configurations.</v>
      </c>
      <c r="G167" s="182">
        <v>15</v>
      </c>
      <c r="H167" s="183">
        <v>3</v>
      </c>
      <c r="I167" s="184">
        <v>0</v>
      </c>
      <c r="J167" s="184">
        <v>0.01</v>
      </c>
      <c r="K167" s="419">
        <f>IF(E167="No.",1,IF(E167="Ac.",1,(SQRT(VLOOKUP(O167,Lookup!$F$9:$H$18,3,FALSE)))*208/VLOOKUP(O167,Lookup!$F$9:$H$18,3,FALSE)))</f>
        <v>93.020427863991259</v>
      </c>
      <c r="L167" s="185" t="str">
        <f>IF(K167&gt;1,"Assume length 1 side of square field (208'/Ac)","")</f>
        <v>Assume length 1 side of square field (208'/Ac)</v>
      </c>
      <c r="M167" s="184">
        <v>0</v>
      </c>
      <c r="N167" s="186">
        <f>IF(G167=1,H167,PMT(Lookup!$G$4,G167,-H167)+(H167*J167)+(M167*P167))*K167</f>
        <v>29.903652449801214</v>
      </c>
      <c r="O167" s="187" t="s">
        <v>2221</v>
      </c>
      <c r="P167" s="186">
        <f>VLOOKUP($O167,Lookup!$F$9:$I$18,4,FALSE)</f>
        <v>1</v>
      </c>
      <c r="Q167" s="184">
        <v>0.05</v>
      </c>
      <c r="R167" s="183">
        <v>2</v>
      </c>
      <c r="S167" s="188" t="s">
        <v>3593</v>
      </c>
      <c r="T167" s="186">
        <f t="shared" si="22"/>
        <v>2.0499999999999998</v>
      </c>
      <c r="U167" s="189">
        <f t="shared" si="23"/>
        <v>6.8553498721980605E-2</v>
      </c>
      <c r="V167" s="189">
        <f t="shared" si="21"/>
        <v>0</v>
      </c>
      <c r="W167" s="190">
        <f>IF(P167=0,0,IF(Q167+R167=0,0,PV(Lookup!$G$4,G167,-T167)/H167))</f>
        <v>7.0332164831696211</v>
      </c>
      <c r="X167" s="190">
        <f>IF(I167=0,0,PMT(Lookup!$G$4,G167,-(H167*I167*K167))/P167)</f>
        <v>0</v>
      </c>
      <c r="Y167" s="42" t="s">
        <v>963</v>
      </c>
      <c r="Z167" s="192">
        <f>VLOOKUP(Y167,Lookup!$B$4:$C$14,2,FALSE)</f>
        <v>2</v>
      </c>
      <c r="AA167" s="281" t="s">
        <v>1938</v>
      </c>
      <c r="AB167" s="282" t="s">
        <v>1072</v>
      </c>
      <c r="AC167" s="181" t="str">
        <f>VLOOKUP(AD167,Lookup!$C$4:$D$14,2,FALSE)</f>
        <v>Moderate to Substantial Worsening</v>
      </c>
      <c r="AD167" s="193">
        <f>IF(P167/H167&lt;Lookup!$F$33,-5,IF(P167/H167&lt;Lookup!$F$32,-4,IF(P167/H167&lt;Lookup!$F$31,-3,IF(P167/H167&lt;Lookup!$F$30,-2,IF(P167/H167&lt;Lookup!$F$29,-1,-5)))))</f>
        <v>-4</v>
      </c>
      <c r="AE167" s="194" t="str">
        <f>VLOOKUP(AD167,Lookup!$G$28:$J$33,2,FALSE)</f>
        <v>One-time practice implementation cost 2 to 5 times enterprise annual net income</v>
      </c>
      <c r="AF167" s="281" t="s">
        <v>2974</v>
      </c>
      <c r="AG167" s="181" t="str">
        <f>VLOOKUP(AH167,Lookup!$C$4:$D$14,2,FALSE)</f>
        <v>Slight Worsening</v>
      </c>
      <c r="AH167" s="193">
        <f>IF(J167&gt;Lookup!$F$43,-5,IF(J167&gt;Lookup!$F$42,-4,IF(J167&gt;Lookup!$F$41,-3,IF(J167&gt;Lookup!$F$40,-2,IF(J167&gt;Lookup!$F$39,-1,0)))))</f>
        <v>-1</v>
      </c>
      <c r="AI167" s="194" t="str">
        <f>VLOOKUP(AH167,Lookup!$G$38:$J$43,2,FALSE)</f>
        <v>Annual O&amp;M costs less than 1% of total installation costs</v>
      </c>
      <c r="AJ167" s="281" t="s">
        <v>2978</v>
      </c>
      <c r="AK167" s="181" t="str">
        <f>VLOOKUP(AL167,Lookup!$C$4:$D$14,2,FALSE)</f>
        <v>Moderate to Substantial Worsening</v>
      </c>
      <c r="AL167" s="346">
        <f>IF(N167=0,0,IF(U167&lt;Lookup!$F$58,-5,IF(U167&lt;Lookup!$F$57,-4,IF(U167&lt;Lookup!$F$56,-3,IF(U167&lt;Lookup!$F$55,-2,IF(U167&lt;Lookup!$F$54,-1,IF(U167&lt;Lookup!$F$53,0,IF(U167&lt;Lookup!$F$52,1,IF(U167&lt;Lookup!$F$51,2,IF(U167&lt;Lookup!$F$50,3,IF(U167&lt;Lookup!$F$49,4,5)))))))))))</f>
        <v>-4</v>
      </c>
      <c r="AM167" s="194" t="str">
        <f>VLOOKUP(AL167,Lookup!$G$48:$J$58,2,FALSE)</f>
        <v>B/C Ratio .05 to .10</v>
      </c>
      <c r="AN167" s="281" t="s">
        <v>3069</v>
      </c>
      <c r="AO167" s="181" t="str">
        <f>VLOOKUP(AP167,Lookup!$C$4:$D$14,2,FALSE)</f>
        <v>Slight to Moderate Improvement</v>
      </c>
      <c r="AP167" s="193">
        <f>IF(Q167=0,0,IF(Q167&gt;Lookup!$F$63,5,IF(Q167&gt;Lookup!$F$64,4,IF(Q167&gt;Lookup!$F$65,3,IF(Q167&gt;Lookup!$F$66,2,IF(Q167&gt;Lookup!$F$67,1,IF(Q167&gt;Lookup!$F$69,-1,IF(Q167&gt;Lookup!$F$70,-2,IF(Q167&gt;Lookup!$F$71,-3,IF(Q167&gt;Lookup!$F$72,-4,-5))))))))))</f>
        <v>2</v>
      </c>
      <c r="AQ167" s="194" t="str">
        <f>VLOOKUP(AP167,Lookup!$G$63:$J$73,2,FALSE)</f>
        <v>5 to 10% yield increase</v>
      </c>
      <c r="AR167" s="281" t="s">
        <v>3527</v>
      </c>
      <c r="AS167" s="181" t="str">
        <f>VLOOKUP(AT167,Lookup!$C$4:$D$14,2,FALSE)</f>
        <v>No Effect</v>
      </c>
      <c r="AT167" s="193">
        <f>IF(V167=0,0,IF(V167&lt;Lookup!$F$79,5,IF(V167&lt;Lookup!$F$80,4,IF(V167&lt;Lookup!$F$81,3,IF(V167&lt;Lookup!$F$82,2,IF(V167&lt;Lookup!$F$83,1,IF(V167&lt;Lookup!$F$85,-1,IF(V167&lt;Lookup!$F$86,-2,IF(V167&lt;Lookup!$F$87,-3,IF(V167&lt;Lookup!$F$88,-4,-5))))))))))</f>
        <v>0</v>
      </c>
      <c r="AU167" s="194" t="str">
        <f>VLOOKUP(AT167,Lookup!$G$79:$J$89,2,FALSE)</f>
        <v>No breakeven</v>
      </c>
      <c r="AV167" s="345" t="str">
        <f>VLOOKUP(AT167,Lookup!$G$79:$J$89,4,FALSE)</f>
        <v>Annual costs greater than annual benefits</v>
      </c>
      <c r="AW167" s="181" t="str">
        <f>VLOOKUP(AX167,Lookup!$C$4:$D$14,2,FALSE)</f>
        <v>Slight Improvement</v>
      </c>
      <c r="AX167" s="193">
        <f>VLOOKUP(AY167,Lookup!$G$92:$J$97,4,FALSE)</f>
        <v>1</v>
      </c>
      <c r="AY167" s="181" t="s">
        <v>2636</v>
      </c>
      <c r="AZ167" s="281" t="s">
        <v>3562</v>
      </c>
      <c r="BA167" s="181" t="str">
        <f>VLOOKUP(BB167,Lookup!$C$4:$D$14,2,FALSE)</f>
        <v>Slight Worsening</v>
      </c>
      <c r="BB167" s="193">
        <f>VLOOKUP(BC167,Lookup!$G$100:$K$110,5,FALSE)</f>
        <v>-1</v>
      </c>
      <c r="BC167" s="181" t="s">
        <v>2637</v>
      </c>
      <c r="BD167" s="281" t="s">
        <v>3165</v>
      </c>
      <c r="BE167" s="181" t="str">
        <f>VLOOKUP(BF167,Lookup!$C$4:$D$14,2,FALSE)</f>
        <v>No Effect</v>
      </c>
      <c r="BF167" s="193">
        <f>IF(X167=0,0,IF(X167&gt;Lookup!$F$113,-5,IF(X167&gt;Lookup!$F$114,-4,IF(X167&gt;Lookup!$F$115,-3,IF(X167&gt;Lookup!$F$116,-2,IF(X167&gt;Lookup!$F$117,-1,0))))))</f>
        <v>0</v>
      </c>
      <c r="BG167" s="195" t="str">
        <f>VLOOKUP(BF167,Lookup!$G$113:$H$118,2,FALSE)</f>
        <v>No change in on-farm equipment</v>
      </c>
      <c r="BH167" s="281" t="s">
        <v>1841</v>
      </c>
      <c r="BI167" s="181" t="str">
        <f>VLOOKUP(BJ167,Lookup!$C$4:$D$14,2,FALSE)</f>
        <v>Slight Worsening</v>
      </c>
      <c r="BJ167" s="193">
        <f>VLOOKUP(BK167,Lookup!$G$121:$L$131,6,FALSE)</f>
        <v>-1</v>
      </c>
      <c r="BK167" s="181" t="s">
        <v>2640</v>
      </c>
      <c r="BL167" s="281" t="s">
        <v>3341</v>
      </c>
      <c r="BM167" s="181" t="str">
        <f>VLOOKUP(BN167,Lookup!$C$4:$D$14,2,FALSE)</f>
        <v>No Effect</v>
      </c>
      <c r="BN167" s="193">
        <f>VLOOKUP(BO167,Lookup!$G$134:$L$144,6,FALSE)</f>
        <v>0</v>
      </c>
      <c r="BO167" s="181" t="s">
        <v>2646</v>
      </c>
      <c r="BP167" s="281" t="s">
        <v>3154</v>
      </c>
      <c r="BQ167" s="181" t="str">
        <f>VLOOKUP(BR167,Lookup!$C$4:$D$14,2,FALSE)</f>
        <v>Slight Worsening</v>
      </c>
      <c r="BR167" s="193">
        <f>VLOOKUP(BS167,Lookup!$G$147:$L$157,6,FALSE)</f>
        <v>-1</v>
      </c>
      <c r="BS167" s="181" t="s">
        <v>2658</v>
      </c>
      <c r="BT167" s="281" t="s">
        <v>3497</v>
      </c>
      <c r="BU167" s="175" t="s">
        <v>2231</v>
      </c>
    </row>
    <row r="168" spans="1:73" ht="39.950000000000003" customHeight="1" thickBot="1" x14ac:dyDescent="0.25">
      <c r="A168" s="173">
        <f t="shared" si="19"/>
        <v>165</v>
      </c>
      <c r="B168" s="178" t="s">
        <v>1382</v>
      </c>
      <c r="C168" s="179" t="s">
        <v>1598</v>
      </c>
      <c r="D168" s="180">
        <v>650</v>
      </c>
      <c r="E168" s="180" t="s">
        <v>1944</v>
      </c>
      <c r="F168" s="273" t="str">
        <f>VLOOKUP($D168,'Practice Descriptions'!$E$11:$F$186,2,FALSE)</f>
        <v>Replacing, releasing and/or removing selected trees and shrubs or rows within an existing windbreak or shelterbelt, adding rows to the windbreak or shelterbelt or removing selected tree and shrub branches.</v>
      </c>
      <c r="G168" s="182">
        <v>15</v>
      </c>
      <c r="H168" s="183">
        <v>1</v>
      </c>
      <c r="I168" s="184">
        <v>0</v>
      </c>
      <c r="J168" s="184">
        <v>0.01</v>
      </c>
      <c r="K168" s="419">
        <f>IF(E168="No.",1,IF(E168="Ac.",1,(SQRT(VLOOKUP(O168,Lookup!$F$9:$H$18,3,FALSE)))*208/VLOOKUP(O168,Lookup!$F$9:$H$18,3,FALSE)))</f>
        <v>93.020427863991259</v>
      </c>
      <c r="L168" s="185" t="str">
        <f t="shared" ref="L168:L169" si="25">IF(K168&gt;1,"Assume length 1 side of square field (208'/Ac)","")</f>
        <v>Assume length 1 side of square field (208'/Ac)</v>
      </c>
      <c r="M168" s="184">
        <v>0</v>
      </c>
      <c r="N168" s="186">
        <f>IF(G168=1,H168,PMT(Lookup!$G$4,G168,-H168)+(H168*J168)+(M168*P168))*K168</f>
        <v>9.9678841499337381</v>
      </c>
      <c r="O168" s="187" t="s">
        <v>2221</v>
      </c>
      <c r="P168" s="186">
        <f>VLOOKUP($O168,Lookup!$F$9:$I$18,4,FALSE)</f>
        <v>1</v>
      </c>
      <c r="Q168" s="184">
        <v>0.05</v>
      </c>
      <c r="R168" s="183">
        <v>2</v>
      </c>
      <c r="S168" s="188" t="s">
        <v>3593</v>
      </c>
      <c r="T168" s="186">
        <f t="shared" si="22"/>
        <v>2.0499999999999998</v>
      </c>
      <c r="U168" s="189">
        <f t="shared" si="23"/>
        <v>0.20566049616594181</v>
      </c>
      <c r="V168" s="189">
        <f t="shared" si="21"/>
        <v>0</v>
      </c>
      <c r="W168" s="190">
        <f>IF(P168=0,0,IF(Q168+R168=0,0,PV(Lookup!$G$4,G168,-T168)/H168))</f>
        <v>21.099649449508863</v>
      </c>
      <c r="X168" s="190">
        <f>IF(I168=0,0,PMT(Lookup!$G$4,G168,-(H168*I168*K168))/P168)</f>
        <v>0</v>
      </c>
      <c r="Y168" s="42" t="s">
        <v>963</v>
      </c>
      <c r="Z168" s="192">
        <f>VLOOKUP(Y168,Lookup!$B$4:$C$14,2,FALSE)</f>
        <v>2</v>
      </c>
      <c r="AA168" s="281" t="s">
        <v>1938</v>
      </c>
      <c r="AB168" s="282" t="s">
        <v>1072</v>
      </c>
      <c r="AC168" s="181" t="str">
        <f>VLOOKUP(AD168,Lookup!$C$4:$D$14,2,FALSE)</f>
        <v>Slight to Moderate Worsening</v>
      </c>
      <c r="AD168" s="193">
        <f>IF(P168/H168&lt;Lookup!$F$33,-5,IF(P168/H168&lt;Lookup!$F$32,-4,IF(P168/H168&lt;Lookup!$F$31,-3,IF(P168/H168&lt;Lookup!$F$30,-2,IF(P168/H168&lt;Lookup!$F$29,-1,-5)))))</f>
        <v>-2</v>
      </c>
      <c r="AE168" s="194" t="str">
        <f>VLOOKUP(AD168,Lookup!$G$28:$J$33,2,FALSE)</f>
        <v>One-time practice implementation cost 5 to 100% of enterprise annual net income</v>
      </c>
      <c r="AF168" s="281" t="s">
        <v>2974</v>
      </c>
      <c r="AG168" s="181" t="str">
        <f>VLOOKUP(AH168,Lookup!$C$4:$D$14,2,FALSE)</f>
        <v>Slight Worsening</v>
      </c>
      <c r="AH168" s="193">
        <f>IF(J168&gt;Lookup!$F$43,-5,IF(J168&gt;Lookup!$F$42,-4,IF(J168&gt;Lookup!$F$41,-3,IF(J168&gt;Lookup!$F$40,-2,IF(J168&gt;Lookup!$F$39,-1,0)))))</f>
        <v>-1</v>
      </c>
      <c r="AI168" s="194" t="str">
        <f>VLOOKUP(AH168,Lookup!$G$38:$J$43,2,FALSE)</f>
        <v>Annual O&amp;M costs less than 1% of total installation costs</v>
      </c>
      <c r="AJ168" s="281" t="s">
        <v>2978</v>
      </c>
      <c r="AK168" s="181" t="str">
        <f>VLOOKUP(AL168,Lookup!$C$4:$D$14,2,FALSE)</f>
        <v>Moderate Worsening</v>
      </c>
      <c r="AL168" s="346">
        <f>IF(N168=0,0,IF(U168&lt;Lookup!$F$58,-5,IF(U168&lt;Lookup!$F$57,-4,IF(U168&lt;Lookup!$F$56,-3,IF(U168&lt;Lookup!$F$55,-2,IF(U168&lt;Lookup!$F$54,-1,IF(U168&lt;Lookup!$F$53,0,IF(U168&lt;Lookup!$F$52,1,IF(U168&lt;Lookup!$F$51,2,IF(U168&lt;Lookup!$F$50,3,IF(U168&lt;Lookup!$F$49,4,5)))))))))))</f>
        <v>-3</v>
      </c>
      <c r="AM168" s="194" t="str">
        <f>VLOOKUP(AL168,Lookup!$G$48:$J$58,2,FALSE)</f>
        <v>B/C Ratio .10 to .25</v>
      </c>
      <c r="AN168" s="281" t="s">
        <v>3070</v>
      </c>
      <c r="AO168" s="181" t="str">
        <f>VLOOKUP(AP168,Lookup!$C$4:$D$14,2,FALSE)</f>
        <v>Slight to Moderate Improvement</v>
      </c>
      <c r="AP168" s="193">
        <f>IF(Q168=0,0,IF(Q168&gt;Lookup!$F$63,5,IF(Q168&gt;Lookup!$F$64,4,IF(Q168&gt;Lookup!$F$65,3,IF(Q168&gt;Lookup!$F$66,2,IF(Q168&gt;Lookup!$F$67,1,IF(Q168&gt;Lookup!$F$69,-1,IF(Q168&gt;Lookup!$F$70,-2,IF(Q168&gt;Lookup!$F$71,-3,IF(Q168&gt;Lookup!$F$72,-4,-5))))))))))</f>
        <v>2</v>
      </c>
      <c r="AQ168" s="194" t="str">
        <f>VLOOKUP(AP168,Lookup!$G$63:$J$73,2,FALSE)</f>
        <v>5 to 10% yield increase</v>
      </c>
      <c r="AR168" s="281" t="s">
        <v>3527</v>
      </c>
      <c r="AS168" s="181" t="str">
        <f>VLOOKUP(AT168,Lookup!$C$4:$D$14,2,FALSE)</f>
        <v>No Effect</v>
      </c>
      <c r="AT168" s="193">
        <f>IF(V168=0,0,IF(V168&lt;Lookup!$F$79,5,IF(V168&lt;Lookup!$F$80,4,IF(V168&lt;Lookup!$F$81,3,IF(V168&lt;Lookup!$F$82,2,IF(V168&lt;Lookup!$F$83,1,IF(V168&lt;Lookup!$F$85,-1,IF(V168&lt;Lookup!$F$86,-2,IF(V168&lt;Lookup!$F$87,-3,IF(V168&lt;Lookup!$F$88,-4,-5))))))))))</f>
        <v>0</v>
      </c>
      <c r="AU168" s="194" t="str">
        <f>VLOOKUP(AT168,Lookup!$G$79:$J$89,2,FALSE)</f>
        <v>No breakeven</v>
      </c>
      <c r="AV168" s="345" t="str">
        <f>VLOOKUP(AT168,Lookup!$G$79:$J$89,4,FALSE)</f>
        <v>Annual costs greater than annual benefits</v>
      </c>
      <c r="AW168" s="181" t="str">
        <f>VLOOKUP(AX168,Lookup!$C$4:$D$14,2,FALSE)</f>
        <v>No Effect</v>
      </c>
      <c r="AX168" s="193">
        <f>VLOOKUP(AY168,Lookup!$G$92:$J$97,4,FALSE)</f>
        <v>0</v>
      </c>
      <c r="AY168" s="181" t="s">
        <v>2642</v>
      </c>
      <c r="AZ168" s="281" t="s">
        <v>3154</v>
      </c>
      <c r="BA168" s="181" t="str">
        <f>VLOOKUP(BB168,Lookup!$C$4:$D$14,2,FALSE)</f>
        <v>No Effect</v>
      </c>
      <c r="BB168" s="193">
        <f>VLOOKUP(BC168,Lookup!$G$100:$K$110,5,FALSE)</f>
        <v>0</v>
      </c>
      <c r="BC168" s="181" t="s">
        <v>2643</v>
      </c>
      <c r="BD168" s="281" t="s">
        <v>3154</v>
      </c>
      <c r="BE168" s="181" t="str">
        <f>VLOOKUP(BF168,Lookup!$C$4:$D$14,2,FALSE)</f>
        <v>No Effect</v>
      </c>
      <c r="BF168" s="193">
        <f>IF(X168=0,0,IF(X168&gt;Lookup!$F$113,-5,IF(X168&gt;Lookup!$F$114,-4,IF(X168&gt;Lookup!$F$115,-3,IF(X168&gt;Lookup!$F$116,-2,IF(X168&gt;Lookup!$F$117,-1,0))))))</f>
        <v>0</v>
      </c>
      <c r="BG168" s="195" t="str">
        <f>VLOOKUP(BF168,Lookup!$G$113:$H$118,2,FALSE)</f>
        <v>No change in on-farm equipment</v>
      </c>
      <c r="BH168" s="281" t="s">
        <v>1849</v>
      </c>
      <c r="BI168" s="181" t="str">
        <f>VLOOKUP(BJ168,Lookup!$C$4:$D$14,2,FALSE)</f>
        <v>Slight Worsening</v>
      </c>
      <c r="BJ168" s="193">
        <f>VLOOKUP(BK168,Lookup!$G$121:$L$131,6,FALSE)</f>
        <v>-1</v>
      </c>
      <c r="BK168" s="181" t="s">
        <v>2640</v>
      </c>
      <c r="BL168" s="281" t="s">
        <v>3341</v>
      </c>
      <c r="BM168" s="181" t="str">
        <f>VLOOKUP(BN168,Lookup!$C$4:$D$14,2,FALSE)</f>
        <v>No Effect</v>
      </c>
      <c r="BN168" s="193">
        <f>VLOOKUP(BO168,Lookup!$G$134:$L$144,6,FALSE)</f>
        <v>0</v>
      </c>
      <c r="BO168" s="181" t="s">
        <v>2646</v>
      </c>
      <c r="BP168" s="281" t="s">
        <v>3154</v>
      </c>
      <c r="BQ168" s="181" t="str">
        <f>VLOOKUP(BR168,Lookup!$C$4:$D$14,2,FALSE)</f>
        <v>No Effect</v>
      </c>
      <c r="BR168" s="193">
        <f>VLOOKUP(BS168,Lookup!$G$147:$L$157,6,FALSE)</f>
        <v>0</v>
      </c>
      <c r="BS168" s="181" t="s">
        <v>2676</v>
      </c>
      <c r="BT168" s="281" t="s">
        <v>3154</v>
      </c>
      <c r="BU168" s="175" t="s">
        <v>2231</v>
      </c>
    </row>
    <row r="169" spans="1:73" ht="39.950000000000003" customHeight="1" x14ac:dyDescent="0.2">
      <c r="A169" s="173">
        <f t="shared" si="19"/>
        <v>166</v>
      </c>
      <c r="B169" s="178" t="s">
        <v>1974</v>
      </c>
      <c r="C169" s="179" t="s">
        <v>1598</v>
      </c>
      <c r="D169" s="180">
        <v>384</v>
      </c>
      <c r="E169" s="180" t="s">
        <v>3646</v>
      </c>
      <c r="F169" s="273" t="str">
        <f>VLOOKUP($D169,'Practice Descriptions'!$E$11:$F$186,2,FALSE)</f>
        <v>The treatment of residual woody material that is created due to management activities or natural disturbances.</v>
      </c>
      <c r="G169" s="182">
        <v>10</v>
      </c>
      <c r="H169" s="183">
        <v>250</v>
      </c>
      <c r="I169" s="184">
        <v>0</v>
      </c>
      <c r="J169" s="184">
        <v>0</v>
      </c>
      <c r="K169" s="419">
        <f>IF(E169="No.",1,IF(E169="Ac.",1,(SQRT(VLOOKUP(O169,Lookup!$F$9:$H$18,3,FALSE)))*208/VLOOKUP(O169,Lookup!$F$9:$H$18,3,FALSE)))</f>
        <v>1</v>
      </c>
      <c r="L169" s="185" t="str">
        <f t="shared" si="25"/>
        <v/>
      </c>
      <c r="M169" s="184">
        <v>0</v>
      </c>
      <c r="N169" s="186">
        <f>IF(G169=1,H169,PMT(Lookup!$G$4,G169,-H169)+(H169*J169)+(M169*P169))*K169</f>
        <v>32.572970142099294</v>
      </c>
      <c r="O169" s="187" t="s">
        <v>301</v>
      </c>
      <c r="P169" s="186">
        <f>VLOOKUP($O169,Lookup!$F$9:$I$18,4,FALSE)</f>
        <v>100</v>
      </c>
      <c r="Q169" s="184">
        <v>0.1</v>
      </c>
      <c r="R169" s="183">
        <v>0</v>
      </c>
      <c r="S169" s="188"/>
      <c r="T169" s="186">
        <f t="shared" si="22"/>
        <v>10</v>
      </c>
      <c r="U169" s="189">
        <f t="shared" si="23"/>
        <v>0.30700301373731315</v>
      </c>
      <c r="V169" s="189">
        <f t="shared" si="21"/>
        <v>0</v>
      </c>
      <c r="W169" s="190">
        <f>IF(P169=0,0,IF(Q169+R169=0,0,PV(Lookup!$G$4,G169,-T169)/H169))</f>
        <v>0.3070030137373132</v>
      </c>
      <c r="X169" s="190">
        <f>IF(I169=0,0,PMT(Lookup!$G$4,G169,-(H169*I169*K169))/P169)</f>
        <v>0</v>
      </c>
      <c r="Y169" s="42" t="s">
        <v>963</v>
      </c>
      <c r="Z169" s="192">
        <f>VLOOKUP(Y169,Lookup!$B$4:$C$14,2,FALSE)</f>
        <v>2</v>
      </c>
      <c r="AA169" s="281" t="s">
        <v>1884</v>
      </c>
      <c r="AB169" s="282" t="s">
        <v>1072</v>
      </c>
      <c r="AC169" s="181" t="str">
        <f>VLOOKUP(AD169,Lookup!$C$4:$D$14,2,FALSE)</f>
        <v>Moderate to Substantial Worsening</v>
      </c>
      <c r="AD169" s="193">
        <f>IF(P169/H169&lt;Lookup!$F$33,-5,IF(P169/H169&lt;Lookup!$F$32,-4,IF(P169/H169&lt;Lookup!$F$31,-3,IF(P169/H169&lt;Lookup!$F$30,-2,IF(P169/H169&lt;Lookup!$F$29,-1,-5)))))</f>
        <v>-4</v>
      </c>
      <c r="AE169" s="194" t="str">
        <f>VLOOKUP(AD169,Lookup!$G$28:$J$33,2,FALSE)</f>
        <v>One-time practice implementation cost 2 to 5 times enterprise annual net income</v>
      </c>
      <c r="AF169" s="281" t="s">
        <v>2960</v>
      </c>
      <c r="AG169" s="181" t="str">
        <f>VLOOKUP(AH169,Lookup!$C$4:$D$14,2,FALSE)</f>
        <v>No Effect</v>
      </c>
      <c r="AH169" s="193">
        <f>IF(J169&gt;Lookup!$F$43,-5,IF(J169&gt;Lookup!$F$42,-4,IF(J169&gt;Lookup!$F$41,-3,IF(J169&gt;Lookup!$F$40,-2,IF(J169&gt;Lookup!$F$39,-1,0)))))</f>
        <v>0</v>
      </c>
      <c r="AI169" s="194" t="str">
        <f>VLOOKUP(AH169,Lookup!$G$38:$J$43,2,FALSE)</f>
        <v>No O&amp;M costs</v>
      </c>
      <c r="AJ169" s="281" t="s">
        <v>3005</v>
      </c>
      <c r="AK169" s="181" t="str">
        <f>VLOOKUP(AL169,Lookup!$C$4:$D$14,2,FALSE)</f>
        <v>Slight to Moderate Worsening</v>
      </c>
      <c r="AL169" s="346">
        <f>IF(N169=0,0,IF(U169&lt;Lookup!$F$58,-5,IF(U169&lt;Lookup!$F$57,-4,IF(U169&lt;Lookup!$F$56,-3,IF(U169&lt;Lookup!$F$55,-2,IF(U169&lt;Lookup!$F$54,-1,IF(U169&lt;Lookup!$F$53,0,IF(U169&lt;Lookup!$F$52,1,IF(U169&lt;Lookup!$F$51,2,IF(U169&lt;Lookup!$F$50,3,IF(U169&lt;Lookup!$F$49,4,5)))))))))))</f>
        <v>-2</v>
      </c>
      <c r="AM169" s="194" t="str">
        <f>VLOOKUP(AL169,Lookup!$G$48:$J$58,2,FALSE)</f>
        <v>B/C Ratio .25 to .50</v>
      </c>
      <c r="AN169" s="281" t="s">
        <v>3029</v>
      </c>
      <c r="AO169" s="181" t="str">
        <f>VLOOKUP(AP169,Lookup!$C$4:$D$14,2,FALSE)</f>
        <v>Slight to Moderate Improvement</v>
      </c>
      <c r="AP169" s="193">
        <f>IF(Q169=0,0,IF(Q169&gt;Lookup!$F$63,5,IF(Q169&gt;Lookup!$F$64,4,IF(Q169&gt;Lookup!$F$65,3,IF(Q169&gt;Lookup!$F$66,2,IF(Q169&gt;Lookup!$F$67,1,IF(Q169&gt;Lookup!$F$69,-1,IF(Q169&gt;Lookup!$F$70,-2,IF(Q169&gt;Lookup!$F$71,-3,IF(Q169&gt;Lookup!$F$72,-4,-5))))))))))</f>
        <v>2</v>
      </c>
      <c r="AQ169" s="194" t="str">
        <f>VLOOKUP(AP169,Lookup!$G$63:$J$73,2,FALSE)</f>
        <v>5 to 10% yield increase</v>
      </c>
      <c r="AR169" s="281" t="s">
        <v>3144</v>
      </c>
      <c r="AS169" s="181" t="str">
        <f>VLOOKUP(AT169,Lookup!$C$4:$D$14,2,FALSE)</f>
        <v>No Effect</v>
      </c>
      <c r="AT169" s="193">
        <f>IF(V169=0,0,IF(V169&lt;Lookup!$F$79,5,IF(V169&lt;Lookup!$F$80,4,IF(V169&lt;Lookup!$F$81,3,IF(V169&lt;Lookup!$F$82,2,IF(V169&lt;Lookup!$F$83,1,IF(V169&lt;Lookup!$F$85,-1,IF(V169&lt;Lookup!$F$86,-2,IF(V169&lt;Lookup!$F$87,-3,IF(V169&lt;Lookup!$F$88,-4,-5))))))))))</f>
        <v>0</v>
      </c>
      <c r="AU169" s="194" t="str">
        <f>VLOOKUP(AT169,Lookup!$G$79:$J$89,2,FALSE)</f>
        <v>No breakeven</v>
      </c>
      <c r="AV169" s="345" t="str">
        <f>VLOOKUP(AT169,Lookup!$G$79:$J$89,4,FALSE)</f>
        <v>Annual costs greater than annual benefits</v>
      </c>
      <c r="AW169" s="181" t="str">
        <f>VLOOKUP(AX169,Lookup!$C$4:$D$14,2,FALSE)</f>
        <v>No Effect</v>
      </c>
      <c r="AX169" s="193">
        <f>VLOOKUP(AY169,Lookup!$G$92:$J$97,4,FALSE)</f>
        <v>0</v>
      </c>
      <c r="AY169" s="181" t="s">
        <v>2642</v>
      </c>
      <c r="AZ169" s="281" t="s">
        <v>3154</v>
      </c>
      <c r="BA169" s="181" t="str">
        <f>VLOOKUP(BB169,Lookup!$C$4:$D$14,2,FALSE)</f>
        <v>No Effect</v>
      </c>
      <c r="BB169" s="193">
        <f>VLOOKUP(BC169,Lookup!$G$100:$K$110,5,FALSE)</f>
        <v>0</v>
      </c>
      <c r="BC169" s="181" t="s">
        <v>2643</v>
      </c>
      <c r="BD169" s="281" t="s">
        <v>3154</v>
      </c>
      <c r="BE169" s="181" t="str">
        <f>VLOOKUP(BF169,Lookup!$C$4:$D$14,2,FALSE)</f>
        <v>No Effect</v>
      </c>
      <c r="BF169" s="193">
        <f>IF(X169=0,0,IF(X169&gt;Lookup!$F$113,-5,IF(X169&gt;Lookup!$F$114,-4,IF(X169&gt;Lookup!$F$115,-3,IF(X169&gt;Lookup!$F$116,-2,IF(X169&gt;Lookup!$F$117,-1,0))))))</f>
        <v>0</v>
      </c>
      <c r="BG169" s="195" t="str">
        <f>VLOOKUP(BF169,Lookup!$G$113:$H$118,2,FALSE)</f>
        <v>No change in on-farm equipment</v>
      </c>
      <c r="BH169" s="281" t="s">
        <v>1849</v>
      </c>
      <c r="BI169" s="181" t="str">
        <f>VLOOKUP(BJ169,Lookup!$C$4:$D$14,2,FALSE)</f>
        <v>Slight Worsening</v>
      </c>
      <c r="BJ169" s="193">
        <f>VLOOKUP(BK169,Lookup!$G$121:$L$131,6,FALSE)</f>
        <v>-1</v>
      </c>
      <c r="BK169" s="181" t="s">
        <v>2640</v>
      </c>
      <c r="BL169" s="281" t="s">
        <v>3359</v>
      </c>
      <c r="BM169" s="181" t="str">
        <f>VLOOKUP(BN169,Lookup!$C$4:$D$14,2,FALSE)</f>
        <v>Slight Worsening</v>
      </c>
      <c r="BN169" s="193">
        <f>VLOOKUP(BO169,Lookup!$G$134:$L$144,6,FALSE)</f>
        <v>-1</v>
      </c>
      <c r="BO169" s="181" t="s">
        <v>3373</v>
      </c>
      <c r="BP169" s="281" t="s">
        <v>3426</v>
      </c>
      <c r="BQ169" s="181" t="str">
        <f>VLOOKUP(BR169,Lookup!$C$4:$D$14,2,FALSE)</f>
        <v>Slight to Moderate Improvement</v>
      </c>
      <c r="BR169" s="193">
        <f>VLOOKUP(BS169,Lookup!$G$147:$L$157,6,FALSE)</f>
        <v>2</v>
      </c>
      <c r="BS169" s="181" t="s">
        <v>2641</v>
      </c>
      <c r="BT169" s="281" t="s">
        <v>3498</v>
      </c>
      <c r="BU169" s="175" t="s">
        <v>2231</v>
      </c>
    </row>
    <row r="170" spans="1:73" ht="39.950000000000003" customHeight="1" x14ac:dyDescent="0.2">
      <c r="B170" s="178"/>
      <c r="C170" s="179"/>
      <c r="D170" s="180"/>
      <c r="E170" s="180"/>
      <c r="F170" s="273"/>
      <c r="G170" s="182"/>
      <c r="H170" s="183"/>
      <c r="I170" s="184"/>
      <c r="J170" s="184"/>
      <c r="K170" s="185"/>
      <c r="L170" s="185"/>
      <c r="M170" s="184"/>
      <c r="N170" s="186"/>
      <c r="O170" s="181"/>
      <c r="P170" s="186"/>
      <c r="Q170" s="184"/>
      <c r="R170" s="183"/>
      <c r="S170" s="188"/>
      <c r="T170" s="186"/>
      <c r="U170" s="189"/>
      <c r="V170" s="189"/>
      <c r="W170" s="190"/>
      <c r="X170" s="190"/>
      <c r="Y170" s="191"/>
      <c r="Z170" s="192"/>
      <c r="AA170" s="281"/>
      <c r="AB170" s="282"/>
      <c r="AC170" s="181"/>
      <c r="AD170" s="193"/>
      <c r="AE170" s="194"/>
      <c r="AF170" s="281"/>
      <c r="AG170" s="181"/>
      <c r="AH170" s="193"/>
      <c r="AI170" s="194"/>
      <c r="AJ170" s="281"/>
      <c r="AK170" s="181"/>
      <c r="AL170" s="193"/>
      <c r="AM170" s="194"/>
      <c r="AN170" s="281"/>
      <c r="AO170" s="181"/>
      <c r="AP170" s="193"/>
      <c r="AQ170" s="194"/>
      <c r="AR170" s="281"/>
      <c r="AS170" s="181"/>
      <c r="AT170" s="193"/>
      <c r="AU170" s="194"/>
      <c r="AV170" s="281"/>
      <c r="AW170" s="181"/>
      <c r="AX170" s="193"/>
      <c r="AY170" s="181"/>
      <c r="AZ170" s="281"/>
      <c r="BA170" s="181"/>
      <c r="BB170" s="193"/>
      <c r="BC170" s="181"/>
      <c r="BD170" s="281"/>
      <c r="BE170" s="181"/>
      <c r="BF170" s="193"/>
      <c r="BG170" s="195"/>
      <c r="BH170" s="281"/>
      <c r="BI170" s="181"/>
      <c r="BJ170" s="193"/>
      <c r="BK170" s="181"/>
      <c r="BL170" s="281"/>
      <c r="BM170" s="181"/>
      <c r="BN170" s="193"/>
      <c r="BO170" s="181"/>
      <c r="BP170" s="281"/>
      <c r="BQ170" s="181"/>
      <c r="BR170" s="193"/>
      <c r="BS170" s="181"/>
      <c r="BT170" s="281"/>
    </row>
    <row r="171" spans="1:73" ht="39.950000000000003" customHeight="1" x14ac:dyDescent="0.2">
      <c r="B171" s="178"/>
      <c r="C171" s="179"/>
      <c r="D171" s="180"/>
      <c r="E171" s="180"/>
      <c r="F171" s="273"/>
      <c r="G171" s="182"/>
      <c r="H171" s="183"/>
      <c r="I171" s="184"/>
      <c r="J171" s="184"/>
      <c r="K171" s="185"/>
      <c r="L171" s="185"/>
      <c r="M171" s="184"/>
      <c r="N171" s="186"/>
      <c r="O171" s="181"/>
      <c r="P171" s="186"/>
      <c r="Q171" s="184"/>
      <c r="R171" s="183"/>
      <c r="S171" s="188"/>
      <c r="T171" s="186"/>
      <c r="U171" s="189"/>
      <c r="V171" s="189"/>
      <c r="W171" s="190"/>
      <c r="X171" s="190"/>
      <c r="Y171" s="191"/>
      <c r="Z171" s="192"/>
      <c r="AA171" s="281"/>
      <c r="AB171" s="282"/>
      <c r="AC171" s="181"/>
      <c r="AD171" s="193"/>
      <c r="AE171" s="194"/>
      <c r="AF171" s="281"/>
      <c r="AG171" s="181"/>
      <c r="AH171" s="193"/>
      <c r="AI171" s="194"/>
      <c r="AJ171" s="281"/>
      <c r="AK171" s="181"/>
      <c r="AL171" s="193"/>
      <c r="AM171" s="194"/>
      <c r="AN171" s="281"/>
      <c r="AO171" s="181"/>
      <c r="AP171" s="193"/>
      <c r="AQ171" s="194"/>
      <c r="AR171" s="281"/>
      <c r="AS171" s="181"/>
      <c r="AT171" s="193"/>
      <c r="AU171" s="194"/>
      <c r="AV171" s="281"/>
      <c r="AW171" s="181"/>
      <c r="AX171" s="193"/>
      <c r="AY171" s="181"/>
      <c r="AZ171" s="281"/>
      <c r="BA171" s="181"/>
      <c r="BB171" s="193"/>
      <c r="BC171" s="181"/>
      <c r="BD171" s="281"/>
      <c r="BE171" s="181"/>
      <c r="BF171" s="193"/>
      <c r="BG171" s="195"/>
      <c r="BH171" s="281"/>
      <c r="BI171" s="181"/>
      <c r="BJ171" s="193"/>
      <c r="BK171" s="181"/>
      <c r="BL171" s="281"/>
      <c r="BM171" s="181"/>
      <c r="BN171" s="193"/>
      <c r="BO171" s="181"/>
      <c r="BP171" s="281"/>
      <c r="BQ171" s="181"/>
      <c r="BR171" s="193"/>
      <c r="BS171" s="181"/>
      <c r="BT171" s="281"/>
    </row>
    <row r="172" spans="1:73" ht="39.950000000000003" customHeight="1" x14ac:dyDescent="0.2">
      <c r="B172" s="178"/>
      <c r="C172" s="179"/>
      <c r="D172" s="180"/>
      <c r="E172" s="180"/>
      <c r="F172" s="273"/>
      <c r="G172" s="182"/>
      <c r="H172" s="183"/>
      <c r="I172" s="184"/>
      <c r="J172" s="184"/>
      <c r="K172" s="185"/>
      <c r="L172" s="185"/>
      <c r="M172" s="184"/>
      <c r="N172" s="186"/>
      <c r="O172" s="181"/>
      <c r="P172" s="186"/>
      <c r="Q172" s="184"/>
      <c r="R172" s="183"/>
      <c r="S172" s="188"/>
      <c r="T172" s="186"/>
      <c r="U172" s="189"/>
      <c r="V172" s="189"/>
      <c r="W172" s="190"/>
      <c r="X172" s="190"/>
      <c r="Y172" s="191"/>
      <c r="Z172" s="192"/>
      <c r="AA172" s="281"/>
      <c r="AB172" s="282"/>
      <c r="AC172" s="181"/>
      <c r="AD172" s="193"/>
      <c r="AE172" s="194"/>
      <c r="AF172" s="281"/>
      <c r="AG172" s="181"/>
      <c r="AH172" s="193"/>
      <c r="AI172" s="194"/>
      <c r="AJ172" s="281"/>
      <c r="AK172" s="181"/>
      <c r="AL172" s="193"/>
      <c r="AM172" s="194"/>
      <c r="AN172" s="281"/>
      <c r="AO172" s="181"/>
      <c r="AP172" s="193"/>
      <c r="AQ172" s="194"/>
      <c r="AR172" s="281"/>
      <c r="AS172" s="181"/>
      <c r="AT172" s="193"/>
      <c r="AU172" s="194"/>
      <c r="AV172" s="281"/>
      <c r="AW172" s="181"/>
      <c r="AX172" s="193"/>
      <c r="AY172" s="181"/>
      <c r="AZ172" s="281"/>
      <c r="BA172" s="181"/>
      <c r="BB172" s="193"/>
      <c r="BC172" s="181"/>
      <c r="BD172" s="281"/>
      <c r="BE172" s="181"/>
      <c r="BF172" s="193"/>
      <c r="BG172" s="195"/>
      <c r="BH172" s="281"/>
      <c r="BI172" s="181"/>
      <c r="BJ172" s="193"/>
      <c r="BK172" s="181"/>
      <c r="BL172" s="281"/>
      <c r="BM172" s="181"/>
      <c r="BN172" s="193"/>
      <c r="BO172" s="181"/>
      <c r="BP172" s="281"/>
      <c r="BQ172" s="181"/>
      <c r="BR172" s="193"/>
      <c r="BS172" s="181"/>
      <c r="BT172" s="281"/>
    </row>
    <row r="173" spans="1:73" ht="39.950000000000003" customHeight="1" x14ac:dyDescent="0.2">
      <c r="B173" s="178"/>
      <c r="C173" s="179"/>
      <c r="D173" s="180"/>
      <c r="E173" s="180"/>
      <c r="F173" s="273"/>
      <c r="G173" s="182"/>
      <c r="H173" s="183"/>
      <c r="I173" s="184"/>
      <c r="J173" s="184"/>
      <c r="K173" s="185"/>
      <c r="L173" s="185"/>
      <c r="M173" s="184"/>
      <c r="N173" s="186"/>
      <c r="O173" s="181"/>
      <c r="P173" s="186"/>
      <c r="Q173" s="184"/>
      <c r="R173" s="183"/>
      <c r="S173" s="188"/>
      <c r="T173" s="186"/>
      <c r="U173" s="189"/>
      <c r="V173" s="189"/>
      <c r="W173" s="190"/>
      <c r="X173" s="190"/>
      <c r="Y173" s="191"/>
      <c r="Z173" s="192"/>
      <c r="AA173" s="281"/>
      <c r="AB173" s="282"/>
      <c r="AC173" s="181"/>
      <c r="AD173" s="193"/>
      <c r="AE173" s="194"/>
      <c r="AF173" s="281"/>
      <c r="AG173" s="181"/>
      <c r="AH173" s="193"/>
      <c r="AI173" s="194"/>
      <c r="AJ173" s="281"/>
      <c r="AK173" s="181"/>
      <c r="AL173" s="193"/>
      <c r="AM173" s="194"/>
      <c r="AN173" s="281"/>
      <c r="AO173" s="181"/>
      <c r="AP173" s="193"/>
      <c r="AQ173" s="194"/>
      <c r="AR173" s="281"/>
      <c r="AS173" s="181"/>
      <c r="AT173" s="193"/>
      <c r="AU173" s="194"/>
      <c r="AV173" s="281"/>
      <c r="AW173" s="181"/>
      <c r="AX173" s="193"/>
      <c r="AY173" s="181"/>
      <c r="AZ173" s="281"/>
      <c r="BA173" s="181"/>
      <c r="BB173" s="193"/>
      <c r="BC173" s="181"/>
      <c r="BD173" s="281"/>
      <c r="BE173" s="181"/>
      <c r="BF173" s="193"/>
      <c r="BG173" s="195"/>
      <c r="BH173" s="281"/>
      <c r="BI173" s="181"/>
      <c r="BJ173" s="193"/>
      <c r="BK173" s="181"/>
      <c r="BL173" s="281"/>
      <c r="BM173" s="181"/>
      <c r="BN173" s="193"/>
      <c r="BO173" s="181"/>
      <c r="BP173" s="281"/>
      <c r="BQ173" s="181"/>
      <c r="BR173" s="193"/>
      <c r="BS173" s="181"/>
      <c r="BT173" s="281"/>
    </row>
    <row r="174" spans="1:73" ht="39.950000000000003" customHeight="1" x14ac:dyDescent="0.2">
      <c r="B174" s="178"/>
      <c r="C174" s="179"/>
      <c r="D174" s="180"/>
      <c r="E174" s="180"/>
      <c r="F174" s="273"/>
      <c r="G174" s="182"/>
      <c r="H174" s="183"/>
      <c r="I174" s="184"/>
      <c r="J174" s="184"/>
      <c r="K174" s="185"/>
      <c r="L174" s="185"/>
      <c r="M174" s="184"/>
      <c r="N174" s="186"/>
      <c r="O174" s="181"/>
      <c r="P174" s="186"/>
      <c r="Q174" s="184"/>
      <c r="R174" s="183"/>
      <c r="S174" s="188"/>
      <c r="T174" s="186"/>
      <c r="U174" s="189"/>
      <c r="V174" s="189"/>
      <c r="W174" s="190"/>
      <c r="X174" s="190"/>
      <c r="Y174" s="191"/>
      <c r="Z174" s="192"/>
      <c r="AA174" s="281"/>
      <c r="AB174" s="282"/>
      <c r="AC174" s="181"/>
      <c r="AD174" s="193"/>
      <c r="AE174" s="194"/>
      <c r="AF174" s="281"/>
      <c r="AG174" s="181"/>
      <c r="AH174" s="193"/>
      <c r="AI174" s="194"/>
      <c r="AJ174" s="281"/>
      <c r="AK174" s="181"/>
      <c r="AL174" s="193"/>
      <c r="AM174" s="194"/>
      <c r="AN174" s="281"/>
      <c r="AO174" s="181"/>
      <c r="AP174" s="193"/>
      <c r="AQ174" s="194"/>
      <c r="AR174" s="281"/>
      <c r="AS174" s="181"/>
      <c r="AT174" s="193"/>
      <c r="AU174" s="194"/>
      <c r="AV174" s="281"/>
      <c r="AW174" s="181"/>
      <c r="AX174" s="193"/>
      <c r="AY174" s="181"/>
      <c r="AZ174" s="281"/>
      <c r="BA174" s="181"/>
      <c r="BB174" s="193"/>
      <c r="BC174" s="181"/>
      <c r="BD174" s="281"/>
      <c r="BE174" s="181"/>
      <c r="BF174" s="193"/>
      <c r="BG174" s="195"/>
      <c r="BH174" s="281"/>
      <c r="BI174" s="181"/>
      <c r="BJ174" s="193"/>
      <c r="BK174" s="181"/>
      <c r="BL174" s="281"/>
      <c r="BM174" s="181"/>
      <c r="BN174" s="193"/>
      <c r="BO174" s="181"/>
      <c r="BP174" s="281"/>
      <c r="BQ174" s="181"/>
      <c r="BR174" s="193"/>
      <c r="BS174" s="181"/>
      <c r="BT174" s="281"/>
    </row>
    <row r="175" spans="1:73" ht="39.950000000000003" customHeight="1" x14ac:dyDescent="0.2">
      <c r="B175" s="178"/>
      <c r="C175" s="179"/>
      <c r="D175" s="180"/>
      <c r="E175" s="180"/>
      <c r="F175" s="273"/>
      <c r="G175" s="182"/>
      <c r="H175" s="183"/>
      <c r="I175" s="184"/>
      <c r="J175" s="184"/>
      <c r="K175" s="185"/>
      <c r="L175" s="185"/>
      <c r="M175" s="184"/>
      <c r="N175" s="186"/>
      <c r="O175" s="181"/>
      <c r="P175" s="186"/>
      <c r="Q175" s="184"/>
      <c r="R175" s="183"/>
      <c r="S175" s="188"/>
      <c r="T175" s="186"/>
      <c r="U175" s="189"/>
      <c r="V175" s="189"/>
      <c r="W175" s="190"/>
      <c r="X175" s="190"/>
      <c r="Y175" s="191"/>
      <c r="Z175" s="192"/>
      <c r="AA175" s="281"/>
      <c r="AB175" s="282"/>
      <c r="AC175" s="181"/>
      <c r="AD175" s="193"/>
      <c r="AE175" s="194"/>
      <c r="AF175" s="281"/>
      <c r="AG175" s="181"/>
      <c r="AH175" s="193"/>
      <c r="AI175" s="194"/>
      <c r="AJ175" s="281"/>
      <c r="AK175" s="181"/>
      <c r="AL175" s="193"/>
      <c r="AM175" s="194"/>
      <c r="AN175" s="281"/>
      <c r="AO175" s="181"/>
      <c r="AP175" s="193"/>
      <c r="AQ175" s="194"/>
      <c r="AR175" s="281"/>
      <c r="AS175" s="181"/>
      <c r="AT175" s="193"/>
      <c r="AU175" s="194"/>
      <c r="AV175" s="281"/>
      <c r="AW175" s="181"/>
      <c r="AX175" s="193"/>
      <c r="AY175" s="181"/>
      <c r="AZ175" s="281"/>
      <c r="BA175" s="181"/>
      <c r="BB175" s="193"/>
      <c r="BC175" s="181"/>
      <c r="BD175" s="281"/>
      <c r="BE175" s="181"/>
      <c r="BF175" s="193"/>
      <c r="BG175" s="195"/>
      <c r="BH175" s="281"/>
      <c r="BI175" s="181"/>
      <c r="BJ175" s="193"/>
      <c r="BK175" s="181"/>
      <c r="BL175" s="281"/>
      <c r="BM175" s="181"/>
      <c r="BN175" s="193"/>
      <c r="BO175" s="181"/>
      <c r="BP175" s="281"/>
      <c r="BQ175" s="181"/>
      <c r="BR175" s="193"/>
      <c r="BS175" s="181"/>
      <c r="BT175" s="281"/>
    </row>
    <row r="176" spans="1:73" ht="39.950000000000003" customHeight="1" x14ac:dyDescent="0.2">
      <c r="B176" s="178"/>
      <c r="C176" s="179"/>
      <c r="D176" s="180"/>
      <c r="E176" s="180"/>
      <c r="F176" s="273"/>
      <c r="G176" s="182"/>
      <c r="H176" s="183"/>
      <c r="I176" s="184"/>
      <c r="J176" s="184"/>
      <c r="K176" s="185"/>
      <c r="L176" s="185"/>
      <c r="M176" s="184"/>
      <c r="N176" s="186"/>
      <c r="O176" s="181"/>
      <c r="P176" s="186"/>
      <c r="Q176" s="184"/>
      <c r="R176" s="183"/>
      <c r="S176" s="188"/>
      <c r="T176" s="186"/>
      <c r="U176" s="189"/>
      <c r="V176" s="189"/>
      <c r="W176" s="190"/>
      <c r="X176" s="190"/>
      <c r="Y176" s="191"/>
      <c r="Z176" s="192"/>
      <c r="AA176" s="281"/>
      <c r="AB176" s="282"/>
      <c r="AC176" s="181"/>
      <c r="AD176" s="193"/>
      <c r="AE176" s="194"/>
      <c r="AF176" s="281"/>
      <c r="AG176" s="181"/>
      <c r="AH176" s="193"/>
      <c r="AI176" s="194"/>
      <c r="AJ176" s="281"/>
      <c r="AK176" s="181"/>
      <c r="AL176" s="193"/>
      <c r="AM176" s="194"/>
      <c r="AN176" s="281"/>
      <c r="AO176" s="181"/>
      <c r="AP176" s="193"/>
      <c r="AQ176" s="194"/>
      <c r="AR176" s="281"/>
      <c r="AS176" s="181"/>
      <c r="AT176" s="193"/>
      <c r="AU176" s="194"/>
      <c r="AV176" s="281"/>
      <c r="AW176" s="181"/>
      <c r="AX176" s="193"/>
      <c r="AY176" s="181"/>
      <c r="AZ176" s="281"/>
      <c r="BA176" s="181"/>
      <c r="BB176" s="193"/>
      <c r="BC176" s="181"/>
      <c r="BD176" s="281"/>
      <c r="BE176" s="181"/>
      <c r="BF176" s="193"/>
      <c r="BG176" s="195"/>
      <c r="BH176" s="281"/>
      <c r="BI176" s="181"/>
      <c r="BJ176" s="193"/>
      <c r="BK176" s="181"/>
      <c r="BL176" s="281"/>
      <c r="BM176" s="181"/>
      <c r="BN176" s="193"/>
      <c r="BO176" s="181"/>
      <c r="BP176" s="281"/>
      <c r="BQ176" s="181"/>
      <c r="BR176" s="193"/>
      <c r="BS176" s="181"/>
      <c r="BT176" s="281"/>
    </row>
    <row r="177" spans="1:73" ht="39.950000000000003" customHeight="1" x14ac:dyDescent="0.2">
      <c r="B177" s="178"/>
      <c r="C177" s="179"/>
      <c r="D177" s="180"/>
      <c r="E177" s="180"/>
      <c r="F177" s="273"/>
      <c r="G177" s="182"/>
      <c r="H177" s="183"/>
      <c r="I177" s="184"/>
      <c r="J177" s="184"/>
      <c r="K177" s="185"/>
      <c r="L177" s="185"/>
      <c r="M177" s="184"/>
      <c r="N177" s="186"/>
      <c r="O177" s="181"/>
      <c r="P177" s="186"/>
      <c r="Q177" s="184"/>
      <c r="R177" s="183"/>
      <c r="S177" s="188"/>
      <c r="T177" s="186"/>
      <c r="U177" s="189"/>
      <c r="V177" s="189"/>
      <c r="W177" s="190"/>
      <c r="X177" s="190"/>
      <c r="Y177" s="191"/>
      <c r="Z177" s="192"/>
      <c r="AA177" s="281"/>
      <c r="AB177" s="282"/>
      <c r="AC177" s="181"/>
      <c r="AD177" s="193"/>
      <c r="AE177" s="194"/>
      <c r="AF177" s="281"/>
      <c r="AG177" s="181"/>
      <c r="AH177" s="193"/>
      <c r="AI177" s="194"/>
      <c r="AJ177" s="281"/>
      <c r="AK177" s="181"/>
      <c r="AL177" s="193"/>
      <c r="AM177" s="194"/>
      <c r="AN177" s="281"/>
      <c r="AO177" s="181"/>
      <c r="AP177" s="193"/>
      <c r="AQ177" s="194"/>
      <c r="AR177" s="281"/>
      <c r="AS177" s="181"/>
      <c r="AT177" s="193"/>
      <c r="AU177" s="194"/>
      <c r="AV177" s="281"/>
      <c r="AW177" s="181"/>
      <c r="AX177" s="193"/>
      <c r="AY177" s="181"/>
      <c r="AZ177" s="281"/>
      <c r="BA177" s="181"/>
      <c r="BB177" s="193"/>
      <c r="BC177" s="181"/>
      <c r="BD177" s="281"/>
      <c r="BE177" s="181"/>
      <c r="BF177" s="193"/>
      <c r="BG177" s="195"/>
      <c r="BH177" s="281"/>
      <c r="BI177" s="181"/>
      <c r="BJ177" s="193"/>
      <c r="BK177" s="181"/>
      <c r="BL177" s="281"/>
      <c r="BM177" s="181"/>
      <c r="BN177" s="193"/>
      <c r="BO177" s="181"/>
      <c r="BP177" s="281"/>
      <c r="BQ177" s="181"/>
      <c r="BR177" s="193"/>
      <c r="BS177" s="181"/>
      <c r="BT177" s="281"/>
    </row>
    <row r="178" spans="1:73" ht="39.950000000000003" customHeight="1" x14ac:dyDescent="0.2">
      <c r="B178" s="178"/>
      <c r="C178" s="179"/>
      <c r="D178" s="180"/>
      <c r="E178" s="180"/>
      <c r="F178" s="273"/>
      <c r="G178" s="182"/>
      <c r="H178" s="183"/>
      <c r="I178" s="184"/>
      <c r="J178" s="184"/>
      <c r="K178" s="185"/>
      <c r="L178" s="185"/>
      <c r="M178" s="184"/>
      <c r="N178" s="186"/>
      <c r="O178" s="181"/>
      <c r="P178" s="186"/>
      <c r="Q178" s="184"/>
      <c r="R178" s="183"/>
      <c r="S178" s="188"/>
      <c r="T178" s="186"/>
      <c r="U178" s="189"/>
      <c r="V178" s="189"/>
      <c r="W178" s="190"/>
      <c r="X178" s="190"/>
      <c r="Y178" s="191"/>
      <c r="Z178" s="192"/>
      <c r="AA178" s="281"/>
      <c r="AB178" s="282"/>
      <c r="AC178" s="181"/>
      <c r="AD178" s="193"/>
      <c r="AE178" s="194"/>
      <c r="AF178" s="281"/>
      <c r="AG178" s="181"/>
      <c r="AH178" s="193"/>
      <c r="AI178" s="194"/>
      <c r="AJ178" s="281"/>
      <c r="AK178" s="181"/>
      <c r="AL178" s="193"/>
      <c r="AM178" s="194"/>
      <c r="AN178" s="281"/>
      <c r="AO178" s="181"/>
      <c r="AP178" s="193"/>
      <c r="AQ178" s="194"/>
      <c r="AR178" s="281"/>
      <c r="AS178" s="181"/>
      <c r="AT178" s="193"/>
      <c r="AU178" s="194"/>
      <c r="AV178" s="281"/>
      <c r="AW178" s="181"/>
      <c r="AX178" s="193"/>
      <c r="AY178" s="181"/>
      <c r="AZ178" s="281"/>
      <c r="BA178" s="181"/>
      <c r="BB178" s="193"/>
      <c r="BC178" s="181"/>
      <c r="BD178" s="281"/>
      <c r="BE178" s="181"/>
      <c r="BF178" s="193"/>
      <c r="BG178" s="195"/>
      <c r="BH178" s="281"/>
      <c r="BI178" s="181"/>
      <c r="BJ178" s="193"/>
      <c r="BK178" s="181"/>
      <c r="BL178" s="281"/>
      <c r="BM178" s="181"/>
      <c r="BN178" s="193"/>
      <c r="BO178" s="181"/>
      <c r="BP178" s="281"/>
      <c r="BQ178" s="181"/>
      <c r="BR178" s="193"/>
      <c r="BS178" s="181"/>
      <c r="BT178" s="281"/>
    </row>
    <row r="179" spans="1:73" ht="39.950000000000003" customHeight="1" x14ac:dyDescent="0.2">
      <c r="A179" s="173">
        <f>+A169+1</f>
        <v>167</v>
      </c>
      <c r="B179" s="196"/>
      <c r="C179" s="179"/>
      <c r="D179" s="197"/>
      <c r="E179" s="180"/>
      <c r="F179" s="273"/>
      <c r="G179" s="181"/>
      <c r="H179" s="186"/>
      <c r="I179" s="186"/>
      <c r="J179" s="184"/>
      <c r="K179" s="198"/>
      <c r="L179" s="198"/>
      <c r="M179" s="198"/>
      <c r="N179" s="186"/>
      <c r="O179" s="181"/>
      <c r="P179" s="186"/>
      <c r="Q179" s="199"/>
      <c r="R179" s="200"/>
      <c r="S179" s="200"/>
      <c r="T179" s="200"/>
      <c r="U179" s="200"/>
      <c r="V179" s="200"/>
      <c r="W179" s="200"/>
      <c r="X179" s="200"/>
      <c r="Y179" s="191"/>
      <c r="Z179" s="192"/>
      <c r="AA179" s="281"/>
      <c r="AB179" s="282"/>
      <c r="AC179" s="181"/>
      <c r="AD179" s="193"/>
      <c r="AE179" s="194"/>
      <c r="AF179" s="281"/>
      <c r="AG179" s="181"/>
      <c r="AH179" s="193"/>
      <c r="AI179" s="194"/>
      <c r="AJ179" s="281"/>
      <c r="AK179" s="181"/>
      <c r="AL179" s="193"/>
      <c r="AM179" s="194"/>
      <c r="AN179" s="281"/>
      <c r="AO179" s="181"/>
      <c r="AP179" s="193"/>
      <c r="AQ179" s="194"/>
      <c r="AR179" s="281"/>
      <c r="AS179" s="181"/>
      <c r="AT179" s="193"/>
      <c r="AU179" s="194"/>
      <c r="AV179" s="281"/>
      <c r="AW179" s="181" t="s">
        <v>2231</v>
      </c>
      <c r="AX179" s="193"/>
      <c r="AY179" s="181"/>
      <c r="AZ179" s="281"/>
      <c r="BA179" s="181" t="s">
        <v>2231</v>
      </c>
      <c r="BB179" s="193"/>
      <c r="BC179" s="181"/>
      <c r="BD179" s="281"/>
      <c r="BE179" s="181"/>
      <c r="BF179" s="193"/>
      <c r="BG179" s="195"/>
      <c r="BH179" s="281"/>
      <c r="BI179" s="181"/>
      <c r="BJ179" s="193"/>
      <c r="BK179" s="181"/>
      <c r="BL179" s="281"/>
      <c r="BM179" s="181"/>
      <c r="BN179" s="193"/>
      <c r="BO179" s="181"/>
      <c r="BP179" s="281"/>
      <c r="BQ179" s="181"/>
      <c r="BR179" s="193"/>
      <c r="BS179" s="181"/>
      <c r="BT179" s="281"/>
    </row>
    <row r="180" spans="1:73" ht="39.950000000000003" customHeight="1" x14ac:dyDescent="0.2">
      <c r="A180" s="173">
        <f t="shared" ref="A180" si="26">+A179+1</f>
        <v>168</v>
      </c>
      <c r="B180" s="196"/>
      <c r="C180" s="179"/>
      <c r="D180" s="197"/>
      <c r="E180" s="180"/>
      <c r="F180" s="273"/>
      <c r="G180" s="181"/>
      <c r="H180" s="186"/>
      <c r="I180" s="186"/>
      <c r="J180" s="184"/>
      <c r="K180" s="198"/>
      <c r="L180" s="198"/>
      <c r="M180" s="198"/>
      <c r="N180" s="186"/>
      <c r="O180" s="181"/>
      <c r="P180" s="186"/>
      <c r="Q180" s="199"/>
      <c r="R180" s="200"/>
      <c r="S180" s="200"/>
      <c r="T180" s="200"/>
      <c r="U180" s="200"/>
      <c r="V180" s="200"/>
      <c r="W180" s="200"/>
      <c r="X180" s="200"/>
      <c r="Y180" s="191"/>
      <c r="Z180" s="192"/>
      <c r="AA180" s="281"/>
      <c r="AB180" s="282"/>
      <c r="AC180" s="181"/>
      <c r="AD180" s="193"/>
      <c r="AE180" s="194"/>
      <c r="AF180" s="281"/>
      <c r="AG180" s="181"/>
      <c r="AH180" s="193"/>
      <c r="AI180" s="194"/>
      <c r="AJ180" s="281"/>
      <c r="AK180" s="181"/>
      <c r="AL180" s="193"/>
      <c r="AM180" s="194"/>
      <c r="AN180" s="281"/>
      <c r="AO180" s="181"/>
      <c r="AP180" s="193"/>
      <c r="AQ180" s="194"/>
      <c r="AR180" s="281"/>
      <c r="AS180" s="181"/>
      <c r="AT180" s="193"/>
      <c r="AU180" s="194"/>
      <c r="AV180" s="281"/>
      <c r="AW180" s="181" t="s">
        <v>2231</v>
      </c>
      <c r="AX180" s="193"/>
      <c r="AY180" s="181"/>
      <c r="AZ180" s="281"/>
      <c r="BA180" s="181" t="s">
        <v>2231</v>
      </c>
      <c r="BB180" s="193"/>
      <c r="BC180" s="181"/>
      <c r="BD180" s="281"/>
      <c r="BE180" s="181"/>
      <c r="BF180" s="193"/>
      <c r="BG180" s="195"/>
      <c r="BH180" s="281"/>
      <c r="BI180" s="181"/>
      <c r="BJ180" s="193"/>
      <c r="BK180" s="181"/>
      <c r="BL180" s="281"/>
      <c r="BM180" s="181"/>
      <c r="BN180" s="193"/>
      <c r="BO180" s="181"/>
      <c r="BP180" s="281"/>
      <c r="BQ180" s="181"/>
      <c r="BR180" s="193"/>
      <c r="BS180" s="181"/>
      <c r="BT180" s="281"/>
    </row>
    <row r="181" spans="1:73" ht="39.950000000000003" customHeight="1" x14ac:dyDescent="0.2">
      <c r="J181" s="342" t="s">
        <v>2981</v>
      </c>
      <c r="K181" s="175"/>
      <c r="L181" s="175"/>
      <c r="M181" s="175"/>
      <c r="Q181" s="175"/>
      <c r="R181" s="175"/>
      <c r="S181" s="175"/>
      <c r="Z181" s="175"/>
      <c r="AD181" s="175"/>
      <c r="AE181" s="175"/>
      <c r="AF181" s="175"/>
      <c r="AG181" s="175"/>
      <c r="AH181" s="175"/>
      <c r="AI181" s="175"/>
      <c r="AJ181" s="175"/>
      <c r="AK181" s="175"/>
      <c r="AL181" s="175"/>
      <c r="AM181" s="175"/>
      <c r="AN181" s="175"/>
      <c r="AO181" s="175"/>
      <c r="AP181" s="175"/>
      <c r="AQ181" s="175"/>
      <c r="AR181" s="175"/>
      <c r="AS181" s="175"/>
      <c r="AT181" s="175"/>
      <c r="AU181" s="175"/>
      <c r="AV181" s="175"/>
      <c r="AX181" s="175"/>
      <c r="AY181" s="175"/>
      <c r="BB181" s="175"/>
      <c r="BF181" s="175"/>
      <c r="BJ181" s="175"/>
      <c r="BN181" s="175"/>
      <c r="BR181" s="175"/>
    </row>
    <row r="182" spans="1:73" x14ac:dyDescent="0.2">
      <c r="BU182" s="175" t="s">
        <v>2231</v>
      </c>
    </row>
    <row r="183" spans="1:73" x14ac:dyDescent="0.2">
      <c r="P183" s="175" t="s">
        <v>2678</v>
      </c>
      <c r="BU183" s="175" t="s">
        <v>2231</v>
      </c>
    </row>
    <row r="184" spans="1:73" x14ac:dyDescent="0.2">
      <c r="H184" s="201">
        <v>250</v>
      </c>
      <c r="I184" s="201">
        <v>0</v>
      </c>
      <c r="J184" s="208"/>
      <c r="K184" s="201"/>
      <c r="L184" s="201"/>
      <c r="M184" s="201"/>
      <c r="P184" s="175" t="s">
        <v>2679</v>
      </c>
      <c r="AM184" s="212"/>
      <c r="AN184" s="213"/>
      <c r="AO184" s="213"/>
      <c r="AP184" s="204"/>
      <c r="AQ184" s="175"/>
      <c r="AR184" s="175"/>
      <c r="AS184" s="175"/>
    </row>
    <row r="185" spans="1:73" x14ac:dyDescent="0.2">
      <c r="AM185" s="213"/>
      <c r="AN185" s="213"/>
      <c r="AO185" s="213"/>
      <c r="AP185" s="204"/>
      <c r="AQ185" s="175"/>
      <c r="AR185" s="175"/>
      <c r="AS185" s="175"/>
    </row>
    <row r="186" spans="1:73" x14ac:dyDescent="0.2">
      <c r="P186" s="175" t="s">
        <v>2682</v>
      </c>
      <c r="AM186" s="213"/>
      <c r="AN186" s="213"/>
      <c r="AO186" s="213"/>
      <c r="AP186" s="204"/>
      <c r="AQ186" s="175"/>
      <c r="AR186" s="175"/>
      <c r="AS186" s="175"/>
    </row>
    <row r="187" spans="1:73" x14ac:dyDescent="0.2">
      <c r="AM187" s="213"/>
      <c r="AN187" s="213"/>
      <c r="AO187" s="213"/>
      <c r="AP187" s="204"/>
      <c r="AQ187" s="175"/>
      <c r="AR187" s="175"/>
      <c r="AS187" s="175"/>
    </row>
    <row r="188" spans="1:73" x14ac:dyDescent="0.2">
      <c r="AM188" s="213"/>
      <c r="AN188" s="213"/>
      <c r="AO188" s="213"/>
      <c r="AP188" s="204"/>
      <c r="AQ188" s="175"/>
      <c r="AR188" s="175"/>
      <c r="AS188" s="175"/>
    </row>
    <row r="189" spans="1:73" x14ac:dyDescent="0.2">
      <c r="AM189" s="213"/>
      <c r="AN189" s="213"/>
      <c r="AO189" s="213"/>
      <c r="AP189" s="204"/>
      <c r="AQ189" s="175"/>
      <c r="AR189" s="175"/>
      <c r="AS189" s="175"/>
    </row>
    <row r="190" spans="1:73" x14ac:dyDescent="0.2">
      <c r="AM190" s="213"/>
      <c r="AN190" s="213"/>
      <c r="AO190" s="213"/>
      <c r="AP190" s="204"/>
      <c r="AQ190" s="175"/>
      <c r="AR190" s="175"/>
      <c r="AS190" s="175"/>
    </row>
    <row r="191" spans="1:73" x14ac:dyDescent="0.2">
      <c r="AM191" s="213"/>
      <c r="AN191" s="213"/>
      <c r="AO191" s="213"/>
      <c r="AP191" s="204"/>
      <c r="AQ191" s="175"/>
      <c r="AR191" s="175"/>
      <c r="AS191" s="175"/>
    </row>
    <row r="192" spans="1:73" x14ac:dyDescent="0.2">
      <c r="AM192" s="213"/>
      <c r="AN192" s="213"/>
      <c r="AO192" s="213"/>
      <c r="AP192" s="204"/>
      <c r="AQ192" s="175"/>
      <c r="AR192" s="175"/>
      <c r="AS192" s="175"/>
    </row>
    <row r="193" spans="39:57" x14ac:dyDescent="0.2">
      <c r="AM193" s="219"/>
      <c r="AN193" s="213"/>
      <c r="AO193" s="213"/>
      <c r="AP193" s="204"/>
      <c r="AQ193" s="175"/>
      <c r="AR193" s="175"/>
      <c r="AS193" s="175"/>
    </row>
    <row r="194" spans="39:57" x14ac:dyDescent="0.2">
      <c r="AM194" s="175"/>
      <c r="AN194" s="175"/>
      <c r="AO194" s="175"/>
      <c r="AP194" s="204"/>
      <c r="AQ194" s="175"/>
      <c r="AR194" s="175"/>
      <c r="AS194" s="175"/>
    </row>
    <row r="195" spans="39:57" x14ac:dyDescent="0.2">
      <c r="AM195" s="212"/>
      <c r="AN195" s="213"/>
      <c r="AO195" s="213"/>
      <c r="AP195" s="204"/>
      <c r="AQ195" s="175"/>
      <c r="AR195" s="175"/>
      <c r="AS195" s="175"/>
    </row>
    <row r="196" spans="39:57" x14ac:dyDescent="0.2">
      <c r="AM196" s="221"/>
      <c r="AN196" s="221"/>
      <c r="AO196" s="221"/>
      <c r="AP196" s="204"/>
      <c r="AQ196" s="175"/>
      <c r="AR196" s="175"/>
      <c r="AS196" s="175"/>
    </row>
    <row r="197" spans="39:57" x14ac:dyDescent="0.2">
      <c r="AM197" s="221"/>
      <c r="AN197" s="221"/>
      <c r="AO197" s="221"/>
      <c r="AP197" s="204"/>
      <c r="AQ197" s="175"/>
      <c r="AR197" s="175"/>
      <c r="AS197" s="175"/>
    </row>
    <row r="198" spans="39:57" x14ac:dyDescent="0.2">
      <c r="AM198" s="221"/>
      <c r="AN198" s="221"/>
      <c r="AO198" s="221"/>
      <c r="AP198" s="204"/>
      <c r="AQ198" s="175"/>
      <c r="AR198" s="175"/>
      <c r="AS198" s="175"/>
    </row>
    <row r="199" spans="39:57" x14ac:dyDescent="0.2">
      <c r="AM199" s="221"/>
      <c r="AN199" s="221"/>
      <c r="AO199" s="221"/>
      <c r="AP199" s="204"/>
      <c r="AQ199" s="175"/>
      <c r="AR199" s="175"/>
      <c r="AS199" s="175"/>
    </row>
    <row r="200" spans="39:57" x14ac:dyDescent="0.2">
      <c r="AM200" s="221"/>
      <c r="AN200" s="221"/>
      <c r="AO200" s="221"/>
      <c r="AP200" s="204"/>
      <c r="AQ200" s="175"/>
      <c r="AR200" s="175"/>
      <c r="AS200" s="175"/>
    </row>
    <row r="201" spans="39:57" x14ac:dyDescent="0.2">
      <c r="AM201" s="221"/>
      <c r="AN201" s="221"/>
      <c r="AO201" s="221"/>
      <c r="AP201" s="204"/>
      <c r="AQ201" s="175"/>
      <c r="AR201" s="175"/>
      <c r="AS201" s="175"/>
      <c r="AT201" s="204"/>
      <c r="AU201" s="175"/>
      <c r="AV201" s="175"/>
      <c r="AX201" s="204"/>
      <c r="AY201" s="175"/>
      <c r="BD201" s="222"/>
      <c r="BE201" s="222"/>
    </row>
    <row r="202" spans="39:57" x14ac:dyDescent="0.2">
      <c r="AM202" s="221"/>
      <c r="AN202" s="221"/>
      <c r="AO202" s="221"/>
      <c r="AP202" s="204"/>
      <c r="AQ202" s="175"/>
      <c r="AR202" s="175"/>
      <c r="AS202" s="175"/>
      <c r="AT202" s="204"/>
      <c r="AU202" s="175"/>
      <c r="AV202" s="175"/>
      <c r="AX202" s="204"/>
      <c r="AY202" s="175"/>
      <c r="BD202" s="222"/>
      <c r="BE202" s="222"/>
    </row>
    <row r="203" spans="39:57" x14ac:dyDescent="0.2">
      <c r="AM203" s="223"/>
      <c r="AN203" s="221"/>
      <c r="AO203" s="221"/>
      <c r="AP203" s="204"/>
      <c r="AQ203" s="175"/>
      <c r="AR203" s="175"/>
      <c r="AS203" s="175"/>
      <c r="AT203" s="204"/>
      <c r="AU203" s="175"/>
      <c r="AV203" s="175"/>
      <c r="AX203" s="204"/>
      <c r="AY203" s="175"/>
      <c r="BD203" s="222"/>
      <c r="BE203" s="222"/>
    </row>
    <row r="204" spans="39:57" x14ac:dyDescent="0.2">
      <c r="AP204" s="204"/>
      <c r="AQ204" s="175"/>
      <c r="AR204" s="175"/>
      <c r="AS204" s="175"/>
      <c r="AT204" s="204"/>
      <c r="AU204" s="175"/>
      <c r="AV204" s="175"/>
      <c r="AX204" s="204"/>
      <c r="AY204" s="175"/>
      <c r="BD204" s="222"/>
      <c r="BE204" s="222"/>
    </row>
    <row r="205" spans="39:57" x14ac:dyDescent="0.2">
      <c r="AM205" s="175"/>
      <c r="AN205" s="175"/>
      <c r="AO205" s="175"/>
      <c r="AP205" s="204"/>
      <c r="AQ205" s="175"/>
      <c r="AR205" s="175"/>
      <c r="AS205" s="175"/>
      <c r="AT205" s="204"/>
      <c r="AU205" s="175"/>
      <c r="AV205" s="175"/>
      <c r="AX205" s="204"/>
      <c r="AY205" s="175"/>
      <c r="BD205" s="222"/>
      <c r="BE205" s="222"/>
    </row>
    <row r="206" spans="39:57" x14ac:dyDescent="0.2">
      <c r="BD206" s="222"/>
      <c r="BE206" s="222"/>
    </row>
    <row r="207" spans="39:57" x14ac:dyDescent="0.2">
      <c r="BD207" s="222"/>
      <c r="BE207" s="222"/>
    </row>
    <row r="220" spans="39:51" x14ac:dyDescent="0.2">
      <c r="AM220" s="175"/>
      <c r="AN220" s="175"/>
      <c r="AO220" s="175"/>
      <c r="AP220" s="204"/>
      <c r="AQ220" s="175"/>
      <c r="AR220" s="175"/>
      <c r="AS220" s="175"/>
      <c r="AT220" s="204"/>
      <c r="AU220" s="175"/>
      <c r="AV220" s="175"/>
      <c r="AX220" s="204"/>
      <c r="AY220" s="175"/>
    </row>
    <row r="221" spans="39:51" x14ac:dyDescent="0.2">
      <c r="AM221" s="175"/>
      <c r="AN221" s="175"/>
      <c r="AO221" s="175"/>
    </row>
    <row r="222" spans="39:51" x14ac:dyDescent="0.2">
      <c r="AM222" s="175"/>
      <c r="AN222" s="175"/>
      <c r="AO222" s="175"/>
    </row>
    <row r="223" spans="39:51" x14ac:dyDescent="0.2">
      <c r="AM223" s="175"/>
      <c r="AN223" s="175"/>
      <c r="AO223" s="175"/>
    </row>
    <row r="224" spans="39:51" x14ac:dyDescent="0.2">
      <c r="AM224" s="175"/>
      <c r="AN224" s="175"/>
      <c r="AO224" s="175"/>
    </row>
    <row r="225" spans="39:51" x14ac:dyDescent="0.2">
      <c r="AM225" s="175"/>
      <c r="AN225" s="175"/>
      <c r="AO225" s="175"/>
    </row>
    <row r="226" spans="39:51" x14ac:dyDescent="0.2">
      <c r="AM226" s="175"/>
      <c r="AN226" s="175"/>
      <c r="AO226" s="175"/>
    </row>
    <row r="227" spans="39:51" x14ac:dyDescent="0.2">
      <c r="AM227" s="175"/>
      <c r="AN227" s="175"/>
      <c r="AO227" s="175"/>
    </row>
    <row r="228" spans="39:51" x14ac:dyDescent="0.2">
      <c r="AM228" s="175"/>
      <c r="AN228" s="175"/>
      <c r="AO228" s="175"/>
    </row>
    <row r="229" spans="39:51" x14ac:dyDescent="0.2">
      <c r="AM229" s="175"/>
      <c r="AN229" s="175"/>
      <c r="AO229" s="175"/>
    </row>
    <row r="230" spans="39:51" x14ac:dyDescent="0.2">
      <c r="AM230" s="175"/>
      <c r="AN230" s="175"/>
      <c r="AO230" s="175"/>
    </row>
    <row r="231" spans="39:51" x14ac:dyDescent="0.2">
      <c r="AM231" s="175"/>
      <c r="AN231" s="175"/>
      <c r="AO231" s="175"/>
    </row>
    <row r="232" spans="39:51" x14ac:dyDescent="0.2">
      <c r="AM232" s="175"/>
      <c r="AN232" s="175"/>
      <c r="AO232" s="175"/>
    </row>
    <row r="233" spans="39:51" x14ac:dyDescent="0.2">
      <c r="AM233" s="175"/>
      <c r="AN233" s="175"/>
      <c r="AO233" s="175"/>
    </row>
    <row r="234" spans="39:51" x14ac:dyDescent="0.2">
      <c r="AM234" s="175"/>
      <c r="AN234" s="175"/>
      <c r="AO234" s="175"/>
    </row>
    <row r="235" spans="39:51" x14ac:dyDescent="0.2">
      <c r="AM235" s="175"/>
      <c r="AN235" s="175"/>
      <c r="AO235" s="175"/>
      <c r="AP235" s="204"/>
      <c r="AQ235" s="175"/>
      <c r="AR235" s="175"/>
      <c r="AS235" s="175"/>
      <c r="AT235" s="204"/>
      <c r="AU235" s="175"/>
      <c r="AV235" s="175"/>
      <c r="AX235" s="204"/>
      <c r="AY235" s="175"/>
    </row>
    <row r="236" spans="39:51" x14ac:dyDescent="0.2">
      <c r="AM236" s="175"/>
      <c r="AN236" s="175"/>
      <c r="AO236" s="175"/>
      <c r="AP236" s="204"/>
      <c r="AQ236" s="175"/>
      <c r="AR236" s="175"/>
      <c r="AS236" s="175"/>
      <c r="AT236" s="204"/>
      <c r="AU236" s="175"/>
      <c r="AV236" s="175"/>
      <c r="AX236" s="204"/>
      <c r="AY236" s="175"/>
    </row>
    <row r="237" spans="39:51" x14ac:dyDescent="0.2">
      <c r="AP237" s="204"/>
      <c r="AQ237" s="175"/>
      <c r="AR237" s="175"/>
      <c r="AS237" s="175"/>
      <c r="AT237" s="204"/>
      <c r="AU237" s="175"/>
      <c r="AV237" s="175"/>
      <c r="AX237" s="204"/>
      <c r="AY237" s="175"/>
    </row>
    <row r="239" spans="39:51" x14ac:dyDescent="0.2">
      <c r="AP239" s="204"/>
      <c r="AQ239" s="175"/>
      <c r="AR239" s="175"/>
      <c r="AS239" s="175"/>
      <c r="AT239" s="204"/>
      <c r="AU239" s="175"/>
      <c r="AV239" s="175"/>
      <c r="AX239" s="204"/>
      <c r="AY239" s="175"/>
    </row>
    <row r="240" spans="39:51" x14ac:dyDescent="0.2">
      <c r="AP240" s="204"/>
      <c r="AQ240" s="175"/>
      <c r="AR240" s="175"/>
      <c r="AS240" s="175"/>
      <c r="AT240" s="204"/>
      <c r="AU240" s="175"/>
      <c r="AV240" s="175"/>
      <c r="AX240" s="204"/>
      <c r="AY240" s="175"/>
    </row>
    <row r="241" spans="39:51" x14ac:dyDescent="0.2">
      <c r="AP241" s="204"/>
      <c r="AQ241" s="175"/>
      <c r="AR241" s="175"/>
      <c r="AS241" s="175"/>
      <c r="AT241" s="204"/>
      <c r="AU241" s="175"/>
      <c r="AV241" s="175"/>
      <c r="AX241" s="204"/>
      <c r="AY241" s="175"/>
    </row>
    <row r="242" spans="39:51" x14ac:dyDescent="0.2">
      <c r="AP242" s="204"/>
      <c r="AQ242" s="175"/>
      <c r="AR242" s="175"/>
      <c r="AS242" s="175"/>
      <c r="AT242" s="204"/>
      <c r="AU242" s="175"/>
      <c r="AV242" s="175"/>
      <c r="AX242" s="204"/>
      <c r="AY242" s="175"/>
    </row>
    <row r="243" spans="39:51" x14ac:dyDescent="0.2">
      <c r="AP243" s="204"/>
      <c r="AQ243" s="175"/>
      <c r="AR243" s="175"/>
      <c r="AS243" s="175"/>
      <c r="AT243" s="204"/>
      <c r="AU243" s="175"/>
      <c r="AV243" s="175"/>
      <c r="AX243" s="204"/>
      <c r="AY243" s="175"/>
    </row>
    <row r="244" spans="39:51" x14ac:dyDescent="0.2">
      <c r="AP244" s="204"/>
      <c r="AQ244" s="175"/>
      <c r="AR244" s="175"/>
      <c r="AS244" s="175"/>
      <c r="AT244" s="204"/>
      <c r="AU244" s="175"/>
      <c r="AV244" s="175"/>
      <c r="AX244" s="204"/>
      <c r="AY244" s="175"/>
    </row>
    <row r="245" spans="39:51" x14ac:dyDescent="0.2">
      <c r="AP245" s="204"/>
      <c r="AQ245" s="175"/>
      <c r="AR245" s="175"/>
      <c r="AS245" s="175"/>
      <c r="AT245" s="204"/>
      <c r="AU245" s="175"/>
      <c r="AV245" s="175"/>
      <c r="AX245" s="204"/>
      <c r="AY245" s="175"/>
    </row>
    <row r="246" spans="39:51" x14ac:dyDescent="0.2">
      <c r="AP246" s="204"/>
      <c r="AQ246" s="175"/>
      <c r="AR246" s="175"/>
      <c r="AS246" s="175"/>
      <c r="AT246" s="204"/>
      <c r="AU246" s="175"/>
      <c r="AV246" s="175"/>
      <c r="AX246" s="204"/>
      <c r="AY246" s="175"/>
    </row>
    <row r="247" spans="39:51" x14ac:dyDescent="0.2">
      <c r="AP247" s="204"/>
      <c r="AQ247" s="175"/>
      <c r="AR247" s="175"/>
      <c r="AS247" s="175"/>
      <c r="AT247" s="204"/>
      <c r="AU247" s="175"/>
      <c r="AV247" s="175"/>
      <c r="AX247" s="204"/>
      <c r="AY247" s="175"/>
    </row>
    <row r="248" spans="39:51" x14ac:dyDescent="0.2">
      <c r="AM248" s="175"/>
      <c r="AN248" s="175"/>
      <c r="AO248" s="175"/>
      <c r="AP248" s="204"/>
      <c r="AQ248" s="175"/>
      <c r="AR248" s="175"/>
      <c r="AS248" s="175"/>
      <c r="AT248" s="204"/>
      <c r="AU248" s="175"/>
      <c r="AV248" s="175"/>
      <c r="AX248" s="204"/>
      <c r="AY248" s="175"/>
    </row>
    <row r="251" spans="39:51" x14ac:dyDescent="0.2">
      <c r="AM251" s="210"/>
      <c r="AN251" s="221"/>
      <c r="AO251" s="221"/>
    </row>
    <row r="252" spans="39:51" x14ac:dyDescent="0.2">
      <c r="AM252" s="221"/>
      <c r="AN252" s="221"/>
      <c r="AO252" s="221"/>
    </row>
    <row r="253" spans="39:51" x14ac:dyDescent="0.2">
      <c r="AM253" s="221"/>
      <c r="AN253" s="221"/>
      <c r="AO253" s="221"/>
    </row>
    <row r="254" spans="39:51" x14ac:dyDescent="0.2">
      <c r="AM254" s="221"/>
      <c r="AN254" s="221"/>
      <c r="AO254" s="221"/>
    </row>
    <row r="255" spans="39:51" x14ac:dyDescent="0.2">
      <c r="AM255" s="221"/>
      <c r="AN255" s="221"/>
      <c r="AO255" s="221"/>
    </row>
    <row r="256" spans="39:51" x14ac:dyDescent="0.2">
      <c r="AM256" s="221"/>
      <c r="AN256" s="221"/>
      <c r="AO256" s="221"/>
    </row>
    <row r="257" spans="39:58" x14ac:dyDescent="0.2">
      <c r="AM257" s="223"/>
      <c r="AN257" s="221"/>
      <c r="AO257" s="221"/>
    </row>
    <row r="259" spans="39:58" x14ac:dyDescent="0.2">
      <c r="AM259" s="210"/>
      <c r="AN259" s="221"/>
      <c r="AO259" s="221"/>
    </row>
    <row r="260" spans="39:58" x14ac:dyDescent="0.2">
      <c r="AM260" s="221"/>
      <c r="AN260" s="221"/>
      <c r="AO260" s="221"/>
    </row>
    <row r="261" spans="39:58" x14ac:dyDescent="0.2">
      <c r="AM261" s="221"/>
      <c r="AN261" s="221"/>
      <c r="AO261" s="221"/>
    </row>
    <row r="262" spans="39:58" x14ac:dyDescent="0.2">
      <c r="AM262" s="221"/>
      <c r="AN262" s="221"/>
      <c r="AO262" s="221"/>
    </row>
    <row r="263" spans="39:58" x14ac:dyDescent="0.2">
      <c r="AM263" s="221"/>
      <c r="AN263" s="221"/>
      <c r="AO263" s="221"/>
    </row>
    <row r="264" spans="39:58" x14ac:dyDescent="0.2">
      <c r="AM264" s="221"/>
      <c r="AN264" s="221"/>
      <c r="AO264" s="221"/>
    </row>
    <row r="265" spans="39:58" x14ac:dyDescent="0.2">
      <c r="AM265" s="221"/>
      <c r="AN265" s="221"/>
      <c r="AO265" s="221"/>
    </row>
    <row r="266" spans="39:58" x14ac:dyDescent="0.2">
      <c r="AM266" s="221"/>
      <c r="AN266" s="221"/>
      <c r="AO266" s="221"/>
    </row>
    <row r="267" spans="39:58" x14ac:dyDescent="0.2">
      <c r="AM267" s="221"/>
      <c r="AN267" s="221"/>
      <c r="AO267" s="221"/>
    </row>
    <row r="268" spans="39:58" x14ac:dyDescent="0.2">
      <c r="AM268" s="221"/>
      <c r="AN268" s="221"/>
      <c r="AO268" s="221"/>
    </row>
    <row r="269" spans="39:58" x14ac:dyDescent="0.2">
      <c r="AM269" s="221"/>
      <c r="AN269" s="221"/>
      <c r="AO269" s="221"/>
    </row>
    <row r="270" spans="39:58" x14ac:dyDescent="0.2">
      <c r="AM270" s="223"/>
      <c r="AN270" s="221"/>
      <c r="AO270" s="221"/>
    </row>
    <row r="272" spans="39:58" x14ac:dyDescent="0.2">
      <c r="AM272" s="210"/>
      <c r="AN272" s="210"/>
      <c r="AO272" s="210"/>
      <c r="AP272" s="211"/>
      <c r="AQ272" s="210"/>
      <c r="AR272" s="210"/>
      <c r="AS272" s="210"/>
      <c r="AT272" s="211"/>
      <c r="AU272" s="210"/>
      <c r="AV272" s="210"/>
      <c r="AX272" s="211"/>
      <c r="AY272" s="210"/>
      <c r="AZ272" s="210"/>
      <c r="BB272" s="211"/>
      <c r="BC272" s="210"/>
      <c r="BD272" s="210"/>
      <c r="BE272" s="210"/>
      <c r="BF272" s="211"/>
    </row>
    <row r="273" spans="23:58" x14ac:dyDescent="0.2">
      <c r="AM273" s="221"/>
      <c r="AN273" s="221"/>
      <c r="AO273" s="221"/>
    </row>
    <row r="274" spans="23:58" x14ac:dyDescent="0.2">
      <c r="AM274" s="221"/>
      <c r="AN274" s="221"/>
      <c r="AO274" s="221"/>
    </row>
    <row r="275" spans="23:58" x14ac:dyDescent="0.2">
      <c r="AM275" s="221"/>
      <c r="AN275" s="221"/>
      <c r="AO275" s="221"/>
    </row>
    <row r="276" spans="23:58" x14ac:dyDescent="0.2">
      <c r="AM276" s="221"/>
      <c r="AN276" s="221"/>
      <c r="AO276" s="221"/>
    </row>
    <row r="277" spans="23:58" x14ac:dyDescent="0.2">
      <c r="AM277" s="221"/>
      <c r="AN277" s="221"/>
      <c r="AO277" s="221"/>
    </row>
    <row r="278" spans="23:58" x14ac:dyDescent="0.2">
      <c r="AM278" s="221"/>
      <c r="AN278" s="221"/>
      <c r="AO278" s="221"/>
    </row>
    <row r="279" spans="23:58" x14ac:dyDescent="0.2">
      <c r="BF279" s="228"/>
    </row>
    <row r="280" spans="23:58" x14ac:dyDescent="0.2">
      <c r="AM280" s="210"/>
      <c r="AN280" s="221"/>
      <c r="AO280" s="221"/>
    </row>
    <row r="281" spans="23:58" x14ac:dyDescent="0.2">
      <c r="AM281" s="221"/>
      <c r="AN281" s="221"/>
      <c r="AO281" s="221"/>
    </row>
    <row r="282" spans="23:58" x14ac:dyDescent="0.2">
      <c r="AM282" s="221"/>
      <c r="AN282" s="221"/>
      <c r="AO282" s="221"/>
    </row>
    <row r="283" spans="23:58" x14ac:dyDescent="0.2">
      <c r="AM283" s="221"/>
      <c r="AN283" s="221"/>
      <c r="AO283" s="221"/>
    </row>
    <row r="284" spans="23:58" x14ac:dyDescent="0.2">
      <c r="AM284" s="221"/>
      <c r="AN284" s="221"/>
      <c r="AO284" s="221"/>
    </row>
    <row r="285" spans="23:58" x14ac:dyDescent="0.2">
      <c r="AM285" s="221"/>
      <c r="AN285" s="221"/>
      <c r="AO285" s="221"/>
    </row>
    <row r="286" spans="23:58" x14ac:dyDescent="0.2">
      <c r="W286" s="175" t="s">
        <v>2231</v>
      </c>
      <c r="AM286" s="221"/>
      <c r="AN286" s="221"/>
      <c r="AO286" s="221"/>
    </row>
    <row r="287" spans="23:58" x14ac:dyDescent="0.2">
      <c r="AM287" s="221"/>
      <c r="AN287" s="221"/>
      <c r="AO287" s="221"/>
    </row>
    <row r="288" spans="23:58" x14ac:dyDescent="0.2">
      <c r="AM288" s="221"/>
      <c r="AN288" s="221"/>
      <c r="AO288" s="221"/>
    </row>
    <row r="289" spans="6:41" x14ac:dyDescent="0.2">
      <c r="AM289" s="221"/>
      <c r="AN289" s="221"/>
      <c r="AO289" s="221"/>
    </row>
    <row r="290" spans="6:41" x14ac:dyDescent="0.2">
      <c r="AM290" s="221"/>
      <c r="AN290" s="221"/>
      <c r="AO290" s="221"/>
    </row>
    <row r="291" spans="6:41" x14ac:dyDescent="0.2">
      <c r="AM291" s="223"/>
      <c r="AN291" s="221"/>
      <c r="AO291" s="221"/>
    </row>
    <row r="293" spans="6:41" x14ac:dyDescent="0.2">
      <c r="AM293" s="210"/>
      <c r="AN293" s="221"/>
      <c r="AO293" s="221"/>
    </row>
    <row r="294" spans="6:41" x14ac:dyDescent="0.2">
      <c r="AM294" s="221"/>
      <c r="AN294" s="221"/>
      <c r="AO294" s="221"/>
    </row>
    <row r="295" spans="6:41" x14ac:dyDescent="0.2">
      <c r="AM295" s="221"/>
      <c r="AN295" s="221"/>
      <c r="AO295" s="221"/>
    </row>
    <row r="296" spans="6:41" x14ac:dyDescent="0.2">
      <c r="AM296" s="221"/>
      <c r="AN296" s="221"/>
      <c r="AO296" s="221"/>
    </row>
    <row r="297" spans="6:41" x14ac:dyDescent="0.2">
      <c r="F297" s="347"/>
      <c r="AM297" s="221"/>
      <c r="AN297" s="221"/>
      <c r="AO297" s="221"/>
    </row>
    <row r="298" spans="6:41" x14ac:dyDescent="0.2">
      <c r="AM298" s="221"/>
      <c r="AN298" s="221"/>
      <c r="AO298" s="221"/>
    </row>
    <row r="299" spans="6:41" x14ac:dyDescent="0.2">
      <c r="AM299" s="221"/>
      <c r="AN299" s="221"/>
      <c r="AO299" s="221"/>
    </row>
    <row r="300" spans="6:41" x14ac:dyDescent="0.2">
      <c r="AM300" s="221"/>
      <c r="AN300" s="221"/>
      <c r="AO300" s="221"/>
    </row>
    <row r="301" spans="6:41" x14ac:dyDescent="0.2">
      <c r="AM301" s="221"/>
      <c r="AN301" s="221"/>
      <c r="AO301" s="221"/>
    </row>
    <row r="302" spans="6:41" x14ac:dyDescent="0.2">
      <c r="AM302" s="221"/>
      <c r="AN302" s="221"/>
      <c r="AO302" s="221"/>
    </row>
    <row r="303" spans="6:41" x14ac:dyDescent="0.2">
      <c r="AM303" s="221"/>
      <c r="AN303" s="221"/>
      <c r="AO303" s="221"/>
    </row>
    <row r="304" spans="6:41" x14ac:dyDescent="0.2">
      <c r="AM304" s="223"/>
      <c r="AN304" s="221"/>
      <c r="AO304" s="221"/>
    </row>
    <row r="306" spans="39:41" x14ac:dyDescent="0.2">
      <c r="AM306" s="210"/>
      <c r="AN306" s="221"/>
      <c r="AO306" s="221"/>
    </row>
    <row r="307" spans="39:41" x14ac:dyDescent="0.2">
      <c r="AM307" s="221"/>
      <c r="AN307" s="221"/>
      <c r="AO307" s="221"/>
    </row>
    <row r="308" spans="39:41" x14ac:dyDescent="0.2">
      <c r="AM308" s="221"/>
      <c r="AN308" s="221"/>
      <c r="AO308" s="221"/>
    </row>
    <row r="309" spans="39:41" x14ac:dyDescent="0.2">
      <c r="AM309" s="221"/>
      <c r="AN309" s="221"/>
      <c r="AO309" s="221"/>
    </row>
    <row r="310" spans="39:41" x14ac:dyDescent="0.2">
      <c r="AM310" s="221"/>
      <c r="AN310" s="221"/>
      <c r="AO310" s="221"/>
    </row>
    <row r="311" spans="39:41" x14ac:dyDescent="0.2">
      <c r="AM311" s="221"/>
      <c r="AN311" s="221"/>
      <c r="AO311" s="221"/>
    </row>
    <row r="312" spans="39:41" x14ac:dyDescent="0.2">
      <c r="AM312" s="221"/>
      <c r="AN312" s="221"/>
      <c r="AO312" s="221"/>
    </row>
    <row r="313" spans="39:41" x14ac:dyDescent="0.2">
      <c r="AM313" s="221"/>
      <c r="AN313" s="221"/>
      <c r="AO313" s="221"/>
    </row>
    <row r="314" spans="39:41" x14ac:dyDescent="0.2">
      <c r="AM314" s="221"/>
      <c r="AN314" s="221"/>
      <c r="AO314" s="221"/>
    </row>
    <row r="315" spans="39:41" x14ac:dyDescent="0.2">
      <c r="AM315" s="221"/>
      <c r="AN315" s="221"/>
      <c r="AO315" s="221"/>
    </row>
    <row r="316" spans="39:41" x14ac:dyDescent="0.2">
      <c r="AM316" s="221"/>
      <c r="AN316" s="221"/>
      <c r="AO316" s="221"/>
    </row>
    <row r="317" spans="39:41" x14ac:dyDescent="0.2">
      <c r="AM317" s="223"/>
      <c r="AN317" s="221"/>
      <c r="AO317" s="221"/>
    </row>
    <row r="323" spans="29:31" x14ac:dyDescent="0.2">
      <c r="AC323" s="175" t="s">
        <v>2231</v>
      </c>
      <c r="AD323" s="204" t="s">
        <v>2231</v>
      </c>
      <c r="AE323" s="206" t="s">
        <v>2231</v>
      </c>
    </row>
  </sheetData>
  <mergeCells count="4">
    <mergeCell ref="B1:E1"/>
    <mergeCell ref="G1:N1"/>
    <mergeCell ref="O1:T1"/>
    <mergeCell ref="U1:X1"/>
  </mergeCells>
  <conditionalFormatting sqref="AY3 BR3 BK3 BC3 O103:O178 O3:O16 O19:O92 O94:O101">
    <cfRule type="expression" dxfId="85" priority="105" stopIfTrue="1">
      <formula>AND(SEARCH("decrease",O3),SEARCH("substantial",O3),SEARCH("No",#REF!))</formula>
    </cfRule>
    <cfRule type="expression" dxfId="84" priority="106" stopIfTrue="1">
      <formula>AND(SEARCH("decrease",O3),SEARCH("moderate",O3),SEARCH("No",#REF!))</formula>
    </cfRule>
  </conditionalFormatting>
  <conditionalFormatting sqref="BO3">
    <cfRule type="expression" dxfId="83" priority="103" stopIfTrue="1">
      <formula>AND(SEARCH("decrease",BO3),SEARCH("substantial",BO3),SEARCH("No",#REF!))</formula>
    </cfRule>
    <cfRule type="expression" dxfId="82" priority="104" stopIfTrue="1">
      <formula>AND(SEARCH("decrease",BO3),SEARCH("moderate",BO3),SEARCH("No",#REF!))</formula>
    </cfRule>
  </conditionalFormatting>
  <conditionalFormatting sqref="BS3">
    <cfRule type="expression" dxfId="81" priority="101" stopIfTrue="1">
      <formula>AND(SEARCH("decrease",BS3),SEARCH("substantial",BS3),SEARCH("No",#REF!))</formula>
    </cfRule>
    <cfRule type="expression" dxfId="80" priority="102" stopIfTrue="1">
      <formula>AND(SEARCH("decrease",BS3),SEARCH("moderate",BS3),SEARCH("No",#REF!))</formula>
    </cfRule>
  </conditionalFormatting>
  <conditionalFormatting sqref="Y170:Y180">
    <cfRule type="expression" dxfId="79" priority="91" stopIfTrue="1">
      <formula>AND(SEARCH("decrease",Y170),SEARCH("substantial",Y170),SEARCH("No",#REF!))</formula>
    </cfRule>
    <cfRule type="expression" dxfId="78" priority="92" stopIfTrue="1">
      <formula>AND(SEARCH("decrease",Y170),SEARCH("moderate",Y170),SEARCH("No",#REF!))</formula>
    </cfRule>
  </conditionalFormatting>
  <conditionalFormatting sqref="AY4:AY17 BR4:BR17 BK4:BK17 BC4:BC17 BC103:BC180 BK103:BK180 BR103:BR180 AY103:AY180 Y170:Y180 BC19:BC92 BK19:BK92 BR19:BR92 AY19:AY92 AY94:AY101 BR94:BR101 BK94:BK101 BC94:BC101">
    <cfRule type="expression" dxfId="77" priority="89" stopIfTrue="1">
      <formula>AND(SEARCH("decrease",Y4),SEARCH("substantial",Y4),SEARCH("No",#REF!))</formula>
    </cfRule>
    <cfRule type="expression" dxfId="76" priority="90" stopIfTrue="1">
      <formula>AND(SEARCH("decrease",Y4),SEARCH("moderate",Y4),SEARCH("No",#REF!))</formula>
    </cfRule>
  </conditionalFormatting>
  <conditionalFormatting sqref="BO4:BO17 BO103:BO180 BO19:BO92 BO94:BO101">
    <cfRule type="expression" dxfId="75" priority="87" stopIfTrue="1">
      <formula>AND(SEARCH("decrease",BO4),SEARCH("substantial",BO4),SEARCH("No",#REF!))</formula>
    </cfRule>
    <cfRule type="expression" dxfId="74" priority="88" stopIfTrue="1">
      <formula>AND(SEARCH("decrease",BO4),SEARCH("moderate",BO4),SEARCH("No",#REF!))</formula>
    </cfRule>
  </conditionalFormatting>
  <conditionalFormatting sqref="BS4:BS17 BS103:BS180 BS19:BS92 BS94:BS101">
    <cfRule type="expression" dxfId="73" priority="85" stopIfTrue="1">
      <formula>AND(SEARCH("decrease",BS4),SEARCH("substantial",BS4),SEARCH("No",#REF!))</formula>
    </cfRule>
    <cfRule type="expression" dxfId="72" priority="86" stopIfTrue="1">
      <formula>AND(SEARCH("decrease",BS4),SEARCH("moderate",BS4),SEARCH("No",#REF!))</formula>
    </cfRule>
  </conditionalFormatting>
  <conditionalFormatting sqref="BC102 BK102 BR102 AY102">
    <cfRule type="expression" dxfId="71" priority="79" stopIfTrue="1">
      <formula>AND(SEARCH("decrease",AY102),SEARCH("substantial",AY102),SEARCH("No",#REF!))</formula>
    </cfRule>
    <cfRule type="expression" dxfId="70" priority="80" stopIfTrue="1">
      <formula>AND(SEARCH("decrease",AY102),SEARCH("moderate",AY102),SEARCH("No",#REF!))</formula>
    </cfRule>
  </conditionalFormatting>
  <conditionalFormatting sqref="BO102">
    <cfRule type="expression" dxfId="69" priority="77" stopIfTrue="1">
      <formula>AND(SEARCH("decrease",BO102),SEARCH("substantial",BO102),SEARCH("No",#REF!))</formula>
    </cfRule>
    <cfRule type="expression" dxfId="68" priority="78" stopIfTrue="1">
      <formula>AND(SEARCH("decrease",BO102),SEARCH("moderate",BO102),SEARCH("No",#REF!))</formula>
    </cfRule>
  </conditionalFormatting>
  <conditionalFormatting sqref="BS102">
    <cfRule type="expression" dxfId="67" priority="75" stopIfTrue="1">
      <formula>AND(SEARCH("decrease",BS102),SEARCH("substantial",BS102),SEARCH("No",#REF!))</formula>
    </cfRule>
    <cfRule type="expression" dxfId="66" priority="76" stopIfTrue="1">
      <formula>AND(SEARCH("decrease",BS102),SEARCH("moderate",BS102),SEARCH("No",#REF!))</formula>
    </cfRule>
  </conditionalFormatting>
  <conditionalFormatting sqref="Y3:Y4">
    <cfRule type="expression" dxfId="65" priority="69" stopIfTrue="1">
      <formula>AND(SEARCH("decrease",Y3),SEARCH("substantial",Y3),SEARCH("No",#REF!))</formula>
    </cfRule>
    <cfRule type="expression" dxfId="64" priority="70" stopIfTrue="1">
      <formula>AND(SEARCH("decrease",Y3),SEARCH("moderate",Y3),SEARCH("No",#REF!))</formula>
    </cfRule>
  </conditionalFormatting>
  <conditionalFormatting sqref="Y5">
    <cfRule type="expression" dxfId="63" priority="67" stopIfTrue="1">
      <formula>AND(SEARCH("decrease",Y5),SEARCH("substantial",Y5),SEARCH("No",#REF!))</formula>
    </cfRule>
    <cfRule type="expression" dxfId="62" priority="68" stopIfTrue="1">
      <formula>AND(SEARCH("decrease",Y5),SEARCH("moderate",Y5),SEARCH("No",#REF!))</formula>
    </cfRule>
  </conditionalFormatting>
  <conditionalFormatting sqref="Y6">
    <cfRule type="expression" dxfId="61" priority="65" stopIfTrue="1">
      <formula>AND(SEARCH("decrease",Y6),SEARCH("substantial",Y6),SEARCH("No",#REF!))</formula>
    </cfRule>
    <cfRule type="expression" dxfId="60" priority="66" stopIfTrue="1">
      <formula>AND(SEARCH("decrease",Y6),SEARCH("moderate",Y6),SEARCH("No",#REF!))</formula>
    </cfRule>
  </conditionalFormatting>
  <conditionalFormatting sqref="Y7">
    <cfRule type="expression" dxfId="59" priority="63" stopIfTrue="1">
      <formula>AND(SEARCH("decrease",Y7),SEARCH("substantial",Y7),SEARCH("No",#REF!))</formula>
    </cfRule>
    <cfRule type="expression" dxfId="58" priority="64" stopIfTrue="1">
      <formula>AND(SEARCH("decrease",Y7),SEARCH("moderate",Y7),SEARCH("No",#REF!))</formula>
    </cfRule>
  </conditionalFormatting>
  <conditionalFormatting sqref="Y8">
    <cfRule type="expression" dxfId="57" priority="61" stopIfTrue="1">
      <formula>AND(SEARCH("decrease",Y8),SEARCH("substantial",Y8),SEARCH("No",#REF!))</formula>
    </cfRule>
    <cfRule type="expression" dxfId="56" priority="62" stopIfTrue="1">
      <formula>AND(SEARCH("decrease",Y8),SEARCH("moderate",Y8),SEARCH("No",#REF!))</formula>
    </cfRule>
  </conditionalFormatting>
  <conditionalFormatting sqref="Y9">
    <cfRule type="expression" dxfId="55" priority="59" stopIfTrue="1">
      <formula>AND(SEARCH("decrease",Y9),SEARCH("substantial",Y9),SEARCH("No",#REF!))</formula>
    </cfRule>
    <cfRule type="expression" dxfId="54" priority="60" stopIfTrue="1">
      <formula>AND(SEARCH("decrease",Y9),SEARCH("moderate",Y9),SEARCH("No",#REF!))</formula>
    </cfRule>
  </conditionalFormatting>
  <conditionalFormatting sqref="Y10">
    <cfRule type="expression" dxfId="53" priority="57" stopIfTrue="1">
      <formula>AND(SEARCH("decrease",Y10),SEARCH("substantial",Y10),SEARCH("No",#REF!))</formula>
    </cfRule>
    <cfRule type="expression" dxfId="52" priority="58" stopIfTrue="1">
      <formula>AND(SEARCH("decrease",Y10),SEARCH("moderate",Y10),SEARCH("No",#REF!))</formula>
    </cfRule>
  </conditionalFormatting>
  <conditionalFormatting sqref="Y96:Y98 Y89 Y87 Y83 Y75 Y72:Y73 Y64:Y65 Y62 Y59 Y54 Y50:Y52 Y40:Y44 Y38 Y27 Y24 Y21 Y15:Y16 Y12">
    <cfRule type="expression" dxfId="51" priority="55" stopIfTrue="1">
      <formula>AND(SEARCH("decrease",Y12),SEARCH("substantial",Y12),SEARCH("No",#REF!))</formula>
    </cfRule>
    <cfRule type="expression" dxfId="50" priority="56" stopIfTrue="1">
      <formula>AND(SEARCH("decrease",Y12),SEARCH("moderate",Y12),SEARCH("No",#REF!))</formula>
    </cfRule>
  </conditionalFormatting>
  <conditionalFormatting sqref="Y165:Y166 Y161 Y158 Y149 Y145 Y142 Y138 Y132 Y126 Y119:Y121 Y117 Y114:Y115 Y108:Y112 Y105 Y103 Y99">
    <cfRule type="expression" dxfId="49" priority="53" stopIfTrue="1">
      <formula>AND(SEARCH("decrease",Y99),SEARCH("substantial",Y99),SEARCH("No",#REF!))</formula>
    </cfRule>
    <cfRule type="expression" dxfId="48" priority="54" stopIfTrue="1">
      <formula>AND(SEARCH("decrease",Y99),SEARCH("moderate",Y99),SEARCH("No",#REF!))</formula>
    </cfRule>
  </conditionalFormatting>
  <conditionalFormatting sqref="Y48:Y49 Y45 Y39 Y35 Y28 Y25:Y26 Y22 Y17 Y13:Y14 Y11 Y19:Y20">
    <cfRule type="expression" dxfId="47" priority="51" stopIfTrue="1">
      <formula>AND(SEARCH("decrease",Y11),SEARCH("substantial",Y11),SEARCH("No",#REF!))</formula>
    </cfRule>
    <cfRule type="expression" dxfId="46" priority="52" stopIfTrue="1">
      <formula>AND(SEARCH("decrease",Y11),SEARCH("moderate",Y11),SEARCH("No",#REF!))</formula>
    </cfRule>
  </conditionalFormatting>
  <conditionalFormatting sqref="Y147:Y148 Y143:Y144 Y139:Y141 Y133:Y137 Y127:Y131 Y123:Y125 Y118 Y116 Y106:Y107 Y104 Y100:Y102 Y90:Y92 Y88 Y84:Y86 Y76:Y82 Y74 Y71 Y69 Y66:Y67 Y63 Y60 Y55:Y58 Y53 Y94:Y95">
    <cfRule type="expression" dxfId="45" priority="49" stopIfTrue="1">
      <formula>AND(SEARCH("decrease",Y53),SEARCH("substantial",Y53),SEARCH("No",#REF!))</formula>
    </cfRule>
    <cfRule type="expression" dxfId="44" priority="50" stopIfTrue="1">
      <formula>AND(SEARCH("decrease",Y53),SEARCH("moderate",Y53),SEARCH("No",#REF!))</formula>
    </cfRule>
  </conditionalFormatting>
  <conditionalFormatting sqref="Y167:Y169 Y162:Y164 Y159:Y160 Y156:Y157 Y153:Y154 Y150:Y151">
    <cfRule type="expression" dxfId="43" priority="47" stopIfTrue="1">
      <formula>AND(SEARCH("decrease",Y150),SEARCH("substantial",Y150),SEARCH("No",#REF!))</formula>
    </cfRule>
    <cfRule type="expression" dxfId="42" priority="48" stopIfTrue="1">
      <formula>AND(SEARCH("decrease",Y150),SEARCH("moderate",Y150),SEARCH("No",#REF!))</formula>
    </cfRule>
  </conditionalFormatting>
  <conditionalFormatting sqref="Y23">
    <cfRule type="expression" dxfId="41" priority="45" stopIfTrue="1">
      <formula>AND(SEARCH("decrease",Y23),SEARCH("substantial",Y23),SEARCH("No",#REF!))</formula>
    </cfRule>
    <cfRule type="expression" dxfId="40" priority="46" stopIfTrue="1">
      <formula>AND(SEARCH("decrease",Y23),SEARCH("moderate",Y23),SEARCH("No",#REF!))</formula>
    </cfRule>
  </conditionalFormatting>
  <conditionalFormatting sqref="Y113 Y46 Y29:Y32">
    <cfRule type="expression" dxfId="39" priority="43" stopIfTrue="1">
      <formula>AND(SEARCH("decrease",Y29),SEARCH("substantial",Y29),SEARCH("No",#REF!))</formula>
    </cfRule>
    <cfRule type="expression" dxfId="38" priority="44" stopIfTrue="1">
      <formula>AND(SEARCH("decrease",Y29),SEARCH("moderate",Y29),SEARCH("No",#REF!))</formula>
    </cfRule>
  </conditionalFormatting>
  <conditionalFormatting sqref="Y33">
    <cfRule type="expression" dxfId="37" priority="41" stopIfTrue="1">
      <formula>AND(SEARCH("decrease",Y33),SEARCH("substantial",Y33),SEARCH("No",#REF!))</formula>
    </cfRule>
    <cfRule type="expression" dxfId="36" priority="42" stopIfTrue="1">
      <formula>AND(SEARCH("decrease",Y33),SEARCH("moderate",Y33),SEARCH("No",#REF!))</formula>
    </cfRule>
  </conditionalFormatting>
  <conditionalFormatting sqref="Y122 Y68 Y36:Y37 Y34">
    <cfRule type="expression" dxfId="35" priority="39" stopIfTrue="1">
      <formula>AND(SEARCH("decrease",Y34),SEARCH("substantial",Y34),SEARCH("No",#REF!))</formula>
    </cfRule>
    <cfRule type="expression" dxfId="34" priority="40" stopIfTrue="1">
      <formula>AND(SEARCH("decrease",Y34),SEARCH("moderate",Y34),SEARCH("No",#REF!))</formula>
    </cfRule>
  </conditionalFormatting>
  <conditionalFormatting sqref="Y47">
    <cfRule type="expression" dxfId="33" priority="37" stopIfTrue="1">
      <formula>AND(SEARCH("decrease",Y47),SEARCH("substantial",Y47),SEARCH("No",#REF!))</formula>
    </cfRule>
    <cfRule type="expression" dxfId="32" priority="38" stopIfTrue="1">
      <formula>AND(SEARCH("decrease",Y47),SEARCH("moderate",Y47),SEARCH("No",#REF!))</formula>
    </cfRule>
  </conditionalFormatting>
  <conditionalFormatting sqref="Y61">
    <cfRule type="expression" dxfId="31" priority="35" stopIfTrue="1">
      <formula>AND(SEARCH("decrease",Y61),SEARCH("substantial",Y61),SEARCH("No",#REF!))</formula>
    </cfRule>
    <cfRule type="expression" dxfId="30" priority="36" stopIfTrue="1">
      <formula>AND(SEARCH("decrease",Y61),SEARCH("moderate",Y61),SEARCH("No",#REF!))</formula>
    </cfRule>
  </conditionalFormatting>
  <conditionalFormatting sqref="Y70">
    <cfRule type="expression" dxfId="29" priority="33" stopIfTrue="1">
      <formula>AND(SEARCH("decrease",Y70),SEARCH("substantial",Y70),SEARCH("No",#REF!))</formula>
    </cfRule>
    <cfRule type="expression" dxfId="28" priority="34" stopIfTrue="1">
      <formula>AND(SEARCH("decrease",Y70),SEARCH("moderate",Y70),SEARCH("No",#REF!))</formula>
    </cfRule>
  </conditionalFormatting>
  <conditionalFormatting sqref="Y146">
    <cfRule type="expression" dxfId="27" priority="31" stopIfTrue="1">
      <formula>AND(SEARCH("decrease",Y146),SEARCH("substantial",Y146),SEARCH("No",#REF!))</formula>
    </cfRule>
    <cfRule type="expression" dxfId="26" priority="32" stopIfTrue="1">
      <formula>AND(SEARCH("decrease",Y146),SEARCH("moderate",Y146),SEARCH("No",#REF!))</formula>
    </cfRule>
  </conditionalFormatting>
  <conditionalFormatting sqref="Y152">
    <cfRule type="expression" dxfId="25" priority="29" stopIfTrue="1">
      <formula>AND(SEARCH("decrease",Y152),SEARCH("substantial",Y152),SEARCH("No",#REF!))</formula>
    </cfRule>
    <cfRule type="expression" dxfId="24" priority="30" stopIfTrue="1">
      <formula>AND(SEARCH("decrease",Y152),SEARCH("moderate",Y152),SEARCH("No",#REF!))</formula>
    </cfRule>
  </conditionalFormatting>
  <conditionalFormatting sqref="Y155">
    <cfRule type="expression" dxfId="23" priority="27" stopIfTrue="1">
      <formula>AND(SEARCH("decrease",Y155),SEARCH("substantial",Y155),SEARCH("No",#REF!))</formula>
    </cfRule>
    <cfRule type="expression" dxfId="22" priority="28" stopIfTrue="1">
      <formula>AND(SEARCH("decrease",Y155),SEARCH("moderate",Y155),SEARCH("No",#REF!))</formula>
    </cfRule>
  </conditionalFormatting>
  <conditionalFormatting sqref="O102">
    <cfRule type="expression" dxfId="21" priority="23" stopIfTrue="1">
      <formula>AND(SEARCH("decrease",O102),SEARCH("substantial",O102),SEARCH("No",#REF!))</formula>
    </cfRule>
    <cfRule type="expression" dxfId="20" priority="24" stopIfTrue="1">
      <formula>AND(SEARCH("decrease",O102),SEARCH("moderate",O102),SEARCH("No",#REF!))</formula>
    </cfRule>
  </conditionalFormatting>
  <conditionalFormatting sqref="O93">
    <cfRule type="expression" dxfId="19" priority="9" stopIfTrue="1">
      <formula>AND(SEARCH("decrease",O93),SEARCH("substantial",O93),SEARCH("No",#REF!))</formula>
    </cfRule>
    <cfRule type="expression" dxfId="18" priority="10" stopIfTrue="1">
      <formula>AND(SEARCH("decrease",O93),SEARCH("moderate",O93),SEARCH("No",#REF!))</formula>
    </cfRule>
  </conditionalFormatting>
  <conditionalFormatting sqref="AY18 BR18 BK18 BC18">
    <cfRule type="expression" dxfId="17" priority="19" stopIfTrue="1">
      <formula>AND(SEARCH("decrease",AY18),SEARCH("substantial",AY18),SEARCH("No",#REF!))</formula>
    </cfRule>
    <cfRule type="expression" dxfId="16" priority="20" stopIfTrue="1">
      <formula>AND(SEARCH("decrease",AY18),SEARCH("moderate",AY18),SEARCH("No",#REF!))</formula>
    </cfRule>
  </conditionalFormatting>
  <conditionalFormatting sqref="BO18">
    <cfRule type="expression" dxfId="15" priority="17" stopIfTrue="1">
      <formula>AND(SEARCH("decrease",BO18),SEARCH("substantial",BO18),SEARCH("No",#REF!))</formula>
    </cfRule>
    <cfRule type="expression" dxfId="14" priority="18" stopIfTrue="1">
      <formula>AND(SEARCH("decrease",BO18),SEARCH("moderate",BO18),SEARCH("No",#REF!))</formula>
    </cfRule>
  </conditionalFormatting>
  <conditionalFormatting sqref="BS18">
    <cfRule type="expression" dxfId="13" priority="15" stopIfTrue="1">
      <formula>AND(SEARCH("decrease",BS18),SEARCH("substantial",BS18),SEARCH("No",#REF!))</formula>
    </cfRule>
    <cfRule type="expression" dxfId="12" priority="16" stopIfTrue="1">
      <formula>AND(SEARCH("decrease",BS18),SEARCH("moderate",BS18),SEARCH("No",#REF!))</formula>
    </cfRule>
  </conditionalFormatting>
  <conditionalFormatting sqref="Y18">
    <cfRule type="expression" dxfId="11" priority="13" stopIfTrue="1">
      <formula>AND(SEARCH("decrease",Y18),SEARCH("substantial",Y18),SEARCH("No",#REF!))</formula>
    </cfRule>
    <cfRule type="expression" dxfId="10" priority="14" stopIfTrue="1">
      <formula>AND(SEARCH("decrease",Y18),SEARCH("moderate",Y18),SEARCH("No",#REF!))</formula>
    </cfRule>
  </conditionalFormatting>
  <conditionalFormatting sqref="O17:O18">
    <cfRule type="expression" dxfId="9" priority="11" stopIfTrue="1">
      <formula>AND(SEARCH("decrease",O17),SEARCH("substantial",O17),SEARCH("No",#REF!))</formula>
    </cfRule>
    <cfRule type="expression" dxfId="8" priority="12" stopIfTrue="1">
      <formula>AND(SEARCH("decrease",O17),SEARCH("moderate",O17),SEARCH("No",#REF!))</formula>
    </cfRule>
  </conditionalFormatting>
  <conditionalFormatting sqref="BC93 BK93 BR93 AY93">
    <cfRule type="expression" dxfId="7" priority="7" stopIfTrue="1">
      <formula>AND(SEARCH("decrease",AY93),SEARCH("substantial",AY93),SEARCH("No",#REF!))</formula>
    </cfRule>
    <cfRule type="expression" dxfId="6" priority="8" stopIfTrue="1">
      <formula>AND(SEARCH("decrease",AY93),SEARCH("moderate",AY93),SEARCH("No",#REF!))</formula>
    </cfRule>
  </conditionalFormatting>
  <conditionalFormatting sqref="BO93">
    <cfRule type="expression" dxfId="5" priority="5" stopIfTrue="1">
      <formula>AND(SEARCH("decrease",BO93),SEARCH("substantial",BO93),SEARCH("No",#REF!))</formula>
    </cfRule>
    <cfRule type="expression" dxfId="4" priority="6" stopIfTrue="1">
      <formula>AND(SEARCH("decrease",BO93),SEARCH("moderate",BO93),SEARCH("No",#REF!))</formula>
    </cfRule>
  </conditionalFormatting>
  <conditionalFormatting sqref="BS93">
    <cfRule type="expression" dxfId="3" priority="3" stopIfTrue="1">
      <formula>AND(SEARCH("decrease",BS93),SEARCH("substantial",BS93),SEARCH("No",#REF!))</formula>
    </cfRule>
    <cfRule type="expression" dxfId="2" priority="4" stopIfTrue="1">
      <formula>AND(SEARCH("decrease",BS93),SEARCH("moderate",BS93),SEARCH("No",#REF!))</formula>
    </cfRule>
  </conditionalFormatting>
  <conditionalFormatting sqref="Y93">
    <cfRule type="expression" dxfId="1" priority="1" stopIfTrue="1">
      <formula>AND(SEARCH("decrease",Y93),SEARCH("substantial",Y93),SEARCH("No",#REF!))</formula>
    </cfRule>
    <cfRule type="expression" dxfId="0" priority="2" stopIfTrue="1">
      <formula>AND(SEARCH("decrease",Y93),SEARCH("moderate",Y93),SEARCH("No",#REF!))</formula>
    </cfRule>
  </conditionalFormatting>
  <dataValidations count="2">
    <dataValidation type="list" allowBlank="1" showInputMessage="1" showErrorMessage="1" sqref="O42 O162 O145 O25 O124 O159 O129:O131 O170:O181 O61 O63 O51:O52 O147 O126 O94:O100 O45 O59 O116 O107 O112" xr:uid="{00000000-0002-0000-0400-000000000000}">
      <formula1>LandUse</formula1>
    </dataValidation>
    <dataValidation type="list" allowBlank="1" showInputMessage="1" showErrorMessage="1" sqref="Z179:Z181 Y170:Y181" xr:uid="{00000000-0002-0000-0400-000001000000}">
      <formula1>effects</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400-000002000000}">
          <x14:formula1>
            <xm:f>Lookup!$B$4:$B$14</xm:f>
          </x14:formula1>
          <xm:sqref>Y3:Y169</xm:sqref>
        </x14:dataValidation>
        <x14:dataValidation type="list" allowBlank="1" showInputMessage="1" showErrorMessage="1" xr:uid="{00000000-0002-0000-0400-000003000000}">
          <x14:formula1>
            <xm:f>Lookup!$F$9:$F$18</xm:f>
          </x14:formula1>
          <xm:sqref>O125 O3:O24 O163:O169 O117:O123 O43:O44 O146 O160:O161 O148:O158 O127:O128 O53:O58 O113:O115 O101:O106 O26:O41 O132:O144 O108:O111 O62 O60 O46:O50 O64:O93</xm:sqref>
        </x14:dataValidation>
        <x14:dataValidation type="list" allowBlank="1" showInputMessage="1" showErrorMessage="1" xr:uid="{00000000-0002-0000-0400-000004000000}">
          <x14:formula1>
            <xm:f>Lookup!$G$92:$G$97</xm:f>
          </x14:formula1>
          <xm:sqref>AY3:AY178</xm:sqref>
        </x14:dataValidation>
        <x14:dataValidation type="list" allowBlank="1" showInputMessage="1" showErrorMessage="1" xr:uid="{00000000-0002-0000-0400-000005000000}">
          <x14:formula1>
            <xm:f>Lookup!$G$100:$G$110</xm:f>
          </x14:formula1>
          <xm:sqref>BC3:BC178</xm:sqref>
        </x14:dataValidation>
        <x14:dataValidation type="list" allowBlank="1" showInputMessage="1" showErrorMessage="1" xr:uid="{00000000-0002-0000-0400-000006000000}">
          <x14:formula1>
            <xm:f>Lookup!$G$121:$G$131</xm:f>
          </x14:formula1>
          <xm:sqref>BK3:BK178</xm:sqref>
        </x14:dataValidation>
        <x14:dataValidation type="list" allowBlank="1" showInputMessage="1" showErrorMessage="1" xr:uid="{00000000-0002-0000-0400-000007000000}">
          <x14:formula1>
            <xm:f>Lookup!$G$147:$G$157</xm:f>
          </x14:formula1>
          <xm:sqref>BS3:BS178</xm:sqref>
        </x14:dataValidation>
        <x14:dataValidation type="list" allowBlank="1" showInputMessage="1" showErrorMessage="1" xr:uid="{00000000-0002-0000-0400-000008000000}">
          <x14:formula1>
            <xm:f>Lookup!$G$134:$G$144</xm:f>
          </x14:formula1>
          <xm:sqref>BO3:BO178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5" tint="0.39997558519241921"/>
  </sheetPr>
  <dimension ref="A1:O179"/>
  <sheetViews>
    <sheetView workbookViewId="0">
      <pane xSplit="3" ySplit="1" topLeftCell="D2" activePane="bottomRight" state="frozen"/>
      <selection activeCell="H5" sqref="H5"/>
      <selection pane="topRight" activeCell="H5" sqref="H5"/>
      <selection pane="bottomLeft" activeCell="H5" sqref="H5"/>
      <selection pane="bottomRight"/>
    </sheetView>
  </sheetViews>
  <sheetFormatPr defaultColWidth="9.140625" defaultRowHeight="12.75" x14ac:dyDescent="0.2"/>
  <cols>
    <col min="1" max="1" width="2" style="63" customWidth="1"/>
    <col min="2" max="2" width="37" style="63" customWidth="1"/>
    <col min="3" max="3" width="9.140625" style="237"/>
    <col min="4" max="15" width="16.7109375" style="63" customWidth="1"/>
    <col min="16" max="16384" width="9.140625" style="63"/>
  </cols>
  <sheetData>
    <row r="1" spans="1:15" ht="84.75" x14ac:dyDescent="0.25">
      <c r="B1" s="229" t="s">
        <v>3869</v>
      </c>
      <c r="C1" s="230" t="s">
        <v>1424</v>
      </c>
      <c r="D1" s="311" t="str">
        <f>+'Human Considerations'!Z2</f>
        <v>Cultural Resources and/or  Historic Properties Present or Suspected to be Present (Effect)</v>
      </c>
      <c r="E1" s="311" t="str">
        <f>+'Human Considerations'!AD2</f>
        <v>Capital - Total Investment Cost (Effect)</v>
      </c>
      <c r="F1" s="311" t="str">
        <f>+'Human Considerations'!AH2</f>
        <v>Capital - Annual O&amp;M Cost (Effect)</v>
      </c>
      <c r="G1" s="311" t="str">
        <f>+'Human Considerations'!AL2</f>
        <v>Profitability - Change in Profitability Effect (Effect)</v>
      </c>
      <c r="H1" s="311" t="str">
        <f>+'Human Considerations'!AP2</f>
        <v>Risk - Yield Effect (Effect)</v>
      </c>
      <c r="I1" s="311" t="str">
        <f>+'Human Considerations'!AT2</f>
        <v>Risk - Cash Flow Effect (Effect)</v>
      </c>
      <c r="J1" s="311" t="str">
        <f>+'Human Considerations'!AX2</f>
        <v>Land - Change in Land Use (Effect)</v>
      </c>
      <c r="K1" s="311" t="str">
        <f>+'Human Considerations'!BB2</f>
        <v>Land - Land in Production (Effect)</v>
      </c>
      <c r="L1" s="311" t="str">
        <f>+'Human Considerations'!BF2</f>
        <v>Capital - Change in Equipment (Effect)</v>
      </c>
      <c r="M1" s="311" t="str">
        <f>+'Human Considerations'!BJ2</f>
        <v>Labor - Labor (Effect)</v>
      </c>
      <c r="N1" s="311" t="str">
        <f>+'Human Considerations'!BN2</f>
        <v>Labor - Change in Management Level (Effect)</v>
      </c>
      <c r="O1" s="311" t="str">
        <f>+'Human Considerations'!BR2</f>
        <v>Risk - Flexibility and Timing (Effect)</v>
      </c>
    </row>
    <row r="2" spans="1:15" ht="13.5" customHeight="1" x14ac:dyDescent="0.2">
      <c r="A2" s="231">
        <f>+'Human Considerations'!A3</f>
        <v>1</v>
      </c>
      <c r="B2" s="232" t="str">
        <f>+'Human Considerations'!B3</f>
        <v xml:space="preserve">Access Control </v>
      </c>
      <c r="C2" s="233">
        <f>+'Human Considerations'!D3</f>
        <v>472</v>
      </c>
      <c r="D2" s="234">
        <f>+'Human Considerations'!Z3</f>
        <v>-4</v>
      </c>
      <c r="E2" s="234">
        <f>+'Human Considerations'!AD3</f>
        <v>-2</v>
      </c>
      <c r="F2" s="234">
        <f>+'Human Considerations'!AH3</f>
        <v>-3</v>
      </c>
      <c r="G2" s="234">
        <f>+'Human Considerations'!AL3</f>
        <v>-5</v>
      </c>
      <c r="H2" s="234">
        <f>+'Human Considerations'!AP3</f>
        <v>0</v>
      </c>
      <c r="I2" s="234">
        <f>+'Human Considerations'!AT3</f>
        <v>0</v>
      </c>
      <c r="J2" s="234">
        <f>+'Human Considerations'!AX3</f>
        <v>3</v>
      </c>
      <c r="K2" s="234">
        <f>+'Human Considerations'!BB3</f>
        <v>-3</v>
      </c>
      <c r="L2" s="234">
        <f>+'Human Considerations'!BF3</f>
        <v>0</v>
      </c>
      <c r="M2" s="234">
        <f>+'Human Considerations'!BJ3</f>
        <v>3</v>
      </c>
      <c r="N2" s="234">
        <f>+'Human Considerations'!BN3</f>
        <v>3</v>
      </c>
      <c r="O2" s="234">
        <f>+'Human Considerations'!BR3</f>
        <v>-3</v>
      </c>
    </row>
    <row r="3" spans="1:15" ht="13.5" customHeight="1" x14ac:dyDescent="0.2">
      <c r="A3" s="231">
        <f>+'Human Considerations'!A4</f>
        <v>2</v>
      </c>
      <c r="B3" s="232" t="str">
        <f>+'Human Considerations'!B4</f>
        <v xml:space="preserve">Access Road </v>
      </c>
      <c r="C3" s="233">
        <f>+'Human Considerations'!D4</f>
        <v>560</v>
      </c>
      <c r="D3" s="234">
        <f>+'Human Considerations'!Z4</f>
        <v>-4</v>
      </c>
      <c r="E3" s="234">
        <f>+'Human Considerations'!AD4</f>
        <v>-2</v>
      </c>
      <c r="F3" s="234">
        <f>+'Human Considerations'!AH4</f>
        <v>-5</v>
      </c>
      <c r="G3" s="234">
        <f>+'Human Considerations'!AL4</f>
        <v>-4</v>
      </c>
      <c r="H3" s="234">
        <f>+'Human Considerations'!AP4</f>
        <v>2</v>
      </c>
      <c r="I3" s="234">
        <f>+'Human Considerations'!AT4</f>
        <v>0</v>
      </c>
      <c r="J3" s="234">
        <f>+'Human Considerations'!AX4</f>
        <v>1</v>
      </c>
      <c r="K3" s="234">
        <f>+'Human Considerations'!BB4</f>
        <v>-1</v>
      </c>
      <c r="L3" s="234">
        <f>+'Human Considerations'!BF4</f>
        <v>0</v>
      </c>
      <c r="M3" s="234">
        <f>+'Human Considerations'!BJ4</f>
        <v>1</v>
      </c>
      <c r="N3" s="234">
        <f>+'Human Considerations'!BN4</f>
        <v>1</v>
      </c>
      <c r="O3" s="234">
        <f>+'Human Considerations'!BR4</f>
        <v>5</v>
      </c>
    </row>
    <row r="4" spans="1:15" ht="13.5" customHeight="1" x14ac:dyDescent="0.2">
      <c r="A4" s="231">
        <f>+'Human Considerations'!A5</f>
        <v>3</v>
      </c>
      <c r="B4" s="232" t="str">
        <f>+'Human Considerations'!B5</f>
        <v>Agrichemical Handling Facility</v>
      </c>
      <c r="C4" s="233">
        <f>+'Human Considerations'!D5</f>
        <v>309</v>
      </c>
      <c r="D4" s="234">
        <f>+'Human Considerations'!Z5</f>
        <v>1</v>
      </c>
      <c r="E4" s="234">
        <f>+'Human Considerations'!AD5</f>
        <v>-5</v>
      </c>
      <c r="F4" s="234">
        <f>+'Human Considerations'!AH5</f>
        <v>-1</v>
      </c>
      <c r="G4" s="234">
        <f>+'Human Considerations'!AL5</f>
        <v>-5</v>
      </c>
      <c r="H4" s="234">
        <f>+'Human Considerations'!AP5</f>
        <v>1</v>
      </c>
      <c r="I4" s="234">
        <f>+'Human Considerations'!AT5</f>
        <v>0</v>
      </c>
      <c r="J4" s="234">
        <f>+'Human Considerations'!AX5</f>
        <v>1</v>
      </c>
      <c r="K4" s="234">
        <f>+'Human Considerations'!BB5</f>
        <v>-1</v>
      </c>
      <c r="L4" s="234">
        <f>+'Human Considerations'!BF5</f>
        <v>-5</v>
      </c>
      <c r="M4" s="234">
        <f>+'Human Considerations'!BJ5</f>
        <v>-1</v>
      </c>
      <c r="N4" s="234">
        <f>+'Human Considerations'!BN5</f>
        <v>-2</v>
      </c>
      <c r="O4" s="234">
        <f>+'Human Considerations'!BR5</f>
        <v>2</v>
      </c>
    </row>
    <row r="5" spans="1:15" ht="13.5" customHeight="1" x14ac:dyDescent="0.2">
      <c r="A5" s="231">
        <f>+'Human Considerations'!A6</f>
        <v>4</v>
      </c>
      <c r="B5" s="232" t="str">
        <f>+'Human Considerations'!B6</f>
        <v>Air Filtration and Scrubbing</v>
      </c>
      <c r="C5" s="233">
        <f>+'Human Considerations'!D6</f>
        <v>371</v>
      </c>
      <c r="D5" s="234">
        <f>+'Human Considerations'!Z6</f>
        <v>0</v>
      </c>
      <c r="E5" s="234">
        <f>+'Human Considerations'!AD6</f>
        <v>-5</v>
      </c>
      <c r="F5" s="234">
        <f>+'Human Considerations'!AH6</f>
        <v>-5</v>
      </c>
      <c r="G5" s="234">
        <f>+'Human Considerations'!AL6</f>
        <v>-5</v>
      </c>
      <c r="H5" s="234">
        <f>+'Human Considerations'!AP6</f>
        <v>0</v>
      </c>
      <c r="I5" s="234">
        <f>+'Human Considerations'!AT6</f>
        <v>0</v>
      </c>
      <c r="J5" s="234">
        <f>+'Human Considerations'!AX6</f>
        <v>0</v>
      </c>
      <c r="K5" s="234">
        <f>+'Human Considerations'!BB6</f>
        <v>0</v>
      </c>
      <c r="L5" s="234">
        <f>+'Human Considerations'!BF6</f>
        <v>-5</v>
      </c>
      <c r="M5" s="234">
        <f>+'Human Considerations'!BJ6</f>
        <v>-1</v>
      </c>
      <c r="N5" s="234">
        <f>+'Human Considerations'!BN6</f>
        <v>0</v>
      </c>
      <c r="O5" s="234">
        <f>+'Human Considerations'!BR6</f>
        <v>2</v>
      </c>
    </row>
    <row r="6" spans="1:15" ht="13.5" customHeight="1" x14ac:dyDescent="0.2">
      <c r="A6" s="231">
        <f>+'Human Considerations'!A7</f>
        <v>5</v>
      </c>
      <c r="B6" s="232" t="str">
        <f>+'Human Considerations'!B7</f>
        <v>Alley Cropping</v>
      </c>
      <c r="C6" s="233">
        <f>+'Human Considerations'!D7</f>
        <v>311</v>
      </c>
      <c r="D6" s="234">
        <f>+'Human Considerations'!Z7</f>
        <v>2</v>
      </c>
      <c r="E6" s="234">
        <f>+'Human Considerations'!AD7</f>
        <v>-1</v>
      </c>
      <c r="F6" s="234">
        <f>+'Human Considerations'!AH7</f>
        <v>-1</v>
      </c>
      <c r="G6" s="234">
        <f>+'Human Considerations'!AL7</f>
        <v>-3</v>
      </c>
      <c r="H6" s="234">
        <f>+'Human Considerations'!AP7</f>
        <v>2</v>
      </c>
      <c r="I6" s="234">
        <f>+'Human Considerations'!AT7</f>
        <v>0</v>
      </c>
      <c r="J6" s="234">
        <f>+'Human Considerations'!AX7</f>
        <v>3</v>
      </c>
      <c r="K6" s="234">
        <f>+'Human Considerations'!BB7</f>
        <v>-3</v>
      </c>
      <c r="L6" s="234">
        <f>+'Human Considerations'!BF7</f>
        <v>0</v>
      </c>
      <c r="M6" s="234">
        <f>+'Human Considerations'!BJ7</f>
        <v>2</v>
      </c>
      <c r="N6" s="234">
        <f>+'Human Considerations'!BN7</f>
        <v>-2</v>
      </c>
      <c r="O6" s="234">
        <f>+'Human Considerations'!BR7</f>
        <v>-3</v>
      </c>
    </row>
    <row r="7" spans="1:15" ht="13.5" customHeight="1" x14ac:dyDescent="0.2">
      <c r="A7" s="231">
        <f>+'Human Considerations'!A8</f>
        <v>6</v>
      </c>
      <c r="B7" s="232" t="str">
        <f>+'Human Considerations'!B8</f>
        <v>Amendments for Treatment of Agricultural Waste</v>
      </c>
      <c r="C7" s="233">
        <f>+'Human Considerations'!D8</f>
        <v>591</v>
      </c>
      <c r="D7" s="234">
        <f>+'Human Considerations'!Z8</f>
        <v>2</v>
      </c>
      <c r="E7" s="234">
        <f>+'Human Considerations'!AD8</f>
        <v>-1</v>
      </c>
      <c r="F7" s="234">
        <f>+'Human Considerations'!AH8</f>
        <v>0</v>
      </c>
      <c r="G7" s="234">
        <f>+'Human Considerations'!AL8</f>
        <v>-3</v>
      </c>
      <c r="H7" s="234">
        <f>+'Human Considerations'!AP8</f>
        <v>0</v>
      </c>
      <c r="I7" s="234">
        <f>+'Human Considerations'!AT8</f>
        <v>0</v>
      </c>
      <c r="J7" s="234">
        <f>+'Human Considerations'!AX8</f>
        <v>0</v>
      </c>
      <c r="K7" s="234">
        <f>+'Human Considerations'!BB8</f>
        <v>0</v>
      </c>
      <c r="L7" s="234">
        <f>+'Human Considerations'!BF8</f>
        <v>0</v>
      </c>
      <c r="M7" s="234">
        <f>+'Human Considerations'!BJ8</f>
        <v>-1</v>
      </c>
      <c r="N7" s="234">
        <f>+'Human Considerations'!BN8</f>
        <v>-1</v>
      </c>
      <c r="O7" s="234">
        <f>+'Human Considerations'!BR8</f>
        <v>4</v>
      </c>
    </row>
    <row r="8" spans="1:15" ht="13.5" customHeight="1" x14ac:dyDescent="0.2">
      <c r="A8" s="231">
        <f>+'Human Considerations'!A9</f>
        <v>7</v>
      </c>
      <c r="B8" s="232" t="str">
        <f>+'Human Considerations'!B9</f>
        <v>Anaerobic Digester</v>
      </c>
      <c r="C8" s="233">
        <f>+'Human Considerations'!D9</f>
        <v>366</v>
      </c>
      <c r="D8" s="234">
        <f>+'Human Considerations'!Z9</f>
        <v>2</v>
      </c>
      <c r="E8" s="234">
        <f>+'Human Considerations'!AD9</f>
        <v>-5</v>
      </c>
      <c r="F8" s="234">
        <f>+'Human Considerations'!AH9</f>
        <v>-5</v>
      </c>
      <c r="G8" s="234">
        <f>+'Human Considerations'!AL9</f>
        <v>-3</v>
      </c>
      <c r="H8" s="234">
        <f>+'Human Considerations'!AP9</f>
        <v>0</v>
      </c>
      <c r="I8" s="234">
        <f>+'Human Considerations'!AT9</f>
        <v>0</v>
      </c>
      <c r="J8" s="234">
        <f>+'Human Considerations'!AX9</f>
        <v>1</v>
      </c>
      <c r="K8" s="234">
        <f>+'Human Considerations'!BB9</f>
        <v>-1</v>
      </c>
      <c r="L8" s="234">
        <f>+'Human Considerations'!BF9</f>
        <v>-5</v>
      </c>
      <c r="M8" s="234">
        <f>+'Human Considerations'!BJ9</f>
        <v>-3</v>
      </c>
      <c r="N8" s="234">
        <f>+'Human Considerations'!BN9</f>
        <v>-3</v>
      </c>
      <c r="O8" s="234">
        <f>+'Human Considerations'!BR9</f>
        <v>2</v>
      </c>
    </row>
    <row r="9" spans="1:15" ht="13.5" customHeight="1" x14ac:dyDescent="0.2">
      <c r="A9" s="231">
        <f>+'Human Considerations'!A10</f>
        <v>8</v>
      </c>
      <c r="B9" s="232" t="str">
        <f>+'Human Considerations'!B10</f>
        <v>Animal Mortality Facility</v>
      </c>
      <c r="C9" s="233">
        <f>+'Human Considerations'!D10</f>
        <v>316</v>
      </c>
      <c r="D9" s="234">
        <f>+'Human Considerations'!Z10</f>
        <v>2</v>
      </c>
      <c r="E9" s="234">
        <f>+'Human Considerations'!AD10</f>
        <v>-5</v>
      </c>
      <c r="F9" s="234">
        <f>+'Human Considerations'!AH10</f>
        <v>-5</v>
      </c>
      <c r="G9" s="234">
        <f>+'Human Considerations'!AL10</f>
        <v>-1</v>
      </c>
      <c r="H9" s="234">
        <f>+'Human Considerations'!AP10</f>
        <v>0</v>
      </c>
      <c r="I9" s="234">
        <f>+'Human Considerations'!AT10</f>
        <v>0</v>
      </c>
      <c r="J9" s="234">
        <f>+'Human Considerations'!AX10</f>
        <v>1</v>
      </c>
      <c r="K9" s="234">
        <f>+'Human Considerations'!BB10</f>
        <v>-1</v>
      </c>
      <c r="L9" s="234">
        <f>+'Human Considerations'!BF10</f>
        <v>-5</v>
      </c>
      <c r="M9" s="234">
        <f>+'Human Considerations'!BJ10</f>
        <v>-2</v>
      </c>
      <c r="N9" s="234">
        <f>+'Human Considerations'!BN10</f>
        <v>-3</v>
      </c>
      <c r="O9" s="234">
        <f>+'Human Considerations'!BR10</f>
        <v>2</v>
      </c>
    </row>
    <row r="10" spans="1:15" ht="13.5" customHeight="1" x14ac:dyDescent="0.2">
      <c r="A10" s="231">
        <f>+'Human Considerations'!A11</f>
        <v>9</v>
      </c>
      <c r="B10" s="232" t="str">
        <f>+'Human Considerations'!B11</f>
        <v>Animal Trails and Walkways</v>
      </c>
      <c r="C10" s="233">
        <f>+'Human Considerations'!D11</f>
        <v>575</v>
      </c>
      <c r="D10" s="234">
        <f>+'Human Considerations'!Z11</f>
        <v>2</v>
      </c>
      <c r="E10" s="234">
        <f>+'Human Considerations'!AD11</f>
        <v>-1</v>
      </c>
      <c r="F10" s="234">
        <f>+'Human Considerations'!AH11</f>
        <v>-1</v>
      </c>
      <c r="G10" s="234">
        <f>+'Human Considerations'!AL11</f>
        <v>0</v>
      </c>
      <c r="H10" s="234">
        <f>+'Human Considerations'!AP11</f>
        <v>0</v>
      </c>
      <c r="I10" s="234">
        <f>+'Human Considerations'!AT11</f>
        <v>0</v>
      </c>
      <c r="J10" s="234">
        <f>+'Human Considerations'!AX11</f>
        <v>1</v>
      </c>
      <c r="K10" s="234">
        <f>+'Human Considerations'!BB11</f>
        <v>-1</v>
      </c>
      <c r="L10" s="234">
        <f>+'Human Considerations'!BF11</f>
        <v>0</v>
      </c>
      <c r="M10" s="234">
        <f>+'Human Considerations'!BJ11</f>
        <v>2</v>
      </c>
      <c r="N10" s="234">
        <f>+'Human Considerations'!BN11</f>
        <v>2</v>
      </c>
      <c r="O10" s="234">
        <f>+'Human Considerations'!BR11</f>
        <v>4</v>
      </c>
    </row>
    <row r="11" spans="1:15" ht="13.5" customHeight="1" x14ac:dyDescent="0.2">
      <c r="A11" s="231">
        <f>+'Human Considerations'!A12</f>
        <v>10</v>
      </c>
      <c r="B11" s="232" t="str">
        <f>+'Human Considerations'!B12</f>
        <v>Anionic Polyacrylamide (PAM) Erosion Control</v>
      </c>
      <c r="C11" s="233">
        <f>+'Human Considerations'!D12</f>
        <v>450</v>
      </c>
      <c r="D11" s="234">
        <f>+'Human Considerations'!Z12</f>
        <v>0</v>
      </c>
      <c r="E11" s="234">
        <f>+'Human Considerations'!AD12</f>
        <v>-1</v>
      </c>
      <c r="F11" s="234">
        <f>+'Human Considerations'!AH12</f>
        <v>0</v>
      </c>
      <c r="G11" s="234">
        <f>+'Human Considerations'!AL12</f>
        <v>0</v>
      </c>
      <c r="H11" s="234">
        <f>+'Human Considerations'!AP12</f>
        <v>2</v>
      </c>
      <c r="I11" s="234">
        <f>+'Human Considerations'!AT12</f>
        <v>5</v>
      </c>
      <c r="J11" s="234">
        <f>+'Human Considerations'!AX12</f>
        <v>0</v>
      </c>
      <c r="K11" s="234">
        <f>+'Human Considerations'!BB12</f>
        <v>0</v>
      </c>
      <c r="L11" s="234">
        <f>+'Human Considerations'!BF12</f>
        <v>-1</v>
      </c>
      <c r="M11" s="234">
        <f>+'Human Considerations'!BJ12</f>
        <v>1</v>
      </c>
      <c r="N11" s="234">
        <f>+'Human Considerations'!BN12</f>
        <v>-1</v>
      </c>
      <c r="O11" s="234">
        <f>+'Human Considerations'!BR12</f>
        <v>2</v>
      </c>
    </row>
    <row r="12" spans="1:15" ht="13.5" customHeight="1" x14ac:dyDescent="0.2">
      <c r="A12" s="231">
        <f>+'Human Considerations'!A13</f>
        <v>11</v>
      </c>
      <c r="B12" s="232" t="str">
        <f>+'Human Considerations'!B13</f>
        <v>Aquaculture Ponds</v>
      </c>
      <c r="C12" s="233">
        <f>+'Human Considerations'!D13</f>
        <v>397</v>
      </c>
      <c r="D12" s="234">
        <f>+'Human Considerations'!Z13</f>
        <v>2</v>
      </c>
      <c r="E12" s="234">
        <f>+'Human Considerations'!AD13</f>
        <v>-5</v>
      </c>
      <c r="F12" s="234">
        <f>+'Human Considerations'!AH13</f>
        <v>-3</v>
      </c>
      <c r="G12" s="234">
        <f>+'Human Considerations'!AL13</f>
        <v>0</v>
      </c>
      <c r="H12" s="234">
        <f>+'Human Considerations'!AP13</f>
        <v>5</v>
      </c>
      <c r="I12" s="234">
        <f>+'Human Considerations'!AT13</f>
        <v>-2</v>
      </c>
      <c r="J12" s="234">
        <f>+'Human Considerations'!AX13</f>
        <v>2</v>
      </c>
      <c r="K12" s="234">
        <f>+'Human Considerations'!BB13</f>
        <v>-1</v>
      </c>
      <c r="L12" s="234">
        <f>+'Human Considerations'!BF13</f>
        <v>-1</v>
      </c>
      <c r="M12" s="234">
        <f>+'Human Considerations'!BJ13</f>
        <v>-2</v>
      </c>
      <c r="N12" s="234">
        <f>+'Human Considerations'!BN13</f>
        <v>-4</v>
      </c>
      <c r="O12" s="234">
        <f>+'Human Considerations'!BR13</f>
        <v>2</v>
      </c>
    </row>
    <row r="13" spans="1:15" ht="13.5" customHeight="1" x14ac:dyDescent="0.2">
      <c r="A13" s="231">
        <f>+'Human Considerations'!A14</f>
        <v>12</v>
      </c>
      <c r="B13" s="232" t="str">
        <f>+'Human Considerations'!B14</f>
        <v xml:space="preserve">Aquatic Organism Passage </v>
      </c>
      <c r="C13" s="233">
        <f>+'Human Considerations'!D14</f>
        <v>396</v>
      </c>
      <c r="D13" s="234">
        <f>+'Human Considerations'!Z14</f>
        <v>2</v>
      </c>
      <c r="E13" s="234">
        <f>+'Human Considerations'!AD14</f>
        <v>-5</v>
      </c>
      <c r="F13" s="234">
        <f>+'Human Considerations'!AH14</f>
        <v>-3</v>
      </c>
      <c r="G13" s="234">
        <f>+'Human Considerations'!AL14</f>
        <v>2</v>
      </c>
      <c r="H13" s="234">
        <f>+'Human Considerations'!AP14</f>
        <v>0</v>
      </c>
      <c r="I13" s="234">
        <f>+'Human Considerations'!AT14</f>
        <v>-1</v>
      </c>
      <c r="J13" s="234">
        <f>+'Human Considerations'!AX14</f>
        <v>0</v>
      </c>
      <c r="K13" s="234">
        <f>+'Human Considerations'!BB14</f>
        <v>0</v>
      </c>
      <c r="L13" s="234">
        <f>+'Human Considerations'!BF14</f>
        <v>-2</v>
      </c>
      <c r="M13" s="234">
        <f>+'Human Considerations'!BJ14</f>
        <v>-1</v>
      </c>
      <c r="N13" s="234">
        <f>+'Human Considerations'!BN14</f>
        <v>2</v>
      </c>
      <c r="O13" s="234">
        <f>+'Human Considerations'!BR14</f>
        <v>2</v>
      </c>
    </row>
    <row r="14" spans="1:15" ht="13.5" customHeight="1" x14ac:dyDescent="0.2">
      <c r="A14" s="231">
        <f>+'Human Considerations'!A15</f>
        <v>13</v>
      </c>
      <c r="B14" s="232" t="str">
        <f>+'Human Considerations'!B15</f>
        <v>Bedding</v>
      </c>
      <c r="C14" s="233">
        <f>+'Human Considerations'!D15</f>
        <v>310</v>
      </c>
      <c r="D14" s="234">
        <f>+'Human Considerations'!Z15</f>
        <v>0</v>
      </c>
      <c r="E14" s="234">
        <f>+'Human Considerations'!AD15</f>
        <v>-2</v>
      </c>
      <c r="F14" s="234">
        <f>+'Human Considerations'!AH15</f>
        <v>0</v>
      </c>
      <c r="G14" s="234">
        <f>+'Human Considerations'!AL15</f>
        <v>0</v>
      </c>
      <c r="H14" s="234">
        <f>+'Human Considerations'!AP15</f>
        <v>2</v>
      </c>
      <c r="I14" s="234">
        <f>+'Human Considerations'!AT15</f>
        <v>0</v>
      </c>
      <c r="J14" s="234">
        <f>+'Human Considerations'!AX15</f>
        <v>0</v>
      </c>
      <c r="K14" s="234">
        <f>+'Human Considerations'!BB15</f>
        <v>0</v>
      </c>
      <c r="L14" s="234">
        <f>+'Human Considerations'!BF15</f>
        <v>-1</v>
      </c>
      <c r="M14" s="234">
        <f>+'Human Considerations'!BJ15</f>
        <v>-1</v>
      </c>
      <c r="N14" s="234">
        <f>+'Human Considerations'!BN15</f>
        <v>-1</v>
      </c>
      <c r="O14" s="234">
        <f>+'Human Considerations'!BR15</f>
        <v>4</v>
      </c>
    </row>
    <row r="15" spans="1:15" ht="13.5" customHeight="1" x14ac:dyDescent="0.2">
      <c r="A15" s="231">
        <f>+'Human Considerations'!A16</f>
        <v>14</v>
      </c>
      <c r="B15" s="232" t="str">
        <f>+'Human Considerations'!B16</f>
        <v>Bivalve Aquaculture Gear and Biofouling Control</v>
      </c>
      <c r="C15" s="233">
        <f>+'Human Considerations'!D16</f>
        <v>400</v>
      </c>
      <c r="D15" s="234">
        <f>+'Human Considerations'!Z16</f>
        <v>0</v>
      </c>
      <c r="E15" s="234">
        <f>+'Human Considerations'!AD16</f>
        <v>-5</v>
      </c>
      <c r="F15" s="234">
        <f>+'Human Considerations'!AH16</f>
        <v>-3</v>
      </c>
      <c r="G15" s="234">
        <f>+'Human Considerations'!AL16</f>
        <v>0</v>
      </c>
      <c r="H15" s="234">
        <f>+'Human Considerations'!AP16</f>
        <v>0</v>
      </c>
      <c r="I15" s="234">
        <f>+'Human Considerations'!AT16</f>
        <v>0</v>
      </c>
      <c r="J15" s="234">
        <f>+'Human Considerations'!AX16</f>
        <v>0</v>
      </c>
      <c r="K15" s="234">
        <f>+'Human Considerations'!BB16</f>
        <v>0</v>
      </c>
      <c r="L15" s="234">
        <f>+'Human Considerations'!BF16</f>
        <v>-5</v>
      </c>
      <c r="M15" s="234">
        <f>+'Human Considerations'!BJ16</f>
        <v>-1</v>
      </c>
      <c r="N15" s="234">
        <f>+'Human Considerations'!BN16</f>
        <v>2</v>
      </c>
      <c r="O15" s="234">
        <f>+'Human Considerations'!BR16</f>
        <v>2</v>
      </c>
    </row>
    <row r="16" spans="1:15" ht="13.5" customHeight="1" x14ac:dyDescent="0.2">
      <c r="A16" s="231">
        <f>+'Human Considerations'!A17</f>
        <v>15</v>
      </c>
      <c r="B16" s="232" t="str">
        <f>+'Human Considerations'!B17</f>
        <v>Brush Management</v>
      </c>
      <c r="C16" s="233">
        <f>+'Human Considerations'!D17</f>
        <v>314</v>
      </c>
      <c r="D16" s="234">
        <f>+'Human Considerations'!Z17</f>
        <v>2</v>
      </c>
      <c r="E16" s="234">
        <f>+'Human Considerations'!AD17</f>
        <v>-3</v>
      </c>
      <c r="F16" s="234">
        <f>+'Human Considerations'!AH17</f>
        <v>-1</v>
      </c>
      <c r="G16" s="234">
        <f>+'Human Considerations'!AL17</f>
        <v>5</v>
      </c>
      <c r="H16" s="234">
        <f>+'Human Considerations'!AP17</f>
        <v>5</v>
      </c>
      <c r="I16" s="234">
        <f>+'Human Considerations'!AT17</f>
        <v>3</v>
      </c>
      <c r="J16" s="234">
        <f>+'Human Considerations'!AX17</f>
        <v>0</v>
      </c>
      <c r="K16" s="234">
        <f>+'Human Considerations'!BB17</f>
        <v>4</v>
      </c>
      <c r="L16" s="234">
        <f>+'Human Considerations'!BF17</f>
        <v>0</v>
      </c>
      <c r="M16" s="234">
        <f>+'Human Considerations'!BJ17</f>
        <v>1</v>
      </c>
      <c r="N16" s="234">
        <f>+'Human Considerations'!BN17</f>
        <v>2</v>
      </c>
      <c r="O16" s="234">
        <f>+'Human Considerations'!BR17</f>
        <v>4</v>
      </c>
    </row>
    <row r="17" spans="1:15" ht="13.5" customHeight="1" x14ac:dyDescent="0.2">
      <c r="A17" s="231">
        <f>+'Human Considerations'!A18</f>
        <v>16</v>
      </c>
      <c r="B17" s="232" t="str">
        <f>+'Human Considerations'!B18</f>
        <v>Building Envelope Improvement</v>
      </c>
      <c r="C17" s="233">
        <f>+'Human Considerations'!D18</f>
        <v>672</v>
      </c>
      <c r="D17" s="234">
        <f>+'Human Considerations'!Z18</f>
        <v>0</v>
      </c>
      <c r="E17" s="234">
        <f>+'Human Considerations'!AD18</f>
        <v>-5</v>
      </c>
      <c r="F17" s="234">
        <f>+'Human Considerations'!AH18</f>
        <v>0</v>
      </c>
      <c r="G17" s="234">
        <f>+'Human Considerations'!AL18</f>
        <v>0</v>
      </c>
      <c r="H17" s="234">
        <f>+'Human Considerations'!AP18</f>
        <v>0</v>
      </c>
      <c r="I17" s="234">
        <f>+'Human Considerations'!AT18</f>
        <v>-4</v>
      </c>
      <c r="J17" s="234">
        <f>+'Human Considerations'!AX18</f>
        <v>0</v>
      </c>
      <c r="K17" s="234">
        <f>+'Human Considerations'!BB18</f>
        <v>0</v>
      </c>
      <c r="L17" s="234">
        <f>+'Human Considerations'!BF18</f>
        <v>0</v>
      </c>
      <c r="M17" s="234">
        <f>+'Human Considerations'!BJ18</f>
        <v>0</v>
      </c>
      <c r="N17" s="234">
        <f>+'Human Considerations'!BN18</f>
        <v>0</v>
      </c>
      <c r="O17" s="234">
        <f>+'Human Considerations'!BR18</f>
        <v>2</v>
      </c>
    </row>
    <row r="18" spans="1:15" ht="13.5" customHeight="1" x14ac:dyDescent="0.2">
      <c r="A18" s="231">
        <f>+'Human Considerations'!A19</f>
        <v>17</v>
      </c>
      <c r="B18" s="232" t="str">
        <f>+'Human Considerations'!B19</f>
        <v>Channel Bed Stabilization</v>
      </c>
      <c r="C18" s="233">
        <f>+'Human Considerations'!D19</f>
        <v>584</v>
      </c>
      <c r="D18" s="234">
        <f>+'Human Considerations'!Z19</f>
        <v>2</v>
      </c>
      <c r="E18" s="234">
        <f>+'Human Considerations'!AD19</f>
        <v>-2</v>
      </c>
      <c r="F18" s="234">
        <f>+'Human Considerations'!AH19</f>
        <v>-5</v>
      </c>
      <c r="G18" s="234">
        <f>+'Human Considerations'!AL19</f>
        <v>-2</v>
      </c>
      <c r="H18" s="234">
        <f>+'Human Considerations'!AP19</f>
        <v>0</v>
      </c>
      <c r="I18" s="234">
        <f>+'Human Considerations'!AT19</f>
        <v>0</v>
      </c>
      <c r="J18" s="234">
        <f>+'Human Considerations'!AX19</f>
        <v>0</v>
      </c>
      <c r="K18" s="234">
        <f>+'Human Considerations'!BB19</f>
        <v>0</v>
      </c>
      <c r="L18" s="234">
        <f>+'Human Considerations'!BF19</f>
        <v>0</v>
      </c>
      <c r="M18" s="234">
        <f>+'Human Considerations'!BJ19</f>
        <v>1</v>
      </c>
      <c r="N18" s="234">
        <f>+'Human Considerations'!BN19</f>
        <v>1</v>
      </c>
      <c r="O18" s="234">
        <f>+'Human Considerations'!BR19</f>
        <v>2</v>
      </c>
    </row>
    <row r="19" spans="1:15" ht="13.5" customHeight="1" x14ac:dyDescent="0.2">
      <c r="A19" s="231">
        <f>+'Human Considerations'!A20</f>
        <v>18</v>
      </c>
      <c r="B19" s="232" t="str">
        <f>+'Human Considerations'!B20</f>
        <v>Clearing &amp; Snagging</v>
      </c>
      <c r="C19" s="233">
        <f>+'Human Considerations'!D20</f>
        <v>326</v>
      </c>
      <c r="D19" s="234">
        <f>+'Human Considerations'!Z20</f>
        <v>2</v>
      </c>
      <c r="E19" s="234">
        <f>+'Human Considerations'!AD20</f>
        <v>-2</v>
      </c>
      <c r="F19" s="234">
        <f>+'Human Considerations'!AH20</f>
        <v>-5</v>
      </c>
      <c r="G19" s="234">
        <f>+'Human Considerations'!AL20</f>
        <v>-3</v>
      </c>
      <c r="H19" s="234">
        <f>+'Human Considerations'!AP20</f>
        <v>0</v>
      </c>
      <c r="I19" s="234">
        <f>+'Human Considerations'!AT20</f>
        <v>0</v>
      </c>
      <c r="J19" s="234">
        <f>+'Human Considerations'!AX20</f>
        <v>0</v>
      </c>
      <c r="K19" s="234">
        <f>+'Human Considerations'!BB20</f>
        <v>0</v>
      </c>
      <c r="L19" s="234">
        <f>+'Human Considerations'!BF20</f>
        <v>0</v>
      </c>
      <c r="M19" s="234">
        <f>+'Human Considerations'!BJ20</f>
        <v>1</v>
      </c>
      <c r="N19" s="234">
        <f>+'Human Considerations'!BN20</f>
        <v>1</v>
      </c>
      <c r="O19" s="234">
        <f>+'Human Considerations'!BR20</f>
        <v>2</v>
      </c>
    </row>
    <row r="20" spans="1:15" ht="13.5" customHeight="1" x14ac:dyDescent="0.2">
      <c r="A20" s="231">
        <f>+'Human Considerations'!A21</f>
        <v>19</v>
      </c>
      <c r="B20" s="232" t="str">
        <f>+'Human Considerations'!B21</f>
        <v>Combustion System Improvement</v>
      </c>
      <c r="C20" s="233">
        <f>+'Human Considerations'!D21</f>
        <v>372</v>
      </c>
      <c r="D20" s="234">
        <f>+'Human Considerations'!Z21</f>
        <v>0</v>
      </c>
      <c r="E20" s="234">
        <f>+'Human Considerations'!AD21</f>
        <v>-5</v>
      </c>
      <c r="F20" s="234">
        <f>+'Human Considerations'!AH21</f>
        <v>-2</v>
      </c>
      <c r="G20" s="234">
        <f>+'Human Considerations'!AL21</f>
        <v>-5</v>
      </c>
      <c r="H20" s="234">
        <f>+'Human Considerations'!AP21</f>
        <v>0</v>
      </c>
      <c r="I20" s="234">
        <f>+'Human Considerations'!AT21</f>
        <v>0</v>
      </c>
      <c r="J20" s="234">
        <f>+'Human Considerations'!AX21</f>
        <v>0</v>
      </c>
      <c r="K20" s="234">
        <f>+'Human Considerations'!BB21</f>
        <v>0</v>
      </c>
      <c r="L20" s="234">
        <f>+'Human Considerations'!BF21</f>
        <v>-5</v>
      </c>
      <c r="M20" s="234">
        <f>+'Human Considerations'!BJ21</f>
        <v>0</v>
      </c>
      <c r="N20" s="234">
        <f>+'Human Considerations'!BN21</f>
        <v>0</v>
      </c>
      <c r="O20" s="234">
        <f>+'Human Considerations'!BR21</f>
        <v>0</v>
      </c>
    </row>
    <row r="21" spans="1:15" ht="13.5" customHeight="1" x14ac:dyDescent="0.2">
      <c r="A21" s="231">
        <f>+'Human Considerations'!A22</f>
        <v>20</v>
      </c>
      <c r="B21" s="232" t="str">
        <f>+'Human Considerations'!B22</f>
        <v>Composting Facility</v>
      </c>
      <c r="C21" s="233">
        <f>+'Human Considerations'!D22</f>
        <v>317</v>
      </c>
      <c r="D21" s="234">
        <f>+'Human Considerations'!Z22</f>
        <v>2</v>
      </c>
      <c r="E21" s="234">
        <f>+'Human Considerations'!AD22</f>
        <v>-5</v>
      </c>
      <c r="F21" s="234">
        <f>+'Human Considerations'!AH22</f>
        <v>-2</v>
      </c>
      <c r="G21" s="234">
        <f>+'Human Considerations'!AL22</f>
        <v>-5</v>
      </c>
      <c r="H21" s="234">
        <f>+'Human Considerations'!AP22</f>
        <v>0</v>
      </c>
      <c r="I21" s="234">
        <f>+'Human Considerations'!AT22</f>
        <v>0</v>
      </c>
      <c r="J21" s="234">
        <f>+'Human Considerations'!AX22</f>
        <v>1</v>
      </c>
      <c r="K21" s="234">
        <f>+'Human Considerations'!BB22</f>
        <v>-1</v>
      </c>
      <c r="L21" s="234">
        <f>+'Human Considerations'!BF22</f>
        <v>-5</v>
      </c>
      <c r="M21" s="234">
        <f>+'Human Considerations'!BJ22</f>
        <v>-2</v>
      </c>
      <c r="N21" s="234">
        <f>+'Human Considerations'!BN22</f>
        <v>-2</v>
      </c>
      <c r="O21" s="234">
        <f>+'Human Considerations'!BR22</f>
        <v>2</v>
      </c>
    </row>
    <row r="22" spans="1:15" ht="13.5" customHeight="1" x14ac:dyDescent="0.2">
      <c r="A22" s="231">
        <f>+'Human Considerations'!A23</f>
        <v>21</v>
      </c>
      <c r="B22" s="232" t="str">
        <f>+'Human Considerations'!B23</f>
        <v>Conservation Cover</v>
      </c>
      <c r="C22" s="233">
        <f>+'Human Considerations'!D23</f>
        <v>327</v>
      </c>
      <c r="D22" s="234">
        <f>+'Human Considerations'!Z23</f>
        <v>-2</v>
      </c>
      <c r="E22" s="234">
        <f>+'Human Considerations'!AD23</f>
        <v>-2</v>
      </c>
      <c r="F22" s="234">
        <f>+'Human Considerations'!AH23</f>
        <v>-3</v>
      </c>
      <c r="G22" s="234">
        <f>+'Human Considerations'!AL23</f>
        <v>-5</v>
      </c>
      <c r="H22" s="234">
        <f>+'Human Considerations'!AP23</f>
        <v>0</v>
      </c>
      <c r="I22" s="234">
        <f>+'Human Considerations'!AT23</f>
        <v>0</v>
      </c>
      <c r="J22" s="234">
        <f>+'Human Considerations'!AX23</f>
        <v>5</v>
      </c>
      <c r="K22" s="234">
        <f>+'Human Considerations'!BB23</f>
        <v>-3</v>
      </c>
      <c r="L22" s="234">
        <f>+'Human Considerations'!BF23</f>
        <v>0</v>
      </c>
      <c r="M22" s="234">
        <f>+'Human Considerations'!BJ23</f>
        <v>1</v>
      </c>
      <c r="N22" s="234">
        <f>+'Human Considerations'!BN23</f>
        <v>2</v>
      </c>
      <c r="O22" s="234">
        <f>+'Human Considerations'!BR23</f>
        <v>-3</v>
      </c>
    </row>
    <row r="23" spans="1:15" ht="13.5" customHeight="1" x14ac:dyDescent="0.2">
      <c r="A23" s="231">
        <f>+'Human Considerations'!A24</f>
        <v>22</v>
      </c>
      <c r="B23" s="232" t="str">
        <f>+'Human Considerations'!B24</f>
        <v>Conservation Crop Rotation</v>
      </c>
      <c r="C23" s="233">
        <f>+'Human Considerations'!D24</f>
        <v>328</v>
      </c>
      <c r="D23" s="234">
        <f>+'Human Considerations'!Z24</f>
        <v>0</v>
      </c>
      <c r="E23" s="234">
        <f>+'Human Considerations'!AD24</f>
        <v>-2</v>
      </c>
      <c r="F23" s="234">
        <f>+'Human Considerations'!AH24</f>
        <v>0</v>
      </c>
      <c r="G23" s="234">
        <f>+'Human Considerations'!AL24</f>
        <v>0</v>
      </c>
      <c r="H23" s="234">
        <f>+'Human Considerations'!AP24</f>
        <v>2</v>
      </c>
      <c r="I23" s="234">
        <f>+'Human Considerations'!AT24</f>
        <v>5</v>
      </c>
      <c r="J23" s="234">
        <f>+'Human Considerations'!AX24</f>
        <v>0</v>
      </c>
      <c r="K23" s="234">
        <f>+'Human Considerations'!BB24</f>
        <v>0</v>
      </c>
      <c r="L23" s="234">
        <f>+'Human Considerations'!BF24</f>
        <v>0</v>
      </c>
      <c r="M23" s="234">
        <f>+'Human Considerations'!BJ24</f>
        <v>-1</v>
      </c>
      <c r="N23" s="234">
        <f>+'Human Considerations'!BN24</f>
        <v>-2</v>
      </c>
      <c r="O23" s="234">
        <f>+'Human Considerations'!BR24</f>
        <v>2</v>
      </c>
    </row>
    <row r="24" spans="1:15" ht="13.5" customHeight="1" x14ac:dyDescent="0.2">
      <c r="A24" s="231">
        <f>+'Human Considerations'!A25</f>
        <v>23</v>
      </c>
      <c r="B24" s="232" t="str">
        <f>+'Human Considerations'!B25</f>
        <v>Constructed Wetland</v>
      </c>
      <c r="C24" s="233">
        <f>+'Human Considerations'!D25</f>
        <v>656</v>
      </c>
      <c r="D24" s="234">
        <f>+'Human Considerations'!Z25</f>
        <v>2</v>
      </c>
      <c r="E24" s="234">
        <f>+'Human Considerations'!AD25</f>
        <v>-5</v>
      </c>
      <c r="F24" s="234">
        <f>+'Human Considerations'!AH25</f>
        <v>-1</v>
      </c>
      <c r="G24" s="234">
        <f>+'Human Considerations'!AL25</f>
        <v>-1</v>
      </c>
      <c r="H24" s="234">
        <f>+'Human Considerations'!AP25</f>
        <v>0</v>
      </c>
      <c r="I24" s="234">
        <f>+'Human Considerations'!AT25</f>
        <v>0</v>
      </c>
      <c r="J24" s="234">
        <f>+'Human Considerations'!AX25</f>
        <v>5</v>
      </c>
      <c r="K24" s="234">
        <f>+'Human Considerations'!BB25</f>
        <v>-3</v>
      </c>
      <c r="L24" s="234">
        <f>+'Human Considerations'!BF25</f>
        <v>0</v>
      </c>
      <c r="M24" s="234">
        <f>+'Human Considerations'!BJ25</f>
        <v>2</v>
      </c>
      <c r="N24" s="234">
        <f>+'Human Considerations'!BN25</f>
        <v>1</v>
      </c>
      <c r="O24" s="234">
        <f>+'Human Considerations'!BR25</f>
        <v>-1</v>
      </c>
    </row>
    <row r="25" spans="1:15" ht="13.5" customHeight="1" x14ac:dyDescent="0.2">
      <c r="A25" s="231">
        <f>+'Human Considerations'!A26</f>
        <v>24</v>
      </c>
      <c r="B25" s="232" t="str">
        <f>+'Human Considerations'!B26</f>
        <v>Contour Buffer Strips</v>
      </c>
      <c r="C25" s="233">
        <f>+'Human Considerations'!D26</f>
        <v>332</v>
      </c>
      <c r="D25" s="234">
        <f>+'Human Considerations'!Z26</f>
        <v>2</v>
      </c>
      <c r="E25" s="234">
        <f>+'Human Considerations'!AD26</f>
        <v>-2</v>
      </c>
      <c r="F25" s="234">
        <f>+'Human Considerations'!AH26</f>
        <v>-2</v>
      </c>
      <c r="G25" s="234">
        <f>+'Human Considerations'!AL26</f>
        <v>1</v>
      </c>
      <c r="H25" s="234">
        <f>+'Human Considerations'!AP26</f>
        <v>2</v>
      </c>
      <c r="I25" s="234">
        <f>+'Human Considerations'!AT26</f>
        <v>4</v>
      </c>
      <c r="J25" s="234">
        <f>+'Human Considerations'!AX26</f>
        <v>2</v>
      </c>
      <c r="K25" s="234">
        <f>+'Human Considerations'!BB26</f>
        <v>-1</v>
      </c>
      <c r="L25" s="234">
        <f>+'Human Considerations'!BF26</f>
        <v>0</v>
      </c>
      <c r="M25" s="234">
        <f>+'Human Considerations'!BJ26</f>
        <v>-1</v>
      </c>
      <c r="N25" s="234">
        <f>+'Human Considerations'!BN26</f>
        <v>-1</v>
      </c>
      <c r="O25" s="234">
        <f>+'Human Considerations'!BR26</f>
        <v>-1</v>
      </c>
    </row>
    <row r="26" spans="1:15" ht="13.5" customHeight="1" x14ac:dyDescent="0.2">
      <c r="A26" s="231">
        <f>+'Human Considerations'!A27</f>
        <v>25</v>
      </c>
      <c r="B26" s="232" t="str">
        <f>+'Human Considerations'!B27</f>
        <v>Contour Farming</v>
      </c>
      <c r="C26" s="233">
        <f>+'Human Considerations'!D27</f>
        <v>330</v>
      </c>
      <c r="D26" s="234">
        <f>+'Human Considerations'!Z27</f>
        <v>0</v>
      </c>
      <c r="E26" s="234">
        <f>+'Human Considerations'!AD27</f>
        <v>-1</v>
      </c>
      <c r="F26" s="234">
        <f>+'Human Considerations'!AH27</f>
        <v>0</v>
      </c>
      <c r="G26" s="234">
        <f>+'Human Considerations'!AL27</f>
        <v>0</v>
      </c>
      <c r="H26" s="234">
        <f>+'Human Considerations'!AP27</f>
        <v>1</v>
      </c>
      <c r="I26" s="234">
        <f>+'Human Considerations'!AT27</f>
        <v>5</v>
      </c>
      <c r="J26" s="234">
        <f>+'Human Considerations'!AX27</f>
        <v>0</v>
      </c>
      <c r="K26" s="234">
        <f>+'Human Considerations'!BB27</f>
        <v>0</v>
      </c>
      <c r="L26" s="234">
        <f>+'Human Considerations'!BF27</f>
        <v>0</v>
      </c>
      <c r="M26" s="234">
        <f>+'Human Considerations'!BJ27</f>
        <v>-1</v>
      </c>
      <c r="N26" s="234">
        <f>+'Human Considerations'!BN27</f>
        <v>-1</v>
      </c>
      <c r="O26" s="234">
        <f>+'Human Considerations'!BR27</f>
        <v>-1</v>
      </c>
    </row>
    <row r="27" spans="1:15" ht="13.5" customHeight="1" x14ac:dyDescent="0.2">
      <c r="A27" s="231">
        <f>+'Human Considerations'!A28</f>
        <v>26</v>
      </c>
      <c r="B27" s="232" t="str">
        <f>+'Human Considerations'!B28</f>
        <v>Contour Orchard and Other Perennial Crops</v>
      </c>
      <c r="C27" s="233">
        <f>+'Human Considerations'!D28</f>
        <v>331</v>
      </c>
      <c r="D27" s="234">
        <f>+'Human Considerations'!Z28</f>
        <v>2</v>
      </c>
      <c r="E27" s="234">
        <f>+'Human Considerations'!AD28</f>
        <v>-1</v>
      </c>
      <c r="F27" s="234">
        <f>+'Human Considerations'!AH28</f>
        <v>-1</v>
      </c>
      <c r="G27" s="234">
        <f>+'Human Considerations'!AL28</f>
        <v>4</v>
      </c>
      <c r="H27" s="234">
        <f>+'Human Considerations'!AP28</f>
        <v>1</v>
      </c>
      <c r="I27" s="234">
        <f>+'Human Considerations'!AT28</f>
        <v>2</v>
      </c>
      <c r="J27" s="234">
        <f>+'Human Considerations'!AX28</f>
        <v>0</v>
      </c>
      <c r="K27" s="234">
        <f>+'Human Considerations'!BB28</f>
        <v>0</v>
      </c>
      <c r="L27" s="234">
        <f>+'Human Considerations'!BF28</f>
        <v>0</v>
      </c>
      <c r="M27" s="234">
        <f>+'Human Considerations'!BJ28</f>
        <v>-1</v>
      </c>
      <c r="N27" s="234">
        <f>+'Human Considerations'!BN28</f>
        <v>-1</v>
      </c>
      <c r="O27" s="234">
        <f>+'Human Considerations'!BR28</f>
        <v>-1</v>
      </c>
    </row>
    <row r="28" spans="1:15" ht="13.5" customHeight="1" x14ac:dyDescent="0.2">
      <c r="A28" s="231">
        <f>+'Human Considerations'!A29</f>
        <v>27</v>
      </c>
      <c r="B28" s="232" t="str">
        <f>+'Human Considerations'!B29</f>
        <v>Cover Crop</v>
      </c>
      <c r="C28" s="233">
        <f>+'Human Considerations'!D29</f>
        <v>340</v>
      </c>
      <c r="D28" s="234">
        <f>+'Human Considerations'!Z29</f>
        <v>-2</v>
      </c>
      <c r="E28" s="234">
        <f>+'Human Considerations'!AD29</f>
        <v>-2</v>
      </c>
      <c r="F28" s="234">
        <f>+'Human Considerations'!AH29</f>
        <v>0</v>
      </c>
      <c r="G28" s="234">
        <f>+'Human Considerations'!AL29</f>
        <v>-1</v>
      </c>
      <c r="H28" s="234">
        <f>+'Human Considerations'!AP29</f>
        <v>2</v>
      </c>
      <c r="I28" s="234">
        <f>+'Human Considerations'!AT29</f>
        <v>0</v>
      </c>
      <c r="J28" s="234">
        <f>+'Human Considerations'!AX29</f>
        <v>0</v>
      </c>
      <c r="K28" s="234">
        <f>+'Human Considerations'!BB29</f>
        <v>3</v>
      </c>
      <c r="L28" s="234">
        <f>+'Human Considerations'!BF29</f>
        <v>0</v>
      </c>
      <c r="M28" s="234">
        <f>+'Human Considerations'!BJ29</f>
        <v>-1</v>
      </c>
      <c r="N28" s="234">
        <f>+'Human Considerations'!BN29</f>
        <v>-1</v>
      </c>
      <c r="O28" s="234">
        <f>+'Human Considerations'!BR29</f>
        <v>-1</v>
      </c>
    </row>
    <row r="29" spans="1:15" ht="13.5" customHeight="1" x14ac:dyDescent="0.2">
      <c r="A29" s="231">
        <f>+'Human Considerations'!A30</f>
        <v>28</v>
      </c>
      <c r="B29" s="232" t="str">
        <f>+'Human Considerations'!B30</f>
        <v>Critical Area Planting</v>
      </c>
      <c r="C29" s="233">
        <f>+'Human Considerations'!D30</f>
        <v>342</v>
      </c>
      <c r="D29" s="234">
        <f>+'Human Considerations'!Z30</f>
        <v>-2</v>
      </c>
      <c r="E29" s="234">
        <f>+'Human Considerations'!AD30</f>
        <v>-2</v>
      </c>
      <c r="F29" s="234">
        <f>+'Human Considerations'!AH30</f>
        <v>-3</v>
      </c>
      <c r="G29" s="234">
        <f>+'Human Considerations'!AL30</f>
        <v>-5</v>
      </c>
      <c r="H29" s="234">
        <f>+'Human Considerations'!AP30</f>
        <v>0</v>
      </c>
      <c r="I29" s="234">
        <f>+'Human Considerations'!AT30</f>
        <v>0</v>
      </c>
      <c r="J29" s="234">
        <f>+'Human Considerations'!AX30</f>
        <v>2</v>
      </c>
      <c r="K29" s="234">
        <f>+'Human Considerations'!BB30</f>
        <v>-1</v>
      </c>
      <c r="L29" s="234">
        <f>+'Human Considerations'!BF30</f>
        <v>0</v>
      </c>
      <c r="M29" s="234">
        <f>+'Human Considerations'!BJ30</f>
        <v>1</v>
      </c>
      <c r="N29" s="234">
        <f>+'Human Considerations'!BN30</f>
        <v>2</v>
      </c>
      <c r="O29" s="234">
        <f>+'Human Considerations'!BR30</f>
        <v>-1</v>
      </c>
    </row>
    <row r="30" spans="1:15" ht="13.5" customHeight="1" x14ac:dyDescent="0.2">
      <c r="A30" s="231">
        <f>+'Human Considerations'!A31</f>
        <v>29</v>
      </c>
      <c r="B30" s="232" t="str">
        <f>+'Human Considerations'!B31</f>
        <v>Cross Wind Ridges</v>
      </c>
      <c r="C30" s="233">
        <f>+'Human Considerations'!D31</f>
        <v>588</v>
      </c>
      <c r="D30" s="234">
        <f>+'Human Considerations'!Z31</f>
        <v>-2</v>
      </c>
      <c r="E30" s="234">
        <f>+'Human Considerations'!AD31</f>
        <v>-2</v>
      </c>
      <c r="F30" s="234">
        <f>+'Human Considerations'!AH31</f>
        <v>-5</v>
      </c>
      <c r="G30" s="234">
        <f>+'Human Considerations'!AL31</f>
        <v>0</v>
      </c>
      <c r="H30" s="234">
        <f>+'Human Considerations'!AP31</f>
        <v>2</v>
      </c>
      <c r="I30" s="234">
        <f>+'Human Considerations'!AT31</f>
        <v>0</v>
      </c>
      <c r="J30" s="234">
        <f>+'Human Considerations'!AX31</f>
        <v>0</v>
      </c>
      <c r="K30" s="234">
        <f>+'Human Considerations'!BB31</f>
        <v>-1</v>
      </c>
      <c r="L30" s="234">
        <f>+'Human Considerations'!BF31</f>
        <v>0</v>
      </c>
      <c r="M30" s="234">
        <f>+'Human Considerations'!BJ31</f>
        <v>-1</v>
      </c>
      <c r="N30" s="234">
        <f>+'Human Considerations'!BN31</f>
        <v>-1</v>
      </c>
      <c r="O30" s="234">
        <f>+'Human Considerations'!BR31</f>
        <v>-1</v>
      </c>
    </row>
    <row r="31" spans="1:15" ht="13.5" customHeight="1" x14ac:dyDescent="0.2">
      <c r="A31" s="231">
        <f>+'Human Considerations'!A32</f>
        <v>30</v>
      </c>
      <c r="B31" s="232" t="str">
        <f>+'Human Considerations'!B32</f>
        <v>Cross Wind Trap Strips</v>
      </c>
      <c r="C31" s="233" t="str">
        <f>+'Human Considerations'!D32</f>
        <v>589C</v>
      </c>
      <c r="D31" s="234">
        <f>+'Human Considerations'!Z32</f>
        <v>-2</v>
      </c>
      <c r="E31" s="234">
        <f>+'Human Considerations'!AD32</f>
        <v>-2</v>
      </c>
      <c r="F31" s="234">
        <f>+'Human Considerations'!AH32</f>
        <v>-5</v>
      </c>
      <c r="G31" s="234">
        <f>+'Human Considerations'!AL32</f>
        <v>0</v>
      </c>
      <c r="H31" s="234">
        <f>+'Human Considerations'!AP32</f>
        <v>2</v>
      </c>
      <c r="I31" s="234">
        <f>+'Human Considerations'!AT32</f>
        <v>0</v>
      </c>
      <c r="J31" s="234">
        <f>+'Human Considerations'!AX32</f>
        <v>0</v>
      </c>
      <c r="K31" s="234">
        <f>+'Human Considerations'!BB32</f>
        <v>-1</v>
      </c>
      <c r="L31" s="234">
        <f>+'Human Considerations'!BF32</f>
        <v>0</v>
      </c>
      <c r="M31" s="234">
        <f>+'Human Considerations'!BJ32</f>
        <v>-1</v>
      </c>
      <c r="N31" s="234">
        <f>+'Human Considerations'!BN32</f>
        <v>1</v>
      </c>
      <c r="O31" s="234">
        <f>+'Human Considerations'!BR32</f>
        <v>-1</v>
      </c>
    </row>
    <row r="32" spans="1:15" ht="13.5" customHeight="1" x14ac:dyDescent="0.2">
      <c r="A32" s="231">
        <f>+'Human Considerations'!A33</f>
        <v>31</v>
      </c>
      <c r="B32" s="232" t="str">
        <f>+'Human Considerations'!B33</f>
        <v>Dam</v>
      </c>
      <c r="C32" s="233">
        <f>+'Human Considerations'!D33</f>
        <v>402</v>
      </c>
      <c r="D32" s="234">
        <f>+'Human Considerations'!Z33</f>
        <v>4</v>
      </c>
      <c r="E32" s="234">
        <f>+'Human Considerations'!AD33</f>
        <v>-5</v>
      </c>
      <c r="F32" s="234">
        <f>+'Human Considerations'!AH33</f>
        <v>-3</v>
      </c>
      <c r="G32" s="234">
        <f>+'Human Considerations'!AL33</f>
        <v>0</v>
      </c>
      <c r="H32" s="234">
        <f>+'Human Considerations'!AP33</f>
        <v>0</v>
      </c>
      <c r="I32" s="234">
        <f>+'Human Considerations'!AT33</f>
        <v>0</v>
      </c>
      <c r="J32" s="234">
        <f>+'Human Considerations'!AX33</f>
        <v>5</v>
      </c>
      <c r="K32" s="234">
        <f>+'Human Considerations'!BB33</f>
        <v>-2</v>
      </c>
      <c r="L32" s="234">
        <f>+'Human Considerations'!BF33</f>
        <v>-1</v>
      </c>
      <c r="M32" s="234">
        <f>+'Human Considerations'!BJ33</f>
        <v>-2</v>
      </c>
      <c r="N32" s="234">
        <f>+'Human Considerations'!BN33</f>
        <v>-4</v>
      </c>
      <c r="O32" s="234">
        <f>+'Human Considerations'!BR33</f>
        <v>4</v>
      </c>
    </row>
    <row r="33" spans="1:15" ht="13.5" customHeight="1" x14ac:dyDescent="0.2">
      <c r="A33" s="231">
        <f>+'Human Considerations'!A34</f>
        <v>32</v>
      </c>
      <c r="B33" s="232" t="str">
        <f>+'Human Considerations'!B34</f>
        <v>Dam, Diversion</v>
      </c>
      <c r="C33" s="233">
        <f>+'Human Considerations'!D34</f>
        <v>348</v>
      </c>
      <c r="D33" s="234">
        <f>+'Human Considerations'!Z34</f>
        <v>4</v>
      </c>
      <c r="E33" s="234">
        <f>+'Human Considerations'!AD34</f>
        <v>-5</v>
      </c>
      <c r="F33" s="234">
        <f>+'Human Considerations'!AH34</f>
        <v>-3</v>
      </c>
      <c r="G33" s="234">
        <f>+'Human Considerations'!AL34</f>
        <v>0</v>
      </c>
      <c r="H33" s="234">
        <f>+'Human Considerations'!AP34</f>
        <v>2</v>
      </c>
      <c r="I33" s="234">
        <f>+'Human Considerations'!AT34</f>
        <v>0</v>
      </c>
      <c r="J33" s="234">
        <f>+'Human Considerations'!AX34</f>
        <v>5</v>
      </c>
      <c r="K33" s="234">
        <f>+'Human Considerations'!BB34</f>
        <v>-2</v>
      </c>
      <c r="L33" s="234">
        <f>+'Human Considerations'!BF34</f>
        <v>-2</v>
      </c>
      <c r="M33" s="234">
        <f>+'Human Considerations'!BJ34</f>
        <v>-2</v>
      </c>
      <c r="N33" s="234">
        <f>+'Human Considerations'!BN34</f>
        <v>-3</v>
      </c>
      <c r="O33" s="234">
        <f>+'Human Considerations'!BR34</f>
        <v>4</v>
      </c>
    </row>
    <row r="34" spans="1:15" ht="13.5" customHeight="1" x14ac:dyDescent="0.2">
      <c r="A34" s="231">
        <f>+'Human Considerations'!A35</f>
        <v>33</v>
      </c>
      <c r="B34" s="232" t="str">
        <f>+'Human Considerations'!B35</f>
        <v>Deep Tillage</v>
      </c>
      <c r="C34" s="233">
        <f>+'Human Considerations'!D35</f>
        <v>324</v>
      </c>
      <c r="D34" s="234">
        <f>+'Human Considerations'!Z35</f>
        <v>2</v>
      </c>
      <c r="E34" s="234">
        <f>+'Human Considerations'!AD35</f>
        <v>-2</v>
      </c>
      <c r="F34" s="234">
        <f>+'Human Considerations'!AH35</f>
        <v>0</v>
      </c>
      <c r="G34" s="234">
        <f>+'Human Considerations'!AL35</f>
        <v>1</v>
      </c>
      <c r="H34" s="234">
        <f>+'Human Considerations'!AP35</f>
        <v>1</v>
      </c>
      <c r="I34" s="234">
        <f>+'Human Considerations'!AT35</f>
        <v>4</v>
      </c>
      <c r="J34" s="234">
        <f>+'Human Considerations'!AX35</f>
        <v>0</v>
      </c>
      <c r="K34" s="234">
        <f>+'Human Considerations'!BB35</f>
        <v>0</v>
      </c>
      <c r="L34" s="234">
        <f>+'Human Considerations'!BF35</f>
        <v>-1</v>
      </c>
      <c r="M34" s="234">
        <f>+'Human Considerations'!BJ35</f>
        <v>-1</v>
      </c>
      <c r="N34" s="234">
        <f>+'Human Considerations'!BN35</f>
        <v>0</v>
      </c>
      <c r="O34" s="234">
        <f>+'Human Considerations'!BR35</f>
        <v>2</v>
      </c>
    </row>
    <row r="35" spans="1:15" ht="13.5" customHeight="1" x14ac:dyDescent="0.2">
      <c r="A35" s="231">
        <f>+'Human Considerations'!A36</f>
        <v>34</v>
      </c>
      <c r="B35" s="232" t="str">
        <f>+'Human Considerations'!B36</f>
        <v>Dike</v>
      </c>
      <c r="C35" s="233">
        <f>+'Human Considerations'!D36</f>
        <v>356</v>
      </c>
      <c r="D35" s="234">
        <f>+'Human Considerations'!Z36</f>
        <v>4</v>
      </c>
      <c r="E35" s="234">
        <f>+'Human Considerations'!AD36</f>
        <v>-5</v>
      </c>
      <c r="F35" s="234">
        <f>+'Human Considerations'!AH36</f>
        <v>-5</v>
      </c>
      <c r="G35" s="234">
        <f>+'Human Considerations'!AL36</f>
        <v>5</v>
      </c>
      <c r="H35" s="234">
        <f>+'Human Considerations'!AP36</f>
        <v>2</v>
      </c>
      <c r="I35" s="234">
        <f>+'Human Considerations'!AT36</f>
        <v>5</v>
      </c>
      <c r="J35" s="234">
        <f>+'Human Considerations'!AX36</f>
        <v>2</v>
      </c>
      <c r="K35" s="234">
        <f>+'Human Considerations'!BB36</f>
        <v>-1</v>
      </c>
      <c r="L35" s="234">
        <f>+'Human Considerations'!BF36</f>
        <v>0</v>
      </c>
      <c r="M35" s="234">
        <f>+'Human Considerations'!BJ36</f>
        <v>1</v>
      </c>
      <c r="N35" s="234">
        <f>+'Human Considerations'!BN36</f>
        <v>-2</v>
      </c>
      <c r="O35" s="234">
        <f>+'Human Considerations'!BR36</f>
        <v>4</v>
      </c>
    </row>
    <row r="36" spans="1:15" ht="13.5" customHeight="1" x14ac:dyDescent="0.2">
      <c r="A36" s="231">
        <f>+'Human Considerations'!A37</f>
        <v>35</v>
      </c>
      <c r="B36" s="232" t="str">
        <f>+'Human Considerations'!B37</f>
        <v>Diversion</v>
      </c>
      <c r="C36" s="233">
        <f>+'Human Considerations'!D37</f>
        <v>362</v>
      </c>
      <c r="D36" s="234">
        <f>+'Human Considerations'!Z37</f>
        <v>4</v>
      </c>
      <c r="E36" s="234">
        <f>+'Human Considerations'!AD37</f>
        <v>-1</v>
      </c>
      <c r="F36" s="234">
        <f>+'Human Considerations'!AH37</f>
        <v>-2</v>
      </c>
      <c r="G36" s="234">
        <f>+'Human Considerations'!AL37</f>
        <v>0</v>
      </c>
      <c r="H36" s="234">
        <f>+'Human Considerations'!AP37</f>
        <v>2</v>
      </c>
      <c r="I36" s="234">
        <f>+'Human Considerations'!AT37</f>
        <v>-1</v>
      </c>
      <c r="J36" s="234">
        <f>+'Human Considerations'!AX37</f>
        <v>1</v>
      </c>
      <c r="K36" s="234">
        <f>+'Human Considerations'!BB37</f>
        <v>-1</v>
      </c>
      <c r="L36" s="234">
        <f>+'Human Considerations'!BF37</f>
        <v>0</v>
      </c>
      <c r="M36" s="234">
        <f>+'Human Considerations'!BJ37</f>
        <v>-2</v>
      </c>
      <c r="N36" s="234">
        <f>+'Human Considerations'!BN37</f>
        <v>-2</v>
      </c>
      <c r="O36" s="234">
        <f>+'Human Considerations'!BR37</f>
        <v>4</v>
      </c>
    </row>
    <row r="37" spans="1:15" ht="13.5" customHeight="1" x14ac:dyDescent="0.2">
      <c r="A37" s="231">
        <f>+'Human Considerations'!A38</f>
        <v>36</v>
      </c>
      <c r="B37" s="232" t="str">
        <f>+'Human Considerations'!B38</f>
        <v>Drainage Water Management</v>
      </c>
      <c r="C37" s="233">
        <f>+'Human Considerations'!D38</f>
        <v>554</v>
      </c>
      <c r="D37" s="234">
        <f>+'Human Considerations'!Z38</f>
        <v>0</v>
      </c>
      <c r="E37" s="234">
        <f>+'Human Considerations'!AD38</f>
        <v>-2</v>
      </c>
      <c r="F37" s="234">
        <f>+'Human Considerations'!AH38</f>
        <v>-3</v>
      </c>
      <c r="G37" s="234">
        <f>+'Human Considerations'!AL38</f>
        <v>5</v>
      </c>
      <c r="H37" s="234">
        <f>+'Human Considerations'!AP38</f>
        <v>2</v>
      </c>
      <c r="I37" s="234">
        <f>+'Human Considerations'!AT38</f>
        <v>4</v>
      </c>
      <c r="J37" s="234">
        <f>+'Human Considerations'!AX38</f>
        <v>4</v>
      </c>
      <c r="K37" s="234">
        <f>+'Human Considerations'!BB38</f>
        <v>3</v>
      </c>
      <c r="L37" s="234">
        <f>+'Human Considerations'!BF38</f>
        <v>-1</v>
      </c>
      <c r="M37" s="234">
        <f>+'Human Considerations'!BJ38</f>
        <v>-1</v>
      </c>
      <c r="N37" s="234">
        <f>+'Human Considerations'!BN38</f>
        <v>-3</v>
      </c>
      <c r="O37" s="234">
        <f>+'Human Considerations'!BR38</f>
        <v>4</v>
      </c>
    </row>
    <row r="38" spans="1:15" ht="13.5" customHeight="1" x14ac:dyDescent="0.2">
      <c r="A38" s="231">
        <f>+'Human Considerations'!A39</f>
        <v>37</v>
      </c>
      <c r="B38" s="232" t="str">
        <f>+'Human Considerations'!B39</f>
        <v>Dry Hydrant</v>
      </c>
      <c r="C38" s="233">
        <f>+'Human Considerations'!D39</f>
        <v>432</v>
      </c>
      <c r="D38" s="234">
        <f>+'Human Considerations'!Z39</f>
        <v>2</v>
      </c>
      <c r="E38" s="234">
        <f>+'Human Considerations'!AD39</f>
        <v>-4</v>
      </c>
      <c r="F38" s="234">
        <f>+'Human Considerations'!AH39</f>
        <v>-1</v>
      </c>
      <c r="G38" s="234">
        <f>+'Human Considerations'!AL39</f>
        <v>-5</v>
      </c>
      <c r="H38" s="234">
        <f>+'Human Considerations'!AP39</f>
        <v>0</v>
      </c>
      <c r="I38" s="234">
        <f>+'Human Considerations'!AT39</f>
        <v>0</v>
      </c>
      <c r="J38" s="234">
        <f>+'Human Considerations'!AX39</f>
        <v>0</v>
      </c>
      <c r="K38" s="234">
        <f>+'Human Considerations'!BB39</f>
        <v>0</v>
      </c>
      <c r="L38" s="234">
        <f>+'Human Considerations'!BF39</f>
        <v>-1</v>
      </c>
      <c r="M38" s="234">
        <f>+'Human Considerations'!BJ39</f>
        <v>-1</v>
      </c>
      <c r="N38" s="234">
        <f>+'Human Considerations'!BN39</f>
        <v>0</v>
      </c>
      <c r="O38" s="234">
        <f>+'Human Considerations'!BR39</f>
        <v>2</v>
      </c>
    </row>
    <row r="39" spans="1:15" ht="13.5" customHeight="1" x14ac:dyDescent="0.2">
      <c r="A39" s="231">
        <f>+'Human Considerations'!A40</f>
        <v>38</v>
      </c>
      <c r="B39" s="232" t="str">
        <f>+'Human Considerations'!B40</f>
        <v>Dust Control from Animal Activity on Open Lot Surfaces</v>
      </c>
      <c r="C39" s="233">
        <f>+'Human Considerations'!D40</f>
        <v>375</v>
      </c>
      <c r="D39" s="234">
        <f>+'Human Considerations'!Z40</f>
        <v>0</v>
      </c>
      <c r="E39" s="234">
        <f>+'Human Considerations'!AD40</f>
        <v>-5</v>
      </c>
      <c r="F39" s="234">
        <f>+'Human Considerations'!AH40</f>
        <v>0</v>
      </c>
      <c r="G39" s="234">
        <f>+'Human Considerations'!AL40</f>
        <v>-2</v>
      </c>
      <c r="H39" s="234">
        <f>+'Human Considerations'!AP40</f>
        <v>0</v>
      </c>
      <c r="I39" s="234">
        <f>+'Human Considerations'!AT40</f>
        <v>0</v>
      </c>
      <c r="J39" s="234">
        <f>+'Human Considerations'!AX40</f>
        <v>0</v>
      </c>
      <c r="K39" s="234">
        <f>+'Human Considerations'!BB40</f>
        <v>0</v>
      </c>
      <c r="L39" s="234">
        <f>+'Human Considerations'!BF40</f>
        <v>-5</v>
      </c>
      <c r="M39" s="234">
        <f>+'Human Considerations'!BJ40</f>
        <v>-1</v>
      </c>
      <c r="N39" s="234">
        <f>+'Human Considerations'!BN40</f>
        <v>1</v>
      </c>
      <c r="O39" s="234">
        <f>+'Human Considerations'!BR40</f>
        <v>2</v>
      </c>
    </row>
    <row r="40" spans="1:15" ht="13.5" customHeight="1" x14ac:dyDescent="0.2">
      <c r="A40" s="231">
        <f>+'Human Considerations'!A41</f>
        <v>39</v>
      </c>
      <c r="B40" s="232" t="str">
        <f>+'Human Considerations'!B41</f>
        <v>Dust Control on Unpaved Roads and Surfaces</v>
      </c>
      <c r="C40" s="233">
        <f>+'Human Considerations'!D41</f>
        <v>373</v>
      </c>
      <c r="D40" s="234">
        <f>+'Human Considerations'!Z41</f>
        <v>0</v>
      </c>
      <c r="E40" s="234">
        <f>+'Human Considerations'!AD41</f>
        <v>-5</v>
      </c>
      <c r="F40" s="234">
        <f>+'Human Considerations'!AH41</f>
        <v>0</v>
      </c>
      <c r="G40" s="234">
        <f>+'Human Considerations'!AL41</f>
        <v>-2</v>
      </c>
      <c r="H40" s="234">
        <f>+'Human Considerations'!AP41</f>
        <v>0</v>
      </c>
      <c r="I40" s="234">
        <f>+'Human Considerations'!AT41</f>
        <v>0</v>
      </c>
      <c r="J40" s="234">
        <f>+'Human Considerations'!AX41</f>
        <v>0</v>
      </c>
      <c r="K40" s="234">
        <f>+'Human Considerations'!BB41</f>
        <v>0</v>
      </c>
      <c r="L40" s="234">
        <f>+'Human Considerations'!BF41</f>
        <v>-5</v>
      </c>
      <c r="M40" s="234">
        <f>+'Human Considerations'!BJ41</f>
        <v>-1</v>
      </c>
      <c r="N40" s="234">
        <f>+'Human Considerations'!BN41</f>
        <v>-1</v>
      </c>
      <c r="O40" s="234">
        <f>+'Human Considerations'!BR41</f>
        <v>2</v>
      </c>
    </row>
    <row r="41" spans="1:15" ht="13.5" customHeight="1" x14ac:dyDescent="0.2">
      <c r="A41" s="231">
        <f>+'Human Considerations'!A42</f>
        <v>40</v>
      </c>
      <c r="B41" s="232" t="str">
        <f>+'Human Considerations'!B42</f>
        <v>Early Successional Habitat Development/Mgt.</v>
      </c>
      <c r="C41" s="233">
        <f>+'Human Considerations'!D42</f>
        <v>647</v>
      </c>
      <c r="D41" s="234">
        <f>+'Human Considerations'!Z42</f>
        <v>0</v>
      </c>
      <c r="E41" s="234">
        <f>+'Human Considerations'!AD42</f>
        <v>-3</v>
      </c>
      <c r="F41" s="234">
        <f>+'Human Considerations'!AH42</f>
        <v>-1</v>
      </c>
      <c r="G41" s="234">
        <f>+'Human Considerations'!AL42</f>
        <v>-4</v>
      </c>
      <c r="H41" s="234">
        <f>+'Human Considerations'!AP42</f>
        <v>0</v>
      </c>
      <c r="I41" s="234">
        <f>+'Human Considerations'!AT42</f>
        <v>0</v>
      </c>
      <c r="J41" s="234">
        <f>+'Human Considerations'!AX42</f>
        <v>4</v>
      </c>
      <c r="K41" s="234">
        <f>+'Human Considerations'!BB42</f>
        <v>-3</v>
      </c>
      <c r="L41" s="234">
        <f>+'Human Considerations'!BF42</f>
        <v>0</v>
      </c>
      <c r="M41" s="234">
        <f>+'Human Considerations'!BJ42</f>
        <v>-1</v>
      </c>
      <c r="N41" s="234">
        <f>+'Human Considerations'!BN42</f>
        <v>-2</v>
      </c>
      <c r="O41" s="234">
        <f>+'Human Considerations'!BR42</f>
        <v>2</v>
      </c>
    </row>
    <row r="42" spans="1:15" ht="13.5" customHeight="1" x14ac:dyDescent="0.2">
      <c r="A42" s="231">
        <f>+'Human Considerations'!A43</f>
        <v>41</v>
      </c>
      <c r="B42" s="232" t="str">
        <f>+'Human Considerations'!B43</f>
        <v>Farmstead Energy Improvement</v>
      </c>
      <c r="C42" s="233">
        <f>+'Human Considerations'!D43</f>
        <v>374</v>
      </c>
      <c r="D42" s="234">
        <f>+'Human Considerations'!Z43</f>
        <v>0</v>
      </c>
      <c r="E42" s="234">
        <f>+'Human Considerations'!AD43</f>
        <v>-5</v>
      </c>
      <c r="F42" s="234">
        <f>+'Human Considerations'!AH43</f>
        <v>-1</v>
      </c>
      <c r="G42" s="234">
        <f>+'Human Considerations'!AL43</f>
        <v>1</v>
      </c>
      <c r="H42" s="234">
        <f>+'Human Considerations'!AP43</f>
        <v>0</v>
      </c>
      <c r="I42" s="234">
        <f>+'Human Considerations'!AT43</f>
        <v>-1</v>
      </c>
      <c r="J42" s="234">
        <f>+'Human Considerations'!AX43</f>
        <v>0</v>
      </c>
      <c r="K42" s="234">
        <f>+'Human Considerations'!BB43</f>
        <v>0</v>
      </c>
      <c r="L42" s="234">
        <f>+'Human Considerations'!BF43</f>
        <v>-5</v>
      </c>
      <c r="M42" s="234">
        <f>+'Human Considerations'!BJ43</f>
        <v>0</v>
      </c>
      <c r="N42" s="234">
        <f>+'Human Considerations'!BN43</f>
        <v>-1</v>
      </c>
      <c r="O42" s="234">
        <f>+'Human Considerations'!BR43</f>
        <v>2</v>
      </c>
    </row>
    <row r="43" spans="1:15" ht="13.5" customHeight="1" x14ac:dyDescent="0.2">
      <c r="A43" s="231">
        <f>+'Human Considerations'!A44</f>
        <v>42</v>
      </c>
      <c r="B43" s="232" t="str">
        <f>+'Human Considerations'!B44</f>
        <v>Feed Management</v>
      </c>
      <c r="C43" s="233">
        <f>+'Human Considerations'!D44</f>
        <v>592</v>
      </c>
      <c r="D43" s="234">
        <f>+'Human Considerations'!Z44</f>
        <v>0</v>
      </c>
      <c r="E43" s="234">
        <f>+'Human Considerations'!AD44</f>
        <v>-5</v>
      </c>
      <c r="F43" s="234">
        <f>+'Human Considerations'!AH44</f>
        <v>0</v>
      </c>
      <c r="G43" s="234">
        <f>+'Human Considerations'!AL44</f>
        <v>-3</v>
      </c>
      <c r="H43" s="234">
        <f>+'Human Considerations'!AP44</f>
        <v>0</v>
      </c>
      <c r="I43" s="234">
        <f>+'Human Considerations'!AT44</f>
        <v>0</v>
      </c>
      <c r="J43" s="234">
        <f>+'Human Considerations'!AX44</f>
        <v>0</v>
      </c>
      <c r="K43" s="234">
        <f>+'Human Considerations'!BB44</f>
        <v>0</v>
      </c>
      <c r="L43" s="234">
        <f>+'Human Considerations'!BF44</f>
        <v>0</v>
      </c>
      <c r="M43" s="234">
        <f>+'Human Considerations'!BJ44</f>
        <v>-2</v>
      </c>
      <c r="N43" s="234">
        <f>+'Human Considerations'!BN44</f>
        <v>-2</v>
      </c>
      <c r="O43" s="234">
        <f>+'Human Considerations'!BR44</f>
        <v>-1</v>
      </c>
    </row>
    <row r="44" spans="1:15" ht="13.5" customHeight="1" x14ac:dyDescent="0.2">
      <c r="A44" s="231">
        <f>+'Human Considerations'!A45</f>
        <v>43</v>
      </c>
      <c r="B44" s="232" t="str">
        <f>+'Human Considerations'!B45</f>
        <v>Fence</v>
      </c>
      <c r="C44" s="233">
        <f>+'Human Considerations'!D45</f>
        <v>382</v>
      </c>
      <c r="D44" s="234">
        <f>+'Human Considerations'!Z45</f>
        <v>2</v>
      </c>
      <c r="E44" s="234">
        <f>+'Human Considerations'!AD45</f>
        <v>-1</v>
      </c>
      <c r="F44" s="234">
        <f>+'Human Considerations'!AH45</f>
        <v>-2</v>
      </c>
      <c r="G44" s="234">
        <f>+'Human Considerations'!AL45</f>
        <v>0</v>
      </c>
      <c r="H44" s="234">
        <f>+'Human Considerations'!AP45</f>
        <v>2</v>
      </c>
      <c r="I44" s="234">
        <f>+'Human Considerations'!AT45</f>
        <v>-5</v>
      </c>
      <c r="J44" s="234">
        <f>+'Human Considerations'!AX45</f>
        <v>0</v>
      </c>
      <c r="K44" s="234">
        <f>+'Human Considerations'!BB45</f>
        <v>0</v>
      </c>
      <c r="L44" s="234">
        <f>+'Human Considerations'!BF45</f>
        <v>0</v>
      </c>
      <c r="M44" s="234">
        <f>+'Human Considerations'!BJ45</f>
        <v>1</v>
      </c>
      <c r="N44" s="234">
        <f>+'Human Considerations'!BN45</f>
        <v>-1</v>
      </c>
      <c r="O44" s="234">
        <f>+'Human Considerations'!BR45</f>
        <v>4</v>
      </c>
    </row>
    <row r="45" spans="1:15" ht="13.5" customHeight="1" x14ac:dyDescent="0.2">
      <c r="A45" s="231">
        <f>+'Human Considerations'!A46</f>
        <v>44</v>
      </c>
      <c r="B45" s="232" t="str">
        <f>+'Human Considerations'!B46</f>
        <v>Field Border</v>
      </c>
      <c r="C45" s="233">
        <f>+'Human Considerations'!D46</f>
        <v>386</v>
      </c>
      <c r="D45" s="234">
        <f>+'Human Considerations'!Z46</f>
        <v>-2</v>
      </c>
      <c r="E45" s="234">
        <f>+'Human Considerations'!AD46</f>
        <v>-2</v>
      </c>
      <c r="F45" s="234">
        <f>+'Human Considerations'!AH46</f>
        <v>-1</v>
      </c>
      <c r="G45" s="234">
        <f>+'Human Considerations'!AL46</f>
        <v>-3</v>
      </c>
      <c r="H45" s="234">
        <f>+'Human Considerations'!AP46</f>
        <v>1</v>
      </c>
      <c r="I45" s="234">
        <f>+'Human Considerations'!AT46</f>
        <v>0</v>
      </c>
      <c r="J45" s="234">
        <f>+'Human Considerations'!AX46</f>
        <v>1</v>
      </c>
      <c r="K45" s="234">
        <f>+'Human Considerations'!BB46</f>
        <v>-1</v>
      </c>
      <c r="L45" s="234">
        <f>+'Human Considerations'!BF46</f>
        <v>0</v>
      </c>
      <c r="M45" s="234">
        <f>+'Human Considerations'!BJ46</f>
        <v>-1</v>
      </c>
      <c r="N45" s="234">
        <f>+'Human Considerations'!BN46</f>
        <v>-1</v>
      </c>
      <c r="O45" s="234">
        <f>+'Human Considerations'!BR46</f>
        <v>-1</v>
      </c>
    </row>
    <row r="46" spans="1:15" ht="13.5" customHeight="1" x14ac:dyDescent="0.2">
      <c r="A46" s="231">
        <f>+'Human Considerations'!A47</f>
        <v>45</v>
      </c>
      <c r="B46" s="232" t="str">
        <f>+'Human Considerations'!B47</f>
        <v>Filter Strip</v>
      </c>
      <c r="C46" s="233">
        <f>+'Human Considerations'!D47</f>
        <v>393</v>
      </c>
      <c r="D46" s="234">
        <f>+'Human Considerations'!Z47</f>
        <v>-5</v>
      </c>
      <c r="E46" s="234">
        <f>+'Human Considerations'!AD47</f>
        <v>-2</v>
      </c>
      <c r="F46" s="234">
        <f>+'Human Considerations'!AH47</f>
        <v>-2</v>
      </c>
      <c r="G46" s="234">
        <f>+'Human Considerations'!AL47</f>
        <v>-3</v>
      </c>
      <c r="H46" s="234">
        <f>+'Human Considerations'!AP47</f>
        <v>1</v>
      </c>
      <c r="I46" s="234">
        <f>+'Human Considerations'!AT47</f>
        <v>0</v>
      </c>
      <c r="J46" s="234">
        <f>+'Human Considerations'!AX47</f>
        <v>1</v>
      </c>
      <c r="K46" s="234">
        <f>+'Human Considerations'!BB47</f>
        <v>-1</v>
      </c>
      <c r="L46" s="234">
        <f>+'Human Considerations'!BF47</f>
        <v>0</v>
      </c>
      <c r="M46" s="234">
        <f>+'Human Considerations'!BJ47</f>
        <v>-1</v>
      </c>
      <c r="N46" s="234">
        <f>+'Human Considerations'!BN47</f>
        <v>-1</v>
      </c>
      <c r="O46" s="234">
        <f>+'Human Considerations'!BR47</f>
        <v>-1</v>
      </c>
    </row>
    <row r="47" spans="1:15" ht="13.5" customHeight="1" x14ac:dyDescent="0.2">
      <c r="A47" s="231">
        <f>+'Human Considerations'!A48</f>
        <v>46</v>
      </c>
      <c r="B47" s="232" t="str">
        <f>+'Human Considerations'!B48</f>
        <v>Firebreak</v>
      </c>
      <c r="C47" s="233">
        <f>+'Human Considerations'!D48</f>
        <v>394</v>
      </c>
      <c r="D47" s="234">
        <f>+'Human Considerations'!Z48</f>
        <v>2</v>
      </c>
      <c r="E47" s="234">
        <f>+'Human Considerations'!AD48</f>
        <v>-5</v>
      </c>
      <c r="F47" s="234">
        <f>+'Human Considerations'!AH48</f>
        <v>-5</v>
      </c>
      <c r="G47" s="234">
        <f>+'Human Considerations'!AL48</f>
        <v>-3</v>
      </c>
      <c r="H47" s="234">
        <f>+'Human Considerations'!AP48</f>
        <v>0</v>
      </c>
      <c r="I47" s="234">
        <f>+'Human Considerations'!AT48</f>
        <v>0</v>
      </c>
      <c r="J47" s="234">
        <f>+'Human Considerations'!AX48</f>
        <v>1</v>
      </c>
      <c r="K47" s="234">
        <f>+'Human Considerations'!BB48</f>
        <v>-1</v>
      </c>
      <c r="L47" s="234">
        <f>+'Human Considerations'!BF48</f>
        <v>0</v>
      </c>
      <c r="M47" s="234">
        <f>+'Human Considerations'!BJ48</f>
        <v>-1</v>
      </c>
      <c r="N47" s="234">
        <f>+'Human Considerations'!BN48</f>
        <v>-1</v>
      </c>
      <c r="O47" s="234">
        <f>+'Human Considerations'!BR48</f>
        <v>4</v>
      </c>
    </row>
    <row r="48" spans="1:15" ht="13.5" customHeight="1" x14ac:dyDescent="0.2">
      <c r="A48" s="231">
        <f>+'Human Considerations'!A49</f>
        <v>47</v>
      </c>
      <c r="B48" s="232" t="str">
        <f>+'Human Considerations'!B49</f>
        <v>Fish Raceway or Tank</v>
      </c>
      <c r="C48" s="233">
        <f>+'Human Considerations'!D49</f>
        <v>398</v>
      </c>
      <c r="D48" s="234">
        <f>+'Human Considerations'!Z49</f>
        <v>2</v>
      </c>
      <c r="E48" s="234">
        <f>+'Human Considerations'!AD49</f>
        <v>-2</v>
      </c>
      <c r="F48" s="234">
        <f>+'Human Considerations'!AH49</f>
        <v>-3</v>
      </c>
      <c r="G48" s="234">
        <f>+'Human Considerations'!AL49</f>
        <v>5</v>
      </c>
      <c r="H48" s="234">
        <f>+'Human Considerations'!AP49</f>
        <v>0</v>
      </c>
      <c r="I48" s="234">
        <f>+'Human Considerations'!AT49</f>
        <v>5</v>
      </c>
      <c r="J48" s="234">
        <f>+'Human Considerations'!AX49</f>
        <v>2</v>
      </c>
      <c r="K48" s="234">
        <f>+'Human Considerations'!BB49</f>
        <v>-1</v>
      </c>
      <c r="L48" s="234">
        <f>+'Human Considerations'!BF49</f>
        <v>-5</v>
      </c>
      <c r="M48" s="234">
        <f>+'Human Considerations'!BJ49</f>
        <v>-3</v>
      </c>
      <c r="N48" s="234">
        <f>+'Human Considerations'!BN49</f>
        <v>-3</v>
      </c>
      <c r="O48" s="234">
        <f>+'Human Considerations'!BR49</f>
        <v>2</v>
      </c>
    </row>
    <row r="49" spans="1:15" ht="13.5" customHeight="1" x14ac:dyDescent="0.2">
      <c r="A49" s="231">
        <f>+'Human Considerations'!A50</f>
        <v>48</v>
      </c>
      <c r="B49" s="232" t="str">
        <f>+'Human Considerations'!B50</f>
        <v>Fishpond Management</v>
      </c>
      <c r="C49" s="233">
        <f>+'Human Considerations'!D50</f>
        <v>399</v>
      </c>
      <c r="D49" s="234">
        <f>+'Human Considerations'!Z50</f>
        <v>0</v>
      </c>
      <c r="E49" s="234">
        <f>+'Human Considerations'!AD50</f>
        <v>-2</v>
      </c>
      <c r="F49" s="234">
        <f>+'Human Considerations'!AH50</f>
        <v>0</v>
      </c>
      <c r="G49" s="234">
        <f>+'Human Considerations'!AL50</f>
        <v>-2</v>
      </c>
      <c r="H49" s="234">
        <f>+'Human Considerations'!AP50</f>
        <v>4</v>
      </c>
      <c r="I49" s="234">
        <f>+'Human Considerations'!AT50</f>
        <v>0</v>
      </c>
      <c r="J49" s="234">
        <f>+'Human Considerations'!AX50</f>
        <v>0</v>
      </c>
      <c r="K49" s="234">
        <f>+'Human Considerations'!BB50</f>
        <v>0</v>
      </c>
      <c r="L49" s="234">
        <f>+'Human Considerations'!BF50</f>
        <v>0</v>
      </c>
      <c r="M49" s="234">
        <f>+'Human Considerations'!BJ50</f>
        <v>-3</v>
      </c>
      <c r="N49" s="234">
        <f>+'Human Considerations'!BN50</f>
        <v>3</v>
      </c>
      <c r="O49" s="234">
        <f>+'Human Considerations'!BR50</f>
        <v>2</v>
      </c>
    </row>
    <row r="50" spans="1:15" ht="13.5" customHeight="1" x14ac:dyDescent="0.2">
      <c r="A50" s="231">
        <f>+'Human Considerations'!A51</f>
        <v>49</v>
      </c>
      <c r="B50" s="232" t="str">
        <f>+'Human Considerations'!B51</f>
        <v>Forage and Biomass Planting</v>
      </c>
      <c r="C50" s="233">
        <f>+'Human Considerations'!D51</f>
        <v>512</v>
      </c>
      <c r="D50" s="234">
        <f>+'Human Considerations'!Z51</f>
        <v>0</v>
      </c>
      <c r="E50" s="234">
        <f>+'Human Considerations'!AD51</f>
        <v>-3</v>
      </c>
      <c r="F50" s="234">
        <f>+'Human Considerations'!AH51</f>
        <v>-1</v>
      </c>
      <c r="G50" s="234">
        <f>+'Human Considerations'!AL51</f>
        <v>0</v>
      </c>
      <c r="H50" s="234">
        <f>+'Human Considerations'!AP51</f>
        <v>4</v>
      </c>
      <c r="I50" s="234">
        <f>+'Human Considerations'!AT51</f>
        <v>-2</v>
      </c>
      <c r="J50" s="234">
        <f>+'Human Considerations'!AX51</f>
        <v>5</v>
      </c>
      <c r="K50" s="234">
        <f>+'Human Considerations'!BB51</f>
        <v>3</v>
      </c>
      <c r="L50" s="234">
        <f>+'Human Considerations'!BF51</f>
        <v>0</v>
      </c>
      <c r="M50" s="234">
        <f>+'Human Considerations'!BJ51</f>
        <v>2</v>
      </c>
      <c r="N50" s="234">
        <f>+'Human Considerations'!BN51</f>
        <v>-1</v>
      </c>
      <c r="O50" s="234">
        <f>+'Human Considerations'!BR51</f>
        <v>2</v>
      </c>
    </row>
    <row r="51" spans="1:15" ht="13.5" customHeight="1" x14ac:dyDescent="0.2">
      <c r="A51" s="231">
        <f>+'Human Considerations'!A52</f>
        <v>50</v>
      </c>
      <c r="B51" s="232" t="str">
        <f>+'Human Considerations'!B52</f>
        <v>Forage Harvest Management</v>
      </c>
      <c r="C51" s="233">
        <f>+'Human Considerations'!D52</f>
        <v>511</v>
      </c>
      <c r="D51" s="234">
        <f>+'Human Considerations'!Z52</f>
        <v>0</v>
      </c>
      <c r="E51" s="234">
        <f>+'Human Considerations'!AD52</f>
        <v>-2</v>
      </c>
      <c r="F51" s="234">
        <f>+'Human Considerations'!AH52</f>
        <v>0</v>
      </c>
      <c r="G51" s="234">
        <f>+'Human Considerations'!AL52</f>
        <v>1</v>
      </c>
      <c r="H51" s="234">
        <f>+'Human Considerations'!AP52</f>
        <v>1</v>
      </c>
      <c r="I51" s="234">
        <f>+'Human Considerations'!AT52</f>
        <v>2</v>
      </c>
      <c r="J51" s="234">
        <f>+'Human Considerations'!AX52</f>
        <v>0</v>
      </c>
      <c r="K51" s="234">
        <f>+'Human Considerations'!BB52</f>
        <v>0</v>
      </c>
      <c r="L51" s="234">
        <f>+'Human Considerations'!BF52</f>
        <v>0</v>
      </c>
      <c r="M51" s="234">
        <f>+'Human Considerations'!BJ52</f>
        <v>-1</v>
      </c>
      <c r="N51" s="234">
        <f>+'Human Considerations'!BN52</f>
        <v>-2</v>
      </c>
      <c r="O51" s="234">
        <f>+'Human Considerations'!BR52</f>
        <v>-1</v>
      </c>
    </row>
    <row r="52" spans="1:15" ht="13.5" customHeight="1" x14ac:dyDescent="0.2">
      <c r="A52" s="231">
        <f>+'Human Considerations'!A53</f>
        <v>51</v>
      </c>
      <c r="B52" s="232" t="str">
        <f>+'Human Considerations'!B53</f>
        <v>Forest Stand Improvement</v>
      </c>
      <c r="C52" s="233">
        <f>+'Human Considerations'!D53</f>
        <v>666</v>
      </c>
      <c r="D52" s="234">
        <f>+'Human Considerations'!Z53</f>
        <v>2</v>
      </c>
      <c r="E52" s="234">
        <f>+'Human Considerations'!AD53</f>
        <v>-4</v>
      </c>
      <c r="F52" s="234">
        <f>+'Human Considerations'!AH53</f>
        <v>0</v>
      </c>
      <c r="G52" s="234">
        <f>+'Human Considerations'!AL53</f>
        <v>0</v>
      </c>
      <c r="H52" s="234">
        <f>+'Human Considerations'!AP53</f>
        <v>4</v>
      </c>
      <c r="I52" s="234">
        <f>+'Human Considerations'!AT53</f>
        <v>-3</v>
      </c>
      <c r="J52" s="234">
        <f>+'Human Considerations'!AX53</f>
        <v>0</v>
      </c>
      <c r="K52" s="234">
        <f>+'Human Considerations'!BB53</f>
        <v>3</v>
      </c>
      <c r="L52" s="234">
        <f>+'Human Considerations'!BF53</f>
        <v>0</v>
      </c>
      <c r="M52" s="234">
        <f>+'Human Considerations'!BJ53</f>
        <v>-1</v>
      </c>
      <c r="N52" s="234">
        <f>+'Human Considerations'!BN53</f>
        <v>-2</v>
      </c>
      <c r="O52" s="234">
        <f>+'Human Considerations'!BR53</f>
        <v>2</v>
      </c>
    </row>
    <row r="53" spans="1:15" ht="13.5" customHeight="1" x14ac:dyDescent="0.2">
      <c r="A53" s="231">
        <f>+'Human Considerations'!A54</f>
        <v>52</v>
      </c>
      <c r="B53" s="232" t="str">
        <f>+'Human Considerations'!B54</f>
        <v>Forest Trails and Landings</v>
      </c>
      <c r="C53" s="233">
        <f>+'Human Considerations'!D54</f>
        <v>655</v>
      </c>
      <c r="D53" s="234">
        <f>+'Human Considerations'!Z54</f>
        <v>0</v>
      </c>
      <c r="E53" s="234">
        <f>+'Human Considerations'!AD54</f>
        <v>-4</v>
      </c>
      <c r="F53" s="234">
        <f>+'Human Considerations'!AH54</f>
        <v>-2</v>
      </c>
      <c r="G53" s="234">
        <f>+'Human Considerations'!AL54</f>
        <v>-5</v>
      </c>
      <c r="H53" s="234">
        <f>+'Human Considerations'!AP54</f>
        <v>0</v>
      </c>
      <c r="I53" s="234">
        <f>+'Human Considerations'!AT54</f>
        <v>0</v>
      </c>
      <c r="J53" s="234">
        <f>+'Human Considerations'!AX54</f>
        <v>1</v>
      </c>
      <c r="K53" s="234">
        <f>+'Human Considerations'!BB54</f>
        <v>-1</v>
      </c>
      <c r="L53" s="234">
        <f>+'Human Considerations'!BF54</f>
        <v>0</v>
      </c>
      <c r="M53" s="234">
        <f>+'Human Considerations'!BJ54</f>
        <v>1</v>
      </c>
      <c r="N53" s="234">
        <f>+'Human Considerations'!BN54</f>
        <v>-1</v>
      </c>
      <c r="O53" s="234">
        <f>+'Human Considerations'!BR54</f>
        <v>4</v>
      </c>
    </row>
    <row r="54" spans="1:15" ht="13.5" customHeight="1" x14ac:dyDescent="0.2">
      <c r="A54" s="231">
        <f>+'Human Considerations'!A55</f>
        <v>53</v>
      </c>
      <c r="B54" s="232" t="str">
        <f>+'Human Considerations'!B55</f>
        <v>Fuel Break</v>
      </c>
      <c r="C54" s="233">
        <f>+'Human Considerations'!D55</f>
        <v>383</v>
      </c>
      <c r="D54" s="234">
        <f>+'Human Considerations'!Z55</f>
        <v>2</v>
      </c>
      <c r="E54" s="234">
        <f>+'Human Considerations'!AD55</f>
        <v>-2</v>
      </c>
      <c r="F54" s="234">
        <f>+'Human Considerations'!AH55</f>
        <v>0</v>
      </c>
      <c r="G54" s="234">
        <f>+'Human Considerations'!AL55</f>
        <v>-5</v>
      </c>
      <c r="H54" s="234">
        <f>+'Human Considerations'!AP55</f>
        <v>0</v>
      </c>
      <c r="I54" s="234">
        <f>+'Human Considerations'!AT55</f>
        <v>0</v>
      </c>
      <c r="J54" s="234">
        <f>+'Human Considerations'!AX55</f>
        <v>1</v>
      </c>
      <c r="K54" s="234">
        <f>+'Human Considerations'!BB55</f>
        <v>-1</v>
      </c>
      <c r="L54" s="234">
        <f>+'Human Considerations'!BF55</f>
        <v>-2</v>
      </c>
      <c r="M54" s="234">
        <f>+'Human Considerations'!BJ55</f>
        <v>-1</v>
      </c>
      <c r="N54" s="234">
        <f>+'Human Considerations'!BN55</f>
        <v>-1</v>
      </c>
      <c r="O54" s="234">
        <f>+'Human Considerations'!BR55</f>
        <v>4</v>
      </c>
    </row>
    <row r="55" spans="1:15" ht="13.5" customHeight="1" x14ac:dyDescent="0.2">
      <c r="A55" s="231">
        <f>+'Human Considerations'!A56</f>
        <v>54</v>
      </c>
      <c r="B55" s="232" t="str">
        <f>+'Human Considerations'!B56</f>
        <v>Grade Stabilization Structure</v>
      </c>
      <c r="C55" s="233">
        <f>+'Human Considerations'!D56</f>
        <v>410</v>
      </c>
      <c r="D55" s="234">
        <f>+'Human Considerations'!Z56</f>
        <v>2</v>
      </c>
      <c r="E55" s="234">
        <f>+'Human Considerations'!AD56</f>
        <v>-5</v>
      </c>
      <c r="F55" s="234">
        <f>+'Human Considerations'!AH56</f>
        <v>-1</v>
      </c>
      <c r="G55" s="234">
        <f>+'Human Considerations'!AL56</f>
        <v>-5</v>
      </c>
      <c r="H55" s="234">
        <f>+'Human Considerations'!AP56</f>
        <v>1</v>
      </c>
      <c r="I55" s="234">
        <f>+'Human Considerations'!AT56</f>
        <v>0</v>
      </c>
      <c r="J55" s="234">
        <f>+'Human Considerations'!AX56</f>
        <v>1</v>
      </c>
      <c r="K55" s="234">
        <f>+'Human Considerations'!BB56</f>
        <v>-1</v>
      </c>
      <c r="L55" s="234">
        <f>+'Human Considerations'!BF56</f>
        <v>0</v>
      </c>
      <c r="M55" s="234">
        <f>+'Human Considerations'!BJ56</f>
        <v>1</v>
      </c>
      <c r="N55" s="234">
        <f>+'Human Considerations'!BN56</f>
        <v>0</v>
      </c>
      <c r="O55" s="234">
        <f>+'Human Considerations'!BR56</f>
        <v>2</v>
      </c>
    </row>
    <row r="56" spans="1:15" ht="13.5" customHeight="1" x14ac:dyDescent="0.2">
      <c r="A56" s="231">
        <f>+'Human Considerations'!A57</f>
        <v>55</v>
      </c>
      <c r="B56" s="232" t="str">
        <f>+'Human Considerations'!B57</f>
        <v>Grassed Waterway</v>
      </c>
      <c r="C56" s="233">
        <f>+'Human Considerations'!D57</f>
        <v>412</v>
      </c>
      <c r="D56" s="234">
        <f>+'Human Considerations'!Z57</f>
        <v>2</v>
      </c>
      <c r="E56" s="234">
        <f>+'Human Considerations'!AD57</f>
        <v>-2</v>
      </c>
      <c r="F56" s="234">
        <f>+'Human Considerations'!AH57</f>
        <v>-2</v>
      </c>
      <c r="G56" s="234">
        <f>+'Human Considerations'!AL57</f>
        <v>-4</v>
      </c>
      <c r="H56" s="234">
        <f>+'Human Considerations'!AP57</f>
        <v>0</v>
      </c>
      <c r="I56" s="234">
        <f>+'Human Considerations'!AT57</f>
        <v>0</v>
      </c>
      <c r="J56" s="234">
        <f>+'Human Considerations'!AX57</f>
        <v>2</v>
      </c>
      <c r="K56" s="234">
        <f>+'Human Considerations'!BB57</f>
        <v>-2</v>
      </c>
      <c r="L56" s="234">
        <f>+'Human Considerations'!BF57</f>
        <v>0</v>
      </c>
      <c r="M56" s="234">
        <f>+'Human Considerations'!BJ57</f>
        <v>2</v>
      </c>
      <c r="N56" s="234">
        <f>+'Human Considerations'!BN57</f>
        <v>-2</v>
      </c>
      <c r="O56" s="234">
        <f>+'Human Considerations'!BR57</f>
        <v>2</v>
      </c>
    </row>
    <row r="57" spans="1:15" ht="13.5" customHeight="1" x14ac:dyDescent="0.2">
      <c r="A57" s="231">
        <f>+'Human Considerations'!A58</f>
        <v>56</v>
      </c>
      <c r="B57" s="232" t="str">
        <f>+'Human Considerations'!B58</f>
        <v>Grazing Land Mechanical Treatment</v>
      </c>
      <c r="C57" s="233">
        <f>+'Human Considerations'!D58</f>
        <v>548</v>
      </c>
      <c r="D57" s="234">
        <f>+'Human Considerations'!Z58</f>
        <v>2</v>
      </c>
      <c r="E57" s="234">
        <f>+'Human Considerations'!AD58</f>
        <v>-5</v>
      </c>
      <c r="F57" s="234">
        <f>+'Human Considerations'!AH58</f>
        <v>0</v>
      </c>
      <c r="G57" s="234">
        <f>+'Human Considerations'!AL58</f>
        <v>-1</v>
      </c>
      <c r="H57" s="234">
        <f>+'Human Considerations'!AP58</f>
        <v>5</v>
      </c>
      <c r="I57" s="234">
        <f>+'Human Considerations'!AT58</f>
        <v>0</v>
      </c>
      <c r="J57" s="234">
        <f>+'Human Considerations'!AX58</f>
        <v>0</v>
      </c>
      <c r="K57" s="234">
        <f>+'Human Considerations'!BB58</f>
        <v>0</v>
      </c>
      <c r="L57" s="234">
        <f>+'Human Considerations'!BF58</f>
        <v>0</v>
      </c>
      <c r="M57" s="234">
        <f>+'Human Considerations'!BJ58</f>
        <v>0</v>
      </c>
      <c r="N57" s="234">
        <f>+'Human Considerations'!BN58</f>
        <v>0</v>
      </c>
      <c r="O57" s="234">
        <f>+'Human Considerations'!BR58</f>
        <v>2</v>
      </c>
    </row>
    <row r="58" spans="1:15" ht="13.5" customHeight="1" x14ac:dyDescent="0.2">
      <c r="A58" s="231">
        <f>+'Human Considerations'!A59</f>
        <v>57</v>
      </c>
      <c r="B58" s="232" t="str">
        <f>+'Human Considerations'!B59</f>
        <v>Heavy Use Area Protection</v>
      </c>
      <c r="C58" s="233">
        <f>+'Human Considerations'!D59</f>
        <v>561</v>
      </c>
      <c r="D58" s="234">
        <f>+'Human Considerations'!Z59</f>
        <v>0</v>
      </c>
      <c r="E58" s="234">
        <f>+'Human Considerations'!AD59</f>
        <v>-4</v>
      </c>
      <c r="F58" s="234">
        <f>+'Human Considerations'!AH59</f>
        <v>-5</v>
      </c>
      <c r="G58" s="234">
        <f>+'Human Considerations'!AL59</f>
        <v>-5</v>
      </c>
      <c r="H58" s="234">
        <f>+'Human Considerations'!AP59</f>
        <v>0</v>
      </c>
      <c r="I58" s="234">
        <f>+'Human Considerations'!AT59</f>
        <v>0</v>
      </c>
      <c r="J58" s="234">
        <f>+'Human Considerations'!AX59</f>
        <v>1</v>
      </c>
      <c r="K58" s="234">
        <f>+'Human Considerations'!BB59</f>
        <v>-1</v>
      </c>
      <c r="L58" s="234">
        <f>+'Human Considerations'!BF59</f>
        <v>0</v>
      </c>
      <c r="M58" s="234">
        <f>+'Human Considerations'!BJ59</f>
        <v>1</v>
      </c>
      <c r="N58" s="234">
        <f>+'Human Considerations'!BN59</f>
        <v>-1</v>
      </c>
      <c r="O58" s="234">
        <f>+'Human Considerations'!BR59</f>
        <v>2</v>
      </c>
    </row>
    <row r="59" spans="1:15" ht="13.5" customHeight="1" x14ac:dyDescent="0.2">
      <c r="A59" s="231">
        <f>+'Human Considerations'!A60</f>
        <v>58</v>
      </c>
      <c r="B59" s="232" t="str">
        <f>+'Human Considerations'!B60</f>
        <v>Hedgerow Planting</v>
      </c>
      <c r="C59" s="233">
        <f>+'Human Considerations'!D60</f>
        <v>422</v>
      </c>
      <c r="D59" s="234">
        <f>+'Human Considerations'!Z60</f>
        <v>2</v>
      </c>
      <c r="E59" s="234">
        <f>+'Human Considerations'!AD60</f>
        <v>-5</v>
      </c>
      <c r="F59" s="234">
        <f>+'Human Considerations'!AH60</f>
        <v>-5</v>
      </c>
      <c r="G59" s="234">
        <f>+'Human Considerations'!AL60</f>
        <v>-4</v>
      </c>
      <c r="H59" s="234">
        <f>+'Human Considerations'!AP60</f>
        <v>1</v>
      </c>
      <c r="I59" s="234">
        <f>+'Human Considerations'!AT60</f>
        <v>0</v>
      </c>
      <c r="J59" s="234">
        <f>+'Human Considerations'!AX60</f>
        <v>1</v>
      </c>
      <c r="K59" s="234">
        <f>+'Human Considerations'!BB60</f>
        <v>-1</v>
      </c>
      <c r="L59" s="234">
        <f>+'Human Considerations'!BF60</f>
        <v>0</v>
      </c>
      <c r="M59" s="234">
        <f>+'Human Considerations'!BJ60</f>
        <v>-1</v>
      </c>
      <c r="N59" s="234">
        <f>+'Human Considerations'!BN60</f>
        <v>-1</v>
      </c>
      <c r="O59" s="234">
        <f>+'Human Considerations'!BR60</f>
        <v>-1</v>
      </c>
    </row>
    <row r="60" spans="1:15" ht="13.5" customHeight="1" x14ac:dyDescent="0.2">
      <c r="A60" s="231">
        <f>+'Human Considerations'!A61</f>
        <v>59</v>
      </c>
      <c r="B60" s="232" t="str">
        <f>+'Human Considerations'!B61</f>
        <v>Herbaceous Weed Control</v>
      </c>
      <c r="C60" s="233">
        <f>+'Human Considerations'!D61</f>
        <v>315</v>
      </c>
      <c r="D60" s="234">
        <f>+'Human Considerations'!Z61</f>
        <v>-1</v>
      </c>
      <c r="E60" s="234">
        <f>+'Human Considerations'!AD61</f>
        <v>-3</v>
      </c>
      <c r="F60" s="234">
        <f>+'Human Considerations'!AH61</f>
        <v>0</v>
      </c>
      <c r="G60" s="234">
        <f>+'Human Considerations'!AL61</f>
        <v>0</v>
      </c>
      <c r="H60" s="234">
        <f>+'Human Considerations'!AP61</f>
        <v>4</v>
      </c>
      <c r="I60" s="234">
        <f>+'Human Considerations'!AT61</f>
        <v>1</v>
      </c>
      <c r="J60" s="234">
        <f>+'Human Considerations'!AX61</f>
        <v>0</v>
      </c>
      <c r="K60" s="234">
        <f>+'Human Considerations'!BB61</f>
        <v>0</v>
      </c>
      <c r="L60" s="234">
        <f>+'Human Considerations'!BF61</f>
        <v>0</v>
      </c>
      <c r="M60" s="234">
        <f>+'Human Considerations'!BJ61</f>
        <v>-1</v>
      </c>
      <c r="N60" s="234">
        <f>+'Human Considerations'!BN61</f>
        <v>-1</v>
      </c>
      <c r="O60" s="234">
        <f>+'Human Considerations'!BR61</f>
        <v>2</v>
      </c>
    </row>
    <row r="61" spans="1:15" ht="13.5" customHeight="1" x14ac:dyDescent="0.2">
      <c r="A61" s="231">
        <f>+'Human Considerations'!A62</f>
        <v>60</v>
      </c>
      <c r="B61" s="232" t="str">
        <f>+'Human Considerations'!B62</f>
        <v>Herbaceous Wind Barriers</v>
      </c>
      <c r="C61" s="233">
        <f>+'Human Considerations'!D62</f>
        <v>603</v>
      </c>
      <c r="D61" s="234">
        <f>+'Human Considerations'!Z62</f>
        <v>0</v>
      </c>
      <c r="E61" s="234">
        <f>+'Human Considerations'!AD62</f>
        <v>-5</v>
      </c>
      <c r="F61" s="234">
        <f>+'Human Considerations'!AH62</f>
        <v>-3</v>
      </c>
      <c r="G61" s="234">
        <f>+'Human Considerations'!AL62</f>
        <v>-2</v>
      </c>
      <c r="H61" s="234">
        <f>+'Human Considerations'!AP62</f>
        <v>2</v>
      </c>
      <c r="I61" s="234">
        <f>+'Human Considerations'!AT62</f>
        <v>0</v>
      </c>
      <c r="J61" s="234">
        <f>+'Human Considerations'!AX62</f>
        <v>1</v>
      </c>
      <c r="K61" s="234">
        <f>+'Human Considerations'!BB62</f>
        <v>-1</v>
      </c>
      <c r="L61" s="234">
        <f>+'Human Considerations'!BF62</f>
        <v>0</v>
      </c>
      <c r="M61" s="234">
        <f>+'Human Considerations'!BJ62</f>
        <v>-1</v>
      </c>
      <c r="N61" s="234">
        <f>+'Human Considerations'!BN62</f>
        <v>-1</v>
      </c>
      <c r="O61" s="234">
        <f>+'Human Considerations'!BR62</f>
        <v>2</v>
      </c>
    </row>
    <row r="62" spans="1:15" ht="13.5" customHeight="1" x14ac:dyDescent="0.2">
      <c r="A62" s="231">
        <f>+'Human Considerations'!A63</f>
        <v>61</v>
      </c>
      <c r="B62" s="232" t="str">
        <f>+'Human Considerations'!B63</f>
        <v>Hillside Ditch</v>
      </c>
      <c r="C62" s="233">
        <f>+'Human Considerations'!D63</f>
        <v>423</v>
      </c>
      <c r="D62" s="234">
        <f>+'Human Considerations'!Z63</f>
        <v>2</v>
      </c>
      <c r="E62" s="234">
        <f>+'Human Considerations'!AD63</f>
        <v>-1</v>
      </c>
      <c r="F62" s="234">
        <f>+'Human Considerations'!AH63</f>
        <v>-5</v>
      </c>
      <c r="G62" s="234">
        <f>+'Human Considerations'!AL63</f>
        <v>1</v>
      </c>
      <c r="H62" s="234">
        <f>+'Human Considerations'!AP63</f>
        <v>2</v>
      </c>
      <c r="I62" s="234">
        <f>+'Human Considerations'!AT63</f>
        <v>3</v>
      </c>
      <c r="J62" s="234">
        <f>+'Human Considerations'!AX63</f>
        <v>1</v>
      </c>
      <c r="K62" s="234">
        <f>+'Human Considerations'!BB63</f>
        <v>-1</v>
      </c>
      <c r="L62" s="234">
        <f>+'Human Considerations'!BF63</f>
        <v>-1</v>
      </c>
      <c r="M62" s="234">
        <f>+'Human Considerations'!BJ63</f>
        <v>-1</v>
      </c>
      <c r="N62" s="234">
        <f>+'Human Considerations'!BN63</f>
        <v>1</v>
      </c>
      <c r="O62" s="234">
        <f>+'Human Considerations'!BR63</f>
        <v>4</v>
      </c>
    </row>
    <row r="63" spans="1:15" ht="13.5" customHeight="1" x14ac:dyDescent="0.2">
      <c r="A63" s="231">
        <f>+'Human Considerations'!A64</f>
        <v>62</v>
      </c>
      <c r="B63" s="232" t="str">
        <f>+'Human Considerations'!B64</f>
        <v>Integrated Pest Management</v>
      </c>
      <c r="C63" s="233">
        <f>+'Human Considerations'!D64</f>
        <v>595</v>
      </c>
      <c r="D63" s="234">
        <f>+'Human Considerations'!Z64</f>
        <v>0</v>
      </c>
      <c r="E63" s="234">
        <f>+'Human Considerations'!AD64</f>
        <v>-2</v>
      </c>
      <c r="F63" s="234">
        <f>+'Human Considerations'!AH64</f>
        <v>0</v>
      </c>
      <c r="G63" s="234">
        <f>+'Human Considerations'!AL64</f>
        <v>0</v>
      </c>
      <c r="H63" s="234">
        <f>+'Human Considerations'!AP64</f>
        <v>2</v>
      </c>
      <c r="I63" s="234">
        <f>+'Human Considerations'!AT64</f>
        <v>5</v>
      </c>
      <c r="J63" s="234">
        <f>+'Human Considerations'!AX64</f>
        <v>0</v>
      </c>
      <c r="K63" s="234">
        <f>+'Human Considerations'!BB64</f>
        <v>0</v>
      </c>
      <c r="L63" s="234">
        <f>+'Human Considerations'!BF64</f>
        <v>-1</v>
      </c>
      <c r="M63" s="234">
        <f>+'Human Considerations'!BJ64</f>
        <v>-1</v>
      </c>
      <c r="N63" s="234">
        <f>+'Human Considerations'!BN64</f>
        <v>-3</v>
      </c>
      <c r="O63" s="234">
        <f>+'Human Considerations'!BR64</f>
        <v>2</v>
      </c>
    </row>
    <row r="64" spans="1:15" ht="13.5" customHeight="1" x14ac:dyDescent="0.2">
      <c r="A64" s="231">
        <f>+'Human Considerations'!A65</f>
        <v>63</v>
      </c>
      <c r="B64" s="232" t="str">
        <f>+'Human Considerations'!B65</f>
        <v>Irrigation Canal or Lateral</v>
      </c>
      <c r="C64" s="233">
        <f>+'Human Considerations'!D65</f>
        <v>320</v>
      </c>
      <c r="D64" s="234">
        <f>+'Human Considerations'!Z65</f>
        <v>0</v>
      </c>
      <c r="E64" s="234">
        <f>+'Human Considerations'!AD65</f>
        <v>-1</v>
      </c>
      <c r="F64" s="234">
        <f>+'Human Considerations'!AH65</f>
        <v>-5</v>
      </c>
      <c r="G64" s="234">
        <f>+'Human Considerations'!AL65</f>
        <v>0</v>
      </c>
      <c r="H64" s="234">
        <f>+'Human Considerations'!AP65</f>
        <v>2</v>
      </c>
      <c r="I64" s="234">
        <f>+'Human Considerations'!AT65</f>
        <v>0</v>
      </c>
      <c r="J64" s="234">
        <f>+'Human Considerations'!AX65</f>
        <v>1</v>
      </c>
      <c r="K64" s="234">
        <f>+'Human Considerations'!BB65</f>
        <v>-1</v>
      </c>
      <c r="L64" s="234">
        <f>+'Human Considerations'!BF65</f>
        <v>-1</v>
      </c>
      <c r="M64" s="234">
        <f>+'Human Considerations'!BJ65</f>
        <v>-1</v>
      </c>
      <c r="N64" s="234">
        <f>+'Human Considerations'!BN65</f>
        <v>-1</v>
      </c>
      <c r="O64" s="234">
        <f>+'Human Considerations'!BR65</f>
        <v>4</v>
      </c>
    </row>
    <row r="65" spans="1:15" ht="13.5" customHeight="1" x14ac:dyDescent="0.2">
      <c r="A65" s="231">
        <f>+'Human Considerations'!A66</f>
        <v>64</v>
      </c>
      <c r="B65" s="232" t="str">
        <f>+'Human Considerations'!B66</f>
        <v>Irrigation Ditch Lining</v>
      </c>
      <c r="C65" s="233">
        <f>+'Human Considerations'!D66</f>
        <v>428</v>
      </c>
      <c r="D65" s="234">
        <f>+'Human Considerations'!Z66</f>
        <v>2</v>
      </c>
      <c r="E65" s="234">
        <f>+'Human Considerations'!AD66</f>
        <v>-2</v>
      </c>
      <c r="F65" s="234">
        <f>+'Human Considerations'!AH66</f>
        <v>-3</v>
      </c>
      <c r="G65" s="234">
        <f>+'Human Considerations'!AL66</f>
        <v>-3</v>
      </c>
      <c r="H65" s="234">
        <f>+'Human Considerations'!AP66</f>
        <v>2</v>
      </c>
      <c r="I65" s="234">
        <f>+'Human Considerations'!AT66</f>
        <v>0</v>
      </c>
      <c r="J65" s="234">
        <f>+'Human Considerations'!AX66</f>
        <v>0</v>
      </c>
      <c r="K65" s="234">
        <f>+'Human Considerations'!BB66</f>
        <v>0</v>
      </c>
      <c r="L65" s="234">
        <f>+'Human Considerations'!BF66</f>
        <v>0</v>
      </c>
      <c r="M65" s="234">
        <f>+'Human Considerations'!BJ66</f>
        <v>1</v>
      </c>
      <c r="N65" s="234">
        <f>+'Human Considerations'!BN66</f>
        <v>0</v>
      </c>
      <c r="O65" s="234">
        <f>+'Human Considerations'!BR66</f>
        <v>2</v>
      </c>
    </row>
    <row r="66" spans="1:15" ht="13.5" customHeight="1" x14ac:dyDescent="0.2">
      <c r="A66" s="231">
        <f>+'Human Considerations'!A67</f>
        <v>65</v>
      </c>
      <c r="B66" s="232" t="str">
        <f>+'Human Considerations'!B67</f>
        <v>Irrigation Field Ditch</v>
      </c>
      <c r="C66" s="233">
        <f>+'Human Considerations'!D67</f>
        <v>388</v>
      </c>
      <c r="D66" s="234">
        <f>+'Human Considerations'!Z67</f>
        <v>2</v>
      </c>
      <c r="E66" s="234">
        <f>+'Human Considerations'!AD67</f>
        <v>-1</v>
      </c>
      <c r="F66" s="234">
        <f>+'Human Considerations'!AH67</f>
        <v>-5</v>
      </c>
      <c r="G66" s="234">
        <f>+'Human Considerations'!AL67</f>
        <v>-1</v>
      </c>
      <c r="H66" s="234">
        <f>+'Human Considerations'!AP67</f>
        <v>2</v>
      </c>
      <c r="I66" s="234">
        <f>+'Human Considerations'!AT67</f>
        <v>0</v>
      </c>
      <c r="J66" s="234">
        <f>+'Human Considerations'!AX67</f>
        <v>1</v>
      </c>
      <c r="K66" s="234">
        <f>+'Human Considerations'!BB67</f>
        <v>-1</v>
      </c>
      <c r="L66" s="234">
        <f>+'Human Considerations'!BF67</f>
        <v>-1</v>
      </c>
      <c r="M66" s="234">
        <f>+'Human Considerations'!BJ67</f>
        <v>-1</v>
      </c>
      <c r="N66" s="234">
        <f>+'Human Considerations'!BN67</f>
        <v>-1</v>
      </c>
      <c r="O66" s="234">
        <f>+'Human Considerations'!BR67</f>
        <v>4</v>
      </c>
    </row>
    <row r="67" spans="1:15" ht="13.5" customHeight="1" x14ac:dyDescent="0.2">
      <c r="A67" s="231">
        <f>+'Human Considerations'!A68</f>
        <v>66</v>
      </c>
      <c r="B67" s="232" t="str">
        <f>+'Human Considerations'!B68</f>
        <v>Irrigation Land Leveling</v>
      </c>
      <c r="C67" s="233">
        <f>+'Human Considerations'!D68</f>
        <v>464</v>
      </c>
      <c r="D67" s="234">
        <f>+'Human Considerations'!Z68</f>
        <v>4</v>
      </c>
      <c r="E67" s="234">
        <f>+'Human Considerations'!AD68</f>
        <v>-2</v>
      </c>
      <c r="F67" s="234">
        <f>+'Human Considerations'!AH68</f>
        <v>-3</v>
      </c>
      <c r="G67" s="234">
        <f>+'Human Considerations'!AL68</f>
        <v>1</v>
      </c>
      <c r="H67" s="234">
        <f>+'Human Considerations'!AP68</f>
        <v>2</v>
      </c>
      <c r="I67" s="234">
        <f>+'Human Considerations'!AT68</f>
        <v>-2</v>
      </c>
      <c r="J67" s="234">
        <f>+'Human Considerations'!AX68</f>
        <v>0</v>
      </c>
      <c r="K67" s="234">
        <f>+'Human Considerations'!BB68</f>
        <v>1</v>
      </c>
      <c r="L67" s="234">
        <f>+'Human Considerations'!BF68</f>
        <v>0</v>
      </c>
      <c r="M67" s="234">
        <f>+'Human Considerations'!BJ68</f>
        <v>1</v>
      </c>
      <c r="N67" s="234">
        <f>+'Human Considerations'!BN68</f>
        <v>0</v>
      </c>
      <c r="O67" s="234">
        <f>+'Human Considerations'!BR68</f>
        <v>4</v>
      </c>
    </row>
    <row r="68" spans="1:15" ht="13.5" customHeight="1" x14ac:dyDescent="0.2">
      <c r="A68" s="231">
        <f>+'Human Considerations'!A69</f>
        <v>67</v>
      </c>
      <c r="B68" s="232" t="str">
        <f>+'Human Considerations'!B69</f>
        <v>Irrigation Pipeline</v>
      </c>
      <c r="C68" s="233">
        <f>+'Human Considerations'!D69</f>
        <v>430</v>
      </c>
      <c r="D68" s="234">
        <f>+'Human Considerations'!Z69</f>
        <v>2</v>
      </c>
      <c r="E68" s="234">
        <f>+'Human Considerations'!AD69</f>
        <v>-1</v>
      </c>
      <c r="F68" s="234">
        <f>+'Human Considerations'!AH69</f>
        <v>-1</v>
      </c>
      <c r="G68" s="234">
        <f>+'Human Considerations'!AL69</f>
        <v>5</v>
      </c>
      <c r="H68" s="234">
        <f>+'Human Considerations'!AP69</f>
        <v>2</v>
      </c>
      <c r="I68" s="234">
        <f>+'Human Considerations'!AT69</f>
        <v>3</v>
      </c>
      <c r="J68" s="234">
        <f>+'Human Considerations'!AX69</f>
        <v>0</v>
      </c>
      <c r="K68" s="234">
        <f>+'Human Considerations'!BB69</f>
        <v>1</v>
      </c>
      <c r="L68" s="234">
        <f>+'Human Considerations'!BF69</f>
        <v>-1</v>
      </c>
      <c r="M68" s="234">
        <f>+'Human Considerations'!BJ69</f>
        <v>3</v>
      </c>
      <c r="N68" s="234">
        <f>+'Human Considerations'!BN69</f>
        <v>3</v>
      </c>
      <c r="O68" s="234">
        <f>+'Human Considerations'!BR69</f>
        <v>4</v>
      </c>
    </row>
    <row r="69" spans="1:15" ht="13.5" customHeight="1" x14ac:dyDescent="0.2">
      <c r="A69" s="231">
        <f>+'Human Considerations'!A70</f>
        <v>68</v>
      </c>
      <c r="B69" s="232" t="str">
        <f>+'Human Considerations'!B70</f>
        <v>Irrigation Reservoir</v>
      </c>
      <c r="C69" s="233">
        <f>+'Human Considerations'!D70</f>
        <v>436</v>
      </c>
      <c r="D69" s="234">
        <f>+'Human Considerations'!Z70</f>
        <v>-4</v>
      </c>
      <c r="E69" s="234">
        <f>+'Human Considerations'!AD70</f>
        <v>-5</v>
      </c>
      <c r="F69" s="234">
        <f>+'Human Considerations'!AH70</f>
        <v>-1</v>
      </c>
      <c r="G69" s="234">
        <f>+'Human Considerations'!AL70</f>
        <v>3</v>
      </c>
      <c r="H69" s="234">
        <f>+'Human Considerations'!AP70</f>
        <v>0</v>
      </c>
      <c r="I69" s="234">
        <f>+'Human Considerations'!AT70</f>
        <v>-1</v>
      </c>
      <c r="J69" s="234">
        <f>+'Human Considerations'!AX70</f>
        <v>5</v>
      </c>
      <c r="K69" s="234">
        <f>+'Human Considerations'!BB70</f>
        <v>-2</v>
      </c>
      <c r="L69" s="234">
        <f>+'Human Considerations'!BF70</f>
        <v>-2</v>
      </c>
      <c r="M69" s="234">
        <f>+'Human Considerations'!BJ70</f>
        <v>2</v>
      </c>
      <c r="N69" s="234">
        <f>+'Human Considerations'!BN70</f>
        <v>-3</v>
      </c>
      <c r="O69" s="234">
        <f>+'Human Considerations'!BR70</f>
        <v>5</v>
      </c>
    </row>
    <row r="70" spans="1:15" ht="13.5" customHeight="1" x14ac:dyDescent="0.2">
      <c r="A70" s="231">
        <f>+'Human Considerations'!A71</f>
        <v>69</v>
      </c>
      <c r="B70" s="232" t="str">
        <f>+'Human Considerations'!B71</f>
        <v>Irrigation System, Microirrigation</v>
      </c>
      <c r="C70" s="233">
        <f>+'Human Considerations'!D71</f>
        <v>441</v>
      </c>
      <c r="D70" s="234">
        <f>+'Human Considerations'!Z71</f>
        <v>2</v>
      </c>
      <c r="E70" s="234">
        <f>+'Human Considerations'!AD71</f>
        <v>-4</v>
      </c>
      <c r="F70" s="234">
        <f>+'Human Considerations'!AH71</f>
        <v>-5</v>
      </c>
      <c r="G70" s="234">
        <f>+'Human Considerations'!AL71</f>
        <v>0</v>
      </c>
      <c r="H70" s="234">
        <f>+'Human Considerations'!AP71</f>
        <v>5</v>
      </c>
      <c r="I70" s="234">
        <f>+'Human Considerations'!AT71</f>
        <v>-1</v>
      </c>
      <c r="J70" s="234">
        <f>+'Human Considerations'!AX71</f>
        <v>0</v>
      </c>
      <c r="K70" s="234">
        <f>+'Human Considerations'!BB71</f>
        <v>3</v>
      </c>
      <c r="L70" s="234">
        <f>+'Human Considerations'!BF71</f>
        <v>-1</v>
      </c>
      <c r="M70" s="234">
        <f>+'Human Considerations'!BJ71</f>
        <v>2</v>
      </c>
      <c r="N70" s="234">
        <f>+'Human Considerations'!BN71</f>
        <v>-2</v>
      </c>
      <c r="O70" s="234">
        <f>+'Human Considerations'!BR71</f>
        <v>4</v>
      </c>
    </row>
    <row r="71" spans="1:15" ht="13.5" customHeight="1" x14ac:dyDescent="0.2">
      <c r="A71" s="231">
        <f>+'Human Considerations'!A72</f>
        <v>70</v>
      </c>
      <c r="B71" s="232" t="str">
        <f>+'Human Considerations'!B72</f>
        <v>Irrigation System, Sprinkler</v>
      </c>
      <c r="C71" s="233">
        <f>+'Human Considerations'!D72</f>
        <v>442</v>
      </c>
      <c r="D71" s="234">
        <f>+'Human Considerations'!Z72</f>
        <v>0</v>
      </c>
      <c r="E71" s="234">
        <f>+'Human Considerations'!AD72</f>
        <v>-4</v>
      </c>
      <c r="F71" s="234">
        <f>+'Human Considerations'!AH72</f>
        <v>-2</v>
      </c>
      <c r="G71" s="234">
        <f>+'Human Considerations'!AL72</f>
        <v>0</v>
      </c>
      <c r="H71" s="234">
        <f>+'Human Considerations'!AP72</f>
        <v>4</v>
      </c>
      <c r="I71" s="234">
        <f>+'Human Considerations'!AT72</f>
        <v>0</v>
      </c>
      <c r="J71" s="234">
        <f>+'Human Considerations'!AX72</f>
        <v>0</v>
      </c>
      <c r="K71" s="234">
        <f>+'Human Considerations'!BB72</f>
        <v>3</v>
      </c>
      <c r="L71" s="234">
        <f>+'Human Considerations'!BF72</f>
        <v>-1</v>
      </c>
      <c r="M71" s="234">
        <f>+'Human Considerations'!BJ72</f>
        <v>3</v>
      </c>
      <c r="N71" s="234">
        <f>+'Human Considerations'!BN72</f>
        <v>-1</v>
      </c>
      <c r="O71" s="234">
        <f>+'Human Considerations'!BR72</f>
        <v>4</v>
      </c>
    </row>
    <row r="72" spans="1:15" ht="13.5" customHeight="1" x14ac:dyDescent="0.2">
      <c r="A72" s="231">
        <f>+'Human Considerations'!A73</f>
        <v>71</v>
      </c>
      <c r="B72" s="232" t="str">
        <f>+'Human Considerations'!B73</f>
        <v>Irrigation System, Surface &amp; Subsurface</v>
      </c>
      <c r="C72" s="233">
        <f>+'Human Considerations'!D73</f>
        <v>443</v>
      </c>
      <c r="D72" s="234">
        <f>+'Human Considerations'!Z73</f>
        <v>0</v>
      </c>
      <c r="E72" s="234">
        <f>+'Human Considerations'!AD73</f>
        <v>-2</v>
      </c>
      <c r="F72" s="234">
        <f>+'Human Considerations'!AH73</f>
        <v>-3</v>
      </c>
      <c r="G72" s="234">
        <f>+'Human Considerations'!AL73</f>
        <v>5</v>
      </c>
      <c r="H72" s="234">
        <f>+'Human Considerations'!AP73</f>
        <v>1</v>
      </c>
      <c r="I72" s="234">
        <f>+'Human Considerations'!AT73</f>
        <v>3</v>
      </c>
      <c r="J72" s="234">
        <f>+'Human Considerations'!AX73</f>
        <v>0</v>
      </c>
      <c r="K72" s="234">
        <f>+'Human Considerations'!BB73</f>
        <v>3</v>
      </c>
      <c r="L72" s="234">
        <f>+'Human Considerations'!BF73</f>
        <v>-1</v>
      </c>
      <c r="M72" s="234">
        <f>+'Human Considerations'!BJ73</f>
        <v>1</v>
      </c>
      <c r="N72" s="234">
        <f>+'Human Considerations'!BN73</f>
        <v>-1</v>
      </c>
      <c r="O72" s="234">
        <f>+'Human Considerations'!BR73</f>
        <v>2</v>
      </c>
    </row>
    <row r="73" spans="1:15" ht="13.5" customHeight="1" x14ac:dyDescent="0.2">
      <c r="A73" s="231">
        <f>+'Human Considerations'!A74</f>
        <v>72</v>
      </c>
      <c r="B73" s="232" t="str">
        <f>+'Human Considerations'!B74</f>
        <v>Irrigation System, Tailwater Recovery</v>
      </c>
      <c r="C73" s="233">
        <f>+'Human Considerations'!D74</f>
        <v>447</v>
      </c>
      <c r="D73" s="234">
        <f>+'Human Considerations'!Z74</f>
        <v>2</v>
      </c>
      <c r="E73" s="234">
        <f>+'Human Considerations'!AD74</f>
        <v>-5</v>
      </c>
      <c r="F73" s="234">
        <f>+'Human Considerations'!AH74</f>
        <v>-3</v>
      </c>
      <c r="G73" s="234">
        <f>+'Human Considerations'!AL74</f>
        <v>-5</v>
      </c>
      <c r="H73" s="234">
        <f>+'Human Considerations'!AP74</f>
        <v>2</v>
      </c>
      <c r="I73" s="234">
        <f>+'Human Considerations'!AT74</f>
        <v>0</v>
      </c>
      <c r="J73" s="234">
        <f>+'Human Considerations'!AX74</f>
        <v>1</v>
      </c>
      <c r="K73" s="234">
        <f>+'Human Considerations'!BB74</f>
        <v>-1</v>
      </c>
      <c r="L73" s="234">
        <f>+'Human Considerations'!BF74</f>
        <v>-3</v>
      </c>
      <c r="M73" s="234">
        <f>+'Human Considerations'!BJ74</f>
        <v>-1</v>
      </c>
      <c r="N73" s="234">
        <f>+'Human Considerations'!BN74</f>
        <v>-1</v>
      </c>
      <c r="O73" s="234">
        <f>+'Human Considerations'!BR74</f>
        <v>2</v>
      </c>
    </row>
    <row r="74" spans="1:15" ht="13.5" customHeight="1" x14ac:dyDescent="0.2">
      <c r="A74" s="231">
        <f>+'Human Considerations'!A75</f>
        <v>73</v>
      </c>
      <c r="B74" s="232" t="str">
        <f>+'Human Considerations'!B75</f>
        <v>Irrigation Water Management</v>
      </c>
      <c r="C74" s="233">
        <f>+'Human Considerations'!D75</f>
        <v>449</v>
      </c>
      <c r="D74" s="234">
        <f>+'Human Considerations'!Z75</f>
        <v>0</v>
      </c>
      <c r="E74" s="234">
        <f>+'Human Considerations'!AD75</f>
        <v>-2</v>
      </c>
      <c r="F74" s="234">
        <f>+'Human Considerations'!AH75</f>
        <v>0</v>
      </c>
      <c r="G74" s="234">
        <f>+'Human Considerations'!AL75</f>
        <v>1</v>
      </c>
      <c r="H74" s="234">
        <f>+'Human Considerations'!AP75</f>
        <v>2</v>
      </c>
      <c r="I74" s="234">
        <f>+'Human Considerations'!AT75</f>
        <v>5</v>
      </c>
      <c r="J74" s="234">
        <f>+'Human Considerations'!AX75</f>
        <v>0</v>
      </c>
      <c r="K74" s="234">
        <f>+'Human Considerations'!BB75</f>
        <v>1</v>
      </c>
      <c r="L74" s="234">
        <f>+'Human Considerations'!BF75</f>
        <v>-1</v>
      </c>
      <c r="M74" s="234">
        <f>+'Human Considerations'!BJ75</f>
        <v>-1</v>
      </c>
      <c r="N74" s="234">
        <f>+'Human Considerations'!BN75</f>
        <v>-2</v>
      </c>
      <c r="O74" s="234">
        <f>+'Human Considerations'!BR75</f>
        <v>2</v>
      </c>
    </row>
    <row r="75" spans="1:15" ht="13.5" customHeight="1" x14ac:dyDescent="0.2">
      <c r="A75" s="231">
        <f>+'Human Considerations'!A76</f>
        <v>74</v>
      </c>
      <c r="B75" s="232" t="str">
        <f>+'Human Considerations'!B76</f>
        <v xml:space="preserve">Karst Sinkhole Treatment </v>
      </c>
      <c r="C75" s="233">
        <f>+'Human Considerations'!D76</f>
        <v>527</v>
      </c>
      <c r="D75" s="234">
        <f>+'Human Considerations'!Z76</f>
        <v>2</v>
      </c>
      <c r="E75" s="234">
        <f>+'Human Considerations'!AD76</f>
        <v>-5</v>
      </c>
      <c r="F75" s="234">
        <f>+'Human Considerations'!AH76</f>
        <v>0</v>
      </c>
      <c r="G75" s="234">
        <f>+'Human Considerations'!AL76</f>
        <v>-5</v>
      </c>
      <c r="H75" s="234">
        <f>+'Human Considerations'!AP76</f>
        <v>0</v>
      </c>
      <c r="I75" s="234">
        <f>+'Human Considerations'!AT76</f>
        <v>0</v>
      </c>
      <c r="J75" s="234">
        <f>+'Human Considerations'!AX76</f>
        <v>2</v>
      </c>
      <c r="K75" s="234">
        <f>+'Human Considerations'!BB76</f>
        <v>2</v>
      </c>
      <c r="L75" s="234">
        <f>+'Human Considerations'!BF76</f>
        <v>0</v>
      </c>
      <c r="M75" s="234">
        <f>+'Human Considerations'!BJ76</f>
        <v>-1</v>
      </c>
      <c r="N75" s="234">
        <f>+'Human Considerations'!BN76</f>
        <v>0</v>
      </c>
      <c r="O75" s="234">
        <f>+'Human Considerations'!BR76</f>
        <v>2</v>
      </c>
    </row>
    <row r="76" spans="1:15" ht="13.5" customHeight="1" x14ac:dyDescent="0.2">
      <c r="A76" s="231">
        <f>+'Human Considerations'!A77</f>
        <v>75</v>
      </c>
      <c r="B76" s="232" t="str">
        <f>+'Human Considerations'!B77</f>
        <v>Land Clearing</v>
      </c>
      <c r="C76" s="233">
        <f>+'Human Considerations'!D77</f>
        <v>460</v>
      </c>
      <c r="D76" s="234">
        <f>+'Human Considerations'!Z77</f>
        <v>2</v>
      </c>
      <c r="E76" s="234">
        <f>+'Human Considerations'!AD77</f>
        <v>-3</v>
      </c>
      <c r="F76" s="234">
        <f>+'Human Considerations'!AH77</f>
        <v>-2</v>
      </c>
      <c r="G76" s="234">
        <f>+'Human Considerations'!AL77</f>
        <v>3</v>
      </c>
      <c r="H76" s="234">
        <f>+'Human Considerations'!AP77</f>
        <v>5</v>
      </c>
      <c r="I76" s="234">
        <f>+'Human Considerations'!AT77</f>
        <v>2</v>
      </c>
      <c r="J76" s="234">
        <f>+'Human Considerations'!AX77</f>
        <v>4</v>
      </c>
      <c r="K76" s="234">
        <f>+'Human Considerations'!BB77</f>
        <v>5</v>
      </c>
      <c r="L76" s="234">
        <f>+'Human Considerations'!BF77</f>
        <v>0</v>
      </c>
      <c r="M76" s="234">
        <f>+'Human Considerations'!BJ77</f>
        <v>0</v>
      </c>
      <c r="N76" s="234">
        <f>+'Human Considerations'!BN77</f>
        <v>0</v>
      </c>
      <c r="O76" s="234">
        <f>+'Human Considerations'!BR77</f>
        <v>4</v>
      </c>
    </row>
    <row r="77" spans="1:15" ht="13.5" customHeight="1" x14ac:dyDescent="0.2">
      <c r="A77" s="231">
        <f>+'Human Considerations'!A78</f>
        <v>76</v>
      </c>
      <c r="B77" s="232" t="str">
        <f>+'Human Considerations'!B78</f>
        <v>Land Reclamation, Abandoned Mined Land</v>
      </c>
      <c r="C77" s="233">
        <f>+'Human Considerations'!D78</f>
        <v>543</v>
      </c>
      <c r="D77" s="234">
        <f>+'Human Considerations'!Z78</f>
        <v>2</v>
      </c>
      <c r="E77" s="234">
        <f>+'Human Considerations'!AD78</f>
        <v>-5</v>
      </c>
      <c r="F77" s="234">
        <f>+'Human Considerations'!AH78</f>
        <v>0</v>
      </c>
      <c r="G77" s="234">
        <f>+'Human Considerations'!AL78</f>
        <v>-3</v>
      </c>
      <c r="H77" s="234">
        <f>+'Human Considerations'!AP78</f>
        <v>5</v>
      </c>
      <c r="I77" s="234">
        <f>+'Human Considerations'!AT78</f>
        <v>0</v>
      </c>
      <c r="J77" s="234">
        <f>+'Human Considerations'!AX78</f>
        <v>3</v>
      </c>
      <c r="K77" s="234">
        <f>+'Human Considerations'!BB78</f>
        <v>5</v>
      </c>
      <c r="L77" s="234">
        <f>+'Human Considerations'!BF78</f>
        <v>0</v>
      </c>
      <c r="M77" s="234">
        <f>+'Human Considerations'!BJ78</f>
        <v>0</v>
      </c>
      <c r="N77" s="234">
        <f>+'Human Considerations'!BN78</f>
        <v>-1</v>
      </c>
      <c r="O77" s="234">
        <f>+'Human Considerations'!BR78</f>
        <v>5</v>
      </c>
    </row>
    <row r="78" spans="1:15" ht="13.5" customHeight="1" x14ac:dyDescent="0.2">
      <c r="A78" s="231">
        <f>+'Human Considerations'!A79</f>
        <v>77</v>
      </c>
      <c r="B78" s="232" t="str">
        <f>+'Human Considerations'!B79</f>
        <v>Land Reclamation, Currently Mined Land</v>
      </c>
      <c r="C78" s="233">
        <f>+'Human Considerations'!D79</f>
        <v>544</v>
      </c>
      <c r="D78" s="234">
        <f>+'Human Considerations'!Z79</f>
        <v>2</v>
      </c>
      <c r="E78" s="234">
        <f>+'Human Considerations'!AD79</f>
        <v>-5</v>
      </c>
      <c r="F78" s="234">
        <f>+'Human Considerations'!AH79</f>
        <v>0</v>
      </c>
      <c r="G78" s="234">
        <f>+'Human Considerations'!AL79</f>
        <v>-3</v>
      </c>
      <c r="H78" s="234">
        <f>+'Human Considerations'!AP79</f>
        <v>5</v>
      </c>
      <c r="I78" s="234">
        <f>+'Human Considerations'!AT79</f>
        <v>0</v>
      </c>
      <c r="J78" s="234">
        <f>+'Human Considerations'!AX79</f>
        <v>3</v>
      </c>
      <c r="K78" s="234">
        <f>+'Human Considerations'!BB79</f>
        <v>5</v>
      </c>
      <c r="L78" s="234">
        <f>+'Human Considerations'!BF79</f>
        <v>0</v>
      </c>
      <c r="M78" s="234">
        <f>+'Human Considerations'!BJ79</f>
        <v>0</v>
      </c>
      <c r="N78" s="234">
        <f>+'Human Considerations'!BN79</f>
        <v>-1</v>
      </c>
      <c r="O78" s="234">
        <f>+'Human Considerations'!BR79</f>
        <v>5</v>
      </c>
    </row>
    <row r="79" spans="1:15" ht="13.5" customHeight="1" x14ac:dyDescent="0.2">
      <c r="A79" s="231">
        <f>+'Human Considerations'!A80</f>
        <v>78</v>
      </c>
      <c r="B79" s="232" t="str">
        <f>+'Human Considerations'!B80</f>
        <v>Land Reclamation, Landslide Treatment</v>
      </c>
      <c r="C79" s="233">
        <f>+'Human Considerations'!D80</f>
        <v>453</v>
      </c>
      <c r="D79" s="234">
        <f>+'Human Considerations'!Z80</f>
        <v>2</v>
      </c>
      <c r="E79" s="234">
        <f>+'Human Considerations'!AD80</f>
        <v>-5</v>
      </c>
      <c r="F79" s="234">
        <f>+'Human Considerations'!AH80</f>
        <v>0</v>
      </c>
      <c r="G79" s="234">
        <f>+'Human Considerations'!AL80</f>
        <v>0</v>
      </c>
      <c r="H79" s="234">
        <f>+'Human Considerations'!AP80</f>
        <v>5</v>
      </c>
      <c r="I79" s="234">
        <f>+'Human Considerations'!AT80</f>
        <v>-4</v>
      </c>
      <c r="J79" s="234">
        <f>+'Human Considerations'!AX80</f>
        <v>3</v>
      </c>
      <c r="K79" s="234">
        <f>+'Human Considerations'!BB80</f>
        <v>4</v>
      </c>
      <c r="L79" s="234">
        <f>+'Human Considerations'!BF80</f>
        <v>0</v>
      </c>
      <c r="M79" s="234">
        <f>+'Human Considerations'!BJ80</f>
        <v>-1</v>
      </c>
      <c r="N79" s="234">
        <f>+'Human Considerations'!BN80</f>
        <v>-1</v>
      </c>
      <c r="O79" s="234">
        <f>+'Human Considerations'!BR80</f>
        <v>5</v>
      </c>
    </row>
    <row r="80" spans="1:15" ht="13.5" customHeight="1" x14ac:dyDescent="0.2">
      <c r="A80" s="231">
        <f>+'Human Considerations'!A81</f>
        <v>79</v>
      </c>
      <c r="B80" s="232" t="str">
        <f>+'Human Considerations'!B81</f>
        <v>Land Reclamation, Toxic Discharge Control</v>
      </c>
      <c r="C80" s="233">
        <f>+'Human Considerations'!D81</f>
        <v>455</v>
      </c>
      <c r="D80" s="234">
        <f>+'Human Considerations'!Z81</f>
        <v>2</v>
      </c>
      <c r="E80" s="234">
        <f>+'Human Considerations'!AD81</f>
        <v>-5</v>
      </c>
      <c r="F80" s="234">
        <f>+'Human Considerations'!AH81</f>
        <v>0</v>
      </c>
      <c r="G80" s="234">
        <f>+'Human Considerations'!AL81</f>
        <v>-1</v>
      </c>
      <c r="H80" s="234">
        <f>+'Human Considerations'!AP81</f>
        <v>5</v>
      </c>
      <c r="I80" s="234">
        <f>+'Human Considerations'!AT81</f>
        <v>0</v>
      </c>
      <c r="J80" s="234">
        <f>+'Human Considerations'!AX81</f>
        <v>3</v>
      </c>
      <c r="K80" s="234">
        <f>+'Human Considerations'!BB81</f>
        <v>3</v>
      </c>
      <c r="L80" s="234">
        <f>+'Human Considerations'!BF81</f>
        <v>-1</v>
      </c>
      <c r="M80" s="234">
        <f>+'Human Considerations'!BJ81</f>
        <v>-2</v>
      </c>
      <c r="N80" s="234">
        <f>+'Human Considerations'!BN81</f>
        <v>-1</v>
      </c>
      <c r="O80" s="234">
        <f>+'Human Considerations'!BR81</f>
        <v>5</v>
      </c>
    </row>
    <row r="81" spans="1:15" ht="13.5" customHeight="1" x14ac:dyDescent="0.2">
      <c r="A81" s="231">
        <f>+'Human Considerations'!A82</f>
        <v>80</v>
      </c>
      <c r="B81" s="232" t="str">
        <f>+'Human Considerations'!B82</f>
        <v>Land Smoothing</v>
      </c>
      <c r="C81" s="233">
        <f>+'Human Considerations'!D82</f>
        <v>466</v>
      </c>
      <c r="D81" s="234">
        <f>+'Human Considerations'!Z82</f>
        <v>2</v>
      </c>
      <c r="E81" s="234">
        <f>+'Human Considerations'!AD82</f>
        <v>-2</v>
      </c>
      <c r="F81" s="234">
        <f>+'Human Considerations'!AH82</f>
        <v>0</v>
      </c>
      <c r="G81" s="234">
        <f>+'Human Considerations'!AL82</f>
        <v>5</v>
      </c>
      <c r="H81" s="234">
        <f>+'Human Considerations'!AP82</f>
        <v>2</v>
      </c>
      <c r="I81" s="234">
        <f>+'Human Considerations'!AT82</f>
        <v>3</v>
      </c>
      <c r="J81" s="234">
        <f>+'Human Considerations'!AX82</f>
        <v>0</v>
      </c>
      <c r="K81" s="234">
        <f>+'Human Considerations'!BB82</f>
        <v>1</v>
      </c>
      <c r="L81" s="234">
        <f>+'Human Considerations'!BF82</f>
        <v>0</v>
      </c>
      <c r="M81" s="234">
        <f>+'Human Considerations'!BJ82</f>
        <v>0</v>
      </c>
      <c r="N81" s="234">
        <f>+'Human Considerations'!BN82</f>
        <v>0</v>
      </c>
      <c r="O81" s="234">
        <f>+'Human Considerations'!BR82</f>
        <v>4</v>
      </c>
    </row>
    <row r="82" spans="1:15" ht="13.5" customHeight="1" x14ac:dyDescent="0.2">
      <c r="A82" s="231">
        <f>+'Human Considerations'!A83</f>
        <v>81</v>
      </c>
      <c r="B82" s="232" t="str">
        <f>+'Human Considerations'!B83</f>
        <v>Lined Waterway or Outlet</v>
      </c>
      <c r="C82" s="233">
        <f>+'Human Considerations'!D83</f>
        <v>468</v>
      </c>
      <c r="D82" s="234">
        <f>+'Human Considerations'!Z83</f>
        <v>0</v>
      </c>
      <c r="E82" s="234">
        <f>+'Human Considerations'!AD83</f>
        <v>-1</v>
      </c>
      <c r="F82" s="234">
        <f>+'Human Considerations'!AH83</f>
        <v>-5</v>
      </c>
      <c r="G82" s="234">
        <f>+'Human Considerations'!AL83</f>
        <v>-3</v>
      </c>
      <c r="H82" s="234">
        <f>+'Human Considerations'!AP83</f>
        <v>2</v>
      </c>
      <c r="I82" s="234">
        <f>+'Human Considerations'!AT83</f>
        <v>0</v>
      </c>
      <c r="J82" s="234">
        <f>+'Human Considerations'!AX83</f>
        <v>0</v>
      </c>
      <c r="K82" s="234">
        <f>+'Human Considerations'!BB83</f>
        <v>0</v>
      </c>
      <c r="L82" s="234">
        <f>+'Human Considerations'!BF83</f>
        <v>0</v>
      </c>
      <c r="M82" s="234">
        <f>+'Human Considerations'!BJ83</f>
        <v>1</v>
      </c>
      <c r="N82" s="234">
        <f>+'Human Considerations'!BN83</f>
        <v>0</v>
      </c>
      <c r="O82" s="234">
        <f>+'Human Considerations'!BR83</f>
        <v>2</v>
      </c>
    </row>
    <row r="83" spans="1:15" ht="13.5" customHeight="1" x14ac:dyDescent="0.2">
      <c r="A83" s="231">
        <f>+'Human Considerations'!A84</f>
        <v>82</v>
      </c>
      <c r="B83" s="232" t="str">
        <f>+'Human Considerations'!B84</f>
        <v>Mine Shaft &amp; Adit Closing</v>
      </c>
      <c r="C83" s="233">
        <f>+'Human Considerations'!D84</f>
        <v>457</v>
      </c>
      <c r="D83" s="234">
        <f>+'Human Considerations'!Z84</f>
        <v>2</v>
      </c>
      <c r="E83" s="234">
        <f>+'Human Considerations'!AD84</f>
        <v>-5</v>
      </c>
      <c r="F83" s="234">
        <f>+'Human Considerations'!AH84</f>
        <v>0</v>
      </c>
      <c r="G83" s="234">
        <f>+'Human Considerations'!AL84</f>
        <v>-4</v>
      </c>
      <c r="H83" s="234">
        <f>+'Human Considerations'!AP84</f>
        <v>0</v>
      </c>
      <c r="I83" s="234">
        <f>+'Human Considerations'!AT84</f>
        <v>0</v>
      </c>
      <c r="J83" s="234">
        <f>+'Human Considerations'!AX84</f>
        <v>0</v>
      </c>
      <c r="K83" s="234">
        <f>+'Human Considerations'!BB84</f>
        <v>1</v>
      </c>
      <c r="L83" s="234">
        <f>+'Human Considerations'!BF84</f>
        <v>0</v>
      </c>
      <c r="M83" s="234">
        <f>+'Human Considerations'!BJ84</f>
        <v>1</v>
      </c>
      <c r="N83" s="234">
        <f>+'Human Considerations'!BN84</f>
        <v>0</v>
      </c>
      <c r="O83" s="234">
        <f>+'Human Considerations'!BR84</f>
        <v>4</v>
      </c>
    </row>
    <row r="84" spans="1:15" ht="13.5" customHeight="1" x14ac:dyDescent="0.2">
      <c r="A84" s="231">
        <f>+'Human Considerations'!A85</f>
        <v>83</v>
      </c>
      <c r="B84" s="232" t="str">
        <f>+'Human Considerations'!B85</f>
        <v>Mole Drain</v>
      </c>
      <c r="C84" s="233">
        <f>+'Human Considerations'!D85</f>
        <v>482</v>
      </c>
      <c r="D84" s="234">
        <f>+'Human Considerations'!Z85</f>
        <v>2</v>
      </c>
      <c r="E84" s="234">
        <f>+'Human Considerations'!AD85</f>
        <v>-2</v>
      </c>
      <c r="F84" s="234">
        <f>+'Human Considerations'!AH85</f>
        <v>0</v>
      </c>
      <c r="G84" s="234">
        <f>+'Human Considerations'!AL85</f>
        <v>-4</v>
      </c>
      <c r="H84" s="234">
        <f>+'Human Considerations'!AP85</f>
        <v>2</v>
      </c>
      <c r="I84" s="234">
        <f>+'Human Considerations'!AT85</f>
        <v>0</v>
      </c>
      <c r="J84" s="234">
        <f>+'Human Considerations'!AX85</f>
        <v>0</v>
      </c>
      <c r="K84" s="234">
        <f>+'Human Considerations'!BB85</f>
        <v>2</v>
      </c>
      <c r="L84" s="234">
        <f>+'Human Considerations'!BF85</f>
        <v>-1</v>
      </c>
      <c r="M84" s="234">
        <f>+'Human Considerations'!BJ85</f>
        <v>-1</v>
      </c>
      <c r="N84" s="234">
        <f>+'Human Considerations'!BN85</f>
        <v>0</v>
      </c>
      <c r="O84" s="234">
        <f>+'Human Considerations'!BR85</f>
        <v>2</v>
      </c>
    </row>
    <row r="85" spans="1:15" ht="13.5" customHeight="1" x14ac:dyDescent="0.2">
      <c r="A85" s="231">
        <f>+'Human Considerations'!A86</f>
        <v>84</v>
      </c>
      <c r="B85" s="232" t="str">
        <f>+'Human Considerations'!B86</f>
        <v>Monitoring and Evaluation</v>
      </c>
      <c r="C85" s="233">
        <f>+'Human Considerations'!D86</f>
        <v>799</v>
      </c>
      <c r="D85" s="234">
        <f>+'Human Considerations'!Z86</f>
        <v>2</v>
      </c>
      <c r="E85" s="234">
        <f>+'Human Considerations'!AD86</f>
        <v>-5</v>
      </c>
      <c r="F85" s="234">
        <f>+'Human Considerations'!AH86</f>
        <v>-1</v>
      </c>
      <c r="G85" s="234">
        <f>+'Human Considerations'!AL86</f>
        <v>-5</v>
      </c>
      <c r="H85" s="234">
        <f>+'Human Considerations'!AP86</f>
        <v>1</v>
      </c>
      <c r="I85" s="234">
        <f>+'Human Considerations'!AT86</f>
        <v>0</v>
      </c>
      <c r="J85" s="234">
        <f>+'Human Considerations'!AX86</f>
        <v>0</v>
      </c>
      <c r="K85" s="234">
        <f>+'Human Considerations'!BB86</f>
        <v>0</v>
      </c>
      <c r="L85" s="234">
        <f>+'Human Considerations'!BF86</f>
        <v>-5</v>
      </c>
      <c r="M85" s="234">
        <f>+'Human Considerations'!BJ86</f>
        <v>-1</v>
      </c>
      <c r="N85" s="234">
        <f>+'Human Considerations'!BN86</f>
        <v>-3</v>
      </c>
      <c r="O85" s="234">
        <f>+'Human Considerations'!BR86</f>
        <v>2</v>
      </c>
    </row>
    <row r="86" spans="1:15" ht="13.5" customHeight="1" x14ac:dyDescent="0.2">
      <c r="A86" s="231">
        <f>+'Human Considerations'!A87</f>
        <v>85</v>
      </c>
      <c r="B86" s="232" t="str">
        <f>+'Human Considerations'!B87</f>
        <v>Monitoring Well</v>
      </c>
      <c r="C86" s="233">
        <f>+'Human Considerations'!D87</f>
        <v>353</v>
      </c>
      <c r="D86" s="234">
        <f>+'Human Considerations'!Z87</f>
        <v>0</v>
      </c>
      <c r="E86" s="234">
        <f>+'Human Considerations'!AD87</f>
        <v>-3</v>
      </c>
      <c r="F86" s="234">
        <f>+'Human Considerations'!AH87</f>
        <v>-5</v>
      </c>
      <c r="G86" s="234">
        <f>+'Human Considerations'!AL87</f>
        <v>-5</v>
      </c>
      <c r="H86" s="234">
        <f>+'Human Considerations'!AP87</f>
        <v>0</v>
      </c>
      <c r="I86" s="234">
        <f>+'Human Considerations'!AT87</f>
        <v>0</v>
      </c>
      <c r="J86" s="234">
        <f>+'Human Considerations'!AX87</f>
        <v>0</v>
      </c>
      <c r="K86" s="234">
        <f>+'Human Considerations'!BB87</f>
        <v>0</v>
      </c>
      <c r="L86" s="234">
        <f>+'Human Considerations'!BF87</f>
        <v>-5</v>
      </c>
      <c r="M86" s="234">
        <f>+'Human Considerations'!BJ87</f>
        <v>-1</v>
      </c>
      <c r="N86" s="234">
        <f>+'Human Considerations'!BN87</f>
        <v>-2</v>
      </c>
      <c r="O86" s="234">
        <f>+'Human Considerations'!BR87</f>
        <v>2</v>
      </c>
    </row>
    <row r="87" spans="1:15" ht="13.5" customHeight="1" x14ac:dyDescent="0.2">
      <c r="A87" s="231">
        <f>+'Human Considerations'!A88</f>
        <v>86</v>
      </c>
      <c r="B87" s="232" t="str">
        <f>+'Human Considerations'!B88</f>
        <v>Mulching</v>
      </c>
      <c r="C87" s="233">
        <f>+'Human Considerations'!D88</f>
        <v>484</v>
      </c>
      <c r="D87" s="234">
        <f>+'Human Considerations'!Z88</f>
        <v>2</v>
      </c>
      <c r="E87" s="234">
        <f>+'Human Considerations'!AD88</f>
        <v>-2</v>
      </c>
      <c r="F87" s="234">
        <f>+'Human Considerations'!AH88</f>
        <v>0</v>
      </c>
      <c r="G87" s="234">
        <f>+'Human Considerations'!AL88</f>
        <v>0</v>
      </c>
      <c r="H87" s="234">
        <f>+'Human Considerations'!AP88</f>
        <v>2</v>
      </c>
      <c r="I87" s="234">
        <f>+'Human Considerations'!AT88</f>
        <v>0</v>
      </c>
      <c r="J87" s="234">
        <f>+'Human Considerations'!AX88</f>
        <v>0</v>
      </c>
      <c r="K87" s="234">
        <f>+'Human Considerations'!BB88</f>
        <v>0</v>
      </c>
      <c r="L87" s="234">
        <f>+'Human Considerations'!BF88</f>
        <v>0</v>
      </c>
      <c r="M87" s="234">
        <f>+'Human Considerations'!BJ88</f>
        <v>-1</v>
      </c>
      <c r="N87" s="234">
        <f>+'Human Considerations'!BN88</f>
        <v>0</v>
      </c>
      <c r="O87" s="234">
        <f>+'Human Considerations'!BR88</f>
        <v>2</v>
      </c>
    </row>
    <row r="88" spans="1:15" ht="13.5" customHeight="1" x14ac:dyDescent="0.2">
      <c r="A88" s="231">
        <f>+'Human Considerations'!A89</f>
        <v>87</v>
      </c>
      <c r="B88" s="232" t="str">
        <f>+'Human Considerations'!B89</f>
        <v>Multi-Story Cropping</v>
      </c>
      <c r="C88" s="233">
        <f>+'Human Considerations'!D89</f>
        <v>379</v>
      </c>
      <c r="D88" s="234">
        <f>+'Human Considerations'!Z89</f>
        <v>0</v>
      </c>
      <c r="E88" s="234">
        <f>+'Human Considerations'!AD89</f>
        <v>-2</v>
      </c>
      <c r="F88" s="234">
        <f>+'Human Considerations'!AH89</f>
        <v>0</v>
      </c>
      <c r="G88" s="234">
        <f>+'Human Considerations'!AL89</f>
        <v>2</v>
      </c>
      <c r="H88" s="234">
        <f>+'Human Considerations'!AP89</f>
        <v>2</v>
      </c>
      <c r="I88" s="234">
        <f>+'Human Considerations'!AT89</f>
        <v>5</v>
      </c>
      <c r="J88" s="234">
        <f>+'Human Considerations'!AX89</f>
        <v>3</v>
      </c>
      <c r="K88" s="234">
        <f>+'Human Considerations'!BB89</f>
        <v>3</v>
      </c>
      <c r="L88" s="234">
        <f>+'Human Considerations'!BF89</f>
        <v>-1</v>
      </c>
      <c r="M88" s="234">
        <f>+'Human Considerations'!BJ89</f>
        <v>-1</v>
      </c>
      <c r="N88" s="234">
        <f>+'Human Considerations'!BN89</f>
        <v>-2</v>
      </c>
      <c r="O88" s="234">
        <f>+'Human Considerations'!BR89</f>
        <v>-1</v>
      </c>
    </row>
    <row r="89" spans="1:15" ht="13.5" customHeight="1" x14ac:dyDescent="0.2">
      <c r="A89" s="231">
        <f>+'Human Considerations'!A90</f>
        <v>88</v>
      </c>
      <c r="B89" s="232" t="str">
        <f>+'Human Considerations'!B90</f>
        <v>Nutrient Management</v>
      </c>
      <c r="C89" s="233">
        <f>+'Human Considerations'!D90</f>
        <v>590</v>
      </c>
      <c r="D89" s="234">
        <f>+'Human Considerations'!Z90</f>
        <v>2</v>
      </c>
      <c r="E89" s="234">
        <f>+'Human Considerations'!AD90</f>
        <v>-1</v>
      </c>
      <c r="F89" s="234">
        <f>+'Human Considerations'!AH90</f>
        <v>-5</v>
      </c>
      <c r="G89" s="234">
        <f>+'Human Considerations'!AL90</f>
        <v>0</v>
      </c>
      <c r="H89" s="234">
        <f>+'Human Considerations'!AP90</f>
        <v>1</v>
      </c>
      <c r="I89" s="234">
        <f>+'Human Considerations'!AT90</f>
        <v>5</v>
      </c>
      <c r="J89" s="234">
        <f>+'Human Considerations'!AX90</f>
        <v>0</v>
      </c>
      <c r="K89" s="234">
        <f>+'Human Considerations'!BB90</f>
        <v>0</v>
      </c>
      <c r="L89" s="234">
        <f>+'Human Considerations'!BF90</f>
        <v>-1</v>
      </c>
      <c r="M89" s="234">
        <f>+'Human Considerations'!BJ90</f>
        <v>-1</v>
      </c>
      <c r="N89" s="234">
        <f>+'Human Considerations'!BN90</f>
        <v>-3</v>
      </c>
      <c r="O89" s="234">
        <f>+'Human Considerations'!BR90</f>
        <v>2</v>
      </c>
    </row>
    <row r="90" spans="1:15" ht="13.5" customHeight="1" x14ac:dyDescent="0.2">
      <c r="A90" s="231">
        <f>+'Human Considerations'!A91</f>
        <v>89</v>
      </c>
      <c r="B90" s="232" t="str">
        <f>+'Human Considerations'!B91</f>
        <v>Obstruction Removal</v>
      </c>
      <c r="C90" s="233">
        <f>+'Human Considerations'!D91</f>
        <v>500</v>
      </c>
      <c r="D90" s="234">
        <f>+'Human Considerations'!Z91</f>
        <v>2</v>
      </c>
      <c r="E90" s="234">
        <f>+'Human Considerations'!AD91</f>
        <v>-5</v>
      </c>
      <c r="F90" s="234">
        <f>+'Human Considerations'!AH91</f>
        <v>0</v>
      </c>
      <c r="G90" s="234">
        <f>+'Human Considerations'!AL91</f>
        <v>-4</v>
      </c>
      <c r="H90" s="234">
        <f>+'Human Considerations'!AP91</f>
        <v>5</v>
      </c>
      <c r="I90" s="234">
        <f>+'Human Considerations'!AT91</f>
        <v>0</v>
      </c>
      <c r="J90" s="234">
        <f>+'Human Considerations'!AX91</f>
        <v>3</v>
      </c>
      <c r="K90" s="234">
        <f>+'Human Considerations'!BB91</f>
        <v>1</v>
      </c>
      <c r="L90" s="234">
        <f>+'Human Considerations'!BF91</f>
        <v>0</v>
      </c>
      <c r="M90" s="234">
        <f>+'Human Considerations'!BJ91</f>
        <v>1</v>
      </c>
      <c r="N90" s="234">
        <f>+'Human Considerations'!BN91</f>
        <v>0</v>
      </c>
      <c r="O90" s="234">
        <f>+'Human Considerations'!BR91</f>
        <v>2</v>
      </c>
    </row>
    <row r="91" spans="1:15" ht="13.5" customHeight="1" x14ac:dyDescent="0.2">
      <c r="A91" s="231">
        <f>+'Human Considerations'!A92</f>
        <v>90</v>
      </c>
      <c r="B91" s="232" t="str">
        <f>+'Human Considerations'!B92</f>
        <v>Open Channel</v>
      </c>
      <c r="C91" s="233">
        <f>+'Human Considerations'!D92</f>
        <v>582</v>
      </c>
      <c r="D91" s="234">
        <f>+'Human Considerations'!Z92</f>
        <v>2</v>
      </c>
      <c r="E91" s="234">
        <f>+'Human Considerations'!AD92</f>
        <v>-1</v>
      </c>
      <c r="F91" s="234">
        <f>+'Human Considerations'!AH92</f>
        <v>-2</v>
      </c>
      <c r="G91" s="234">
        <f>+'Human Considerations'!AL92</f>
        <v>0</v>
      </c>
      <c r="H91" s="234">
        <f>+'Human Considerations'!AP92</f>
        <v>2</v>
      </c>
      <c r="I91" s="234">
        <f>+'Human Considerations'!AT92</f>
        <v>-5</v>
      </c>
      <c r="J91" s="234">
        <f>+'Human Considerations'!AX92</f>
        <v>1</v>
      </c>
      <c r="K91" s="234">
        <f>+'Human Considerations'!BB92</f>
        <v>-1</v>
      </c>
      <c r="L91" s="234">
        <f>+'Human Considerations'!BF92</f>
        <v>0</v>
      </c>
      <c r="M91" s="234">
        <f>+'Human Considerations'!BJ92</f>
        <v>1</v>
      </c>
      <c r="N91" s="234">
        <f>+'Human Considerations'!BN92</f>
        <v>-1</v>
      </c>
      <c r="O91" s="234">
        <f>+'Human Considerations'!BR92</f>
        <v>2</v>
      </c>
    </row>
    <row r="92" spans="1:15" ht="13.5" customHeight="1" x14ac:dyDescent="0.2">
      <c r="A92" s="231">
        <f>+'Human Considerations'!A93</f>
        <v>91</v>
      </c>
      <c r="B92" s="232" t="str">
        <f>+'Human Considerations'!B93</f>
        <v>Lighting System Improvement</v>
      </c>
      <c r="C92" s="233">
        <f>+'Human Considerations'!D93</f>
        <v>670</v>
      </c>
      <c r="D92" s="234">
        <f>+'Human Considerations'!Z93</f>
        <v>0</v>
      </c>
      <c r="E92" s="234">
        <f>+'Human Considerations'!AD93</f>
        <v>-5</v>
      </c>
      <c r="F92" s="234">
        <f>+'Human Considerations'!AH93</f>
        <v>-2</v>
      </c>
      <c r="G92" s="234">
        <f>+'Human Considerations'!AL93</f>
        <v>0</v>
      </c>
      <c r="H92" s="234">
        <f>+'Human Considerations'!AP93</f>
        <v>0</v>
      </c>
      <c r="I92" s="234">
        <f>+'Human Considerations'!AT93</f>
        <v>-4</v>
      </c>
      <c r="J92" s="234">
        <f>+'Human Considerations'!AX93</f>
        <v>0</v>
      </c>
      <c r="K92" s="234">
        <f>+'Human Considerations'!BB93</f>
        <v>0</v>
      </c>
      <c r="L92" s="234">
        <f>+'Human Considerations'!BF93</f>
        <v>-5</v>
      </c>
      <c r="M92" s="234">
        <f>+'Human Considerations'!BJ93</f>
        <v>0</v>
      </c>
      <c r="N92" s="234">
        <f>+'Human Considerations'!BN93</f>
        <v>0</v>
      </c>
      <c r="O92" s="234">
        <f>+'Human Considerations'!BR93</f>
        <v>2</v>
      </c>
    </row>
    <row r="93" spans="1:15" ht="13.5" customHeight="1" x14ac:dyDescent="0.2">
      <c r="A93" s="231">
        <f>+'Human Considerations'!A94</f>
        <v>92</v>
      </c>
      <c r="B93" s="232" t="str">
        <f>+'Human Considerations'!B94</f>
        <v>Livestock Pipeline</v>
      </c>
      <c r="C93" s="233">
        <f>+'Human Considerations'!D94</f>
        <v>516</v>
      </c>
      <c r="D93" s="234">
        <f>+'Human Considerations'!Z94</f>
        <v>2</v>
      </c>
      <c r="E93" s="234">
        <f>+'Human Considerations'!AD94</f>
        <v>-2</v>
      </c>
      <c r="F93" s="234">
        <f>+'Human Considerations'!AH94</f>
        <v>-1</v>
      </c>
      <c r="G93" s="234">
        <f>+'Human Considerations'!AL94</f>
        <v>5</v>
      </c>
      <c r="H93" s="234">
        <f>+'Human Considerations'!AP94</f>
        <v>2</v>
      </c>
      <c r="I93" s="234">
        <f>+'Human Considerations'!AT94</f>
        <v>5</v>
      </c>
      <c r="J93" s="234">
        <f>+'Human Considerations'!AX94</f>
        <v>0</v>
      </c>
      <c r="K93" s="234">
        <f>+'Human Considerations'!BB94</f>
        <v>3</v>
      </c>
      <c r="L93" s="234">
        <f>+'Human Considerations'!BF94</f>
        <v>-1</v>
      </c>
      <c r="M93" s="234">
        <f>+'Human Considerations'!BJ94</f>
        <v>1</v>
      </c>
      <c r="N93" s="234">
        <f>+'Human Considerations'!BN94</f>
        <v>-1</v>
      </c>
      <c r="O93" s="234">
        <f>+'Human Considerations'!BR94</f>
        <v>4</v>
      </c>
    </row>
    <row r="94" spans="1:15" ht="13.5" customHeight="1" x14ac:dyDescent="0.2">
      <c r="A94" s="231">
        <f>+'Human Considerations'!A96</f>
        <v>93</v>
      </c>
      <c r="B94" s="232" t="str">
        <f>+'Human Considerations'!B96</f>
        <v>Pond</v>
      </c>
      <c r="C94" s="233">
        <f>+'Human Considerations'!D96</f>
        <v>378</v>
      </c>
      <c r="D94" s="234">
        <f>+'Human Considerations'!Z96</f>
        <v>0</v>
      </c>
      <c r="E94" s="234">
        <f>+'Human Considerations'!AD96</f>
        <v>-5</v>
      </c>
      <c r="F94" s="234">
        <f>+'Human Considerations'!AH96</f>
        <v>-3</v>
      </c>
      <c r="G94" s="234">
        <f>+'Human Considerations'!AL96</f>
        <v>-5</v>
      </c>
      <c r="H94" s="234">
        <f>+'Human Considerations'!AP96</f>
        <v>4</v>
      </c>
      <c r="I94" s="234">
        <f>+'Human Considerations'!AT96</f>
        <v>0</v>
      </c>
      <c r="J94" s="234">
        <f>+'Human Considerations'!AX96</f>
        <v>1</v>
      </c>
      <c r="K94" s="234">
        <f>+'Human Considerations'!BB96</f>
        <v>-1</v>
      </c>
      <c r="L94" s="234">
        <f>+'Human Considerations'!BF96</f>
        <v>-2</v>
      </c>
      <c r="M94" s="234">
        <f>+'Human Considerations'!BJ96</f>
        <v>-1</v>
      </c>
      <c r="N94" s="234">
        <f>+'Human Considerations'!BN96</f>
        <v>-1</v>
      </c>
      <c r="O94" s="234">
        <f>+'Human Considerations'!BR96</f>
        <v>4</v>
      </c>
    </row>
    <row r="95" spans="1:15" ht="13.5" customHeight="1" x14ac:dyDescent="0.2">
      <c r="A95" s="231">
        <f>+'Human Considerations'!A97</f>
        <v>94</v>
      </c>
      <c r="B95" s="232" t="str">
        <f>+'Human Considerations'!B97</f>
        <v>Pond Sealing or Lining, Bentonite Sealant</v>
      </c>
      <c r="C95" s="233" t="str">
        <f>+'Human Considerations'!D97</f>
        <v>521C</v>
      </c>
      <c r="D95" s="234">
        <f>+'Human Considerations'!Z97</f>
        <v>0</v>
      </c>
      <c r="E95" s="234">
        <f>+'Human Considerations'!AD97</f>
        <v>-5</v>
      </c>
      <c r="F95" s="234">
        <f>+'Human Considerations'!AH97</f>
        <v>-3</v>
      </c>
      <c r="G95" s="234">
        <f>+'Human Considerations'!AL97</f>
        <v>-5</v>
      </c>
      <c r="H95" s="234">
        <f>+'Human Considerations'!AP97</f>
        <v>1</v>
      </c>
      <c r="I95" s="234">
        <f>+'Human Considerations'!AT97</f>
        <v>0</v>
      </c>
      <c r="J95" s="234">
        <f>+'Human Considerations'!AX97</f>
        <v>0</v>
      </c>
      <c r="K95" s="234">
        <f>+'Human Considerations'!BB97</f>
        <v>0</v>
      </c>
      <c r="L95" s="234">
        <f>+'Human Considerations'!BF97</f>
        <v>0</v>
      </c>
      <c r="M95" s="234">
        <f>+'Human Considerations'!BJ97</f>
        <v>1</v>
      </c>
      <c r="N95" s="234">
        <f>+'Human Considerations'!BN97</f>
        <v>0</v>
      </c>
      <c r="O95" s="234">
        <f>+'Human Considerations'!BR97</f>
        <v>2</v>
      </c>
    </row>
    <row r="96" spans="1:15" ht="13.5" customHeight="1" x14ac:dyDescent="0.2">
      <c r="A96" s="231">
        <f>+'Human Considerations'!A98</f>
        <v>95</v>
      </c>
      <c r="B96" s="232" t="str">
        <f>+'Human Considerations'!B98</f>
        <v>Pond Sealing or Lining, Compacted Clay Treatment</v>
      </c>
      <c r="C96" s="233" t="str">
        <f>+'Human Considerations'!D98</f>
        <v>521D</v>
      </c>
      <c r="D96" s="234">
        <f>+'Human Considerations'!Z98</f>
        <v>0</v>
      </c>
      <c r="E96" s="234">
        <f>+'Human Considerations'!AD98</f>
        <v>-5</v>
      </c>
      <c r="F96" s="234">
        <f>+'Human Considerations'!AH98</f>
        <v>-3</v>
      </c>
      <c r="G96" s="234">
        <f>+'Human Considerations'!AL98</f>
        <v>-5</v>
      </c>
      <c r="H96" s="234">
        <f>+'Human Considerations'!AP98</f>
        <v>1</v>
      </c>
      <c r="I96" s="234">
        <f>+'Human Considerations'!AT98</f>
        <v>0</v>
      </c>
      <c r="J96" s="234">
        <f>+'Human Considerations'!AX98</f>
        <v>0</v>
      </c>
      <c r="K96" s="234">
        <f>+'Human Considerations'!BB98</f>
        <v>0</v>
      </c>
      <c r="L96" s="234">
        <f>+'Human Considerations'!BF98</f>
        <v>0</v>
      </c>
      <c r="M96" s="234">
        <f>+'Human Considerations'!BJ98</f>
        <v>1</v>
      </c>
      <c r="N96" s="234">
        <f>+'Human Considerations'!BN98</f>
        <v>0</v>
      </c>
      <c r="O96" s="234">
        <f>+'Human Considerations'!BR98</f>
        <v>2</v>
      </c>
    </row>
    <row r="97" spans="1:15" ht="13.5" customHeight="1" x14ac:dyDescent="0.2">
      <c r="A97" s="231">
        <f>+'Human Considerations'!A99</f>
        <v>96</v>
      </c>
      <c r="B97" s="232" t="str">
        <f>+'Human Considerations'!B99</f>
        <v>Pond Sealing or Lining, Flexible Membrane</v>
      </c>
      <c r="C97" s="233" t="str">
        <f>+'Human Considerations'!D99</f>
        <v>521A</v>
      </c>
      <c r="D97" s="234">
        <f>+'Human Considerations'!Z99</f>
        <v>0</v>
      </c>
      <c r="E97" s="234">
        <f>+'Human Considerations'!AD99</f>
        <v>-5</v>
      </c>
      <c r="F97" s="234">
        <f>+'Human Considerations'!AH99</f>
        <v>-3</v>
      </c>
      <c r="G97" s="234">
        <f>+'Human Considerations'!AL99</f>
        <v>-5</v>
      </c>
      <c r="H97" s="234">
        <f>+'Human Considerations'!AP99</f>
        <v>1</v>
      </c>
      <c r="I97" s="234">
        <f>+'Human Considerations'!AT99</f>
        <v>0</v>
      </c>
      <c r="J97" s="234">
        <f>+'Human Considerations'!AX99</f>
        <v>0</v>
      </c>
      <c r="K97" s="234">
        <f>+'Human Considerations'!BB99</f>
        <v>0</v>
      </c>
      <c r="L97" s="234">
        <f>+'Human Considerations'!BF99</f>
        <v>0</v>
      </c>
      <c r="M97" s="234">
        <f>+'Human Considerations'!BJ99</f>
        <v>1</v>
      </c>
      <c r="N97" s="234">
        <f>+'Human Considerations'!BN99</f>
        <v>0</v>
      </c>
      <c r="O97" s="234">
        <f>+'Human Considerations'!BR99</f>
        <v>2</v>
      </c>
    </row>
    <row r="98" spans="1:15" ht="13.5" customHeight="1" x14ac:dyDescent="0.2">
      <c r="A98" s="231">
        <f>+'Human Considerations'!A100</f>
        <v>97</v>
      </c>
      <c r="B98" s="232" t="str">
        <f>+'Human Considerations'!B100</f>
        <v>Pond Sealing or Lining, Soil Dispersant</v>
      </c>
      <c r="C98" s="233" t="str">
        <f>+'Human Considerations'!D100</f>
        <v>521B</v>
      </c>
      <c r="D98" s="234">
        <f>+'Human Considerations'!Z100</f>
        <v>2</v>
      </c>
      <c r="E98" s="234">
        <f>+'Human Considerations'!AD100</f>
        <v>-5</v>
      </c>
      <c r="F98" s="234">
        <f>+'Human Considerations'!AH100</f>
        <v>-2</v>
      </c>
      <c r="G98" s="234">
        <f>+'Human Considerations'!AL100</f>
        <v>-5</v>
      </c>
      <c r="H98" s="234">
        <f>+'Human Considerations'!AP100</f>
        <v>1</v>
      </c>
      <c r="I98" s="234">
        <f>+'Human Considerations'!AT100</f>
        <v>0</v>
      </c>
      <c r="J98" s="234">
        <f>+'Human Considerations'!AX100</f>
        <v>0</v>
      </c>
      <c r="K98" s="234">
        <f>+'Human Considerations'!BB100</f>
        <v>0</v>
      </c>
      <c r="L98" s="234">
        <f>+'Human Considerations'!BF100</f>
        <v>0</v>
      </c>
      <c r="M98" s="234">
        <f>+'Human Considerations'!BJ100</f>
        <v>1</v>
      </c>
      <c r="N98" s="234">
        <f>+'Human Considerations'!BN100</f>
        <v>0</v>
      </c>
      <c r="O98" s="234">
        <f>+'Human Considerations'!BR100</f>
        <v>2</v>
      </c>
    </row>
    <row r="99" spans="1:15" ht="13.5" customHeight="1" x14ac:dyDescent="0.2">
      <c r="A99" s="231">
        <f>+'Human Considerations'!A101</f>
        <v>98</v>
      </c>
      <c r="B99" s="232" t="str">
        <f>+'Human Considerations'!B101</f>
        <v>Precision Land Forming</v>
      </c>
      <c r="C99" s="233">
        <f>+'Human Considerations'!D101</f>
        <v>462</v>
      </c>
      <c r="D99" s="234">
        <f>+'Human Considerations'!Z101</f>
        <v>2</v>
      </c>
      <c r="E99" s="234">
        <f>+'Human Considerations'!AD101</f>
        <v>-2</v>
      </c>
      <c r="F99" s="234">
        <f>+'Human Considerations'!AH101</f>
        <v>0</v>
      </c>
      <c r="G99" s="234">
        <f>+'Human Considerations'!AL101</f>
        <v>-1</v>
      </c>
      <c r="H99" s="234">
        <f>+'Human Considerations'!AP101</f>
        <v>2</v>
      </c>
      <c r="I99" s="234">
        <f>+'Human Considerations'!AT101</f>
        <v>0</v>
      </c>
      <c r="J99" s="234">
        <f>+'Human Considerations'!AX101</f>
        <v>1</v>
      </c>
      <c r="K99" s="234">
        <f>+'Human Considerations'!BB101</f>
        <v>1</v>
      </c>
      <c r="L99" s="234">
        <f>+'Human Considerations'!BF101</f>
        <v>0</v>
      </c>
      <c r="M99" s="234">
        <f>+'Human Considerations'!BJ101</f>
        <v>0</v>
      </c>
      <c r="N99" s="234">
        <f>+'Human Considerations'!BN101</f>
        <v>0</v>
      </c>
      <c r="O99" s="234">
        <f>+'Human Considerations'!BR101</f>
        <v>4</v>
      </c>
    </row>
    <row r="100" spans="1:15" ht="13.5" customHeight="1" x14ac:dyDescent="0.2">
      <c r="A100" s="231">
        <f>+'Human Considerations'!A102</f>
        <v>99</v>
      </c>
      <c r="B100" s="232" t="str">
        <f>+'Human Considerations'!B102</f>
        <v>Prescribed Burning</v>
      </c>
      <c r="C100" s="233">
        <f>+'Human Considerations'!D102</f>
        <v>338</v>
      </c>
      <c r="D100" s="234">
        <f>+'Human Considerations'!Z102</f>
        <v>2</v>
      </c>
      <c r="E100" s="234">
        <f>+'Human Considerations'!AD102</f>
        <v>-3</v>
      </c>
      <c r="F100" s="234">
        <f>+'Human Considerations'!AH102</f>
        <v>0</v>
      </c>
      <c r="G100" s="234">
        <f>+'Human Considerations'!AL102</f>
        <v>0</v>
      </c>
      <c r="H100" s="234">
        <f>+'Human Considerations'!AP102</f>
        <v>2</v>
      </c>
      <c r="I100" s="234">
        <f>+'Human Considerations'!AT102</f>
        <v>-3</v>
      </c>
      <c r="J100" s="234">
        <f>+'Human Considerations'!AX102</f>
        <v>0</v>
      </c>
      <c r="K100" s="234">
        <f>+'Human Considerations'!BB102</f>
        <v>3</v>
      </c>
      <c r="L100" s="234">
        <f>+'Human Considerations'!BF102</f>
        <v>0</v>
      </c>
      <c r="M100" s="234">
        <f>+'Human Considerations'!BJ102</f>
        <v>2</v>
      </c>
      <c r="N100" s="234">
        <f>+'Human Considerations'!BN102</f>
        <v>-2</v>
      </c>
      <c r="O100" s="234">
        <f>+'Human Considerations'!BR102</f>
        <v>2</v>
      </c>
    </row>
    <row r="101" spans="1:15" ht="13.5" customHeight="1" x14ac:dyDescent="0.2">
      <c r="A101" s="231">
        <f>+'Human Considerations'!A103</f>
        <v>100</v>
      </c>
      <c r="B101" s="232" t="str">
        <f>+'Human Considerations'!B103</f>
        <v>Prescribed Grazing</v>
      </c>
      <c r="C101" s="233">
        <f>+'Human Considerations'!D103</f>
        <v>528</v>
      </c>
      <c r="D101" s="234">
        <f>+'Human Considerations'!Z103</f>
        <v>0</v>
      </c>
      <c r="E101" s="234">
        <f>+'Human Considerations'!AD103</f>
        <v>-2</v>
      </c>
      <c r="F101" s="234">
        <f>+'Human Considerations'!AH103</f>
        <v>0</v>
      </c>
      <c r="G101" s="234">
        <f>+'Human Considerations'!AL103</f>
        <v>0</v>
      </c>
      <c r="H101" s="234">
        <f>+'Human Considerations'!AP103</f>
        <v>2</v>
      </c>
      <c r="I101" s="234">
        <f>+'Human Considerations'!AT103</f>
        <v>1</v>
      </c>
      <c r="J101" s="234">
        <f>+'Human Considerations'!AX103</f>
        <v>0</v>
      </c>
      <c r="K101" s="234">
        <f>+'Human Considerations'!BB103</f>
        <v>1</v>
      </c>
      <c r="L101" s="234">
        <f>+'Human Considerations'!BF103</f>
        <v>-1</v>
      </c>
      <c r="M101" s="234">
        <f>+'Human Considerations'!BJ103</f>
        <v>-2</v>
      </c>
      <c r="N101" s="234">
        <f>+'Human Considerations'!BN103</f>
        <v>-2</v>
      </c>
      <c r="O101" s="234">
        <f>+'Human Considerations'!BR103</f>
        <v>2</v>
      </c>
    </row>
    <row r="102" spans="1:15" ht="13.5" customHeight="1" x14ac:dyDescent="0.2">
      <c r="A102" s="231">
        <f>+'Human Considerations'!A104</f>
        <v>101</v>
      </c>
      <c r="B102" s="232" t="str">
        <f>+'Human Considerations'!B104</f>
        <v>Pumping Plant</v>
      </c>
      <c r="C102" s="233">
        <f>+'Human Considerations'!D104</f>
        <v>533</v>
      </c>
      <c r="D102" s="234">
        <f>+'Human Considerations'!Z104</f>
        <v>2</v>
      </c>
      <c r="E102" s="234">
        <f>+'Human Considerations'!AD104</f>
        <v>-5</v>
      </c>
      <c r="F102" s="234">
        <f>+'Human Considerations'!AH104</f>
        <v>-2</v>
      </c>
      <c r="G102" s="234">
        <f>+'Human Considerations'!AL104</f>
        <v>-4</v>
      </c>
      <c r="H102" s="234">
        <f>+'Human Considerations'!AP104</f>
        <v>2</v>
      </c>
      <c r="I102" s="234">
        <f>+'Human Considerations'!AT104</f>
        <v>0</v>
      </c>
      <c r="J102" s="234">
        <f>+'Human Considerations'!AX104</f>
        <v>0</v>
      </c>
      <c r="K102" s="234">
        <f>+'Human Considerations'!BB104</f>
        <v>4</v>
      </c>
      <c r="L102" s="234">
        <f>+'Human Considerations'!BF104</f>
        <v>-5</v>
      </c>
      <c r="M102" s="234">
        <f>+'Human Considerations'!BJ104</f>
        <v>2</v>
      </c>
      <c r="N102" s="234">
        <f>+'Human Considerations'!BN104</f>
        <v>4</v>
      </c>
      <c r="O102" s="234">
        <f>+'Human Considerations'!BR104</f>
        <v>2</v>
      </c>
    </row>
    <row r="103" spans="1:15" ht="13.5" customHeight="1" x14ac:dyDescent="0.2">
      <c r="A103" s="231">
        <f>+'Human Considerations'!A105</f>
        <v>102</v>
      </c>
      <c r="B103" s="232" t="str">
        <f>+'Human Considerations'!B105</f>
        <v>Range Planting</v>
      </c>
      <c r="C103" s="233">
        <f>+'Human Considerations'!D105</f>
        <v>550</v>
      </c>
      <c r="D103" s="234">
        <f>+'Human Considerations'!Z105</f>
        <v>0</v>
      </c>
      <c r="E103" s="234">
        <f>+'Human Considerations'!AD105</f>
        <v>-5</v>
      </c>
      <c r="F103" s="234">
        <f>+'Human Considerations'!AH105</f>
        <v>-1</v>
      </c>
      <c r="G103" s="234">
        <f>+'Human Considerations'!AL105</f>
        <v>0</v>
      </c>
      <c r="H103" s="234">
        <f>+'Human Considerations'!AP105</f>
        <v>5</v>
      </c>
      <c r="I103" s="234">
        <f>+'Human Considerations'!AT105</f>
        <v>-1</v>
      </c>
      <c r="J103" s="234">
        <f>+'Human Considerations'!AX105</f>
        <v>0</v>
      </c>
      <c r="K103" s="234">
        <f>+'Human Considerations'!BB105</f>
        <v>3</v>
      </c>
      <c r="L103" s="234">
        <f>+'Human Considerations'!BF105</f>
        <v>0</v>
      </c>
      <c r="M103" s="234">
        <f>+'Human Considerations'!BJ105</f>
        <v>0</v>
      </c>
      <c r="N103" s="234">
        <f>+'Human Considerations'!BN105</f>
        <v>0</v>
      </c>
      <c r="O103" s="234">
        <f>+'Human Considerations'!BR105</f>
        <v>2</v>
      </c>
    </row>
    <row r="104" spans="1:15" ht="13.5" customHeight="1" x14ac:dyDescent="0.2">
      <c r="A104" s="231">
        <f>+'Human Considerations'!A106</f>
        <v>103</v>
      </c>
      <c r="B104" s="232" t="str">
        <f>+'Human Considerations'!B106</f>
        <v>Recreation Area Improvement</v>
      </c>
      <c r="C104" s="233">
        <f>+'Human Considerations'!D106</f>
        <v>562</v>
      </c>
      <c r="D104" s="234">
        <f>+'Human Considerations'!Z106</f>
        <v>2</v>
      </c>
      <c r="E104" s="234">
        <f>+'Human Considerations'!AD106</f>
        <v>-5</v>
      </c>
      <c r="F104" s="234">
        <f>+'Human Considerations'!AH106</f>
        <v>-5</v>
      </c>
      <c r="G104" s="234">
        <f>+'Human Considerations'!AL106</f>
        <v>-5</v>
      </c>
      <c r="H104" s="234">
        <f>+'Human Considerations'!AP106</f>
        <v>1</v>
      </c>
      <c r="I104" s="234">
        <f>+'Human Considerations'!AT106</f>
        <v>0</v>
      </c>
      <c r="J104" s="234">
        <f>+'Human Considerations'!AX106</f>
        <v>2</v>
      </c>
      <c r="K104" s="234">
        <f>+'Human Considerations'!BB106</f>
        <v>-1</v>
      </c>
      <c r="L104" s="234">
        <f>+'Human Considerations'!BF106</f>
        <v>0</v>
      </c>
      <c r="M104" s="234">
        <f>+'Human Considerations'!BJ106</f>
        <v>0</v>
      </c>
      <c r="N104" s="234">
        <f>+'Human Considerations'!BN106</f>
        <v>-1</v>
      </c>
      <c r="O104" s="234">
        <f>+'Human Considerations'!BR106</f>
        <v>2</v>
      </c>
    </row>
    <row r="105" spans="1:15" ht="13.5" customHeight="1" x14ac:dyDescent="0.2">
      <c r="A105" s="231">
        <f>+'Human Considerations'!A107</f>
        <v>104</v>
      </c>
      <c r="B105" s="232" t="str">
        <f>+'Human Considerations'!B107</f>
        <v>Recreation Land Grading and Shaping</v>
      </c>
      <c r="C105" s="233">
        <f>+'Human Considerations'!D107</f>
        <v>566</v>
      </c>
      <c r="D105" s="234">
        <f>+'Human Considerations'!Z107</f>
        <v>2</v>
      </c>
      <c r="E105" s="234">
        <f>+'Human Considerations'!AD107</f>
        <v>-5</v>
      </c>
      <c r="F105" s="234">
        <f>+'Human Considerations'!AH107</f>
        <v>-1</v>
      </c>
      <c r="G105" s="234">
        <f>+'Human Considerations'!AL107</f>
        <v>-5</v>
      </c>
      <c r="H105" s="234">
        <f>+'Human Considerations'!AP107</f>
        <v>0</v>
      </c>
      <c r="I105" s="234">
        <f>+'Human Considerations'!AT107</f>
        <v>0</v>
      </c>
      <c r="J105" s="234">
        <f>+'Human Considerations'!AX107</f>
        <v>2</v>
      </c>
      <c r="K105" s="234">
        <f>+'Human Considerations'!BB107</f>
        <v>-1</v>
      </c>
      <c r="L105" s="234">
        <f>+'Human Considerations'!BF107</f>
        <v>0</v>
      </c>
      <c r="M105" s="234">
        <f>+'Human Considerations'!BJ107</f>
        <v>0</v>
      </c>
      <c r="N105" s="234">
        <f>+'Human Considerations'!BN107</f>
        <v>0</v>
      </c>
      <c r="O105" s="234">
        <f>+'Human Considerations'!BR107</f>
        <v>2</v>
      </c>
    </row>
    <row r="106" spans="1:15" ht="13.5" customHeight="1" x14ac:dyDescent="0.2">
      <c r="A106" s="231">
        <f>+'Human Considerations'!A108</f>
        <v>105</v>
      </c>
      <c r="B106" s="232" t="str">
        <f>+'Human Considerations'!B108</f>
        <v>Residue and Tillage Management, Mulch Till</v>
      </c>
      <c r="C106" s="233">
        <f>+'Human Considerations'!D108</f>
        <v>345</v>
      </c>
      <c r="D106" s="234">
        <f>+'Human Considerations'!Z108</f>
        <v>0</v>
      </c>
      <c r="E106" s="234">
        <f>+'Human Considerations'!AD108</f>
        <v>-2</v>
      </c>
      <c r="F106" s="234">
        <f>+'Human Considerations'!AH108</f>
        <v>0</v>
      </c>
      <c r="G106" s="234">
        <f>+'Human Considerations'!AL108</f>
        <v>0</v>
      </c>
      <c r="H106" s="234">
        <f>+'Human Considerations'!AP108</f>
        <v>1</v>
      </c>
      <c r="I106" s="234">
        <f>+'Human Considerations'!AT108</f>
        <v>5</v>
      </c>
      <c r="J106" s="234">
        <f>+'Human Considerations'!AX108</f>
        <v>0</v>
      </c>
      <c r="K106" s="234">
        <f>+'Human Considerations'!BB108</f>
        <v>0</v>
      </c>
      <c r="L106" s="234">
        <f>+'Human Considerations'!BF108</f>
        <v>-1</v>
      </c>
      <c r="M106" s="234">
        <f>+'Human Considerations'!BJ108</f>
        <v>1</v>
      </c>
      <c r="N106" s="234">
        <f>+'Human Considerations'!BN108</f>
        <v>-1</v>
      </c>
      <c r="O106" s="234">
        <f>+'Human Considerations'!BR108</f>
        <v>-1</v>
      </c>
    </row>
    <row r="107" spans="1:15" ht="13.5" customHeight="1" x14ac:dyDescent="0.2">
      <c r="A107" s="231">
        <f>+'Human Considerations'!A109</f>
        <v>106</v>
      </c>
      <c r="B107" s="232" t="str">
        <f>+'Human Considerations'!B109</f>
        <v>Residue and Tillage Management, No Till/Strip Till/Direct Seed</v>
      </c>
      <c r="C107" s="233">
        <f>+'Human Considerations'!D109</f>
        <v>329</v>
      </c>
      <c r="D107" s="234">
        <f>+'Human Considerations'!Z109</f>
        <v>0</v>
      </c>
      <c r="E107" s="234">
        <f>+'Human Considerations'!AD109</f>
        <v>-2</v>
      </c>
      <c r="F107" s="234">
        <f>+'Human Considerations'!AH109</f>
        <v>0</v>
      </c>
      <c r="G107" s="234">
        <f>+'Human Considerations'!AL109</f>
        <v>0</v>
      </c>
      <c r="H107" s="234">
        <f>+'Human Considerations'!AP109</f>
        <v>1</v>
      </c>
      <c r="I107" s="234">
        <f>+'Human Considerations'!AT109</f>
        <v>5</v>
      </c>
      <c r="J107" s="234">
        <f>+'Human Considerations'!AX109</f>
        <v>0</v>
      </c>
      <c r="K107" s="234">
        <f>+'Human Considerations'!BB109</f>
        <v>0</v>
      </c>
      <c r="L107" s="234">
        <f>+'Human Considerations'!BF109</f>
        <v>-1</v>
      </c>
      <c r="M107" s="234">
        <f>+'Human Considerations'!BJ109</f>
        <v>2</v>
      </c>
      <c r="N107" s="234">
        <f>+'Human Considerations'!BN109</f>
        <v>-1</v>
      </c>
      <c r="O107" s="234">
        <f>+'Human Considerations'!BR109</f>
        <v>-1</v>
      </c>
    </row>
    <row r="108" spans="1:15" ht="13.5" customHeight="1" x14ac:dyDescent="0.2">
      <c r="A108" s="231">
        <f>+'Human Considerations'!A110</f>
        <v>107</v>
      </c>
      <c r="B108" s="232" t="str">
        <f>+'Human Considerations'!B110</f>
        <v>Residue and Tillage Management, Ridge Till</v>
      </c>
      <c r="C108" s="233">
        <f>+'Human Considerations'!D110</f>
        <v>346</v>
      </c>
      <c r="D108" s="234">
        <f>+'Human Considerations'!Z110</f>
        <v>0</v>
      </c>
      <c r="E108" s="234">
        <f>+'Human Considerations'!AD110</f>
        <v>-2</v>
      </c>
      <c r="F108" s="234">
        <f>+'Human Considerations'!AH110</f>
        <v>0</v>
      </c>
      <c r="G108" s="234">
        <f>+'Human Considerations'!AL110</f>
        <v>0</v>
      </c>
      <c r="H108" s="234">
        <f>+'Human Considerations'!AP110</f>
        <v>1</v>
      </c>
      <c r="I108" s="234">
        <f>+'Human Considerations'!AT110</f>
        <v>0</v>
      </c>
      <c r="J108" s="234">
        <f>+'Human Considerations'!AX110</f>
        <v>0</v>
      </c>
      <c r="K108" s="234">
        <f>+'Human Considerations'!BB110</f>
        <v>0</v>
      </c>
      <c r="L108" s="234">
        <f>+'Human Considerations'!BF110</f>
        <v>-1</v>
      </c>
      <c r="M108" s="234">
        <f>+'Human Considerations'!BJ110</f>
        <v>1</v>
      </c>
      <c r="N108" s="234">
        <f>+'Human Considerations'!BN110</f>
        <v>-1</v>
      </c>
      <c r="O108" s="234">
        <f>+'Human Considerations'!BR110</f>
        <v>-1</v>
      </c>
    </row>
    <row r="109" spans="1:15" ht="13.5" customHeight="1" x14ac:dyDescent="0.2">
      <c r="A109" s="231">
        <f>+'Human Considerations'!A111</f>
        <v>108</v>
      </c>
      <c r="B109" s="232" t="str">
        <f>+'Human Considerations'!B111</f>
        <v>Residue Management, Seasonal</v>
      </c>
      <c r="C109" s="233">
        <f>+'Human Considerations'!D111</f>
        <v>344</v>
      </c>
      <c r="D109" s="234">
        <f>+'Human Considerations'!Z111</f>
        <v>0</v>
      </c>
      <c r="E109" s="234">
        <f>+'Human Considerations'!AD111</f>
        <v>-1</v>
      </c>
      <c r="F109" s="234">
        <f>+'Human Considerations'!AH111</f>
        <v>0</v>
      </c>
      <c r="G109" s="234">
        <f>+'Human Considerations'!AL111</f>
        <v>0</v>
      </c>
      <c r="H109" s="234">
        <f>+'Human Considerations'!AP111</f>
        <v>1</v>
      </c>
      <c r="I109" s="234">
        <f>+'Human Considerations'!AT111</f>
        <v>0</v>
      </c>
      <c r="J109" s="234">
        <f>+'Human Considerations'!AX111</f>
        <v>0</v>
      </c>
      <c r="K109" s="234">
        <f>+'Human Considerations'!BB111</f>
        <v>0</v>
      </c>
      <c r="L109" s="234">
        <f>+'Human Considerations'!BF111</f>
        <v>-1</v>
      </c>
      <c r="M109" s="234">
        <f>+'Human Considerations'!BJ111</f>
        <v>1</v>
      </c>
      <c r="N109" s="234">
        <f>+'Human Considerations'!BN111</f>
        <v>-1</v>
      </c>
      <c r="O109" s="234">
        <f>+'Human Considerations'!BR111</f>
        <v>-1</v>
      </c>
    </row>
    <row r="110" spans="1:15" ht="13.5" customHeight="1" x14ac:dyDescent="0.2">
      <c r="A110" s="231">
        <f>+'Human Considerations'!A112</f>
        <v>109</v>
      </c>
      <c r="B110" s="232" t="str">
        <f>+'Human Considerations'!B112</f>
        <v>Restoration and Management of Rare or Declining Habitats</v>
      </c>
      <c r="C110" s="233">
        <f>+'Human Considerations'!D112</f>
        <v>643</v>
      </c>
      <c r="D110" s="234">
        <f>+'Human Considerations'!Z112</f>
        <v>0</v>
      </c>
      <c r="E110" s="234">
        <f>+'Human Considerations'!AD112</f>
        <v>-5</v>
      </c>
      <c r="F110" s="234">
        <f>+'Human Considerations'!AH112</f>
        <v>-1</v>
      </c>
      <c r="G110" s="234">
        <f>+'Human Considerations'!AL112</f>
        <v>-3</v>
      </c>
      <c r="H110" s="234">
        <f>+'Human Considerations'!AP112</f>
        <v>0</v>
      </c>
      <c r="I110" s="234">
        <f>+'Human Considerations'!AT112</f>
        <v>0</v>
      </c>
      <c r="J110" s="234">
        <f>+'Human Considerations'!AX112</f>
        <v>3</v>
      </c>
      <c r="K110" s="234">
        <f>+'Human Considerations'!BB112</f>
        <v>-5</v>
      </c>
      <c r="L110" s="234">
        <f>+'Human Considerations'!BF112</f>
        <v>0</v>
      </c>
      <c r="M110" s="234">
        <f>+'Human Considerations'!BJ112</f>
        <v>-2</v>
      </c>
      <c r="N110" s="234">
        <f>+'Human Considerations'!BN112</f>
        <v>-2</v>
      </c>
      <c r="O110" s="234">
        <f>+'Human Considerations'!BR112</f>
        <v>2</v>
      </c>
    </row>
    <row r="111" spans="1:15" ht="13.5" customHeight="1" x14ac:dyDescent="0.2">
      <c r="A111" s="231">
        <f>+'Human Considerations'!A113</f>
        <v>110</v>
      </c>
      <c r="B111" s="232" t="str">
        <f>+'Human Considerations'!B113</f>
        <v>Riparian Forest Buffer</v>
      </c>
      <c r="C111" s="233">
        <f>+'Human Considerations'!D113</f>
        <v>391</v>
      </c>
      <c r="D111" s="234">
        <f>+'Human Considerations'!Z113</f>
        <v>-2</v>
      </c>
      <c r="E111" s="234">
        <f>+'Human Considerations'!AD113</f>
        <v>-4</v>
      </c>
      <c r="F111" s="234">
        <f>+'Human Considerations'!AH113</f>
        <v>-1</v>
      </c>
      <c r="G111" s="234">
        <f>+'Human Considerations'!AL113</f>
        <v>-2</v>
      </c>
      <c r="H111" s="234">
        <f>+'Human Considerations'!AP113</f>
        <v>0</v>
      </c>
      <c r="I111" s="234">
        <f>+'Human Considerations'!AT113</f>
        <v>0</v>
      </c>
      <c r="J111" s="234">
        <f>+'Human Considerations'!AX113</f>
        <v>2</v>
      </c>
      <c r="K111" s="234">
        <f>+'Human Considerations'!BB113</f>
        <v>-2</v>
      </c>
      <c r="L111" s="234">
        <f>+'Human Considerations'!BF113</f>
        <v>0</v>
      </c>
      <c r="M111" s="234">
        <f>+'Human Considerations'!BJ113</f>
        <v>-1</v>
      </c>
      <c r="N111" s="234">
        <f>+'Human Considerations'!BN113</f>
        <v>-1</v>
      </c>
      <c r="O111" s="234">
        <f>+'Human Considerations'!BR113</f>
        <v>-1</v>
      </c>
    </row>
    <row r="112" spans="1:15" ht="13.5" customHeight="1" x14ac:dyDescent="0.2">
      <c r="A112" s="231">
        <f>+'Human Considerations'!A114</f>
        <v>111</v>
      </c>
      <c r="B112" s="232" t="str">
        <f>+'Human Considerations'!B114</f>
        <v>Riparian Herbaceous Cover</v>
      </c>
      <c r="C112" s="233">
        <f>+'Human Considerations'!D114</f>
        <v>390</v>
      </c>
      <c r="D112" s="234">
        <f>+'Human Considerations'!Z114</f>
        <v>0</v>
      </c>
      <c r="E112" s="234">
        <f>+'Human Considerations'!AD114</f>
        <v>-3</v>
      </c>
      <c r="F112" s="234">
        <f>+'Human Considerations'!AH114</f>
        <v>-1</v>
      </c>
      <c r="G112" s="234">
        <f>+'Human Considerations'!AL114</f>
        <v>-3</v>
      </c>
      <c r="H112" s="234">
        <f>+'Human Considerations'!AP114</f>
        <v>0</v>
      </c>
      <c r="I112" s="234">
        <f>+'Human Considerations'!AT114</f>
        <v>0</v>
      </c>
      <c r="J112" s="234">
        <f>+'Human Considerations'!AX114</f>
        <v>2</v>
      </c>
      <c r="K112" s="234">
        <f>+'Human Considerations'!BB114</f>
        <v>-2</v>
      </c>
      <c r="L112" s="234">
        <f>+'Human Considerations'!BF114</f>
        <v>0</v>
      </c>
      <c r="M112" s="234">
        <f>+'Human Considerations'!BJ114</f>
        <v>-1</v>
      </c>
      <c r="N112" s="234">
        <f>+'Human Considerations'!BN114</f>
        <v>-1</v>
      </c>
      <c r="O112" s="234">
        <f>+'Human Considerations'!BR114</f>
        <v>-1</v>
      </c>
    </row>
    <row r="113" spans="1:15" ht="13.5" customHeight="1" x14ac:dyDescent="0.2">
      <c r="A113" s="231">
        <f>+'Human Considerations'!A115</f>
        <v>112</v>
      </c>
      <c r="B113" s="232" t="str">
        <f>+'Human Considerations'!B115</f>
        <v>Road/Trail/Landing Closure and Treatment</v>
      </c>
      <c r="C113" s="233">
        <f>+'Human Considerations'!D115</f>
        <v>654</v>
      </c>
      <c r="D113" s="234">
        <f>+'Human Considerations'!Z115</f>
        <v>0</v>
      </c>
      <c r="E113" s="234">
        <f>+'Human Considerations'!AD115</f>
        <v>-1</v>
      </c>
      <c r="F113" s="234">
        <f>+'Human Considerations'!AH115</f>
        <v>-1</v>
      </c>
      <c r="G113" s="234">
        <f>+'Human Considerations'!AL115</f>
        <v>-1</v>
      </c>
      <c r="H113" s="234">
        <f>+'Human Considerations'!AP115</f>
        <v>0</v>
      </c>
      <c r="I113" s="234">
        <f>+'Human Considerations'!AT115</f>
        <v>0</v>
      </c>
      <c r="J113" s="234">
        <f>+'Human Considerations'!AX115</f>
        <v>1</v>
      </c>
      <c r="K113" s="234">
        <f>+'Human Considerations'!BB115</f>
        <v>-3</v>
      </c>
      <c r="L113" s="234">
        <f>+'Human Considerations'!BF115</f>
        <v>0</v>
      </c>
      <c r="M113" s="234">
        <f>+'Human Considerations'!BJ115</f>
        <v>1</v>
      </c>
      <c r="N113" s="234">
        <f>+'Human Considerations'!BN115</f>
        <v>0</v>
      </c>
      <c r="O113" s="234">
        <f>+'Human Considerations'!BR115</f>
        <v>-3</v>
      </c>
    </row>
    <row r="114" spans="1:15" ht="13.5" customHeight="1" x14ac:dyDescent="0.2">
      <c r="A114" s="231">
        <f>+'Human Considerations'!A116</f>
        <v>113</v>
      </c>
      <c r="B114" s="232" t="str">
        <f>+'Human Considerations'!B116</f>
        <v>Rock Barrier</v>
      </c>
      <c r="C114" s="233">
        <f>+'Human Considerations'!D116</f>
        <v>555</v>
      </c>
      <c r="D114" s="234">
        <f>+'Human Considerations'!Z116</f>
        <v>2</v>
      </c>
      <c r="E114" s="234">
        <f>+'Human Considerations'!AD116</f>
        <v>-2</v>
      </c>
      <c r="F114" s="234">
        <f>+'Human Considerations'!AH116</f>
        <v>-2</v>
      </c>
      <c r="G114" s="234">
        <f>+'Human Considerations'!AL116</f>
        <v>-3</v>
      </c>
      <c r="H114" s="234">
        <f>+'Human Considerations'!AP116</f>
        <v>0</v>
      </c>
      <c r="I114" s="234">
        <f>+'Human Considerations'!AT116</f>
        <v>0</v>
      </c>
      <c r="J114" s="234">
        <f>+'Human Considerations'!AX116</f>
        <v>1</v>
      </c>
      <c r="K114" s="234">
        <f>+'Human Considerations'!BB116</f>
        <v>-1</v>
      </c>
      <c r="L114" s="234">
        <f>+'Human Considerations'!BF116</f>
        <v>0</v>
      </c>
      <c r="M114" s="234">
        <f>+'Human Considerations'!BJ116</f>
        <v>1</v>
      </c>
      <c r="N114" s="234">
        <f>+'Human Considerations'!BN116</f>
        <v>0</v>
      </c>
      <c r="O114" s="234">
        <f>+'Human Considerations'!BR116</f>
        <v>2</v>
      </c>
    </row>
    <row r="115" spans="1:15" ht="13.5" customHeight="1" x14ac:dyDescent="0.2">
      <c r="A115" s="231">
        <f>+'Human Considerations'!A117</f>
        <v>114</v>
      </c>
      <c r="B115" s="232" t="str">
        <f>+'Human Considerations'!B117</f>
        <v>Roof Runoff Structure</v>
      </c>
      <c r="C115" s="233">
        <f>+'Human Considerations'!D117</f>
        <v>558</v>
      </c>
      <c r="D115" s="234">
        <f>+'Human Considerations'!Z117</f>
        <v>0</v>
      </c>
      <c r="E115" s="234">
        <f>+'Human Considerations'!AD117</f>
        <v>-5</v>
      </c>
      <c r="F115" s="234">
        <f>+'Human Considerations'!AH117</f>
        <v>-1</v>
      </c>
      <c r="G115" s="234">
        <f>+'Human Considerations'!AL117</f>
        <v>-5</v>
      </c>
      <c r="H115" s="234">
        <f>+'Human Considerations'!AP117</f>
        <v>0</v>
      </c>
      <c r="I115" s="234">
        <f>+'Human Considerations'!AT117</f>
        <v>0</v>
      </c>
      <c r="J115" s="234">
        <f>+'Human Considerations'!AX117</f>
        <v>0</v>
      </c>
      <c r="K115" s="234">
        <f>+'Human Considerations'!BB117</f>
        <v>0</v>
      </c>
      <c r="L115" s="234">
        <f>+'Human Considerations'!BF117</f>
        <v>0</v>
      </c>
      <c r="M115" s="234">
        <f>+'Human Considerations'!BJ117</f>
        <v>-1</v>
      </c>
      <c r="N115" s="234">
        <f>+'Human Considerations'!BN117</f>
        <v>-1</v>
      </c>
      <c r="O115" s="234">
        <f>+'Human Considerations'!BR117</f>
        <v>2</v>
      </c>
    </row>
    <row r="116" spans="1:15" ht="13.5" customHeight="1" x14ac:dyDescent="0.2">
      <c r="A116" s="231">
        <f>+'Human Considerations'!A118</f>
        <v>115</v>
      </c>
      <c r="B116" s="232" t="str">
        <f>+'Human Considerations'!B118</f>
        <v>Roofs and Covers</v>
      </c>
      <c r="C116" s="233">
        <f>+'Human Considerations'!D118</f>
        <v>367</v>
      </c>
      <c r="D116" s="234">
        <f>+'Human Considerations'!Z118</f>
        <v>2</v>
      </c>
      <c r="E116" s="234">
        <f>+'Human Considerations'!AD118</f>
        <v>-5</v>
      </c>
      <c r="F116" s="234">
        <f>+'Human Considerations'!AH118</f>
        <v>-1</v>
      </c>
      <c r="G116" s="234">
        <f>+'Human Considerations'!AL118</f>
        <v>-5</v>
      </c>
      <c r="H116" s="234">
        <f>+'Human Considerations'!AP118</f>
        <v>0</v>
      </c>
      <c r="I116" s="234">
        <f>+'Human Considerations'!AT118</f>
        <v>0</v>
      </c>
      <c r="J116" s="234">
        <f>+'Human Considerations'!AX118</f>
        <v>0</v>
      </c>
      <c r="K116" s="234">
        <f>+'Human Considerations'!BB118</f>
        <v>0</v>
      </c>
      <c r="L116" s="234">
        <f>+'Human Considerations'!BF118</f>
        <v>0</v>
      </c>
      <c r="M116" s="234">
        <f>+'Human Considerations'!BJ118</f>
        <v>-1</v>
      </c>
      <c r="N116" s="234">
        <f>+'Human Considerations'!BN118</f>
        <v>-1</v>
      </c>
      <c r="O116" s="234">
        <f>+'Human Considerations'!BR118</f>
        <v>2</v>
      </c>
    </row>
    <row r="117" spans="1:15" ht="13.5" customHeight="1" x14ac:dyDescent="0.2">
      <c r="A117" s="231">
        <f>+'Human Considerations'!A119</f>
        <v>116</v>
      </c>
      <c r="B117" s="232" t="str">
        <f>+'Human Considerations'!B119</f>
        <v>Row Arrangement</v>
      </c>
      <c r="C117" s="233">
        <f>+'Human Considerations'!D119</f>
        <v>557</v>
      </c>
      <c r="D117" s="234">
        <f>+'Human Considerations'!Z119</f>
        <v>0</v>
      </c>
      <c r="E117" s="234">
        <f>+'Human Considerations'!AD119</f>
        <v>-1</v>
      </c>
      <c r="F117" s="234">
        <f>+'Human Considerations'!AH119</f>
        <v>0</v>
      </c>
      <c r="G117" s="234">
        <f>+'Human Considerations'!AL119</f>
        <v>0</v>
      </c>
      <c r="H117" s="234">
        <f>+'Human Considerations'!AP119</f>
        <v>1</v>
      </c>
      <c r="I117" s="234">
        <f>+'Human Considerations'!AT119</f>
        <v>2</v>
      </c>
      <c r="J117" s="234">
        <f>+'Human Considerations'!AX119</f>
        <v>0</v>
      </c>
      <c r="K117" s="234">
        <f>+'Human Considerations'!BB119</f>
        <v>0</v>
      </c>
      <c r="L117" s="234">
        <f>+'Human Considerations'!BF119</f>
        <v>0</v>
      </c>
      <c r="M117" s="234">
        <f>+'Human Considerations'!BJ119</f>
        <v>-1</v>
      </c>
      <c r="N117" s="234">
        <f>+'Human Considerations'!BN119</f>
        <v>-1</v>
      </c>
      <c r="O117" s="234">
        <f>+'Human Considerations'!BR119</f>
        <v>-1</v>
      </c>
    </row>
    <row r="118" spans="1:15" ht="13.5" customHeight="1" x14ac:dyDescent="0.2">
      <c r="A118" s="231">
        <f>+'Human Considerations'!A120</f>
        <v>117</v>
      </c>
      <c r="B118" s="232" t="str">
        <f>+'Human Considerations'!B120</f>
        <v>Salinity and Sodic Soil Management</v>
      </c>
      <c r="C118" s="233">
        <f>+'Human Considerations'!D120</f>
        <v>610</v>
      </c>
      <c r="D118" s="234">
        <f>+'Human Considerations'!Z120</f>
        <v>0</v>
      </c>
      <c r="E118" s="234">
        <f>+'Human Considerations'!AD120</f>
        <v>-2</v>
      </c>
      <c r="F118" s="234">
        <f>+'Human Considerations'!AH120</f>
        <v>-5</v>
      </c>
      <c r="G118" s="234">
        <f>+'Human Considerations'!AL120</f>
        <v>5</v>
      </c>
      <c r="H118" s="234">
        <f>+'Human Considerations'!AP120</f>
        <v>4</v>
      </c>
      <c r="I118" s="234">
        <f>+'Human Considerations'!AT120</f>
        <v>5</v>
      </c>
      <c r="J118" s="234">
        <f>+'Human Considerations'!AX120</f>
        <v>2</v>
      </c>
      <c r="K118" s="234">
        <f>+'Human Considerations'!BB120</f>
        <v>3</v>
      </c>
      <c r="L118" s="234">
        <f>+'Human Considerations'!BF120</f>
        <v>-1</v>
      </c>
      <c r="M118" s="234">
        <f>+'Human Considerations'!BJ120</f>
        <v>-1</v>
      </c>
      <c r="N118" s="234">
        <f>+'Human Considerations'!BN120</f>
        <v>-2</v>
      </c>
      <c r="O118" s="234">
        <f>+'Human Considerations'!BR120</f>
        <v>4</v>
      </c>
    </row>
    <row r="119" spans="1:15" ht="13.5" customHeight="1" x14ac:dyDescent="0.2">
      <c r="A119" s="231">
        <f>+'Human Considerations'!A121</f>
        <v>118</v>
      </c>
      <c r="B119" s="232" t="str">
        <f>+'Human Considerations'!B121</f>
        <v>Seasonal Tunnel System for Crops</v>
      </c>
      <c r="C119" s="233">
        <f>+'Human Considerations'!D121</f>
        <v>798</v>
      </c>
      <c r="D119" s="234">
        <f>+'Human Considerations'!Z121</f>
        <v>0</v>
      </c>
      <c r="E119" s="234">
        <f>+'Human Considerations'!AD121</f>
        <v>-5</v>
      </c>
      <c r="F119" s="234">
        <f>+'Human Considerations'!AH121</f>
        <v>-5</v>
      </c>
      <c r="G119" s="234">
        <f>+'Human Considerations'!AL121</f>
        <v>0</v>
      </c>
      <c r="H119" s="234">
        <f>+'Human Considerations'!AP121</f>
        <v>5</v>
      </c>
      <c r="I119" s="234">
        <f>+'Human Considerations'!AT121</f>
        <v>0</v>
      </c>
      <c r="J119" s="234">
        <f>+'Human Considerations'!AX121</f>
        <v>1</v>
      </c>
      <c r="K119" s="234">
        <f>+'Human Considerations'!BB121</f>
        <v>1</v>
      </c>
      <c r="L119" s="234">
        <f>+'Human Considerations'!BF121</f>
        <v>-5</v>
      </c>
      <c r="M119" s="234">
        <f>+'Human Considerations'!BJ121</f>
        <v>-2</v>
      </c>
      <c r="N119" s="234">
        <f>+'Human Considerations'!BN121</f>
        <v>-2</v>
      </c>
      <c r="O119" s="234">
        <f>+'Human Considerations'!BR121</f>
        <v>2</v>
      </c>
    </row>
    <row r="120" spans="1:15" ht="13.5" customHeight="1" x14ac:dyDescent="0.2">
      <c r="A120" s="231">
        <f>+'Human Considerations'!A122</f>
        <v>119</v>
      </c>
      <c r="B120" s="232" t="str">
        <f>+'Human Considerations'!B122</f>
        <v>Sediment Basin</v>
      </c>
      <c r="C120" s="233">
        <f>+'Human Considerations'!D122</f>
        <v>350</v>
      </c>
      <c r="D120" s="234">
        <f>+'Human Considerations'!Z122</f>
        <v>4</v>
      </c>
      <c r="E120" s="234">
        <f>+'Human Considerations'!AD122</f>
        <v>-5</v>
      </c>
      <c r="F120" s="234">
        <f>+'Human Considerations'!AH122</f>
        <v>-3</v>
      </c>
      <c r="G120" s="234">
        <f>+'Human Considerations'!AL122</f>
        <v>-5</v>
      </c>
      <c r="H120" s="234">
        <f>+'Human Considerations'!AP122</f>
        <v>0</v>
      </c>
      <c r="I120" s="234">
        <f>+'Human Considerations'!AT122</f>
        <v>0</v>
      </c>
      <c r="J120" s="234">
        <f>+'Human Considerations'!AX122</f>
        <v>1</v>
      </c>
      <c r="K120" s="234">
        <f>+'Human Considerations'!BB122</f>
        <v>-1</v>
      </c>
      <c r="L120" s="234">
        <f>+'Human Considerations'!BF122</f>
        <v>-1</v>
      </c>
      <c r="M120" s="234">
        <f>+'Human Considerations'!BJ122</f>
        <v>-2</v>
      </c>
      <c r="N120" s="234">
        <f>+'Human Considerations'!BN122</f>
        <v>-2</v>
      </c>
      <c r="O120" s="234">
        <f>+'Human Considerations'!BR122</f>
        <v>2</v>
      </c>
    </row>
    <row r="121" spans="1:15" ht="13.5" customHeight="1" x14ac:dyDescent="0.2">
      <c r="A121" s="231">
        <f>+'Human Considerations'!A123</f>
        <v>120</v>
      </c>
      <c r="B121" s="232" t="str">
        <f>+'Human Considerations'!B123</f>
        <v>Shallow Water Development and Management</v>
      </c>
      <c r="C121" s="233">
        <f>+'Human Considerations'!D123</f>
        <v>646</v>
      </c>
      <c r="D121" s="234">
        <f>+'Human Considerations'!Z123</f>
        <v>2</v>
      </c>
      <c r="E121" s="234">
        <f>+'Human Considerations'!AD123</f>
        <v>-4</v>
      </c>
      <c r="F121" s="234">
        <f>+'Human Considerations'!AH123</f>
        <v>0</v>
      </c>
      <c r="G121" s="234">
        <f>+'Human Considerations'!AL123</f>
        <v>-4</v>
      </c>
      <c r="H121" s="234">
        <f>+'Human Considerations'!AP123</f>
        <v>0</v>
      </c>
      <c r="I121" s="234">
        <f>+'Human Considerations'!AT123</f>
        <v>0</v>
      </c>
      <c r="J121" s="234">
        <f>+'Human Considerations'!AX123</f>
        <v>3</v>
      </c>
      <c r="K121" s="234">
        <f>+'Human Considerations'!BB123</f>
        <v>-3</v>
      </c>
      <c r="L121" s="234">
        <f>+'Human Considerations'!BF123</f>
        <v>-1</v>
      </c>
      <c r="M121" s="234">
        <f>+'Human Considerations'!BJ123</f>
        <v>-1</v>
      </c>
      <c r="N121" s="234">
        <f>+'Human Considerations'!BN123</f>
        <v>-1</v>
      </c>
      <c r="O121" s="234">
        <f>+'Human Considerations'!BR123</f>
        <v>2</v>
      </c>
    </row>
    <row r="122" spans="1:15" ht="13.5" customHeight="1" x14ac:dyDescent="0.2">
      <c r="A122" s="231">
        <f>+'Human Considerations'!A124</f>
        <v>121</v>
      </c>
      <c r="B122" s="232" t="str">
        <f>+'Human Considerations'!B124</f>
        <v>Silvopasture Establishment</v>
      </c>
      <c r="C122" s="233">
        <f>+'Human Considerations'!D124</f>
        <v>381</v>
      </c>
      <c r="D122" s="234">
        <f>+'Human Considerations'!Z124</f>
        <v>2</v>
      </c>
      <c r="E122" s="234">
        <f>+'Human Considerations'!AD124</f>
        <v>-4</v>
      </c>
      <c r="F122" s="234">
        <f>+'Human Considerations'!AH124</f>
        <v>-3</v>
      </c>
      <c r="G122" s="234">
        <f>+'Human Considerations'!AL124</f>
        <v>-1</v>
      </c>
      <c r="H122" s="234">
        <f>+'Human Considerations'!AP124</f>
        <v>2</v>
      </c>
      <c r="I122" s="234">
        <f>+'Human Considerations'!AT124</f>
        <v>0</v>
      </c>
      <c r="J122" s="234">
        <f>+'Human Considerations'!AX124</f>
        <v>3</v>
      </c>
      <c r="K122" s="234">
        <f>+'Human Considerations'!BB124</f>
        <v>-3</v>
      </c>
      <c r="L122" s="234">
        <f>+'Human Considerations'!BF124</f>
        <v>0</v>
      </c>
      <c r="M122" s="234">
        <f>+'Human Considerations'!BJ124</f>
        <v>-1</v>
      </c>
      <c r="N122" s="234">
        <f>+'Human Considerations'!BN124</f>
        <v>0</v>
      </c>
      <c r="O122" s="234">
        <f>+'Human Considerations'!BR124</f>
        <v>2</v>
      </c>
    </row>
    <row r="123" spans="1:15" ht="13.5" customHeight="1" x14ac:dyDescent="0.2">
      <c r="A123" s="231">
        <f>+'Human Considerations'!A125</f>
        <v>122</v>
      </c>
      <c r="B123" s="232" t="str">
        <f>+'Human Considerations'!B125</f>
        <v>Solid/Liquid Waste Separation Facility</v>
      </c>
      <c r="C123" s="233">
        <f>+'Human Considerations'!D125</f>
        <v>632</v>
      </c>
      <c r="D123" s="234">
        <f>+'Human Considerations'!Z125</f>
        <v>2</v>
      </c>
      <c r="E123" s="234">
        <f>+'Human Considerations'!AD125</f>
        <v>-5</v>
      </c>
      <c r="F123" s="234">
        <f>+'Human Considerations'!AH125</f>
        <v>-3</v>
      </c>
      <c r="G123" s="234">
        <f>+'Human Considerations'!AL125</f>
        <v>0</v>
      </c>
      <c r="H123" s="234">
        <f>+'Human Considerations'!AP125</f>
        <v>0</v>
      </c>
      <c r="I123" s="234">
        <f>+'Human Considerations'!AT125</f>
        <v>0</v>
      </c>
      <c r="J123" s="234">
        <f>+'Human Considerations'!AX125</f>
        <v>1</v>
      </c>
      <c r="K123" s="234">
        <f>+'Human Considerations'!BB125</f>
        <v>-1</v>
      </c>
      <c r="L123" s="234">
        <f>+'Human Considerations'!BF125</f>
        <v>-5</v>
      </c>
      <c r="M123" s="234">
        <f>+'Human Considerations'!BJ125</f>
        <v>-2</v>
      </c>
      <c r="N123" s="234">
        <f>+'Human Considerations'!BN125</f>
        <v>-2</v>
      </c>
      <c r="O123" s="234">
        <f>+'Human Considerations'!BR125</f>
        <v>2</v>
      </c>
    </row>
    <row r="124" spans="1:15" ht="13.5" customHeight="1" x14ac:dyDescent="0.2">
      <c r="A124" s="231">
        <f>+'Human Considerations'!A126</f>
        <v>123</v>
      </c>
      <c r="B124" s="232" t="str">
        <f>+'Human Considerations'!B126</f>
        <v>Spoil Spreading</v>
      </c>
      <c r="C124" s="233">
        <f>+'Human Considerations'!D126</f>
        <v>572</v>
      </c>
      <c r="D124" s="234">
        <f>+'Human Considerations'!Z126</f>
        <v>0</v>
      </c>
      <c r="E124" s="234">
        <f>+'Human Considerations'!AD126</f>
        <v>-2</v>
      </c>
      <c r="F124" s="234">
        <f>+'Human Considerations'!AH126</f>
        <v>0</v>
      </c>
      <c r="G124" s="234">
        <f>+'Human Considerations'!AL126</f>
        <v>-5</v>
      </c>
      <c r="H124" s="234">
        <f>+'Human Considerations'!AP126</f>
        <v>0</v>
      </c>
      <c r="I124" s="234">
        <f>+'Human Considerations'!AT126</f>
        <v>0</v>
      </c>
      <c r="J124" s="234">
        <f>+'Human Considerations'!AX126</f>
        <v>1</v>
      </c>
      <c r="K124" s="234">
        <f>+'Human Considerations'!BB126</f>
        <v>-1</v>
      </c>
      <c r="L124" s="234">
        <f>+'Human Considerations'!BF126</f>
        <v>-1</v>
      </c>
      <c r="M124" s="234">
        <f>+'Human Considerations'!BJ126</f>
        <v>-1</v>
      </c>
      <c r="N124" s="234">
        <f>+'Human Considerations'!BN126</f>
        <v>0</v>
      </c>
      <c r="O124" s="234">
        <f>+'Human Considerations'!BR126</f>
        <v>-1</v>
      </c>
    </row>
    <row r="125" spans="1:15" ht="13.5" customHeight="1" x14ac:dyDescent="0.2">
      <c r="A125" s="231">
        <f>+'Human Considerations'!A127</f>
        <v>124</v>
      </c>
      <c r="B125" s="232" t="str">
        <f>+'Human Considerations'!B127</f>
        <v>Spring Development</v>
      </c>
      <c r="C125" s="233">
        <f>+'Human Considerations'!D127</f>
        <v>574</v>
      </c>
      <c r="D125" s="234">
        <f>+'Human Considerations'!Z127</f>
        <v>2</v>
      </c>
      <c r="E125" s="234">
        <f>+'Human Considerations'!AD127</f>
        <v>-5</v>
      </c>
      <c r="F125" s="234">
        <f>+'Human Considerations'!AH127</f>
        <v>-1</v>
      </c>
      <c r="G125" s="234">
        <f>+'Human Considerations'!AL127</f>
        <v>-5</v>
      </c>
      <c r="H125" s="234">
        <f>+'Human Considerations'!AP127</f>
        <v>4</v>
      </c>
      <c r="I125" s="234">
        <f>+'Human Considerations'!AT127</f>
        <v>0</v>
      </c>
      <c r="J125" s="234">
        <f>+'Human Considerations'!AX127</f>
        <v>0</v>
      </c>
      <c r="K125" s="234">
        <f>+'Human Considerations'!BB127</f>
        <v>3</v>
      </c>
      <c r="L125" s="234">
        <f>+'Human Considerations'!BF127</f>
        <v>-5</v>
      </c>
      <c r="M125" s="234">
        <f>+'Human Considerations'!BJ127</f>
        <v>-1</v>
      </c>
      <c r="N125" s="234">
        <f>+'Human Considerations'!BN127</f>
        <v>-1</v>
      </c>
      <c r="O125" s="234">
        <f>+'Human Considerations'!BR127</f>
        <v>4</v>
      </c>
    </row>
    <row r="126" spans="1:15" ht="13.5" customHeight="1" x14ac:dyDescent="0.2">
      <c r="A126" s="231">
        <f>+'Human Considerations'!A128</f>
        <v>125</v>
      </c>
      <c r="B126" s="232" t="str">
        <f>+'Human Considerations'!B128</f>
        <v>Stormwater Runoff Control</v>
      </c>
      <c r="C126" s="233">
        <f>+'Human Considerations'!D128</f>
        <v>570</v>
      </c>
      <c r="D126" s="234">
        <f>+'Human Considerations'!Z128</f>
        <v>2</v>
      </c>
      <c r="E126" s="234">
        <f>+'Human Considerations'!AD128</f>
        <v>-5</v>
      </c>
      <c r="F126" s="234">
        <f>+'Human Considerations'!AH128</f>
        <v>-5</v>
      </c>
      <c r="G126" s="234">
        <f>+'Human Considerations'!AL128</f>
        <v>0</v>
      </c>
      <c r="H126" s="234">
        <f>+'Human Considerations'!AP128</f>
        <v>0</v>
      </c>
      <c r="I126" s="234">
        <f>+'Human Considerations'!AT128</f>
        <v>-1</v>
      </c>
      <c r="J126" s="234">
        <f>+'Human Considerations'!AX128</f>
        <v>0</v>
      </c>
      <c r="K126" s="234">
        <f>+'Human Considerations'!BB128</f>
        <v>0</v>
      </c>
      <c r="L126" s="234">
        <f>+'Human Considerations'!BF128</f>
        <v>0</v>
      </c>
      <c r="M126" s="234">
        <f>+'Human Considerations'!BJ128</f>
        <v>-1</v>
      </c>
      <c r="N126" s="234">
        <f>+'Human Considerations'!BN128</f>
        <v>-1</v>
      </c>
      <c r="O126" s="234">
        <f>+'Human Considerations'!BR128</f>
        <v>2</v>
      </c>
    </row>
    <row r="127" spans="1:15" ht="13.5" customHeight="1" x14ac:dyDescent="0.2">
      <c r="A127" s="231">
        <f>+'Human Considerations'!A129</f>
        <v>126</v>
      </c>
      <c r="B127" s="232" t="str">
        <f>+'Human Considerations'!B129</f>
        <v>Stream Crossing</v>
      </c>
      <c r="C127" s="233">
        <f>+'Human Considerations'!D129</f>
        <v>578</v>
      </c>
      <c r="D127" s="234">
        <f>+'Human Considerations'!Z129</f>
        <v>2</v>
      </c>
      <c r="E127" s="234">
        <f>+'Human Considerations'!AD129</f>
        <v>-5</v>
      </c>
      <c r="F127" s="234">
        <f>+'Human Considerations'!AH129</f>
        <v>-5</v>
      </c>
      <c r="G127" s="234">
        <f>+'Human Considerations'!AL129</f>
        <v>-5</v>
      </c>
      <c r="H127" s="234">
        <f>+'Human Considerations'!AP129</f>
        <v>0</v>
      </c>
      <c r="I127" s="234">
        <f>+'Human Considerations'!AT129</f>
        <v>0</v>
      </c>
      <c r="J127" s="234">
        <f>+'Human Considerations'!AX129</f>
        <v>0</v>
      </c>
      <c r="K127" s="234">
        <f>+'Human Considerations'!BB129</f>
        <v>0</v>
      </c>
      <c r="L127" s="234">
        <f>+'Human Considerations'!BF129</f>
        <v>0</v>
      </c>
      <c r="M127" s="234">
        <f>+'Human Considerations'!BJ129</f>
        <v>1</v>
      </c>
      <c r="N127" s="234">
        <f>+'Human Considerations'!BN129</f>
        <v>0</v>
      </c>
      <c r="O127" s="234">
        <f>+'Human Considerations'!BR129</f>
        <v>2</v>
      </c>
    </row>
    <row r="128" spans="1:15" ht="13.5" customHeight="1" x14ac:dyDescent="0.2">
      <c r="A128" s="231">
        <f>+'Human Considerations'!A130</f>
        <v>127</v>
      </c>
      <c r="B128" s="232" t="str">
        <f>+'Human Considerations'!B130</f>
        <v>Stream Habitat Improvement and Management</v>
      </c>
      <c r="C128" s="233">
        <f>+'Human Considerations'!D130</f>
        <v>395</v>
      </c>
      <c r="D128" s="234">
        <f>+'Human Considerations'!Z130</f>
        <v>2</v>
      </c>
      <c r="E128" s="234">
        <f>+'Human Considerations'!AD130</f>
        <v>-5</v>
      </c>
      <c r="F128" s="234">
        <f>+'Human Considerations'!AH130</f>
        <v>-2</v>
      </c>
      <c r="G128" s="234">
        <f>+'Human Considerations'!AL130</f>
        <v>-3</v>
      </c>
      <c r="H128" s="234">
        <f>+'Human Considerations'!AP130</f>
        <v>0</v>
      </c>
      <c r="I128" s="234">
        <f>+'Human Considerations'!AT130</f>
        <v>0</v>
      </c>
      <c r="J128" s="234">
        <f>+'Human Considerations'!AX130</f>
        <v>0</v>
      </c>
      <c r="K128" s="234">
        <f>+'Human Considerations'!BB130</f>
        <v>0</v>
      </c>
      <c r="L128" s="234">
        <f>+'Human Considerations'!BF130</f>
        <v>0</v>
      </c>
      <c r="M128" s="234">
        <f>+'Human Considerations'!BJ130</f>
        <v>-1</v>
      </c>
      <c r="N128" s="234">
        <f>+'Human Considerations'!BN130</f>
        <v>-2</v>
      </c>
      <c r="O128" s="234">
        <f>+'Human Considerations'!BR130</f>
        <v>2</v>
      </c>
    </row>
    <row r="129" spans="1:15" ht="13.5" customHeight="1" x14ac:dyDescent="0.2">
      <c r="A129" s="231">
        <f>+'Human Considerations'!A131</f>
        <v>128</v>
      </c>
      <c r="B129" s="232" t="str">
        <f>+'Human Considerations'!B131</f>
        <v>Streambank and Shoreline Protection</v>
      </c>
      <c r="C129" s="233">
        <f>+'Human Considerations'!D131</f>
        <v>580</v>
      </c>
      <c r="D129" s="234">
        <f>+'Human Considerations'!Z131</f>
        <v>2</v>
      </c>
      <c r="E129" s="234">
        <f>+'Human Considerations'!AD131</f>
        <v>-2</v>
      </c>
      <c r="F129" s="234">
        <f>+'Human Considerations'!AH131</f>
        <v>-5</v>
      </c>
      <c r="G129" s="234">
        <f>+'Human Considerations'!AL131</f>
        <v>-4</v>
      </c>
      <c r="H129" s="234">
        <f>+'Human Considerations'!AP131</f>
        <v>2</v>
      </c>
      <c r="I129" s="234">
        <f>+'Human Considerations'!AT131</f>
        <v>0</v>
      </c>
      <c r="J129" s="234">
        <f>+'Human Considerations'!AX131</f>
        <v>1</v>
      </c>
      <c r="K129" s="234">
        <f>+'Human Considerations'!BB131</f>
        <v>-1</v>
      </c>
      <c r="L129" s="234">
        <f>+'Human Considerations'!BF131</f>
        <v>0</v>
      </c>
      <c r="M129" s="234">
        <f>+'Human Considerations'!BJ131</f>
        <v>1</v>
      </c>
      <c r="N129" s="234">
        <f>+'Human Considerations'!BN131</f>
        <v>-1</v>
      </c>
      <c r="O129" s="234">
        <f>+'Human Considerations'!BR131</f>
        <v>2</v>
      </c>
    </row>
    <row r="130" spans="1:15" ht="13.5" customHeight="1" x14ac:dyDescent="0.2">
      <c r="A130" s="231">
        <f>+'Human Considerations'!A132</f>
        <v>129</v>
      </c>
      <c r="B130" s="232" t="str">
        <f>+'Human Considerations'!B132</f>
        <v>Stripcropping</v>
      </c>
      <c r="C130" s="233">
        <f>+'Human Considerations'!D132</f>
        <v>585</v>
      </c>
      <c r="D130" s="234">
        <f>+'Human Considerations'!Z132</f>
        <v>0</v>
      </c>
      <c r="E130" s="234">
        <f>+'Human Considerations'!AD132</f>
        <v>-1</v>
      </c>
      <c r="F130" s="234">
        <f>+'Human Considerations'!AH132</f>
        <v>-1</v>
      </c>
      <c r="G130" s="234">
        <f>+'Human Considerations'!AL132</f>
        <v>3</v>
      </c>
      <c r="H130" s="234">
        <f>+'Human Considerations'!AP132</f>
        <v>1</v>
      </c>
      <c r="I130" s="234">
        <f>+'Human Considerations'!AT132</f>
        <v>3</v>
      </c>
      <c r="J130" s="234">
        <f>+'Human Considerations'!AX132</f>
        <v>0</v>
      </c>
      <c r="K130" s="234">
        <f>+'Human Considerations'!BB132</f>
        <v>-1</v>
      </c>
      <c r="L130" s="234">
        <f>+'Human Considerations'!BF132</f>
        <v>0</v>
      </c>
      <c r="M130" s="234">
        <f>+'Human Considerations'!BJ132</f>
        <v>-1</v>
      </c>
      <c r="N130" s="234">
        <f>+'Human Considerations'!BN132</f>
        <v>-2</v>
      </c>
      <c r="O130" s="234">
        <f>+'Human Considerations'!BR132</f>
        <v>-1</v>
      </c>
    </row>
    <row r="131" spans="1:15" ht="13.5" customHeight="1" x14ac:dyDescent="0.2">
      <c r="A131" s="231">
        <f>+'Human Considerations'!A133</f>
        <v>130</v>
      </c>
      <c r="B131" s="232" t="str">
        <f>+'Human Considerations'!B133</f>
        <v>Structure for Water Control</v>
      </c>
      <c r="C131" s="233">
        <f>+'Human Considerations'!D133</f>
        <v>587</v>
      </c>
      <c r="D131" s="234">
        <f>+'Human Considerations'!Z133</f>
        <v>2</v>
      </c>
      <c r="E131" s="234">
        <f>+'Human Considerations'!AD133</f>
        <v>-5</v>
      </c>
      <c r="F131" s="234">
        <f>+'Human Considerations'!AH133</f>
        <v>-1</v>
      </c>
      <c r="G131" s="234">
        <f>+'Human Considerations'!AL133</f>
        <v>-5</v>
      </c>
      <c r="H131" s="234">
        <f>+'Human Considerations'!AP133</f>
        <v>1</v>
      </c>
      <c r="I131" s="234">
        <f>+'Human Considerations'!AT133</f>
        <v>0</v>
      </c>
      <c r="J131" s="234">
        <f>+'Human Considerations'!AX133</f>
        <v>1</v>
      </c>
      <c r="K131" s="234">
        <f>+'Human Considerations'!BB133</f>
        <v>-1</v>
      </c>
      <c r="L131" s="234">
        <f>+'Human Considerations'!BF133</f>
        <v>-4</v>
      </c>
      <c r="M131" s="234">
        <f>+'Human Considerations'!BJ133</f>
        <v>1</v>
      </c>
      <c r="N131" s="234">
        <f>+'Human Considerations'!BN133</f>
        <v>-1</v>
      </c>
      <c r="O131" s="234">
        <f>+'Human Considerations'!BR133</f>
        <v>2</v>
      </c>
    </row>
    <row r="132" spans="1:15" ht="13.5" customHeight="1" x14ac:dyDescent="0.2">
      <c r="A132" s="231">
        <f>+'Human Considerations'!A134</f>
        <v>131</v>
      </c>
      <c r="B132" s="232" t="s">
        <v>3871</v>
      </c>
      <c r="C132" s="233">
        <v>649</v>
      </c>
      <c r="D132" s="234">
        <f>+'Human Considerations'!Z134</f>
        <v>0</v>
      </c>
      <c r="E132" s="234">
        <f>+'Human Considerations'!AD134</f>
        <v>0</v>
      </c>
      <c r="F132" s="234">
        <f>+'Human Considerations'!AH134</f>
        <v>0</v>
      </c>
      <c r="G132" s="234">
        <f>+'Human Considerations'!AL134</f>
        <v>0</v>
      </c>
      <c r="H132" s="234">
        <f>+'Human Considerations'!AP134</f>
        <v>0</v>
      </c>
      <c r="I132" s="234">
        <f>+'Human Considerations'!AT134</f>
        <v>0</v>
      </c>
      <c r="J132" s="234">
        <f>+'Human Considerations'!AX134</f>
        <v>0</v>
      </c>
      <c r="K132" s="234">
        <f>+'Human Considerations'!BB134</f>
        <v>0</v>
      </c>
      <c r="L132" s="234">
        <f>+'Human Considerations'!BF134</f>
        <v>0</v>
      </c>
      <c r="M132" s="234">
        <f>+'Human Considerations'!BJ134</f>
        <v>0</v>
      </c>
      <c r="N132" s="234">
        <f>+'Human Considerations'!BN134</f>
        <v>0</v>
      </c>
      <c r="O132" s="234">
        <f>+'Human Considerations'!BR134</f>
        <v>0</v>
      </c>
    </row>
    <row r="133" spans="1:15" ht="13.5" customHeight="1" x14ac:dyDescent="0.2">
      <c r="A133" s="231">
        <f>+'Human Considerations'!A135</f>
        <v>132</v>
      </c>
      <c r="B133" s="232" t="str">
        <f>+'Human Considerations'!B135</f>
        <v>Subsurface Drain</v>
      </c>
      <c r="C133" s="233">
        <f>+'Human Considerations'!D135</f>
        <v>606</v>
      </c>
      <c r="D133" s="234">
        <f>+'Human Considerations'!Z135</f>
        <v>2</v>
      </c>
      <c r="E133" s="234">
        <f>+'Human Considerations'!AD135</f>
        <v>-1</v>
      </c>
      <c r="F133" s="234">
        <f>+'Human Considerations'!AH135</f>
        <v>-3</v>
      </c>
      <c r="G133" s="234">
        <f>+'Human Considerations'!AL135</f>
        <v>0</v>
      </c>
      <c r="H133" s="234">
        <f>+'Human Considerations'!AP135</f>
        <v>2</v>
      </c>
      <c r="I133" s="234">
        <f>+'Human Considerations'!AT135</f>
        <v>0</v>
      </c>
      <c r="J133" s="234">
        <f>+'Human Considerations'!AX135</f>
        <v>1</v>
      </c>
      <c r="K133" s="234">
        <f>+'Human Considerations'!BB135</f>
        <v>1</v>
      </c>
      <c r="L133" s="234">
        <f>+'Human Considerations'!BF135</f>
        <v>-1</v>
      </c>
      <c r="M133" s="234">
        <f>+'Human Considerations'!BJ135</f>
        <v>1</v>
      </c>
      <c r="N133" s="234">
        <f>+'Human Considerations'!BN135</f>
        <v>-1</v>
      </c>
      <c r="O133" s="234">
        <f>+'Human Considerations'!BR135</f>
        <v>4</v>
      </c>
    </row>
    <row r="134" spans="1:15" ht="13.5" customHeight="1" x14ac:dyDescent="0.2">
      <c r="A134" s="231">
        <f>+'Human Considerations'!A136</f>
        <v>133</v>
      </c>
      <c r="B134" s="232" t="str">
        <f>+'Human Considerations'!B136</f>
        <v>Surface Drainage, Field Ditch</v>
      </c>
      <c r="C134" s="233">
        <f>+'Human Considerations'!D136</f>
        <v>607</v>
      </c>
      <c r="D134" s="234">
        <f>+'Human Considerations'!Z136</f>
        <v>2</v>
      </c>
      <c r="E134" s="234">
        <f>+'Human Considerations'!AD136</f>
        <v>-1</v>
      </c>
      <c r="F134" s="234">
        <f>+'Human Considerations'!AH136</f>
        <v>-3</v>
      </c>
      <c r="G134" s="234">
        <f>+'Human Considerations'!AL136</f>
        <v>0</v>
      </c>
      <c r="H134" s="234">
        <f>+'Human Considerations'!AP136</f>
        <v>2</v>
      </c>
      <c r="I134" s="234">
        <f>+'Human Considerations'!AT136</f>
        <v>-2</v>
      </c>
      <c r="J134" s="234">
        <f>+'Human Considerations'!AX136</f>
        <v>1</v>
      </c>
      <c r="K134" s="234">
        <f>+'Human Considerations'!BB136</f>
        <v>3</v>
      </c>
      <c r="L134" s="234">
        <f>+'Human Considerations'!BF136</f>
        <v>-1</v>
      </c>
      <c r="M134" s="234">
        <f>+'Human Considerations'!BJ136</f>
        <v>1</v>
      </c>
      <c r="N134" s="234">
        <f>+'Human Considerations'!BN136</f>
        <v>-1</v>
      </c>
      <c r="O134" s="234">
        <f>+'Human Considerations'!BR136</f>
        <v>4</v>
      </c>
    </row>
    <row r="135" spans="1:15" ht="13.5" customHeight="1" x14ac:dyDescent="0.2">
      <c r="A135" s="231">
        <f>+'Human Considerations'!A137</f>
        <v>134</v>
      </c>
      <c r="B135" s="232" t="str">
        <f>+'Human Considerations'!B137</f>
        <v>Surface Drainage, Main or Lateral</v>
      </c>
      <c r="C135" s="233">
        <f>+'Human Considerations'!D137</f>
        <v>608</v>
      </c>
      <c r="D135" s="234">
        <f>+'Human Considerations'!Z137</f>
        <v>2</v>
      </c>
      <c r="E135" s="234">
        <f>+'Human Considerations'!AD137</f>
        <v>-2</v>
      </c>
      <c r="F135" s="234">
        <f>+'Human Considerations'!AH137</f>
        <v>-3</v>
      </c>
      <c r="G135" s="234">
        <f>+'Human Considerations'!AL137</f>
        <v>0</v>
      </c>
      <c r="H135" s="234">
        <f>+'Human Considerations'!AP137</f>
        <v>2</v>
      </c>
      <c r="I135" s="234">
        <f>+'Human Considerations'!AT137</f>
        <v>0</v>
      </c>
      <c r="J135" s="234">
        <f>+'Human Considerations'!AX137</f>
        <v>1</v>
      </c>
      <c r="K135" s="234">
        <f>+'Human Considerations'!BB137</f>
        <v>3</v>
      </c>
      <c r="L135" s="234">
        <f>+'Human Considerations'!BF137</f>
        <v>-1</v>
      </c>
      <c r="M135" s="234">
        <f>+'Human Considerations'!BJ137</f>
        <v>1</v>
      </c>
      <c r="N135" s="234">
        <f>+'Human Considerations'!BN137</f>
        <v>-1</v>
      </c>
      <c r="O135" s="234">
        <f>+'Human Considerations'!BR137</f>
        <v>4</v>
      </c>
    </row>
    <row r="136" spans="1:15" ht="13.5" customHeight="1" x14ac:dyDescent="0.2">
      <c r="A136" s="231">
        <f>+'Human Considerations'!A138</f>
        <v>135</v>
      </c>
      <c r="B136" s="232" t="str">
        <f>+'Human Considerations'!B138</f>
        <v>Surface Roughening</v>
      </c>
      <c r="C136" s="233">
        <f>+'Human Considerations'!D138</f>
        <v>609</v>
      </c>
      <c r="D136" s="234">
        <f>+'Human Considerations'!Z138</f>
        <v>0</v>
      </c>
      <c r="E136" s="234">
        <f>+'Human Considerations'!AD138</f>
        <v>-1</v>
      </c>
      <c r="F136" s="234">
        <f>+'Human Considerations'!AH138</f>
        <v>0</v>
      </c>
      <c r="G136" s="234">
        <f>+'Human Considerations'!AL138</f>
        <v>0</v>
      </c>
      <c r="H136" s="234">
        <f>+'Human Considerations'!AP138</f>
        <v>2</v>
      </c>
      <c r="I136" s="234">
        <f>+'Human Considerations'!AT138</f>
        <v>5</v>
      </c>
      <c r="J136" s="234">
        <f>+'Human Considerations'!AX138</f>
        <v>0</v>
      </c>
      <c r="K136" s="234">
        <f>+'Human Considerations'!BB138</f>
        <v>0</v>
      </c>
      <c r="L136" s="234">
        <f>+'Human Considerations'!BF138</f>
        <v>0</v>
      </c>
      <c r="M136" s="234">
        <f>+'Human Considerations'!BJ138</f>
        <v>-1</v>
      </c>
      <c r="N136" s="234">
        <f>+'Human Considerations'!BN138</f>
        <v>0</v>
      </c>
      <c r="O136" s="234">
        <f>+'Human Considerations'!BR138</f>
        <v>0</v>
      </c>
    </row>
    <row r="137" spans="1:15" ht="13.5" customHeight="1" x14ac:dyDescent="0.2">
      <c r="A137" s="231">
        <f>+'Human Considerations'!A139</f>
        <v>136</v>
      </c>
      <c r="B137" s="232" t="str">
        <f>+'Human Considerations'!B139</f>
        <v>Terrace</v>
      </c>
      <c r="C137" s="233">
        <f>+'Human Considerations'!D139</f>
        <v>600</v>
      </c>
      <c r="D137" s="234">
        <f>+'Human Considerations'!Z139</f>
        <v>2</v>
      </c>
      <c r="E137" s="234">
        <f>+'Human Considerations'!AD139</f>
        <v>-5</v>
      </c>
      <c r="F137" s="234">
        <f>+'Human Considerations'!AH139</f>
        <v>-3</v>
      </c>
      <c r="G137" s="234">
        <f>+'Human Considerations'!AL139</f>
        <v>1</v>
      </c>
      <c r="H137" s="234">
        <f>+'Human Considerations'!AP139</f>
        <v>1</v>
      </c>
      <c r="I137" s="234">
        <f>+'Human Considerations'!AT139</f>
        <v>1</v>
      </c>
      <c r="J137" s="234">
        <f>+'Human Considerations'!AX139</f>
        <v>1</v>
      </c>
      <c r="K137" s="234">
        <f>+'Human Considerations'!BB139</f>
        <v>-1</v>
      </c>
      <c r="L137" s="234">
        <f>+'Human Considerations'!BF139</f>
        <v>-1</v>
      </c>
      <c r="M137" s="234">
        <f>+'Human Considerations'!BJ139</f>
        <v>-1</v>
      </c>
      <c r="N137" s="234">
        <f>+'Human Considerations'!BN139</f>
        <v>-1</v>
      </c>
      <c r="O137" s="234">
        <f>+'Human Considerations'!BR139</f>
        <v>-1</v>
      </c>
    </row>
    <row r="138" spans="1:15" ht="13.5" customHeight="1" x14ac:dyDescent="0.2">
      <c r="A138" s="231">
        <f>+'Human Considerations'!A140</f>
        <v>137</v>
      </c>
      <c r="B138" s="232" t="str">
        <f>+'Human Considerations'!B140</f>
        <v>Trails and Walkways</v>
      </c>
      <c r="C138" s="233">
        <f>+'Human Considerations'!D140</f>
        <v>568</v>
      </c>
      <c r="D138" s="234">
        <f>+'Human Considerations'!Z140</f>
        <v>2</v>
      </c>
      <c r="E138" s="234">
        <f>+'Human Considerations'!AD140</f>
        <v>-2</v>
      </c>
      <c r="F138" s="234">
        <f>+'Human Considerations'!AH140</f>
        <v>-3</v>
      </c>
      <c r="G138" s="234">
        <f>+'Human Considerations'!AL140</f>
        <v>-4</v>
      </c>
      <c r="H138" s="234">
        <f>+'Human Considerations'!AP140</f>
        <v>1</v>
      </c>
      <c r="I138" s="234">
        <f>+'Human Considerations'!AT140</f>
        <v>0</v>
      </c>
      <c r="J138" s="234">
        <f>+'Human Considerations'!AX140</f>
        <v>1</v>
      </c>
      <c r="K138" s="234">
        <f>+'Human Considerations'!BB140</f>
        <v>-1</v>
      </c>
      <c r="L138" s="234">
        <f>+'Human Considerations'!BF140</f>
        <v>0</v>
      </c>
      <c r="M138" s="234">
        <f>+'Human Considerations'!BJ140</f>
        <v>1</v>
      </c>
      <c r="N138" s="234">
        <f>+'Human Considerations'!BN140</f>
        <v>0</v>
      </c>
      <c r="O138" s="234">
        <f>+'Human Considerations'!BR140</f>
        <v>2</v>
      </c>
    </row>
    <row r="139" spans="1:15" ht="13.5" customHeight="1" x14ac:dyDescent="0.2">
      <c r="A139" s="231">
        <f>+'Human Considerations'!A141</f>
        <v>138</v>
      </c>
      <c r="B139" s="232" t="str">
        <f>+'Human Considerations'!B141</f>
        <v>Tree/Shrub Establishment</v>
      </c>
      <c r="C139" s="233">
        <f>+'Human Considerations'!D141</f>
        <v>612</v>
      </c>
      <c r="D139" s="234">
        <f>+'Human Considerations'!Z141</f>
        <v>2</v>
      </c>
      <c r="E139" s="234">
        <f>+'Human Considerations'!AD141</f>
        <v>-5</v>
      </c>
      <c r="F139" s="234">
        <f>+'Human Considerations'!AH141</f>
        <v>-1</v>
      </c>
      <c r="G139" s="234">
        <f>+'Human Considerations'!AL141</f>
        <v>-2</v>
      </c>
      <c r="H139" s="234">
        <f>+'Human Considerations'!AP141</f>
        <v>0</v>
      </c>
      <c r="I139" s="234">
        <f>+'Human Considerations'!AT141</f>
        <v>0</v>
      </c>
      <c r="J139" s="234">
        <f>+'Human Considerations'!AX141</f>
        <v>3</v>
      </c>
      <c r="K139" s="234">
        <f>+'Human Considerations'!BB141</f>
        <v>-2</v>
      </c>
      <c r="L139" s="234">
        <f>+'Human Considerations'!BF141</f>
        <v>0</v>
      </c>
      <c r="M139" s="234">
        <f>+'Human Considerations'!BJ141</f>
        <v>-1</v>
      </c>
      <c r="N139" s="234">
        <f>+'Human Considerations'!BN141</f>
        <v>0</v>
      </c>
      <c r="O139" s="234">
        <f>+'Human Considerations'!BR141</f>
        <v>-1</v>
      </c>
    </row>
    <row r="140" spans="1:15" ht="13.5" customHeight="1" x14ac:dyDescent="0.2">
      <c r="A140" s="231">
        <f>+'Human Considerations'!A142</f>
        <v>139</v>
      </c>
      <c r="B140" s="232" t="str">
        <f>+'Human Considerations'!B142</f>
        <v>Tree/Shrub Pruning</v>
      </c>
      <c r="C140" s="233">
        <f>+'Human Considerations'!D142</f>
        <v>660</v>
      </c>
      <c r="D140" s="234">
        <f>+'Human Considerations'!Z142</f>
        <v>0</v>
      </c>
      <c r="E140" s="234">
        <f>+'Human Considerations'!AD142</f>
        <v>-3</v>
      </c>
      <c r="F140" s="234">
        <f>+'Human Considerations'!AH142</f>
        <v>-1</v>
      </c>
      <c r="G140" s="234">
        <f>+'Human Considerations'!AL142</f>
        <v>-1</v>
      </c>
      <c r="H140" s="234">
        <f>+'Human Considerations'!AP142</f>
        <v>2</v>
      </c>
      <c r="I140" s="234">
        <f>+'Human Considerations'!AT142</f>
        <v>0</v>
      </c>
      <c r="J140" s="234">
        <f>+'Human Considerations'!AX142</f>
        <v>0</v>
      </c>
      <c r="K140" s="234">
        <f>+'Human Considerations'!BB142</f>
        <v>0</v>
      </c>
      <c r="L140" s="234">
        <f>+'Human Considerations'!BF142</f>
        <v>0</v>
      </c>
      <c r="M140" s="234">
        <f>+'Human Considerations'!BJ142</f>
        <v>-1</v>
      </c>
      <c r="N140" s="234">
        <f>+'Human Considerations'!BN142</f>
        <v>0</v>
      </c>
      <c r="O140" s="234">
        <f>+'Human Considerations'!BR142</f>
        <v>0</v>
      </c>
    </row>
    <row r="141" spans="1:15" ht="13.5" customHeight="1" x14ac:dyDescent="0.2">
      <c r="A141" s="231">
        <f>+'Human Considerations'!A143</f>
        <v>140</v>
      </c>
      <c r="B141" s="232" t="str">
        <f>+'Human Considerations'!B143</f>
        <v>Tree/Shrub Site Preparation</v>
      </c>
      <c r="C141" s="233">
        <f>+'Human Considerations'!D143</f>
        <v>490</v>
      </c>
      <c r="D141" s="234">
        <f>+'Human Considerations'!Z143</f>
        <v>2</v>
      </c>
      <c r="E141" s="234">
        <f>+'Human Considerations'!AD143</f>
        <v>-3</v>
      </c>
      <c r="F141" s="234">
        <f>+'Human Considerations'!AH143</f>
        <v>0</v>
      </c>
      <c r="G141" s="234">
        <f>+'Human Considerations'!AL143</f>
        <v>-5</v>
      </c>
      <c r="H141" s="234">
        <f>+'Human Considerations'!AP143</f>
        <v>0</v>
      </c>
      <c r="I141" s="234">
        <f>+'Human Considerations'!AT143</f>
        <v>0</v>
      </c>
      <c r="J141" s="234">
        <f>+'Human Considerations'!AX143</f>
        <v>3</v>
      </c>
      <c r="K141" s="234">
        <f>+'Human Considerations'!BB143</f>
        <v>-2</v>
      </c>
      <c r="L141" s="234">
        <f>+'Human Considerations'!BF143</f>
        <v>0</v>
      </c>
      <c r="M141" s="234">
        <f>+'Human Considerations'!BJ143</f>
        <v>-1</v>
      </c>
      <c r="N141" s="234">
        <f>+'Human Considerations'!BN143</f>
        <v>0</v>
      </c>
      <c r="O141" s="234">
        <f>+'Human Considerations'!BR143</f>
        <v>0</v>
      </c>
    </row>
    <row r="142" spans="1:15" ht="13.5" customHeight="1" x14ac:dyDescent="0.2">
      <c r="A142" s="231">
        <f>+'Human Considerations'!A144</f>
        <v>141</v>
      </c>
      <c r="B142" s="232" t="str">
        <f>+'Human Considerations'!B144</f>
        <v>Underground Outlet</v>
      </c>
      <c r="C142" s="233">
        <f>+'Human Considerations'!D144</f>
        <v>620</v>
      </c>
      <c r="D142" s="234">
        <f>+'Human Considerations'!Z144</f>
        <v>2</v>
      </c>
      <c r="E142" s="234">
        <f>+'Human Considerations'!AD144</f>
        <v>-1</v>
      </c>
      <c r="F142" s="234">
        <f>+'Human Considerations'!AH144</f>
        <v>-3</v>
      </c>
      <c r="G142" s="234">
        <f>+'Human Considerations'!AL144</f>
        <v>-2</v>
      </c>
      <c r="H142" s="234">
        <f>+'Human Considerations'!AP144</f>
        <v>1</v>
      </c>
      <c r="I142" s="234">
        <f>+'Human Considerations'!AT144</f>
        <v>0</v>
      </c>
      <c r="J142" s="234">
        <f>+'Human Considerations'!AX144</f>
        <v>0</v>
      </c>
      <c r="K142" s="234">
        <f>+'Human Considerations'!BB144</f>
        <v>-1</v>
      </c>
      <c r="L142" s="234">
        <f>+'Human Considerations'!BF144</f>
        <v>-1</v>
      </c>
      <c r="M142" s="234">
        <f>+'Human Considerations'!BJ144</f>
        <v>-1</v>
      </c>
      <c r="N142" s="234">
        <f>+'Human Considerations'!BN144</f>
        <v>-1</v>
      </c>
      <c r="O142" s="234">
        <f>+'Human Considerations'!BR144</f>
        <v>2</v>
      </c>
    </row>
    <row r="143" spans="1:15" ht="13.5" customHeight="1" x14ac:dyDescent="0.2">
      <c r="A143" s="231">
        <f>+'Human Considerations'!A145</f>
        <v>142</v>
      </c>
      <c r="B143" s="232" t="str">
        <f>+'Human Considerations'!B145</f>
        <v>Upland Wildlife Habitat Management</v>
      </c>
      <c r="C143" s="233">
        <f>+'Human Considerations'!D145</f>
        <v>645</v>
      </c>
      <c r="D143" s="234">
        <f>+'Human Considerations'!Z145</f>
        <v>0</v>
      </c>
      <c r="E143" s="234">
        <f>+'Human Considerations'!AD145</f>
        <v>-2</v>
      </c>
      <c r="F143" s="234">
        <f>+'Human Considerations'!AH145</f>
        <v>0</v>
      </c>
      <c r="G143" s="234">
        <f>+'Human Considerations'!AL145</f>
        <v>-1</v>
      </c>
      <c r="H143" s="234">
        <f>+'Human Considerations'!AP145</f>
        <v>1</v>
      </c>
      <c r="I143" s="234">
        <f>+'Human Considerations'!AT145</f>
        <v>0</v>
      </c>
      <c r="J143" s="234">
        <f>+'Human Considerations'!AX145</f>
        <v>0</v>
      </c>
      <c r="K143" s="234">
        <f>+'Human Considerations'!BB145</f>
        <v>0</v>
      </c>
      <c r="L143" s="234">
        <f>+'Human Considerations'!BF145</f>
        <v>0</v>
      </c>
      <c r="M143" s="234">
        <f>+'Human Considerations'!BJ145</f>
        <v>-1</v>
      </c>
      <c r="N143" s="234">
        <f>+'Human Considerations'!BN145</f>
        <v>-2</v>
      </c>
      <c r="O143" s="234">
        <f>+'Human Considerations'!BR145</f>
        <v>2</v>
      </c>
    </row>
    <row r="144" spans="1:15" ht="13.5" customHeight="1" x14ac:dyDescent="0.2">
      <c r="A144" s="231">
        <f>+'Human Considerations'!A146</f>
        <v>143</v>
      </c>
      <c r="B144" s="232" t="str">
        <f>+'Human Considerations'!B146</f>
        <v xml:space="preserve">Vegetated Treatment Area </v>
      </c>
      <c r="C144" s="233">
        <f>+'Human Considerations'!D146</f>
        <v>635</v>
      </c>
      <c r="D144" s="234">
        <f>+'Human Considerations'!Z146</f>
        <v>1</v>
      </c>
      <c r="E144" s="234">
        <f>+'Human Considerations'!AD146</f>
        <v>-5</v>
      </c>
      <c r="F144" s="234">
        <f>+'Human Considerations'!AH146</f>
        <v>0</v>
      </c>
      <c r="G144" s="234">
        <f>+'Human Considerations'!AL146</f>
        <v>5</v>
      </c>
      <c r="H144" s="234">
        <f>+'Human Considerations'!AP146</f>
        <v>0</v>
      </c>
      <c r="I144" s="234">
        <f>+'Human Considerations'!AT146</f>
        <v>5</v>
      </c>
      <c r="J144" s="234">
        <f>+'Human Considerations'!AX146</f>
        <v>1</v>
      </c>
      <c r="K144" s="234">
        <f>+'Human Considerations'!BB146</f>
        <v>-1</v>
      </c>
      <c r="L144" s="234">
        <f>+'Human Considerations'!BF146</f>
        <v>0</v>
      </c>
      <c r="M144" s="234">
        <f>+'Human Considerations'!BJ146</f>
        <v>-1</v>
      </c>
      <c r="N144" s="234">
        <f>+'Human Considerations'!BN146</f>
        <v>-1</v>
      </c>
      <c r="O144" s="234">
        <f>+'Human Considerations'!BR146</f>
        <v>2</v>
      </c>
    </row>
    <row r="145" spans="1:15" ht="13.5" customHeight="1" x14ac:dyDescent="0.2">
      <c r="A145" s="231">
        <f>+'Human Considerations'!A147</f>
        <v>144</v>
      </c>
      <c r="B145" s="232" t="str">
        <f>+'Human Considerations'!B147</f>
        <v>Vegetative Barrier</v>
      </c>
      <c r="C145" s="233">
        <f>+'Human Considerations'!D147</f>
        <v>601</v>
      </c>
      <c r="D145" s="234">
        <f>+'Human Considerations'!Z147</f>
        <v>2</v>
      </c>
      <c r="E145" s="234">
        <f>+'Human Considerations'!AD147</f>
        <v>-1</v>
      </c>
      <c r="F145" s="234">
        <f>+'Human Considerations'!AH147</f>
        <v>-3</v>
      </c>
      <c r="G145" s="234">
        <f>+'Human Considerations'!AL147</f>
        <v>-3</v>
      </c>
      <c r="H145" s="234">
        <f>+'Human Considerations'!AP147</f>
        <v>0</v>
      </c>
      <c r="I145" s="234">
        <f>+'Human Considerations'!AT147</f>
        <v>0</v>
      </c>
      <c r="J145" s="234">
        <f>+'Human Considerations'!AX147</f>
        <v>1</v>
      </c>
      <c r="K145" s="234">
        <f>+'Human Considerations'!BB147</f>
        <v>-1</v>
      </c>
      <c r="L145" s="234">
        <f>+'Human Considerations'!BF147</f>
        <v>0</v>
      </c>
      <c r="M145" s="234">
        <f>+'Human Considerations'!BJ147</f>
        <v>-1</v>
      </c>
      <c r="N145" s="234">
        <f>+'Human Considerations'!BN147</f>
        <v>0</v>
      </c>
      <c r="O145" s="234">
        <f>+'Human Considerations'!BR147</f>
        <v>2</v>
      </c>
    </row>
    <row r="146" spans="1:15" ht="13.5" customHeight="1" x14ac:dyDescent="0.2">
      <c r="A146" s="231">
        <f>+'Human Considerations'!A148</f>
        <v>145</v>
      </c>
      <c r="B146" s="232" t="str">
        <f>+'Human Considerations'!B148</f>
        <v>Vertical Drain</v>
      </c>
      <c r="C146" s="233">
        <f>+'Human Considerations'!D148</f>
        <v>630</v>
      </c>
      <c r="D146" s="234">
        <f>+'Human Considerations'!Z148</f>
        <v>2</v>
      </c>
      <c r="E146" s="234">
        <f>+'Human Considerations'!AD148</f>
        <v>-2</v>
      </c>
      <c r="F146" s="234">
        <f>+'Human Considerations'!AH148</f>
        <v>-1</v>
      </c>
      <c r="G146" s="234">
        <f>+'Human Considerations'!AL148</f>
        <v>-4</v>
      </c>
      <c r="H146" s="234">
        <f>+'Human Considerations'!AP148</f>
        <v>1</v>
      </c>
      <c r="I146" s="234">
        <f>+'Human Considerations'!AT148</f>
        <v>0</v>
      </c>
      <c r="J146" s="234">
        <f>+'Human Considerations'!AX148</f>
        <v>0</v>
      </c>
      <c r="K146" s="234">
        <f>+'Human Considerations'!BB148</f>
        <v>-1</v>
      </c>
      <c r="L146" s="234">
        <f>+'Human Considerations'!BF148</f>
        <v>0</v>
      </c>
      <c r="M146" s="234">
        <f>+'Human Considerations'!BJ148</f>
        <v>-1</v>
      </c>
      <c r="N146" s="234">
        <f>+'Human Considerations'!BN148</f>
        <v>-1</v>
      </c>
      <c r="O146" s="234">
        <f>+'Human Considerations'!BR148</f>
        <v>2</v>
      </c>
    </row>
    <row r="147" spans="1:15" ht="13.5" customHeight="1" x14ac:dyDescent="0.2">
      <c r="A147" s="231">
        <f>+'Human Considerations'!A149</f>
        <v>146</v>
      </c>
      <c r="B147" s="232" t="str">
        <f>+'Human Considerations'!B149</f>
        <v>Waste Facility Closure</v>
      </c>
      <c r="C147" s="233">
        <f>+'Human Considerations'!D149</f>
        <v>360</v>
      </c>
      <c r="D147" s="234">
        <f>+'Human Considerations'!Z149</f>
        <v>0</v>
      </c>
      <c r="E147" s="234">
        <f>+'Human Considerations'!AD149</f>
        <v>-5</v>
      </c>
      <c r="F147" s="234">
        <f>+'Human Considerations'!AH149</f>
        <v>-2</v>
      </c>
      <c r="G147" s="234">
        <f>+'Human Considerations'!AL149</f>
        <v>-1</v>
      </c>
      <c r="H147" s="234">
        <f>+'Human Considerations'!AP149</f>
        <v>0</v>
      </c>
      <c r="I147" s="234">
        <f>+'Human Considerations'!AT149</f>
        <v>0</v>
      </c>
      <c r="J147" s="234">
        <f>+'Human Considerations'!AX149</f>
        <v>1</v>
      </c>
      <c r="K147" s="234">
        <f>+'Human Considerations'!BB149</f>
        <v>1</v>
      </c>
      <c r="L147" s="234">
        <f>+'Human Considerations'!BF149</f>
        <v>0</v>
      </c>
      <c r="M147" s="234">
        <f>+'Human Considerations'!BJ149</f>
        <v>-1</v>
      </c>
      <c r="N147" s="234">
        <f>+'Human Considerations'!BN149</f>
        <v>0</v>
      </c>
      <c r="O147" s="234">
        <f>+'Human Considerations'!BR149</f>
        <v>4</v>
      </c>
    </row>
    <row r="148" spans="1:15" ht="13.5" customHeight="1" x14ac:dyDescent="0.2">
      <c r="A148" s="231">
        <f>+'Human Considerations'!A150</f>
        <v>147</v>
      </c>
      <c r="B148" s="232" t="str">
        <f>+'Human Considerations'!B150</f>
        <v>Waste Recycling</v>
      </c>
      <c r="C148" s="233">
        <f>+'Human Considerations'!D150</f>
        <v>633</v>
      </c>
      <c r="D148" s="234">
        <f>+'Human Considerations'!Z150</f>
        <v>2</v>
      </c>
      <c r="E148" s="234">
        <f>+'Human Considerations'!AD150</f>
        <v>-4</v>
      </c>
      <c r="F148" s="234">
        <f>+'Human Considerations'!AH150</f>
        <v>0</v>
      </c>
      <c r="G148" s="234">
        <f>+'Human Considerations'!AL150</f>
        <v>-1</v>
      </c>
      <c r="H148" s="234">
        <f>+'Human Considerations'!AP150</f>
        <v>0</v>
      </c>
      <c r="I148" s="234">
        <f>+'Human Considerations'!AT150</f>
        <v>0</v>
      </c>
      <c r="J148" s="234">
        <f>+'Human Considerations'!AX150</f>
        <v>0</v>
      </c>
      <c r="K148" s="234">
        <f>+'Human Considerations'!BB150</f>
        <v>0</v>
      </c>
      <c r="L148" s="234">
        <f>+'Human Considerations'!BF150</f>
        <v>-3</v>
      </c>
      <c r="M148" s="234">
        <f>+'Human Considerations'!BJ150</f>
        <v>-2</v>
      </c>
      <c r="N148" s="234">
        <f>+'Human Considerations'!BN150</f>
        <v>-1</v>
      </c>
      <c r="O148" s="234">
        <f>+'Human Considerations'!BR150</f>
        <v>-1</v>
      </c>
    </row>
    <row r="149" spans="1:15" ht="13.5" customHeight="1" x14ac:dyDescent="0.2">
      <c r="A149" s="231">
        <f>+'Human Considerations'!A151</f>
        <v>148</v>
      </c>
      <c r="B149" s="232" t="str">
        <f>+'Human Considerations'!B151</f>
        <v>Waste Storage Facility</v>
      </c>
      <c r="C149" s="233">
        <f>+'Human Considerations'!D151</f>
        <v>313</v>
      </c>
      <c r="D149" s="234">
        <f>+'Human Considerations'!Z151</f>
        <v>2</v>
      </c>
      <c r="E149" s="234">
        <f>+'Human Considerations'!AD151</f>
        <v>-5</v>
      </c>
      <c r="F149" s="234">
        <f>+'Human Considerations'!AH151</f>
        <v>-2</v>
      </c>
      <c r="G149" s="234">
        <f>+'Human Considerations'!AL151</f>
        <v>-3</v>
      </c>
      <c r="H149" s="234">
        <f>+'Human Considerations'!AP151</f>
        <v>0</v>
      </c>
      <c r="I149" s="234">
        <f>+'Human Considerations'!AT151</f>
        <v>0</v>
      </c>
      <c r="J149" s="234">
        <f>+'Human Considerations'!AX151</f>
        <v>1</v>
      </c>
      <c r="K149" s="234">
        <f>+'Human Considerations'!BB151</f>
        <v>-1</v>
      </c>
      <c r="L149" s="234">
        <f>+'Human Considerations'!BF151</f>
        <v>-5</v>
      </c>
      <c r="M149" s="234">
        <f>+'Human Considerations'!BJ151</f>
        <v>-2</v>
      </c>
      <c r="N149" s="234">
        <f>+'Human Considerations'!BN151</f>
        <v>-2</v>
      </c>
      <c r="O149" s="234">
        <f>+'Human Considerations'!BR151</f>
        <v>-1</v>
      </c>
    </row>
    <row r="150" spans="1:15" ht="13.5" customHeight="1" x14ac:dyDescent="0.2">
      <c r="A150" s="231">
        <f>+'Human Considerations'!A152</f>
        <v>149</v>
      </c>
      <c r="B150" s="232" t="str">
        <f>+'Human Considerations'!B152</f>
        <v>Waste Transfer</v>
      </c>
      <c r="C150" s="233">
        <f>+'Human Considerations'!D152</f>
        <v>634</v>
      </c>
      <c r="D150" s="234">
        <f>+'Human Considerations'!Z152</f>
        <v>1</v>
      </c>
      <c r="E150" s="234">
        <f>+'Human Considerations'!AD152</f>
        <v>-5</v>
      </c>
      <c r="F150" s="234">
        <f>+'Human Considerations'!AH152</f>
        <v>-5</v>
      </c>
      <c r="G150" s="234">
        <f>+'Human Considerations'!AL152</f>
        <v>-3</v>
      </c>
      <c r="H150" s="234">
        <f>+'Human Considerations'!AP152</f>
        <v>0</v>
      </c>
      <c r="I150" s="234">
        <f>+'Human Considerations'!AT152</f>
        <v>0</v>
      </c>
      <c r="J150" s="234">
        <f>+'Human Considerations'!AX152</f>
        <v>0</v>
      </c>
      <c r="K150" s="234">
        <f>+'Human Considerations'!BB152</f>
        <v>0</v>
      </c>
      <c r="L150" s="234">
        <f>+'Human Considerations'!BF152</f>
        <v>-5</v>
      </c>
      <c r="M150" s="234">
        <f>+'Human Considerations'!BJ152</f>
        <v>1</v>
      </c>
      <c r="N150" s="234">
        <f>+'Human Considerations'!BN152</f>
        <v>-1</v>
      </c>
      <c r="O150" s="234">
        <f>+'Human Considerations'!BR152</f>
        <v>2</v>
      </c>
    </row>
    <row r="151" spans="1:15" ht="13.5" customHeight="1" x14ac:dyDescent="0.2">
      <c r="A151" s="231">
        <f>+'Human Considerations'!A153</f>
        <v>150</v>
      </c>
      <c r="B151" s="232" t="str">
        <f>+'Human Considerations'!B153</f>
        <v>Waste Treatment</v>
      </c>
      <c r="C151" s="233">
        <f>+'Human Considerations'!D153</f>
        <v>629</v>
      </c>
      <c r="D151" s="234">
        <f>+'Human Considerations'!Z153</f>
        <v>2</v>
      </c>
      <c r="E151" s="234">
        <f>+'Human Considerations'!AD153</f>
        <v>-5</v>
      </c>
      <c r="F151" s="234">
        <f>+'Human Considerations'!AH153</f>
        <v>-3</v>
      </c>
      <c r="G151" s="234">
        <f>+'Human Considerations'!AL153</f>
        <v>2</v>
      </c>
      <c r="H151" s="234">
        <f>+'Human Considerations'!AP153</f>
        <v>0</v>
      </c>
      <c r="I151" s="234">
        <f>+'Human Considerations'!AT153</f>
        <v>-1</v>
      </c>
      <c r="J151" s="234">
        <f>+'Human Considerations'!AX153</f>
        <v>0</v>
      </c>
      <c r="K151" s="234">
        <f>+'Human Considerations'!BB153</f>
        <v>0</v>
      </c>
      <c r="L151" s="234">
        <f>+'Human Considerations'!BF153</f>
        <v>-3</v>
      </c>
      <c r="M151" s="234">
        <f>+'Human Considerations'!BJ153</f>
        <v>-1</v>
      </c>
      <c r="N151" s="234">
        <f>+'Human Considerations'!BN153</f>
        <v>-1</v>
      </c>
      <c r="O151" s="234">
        <f>+'Human Considerations'!BR153</f>
        <v>2</v>
      </c>
    </row>
    <row r="152" spans="1:15" ht="13.5" customHeight="1" x14ac:dyDescent="0.2">
      <c r="A152" s="231">
        <f>+'Human Considerations'!A154</f>
        <v>151</v>
      </c>
      <c r="B152" s="232" t="str">
        <f>+'Human Considerations'!B154</f>
        <v>Waste Treatment Lagoon</v>
      </c>
      <c r="C152" s="233">
        <f>+'Human Considerations'!D154</f>
        <v>359</v>
      </c>
      <c r="D152" s="234">
        <f>+'Human Considerations'!Z154</f>
        <v>2</v>
      </c>
      <c r="E152" s="234">
        <f>+'Human Considerations'!AD154</f>
        <v>-5</v>
      </c>
      <c r="F152" s="234">
        <f>+'Human Considerations'!AH154</f>
        <v>-2</v>
      </c>
      <c r="G152" s="234">
        <f>+'Human Considerations'!AL154</f>
        <v>-2</v>
      </c>
      <c r="H152" s="234">
        <f>+'Human Considerations'!AP154</f>
        <v>0</v>
      </c>
      <c r="I152" s="234">
        <f>+'Human Considerations'!AT154</f>
        <v>0</v>
      </c>
      <c r="J152" s="234">
        <f>+'Human Considerations'!AX154</f>
        <v>1</v>
      </c>
      <c r="K152" s="234">
        <f>+'Human Considerations'!BB154</f>
        <v>-1</v>
      </c>
      <c r="L152" s="234">
        <f>+'Human Considerations'!BF154</f>
        <v>-5</v>
      </c>
      <c r="M152" s="234">
        <f>+'Human Considerations'!BJ154</f>
        <v>-2</v>
      </c>
      <c r="N152" s="234">
        <f>+'Human Considerations'!BN154</f>
        <v>-2</v>
      </c>
      <c r="O152" s="234">
        <f>+'Human Considerations'!BR154</f>
        <v>-1</v>
      </c>
    </row>
    <row r="153" spans="1:15" ht="13.5" customHeight="1" x14ac:dyDescent="0.2">
      <c r="A153" s="231">
        <f>+'Human Considerations'!A155</f>
        <v>152</v>
      </c>
      <c r="B153" s="232" t="str">
        <f>+'Human Considerations'!B155</f>
        <v>Water and Sediment Control Basin</v>
      </c>
      <c r="C153" s="233">
        <f>+'Human Considerations'!D155</f>
        <v>638</v>
      </c>
      <c r="D153" s="234">
        <f>+'Human Considerations'!Z155</f>
        <v>1</v>
      </c>
      <c r="E153" s="234">
        <f>+'Human Considerations'!AD155</f>
        <v>-5</v>
      </c>
      <c r="F153" s="234">
        <f>+'Human Considerations'!AH155</f>
        <v>-3</v>
      </c>
      <c r="G153" s="234">
        <f>+'Human Considerations'!AL155</f>
        <v>-5</v>
      </c>
      <c r="H153" s="234">
        <f>+'Human Considerations'!AP155</f>
        <v>0</v>
      </c>
      <c r="I153" s="234">
        <f>+'Human Considerations'!AT155</f>
        <v>0</v>
      </c>
      <c r="J153" s="234">
        <f>+'Human Considerations'!AX155</f>
        <v>1</v>
      </c>
      <c r="K153" s="234">
        <f>+'Human Considerations'!BB155</f>
        <v>-1</v>
      </c>
      <c r="L153" s="234">
        <f>+'Human Considerations'!BF155</f>
        <v>-5</v>
      </c>
      <c r="M153" s="234">
        <f>+'Human Considerations'!BJ155</f>
        <v>-1</v>
      </c>
      <c r="N153" s="234">
        <f>+'Human Considerations'!BN155</f>
        <v>-1</v>
      </c>
      <c r="O153" s="234">
        <f>+'Human Considerations'!BR155</f>
        <v>2</v>
      </c>
    </row>
    <row r="154" spans="1:15" ht="13.5" customHeight="1" x14ac:dyDescent="0.2">
      <c r="A154" s="231">
        <f>+'Human Considerations'!A156</f>
        <v>153</v>
      </c>
      <c r="B154" s="232" t="str">
        <f>+'Human Considerations'!B156</f>
        <v>Water Harvesting Catchment</v>
      </c>
      <c r="C154" s="233">
        <f>+'Human Considerations'!D156</f>
        <v>636</v>
      </c>
      <c r="D154" s="234">
        <f>+'Human Considerations'!Z156</f>
        <v>2</v>
      </c>
      <c r="E154" s="234">
        <f>+'Human Considerations'!AD156</f>
        <v>-5</v>
      </c>
      <c r="F154" s="234">
        <f>+'Human Considerations'!AH156</f>
        <v>-1</v>
      </c>
      <c r="G154" s="234">
        <f>+'Human Considerations'!AL156</f>
        <v>-5</v>
      </c>
      <c r="H154" s="234">
        <f>+'Human Considerations'!AP156</f>
        <v>2</v>
      </c>
      <c r="I154" s="234">
        <f>+'Human Considerations'!AT156</f>
        <v>0</v>
      </c>
      <c r="J154" s="234">
        <f>+'Human Considerations'!AX156</f>
        <v>1</v>
      </c>
      <c r="K154" s="234">
        <f>+'Human Considerations'!BB156</f>
        <v>-1</v>
      </c>
      <c r="L154" s="234">
        <f>+'Human Considerations'!BF156</f>
        <v>-5</v>
      </c>
      <c r="M154" s="234">
        <f>+'Human Considerations'!BJ156</f>
        <v>-1</v>
      </c>
      <c r="N154" s="234">
        <f>+'Human Considerations'!BN156</f>
        <v>-1</v>
      </c>
      <c r="O154" s="234">
        <f>+'Human Considerations'!BR156</f>
        <v>2</v>
      </c>
    </row>
    <row r="155" spans="1:15" ht="13.5" customHeight="1" x14ac:dyDescent="0.2">
      <c r="A155" s="231">
        <f>+'Human Considerations'!A157</f>
        <v>154</v>
      </c>
      <c r="B155" s="232" t="str">
        <f>+'Human Considerations'!B157</f>
        <v>Water Well</v>
      </c>
      <c r="C155" s="233">
        <f>+'Human Considerations'!D157</f>
        <v>642</v>
      </c>
      <c r="D155" s="234">
        <f>+'Human Considerations'!Z157</f>
        <v>2</v>
      </c>
      <c r="E155" s="234">
        <f>+'Human Considerations'!AD157</f>
        <v>-5</v>
      </c>
      <c r="F155" s="234">
        <f>+'Human Considerations'!AH157</f>
        <v>-1</v>
      </c>
      <c r="G155" s="234">
        <f>+'Human Considerations'!AL157</f>
        <v>-4</v>
      </c>
      <c r="H155" s="234">
        <f>+'Human Considerations'!AP157</f>
        <v>2</v>
      </c>
      <c r="I155" s="234">
        <f>+'Human Considerations'!AT157</f>
        <v>0</v>
      </c>
      <c r="J155" s="234">
        <f>+'Human Considerations'!AX157</f>
        <v>0</v>
      </c>
      <c r="K155" s="234">
        <f>+'Human Considerations'!BB157</f>
        <v>5</v>
      </c>
      <c r="L155" s="234">
        <f>+'Human Considerations'!BF157</f>
        <v>-2</v>
      </c>
      <c r="M155" s="234">
        <f>+'Human Considerations'!BJ157</f>
        <v>0</v>
      </c>
      <c r="N155" s="234">
        <f>+'Human Considerations'!BN157</f>
        <v>-1</v>
      </c>
      <c r="O155" s="234">
        <f>+'Human Considerations'!BR157</f>
        <v>5</v>
      </c>
    </row>
    <row r="156" spans="1:15" ht="13.5" customHeight="1" x14ac:dyDescent="0.2">
      <c r="A156" s="231">
        <f>+'Human Considerations'!A158</f>
        <v>155</v>
      </c>
      <c r="B156" s="232" t="str">
        <f>+'Human Considerations'!B158</f>
        <v>Water Well Decommissioning</v>
      </c>
      <c r="C156" s="233">
        <f>+'Human Considerations'!D158</f>
        <v>351</v>
      </c>
      <c r="D156" s="234">
        <f>+'Human Considerations'!Z158</f>
        <v>0</v>
      </c>
      <c r="E156" s="234">
        <f>+'Human Considerations'!AD158</f>
        <v>-4</v>
      </c>
      <c r="F156" s="234">
        <f>+'Human Considerations'!AH158</f>
        <v>0</v>
      </c>
      <c r="G156" s="234">
        <f>+'Human Considerations'!AL158</f>
        <v>-5</v>
      </c>
      <c r="H156" s="234">
        <f>+'Human Considerations'!AP158</f>
        <v>0</v>
      </c>
      <c r="I156" s="234">
        <f>+'Human Considerations'!AT158</f>
        <v>0</v>
      </c>
      <c r="J156" s="234">
        <f>+'Human Considerations'!AX158</f>
        <v>0</v>
      </c>
      <c r="K156" s="234">
        <f>+'Human Considerations'!BB158</f>
        <v>-5</v>
      </c>
      <c r="L156" s="234">
        <f>+'Human Considerations'!BF158</f>
        <v>0</v>
      </c>
      <c r="M156" s="234">
        <f>+'Human Considerations'!BJ158</f>
        <v>0</v>
      </c>
      <c r="N156" s="234">
        <f>+'Human Considerations'!BN158</f>
        <v>0</v>
      </c>
      <c r="O156" s="234">
        <f>+'Human Considerations'!BR158</f>
        <v>-3</v>
      </c>
    </row>
    <row r="157" spans="1:15" ht="13.5" customHeight="1" x14ac:dyDescent="0.2">
      <c r="A157" s="231">
        <f>+'Human Considerations'!A159</f>
        <v>156</v>
      </c>
      <c r="B157" s="232" t="str">
        <f>+'Human Considerations'!B159</f>
        <v>Watering Facility</v>
      </c>
      <c r="C157" s="233">
        <f>+'Human Considerations'!D159</f>
        <v>614</v>
      </c>
      <c r="D157" s="234">
        <f>+'Human Considerations'!Z159</f>
        <v>2</v>
      </c>
      <c r="E157" s="234">
        <f>+'Human Considerations'!AD159</f>
        <v>-5</v>
      </c>
      <c r="F157" s="234">
        <f>+'Human Considerations'!AH159</f>
        <v>-1</v>
      </c>
      <c r="G157" s="234">
        <f>+'Human Considerations'!AL159</f>
        <v>-4</v>
      </c>
      <c r="H157" s="234">
        <f>+'Human Considerations'!AP159</f>
        <v>4</v>
      </c>
      <c r="I157" s="234">
        <f>+'Human Considerations'!AT159</f>
        <v>0</v>
      </c>
      <c r="J157" s="234">
        <f>+'Human Considerations'!AX159</f>
        <v>0</v>
      </c>
      <c r="K157" s="234">
        <f>+'Human Considerations'!BB159</f>
        <v>3</v>
      </c>
      <c r="L157" s="234">
        <f>+'Human Considerations'!BF159</f>
        <v>-3</v>
      </c>
      <c r="M157" s="234">
        <f>+'Human Considerations'!BJ159</f>
        <v>-1</v>
      </c>
      <c r="N157" s="234">
        <f>+'Human Considerations'!BN159</f>
        <v>-1</v>
      </c>
      <c r="O157" s="234">
        <f>+'Human Considerations'!BR159</f>
        <v>2</v>
      </c>
    </row>
    <row r="158" spans="1:15" ht="13.5" customHeight="1" x14ac:dyDescent="0.2">
      <c r="A158" s="231">
        <f>+'Human Considerations'!A160</f>
        <v>157</v>
      </c>
      <c r="B158" s="232" t="str">
        <f>+'Human Considerations'!B160</f>
        <v>Waterspreading</v>
      </c>
      <c r="C158" s="233">
        <f>+'Human Considerations'!D160</f>
        <v>640</v>
      </c>
      <c r="D158" s="234">
        <f>+'Human Considerations'!Z160</f>
        <v>2</v>
      </c>
      <c r="E158" s="234">
        <f>+'Human Considerations'!AD160</f>
        <v>-4</v>
      </c>
      <c r="F158" s="234">
        <f>+'Human Considerations'!AH160</f>
        <v>-3</v>
      </c>
      <c r="G158" s="234">
        <f>+'Human Considerations'!AL160</f>
        <v>-2</v>
      </c>
      <c r="H158" s="234">
        <f>+'Human Considerations'!AP160</f>
        <v>2</v>
      </c>
      <c r="I158" s="234">
        <f>+'Human Considerations'!AT160</f>
        <v>0</v>
      </c>
      <c r="J158" s="234">
        <f>+'Human Considerations'!AX160</f>
        <v>0</v>
      </c>
      <c r="K158" s="234">
        <f>+'Human Considerations'!BB160</f>
        <v>2</v>
      </c>
      <c r="L158" s="234">
        <f>+'Human Considerations'!BF160</f>
        <v>0</v>
      </c>
      <c r="M158" s="234">
        <f>+'Human Considerations'!BJ160</f>
        <v>-1</v>
      </c>
      <c r="N158" s="234">
        <f>+'Human Considerations'!BN160</f>
        <v>-1</v>
      </c>
      <c r="O158" s="234">
        <f>+'Human Considerations'!BR160</f>
        <v>2</v>
      </c>
    </row>
    <row r="159" spans="1:15" ht="13.5" customHeight="1" x14ac:dyDescent="0.2">
      <c r="A159" s="231">
        <f>+'Human Considerations'!A161</f>
        <v>158</v>
      </c>
      <c r="B159" s="232" t="str">
        <f>+'Human Considerations'!B161</f>
        <v>Well Water Testing</v>
      </c>
      <c r="C159" s="233">
        <f>+'Human Considerations'!D161</f>
        <v>355</v>
      </c>
      <c r="D159" s="234">
        <f>+'Human Considerations'!Z161</f>
        <v>0</v>
      </c>
      <c r="E159" s="234">
        <f>+'Human Considerations'!AD161</f>
        <v>-3</v>
      </c>
      <c r="F159" s="234">
        <f>+'Human Considerations'!AH161</f>
        <v>0</v>
      </c>
      <c r="G159" s="234">
        <f>+'Human Considerations'!AL161</f>
        <v>-5</v>
      </c>
      <c r="H159" s="234">
        <f>+'Human Considerations'!AP161</f>
        <v>0</v>
      </c>
      <c r="I159" s="234">
        <f>+'Human Considerations'!AT161</f>
        <v>0</v>
      </c>
      <c r="J159" s="234">
        <f>+'Human Considerations'!AX161</f>
        <v>0</v>
      </c>
      <c r="K159" s="234">
        <f>+'Human Considerations'!BB161</f>
        <v>0</v>
      </c>
      <c r="L159" s="234">
        <f>+'Human Considerations'!BF161</f>
        <v>-5</v>
      </c>
      <c r="M159" s="234">
        <f>+'Human Considerations'!BJ161</f>
        <v>-1</v>
      </c>
      <c r="N159" s="234">
        <f>+'Human Considerations'!BN161</f>
        <v>-2</v>
      </c>
      <c r="O159" s="234">
        <f>+'Human Considerations'!BR161</f>
        <v>0</v>
      </c>
    </row>
    <row r="160" spans="1:15" ht="13.5" customHeight="1" x14ac:dyDescent="0.2">
      <c r="A160" s="231">
        <f>+'Human Considerations'!A162</f>
        <v>159</v>
      </c>
      <c r="B160" s="232" t="str">
        <f>+'Human Considerations'!B162</f>
        <v>Wetland Creation</v>
      </c>
      <c r="C160" s="233">
        <f>+'Human Considerations'!D162</f>
        <v>658</v>
      </c>
      <c r="D160" s="234">
        <f>+'Human Considerations'!Z162</f>
        <v>2</v>
      </c>
      <c r="E160" s="234">
        <f>+'Human Considerations'!AD162</f>
        <v>-5</v>
      </c>
      <c r="F160" s="234">
        <f>+'Human Considerations'!AH162</f>
        <v>-1</v>
      </c>
      <c r="G160" s="234">
        <f>+'Human Considerations'!AL162</f>
        <v>-5</v>
      </c>
      <c r="H160" s="234">
        <f>+'Human Considerations'!AP162</f>
        <v>0</v>
      </c>
      <c r="I160" s="234">
        <f>+'Human Considerations'!AT162</f>
        <v>0</v>
      </c>
      <c r="J160" s="234">
        <f>+'Human Considerations'!AX162</f>
        <v>5</v>
      </c>
      <c r="K160" s="234">
        <f>+'Human Considerations'!BB162</f>
        <v>-5</v>
      </c>
      <c r="L160" s="234">
        <f>+'Human Considerations'!BF162</f>
        <v>0</v>
      </c>
      <c r="M160" s="234">
        <f>+'Human Considerations'!BJ162</f>
        <v>2</v>
      </c>
      <c r="N160" s="234">
        <f>+'Human Considerations'!BN162</f>
        <v>-2</v>
      </c>
      <c r="O160" s="234">
        <f>+'Human Considerations'!BR162</f>
        <v>-1</v>
      </c>
    </row>
    <row r="161" spans="1:15" ht="13.5" customHeight="1" x14ac:dyDescent="0.2">
      <c r="A161" s="231">
        <f>+'Human Considerations'!A163</f>
        <v>160</v>
      </c>
      <c r="B161" s="232" t="str">
        <f>+'Human Considerations'!B163</f>
        <v>Wetland Enhancement</v>
      </c>
      <c r="C161" s="233">
        <f>+'Human Considerations'!D163</f>
        <v>659</v>
      </c>
      <c r="D161" s="234">
        <f>+'Human Considerations'!Z163</f>
        <v>2</v>
      </c>
      <c r="E161" s="234">
        <f>+'Human Considerations'!AD163</f>
        <v>-5</v>
      </c>
      <c r="F161" s="234">
        <f>+'Human Considerations'!AH163</f>
        <v>-1</v>
      </c>
      <c r="G161" s="234">
        <f>+'Human Considerations'!AL163</f>
        <v>-5</v>
      </c>
      <c r="H161" s="234">
        <f>+'Human Considerations'!AP163</f>
        <v>0</v>
      </c>
      <c r="I161" s="234">
        <f>+'Human Considerations'!AT163</f>
        <v>0</v>
      </c>
      <c r="J161" s="234">
        <f>+'Human Considerations'!AX163</f>
        <v>3</v>
      </c>
      <c r="K161" s="234">
        <f>+'Human Considerations'!BB163</f>
        <v>-3</v>
      </c>
      <c r="L161" s="234">
        <f>+'Human Considerations'!BF163</f>
        <v>0</v>
      </c>
      <c r="M161" s="234">
        <f>+'Human Considerations'!BJ163</f>
        <v>1</v>
      </c>
      <c r="N161" s="234">
        <f>+'Human Considerations'!BN163</f>
        <v>-2</v>
      </c>
      <c r="O161" s="234">
        <f>+'Human Considerations'!BR163</f>
        <v>2</v>
      </c>
    </row>
    <row r="162" spans="1:15" ht="13.5" customHeight="1" x14ac:dyDescent="0.2">
      <c r="A162" s="231">
        <f>+'Human Considerations'!A164</f>
        <v>161</v>
      </c>
      <c r="B162" s="232" t="str">
        <f>+'Human Considerations'!B164</f>
        <v>Wetland Restoration</v>
      </c>
      <c r="C162" s="233">
        <f>+'Human Considerations'!D164</f>
        <v>657</v>
      </c>
      <c r="D162" s="234">
        <f>+'Human Considerations'!Z164</f>
        <v>2</v>
      </c>
      <c r="E162" s="234">
        <f>+'Human Considerations'!AD164</f>
        <v>-5</v>
      </c>
      <c r="F162" s="234">
        <f>+'Human Considerations'!AH164</f>
        <v>-1</v>
      </c>
      <c r="G162" s="234">
        <f>+'Human Considerations'!AL164</f>
        <v>-5</v>
      </c>
      <c r="H162" s="234">
        <f>+'Human Considerations'!AP164</f>
        <v>0</v>
      </c>
      <c r="I162" s="234">
        <f>+'Human Considerations'!AT164</f>
        <v>0</v>
      </c>
      <c r="J162" s="234">
        <f>+'Human Considerations'!AX164</f>
        <v>3</v>
      </c>
      <c r="K162" s="234">
        <f>+'Human Considerations'!BB164</f>
        <v>-3</v>
      </c>
      <c r="L162" s="234">
        <f>+'Human Considerations'!BF164</f>
        <v>0</v>
      </c>
      <c r="M162" s="234">
        <f>+'Human Considerations'!BJ164</f>
        <v>1</v>
      </c>
      <c r="N162" s="234">
        <f>+'Human Considerations'!BN164</f>
        <v>-2</v>
      </c>
      <c r="O162" s="234">
        <f>+'Human Considerations'!BR164</f>
        <v>2</v>
      </c>
    </row>
    <row r="163" spans="1:15" ht="13.5" customHeight="1" x14ac:dyDescent="0.2">
      <c r="A163" s="231">
        <f>+'Human Considerations'!A165</f>
        <v>162</v>
      </c>
      <c r="B163" s="232" t="str">
        <f>+'Human Considerations'!B165</f>
        <v>Wetland Wildlife Habitat Management</v>
      </c>
      <c r="C163" s="233">
        <f>+'Human Considerations'!D165</f>
        <v>644</v>
      </c>
      <c r="D163" s="234">
        <f>+'Human Considerations'!Z165</f>
        <v>0</v>
      </c>
      <c r="E163" s="234">
        <f>+'Human Considerations'!AD165</f>
        <v>-5</v>
      </c>
      <c r="F163" s="234">
        <f>+'Human Considerations'!AH165</f>
        <v>0</v>
      </c>
      <c r="G163" s="234">
        <f>+'Human Considerations'!AL165</f>
        <v>-4</v>
      </c>
      <c r="H163" s="234">
        <f>+'Human Considerations'!AP165</f>
        <v>2</v>
      </c>
      <c r="I163" s="234">
        <f>+'Human Considerations'!AT165</f>
        <v>0</v>
      </c>
      <c r="J163" s="234">
        <f>+'Human Considerations'!AX165</f>
        <v>0</v>
      </c>
      <c r="K163" s="234">
        <f>+'Human Considerations'!BB165</f>
        <v>0</v>
      </c>
      <c r="L163" s="234">
        <f>+'Human Considerations'!BF165</f>
        <v>0</v>
      </c>
      <c r="M163" s="234">
        <f>+'Human Considerations'!BJ165</f>
        <v>-1</v>
      </c>
      <c r="N163" s="234">
        <f>+'Human Considerations'!BN165</f>
        <v>-3</v>
      </c>
      <c r="O163" s="234">
        <f>+'Human Considerations'!BR165</f>
        <v>2</v>
      </c>
    </row>
    <row r="164" spans="1:15" ht="13.5" customHeight="1" x14ac:dyDescent="0.2">
      <c r="A164" s="231">
        <f>+'Human Considerations'!A166</f>
        <v>163</v>
      </c>
      <c r="B164" s="232" t="str">
        <f>+'Human Considerations'!B167</f>
        <v>Windbreak/Shelterbelt Establishment</v>
      </c>
      <c r="C164" s="233">
        <f>+'Human Considerations'!D167</f>
        <v>380</v>
      </c>
      <c r="D164" s="234">
        <f>+'Human Considerations'!Z167</f>
        <v>2</v>
      </c>
      <c r="E164" s="234">
        <f>+'Human Considerations'!AD167</f>
        <v>-4</v>
      </c>
      <c r="F164" s="234">
        <f>+'Human Considerations'!AH167</f>
        <v>-1</v>
      </c>
      <c r="G164" s="234">
        <f>+'Human Considerations'!AL167</f>
        <v>-4</v>
      </c>
      <c r="H164" s="234">
        <f>+'Human Considerations'!AP167</f>
        <v>2</v>
      </c>
      <c r="I164" s="234">
        <f>+'Human Considerations'!AT167</f>
        <v>0</v>
      </c>
      <c r="J164" s="234">
        <f>+'Human Considerations'!AX167</f>
        <v>1</v>
      </c>
      <c r="K164" s="234">
        <f>+'Human Considerations'!BB167</f>
        <v>-1</v>
      </c>
      <c r="L164" s="234">
        <f>+'Human Considerations'!BF167</f>
        <v>0</v>
      </c>
      <c r="M164" s="234">
        <f>+'Human Considerations'!BJ167</f>
        <v>-1</v>
      </c>
      <c r="N164" s="234">
        <f>+'Human Considerations'!BN167</f>
        <v>0</v>
      </c>
      <c r="O164" s="234">
        <f>+'Human Considerations'!BR167</f>
        <v>-1</v>
      </c>
    </row>
    <row r="165" spans="1:15" ht="13.5" customHeight="1" x14ac:dyDescent="0.2">
      <c r="A165" s="231">
        <f>+'Human Considerations'!A167</f>
        <v>164</v>
      </c>
      <c r="B165" s="232" t="str">
        <f>+'Human Considerations'!B168</f>
        <v>Windbreak/Shelterbelt Renovation</v>
      </c>
      <c r="C165" s="233">
        <f>+'Human Considerations'!D168</f>
        <v>650</v>
      </c>
      <c r="D165" s="234">
        <f>+'Human Considerations'!Z168</f>
        <v>2</v>
      </c>
      <c r="E165" s="234">
        <f>+'Human Considerations'!AD168</f>
        <v>-2</v>
      </c>
      <c r="F165" s="234">
        <f>+'Human Considerations'!AH168</f>
        <v>-1</v>
      </c>
      <c r="G165" s="234">
        <f>+'Human Considerations'!AL168</f>
        <v>-3</v>
      </c>
      <c r="H165" s="234">
        <f>+'Human Considerations'!AP168</f>
        <v>2</v>
      </c>
      <c r="I165" s="234">
        <f>+'Human Considerations'!AT168</f>
        <v>0</v>
      </c>
      <c r="J165" s="234">
        <f>+'Human Considerations'!AX168</f>
        <v>0</v>
      </c>
      <c r="K165" s="234">
        <f>+'Human Considerations'!BB168</f>
        <v>0</v>
      </c>
      <c r="L165" s="234">
        <f>+'Human Considerations'!BF168</f>
        <v>0</v>
      </c>
      <c r="M165" s="234">
        <f>+'Human Considerations'!BJ168</f>
        <v>-1</v>
      </c>
      <c r="N165" s="234">
        <f>+'Human Considerations'!BN168</f>
        <v>0</v>
      </c>
      <c r="O165" s="234">
        <f>+'Human Considerations'!BR168</f>
        <v>0</v>
      </c>
    </row>
    <row r="166" spans="1:15" ht="13.5" customHeight="1" x14ac:dyDescent="0.2">
      <c r="A166" s="231">
        <f>+'Human Considerations'!A168</f>
        <v>165</v>
      </c>
      <c r="B166" s="232" t="str">
        <f>+'Human Considerations'!B169</f>
        <v>Woody Residue Treatment</v>
      </c>
      <c r="C166" s="233">
        <f>+'Human Considerations'!D169</f>
        <v>384</v>
      </c>
      <c r="D166" s="234">
        <f>+'Human Considerations'!Z169</f>
        <v>2</v>
      </c>
      <c r="E166" s="234">
        <f>+'Human Considerations'!AD169</f>
        <v>-4</v>
      </c>
      <c r="F166" s="234">
        <f>+'Human Considerations'!AH169</f>
        <v>0</v>
      </c>
      <c r="G166" s="234">
        <f>+'Human Considerations'!AL169</f>
        <v>-2</v>
      </c>
      <c r="H166" s="234">
        <f>+'Human Considerations'!AP169</f>
        <v>2</v>
      </c>
      <c r="I166" s="234">
        <f>+'Human Considerations'!AT169</f>
        <v>0</v>
      </c>
      <c r="J166" s="234">
        <f>+'Human Considerations'!AX169</f>
        <v>0</v>
      </c>
      <c r="K166" s="234">
        <f>+'Human Considerations'!BB169</f>
        <v>0</v>
      </c>
      <c r="L166" s="234">
        <f>+'Human Considerations'!BF169</f>
        <v>0</v>
      </c>
      <c r="M166" s="234">
        <f>+'Human Considerations'!BJ169</f>
        <v>-1</v>
      </c>
      <c r="N166" s="234">
        <f>+'Human Considerations'!BN169</f>
        <v>-1</v>
      </c>
      <c r="O166" s="234">
        <f>+'Human Considerations'!BR169</f>
        <v>2</v>
      </c>
    </row>
    <row r="167" spans="1:15" ht="13.5" customHeight="1" x14ac:dyDescent="0.2">
      <c r="A167" s="231">
        <f>+'Human Considerations'!A169</f>
        <v>166</v>
      </c>
      <c r="B167" s="232" t="s">
        <v>2231</v>
      </c>
      <c r="C167" s="233" t="s">
        <v>2231</v>
      </c>
      <c r="D167" s="235"/>
      <c r="E167" s="235"/>
      <c r="F167" s="235"/>
      <c r="G167" s="235"/>
      <c r="H167" s="235"/>
      <c r="I167" s="235"/>
      <c r="J167" s="235"/>
      <c r="K167" s="235"/>
      <c r="L167" s="235"/>
      <c r="M167" s="235"/>
      <c r="N167" s="235"/>
      <c r="O167" s="235"/>
    </row>
    <row r="168" spans="1:15" ht="13.5" customHeight="1" x14ac:dyDescent="0.2">
      <c r="A168" s="231"/>
      <c r="B168" s="232"/>
      <c r="C168" s="233"/>
      <c r="D168" s="235"/>
      <c r="E168" s="235"/>
      <c r="F168" s="235"/>
      <c r="G168" s="235"/>
      <c r="H168" s="235"/>
      <c r="I168" s="235"/>
      <c r="J168" s="235"/>
      <c r="K168" s="235"/>
      <c r="L168" s="235"/>
      <c r="M168" s="235"/>
      <c r="N168" s="235"/>
      <c r="O168" s="235"/>
    </row>
    <row r="169" spans="1:15" ht="13.5" customHeight="1" x14ac:dyDescent="0.2">
      <c r="A169" s="231"/>
      <c r="B169" s="232"/>
      <c r="C169" s="233"/>
      <c r="D169" s="235"/>
      <c r="E169" s="235"/>
      <c r="F169" s="235"/>
      <c r="G169" s="235"/>
      <c r="H169" s="235"/>
      <c r="I169" s="235"/>
      <c r="J169" s="235"/>
      <c r="K169" s="235"/>
      <c r="L169" s="235"/>
      <c r="M169" s="235"/>
      <c r="N169" s="235"/>
      <c r="O169" s="235"/>
    </row>
    <row r="170" spans="1:15" ht="13.5" customHeight="1" x14ac:dyDescent="0.2">
      <c r="A170" s="231"/>
      <c r="B170" s="232"/>
      <c r="C170" s="233"/>
      <c r="D170" s="235"/>
      <c r="E170" s="235"/>
      <c r="F170" s="235"/>
      <c r="G170" s="235"/>
      <c r="H170" s="235"/>
      <c r="I170" s="235"/>
      <c r="J170" s="235"/>
      <c r="K170" s="235"/>
      <c r="L170" s="235"/>
      <c r="M170" s="235"/>
      <c r="N170" s="235"/>
      <c r="O170" s="235"/>
    </row>
    <row r="171" spans="1:15" ht="13.5" customHeight="1" x14ac:dyDescent="0.2">
      <c r="A171" s="231"/>
      <c r="B171" s="232"/>
      <c r="C171" s="233"/>
      <c r="D171" s="235"/>
      <c r="E171" s="235"/>
      <c r="F171" s="235"/>
      <c r="G171" s="235"/>
      <c r="H171" s="235"/>
      <c r="I171" s="235"/>
      <c r="J171" s="235"/>
      <c r="K171" s="235"/>
      <c r="L171" s="235"/>
      <c r="M171" s="235"/>
      <c r="N171" s="235"/>
      <c r="O171" s="235"/>
    </row>
    <row r="172" spans="1:15" ht="13.5" customHeight="1" x14ac:dyDescent="0.2">
      <c r="A172" s="231"/>
      <c r="B172" s="232"/>
      <c r="C172" s="233"/>
      <c r="D172" s="235"/>
      <c r="E172" s="235"/>
      <c r="F172" s="235"/>
      <c r="G172" s="235"/>
      <c r="H172" s="235"/>
      <c r="I172" s="235"/>
      <c r="J172" s="235"/>
      <c r="K172" s="235"/>
      <c r="L172" s="235"/>
      <c r="M172" s="235"/>
      <c r="N172" s="235"/>
      <c r="O172" s="235"/>
    </row>
    <row r="173" spans="1:15" ht="13.5" customHeight="1" x14ac:dyDescent="0.2">
      <c r="A173" s="231"/>
      <c r="B173" s="232"/>
      <c r="C173" s="233"/>
      <c r="D173" s="235"/>
      <c r="E173" s="235"/>
      <c r="F173" s="235"/>
      <c r="G173" s="235"/>
      <c r="H173" s="235"/>
      <c r="I173" s="235"/>
      <c r="J173" s="235"/>
      <c r="K173" s="235"/>
      <c r="L173" s="235"/>
      <c r="M173" s="235"/>
      <c r="N173" s="235"/>
      <c r="O173" s="235"/>
    </row>
    <row r="174" spans="1:15" ht="13.5" customHeight="1" x14ac:dyDescent="0.2">
      <c r="A174" s="231"/>
      <c r="B174" s="232"/>
      <c r="C174" s="233"/>
      <c r="D174" s="235"/>
      <c r="E174" s="235"/>
      <c r="F174" s="235"/>
      <c r="G174" s="235"/>
      <c r="H174" s="235"/>
      <c r="I174" s="235"/>
      <c r="J174" s="235"/>
      <c r="K174" s="235"/>
      <c r="L174" s="235"/>
      <c r="M174" s="235"/>
      <c r="N174" s="235"/>
      <c r="O174" s="235"/>
    </row>
    <row r="175" spans="1:15" ht="13.5" customHeight="1" x14ac:dyDescent="0.2">
      <c r="A175" s="231"/>
      <c r="B175" s="232"/>
      <c r="C175" s="233"/>
      <c r="D175" s="235"/>
      <c r="E175" s="235"/>
      <c r="F175" s="235"/>
      <c r="G175" s="235"/>
      <c r="H175" s="235"/>
      <c r="I175" s="235"/>
      <c r="J175" s="235"/>
      <c r="K175" s="235"/>
      <c r="L175" s="235"/>
      <c r="M175" s="235"/>
      <c r="N175" s="235"/>
      <c r="O175" s="235"/>
    </row>
    <row r="176" spans="1:15" ht="13.5" customHeight="1" x14ac:dyDescent="0.2">
      <c r="A176" s="231"/>
      <c r="B176" s="232"/>
      <c r="C176" s="233"/>
      <c r="D176" s="235"/>
      <c r="E176" s="235"/>
      <c r="F176" s="235"/>
      <c r="G176" s="235"/>
      <c r="H176" s="235"/>
      <c r="I176" s="235"/>
      <c r="J176" s="235"/>
      <c r="K176" s="235"/>
      <c r="L176" s="235"/>
      <c r="M176" s="235"/>
      <c r="N176" s="235"/>
      <c r="O176" s="235"/>
    </row>
    <row r="177" spans="1:15" ht="13.5" customHeight="1" x14ac:dyDescent="0.2">
      <c r="A177" s="231"/>
      <c r="B177" s="232"/>
      <c r="C177" s="233"/>
      <c r="D177" s="235"/>
      <c r="E177" s="235"/>
      <c r="F177" s="235"/>
      <c r="G177" s="235"/>
      <c r="H177" s="235"/>
      <c r="I177" s="235"/>
      <c r="J177" s="235"/>
      <c r="K177" s="235"/>
      <c r="L177" s="235"/>
      <c r="M177" s="235"/>
      <c r="N177" s="235"/>
      <c r="O177" s="235"/>
    </row>
    <row r="178" spans="1:15" ht="13.5" customHeight="1" x14ac:dyDescent="0.2">
      <c r="A178" s="231">
        <f>+'Human Considerations'!A180</f>
        <v>168</v>
      </c>
      <c r="B178" s="232" t="s">
        <v>2231</v>
      </c>
      <c r="C178" s="233" t="s">
        <v>2231</v>
      </c>
      <c r="D178" s="235"/>
      <c r="E178" s="235"/>
      <c r="F178" s="235"/>
      <c r="G178" s="235"/>
      <c r="H178" s="235"/>
      <c r="I178" s="235"/>
      <c r="J178" s="235"/>
      <c r="K178" s="235"/>
      <c r="L178" s="235"/>
      <c r="M178" s="235"/>
      <c r="N178" s="235"/>
      <c r="O178" s="235"/>
    </row>
    <row r="179" spans="1:15" x14ac:dyDescent="0.2">
      <c r="B179" s="236" t="s">
        <v>2231</v>
      </c>
    </row>
  </sheetData>
  <pageMargins left="0.7" right="0.7" top="0.75" bottom="0.75" header="0.3" footer="0.3"/>
  <pageSetup scale="145"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theme="5" tint="0.39997558519241921"/>
  </sheetPr>
  <dimension ref="A2:N44"/>
  <sheetViews>
    <sheetView zoomScale="66" zoomScaleNormal="66" workbookViewId="0">
      <pane xSplit="3" ySplit="4" topLeftCell="D5" activePane="bottomRight" state="frozen"/>
      <selection activeCell="H5" sqref="H5"/>
      <selection pane="topRight" activeCell="H5" sqref="H5"/>
      <selection pane="bottomLeft" activeCell="H5" sqref="H5"/>
      <selection pane="bottomRight"/>
    </sheetView>
  </sheetViews>
  <sheetFormatPr defaultColWidth="8.85546875" defaultRowHeight="12.75" x14ac:dyDescent="0.2"/>
  <cols>
    <col min="1" max="1" width="3.42578125" style="58" customWidth="1"/>
    <col min="2" max="2" width="18.42578125" style="53" customWidth="1"/>
    <col min="3" max="3" width="54.28515625" style="58" customWidth="1"/>
    <col min="4" max="14" width="16.7109375" style="58" customWidth="1"/>
    <col min="15" max="16384" width="8.85546875" style="58"/>
  </cols>
  <sheetData>
    <row r="2" spans="2:14" ht="13.5" thickBot="1" x14ac:dyDescent="0.25">
      <c r="B2" s="238" t="s">
        <v>2730</v>
      </c>
      <c r="C2" s="238" t="s">
        <v>2731</v>
      </c>
      <c r="D2" s="238" t="s">
        <v>2732</v>
      </c>
    </row>
    <row r="3" spans="2:14" ht="85.5" customHeight="1" thickBot="1" x14ac:dyDescent="0.25">
      <c r="C3" s="272" t="s">
        <v>3500</v>
      </c>
      <c r="D3" s="239" t="s">
        <v>967</v>
      </c>
      <c r="E3" s="240" t="s">
        <v>964</v>
      </c>
      <c r="F3" s="240" t="s">
        <v>966</v>
      </c>
      <c r="G3" s="240" t="s">
        <v>963</v>
      </c>
      <c r="H3" s="240" t="s">
        <v>965</v>
      </c>
      <c r="I3" s="240" t="s">
        <v>986</v>
      </c>
      <c r="J3" s="240" t="s">
        <v>958</v>
      </c>
      <c r="K3" s="240" t="s">
        <v>961</v>
      </c>
      <c r="L3" s="240" t="s">
        <v>959</v>
      </c>
      <c r="M3" s="240" t="s">
        <v>962</v>
      </c>
      <c r="N3" s="241" t="s">
        <v>960</v>
      </c>
    </row>
    <row r="4" spans="2:14" ht="13.5" thickBot="1" x14ac:dyDescent="0.25">
      <c r="C4" s="367" t="s">
        <v>3499</v>
      </c>
      <c r="D4" s="242">
        <v>5</v>
      </c>
      <c r="E4" s="242">
        <v>4</v>
      </c>
      <c r="F4" s="242">
        <v>3</v>
      </c>
      <c r="G4" s="242">
        <v>2</v>
      </c>
      <c r="H4" s="242">
        <v>1</v>
      </c>
      <c r="I4" s="242">
        <v>0</v>
      </c>
      <c r="J4" s="242">
        <v>-1</v>
      </c>
      <c r="K4" s="242">
        <v>-2</v>
      </c>
      <c r="L4" s="242">
        <v>-3</v>
      </c>
      <c r="M4" s="242">
        <v>-4</v>
      </c>
      <c r="N4" s="242">
        <v>-5</v>
      </c>
    </row>
    <row r="5" spans="2:14" ht="72" customHeight="1" thickBot="1" x14ac:dyDescent="0.25">
      <c r="B5" s="312" t="s">
        <v>416</v>
      </c>
      <c r="C5" s="359" t="s">
        <v>1459</v>
      </c>
      <c r="D5" s="362" t="s">
        <v>2733</v>
      </c>
      <c r="E5" s="363" t="s">
        <v>2733</v>
      </c>
      <c r="F5" s="363" t="s">
        <v>2733</v>
      </c>
      <c r="G5" s="363" t="s">
        <v>2733</v>
      </c>
      <c r="H5" s="363" t="s">
        <v>2733</v>
      </c>
      <c r="I5" s="363" t="s">
        <v>2733</v>
      </c>
      <c r="J5" s="363" t="s">
        <v>2733</v>
      </c>
      <c r="K5" s="363" t="s">
        <v>2733</v>
      </c>
      <c r="L5" s="363" t="s">
        <v>2733</v>
      </c>
      <c r="M5" s="363" t="s">
        <v>2733</v>
      </c>
      <c r="N5" s="363" t="s">
        <v>2733</v>
      </c>
    </row>
    <row r="6" spans="2:14" ht="52.15" customHeight="1" thickBot="1" x14ac:dyDescent="0.25">
      <c r="B6" s="312" t="s">
        <v>1673</v>
      </c>
      <c r="C6" s="360" t="s">
        <v>1586</v>
      </c>
      <c r="D6" s="364" t="str">
        <f>+Lookup!G92</f>
        <v>100 percent permanent change in landuse</v>
      </c>
      <c r="E6" s="364" t="str">
        <f>+Lookup!G93</f>
        <v>50 to 75 percent change in landuse</v>
      </c>
      <c r="F6" s="364" t="str">
        <f>+Lookup!G94</f>
        <v>5 to 50 percent change in landuse</v>
      </c>
      <c r="G6" s="364" t="str">
        <f>+Lookup!G95</f>
        <v>1 to 5 percent change in landuse</v>
      </c>
      <c r="H6" s="364" t="str">
        <f>+Lookup!G96</f>
        <v>1 percent or less change in landuse</v>
      </c>
      <c r="I6" s="364" t="str">
        <f>+Lookup!G97</f>
        <v>No change in landuse</v>
      </c>
      <c r="J6" s="364" t="s">
        <v>1751</v>
      </c>
      <c r="K6" s="364" t="s">
        <v>1751</v>
      </c>
      <c r="L6" s="364" t="s">
        <v>1751</v>
      </c>
      <c r="M6" s="364" t="s">
        <v>1751</v>
      </c>
      <c r="N6" s="364" t="s">
        <v>1751</v>
      </c>
    </row>
    <row r="7" spans="2:14" ht="73.150000000000006" customHeight="1" thickBot="1" x14ac:dyDescent="0.25">
      <c r="B7" s="312" t="s">
        <v>1674</v>
      </c>
      <c r="C7" s="361" t="s">
        <v>1587</v>
      </c>
      <c r="D7" s="364" t="str">
        <f>+Lookup!G100</f>
        <v>100 percent of area change to more intensive agricultural use</v>
      </c>
      <c r="E7" s="364" t="str">
        <f>+Lookup!G101</f>
        <v>50 to 75 percent of area change to more intensive agricultural use</v>
      </c>
      <c r="F7" s="364" t="str">
        <f>+Lookup!G102</f>
        <v>5 to 50 percent of area change to more intensive agricultural use</v>
      </c>
      <c r="G7" s="364" t="str">
        <f>+Lookup!G103</f>
        <v>1 to 5 percent of area change to more intensive agricultural use</v>
      </c>
      <c r="H7" s="364" t="str">
        <f>+Lookup!G104</f>
        <v>1 percent or less of area change to more intensive agricultural use</v>
      </c>
      <c r="I7" s="364" t="str">
        <f>+Lookup!G105</f>
        <v>No change in agricultural production</v>
      </c>
      <c r="J7" s="364" t="str">
        <f>+Lookup!G106</f>
        <v>1 percent or less of area change to less intensive agricultural use</v>
      </c>
      <c r="K7" s="364" t="str">
        <f>+Lookup!G107</f>
        <v>1 to 5 percent of area change to less intensive agricultural use</v>
      </c>
      <c r="L7" s="364" t="str">
        <f>+Lookup!G108</f>
        <v>5 to 50 percent of area change to less intensive agricultural use</v>
      </c>
      <c r="M7" s="364" t="str">
        <f>+Lookup!G109</f>
        <v>50 to 75 percent of area change to less intensive agricultural use</v>
      </c>
      <c r="N7" s="364" t="str">
        <f>+Lookup!G110</f>
        <v>100 percent of area change to less intensive agricultural use</v>
      </c>
    </row>
    <row r="8" spans="2:14" ht="77.25" thickBot="1" x14ac:dyDescent="0.25">
      <c r="B8" s="312" t="s">
        <v>1675</v>
      </c>
      <c r="C8" s="361" t="s">
        <v>2734</v>
      </c>
      <c r="D8" s="364" t="s">
        <v>1751</v>
      </c>
      <c r="E8" s="364" t="s">
        <v>1751</v>
      </c>
      <c r="F8" s="364" t="s">
        <v>1751</v>
      </c>
      <c r="G8" s="364" t="s">
        <v>1751</v>
      </c>
      <c r="H8" s="364" t="s">
        <v>1751</v>
      </c>
      <c r="I8" s="364" t="str">
        <f>+Lookup!H118</f>
        <v>No change in on-farm equipment</v>
      </c>
      <c r="J8" s="364" t="str">
        <f>+Lookup!H117</f>
        <v>Annual on-farm equipment costs 5% or less of enterprise annual net income</v>
      </c>
      <c r="K8" s="364" t="str">
        <f>+Lookup!H116</f>
        <v>Annual on-farm equipment costs 25 to 5% of enterprise annual net income</v>
      </c>
      <c r="L8" s="364" t="str">
        <f>+Lookup!H115</f>
        <v>Annual on-farm equipment costs 50 to 25% of enterprise annual net income</v>
      </c>
      <c r="M8" s="364" t="str">
        <f>+Lookup!H114</f>
        <v>Annual on-farm equipment costs 75 to 50% of enterprise annual net income</v>
      </c>
      <c r="N8" s="364" t="str">
        <f>+Lookup!H113</f>
        <v>Annual on-farm equipment costs 75% or greater of enterprise annual net income</v>
      </c>
    </row>
    <row r="9" spans="2:14" ht="65.45" customHeight="1" thickBot="1" x14ac:dyDescent="0.25">
      <c r="B9" s="312" t="s">
        <v>1400</v>
      </c>
      <c r="C9" s="361" t="s">
        <v>1041</v>
      </c>
      <c r="D9" s="364" t="s">
        <v>1751</v>
      </c>
      <c r="E9" s="364" t="s">
        <v>1751</v>
      </c>
      <c r="F9" s="364" t="s">
        <v>1751</v>
      </c>
      <c r="G9" s="364" t="s">
        <v>1751</v>
      </c>
      <c r="H9" s="364" t="s">
        <v>1751</v>
      </c>
      <c r="I9" s="364" t="str">
        <f>+Lookup!H28</f>
        <v>No investment cost</v>
      </c>
      <c r="J9" s="364" t="str">
        <f>+Lookup!H29</f>
        <v>One-time practice implementation cost 5% or less of enterprise annual net income</v>
      </c>
      <c r="K9" s="364" t="str">
        <f>+Lookup!H30</f>
        <v>One-time practice implementation cost 5 to 100% of enterprise annual net income</v>
      </c>
      <c r="L9" s="364" t="str">
        <f>+Lookup!H31</f>
        <v>One-time practice implementation cost 1 to 2 times enterprise annual net income</v>
      </c>
      <c r="M9" s="364" t="str">
        <f>+Lookup!H32</f>
        <v>One-time practice implementation cost 2 to 5 times enterprise annual net income</v>
      </c>
      <c r="N9" s="364" t="str">
        <f>+Lookup!H33</f>
        <v>One-time practice implementation cost 5 times or greater enterprise annual net income</v>
      </c>
    </row>
    <row r="10" spans="2:14" ht="57" customHeight="1" thickBot="1" x14ac:dyDescent="0.25">
      <c r="B10" s="312" t="s">
        <v>1401</v>
      </c>
      <c r="C10" s="361" t="s">
        <v>2735</v>
      </c>
      <c r="D10" s="364" t="s">
        <v>1751</v>
      </c>
      <c r="E10" s="364" t="s">
        <v>1751</v>
      </c>
      <c r="F10" s="364" t="s">
        <v>1751</v>
      </c>
      <c r="G10" s="364" t="s">
        <v>1751</v>
      </c>
      <c r="H10" s="364" t="s">
        <v>1751</v>
      </c>
      <c r="I10" s="364" t="str">
        <f>+Lookup!H38</f>
        <v>No O&amp;M costs</v>
      </c>
      <c r="J10" s="364" t="str">
        <f>+Lookup!H39</f>
        <v>Annual O&amp;M costs less than 1% of total installation costs</v>
      </c>
      <c r="K10" s="364" t="str">
        <f>+Lookup!H40</f>
        <v>Annual O&amp;M costs 1 to 2% of total installation costs</v>
      </c>
      <c r="L10" s="364" t="str">
        <f>+Lookup!H41</f>
        <v>Annual O&amp;M costs 2 to 3% of total installation costs</v>
      </c>
      <c r="M10" s="364" t="str">
        <f>+Lookup!H42</f>
        <v>Annual O&amp;M costs 3 to 4% of total installation costs</v>
      </c>
      <c r="N10" s="365" t="str">
        <f>+Lookup!H43</f>
        <v>Annual O&amp;M costs greater than 4% of total installation costs</v>
      </c>
    </row>
    <row r="11" spans="2:14" ht="71.45" customHeight="1" thickBot="1" x14ac:dyDescent="0.25">
      <c r="B11" s="312" t="s">
        <v>1403</v>
      </c>
      <c r="C11" s="361" t="s">
        <v>1417</v>
      </c>
      <c r="D11" s="364" t="str">
        <f>+Lookup!G121</f>
        <v>More than one half-time laborer no longer required for enterprise</v>
      </c>
      <c r="E11" s="364" t="str">
        <f>+Lookup!G122</f>
        <v>At least one quarter-time laborer no longer required for enterprise</v>
      </c>
      <c r="F11" s="364" t="str">
        <f>+Lookup!G123</f>
        <v>100 to 250 hours labor no longer required for enterprise</v>
      </c>
      <c r="G11" s="364" t="str">
        <f>+Lookup!G124</f>
        <v>50 to 100 hours labor no longer required for enterprise</v>
      </c>
      <c r="H11" s="364" t="str">
        <f>+Lookup!G125</f>
        <v>Up to 50 hours labor no longer required for enterprise</v>
      </c>
      <c r="I11" s="364" t="str">
        <f>+Lookup!G126</f>
        <v>No change in permanent labor</v>
      </c>
      <c r="J11" s="364" t="str">
        <f>+Lookup!G127</f>
        <v>Up to 50 hours additional labor required for enterprise</v>
      </c>
      <c r="K11" s="364" t="str">
        <f>+Lookup!G128</f>
        <v>50 to 100 additional hours labor required for enterprise</v>
      </c>
      <c r="L11" s="364" t="str">
        <f>+Lookup!G129</f>
        <v>100 to 250 hours additional labor required for enterprise</v>
      </c>
      <c r="M11" s="364" t="str">
        <f>+Lookup!G130</f>
        <v>At least one quarter-time laborer required for enterprise</v>
      </c>
      <c r="N11" s="364" t="str">
        <f>+Lookup!G131</f>
        <v>More than one half-time additional laborer required for enterprise</v>
      </c>
    </row>
    <row r="12" spans="2:14" ht="64.5" thickBot="1" x14ac:dyDescent="0.25">
      <c r="B12" s="312" t="s">
        <v>1404</v>
      </c>
      <c r="C12" s="361" t="s">
        <v>1418</v>
      </c>
      <c r="D12" s="364" t="str">
        <f>+Lookup!G134</f>
        <v>More than 100 hours management no longer required for enterprise</v>
      </c>
      <c r="E12" s="364" t="str">
        <f>+Lookup!G135</f>
        <v>50 to 100 hours management no longer required for enterprise</v>
      </c>
      <c r="F12" s="364" t="str">
        <f>+Lookup!G136</f>
        <v>25 to 50 hours management no longer required for enterprise</v>
      </c>
      <c r="G12" s="364" t="str">
        <f>+Lookup!G137</f>
        <v>10 to 25 hours management no longer required for enterprise</v>
      </c>
      <c r="H12" s="364" t="str">
        <f>+Lookup!G138</f>
        <v>Up to 10 hours management no longer required for enterprise</v>
      </c>
      <c r="I12" s="364" t="str">
        <f>+Lookup!G139</f>
        <v>No change in management</v>
      </c>
      <c r="J12" s="364" t="str">
        <f>+Lookup!G140</f>
        <v>Up to 10 hours additional management required for enterprise</v>
      </c>
      <c r="K12" s="364" t="str">
        <f>+Lookup!G141</f>
        <v>10 to 25 additional hours management required for enterprise</v>
      </c>
      <c r="L12" s="364" t="str">
        <f>+Lookup!G142</f>
        <v>25 to 50 additional hours management required for enterprise</v>
      </c>
      <c r="M12" s="364" t="str">
        <f>+Lookup!G143</f>
        <v>50 to 100 additional hours management required for enterprise</v>
      </c>
      <c r="N12" s="364" t="str">
        <f>+Lookup!G144</f>
        <v>More than 100 additional hours management required for enterprise</v>
      </c>
    </row>
    <row r="13" spans="2:14" ht="39" thickBot="1" x14ac:dyDescent="0.25">
      <c r="B13" s="312" t="s">
        <v>1405</v>
      </c>
      <c r="C13" s="361" t="s">
        <v>1419</v>
      </c>
      <c r="D13" s="364" t="str">
        <f>+Lookup!H63</f>
        <v>Greater than 50% yield increase</v>
      </c>
      <c r="E13" s="364" t="str">
        <f>+Lookup!H64</f>
        <v>25 to 50% yield increase</v>
      </c>
      <c r="F13" s="364" t="str">
        <f>+Lookup!H65</f>
        <v>10 to 25% yield increase</v>
      </c>
      <c r="G13" s="364" t="str">
        <f>+Lookup!H66</f>
        <v>5 to 10% yield increase</v>
      </c>
      <c r="H13" s="364" t="str">
        <f>+Lookup!H67</f>
        <v>5% or less yield increase</v>
      </c>
      <c r="I13" s="364" t="str">
        <f>+Lookup!H68</f>
        <v>No change in yield</v>
      </c>
      <c r="J13" s="364" t="str">
        <f>+Lookup!H69</f>
        <v>5% or less yield decrease</v>
      </c>
      <c r="K13" s="364" t="str">
        <f>+Lookup!H70</f>
        <v>5 to 10% yield decrease</v>
      </c>
      <c r="L13" s="364" t="str">
        <f>+Lookup!H71</f>
        <v>10 to 25% yield decrease</v>
      </c>
      <c r="M13" s="364" t="str">
        <f>+Lookup!H72</f>
        <v>25 to 50% yield decrease</v>
      </c>
      <c r="N13" s="364" t="str">
        <f>+Lookup!H73</f>
        <v>Greater than 50% yield decrease</v>
      </c>
    </row>
    <row r="14" spans="2:14" ht="81" customHeight="1" thickBot="1" x14ac:dyDescent="0.25">
      <c r="B14" s="312" t="s">
        <v>2729</v>
      </c>
      <c r="C14" s="361" t="s">
        <v>2736</v>
      </c>
      <c r="D14" s="364" t="str">
        <f>+Lookup!G147</f>
        <v>Creates new opportunities for other enterprises</v>
      </c>
      <c r="E14" s="364" t="str">
        <f>+Lookup!G148</f>
        <v>Compliments other enterprises, allows earlier access or longer season of use</v>
      </c>
      <c r="F14" s="364" t="str">
        <f>+Lookup!G149</f>
        <v>Compliments other enterprises, allows earlier access or longer season of use</v>
      </c>
      <c r="G14" s="364" t="str">
        <f>+Lookup!G150</f>
        <v>Opportunities for other enterprise activities benefited while implementing the practice</v>
      </c>
      <c r="H14" s="364" t="str">
        <f>+Lookup!G151</f>
        <v>Opportunities for other enterprise activities benefited while implementing the practice</v>
      </c>
      <c r="I14" s="364" t="str">
        <f>+Lookup!G152</f>
        <v>No change in flexibility or timing</v>
      </c>
      <c r="J14" s="364" t="str">
        <f>+Lookup!G153</f>
        <v>Other enterprise activities delayed while implementing the practice</v>
      </c>
      <c r="K14" s="364" t="str">
        <f>+Lookup!G154</f>
        <v>Other enterprise activities delayed while implementing the practice</v>
      </c>
      <c r="L14" s="364" t="str">
        <f>+Lookup!G155</f>
        <v>Discourages other enterprises, shortens or restricts season of use</v>
      </c>
      <c r="M14" s="364" t="str">
        <f>+Lookup!G156</f>
        <v>Discourages other enterprises, shortens or restricts season of use</v>
      </c>
      <c r="N14" s="364" t="str">
        <f>+Lookup!G157</f>
        <v>Inhibits other enterprises</v>
      </c>
    </row>
    <row r="15" spans="2:14" ht="39" thickBot="1" x14ac:dyDescent="0.25">
      <c r="B15" s="312" t="s">
        <v>1407</v>
      </c>
      <c r="C15" s="361" t="s">
        <v>1664</v>
      </c>
      <c r="D15" s="366" t="str">
        <f>+Lookup!H79</f>
        <v>1 or less years to breakeven</v>
      </c>
      <c r="E15" s="366" t="str">
        <f>+Lookup!H80</f>
        <v>1-2 years to breakeven</v>
      </c>
      <c r="F15" s="366" t="str">
        <f>+Lookup!H81</f>
        <v>2-3 years to breakeven</v>
      </c>
      <c r="G15" s="366" t="str">
        <f>+Lookup!H82</f>
        <v>3-4 years to breakeven</v>
      </c>
      <c r="H15" s="366" t="str">
        <f>+Lookup!H83</f>
        <v>4-5 years to breakeven</v>
      </c>
      <c r="I15" s="366" t="str">
        <f>+Lookup!H84</f>
        <v>No breakeven</v>
      </c>
      <c r="J15" s="366" t="str">
        <f>+Lookup!H85</f>
        <v>5-6 years to breakeven</v>
      </c>
      <c r="K15" s="366" t="str">
        <f>+Lookup!H86</f>
        <v>6-7 years to breakeven</v>
      </c>
      <c r="L15" s="366" t="str">
        <f>+Lookup!H87</f>
        <v>7-8 years to breakeven</v>
      </c>
      <c r="M15" s="366" t="str">
        <f>+Lookup!H88</f>
        <v>8-9 years to breakeven</v>
      </c>
      <c r="N15" s="366" t="str">
        <f>+Lookup!H89</f>
        <v>9 or more years to breakeven</v>
      </c>
    </row>
    <row r="16" spans="2:14" ht="52.9" customHeight="1" thickBot="1" x14ac:dyDescent="0.25">
      <c r="B16" s="312" t="s">
        <v>939</v>
      </c>
      <c r="C16" s="361" t="s">
        <v>1125</v>
      </c>
      <c r="D16" s="366" t="str">
        <f>+Lookup!H48</f>
        <v>B/C Ratio greater than 2.25</v>
      </c>
      <c r="E16" s="366" t="str">
        <f>+Lookup!H49</f>
        <v>B/C Ratio 2.00 to 2.25</v>
      </c>
      <c r="F16" s="366" t="str">
        <f>+Lookup!H50</f>
        <v>B/C Ratio 1.75 to 2.00</v>
      </c>
      <c r="G16" s="366" t="str">
        <f>+Lookup!H51</f>
        <v>B/C Ratio 1.50 to 1.75</v>
      </c>
      <c r="H16" s="366" t="str">
        <f>+Lookup!H52</f>
        <v>B/C Ratio 1.25 to 1.50</v>
      </c>
      <c r="I16" s="366" t="str">
        <f>+Lookup!H53</f>
        <v>B/C Ratio .75 to 1.25</v>
      </c>
      <c r="J16" s="366" t="str">
        <f>+Lookup!H54</f>
        <v>B/C Ratio .50 to .75</v>
      </c>
      <c r="K16" s="366" t="str">
        <f>+Lookup!H55</f>
        <v>B/C Ratio .25 to .50</v>
      </c>
      <c r="L16" s="366" t="str">
        <f>+Lookup!H56</f>
        <v>B/C Ratio .10 to .25</v>
      </c>
      <c r="M16" s="366" t="str">
        <f>+Lookup!H57</f>
        <v>B/C Ratio .05 to .10</v>
      </c>
      <c r="N16" s="366" t="str">
        <f>+Lookup!H58</f>
        <v>B/C Ratio less than .02</v>
      </c>
    </row>
    <row r="17" spans="1:14" ht="24" customHeight="1" thickBot="1" x14ac:dyDescent="0.25">
      <c r="A17" s="369"/>
      <c r="B17" s="370"/>
      <c r="C17" s="371"/>
      <c r="D17" s="372"/>
      <c r="E17" s="372"/>
      <c r="F17" s="372"/>
      <c r="G17" s="368"/>
      <c r="H17" s="368"/>
      <c r="I17" s="368"/>
      <c r="J17" s="368"/>
      <c r="K17" s="368"/>
      <c r="L17" s="368"/>
      <c r="M17" s="368"/>
      <c r="N17" s="368"/>
    </row>
    <row r="18" spans="1:14" ht="90" customHeight="1" thickBot="1" x14ac:dyDescent="0.45">
      <c r="B18" s="312" t="s">
        <v>940</v>
      </c>
      <c r="C18" s="243" t="s">
        <v>1304</v>
      </c>
      <c r="E18" s="244"/>
    </row>
    <row r="19" spans="1:14" ht="72.599999999999994" customHeight="1" thickBot="1" x14ac:dyDescent="0.25">
      <c r="B19" s="312" t="s">
        <v>941</v>
      </c>
      <c r="C19" s="243" t="s">
        <v>1672</v>
      </c>
    </row>
    <row r="20" spans="1:14" ht="135.6" customHeight="1" thickBot="1" x14ac:dyDescent="0.25">
      <c r="B20" s="312" t="s">
        <v>2737</v>
      </c>
      <c r="C20" s="243" t="s">
        <v>690</v>
      </c>
    </row>
    <row r="21" spans="1:14" ht="79.900000000000006" customHeight="1" thickBot="1" x14ac:dyDescent="0.25">
      <c r="B21" s="312" t="s">
        <v>691</v>
      </c>
      <c r="C21" s="243" t="s">
        <v>683</v>
      </c>
    </row>
    <row r="24" spans="1:14" ht="13.5" thickBot="1" x14ac:dyDescent="0.25">
      <c r="B24" s="245" t="s">
        <v>2738</v>
      </c>
    </row>
    <row r="25" spans="1:14" ht="45.6" customHeight="1" thickBot="1" x14ac:dyDescent="0.25">
      <c r="B25" s="243" t="s">
        <v>2739</v>
      </c>
      <c r="C25" s="243" t="s">
        <v>2740</v>
      </c>
    </row>
    <row r="26" spans="1:14" ht="61.9" customHeight="1" thickBot="1" x14ac:dyDescent="0.25">
      <c r="B26" s="243" t="s">
        <v>2741</v>
      </c>
      <c r="C26" s="243" t="s">
        <v>2742</v>
      </c>
    </row>
    <row r="27" spans="1:14" ht="34.15" customHeight="1" thickBot="1" x14ac:dyDescent="0.25">
      <c r="B27" s="243" t="s">
        <v>2743</v>
      </c>
      <c r="C27" s="243" t="s">
        <v>2744</v>
      </c>
    </row>
    <row r="28" spans="1:14" ht="32.450000000000003" customHeight="1" thickBot="1" x14ac:dyDescent="0.25">
      <c r="B28" s="243" t="s">
        <v>2745</v>
      </c>
      <c r="C28" s="243" t="s">
        <v>2746</v>
      </c>
    </row>
    <row r="39" spans="2:2" x14ac:dyDescent="0.2">
      <c r="B39" s="53" t="s">
        <v>2231</v>
      </c>
    </row>
    <row r="44" spans="2:2" x14ac:dyDescent="0.2">
      <c r="B44" s="53" t="s">
        <v>2231</v>
      </c>
    </row>
  </sheetData>
  <pageMargins left="0.75" right="0.75" top="1" bottom="1" header="0.5" footer="0.5"/>
  <pageSetup orientation="landscape"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FFFF00"/>
  </sheetPr>
  <dimension ref="A1:X48"/>
  <sheetViews>
    <sheetView zoomScale="80" zoomScaleNormal="80" workbookViewId="0">
      <pane ySplit="5" topLeftCell="A6" activePane="bottomLeft" state="frozen"/>
      <selection pane="bottomLeft" activeCell="A2" sqref="A2"/>
    </sheetView>
  </sheetViews>
  <sheetFormatPr defaultRowHeight="15" x14ac:dyDescent="0.2"/>
  <cols>
    <col min="1" max="1" width="2.7109375" style="58" customWidth="1"/>
    <col min="2" max="2" width="7" style="58" customWidth="1"/>
    <col min="3" max="3" width="29.7109375" style="58" customWidth="1"/>
    <col min="4" max="4" width="13.5703125" style="58" customWidth="1"/>
    <col min="5" max="5" width="13.7109375" style="53" customWidth="1"/>
    <col min="6" max="6" width="12.7109375" style="53" customWidth="1"/>
    <col min="7" max="7" width="25.7109375" style="53" customWidth="1"/>
    <col min="8" max="8" width="18.28515625" style="53" customWidth="1"/>
    <col min="9" max="9" width="10.7109375" style="53" customWidth="1"/>
    <col min="10" max="10" width="8.7109375" style="53" customWidth="1"/>
    <col min="11" max="11" width="20.28515625" style="53" customWidth="1"/>
    <col min="12" max="13" width="12.7109375" style="53" customWidth="1"/>
    <col min="14" max="15" width="12.7109375" style="73" customWidth="1"/>
    <col min="16" max="17" width="12.7109375" style="53" customWidth="1"/>
    <col min="18" max="21" width="12.7109375" style="58" customWidth="1"/>
    <col min="22" max="24" width="10.7109375" style="58" customWidth="1"/>
    <col min="25" max="252" width="8.85546875" style="58"/>
    <col min="253" max="253" width="7.7109375" style="58" customWidth="1"/>
    <col min="254" max="254" width="6.28515625" style="58" bestFit="1" customWidth="1"/>
    <col min="255" max="255" width="28.7109375" style="58" customWidth="1"/>
    <col min="256" max="256" width="14.7109375" style="58" customWidth="1"/>
    <col min="257" max="274" width="12.7109375" style="58" customWidth="1"/>
    <col min="275" max="280" width="10.7109375" style="58" customWidth="1"/>
    <col min="281" max="508" width="8.85546875" style="58"/>
    <col min="509" max="509" width="7.7109375" style="58" customWidth="1"/>
    <col min="510" max="510" width="6.28515625" style="58" bestFit="1" customWidth="1"/>
    <col min="511" max="511" width="28.7109375" style="58" customWidth="1"/>
    <col min="512" max="512" width="14.7109375" style="58" customWidth="1"/>
    <col min="513" max="530" width="12.7109375" style="58" customWidth="1"/>
    <col min="531" max="536" width="10.7109375" style="58" customWidth="1"/>
    <col min="537" max="764" width="8.85546875" style="58"/>
    <col min="765" max="765" width="7.7109375" style="58" customWidth="1"/>
    <col min="766" max="766" width="6.28515625" style="58" bestFit="1" customWidth="1"/>
    <col min="767" max="767" width="28.7109375" style="58" customWidth="1"/>
    <col min="768" max="768" width="14.7109375" style="58" customWidth="1"/>
    <col min="769" max="786" width="12.7109375" style="58" customWidth="1"/>
    <col min="787" max="792" width="10.7109375" style="58" customWidth="1"/>
    <col min="793" max="1020" width="8.85546875" style="58"/>
    <col min="1021" max="1021" width="7.7109375" style="58" customWidth="1"/>
    <col min="1022" max="1022" width="6.28515625" style="58" bestFit="1" customWidth="1"/>
    <col min="1023" max="1023" width="28.7109375" style="58" customWidth="1"/>
    <col min="1024" max="1024" width="14.7109375" style="58" customWidth="1"/>
    <col min="1025" max="1042" width="12.7109375" style="58" customWidth="1"/>
    <col min="1043" max="1048" width="10.7109375" style="58" customWidth="1"/>
    <col min="1049" max="1276" width="8.85546875" style="58"/>
    <col min="1277" max="1277" width="7.7109375" style="58" customWidth="1"/>
    <col min="1278" max="1278" width="6.28515625" style="58" bestFit="1" customWidth="1"/>
    <col min="1279" max="1279" width="28.7109375" style="58" customWidth="1"/>
    <col min="1280" max="1280" width="14.7109375" style="58" customWidth="1"/>
    <col min="1281" max="1298" width="12.7109375" style="58" customWidth="1"/>
    <col min="1299" max="1304" width="10.7109375" style="58" customWidth="1"/>
    <col min="1305" max="1532" width="8.85546875" style="58"/>
    <col min="1533" max="1533" width="7.7109375" style="58" customWidth="1"/>
    <col min="1534" max="1534" width="6.28515625" style="58" bestFit="1" customWidth="1"/>
    <col min="1535" max="1535" width="28.7109375" style="58" customWidth="1"/>
    <col min="1536" max="1536" width="14.7109375" style="58" customWidth="1"/>
    <col min="1537" max="1554" width="12.7109375" style="58" customWidth="1"/>
    <col min="1555" max="1560" width="10.7109375" style="58" customWidth="1"/>
    <col min="1561" max="1788" width="8.85546875" style="58"/>
    <col min="1789" max="1789" width="7.7109375" style="58" customWidth="1"/>
    <col min="1790" max="1790" width="6.28515625" style="58" bestFit="1" customWidth="1"/>
    <col min="1791" max="1791" width="28.7109375" style="58" customWidth="1"/>
    <col min="1792" max="1792" width="14.7109375" style="58" customWidth="1"/>
    <col min="1793" max="1810" width="12.7109375" style="58" customWidth="1"/>
    <col min="1811" max="1816" width="10.7109375" style="58" customWidth="1"/>
    <col min="1817" max="2044" width="8.85546875" style="58"/>
    <col min="2045" max="2045" width="7.7109375" style="58" customWidth="1"/>
    <col min="2046" max="2046" width="6.28515625" style="58" bestFit="1" customWidth="1"/>
    <col min="2047" max="2047" width="28.7109375" style="58" customWidth="1"/>
    <col min="2048" max="2048" width="14.7109375" style="58" customWidth="1"/>
    <col min="2049" max="2066" width="12.7109375" style="58" customWidth="1"/>
    <col min="2067" max="2072" width="10.7109375" style="58" customWidth="1"/>
    <col min="2073" max="2300" width="8.85546875" style="58"/>
    <col min="2301" max="2301" width="7.7109375" style="58" customWidth="1"/>
    <col min="2302" max="2302" width="6.28515625" style="58" bestFit="1" customWidth="1"/>
    <col min="2303" max="2303" width="28.7109375" style="58" customWidth="1"/>
    <col min="2304" max="2304" width="14.7109375" style="58" customWidth="1"/>
    <col min="2305" max="2322" width="12.7109375" style="58" customWidth="1"/>
    <col min="2323" max="2328" width="10.7109375" style="58" customWidth="1"/>
    <col min="2329" max="2556" width="8.85546875" style="58"/>
    <col min="2557" max="2557" width="7.7109375" style="58" customWidth="1"/>
    <col min="2558" max="2558" width="6.28515625" style="58" bestFit="1" customWidth="1"/>
    <col min="2559" max="2559" width="28.7109375" style="58" customWidth="1"/>
    <col min="2560" max="2560" width="14.7109375" style="58" customWidth="1"/>
    <col min="2561" max="2578" width="12.7109375" style="58" customWidth="1"/>
    <col min="2579" max="2584" width="10.7109375" style="58" customWidth="1"/>
    <col min="2585" max="2812" width="8.85546875" style="58"/>
    <col min="2813" max="2813" width="7.7109375" style="58" customWidth="1"/>
    <col min="2814" max="2814" width="6.28515625" style="58" bestFit="1" customWidth="1"/>
    <col min="2815" max="2815" width="28.7109375" style="58" customWidth="1"/>
    <col min="2816" max="2816" width="14.7109375" style="58" customWidth="1"/>
    <col min="2817" max="2834" width="12.7109375" style="58" customWidth="1"/>
    <col min="2835" max="2840" width="10.7109375" style="58" customWidth="1"/>
    <col min="2841" max="3068" width="8.85546875" style="58"/>
    <col min="3069" max="3069" width="7.7109375" style="58" customWidth="1"/>
    <col min="3070" max="3070" width="6.28515625" style="58" bestFit="1" customWidth="1"/>
    <col min="3071" max="3071" width="28.7109375" style="58" customWidth="1"/>
    <col min="3072" max="3072" width="14.7109375" style="58" customWidth="1"/>
    <col min="3073" max="3090" width="12.7109375" style="58" customWidth="1"/>
    <col min="3091" max="3096" width="10.7109375" style="58" customWidth="1"/>
    <col min="3097" max="3324" width="8.85546875" style="58"/>
    <col min="3325" max="3325" width="7.7109375" style="58" customWidth="1"/>
    <col min="3326" max="3326" width="6.28515625" style="58" bestFit="1" customWidth="1"/>
    <col min="3327" max="3327" width="28.7109375" style="58" customWidth="1"/>
    <col min="3328" max="3328" width="14.7109375" style="58" customWidth="1"/>
    <col min="3329" max="3346" width="12.7109375" style="58" customWidth="1"/>
    <col min="3347" max="3352" width="10.7109375" style="58" customWidth="1"/>
    <col min="3353" max="3580" width="8.85546875" style="58"/>
    <col min="3581" max="3581" width="7.7109375" style="58" customWidth="1"/>
    <col min="3582" max="3582" width="6.28515625" style="58" bestFit="1" customWidth="1"/>
    <col min="3583" max="3583" width="28.7109375" style="58" customWidth="1"/>
    <col min="3584" max="3584" width="14.7109375" style="58" customWidth="1"/>
    <col min="3585" max="3602" width="12.7109375" style="58" customWidth="1"/>
    <col min="3603" max="3608" width="10.7109375" style="58" customWidth="1"/>
    <col min="3609" max="3836" width="8.85546875" style="58"/>
    <col min="3837" max="3837" width="7.7109375" style="58" customWidth="1"/>
    <col min="3838" max="3838" width="6.28515625" style="58" bestFit="1" customWidth="1"/>
    <col min="3839" max="3839" width="28.7109375" style="58" customWidth="1"/>
    <col min="3840" max="3840" width="14.7109375" style="58" customWidth="1"/>
    <col min="3841" max="3858" width="12.7109375" style="58" customWidth="1"/>
    <col min="3859" max="3864" width="10.7109375" style="58" customWidth="1"/>
    <col min="3865" max="4092" width="8.85546875" style="58"/>
    <col min="4093" max="4093" width="7.7109375" style="58" customWidth="1"/>
    <col min="4094" max="4094" width="6.28515625" style="58" bestFit="1" customWidth="1"/>
    <col min="4095" max="4095" width="28.7109375" style="58" customWidth="1"/>
    <col min="4096" max="4096" width="14.7109375" style="58" customWidth="1"/>
    <col min="4097" max="4114" width="12.7109375" style="58" customWidth="1"/>
    <col min="4115" max="4120" width="10.7109375" style="58" customWidth="1"/>
    <col min="4121" max="4348" width="8.85546875" style="58"/>
    <col min="4349" max="4349" width="7.7109375" style="58" customWidth="1"/>
    <col min="4350" max="4350" width="6.28515625" style="58" bestFit="1" customWidth="1"/>
    <col min="4351" max="4351" width="28.7109375" style="58" customWidth="1"/>
    <col min="4352" max="4352" width="14.7109375" style="58" customWidth="1"/>
    <col min="4353" max="4370" width="12.7109375" style="58" customWidth="1"/>
    <col min="4371" max="4376" width="10.7109375" style="58" customWidth="1"/>
    <col min="4377" max="4604" width="8.85546875" style="58"/>
    <col min="4605" max="4605" width="7.7109375" style="58" customWidth="1"/>
    <col min="4606" max="4606" width="6.28515625" style="58" bestFit="1" customWidth="1"/>
    <col min="4607" max="4607" width="28.7109375" style="58" customWidth="1"/>
    <col min="4608" max="4608" width="14.7109375" style="58" customWidth="1"/>
    <col min="4609" max="4626" width="12.7109375" style="58" customWidth="1"/>
    <col min="4627" max="4632" width="10.7109375" style="58" customWidth="1"/>
    <col min="4633" max="4860" width="8.85546875" style="58"/>
    <col min="4861" max="4861" width="7.7109375" style="58" customWidth="1"/>
    <col min="4862" max="4862" width="6.28515625" style="58" bestFit="1" customWidth="1"/>
    <col min="4863" max="4863" width="28.7109375" style="58" customWidth="1"/>
    <col min="4864" max="4864" width="14.7109375" style="58" customWidth="1"/>
    <col min="4865" max="4882" width="12.7109375" style="58" customWidth="1"/>
    <col min="4883" max="4888" width="10.7109375" style="58" customWidth="1"/>
    <col min="4889" max="5116" width="8.85546875" style="58"/>
    <col min="5117" max="5117" width="7.7109375" style="58" customWidth="1"/>
    <col min="5118" max="5118" width="6.28515625" style="58" bestFit="1" customWidth="1"/>
    <col min="5119" max="5119" width="28.7109375" style="58" customWidth="1"/>
    <col min="5120" max="5120" width="14.7109375" style="58" customWidth="1"/>
    <col min="5121" max="5138" width="12.7109375" style="58" customWidth="1"/>
    <col min="5139" max="5144" width="10.7109375" style="58" customWidth="1"/>
    <col min="5145" max="5372" width="8.85546875" style="58"/>
    <col min="5373" max="5373" width="7.7109375" style="58" customWidth="1"/>
    <col min="5374" max="5374" width="6.28515625" style="58" bestFit="1" customWidth="1"/>
    <col min="5375" max="5375" width="28.7109375" style="58" customWidth="1"/>
    <col min="5376" max="5376" width="14.7109375" style="58" customWidth="1"/>
    <col min="5377" max="5394" width="12.7109375" style="58" customWidth="1"/>
    <col min="5395" max="5400" width="10.7109375" style="58" customWidth="1"/>
    <col min="5401" max="5628" width="8.85546875" style="58"/>
    <col min="5629" max="5629" width="7.7109375" style="58" customWidth="1"/>
    <col min="5630" max="5630" width="6.28515625" style="58" bestFit="1" customWidth="1"/>
    <col min="5631" max="5631" width="28.7109375" style="58" customWidth="1"/>
    <col min="5632" max="5632" width="14.7109375" style="58" customWidth="1"/>
    <col min="5633" max="5650" width="12.7109375" style="58" customWidth="1"/>
    <col min="5651" max="5656" width="10.7109375" style="58" customWidth="1"/>
    <col min="5657" max="5884" width="8.85546875" style="58"/>
    <col min="5885" max="5885" width="7.7109375" style="58" customWidth="1"/>
    <col min="5886" max="5886" width="6.28515625" style="58" bestFit="1" customWidth="1"/>
    <col min="5887" max="5887" width="28.7109375" style="58" customWidth="1"/>
    <col min="5888" max="5888" width="14.7109375" style="58" customWidth="1"/>
    <col min="5889" max="5906" width="12.7109375" style="58" customWidth="1"/>
    <col min="5907" max="5912" width="10.7109375" style="58" customWidth="1"/>
    <col min="5913" max="6140" width="8.85546875" style="58"/>
    <col min="6141" max="6141" width="7.7109375" style="58" customWidth="1"/>
    <col min="6142" max="6142" width="6.28515625" style="58" bestFit="1" customWidth="1"/>
    <col min="6143" max="6143" width="28.7109375" style="58" customWidth="1"/>
    <col min="6144" max="6144" width="14.7109375" style="58" customWidth="1"/>
    <col min="6145" max="6162" width="12.7109375" style="58" customWidth="1"/>
    <col min="6163" max="6168" width="10.7109375" style="58" customWidth="1"/>
    <col min="6169" max="6396" width="8.85546875" style="58"/>
    <col min="6397" max="6397" width="7.7109375" style="58" customWidth="1"/>
    <col min="6398" max="6398" width="6.28515625" style="58" bestFit="1" customWidth="1"/>
    <col min="6399" max="6399" width="28.7109375" style="58" customWidth="1"/>
    <col min="6400" max="6400" width="14.7109375" style="58" customWidth="1"/>
    <col min="6401" max="6418" width="12.7109375" style="58" customWidth="1"/>
    <col min="6419" max="6424" width="10.7109375" style="58" customWidth="1"/>
    <col min="6425" max="6652" width="8.85546875" style="58"/>
    <col min="6653" max="6653" width="7.7109375" style="58" customWidth="1"/>
    <col min="6654" max="6654" width="6.28515625" style="58" bestFit="1" customWidth="1"/>
    <col min="6655" max="6655" width="28.7109375" style="58" customWidth="1"/>
    <col min="6656" max="6656" width="14.7109375" style="58" customWidth="1"/>
    <col min="6657" max="6674" width="12.7109375" style="58" customWidth="1"/>
    <col min="6675" max="6680" width="10.7109375" style="58" customWidth="1"/>
    <col min="6681" max="6908" width="8.85546875" style="58"/>
    <col min="6909" max="6909" width="7.7109375" style="58" customWidth="1"/>
    <col min="6910" max="6910" width="6.28515625" style="58" bestFit="1" customWidth="1"/>
    <col min="6911" max="6911" width="28.7109375" style="58" customWidth="1"/>
    <col min="6912" max="6912" width="14.7109375" style="58" customWidth="1"/>
    <col min="6913" max="6930" width="12.7109375" style="58" customWidth="1"/>
    <col min="6931" max="6936" width="10.7109375" style="58" customWidth="1"/>
    <col min="6937" max="7164" width="8.85546875" style="58"/>
    <col min="7165" max="7165" width="7.7109375" style="58" customWidth="1"/>
    <col min="7166" max="7166" width="6.28515625" style="58" bestFit="1" customWidth="1"/>
    <col min="7167" max="7167" width="28.7109375" style="58" customWidth="1"/>
    <col min="7168" max="7168" width="14.7109375" style="58" customWidth="1"/>
    <col min="7169" max="7186" width="12.7109375" style="58" customWidth="1"/>
    <col min="7187" max="7192" width="10.7109375" style="58" customWidth="1"/>
    <col min="7193" max="7420" width="8.85546875" style="58"/>
    <col min="7421" max="7421" width="7.7109375" style="58" customWidth="1"/>
    <col min="7422" max="7422" width="6.28515625" style="58" bestFit="1" customWidth="1"/>
    <col min="7423" max="7423" width="28.7109375" style="58" customWidth="1"/>
    <col min="7424" max="7424" width="14.7109375" style="58" customWidth="1"/>
    <col min="7425" max="7442" width="12.7109375" style="58" customWidth="1"/>
    <col min="7443" max="7448" width="10.7109375" style="58" customWidth="1"/>
    <col min="7449" max="7676" width="8.85546875" style="58"/>
    <col min="7677" max="7677" width="7.7109375" style="58" customWidth="1"/>
    <col min="7678" max="7678" width="6.28515625" style="58" bestFit="1" customWidth="1"/>
    <col min="7679" max="7679" width="28.7109375" style="58" customWidth="1"/>
    <col min="7680" max="7680" width="14.7109375" style="58" customWidth="1"/>
    <col min="7681" max="7698" width="12.7109375" style="58" customWidth="1"/>
    <col min="7699" max="7704" width="10.7109375" style="58" customWidth="1"/>
    <col min="7705" max="7932" width="8.85546875" style="58"/>
    <col min="7933" max="7933" width="7.7109375" style="58" customWidth="1"/>
    <col min="7934" max="7934" width="6.28515625" style="58" bestFit="1" customWidth="1"/>
    <col min="7935" max="7935" width="28.7109375" style="58" customWidth="1"/>
    <col min="7936" max="7936" width="14.7109375" style="58" customWidth="1"/>
    <col min="7937" max="7954" width="12.7109375" style="58" customWidth="1"/>
    <col min="7955" max="7960" width="10.7109375" style="58" customWidth="1"/>
    <col min="7961" max="8188" width="8.85546875" style="58"/>
    <col min="8189" max="8189" width="7.7109375" style="58" customWidth="1"/>
    <col min="8190" max="8190" width="6.28515625" style="58" bestFit="1" customWidth="1"/>
    <col min="8191" max="8191" width="28.7109375" style="58" customWidth="1"/>
    <col min="8192" max="8192" width="14.7109375" style="58" customWidth="1"/>
    <col min="8193" max="8210" width="12.7109375" style="58" customWidth="1"/>
    <col min="8211" max="8216" width="10.7109375" style="58" customWidth="1"/>
    <col min="8217" max="8444" width="8.85546875" style="58"/>
    <col min="8445" max="8445" width="7.7109375" style="58" customWidth="1"/>
    <col min="8446" max="8446" width="6.28515625" style="58" bestFit="1" customWidth="1"/>
    <col min="8447" max="8447" width="28.7109375" style="58" customWidth="1"/>
    <col min="8448" max="8448" width="14.7109375" style="58" customWidth="1"/>
    <col min="8449" max="8466" width="12.7109375" style="58" customWidth="1"/>
    <col min="8467" max="8472" width="10.7109375" style="58" customWidth="1"/>
    <col min="8473" max="8700" width="8.85546875" style="58"/>
    <col min="8701" max="8701" width="7.7109375" style="58" customWidth="1"/>
    <col min="8702" max="8702" width="6.28515625" style="58" bestFit="1" customWidth="1"/>
    <col min="8703" max="8703" width="28.7109375" style="58" customWidth="1"/>
    <col min="8704" max="8704" width="14.7109375" style="58" customWidth="1"/>
    <col min="8705" max="8722" width="12.7109375" style="58" customWidth="1"/>
    <col min="8723" max="8728" width="10.7109375" style="58" customWidth="1"/>
    <col min="8729" max="8956" width="8.85546875" style="58"/>
    <col min="8957" max="8957" width="7.7109375" style="58" customWidth="1"/>
    <col min="8958" max="8958" width="6.28515625" style="58" bestFit="1" customWidth="1"/>
    <col min="8959" max="8959" width="28.7109375" style="58" customWidth="1"/>
    <col min="8960" max="8960" width="14.7109375" style="58" customWidth="1"/>
    <col min="8961" max="8978" width="12.7109375" style="58" customWidth="1"/>
    <col min="8979" max="8984" width="10.7109375" style="58" customWidth="1"/>
    <col min="8985" max="9212" width="8.85546875" style="58"/>
    <col min="9213" max="9213" width="7.7109375" style="58" customWidth="1"/>
    <col min="9214" max="9214" width="6.28515625" style="58" bestFit="1" customWidth="1"/>
    <col min="9215" max="9215" width="28.7109375" style="58" customWidth="1"/>
    <col min="9216" max="9216" width="14.7109375" style="58" customWidth="1"/>
    <col min="9217" max="9234" width="12.7109375" style="58" customWidth="1"/>
    <col min="9235" max="9240" width="10.7109375" style="58" customWidth="1"/>
    <col min="9241" max="9468" width="8.85546875" style="58"/>
    <col min="9469" max="9469" width="7.7109375" style="58" customWidth="1"/>
    <col min="9470" max="9470" width="6.28515625" style="58" bestFit="1" customWidth="1"/>
    <col min="9471" max="9471" width="28.7109375" style="58" customWidth="1"/>
    <col min="9472" max="9472" width="14.7109375" style="58" customWidth="1"/>
    <col min="9473" max="9490" width="12.7109375" style="58" customWidth="1"/>
    <col min="9491" max="9496" width="10.7109375" style="58" customWidth="1"/>
    <col min="9497" max="9724" width="8.85546875" style="58"/>
    <col min="9725" max="9725" width="7.7109375" style="58" customWidth="1"/>
    <col min="9726" max="9726" width="6.28515625" style="58" bestFit="1" customWidth="1"/>
    <col min="9727" max="9727" width="28.7109375" style="58" customWidth="1"/>
    <col min="9728" max="9728" width="14.7109375" style="58" customWidth="1"/>
    <col min="9729" max="9746" width="12.7109375" style="58" customWidth="1"/>
    <col min="9747" max="9752" width="10.7109375" style="58" customWidth="1"/>
    <col min="9753" max="9980" width="8.85546875" style="58"/>
    <col min="9981" max="9981" width="7.7109375" style="58" customWidth="1"/>
    <col min="9982" max="9982" width="6.28515625" style="58" bestFit="1" customWidth="1"/>
    <col min="9983" max="9983" width="28.7109375" style="58" customWidth="1"/>
    <col min="9984" max="9984" width="14.7109375" style="58" customWidth="1"/>
    <col min="9985" max="10002" width="12.7109375" style="58" customWidth="1"/>
    <col min="10003" max="10008" width="10.7109375" style="58" customWidth="1"/>
    <col min="10009" max="10236" width="8.85546875" style="58"/>
    <col min="10237" max="10237" width="7.7109375" style="58" customWidth="1"/>
    <col min="10238" max="10238" width="6.28515625" style="58" bestFit="1" customWidth="1"/>
    <col min="10239" max="10239" width="28.7109375" style="58" customWidth="1"/>
    <col min="10240" max="10240" width="14.7109375" style="58" customWidth="1"/>
    <col min="10241" max="10258" width="12.7109375" style="58" customWidth="1"/>
    <col min="10259" max="10264" width="10.7109375" style="58" customWidth="1"/>
    <col min="10265" max="10492" width="8.85546875" style="58"/>
    <col min="10493" max="10493" width="7.7109375" style="58" customWidth="1"/>
    <col min="10494" max="10494" width="6.28515625" style="58" bestFit="1" customWidth="1"/>
    <col min="10495" max="10495" width="28.7109375" style="58" customWidth="1"/>
    <col min="10496" max="10496" width="14.7109375" style="58" customWidth="1"/>
    <col min="10497" max="10514" width="12.7109375" style="58" customWidth="1"/>
    <col min="10515" max="10520" width="10.7109375" style="58" customWidth="1"/>
    <col min="10521" max="10748" width="8.85546875" style="58"/>
    <col min="10749" max="10749" width="7.7109375" style="58" customWidth="1"/>
    <col min="10750" max="10750" width="6.28515625" style="58" bestFit="1" customWidth="1"/>
    <col min="10751" max="10751" width="28.7109375" style="58" customWidth="1"/>
    <col min="10752" max="10752" width="14.7109375" style="58" customWidth="1"/>
    <col min="10753" max="10770" width="12.7109375" style="58" customWidth="1"/>
    <col min="10771" max="10776" width="10.7109375" style="58" customWidth="1"/>
    <col min="10777" max="11004" width="8.85546875" style="58"/>
    <col min="11005" max="11005" width="7.7109375" style="58" customWidth="1"/>
    <col min="11006" max="11006" width="6.28515625" style="58" bestFit="1" customWidth="1"/>
    <col min="11007" max="11007" width="28.7109375" style="58" customWidth="1"/>
    <col min="11008" max="11008" width="14.7109375" style="58" customWidth="1"/>
    <col min="11009" max="11026" width="12.7109375" style="58" customWidth="1"/>
    <col min="11027" max="11032" width="10.7109375" style="58" customWidth="1"/>
    <col min="11033" max="11260" width="8.85546875" style="58"/>
    <col min="11261" max="11261" width="7.7109375" style="58" customWidth="1"/>
    <col min="11262" max="11262" width="6.28515625" style="58" bestFit="1" customWidth="1"/>
    <col min="11263" max="11263" width="28.7109375" style="58" customWidth="1"/>
    <col min="11264" max="11264" width="14.7109375" style="58" customWidth="1"/>
    <col min="11265" max="11282" width="12.7109375" style="58" customWidth="1"/>
    <col min="11283" max="11288" width="10.7109375" style="58" customWidth="1"/>
    <col min="11289" max="11516" width="8.85546875" style="58"/>
    <col min="11517" max="11517" width="7.7109375" style="58" customWidth="1"/>
    <col min="11518" max="11518" width="6.28515625" style="58" bestFit="1" customWidth="1"/>
    <col min="11519" max="11519" width="28.7109375" style="58" customWidth="1"/>
    <col min="11520" max="11520" width="14.7109375" style="58" customWidth="1"/>
    <col min="11521" max="11538" width="12.7109375" style="58" customWidth="1"/>
    <col min="11539" max="11544" width="10.7109375" style="58" customWidth="1"/>
    <col min="11545" max="11772" width="8.85546875" style="58"/>
    <col min="11773" max="11773" width="7.7109375" style="58" customWidth="1"/>
    <col min="11774" max="11774" width="6.28515625" style="58" bestFit="1" customWidth="1"/>
    <col min="11775" max="11775" width="28.7109375" style="58" customWidth="1"/>
    <col min="11776" max="11776" width="14.7109375" style="58" customWidth="1"/>
    <col min="11777" max="11794" width="12.7109375" style="58" customWidth="1"/>
    <col min="11795" max="11800" width="10.7109375" style="58" customWidth="1"/>
    <col min="11801" max="12028" width="8.85546875" style="58"/>
    <col min="12029" max="12029" width="7.7109375" style="58" customWidth="1"/>
    <col min="12030" max="12030" width="6.28515625" style="58" bestFit="1" customWidth="1"/>
    <col min="12031" max="12031" width="28.7109375" style="58" customWidth="1"/>
    <col min="12032" max="12032" width="14.7109375" style="58" customWidth="1"/>
    <col min="12033" max="12050" width="12.7109375" style="58" customWidth="1"/>
    <col min="12051" max="12056" width="10.7109375" style="58" customWidth="1"/>
    <col min="12057" max="12284" width="8.85546875" style="58"/>
    <col min="12285" max="12285" width="7.7109375" style="58" customWidth="1"/>
    <col min="12286" max="12286" width="6.28515625" style="58" bestFit="1" customWidth="1"/>
    <col min="12287" max="12287" width="28.7109375" style="58" customWidth="1"/>
    <col min="12288" max="12288" width="14.7109375" style="58" customWidth="1"/>
    <col min="12289" max="12306" width="12.7109375" style="58" customWidth="1"/>
    <col min="12307" max="12312" width="10.7109375" style="58" customWidth="1"/>
    <col min="12313" max="12540" width="8.85546875" style="58"/>
    <col min="12541" max="12541" width="7.7109375" style="58" customWidth="1"/>
    <col min="12542" max="12542" width="6.28515625" style="58" bestFit="1" customWidth="1"/>
    <col min="12543" max="12543" width="28.7109375" style="58" customWidth="1"/>
    <col min="12544" max="12544" width="14.7109375" style="58" customWidth="1"/>
    <col min="12545" max="12562" width="12.7109375" style="58" customWidth="1"/>
    <col min="12563" max="12568" width="10.7109375" style="58" customWidth="1"/>
    <col min="12569" max="12796" width="8.85546875" style="58"/>
    <col min="12797" max="12797" width="7.7109375" style="58" customWidth="1"/>
    <col min="12798" max="12798" width="6.28515625" style="58" bestFit="1" customWidth="1"/>
    <col min="12799" max="12799" width="28.7109375" style="58" customWidth="1"/>
    <col min="12800" max="12800" width="14.7109375" style="58" customWidth="1"/>
    <col min="12801" max="12818" width="12.7109375" style="58" customWidth="1"/>
    <col min="12819" max="12824" width="10.7109375" style="58" customWidth="1"/>
    <col min="12825" max="13052" width="8.85546875" style="58"/>
    <col min="13053" max="13053" width="7.7109375" style="58" customWidth="1"/>
    <col min="13054" max="13054" width="6.28515625" style="58" bestFit="1" customWidth="1"/>
    <col min="13055" max="13055" width="28.7109375" style="58" customWidth="1"/>
    <col min="13056" max="13056" width="14.7109375" style="58" customWidth="1"/>
    <col min="13057" max="13074" width="12.7109375" style="58" customWidth="1"/>
    <col min="13075" max="13080" width="10.7109375" style="58" customWidth="1"/>
    <col min="13081" max="13308" width="8.85546875" style="58"/>
    <col min="13309" max="13309" width="7.7109375" style="58" customWidth="1"/>
    <col min="13310" max="13310" width="6.28515625" style="58" bestFit="1" customWidth="1"/>
    <col min="13311" max="13311" width="28.7109375" style="58" customWidth="1"/>
    <col min="13312" max="13312" width="14.7109375" style="58" customWidth="1"/>
    <col min="13313" max="13330" width="12.7109375" style="58" customWidth="1"/>
    <col min="13331" max="13336" width="10.7109375" style="58" customWidth="1"/>
    <col min="13337" max="13564" width="8.85546875" style="58"/>
    <col min="13565" max="13565" width="7.7109375" style="58" customWidth="1"/>
    <col min="13566" max="13566" width="6.28515625" style="58" bestFit="1" customWidth="1"/>
    <col min="13567" max="13567" width="28.7109375" style="58" customWidth="1"/>
    <col min="13568" max="13568" width="14.7109375" style="58" customWidth="1"/>
    <col min="13569" max="13586" width="12.7109375" style="58" customWidth="1"/>
    <col min="13587" max="13592" width="10.7109375" style="58" customWidth="1"/>
    <col min="13593" max="13820" width="8.85546875" style="58"/>
    <col min="13821" max="13821" width="7.7109375" style="58" customWidth="1"/>
    <col min="13822" max="13822" width="6.28515625" style="58" bestFit="1" customWidth="1"/>
    <col min="13823" max="13823" width="28.7109375" style="58" customWidth="1"/>
    <col min="13824" max="13824" width="14.7109375" style="58" customWidth="1"/>
    <col min="13825" max="13842" width="12.7109375" style="58" customWidth="1"/>
    <col min="13843" max="13848" width="10.7109375" style="58" customWidth="1"/>
    <col min="13849" max="14076" width="8.85546875" style="58"/>
    <col min="14077" max="14077" width="7.7109375" style="58" customWidth="1"/>
    <col min="14078" max="14078" width="6.28515625" style="58" bestFit="1" customWidth="1"/>
    <col min="14079" max="14079" width="28.7109375" style="58" customWidth="1"/>
    <col min="14080" max="14080" width="14.7109375" style="58" customWidth="1"/>
    <col min="14081" max="14098" width="12.7109375" style="58" customWidth="1"/>
    <col min="14099" max="14104" width="10.7109375" style="58" customWidth="1"/>
    <col min="14105" max="14332" width="8.85546875" style="58"/>
    <col min="14333" max="14333" width="7.7109375" style="58" customWidth="1"/>
    <col min="14334" max="14334" width="6.28515625" style="58" bestFit="1" customWidth="1"/>
    <col min="14335" max="14335" width="28.7109375" style="58" customWidth="1"/>
    <col min="14336" max="14336" width="14.7109375" style="58" customWidth="1"/>
    <col min="14337" max="14354" width="12.7109375" style="58" customWidth="1"/>
    <col min="14355" max="14360" width="10.7109375" style="58" customWidth="1"/>
    <col min="14361" max="14588" width="8.85546875" style="58"/>
    <col min="14589" max="14589" width="7.7109375" style="58" customWidth="1"/>
    <col min="14590" max="14590" width="6.28515625" style="58" bestFit="1" customWidth="1"/>
    <col min="14591" max="14591" width="28.7109375" style="58" customWidth="1"/>
    <col min="14592" max="14592" width="14.7109375" style="58" customWidth="1"/>
    <col min="14593" max="14610" width="12.7109375" style="58" customWidth="1"/>
    <col min="14611" max="14616" width="10.7109375" style="58" customWidth="1"/>
    <col min="14617" max="14844" width="8.85546875" style="58"/>
    <col min="14845" max="14845" width="7.7109375" style="58" customWidth="1"/>
    <col min="14846" max="14846" width="6.28515625" style="58" bestFit="1" customWidth="1"/>
    <col min="14847" max="14847" width="28.7109375" style="58" customWidth="1"/>
    <col min="14848" max="14848" width="14.7109375" style="58" customWidth="1"/>
    <col min="14849" max="14866" width="12.7109375" style="58" customWidth="1"/>
    <col min="14867" max="14872" width="10.7109375" style="58" customWidth="1"/>
    <col min="14873" max="15100" width="8.85546875" style="58"/>
    <col min="15101" max="15101" width="7.7109375" style="58" customWidth="1"/>
    <col min="15102" max="15102" width="6.28515625" style="58" bestFit="1" customWidth="1"/>
    <col min="15103" max="15103" width="28.7109375" style="58" customWidth="1"/>
    <col min="15104" max="15104" width="14.7109375" style="58" customWidth="1"/>
    <col min="15105" max="15122" width="12.7109375" style="58" customWidth="1"/>
    <col min="15123" max="15128" width="10.7109375" style="58" customWidth="1"/>
    <col min="15129" max="15356" width="8.85546875" style="58"/>
    <col min="15357" max="15357" width="7.7109375" style="58" customWidth="1"/>
    <col min="15358" max="15358" width="6.28515625" style="58" bestFit="1" customWidth="1"/>
    <col min="15359" max="15359" width="28.7109375" style="58" customWidth="1"/>
    <col min="15360" max="15360" width="14.7109375" style="58" customWidth="1"/>
    <col min="15361" max="15378" width="12.7109375" style="58" customWidth="1"/>
    <col min="15379" max="15384" width="10.7109375" style="58" customWidth="1"/>
    <col min="15385" max="15612" width="8.85546875" style="58"/>
    <col min="15613" max="15613" width="7.7109375" style="58" customWidth="1"/>
    <col min="15614" max="15614" width="6.28515625" style="58" bestFit="1" customWidth="1"/>
    <col min="15615" max="15615" width="28.7109375" style="58" customWidth="1"/>
    <col min="15616" max="15616" width="14.7109375" style="58" customWidth="1"/>
    <col min="15617" max="15634" width="12.7109375" style="58" customWidth="1"/>
    <col min="15635" max="15640" width="10.7109375" style="58" customWidth="1"/>
    <col min="15641" max="15868" width="8.85546875" style="58"/>
    <col min="15869" max="15869" width="7.7109375" style="58" customWidth="1"/>
    <col min="15870" max="15870" width="6.28515625" style="58" bestFit="1" customWidth="1"/>
    <col min="15871" max="15871" width="28.7109375" style="58" customWidth="1"/>
    <col min="15872" max="15872" width="14.7109375" style="58" customWidth="1"/>
    <col min="15873" max="15890" width="12.7109375" style="58" customWidth="1"/>
    <col min="15891" max="15896" width="10.7109375" style="58" customWidth="1"/>
    <col min="15897" max="16124" width="8.85546875" style="58"/>
    <col min="16125" max="16125" width="7.7109375" style="58" customWidth="1"/>
    <col min="16126" max="16126" width="6.28515625" style="58" bestFit="1" customWidth="1"/>
    <col min="16127" max="16127" width="28.7109375" style="58" customWidth="1"/>
    <col min="16128" max="16128" width="14.7109375" style="58" customWidth="1"/>
    <col min="16129" max="16146" width="12.7109375" style="58" customWidth="1"/>
    <col min="16147" max="16152" width="10.7109375" style="58" customWidth="1"/>
    <col min="16153" max="16384" width="8.85546875" style="58"/>
  </cols>
  <sheetData>
    <row r="1" spans="1:24" ht="23.45" customHeight="1" thickBot="1" x14ac:dyDescent="0.25">
      <c r="A1" s="49">
        <v>21</v>
      </c>
      <c r="B1" s="50"/>
      <c r="C1" s="51"/>
      <c r="D1" s="51"/>
      <c r="E1" s="52"/>
      <c r="F1" s="52"/>
      <c r="G1" s="52"/>
      <c r="H1" s="52"/>
      <c r="I1" s="52"/>
      <c r="J1" s="52"/>
      <c r="K1" s="52"/>
      <c r="L1" s="52"/>
      <c r="N1" s="54"/>
      <c r="O1" s="54"/>
      <c r="P1" s="55"/>
      <c r="Q1" s="56"/>
      <c r="R1" s="57"/>
      <c r="S1" s="57"/>
      <c r="T1" s="57"/>
      <c r="U1" s="57"/>
      <c r="V1" s="57"/>
      <c r="W1" s="57"/>
      <c r="X1" s="57"/>
    </row>
    <row r="2" spans="1:24" ht="31.5" thickTop="1" thickBot="1" x14ac:dyDescent="0.45">
      <c r="A2" s="51"/>
      <c r="B2" s="59" t="s">
        <v>2230</v>
      </c>
      <c r="C2" s="60"/>
      <c r="D2" s="61"/>
      <c r="E2" s="61"/>
      <c r="F2" s="61"/>
      <c r="G2" s="61"/>
      <c r="H2" s="61"/>
      <c r="I2" s="61"/>
      <c r="J2" s="61"/>
      <c r="K2" s="62"/>
      <c r="M2" s="53" t="s">
        <v>2231</v>
      </c>
      <c r="N2" s="420" t="s">
        <v>3658</v>
      </c>
      <c r="O2" s="53"/>
      <c r="Q2" s="58"/>
      <c r="R2" s="56"/>
      <c r="S2" s="57"/>
      <c r="T2" s="57"/>
      <c r="V2" s="57"/>
      <c r="W2" s="57"/>
      <c r="X2" s="57"/>
    </row>
    <row r="3" spans="1:24" ht="40.9" customHeight="1" thickTop="1" x14ac:dyDescent="0.4">
      <c r="B3" s="303" t="str">
        <f>VLOOKUP($A$1,'Human Considerations'!$A$3:$J$180,2,FALSE)</f>
        <v>Conservation Cover</v>
      </c>
      <c r="C3" s="64"/>
      <c r="D3" s="64"/>
      <c r="E3" s="64"/>
      <c r="F3" s="64"/>
      <c r="G3" s="64"/>
      <c r="H3" s="64"/>
      <c r="I3" s="66" t="s">
        <v>2232</v>
      </c>
      <c r="J3" s="304">
        <f>VLOOKUP($A$1,'Human Considerations'!$A$3:$D$180,4,FALSE)</f>
        <v>327</v>
      </c>
      <c r="K3" s="642" t="s">
        <v>2590</v>
      </c>
      <c r="M3" s="73" t="s">
        <v>2231</v>
      </c>
      <c r="O3" s="53"/>
      <c r="Q3" s="58"/>
      <c r="R3" s="57"/>
      <c r="S3" s="57"/>
      <c r="T3" s="68"/>
      <c r="V3" s="69"/>
      <c r="W3" s="70"/>
      <c r="X3" s="57"/>
    </row>
    <row r="4" spans="1:24" s="73" customFormat="1" ht="31.15" customHeight="1" x14ac:dyDescent="0.25">
      <c r="A4" s="71"/>
      <c r="B4" s="638" t="str">
        <f>VLOOKUP($A$1,'Human Considerations'!$A$3:$F$180,6,FALSE)</f>
        <v>Establishing and maintaining permanent vegetative cover</v>
      </c>
      <c r="C4" s="639"/>
      <c r="D4" s="639"/>
      <c r="E4" s="639"/>
      <c r="F4" s="639"/>
      <c r="G4" s="639"/>
      <c r="H4" s="639"/>
      <c r="I4" s="72" t="s">
        <v>2233</v>
      </c>
      <c r="J4" s="305" t="str">
        <f>VLOOKUP($A$1,'Human Considerations'!$A$3:$J$180,5,FALSE)</f>
        <v>Ac.</v>
      </c>
      <c r="K4" s="643"/>
      <c r="M4" s="54"/>
      <c r="R4" s="75"/>
      <c r="S4" s="76"/>
      <c r="T4" s="77"/>
      <c r="U4" s="58"/>
      <c r="V4" s="78"/>
      <c r="W4" s="54"/>
      <c r="X4" s="54"/>
    </row>
    <row r="5" spans="1:24" ht="15.75" x14ac:dyDescent="0.25">
      <c r="A5" s="51"/>
      <c r="B5" s="640"/>
      <c r="C5" s="641"/>
      <c r="D5" s="641"/>
      <c r="E5" s="641"/>
      <c r="F5" s="641"/>
      <c r="G5" s="641"/>
      <c r="H5" s="641"/>
      <c r="I5" s="644" t="s">
        <v>2235</v>
      </c>
      <c r="J5" s="645"/>
      <c r="K5" s="417" t="str">
        <f>+VLOOKUP($J$3,'Practice-LandUse'!$C$3:$O$175,13,FALSE)</f>
        <v>C  F  R    Pr  FS  D    O  AL</v>
      </c>
      <c r="M5" s="54"/>
      <c r="O5" s="53"/>
      <c r="Q5" s="58"/>
      <c r="R5" s="56"/>
      <c r="S5" s="56"/>
      <c r="T5" s="57"/>
      <c r="U5" s="57"/>
      <c r="V5" s="57"/>
      <c r="W5" s="57"/>
      <c r="X5" s="57"/>
    </row>
    <row r="6" spans="1:24" ht="15.75" x14ac:dyDescent="0.25">
      <c r="A6" s="51"/>
      <c r="B6" s="127" t="s">
        <v>2234</v>
      </c>
      <c r="C6" s="65"/>
      <c r="D6" s="254" t="s">
        <v>2038</v>
      </c>
      <c r="E6" s="65"/>
      <c r="F6" s="65"/>
      <c r="G6" s="65"/>
      <c r="H6" s="65"/>
      <c r="I6" s="65"/>
      <c r="J6" s="65"/>
      <c r="K6" s="82"/>
      <c r="M6" s="358" t="s">
        <v>3670</v>
      </c>
      <c r="O6" s="53"/>
      <c r="Q6" s="58"/>
      <c r="R6" s="83"/>
      <c r="S6" s="84"/>
      <c r="T6" s="85"/>
      <c r="U6" s="85"/>
      <c r="V6" s="86"/>
      <c r="W6" s="87"/>
      <c r="X6" s="57"/>
    </row>
    <row r="7" spans="1:24" ht="15.75" x14ac:dyDescent="0.25">
      <c r="A7" s="88" t="str">
        <f>+'Human Considerations'!AY2</f>
        <v>Land - Change in Land Use (Rational 1)</v>
      </c>
      <c r="B7" s="125" t="s">
        <v>2238</v>
      </c>
      <c r="C7" s="65"/>
      <c r="D7" s="306">
        <f>VLOOKUP($A$1,'Human Considerations-Numbers'!$A$2:$O$178,10,FALSE)</f>
        <v>5</v>
      </c>
      <c r="E7" s="307" t="str">
        <f>(INDEX('Human Considerations'!$D$3:$BT$180,MATCH($J$3,'Human Considerations'!$D$3:$D$180,0),MATCH($A7,'Human Considerations'!$D$2:$BT$2,0)))</f>
        <v>100 percent permanent change in landuse</v>
      </c>
      <c r="F7" s="65"/>
      <c r="G7" s="65"/>
      <c r="H7" s="65"/>
      <c r="I7" s="65"/>
      <c r="J7" s="65"/>
      <c r="K7" s="82"/>
      <c r="M7" s="74" t="s">
        <v>2234</v>
      </c>
      <c r="O7" s="53"/>
      <c r="Q7" s="58"/>
      <c r="R7" s="83"/>
      <c r="S7" s="84"/>
      <c r="T7" s="85"/>
      <c r="U7" s="85"/>
      <c r="V7" s="89"/>
      <c r="W7" s="87"/>
      <c r="X7" s="57"/>
    </row>
    <row r="8" spans="1:24" ht="15.75" x14ac:dyDescent="0.25">
      <c r="A8" s="88" t="str">
        <f>+'Human Considerations'!AZ2</f>
        <v>Land - Change in Land Use (Rational 2)</v>
      </c>
      <c r="B8" s="255" t="s">
        <v>2231</v>
      </c>
      <c r="C8" s="90"/>
      <c r="D8" s="308"/>
      <c r="E8" s="309" t="str">
        <f>(INDEX('Human Considerations'!$D$3:$BT$180,MATCH($J$3,'Human Considerations'!$D$3:$D$180,0),MATCH($A8,'Human Considerations'!$D$2:$BT$2,0)))</f>
        <v>Substantial if large areas are planted</v>
      </c>
      <c r="F8" s="90"/>
      <c r="G8" s="90"/>
      <c r="H8" s="90"/>
      <c r="I8" s="90"/>
      <c r="J8" s="90"/>
      <c r="K8" s="91"/>
      <c r="M8" s="81" t="s">
        <v>2236</v>
      </c>
      <c r="O8" s="53"/>
      <c r="Q8" s="58"/>
      <c r="R8" s="83"/>
      <c r="S8" s="84"/>
      <c r="T8" s="85"/>
      <c r="U8" s="85"/>
      <c r="V8" s="89"/>
      <c r="W8" s="87"/>
      <c r="X8" s="57"/>
    </row>
    <row r="9" spans="1:24" ht="15.75" x14ac:dyDescent="0.25">
      <c r="A9" s="88" t="str">
        <f>+'Human Considerations'!BC2</f>
        <v>Land - Land in Production (Rational 1)</v>
      </c>
      <c r="B9" s="125" t="s">
        <v>2240</v>
      </c>
      <c r="C9" s="65"/>
      <c r="D9" s="306">
        <f>VLOOKUP($A$1,'Human Considerations-Numbers'!$A$2:$O$178,11,FALSE)</f>
        <v>-3</v>
      </c>
      <c r="E9" s="307" t="str">
        <f>(INDEX('Human Considerations'!$D$3:$BT$180,MATCH($J$3,'Human Considerations'!$D$3:$D$180,0),MATCH($A9,'Human Considerations'!$D$2:$BT$2,0)))</f>
        <v>5 to 50 percent of area change to less intensive agricultural use</v>
      </c>
      <c r="F9" s="65"/>
      <c r="G9" s="65"/>
      <c r="H9" s="65"/>
      <c r="I9" s="65"/>
      <c r="J9" s="65"/>
      <c r="K9" s="82"/>
      <c r="M9" s="81" t="s">
        <v>2237</v>
      </c>
      <c r="O9" s="53"/>
      <c r="Q9" s="58"/>
      <c r="R9" s="83"/>
      <c r="S9" s="84"/>
      <c r="T9" s="85"/>
      <c r="U9" s="85"/>
      <c r="V9" s="89"/>
      <c r="W9" s="87"/>
      <c r="X9" s="57"/>
    </row>
    <row r="10" spans="1:24" ht="15.75" x14ac:dyDescent="0.25">
      <c r="A10" s="88" t="str">
        <f>+'Human Considerations'!BD2</f>
        <v>Land - Land in Production (Rational 2)</v>
      </c>
      <c r="B10" s="255" t="s">
        <v>2231</v>
      </c>
      <c r="C10" s="90"/>
      <c r="D10" s="308"/>
      <c r="E10" s="309" t="str">
        <f>(INDEX('Human Considerations'!$D$3:$BT$180,MATCH($J$3,'Human Considerations'!$D$3:$D$180,0),MATCH($A10,'Human Considerations'!$D$2:$BT$2,0)))</f>
        <v>Cropland converted to permanent cover</v>
      </c>
      <c r="F10" s="90"/>
      <c r="G10" s="90"/>
      <c r="H10" s="90"/>
      <c r="I10" s="90"/>
      <c r="J10" s="90"/>
      <c r="K10" s="91"/>
      <c r="M10" s="81" t="s">
        <v>2239</v>
      </c>
      <c r="O10" s="53"/>
      <c r="Q10" s="58"/>
      <c r="R10" s="83"/>
      <c r="S10" s="84"/>
      <c r="T10" s="85"/>
      <c r="U10" s="85"/>
      <c r="V10" s="89"/>
      <c r="W10" s="87"/>
      <c r="X10" s="57"/>
    </row>
    <row r="11" spans="1:24" ht="15.75" x14ac:dyDescent="0.25">
      <c r="A11" s="88" t="str">
        <f>+'Human Considerations'!BG2</f>
        <v>Capital - Change in Equipment (Rational 1)</v>
      </c>
      <c r="B11" s="125" t="s">
        <v>2243</v>
      </c>
      <c r="C11" s="65"/>
      <c r="D11" s="306">
        <f>VLOOKUP($A$1,'Human Considerations-Numbers'!$A$2:$O$178,12,FALSE)</f>
        <v>0</v>
      </c>
      <c r="E11" s="307" t="str">
        <f>(INDEX('Human Considerations'!$D$3:$BT$180,MATCH($J$3,'Human Considerations'!$D$3:$D$180,0),MATCH($A11,'Human Considerations'!$D$2:$BT$2,0)))</f>
        <v>No change in on-farm equipment</v>
      </c>
      <c r="F11" s="65"/>
      <c r="G11" s="65"/>
      <c r="H11" s="65"/>
      <c r="I11" s="65"/>
      <c r="J11" s="65"/>
      <c r="K11" s="82"/>
      <c r="M11" s="81"/>
      <c r="O11" s="53"/>
      <c r="R11" s="83"/>
      <c r="S11" s="84"/>
      <c r="T11" s="85"/>
      <c r="U11" s="85"/>
      <c r="V11" s="89"/>
      <c r="W11" s="87"/>
      <c r="X11" s="57"/>
    </row>
    <row r="12" spans="1:24" ht="15.75" x14ac:dyDescent="0.25">
      <c r="A12" s="88" t="str">
        <f>+'Human Considerations'!BH2</f>
        <v>Capital - Change in Equipment (Rational 2)</v>
      </c>
      <c r="B12" s="255" t="s">
        <v>2231</v>
      </c>
      <c r="C12" s="90"/>
      <c r="D12" s="308"/>
      <c r="E12" s="309" t="str">
        <f>(INDEX('Human Considerations'!$D$3:$BT$180,MATCH($J$3,'Human Considerations'!$D$3:$D$180,0),MATCH($A12,'Human Considerations'!$D$2:$BT$2,0)))</f>
        <v>No additional field equipment required</v>
      </c>
      <c r="F12" s="90"/>
      <c r="G12" s="90"/>
      <c r="H12" s="90"/>
      <c r="I12" s="90"/>
      <c r="J12" s="90"/>
      <c r="K12" s="91"/>
      <c r="M12" s="74" t="s">
        <v>2245</v>
      </c>
      <c r="O12" s="53"/>
      <c r="R12" s="83"/>
      <c r="S12" s="84"/>
      <c r="T12" s="85"/>
      <c r="U12" s="85"/>
      <c r="V12" s="89"/>
      <c r="W12" s="87"/>
      <c r="X12" s="57"/>
    </row>
    <row r="13" spans="1:24" ht="15.75" x14ac:dyDescent="0.25">
      <c r="A13" s="49"/>
      <c r="B13" s="127" t="s">
        <v>2245</v>
      </c>
      <c r="C13" s="65"/>
      <c r="D13" s="310"/>
      <c r="E13" s="307"/>
      <c r="F13" s="65"/>
      <c r="G13" s="65"/>
      <c r="H13" s="65"/>
      <c r="I13" s="65"/>
      <c r="J13" s="65" t="s">
        <v>2231</v>
      </c>
      <c r="K13" s="82"/>
      <c r="M13" s="81" t="s">
        <v>2247</v>
      </c>
      <c r="O13" s="53"/>
      <c r="R13" s="92"/>
      <c r="S13" s="84"/>
      <c r="T13" s="93"/>
      <c r="U13" s="93"/>
      <c r="V13" s="94"/>
      <c r="W13" s="87"/>
      <c r="X13" s="57"/>
    </row>
    <row r="14" spans="1:24" ht="15.75" x14ac:dyDescent="0.25">
      <c r="A14" s="88" t="str">
        <f>+'Human Considerations'!AE2</f>
        <v>Capital - Total Investment Cost (Rational 1)</v>
      </c>
      <c r="B14" s="125" t="s">
        <v>2246</v>
      </c>
      <c r="C14" s="65"/>
      <c r="D14" s="306">
        <f>VLOOKUP($A$1,'Human Considerations-Numbers'!$A$2:$O$178,5,FALSE)</f>
        <v>-2</v>
      </c>
      <c r="E14" s="307" t="str">
        <f>(INDEX('Human Considerations'!$D$3:$BT$180,MATCH($J$3,'Human Considerations'!$D$3:$D$180,0),MATCH($A14,'Human Considerations'!$D$2:$BT$2,0)))</f>
        <v>One-time practice implementation cost 5 to 100% of enterprise annual net income</v>
      </c>
      <c r="F14" s="65"/>
      <c r="G14" s="65"/>
      <c r="H14" s="65"/>
      <c r="I14" s="65"/>
      <c r="J14" s="65"/>
      <c r="K14" s="82"/>
      <c r="M14" s="81" t="s">
        <v>2248</v>
      </c>
      <c r="O14" s="53"/>
      <c r="R14" s="83"/>
      <c r="S14" s="84"/>
      <c r="T14" s="85"/>
      <c r="U14" s="85"/>
      <c r="V14" s="95"/>
      <c r="W14" s="87"/>
      <c r="X14" s="57"/>
    </row>
    <row r="15" spans="1:24" ht="15.75" x14ac:dyDescent="0.25">
      <c r="A15" s="88" t="str">
        <f>+'Human Considerations'!AF2</f>
        <v>Capital - Total Investment Cost (Rational 2)</v>
      </c>
      <c r="B15" s="255" t="s">
        <v>2231</v>
      </c>
      <c r="C15" s="90"/>
      <c r="D15" s="308"/>
      <c r="E15" s="309" t="str">
        <f>(INDEX('Human Considerations'!$D$3:$BT$180,MATCH($J$3,'Human Considerations'!$D$3:$D$180,0),MATCH($A15,'Human Considerations'!$D$2:$BT$2,0)))</f>
        <v>Materials &amp; planting costs</v>
      </c>
      <c r="F15" s="90"/>
      <c r="G15" s="90"/>
      <c r="H15" s="90"/>
      <c r="I15" s="90"/>
      <c r="J15" s="90"/>
      <c r="K15" s="91"/>
      <c r="M15" s="81" t="s">
        <v>2253</v>
      </c>
      <c r="O15" s="53"/>
      <c r="R15" s="83"/>
      <c r="S15" s="84"/>
      <c r="T15" s="85"/>
      <c r="U15" s="85"/>
      <c r="V15" s="95"/>
      <c r="W15" s="87"/>
      <c r="X15" s="57"/>
    </row>
    <row r="16" spans="1:24" ht="15.75" x14ac:dyDescent="0.25">
      <c r="A16" s="88" t="str">
        <f>+'Human Considerations'!AI2</f>
        <v>Capital - Annual O&amp;M Cost (Rational 1)</v>
      </c>
      <c r="B16" s="125" t="s">
        <v>2985</v>
      </c>
      <c r="C16" s="65"/>
      <c r="D16" s="306">
        <f>VLOOKUP($A$1,'Human Considerations-Numbers'!$A$2:$O$178,6,FALSE)</f>
        <v>-3</v>
      </c>
      <c r="E16" s="307" t="str">
        <f>(INDEX('Human Considerations'!$D$3:$BT$180,MATCH($J$3,'Human Considerations'!$D$3:$D$180,0),MATCH($A16,'Human Considerations'!$D$2:$BT$2,0)))</f>
        <v>Annual O&amp;M costs 2 to 3% of total installation costs</v>
      </c>
      <c r="F16" s="65"/>
      <c r="G16" s="65"/>
      <c r="H16" s="65"/>
      <c r="I16" s="65"/>
      <c r="J16" s="65"/>
      <c r="K16" s="82"/>
      <c r="M16" s="73"/>
      <c r="O16" s="53"/>
      <c r="R16" s="83"/>
      <c r="S16" s="84"/>
      <c r="T16" s="85"/>
      <c r="U16" s="85"/>
      <c r="V16" s="57"/>
      <c r="W16" s="87"/>
      <c r="X16" s="57"/>
    </row>
    <row r="17" spans="1:24" ht="15.75" x14ac:dyDescent="0.25">
      <c r="A17" s="96" t="str">
        <f>+'Human Considerations'!AJ2</f>
        <v>Capital - Annual O&amp;M Cost (Rational 2)</v>
      </c>
      <c r="B17" s="255" t="s">
        <v>2231</v>
      </c>
      <c r="C17" s="90"/>
      <c r="D17" s="308"/>
      <c r="E17" s="309" t="str">
        <f>(INDEX('Human Considerations'!$D$3:$BT$180,MATCH($J$3,'Human Considerations'!$D$3:$D$180,0),MATCH($A17,'Human Considerations'!$D$2:$BT$2,0)))</f>
        <v>Maintain vegetation and manage pests</v>
      </c>
      <c r="F17" s="90"/>
      <c r="G17" s="90"/>
      <c r="H17" s="90"/>
      <c r="I17" s="90"/>
      <c r="J17" s="90"/>
      <c r="K17" s="91"/>
      <c r="M17" s="74" t="s">
        <v>2241</v>
      </c>
      <c r="O17" s="53"/>
      <c r="R17" s="83"/>
      <c r="S17" s="84"/>
      <c r="T17" s="85"/>
      <c r="U17" s="85"/>
      <c r="V17" s="57"/>
      <c r="W17" s="87"/>
      <c r="X17" s="57"/>
    </row>
    <row r="18" spans="1:24" ht="15.75" x14ac:dyDescent="0.25">
      <c r="A18" s="88" t="str">
        <f>+'Human Considerations'!AM2</f>
        <v>Profitability - Change in Profitability Effect (Rational 1)</v>
      </c>
      <c r="B18" s="125" t="s">
        <v>2250</v>
      </c>
      <c r="C18" s="65"/>
      <c r="D18" s="306">
        <f>VLOOKUP($A$1,'Human Considerations-Numbers'!$A$2:$O$178,7,FALSE)</f>
        <v>-5</v>
      </c>
      <c r="E18" s="307" t="str">
        <f>(INDEX('Human Considerations'!$D$3:$BT$180,MATCH($J$3,'Human Considerations'!$D$3:$D$180,0),MATCH($A18,'Human Considerations'!$D$2:$BT$2,0)))</f>
        <v>B/C Ratio less than .02</v>
      </c>
      <c r="F18" s="65"/>
      <c r="G18" s="65"/>
      <c r="H18" s="65"/>
      <c r="I18" s="65"/>
      <c r="J18" s="65"/>
      <c r="K18" s="82"/>
      <c r="M18" s="81" t="s">
        <v>2242</v>
      </c>
      <c r="O18" s="53"/>
      <c r="R18" s="92"/>
      <c r="S18" s="84"/>
      <c r="T18" s="93"/>
      <c r="U18" s="93"/>
      <c r="V18" s="94"/>
      <c r="W18" s="87"/>
      <c r="X18" s="57"/>
    </row>
    <row r="19" spans="1:24" ht="15.75" x14ac:dyDescent="0.25">
      <c r="A19" s="88" t="str">
        <f>+'Human Considerations'!AN2</f>
        <v>Profitability - Change in Profitability Effect (Rational 2)</v>
      </c>
      <c r="B19" s="255" t="s">
        <v>2231</v>
      </c>
      <c r="C19" s="90"/>
      <c r="D19" s="308"/>
      <c r="E19" s="309" t="str">
        <f>(INDEX('Human Considerations'!$D$3:$BT$180,MATCH($J$3,'Human Considerations'!$D$3:$D$180,0),MATCH($A19,'Human Considerations'!$D$2:$BT$2,0)))</f>
        <v>Land taken out of production</v>
      </c>
      <c r="F19" s="90"/>
      <c r="G19" s="90"/>
      <c r="H19" s="90"/>
      <c r="I19" s="90"/>
      <c r="J19" s="90"/>
      <c r="K19" s="91"/>
      <c r="M19" s="73"/>
      <c r="O19" s="53"/>
      <c r="R19" s="92"/>
      <c r="S19" s="84"/>
      <c r="T19" s="93"/>
      <c r="U19" s="93"/>
      <c r="V19" s="94"/>
      <c r="W19" s="87"/>
      <c r="X19" s="57"/>
    </row>
    <row r="20" spans="1:24" x14ac:dyDescent="0.2">
      <c r="A20" s="49"/>
      <c r="B20" s="127" t="s">
        <v>2241</v>
      </c>
      <c r="C20" s="65"/>
      <c r="D20" s="310"/>
      <c r="E20" s="307"/>
      <c r="F20" s="65"/>
      <c r="G20" s="65"/>
      <c r="H20" s="65"/>
      <c r="I20" s="65"/>
      <c r="J20" s="65"/>
      <c r="K20" s="82"/>
      <c r="M20" s="74" t="s">
        <v>2950</v>
      </c>
      <c r="O20" s="53"/>
      <c r="R20" s="98"/>
      <c r="S20" s="98"/>
      <c r="T20" s="98"/>
      <c r="U20" s="98"/>
      <c r="V20" s="98"/>
      <c r="W20" s="98"/>
      <c r="X20" s="57"/>
    </row>
    <row r="21" spans="1:24" x14ac:dyDescent="0.2">
      <c r="A21" s="88" t="str">
        <f>+'Human Considerations'!BK2</f>
        <v>Labor - Labor (Rational 1)</v>
      </c>
      <c r="B21" s="125" t="s">
        <v>2254</v>
      </c>
      <c r="C21" s="65"/>
      <c r="D21" s="306">
        <f>VLOOKUP($A$1,'Human Considerations-Numbers'!$A$2:$O$178,13,FALSE)</f>
        <v>1</v>
      </c>
      <c r="E21" s="307" t="str">
        <f>(INDEX('Human Considerations'!$D$3:$BT$180,MATCH($J$3,'Human Considerations'!$D$3:$D$180,0),MATCH($A21,'Human Considerations'!$D$2:$BT$2,0)))</f>
        <v>Up to 50 hours labor no longer required for enterprise</v>
      </c>
      <c r="F21" s="65"/>
      <c r="G21" s="65"/>
      <c r="H21" s="65"/>
      <c r="I21" s="65"/>
      <c r="J21" s="65"/>
      <c r="K21" s="82"/>
      <c r="M21" s="81" t="s">
        <v>2244</v>
      </c>
      <c r="O21" s="53"/>
      <c r="R21" s="98"/>
      <c r="S21" s="98"/>
      <c r="T21" s="98"/>
      <c r="U21" s="98"/>
      <c r="V21" s="98"/>
      <c r="W21" s="98"/>
      <c r="X21" s="57"/>
    </row>
    <row r="22" spans="1:24" x14ac:dyDescent="0.2">
      <c r="A22" s="88" t="str">
        <f>+'Human Considerations'!BL2</f>
        <v>Labor - Labor (Rational 2)</v>
      </c>
      <c r="B22" s="255" t="s">
        <v>2231</v>
      </c>
      <c r="C22" s="90"/>
      <c r="D22" s="308"/>
      <c r="E22" s="309" t="str">
        <f>(INDEX('Human Considerations'!$D$3:$BT$180,MATCH($J$3,'Human Considerations'!$D$3:$D$180,0),MATCH($A22,'Human Considerations'!$D$2:$BT$2,0)))</f>
        <v>Reduced time cultivating crop</v>
      </c>
      <c r="F22" s="90"/>
      <c r="G22" s="90"/>
      <c r="H22" s="90"/>
      <c r="I22" s="90"/>
      <c r="J22" s="90"/>
      <c r="K22" s="91"/>
      <c r="M22" s="73"/>
      <c r="O22" s="53"/>
      <c r="R22" s="98"/>
      <c r="S22" s="98"/>
      <c r="T22" s="98"/>
      <c r="U22" s="98"/>
      <c r="V22" s="98"/>
      <c r="W22" s="98"/>
      <c r="X22" s="57"/>
    </row>
    <row r="23" spans="1:24" ht="15.75" x14ac:dyDescent="0.25">
      <c r="A23" s="49"/>
      <c r="B23" s="256" t="s">
        <v>2255</v>
      </c>
      <c r="C23" s="65"/>
      <c r="D23" s="310"/>
      <c r="E23" s="307"/>
      <c r="F23" s="65"/>
      <c r="G23" s="65"/>
      <c r="H23" s="65"/>
      <c r="I23" s="65"/>
      <c r="J23" s="65"/>
      <c r="K23" s="82"/>
      <c r="M23" s="97" t="s">
        <v>2249</v>
      </c>
      <c r="O23" s="53"/>
      <c r="R23" s="83"/>
      <c r="S23" s="84"/>
      <c r="T23" s="101"/>
      <c r="U23" s="101"/>
      <c r="V23" s="95"/>
      <c r="W23" s="87"/>
      <c r="X23" s="57"/>
    </row>
    <row r="24" spans="1:24" ht="15.75" x14ac:dyDescent="0.25">
      <c r="A24" s="88" t="str">
        <f>+'Human Considerations'!BO2</f>
        <v>Labor - Change in Management Level (Rational 1)</v>
      </c>
      <c r="B24" s="125" t="s">
        <v>2256</v>
      </c>
      <c r="C24" s="65"/>
      <c r="D24" s="306">
        <f>VLOOKUP($A$1,'Human Considerations-Numbers'!$A$2:$O$178,14,FALSE)</f>
        <v>2</v>
      </c>
      <c r="E24" s="307" t="str">
        <f>(INDEX('Human Considerations'!$D$3:$BT$180,MATCH($J$3,'Human Considerations'!$D$3:$D$180,0),MATCH($A24,'Human Considerations'!$D$2:$BT$2,0)))</f>
        <v>10 to 25 hours management no longer required for enterprise</v>
      </c>
      <c r="F24" s="65"/>
      <c r="G24" s="65"/>
      <c r="H24" s="65"/>
      <c r="I24" s="65"/>
      <c r="J24" s="65"/>
      <c r="K24" s="82"/>
      <c r="M24" s="81" t="s">
        <v>2251</v>
      </c>
      <c r="O24" s="53"/>
      <c r="R24" s="83"/>
      <c r="S24" s="84"/>
      <c r="T24" s="85"/>
      <c r="U24" s="85"/>
      <c r="V24" s="89"/>
      <c r="W24" s="87"/>
      <c r="X24" s="57"/>
    </row>
    <row r="25" spans="1:24" ht="15.75" x14ac:dyDescent="0.25">
      <c r="A25" s="88" t="str">
        <f>+'Human Considerations'!BP2</f>
        <v>Labor - Change in Management Level (Rational 2)</v>
      </c>
      <c r="B25" s="255" t="s">
        <v>2231</v>
      </c>
      <c r="C25" s="90"/>
      <c r="D25" s="308"/>
      <c r="E25" s="309" t="str">
        <f>(INDEX('Human Considerations'!$D$3:$BT$180,MATCH($J$3,'Human Considerations'!$D$3:$D$180,0),MATCH($A25,'Human Considerations'!$D$2:$BT$2,0)))</f>
        <v>Reduced time managing crop production</v>
      </c>
      <c r="F25" s="90"/>
      <c r="G25" s="90"/>
      <c r="H25" s="90"/>
      <c r="I25" s="90"/>
      <c r="J25" s="90"/>
      <c r="K25" s="91"/>
      <c r="M25" s="81" t="s">
        <v>2252</v>
      </c>
      <c r="O25" s="53"/>
      <c r="R25" s="83"/>
      <c r="S25" s="84"/>
      <c r="T25" s="85"/>
      <c r="U25" s="85"/>
      <c r="V25" s="89"/>
      <c r="W25" s="87"/>
      <c r="X25" s="57"/>
    </row>
    <row r="26" spans="1:24" ht="15.75" x14ac:dyDescent="0.25">
      <c r="A26" s="49"/>
      <c r="B26" s="127" t="s">
        <v>2249</v>
      </c>
      <c r="C26" s="65"/>
      <c r="D26" s="310"/>
      <c r="E26" s="307"/>
      <c r="F26" s="65"/>
      <c r="G26" s="65"/>
      <c r="H26" s="65"/>
      <c r="I26" s="65"/>
      <c r="J26" s="65"/>
      <c r="K26" s="82"/>
      <c r="M26" s="81" t="s">
        <v>2951</v>
      </c>
      <c r="O26" s="53"/>
      <c r="R26" s="83"/>
      <c r="S26" s="102"/>
      <c r="T26" s="101"/>
      <c r="U26" s="101"/>
      <c r="V26" s="89"/>
      <c r="W26" s="87"/>
      <c r="X26" s="57"/>
    </row>
    <row r="27" spans="1:24" ht="15.75" x14ac:dyDescent="0.25">
      <c r="A27" s="88" t="str">
        <f>+'Human Considerations'!AQ2</f>
        <v>Risk - Yield Effect (Rational 1)</v>
      </c>
      <c r="B27" s="125" t="s">
        <v>2257</v>
      </c>
      <c r="C27" s="65"/>
      <c r="D27" s="306">
        <f>VLOOKUP($A$1,'Human Considerations-Numbers'!$A$2:$O$178,8,FALSE)</f>
        <v>0</v>
      </c>
      <c r="E27" s="307" t="str">
        <f>(INDEX('Human Considerations'!$D$3:$BT$180,MATCH($J$3,'Human Considerations'!$D$3:$D$180,0),MATCH($A27,'Human Considerations'!$D$2:$BT$2,0)))</f>
        <v>No change in yield</v>
      </c>
      <c r="F27" s="65"/>
      <c r="G27" s="65"/>
      <c r="H27" s="65"/>
      <c r="I27" s="65"/>
      <c r="J27" s="65"/>
      <c r="K27" s="82"/>
      <c r="M27" s="54"/>
      <c r="O27" s="53"/>
      <c r="R27" s="92"/>
      <c r="S27" s="84"/>
      <c r="T27" s="93"/>
      <c r="U27" s="93"/>
      <c r="V27" s="89"/>
      <c r="W27" s="87"/>
      <c r="X27" s="57"/>
    </row>
    <row r="28" spans="1:24" ht="15.75" x14ac:dyDescent="0.25">
      <c r="A28" s="96" t="str">
        <f>+'Human Considerations'!AR2</f>
        <v>Risk - Yield Effect (Rational 2)</v>
      </c>
      <c r="B28" s="255" t="s">
        <v>2231</v>
      </c>
      <c r="C28" s="90"/>
      <c r="D28" s="308"/>
      <c r="E28" s="309" t="str">
        <f>(INDEX('Human Considerations'!$D$3:$BT$180,MATCH($J$3,'Human Considerations'!$D$3:$D$180,0),MATCH($A28,'Human Considerations'!$D$2:$BT$2,0)))</f>
        <v>Crop taken out of production</v>
      </c>
      <c r="F28" s="90"/>
      <c r="G28" s="90"/>
      <c r="H28" s="90"/>
      <c r="I28" s="90"/>
      <c r="J28" s="90"/>
      <c r="K28" s="91"/>
      <c r="M28" s="54"/>
      <c r="O28" s="53"/>
      <c r="R28" s="92"/>
      <c r="S28" s="84"/>
      <c r="T28" s="93"/>
      <c r="U28" s="93"/>
      <c r="V28" s="89"/>
      <c r="W28" s="87"/>
      <c r="X28" s="57"/>
    </row>
    <row r="29" spans="1:24" ht="15.75" x14ac:dyDescent="0.25">
      <c r="A29" s="88" t="str">
        <f>+'Human Considerations'!BS2</f>
        <v>Risk - Flexibility and Timing (Rational 1)</v>
      </c>
      <c r="B29" s="257" t="s">
        <v>2258</v>
      </c>
      <c r="C29" s="65"/>
      <c r="D29" s="306">
        <f>VLOOKUP($A$1,'Human Considerations-Numbers'!$A$2:$O$178,15,FALSE)</f>
        <v>-3</v>
      </c>
      <c r="E29" s="307" t="str">
        <f>(INDEX('Human Considerations'!$D$3:$BT$180,MATCH($J$3,'Human Considerations'!$D$3:$D$180,0),MATCH($A29,'Human Considerations'!$D$2:$BT$2,0)))</f>
        <v>Discourages other enterprises, shortens or restricts season of use</v>
      </c>
      <c r="F29" s="65"/>
      <c r="G29" s="65"/>
      <c r="H29" s="65"/>
      <c r="I29" s="65"/>
      <c r="J29" s="65"/>
      <c r="K29" s="82"/>
      <c r="M29" s="54"/>
      <c r="N29" s="67"/>
      <c r="O29" s="53"/>
      <c r="R29" s="92"/>
      <c r="S29" s="84"/>
      <c r="T29" s="93"/>
      <c r="U29" s="93"/>
      <c r="V29" s="89"/>
      <c r="W29" s="87"/>
      <c r="X29" s="57"/>
    </row>
    <row r="30" spans="1:24" ht="15.75" x14ac:dyDescent="0.25">
      <c r="A30" s="88" t="str">
        <f>+'Human Considerations'!BT2</f>
        <v>Risk - Flexibility and Timing (Rational 2)</v>
      </c>
      <c r="B30" s="255" t="s">
        <v>2231</v>
      </c>
      <c r="C30" s="90"/>
      <c r="D30" s="308"/>
      <c r="E30" s="309" t="str">
        <f>(INDEX('Human Considerations'!$D$3:$BT$180,MATCH($J$3,'Human Considerations'!$D$3:$D$180,0),MATCH($A30,'Human Considerations'!$D$2:$BT$2,0)))</f>
        <v>Decrease by taking land out of agricultural production</v>
      </c>
      <c r="F30" s="90"/>
      <c r="G30" s="90"/>
      <c r="H30" s="90"/>
      <c r="I30" s="90"/>
      <c r="J30" s="90"/>
      <c r="K30" s="91"/>
      <c r="M30" s="54"/>
      <c r="N30" s="67"/>
      <c r="O30" s="53"/>
      <c r="R30" s="92"/>
      <c r="S30" s="84"/>
      <c r="T30" s="93"/>
      <c r="U30" s="93"/>
      <c r="V30" s="89"/>
      <c r="W30" s="87"/>
      <c r="X30" s="57"/>
    </row>
    <row r="31" spans="1:24" ht="15.75" x14ac:dyDescent="0.25">
      <c r="A31" s="88" t="str">
        <f>+'Human Considerations'!AU2</f>
        <v>Risk - Cash Flow Effect (Rational 1)</v>
      </c>
      <c r="B31" s="125" t="s">
        <v>2259</v>
      </c>
      <c r="C31" s="65"/>
      <c r="D31" s="306">
        <f>VLOOKUP($A$1,'Human Considerations-Numbers'!$A$2:$O$178,9,FALSE)</f>
        <v>0</v>
      </c>
      <c r="E31" s="307" t="str">
        <f>(INDEX('Human Considerations'!$D$3:$BT$180,MATCH($J$3,'Human Considerations'!$D$3:$D$180,0),MATCH($A31,'Human Considerations'!$D$2:$BT$2,0)))</f>
        <v>No breakeven</v>
      </c>
      <c r="F31" s="65"/>
      <c r="G31" s="65"/>
      <c r="H31" s="65"/>
      <c r="I31" s="65"/>
      <c r="J31" s="65"/>
      <c r="K31" s="82"/>
      <c r="M31" s="54"/>
      <c r="N31" s="67"/>
      <c r="O31" s="53"/>
      <c r="R31" s="92"/>
      <c r="S31" s="84"/>
      <c r="T31" s="85"/>
      <c r="U31" s="85"/>
      <c r="V31" s="89"/>
      <c r="W31" s="87"/>
      <c r="X31" s="57"/>
    </row>
    <row r="32" spans="1:24" ht="15.75" x14ac:dyDescent="0.25">
      <c r="A32" s="88" t="str">
        <f>+'Human Considerations'!AV2</f>
        <v>Risk - Cash Flow Effect (Rational 2)</v>
      </c>
      <c r="B32" s="255" t="s">
        <v>2231</v>
      </c>
      <c r="C32" s="90"/>
      <c r="D32" s="308"/>
      <c r="E32" s="309" t="str">
        <f>(INDEX('Human Considerations'!$D$3:$BT$180,MATCH($J$3,'Human Considerations'!$D$3:$D$180,0),MATCH($A32,'Human Considerations'!$D$2:$BT$2,0)))</f>
        <v>Annual costs greater than annual benefits</v>
      </c>
      <c r="F32" s="90"/>
      <c r="G32" s="90"/>
      <c r="H32" s="90"/>
      <c r="I32" s="90"/>
      <c r="J32" s="90"/>
      <c r="K32" s="91"/>
      <c r="M32" s="54"/>
      <c r="N32" s="67"/>
      <c r="O32" s="53"/>
      <c r="R32" s="92"/>
      <c r="S32" s="84"/>
      <c r="T32" s="85"/>
      <c r="U32" s="85"/>
      <c r="V32" s="89"/>
      <c r="W32" s="87"/>
      <c r="X32" s="57"/>
    </row>
    <row r="33" spans="1:24" ht="16.5" thickBot="1" x14ac:dyDescent="0.3">
      <c r="A33" s="51"/>
      <c r="B33" s="343"/>
      <c r="C33" s="79"/>
      <c r="D33" s="65"/>
      <c r="E33" s="80"/>
      <c r="F33" s="65"/>
      <c r="G33" s="65"/>
      <c r="H33" s="65"/>
      <c r="I33" s="65"/>
      <c r="J33" s="65"/>
      <c r="K33" s="82"/>
      <c r="M33" s="54"/>
      <c r="N33" s="100"/>
      <c r="O33" s="53"/>
      <c r="R33" s="83"/>
      <c r="S33" s="84"/>
      <c r="T33" s="85"/>
      <c r="U33" s="85"/>
      <c r="V33" s="89"/>
      <c r="W33" s="87"/>
      <c r="X33" s="57"/>
    </row>
    <row r="34" spans="1:24" ht="16.5" thickTop="1" x14ac:dyDescent="0.25">
      <c r="A34" s="51"/>
      <c r="B34" s="127" t="s">
        <v>2260</v>
      </c>
      <c r="C34" s="65"/>
      <c r="D34" s="65"/>
      <c r="E34" s="348" t="s">
        <v>3660</v>
      </c>
      <c r="F34" s="65"/>
      <c r="G34" s="258" t="s">
        <v>2261</v>
      </c>
      <c r="H34" s="64"/>
      <c r="I34" s="262" t="s">
        <v>2262</v>
      </c>
      <c r="J34" s="326"/>
      <c r="K34" s="260"/>
      <c r="M34" s="54" t="s">
        <v>2231</v>
      </c>
      <c r="O34" s="53"/>
      <c r="R34" s="83"/>
      <c r="S34" s="84"/>
      <c r="T34" s="85"/>
      <c r="U34" s="85"/>
      <c r="V34" s="89"/>
      <c r="W34" s="87"/>
      <c r="X34" s="57"/>
    </row>
    <row r="35" spans="1:24" ht="15.75" x14ac:dyDescent="0.25">
      <c r="A35" s="51"/>
      <c r="B35" s="125" t="s">
        <v>2263</v>
      </c>
      <c r="C35" s="65"/>
      <c r="D35" s="354">
        <f>VLOOKUP($A$1,'Human Considerations'!$A$3:$J$180,10,FALSE)</f>
        <v>0.03</v>
      </c>
      <c r="E35" s="349">
        <f>+D35</f>
        <v>0.03</v>
      </c>
      <c r="F35" s="65"/>
      <c r="G35" s="259" t="s">
        <v>2264</v>
      </c>
      <c r="H35" s="65"/>
      <c r="I35" s="259" t="s">
        <v>2001</v>
      </c>
      <c r="J35" s="341"/>
      <c r="K35" s="82"/>
      <c r="M35" s="99"/>
      <c r="O35" s="53"/>
      <c r="Q35" s="58"/>
      <c r="R35" s="83"/>
      <c r="S35" s="84"/>
      <c r="T35" s="103"/>
      <c r="U35" s="103"/>
      <c r="V35" s="89"/>
      <c r="W35" s="87"/>
      <c r="X35" s="57"/>
    </row>
    <row r="36" spans="1:24" ht="15.75" x14ac:dyDescent="0.25">
      <c r="A36" s="51"/>
      <c r="B36" s="125" t="s">
        <v>2265</v>
      </c>
      <c r="C36" s="65"/>
      <c r="D36" s="355">
        <f>VLOOKUP($A$1,'Human Considerations'!$A$3:$J$180,7,FALSE)</f>
        <v>3</v>
      </c>
      <c r="E36" s="350">
        <f t="shared" ref="E36:E37" si="0">+D36</f>
        <v>3</v>
      </c>
      <c r="F36" s="104"/>
      <c r="G36" s="259" t="s">
        <v>2266</v>
      </c>
      <c r="H36" s="104"/>
      <c r="I36" s="259" t="s">
        <v>2267</v>
      </c>
      <c r="J36" s="341"/>
      <c r="K36" s="82"/>
      <c r="M36" s="54"/>
      <c r="O36" s="53"/>
      <c r="Q36" s="58"/>
      <c r="R36" s="57"/>
      <c r="S36" s="105"/>
      <c r="T36" s="106"/>
      <c r="U36" s="106"/>
      <c r="V36" s="89"/>
      <c r="W36" s="87"/>
      <c r="X36" s="57"/>
    </row>
    <row r="37" spans="1:24" x14ac:dyDescent="0.2">
      <c r="A37" s="51"/>
      <c r="B37" s="125" t="s">
        <v>2268</v>
      </c>
      <c r="C37" s="65"/>
      <c r="D37" s="356">
        <f>VLOOKUP($A$1,'Human Considerations'!$A$3:$J$180,8,FALSE)</f>
        <v>75</v>
      </c>
      <c r="E37" s="351">
        <f t="shared" si="0"/>
        <v>75</v>
      </c>
      <c r="F37" s="104"/>
      <c r="G37" s="259" t="s">
        <v>2269</v>
      </c>
      <c r="H37" s="104"/>
      <c r="I37" s="259" t="s">
        <v>2270</v>
      </c>
      <c r="J37" s="341"/>
      <c r="K37" s="82"/>
      <c r="M37" s="54"/>
      <c r="O37" s="53"/>
      <c r="Q37" s="58"/>
      <c r="R37" s="56"/>
      <c r="S37" s="57"/>
      <c r="T37" s="57"/>
      <c r="U37" s="57"/>
      <c r="V37" s="57"/>
      <c r="W37" s="57"/>
      <c r="X37" s="57"/>
    </row>
    <row r="38" spans="1:24" x14ac:dyDescent="0.2">
      <c r="A38" s="51"/>
      <c r="B38" s="125" t="s">
        <v>2271</v>
      </c>
      <c r="C38" s="65"/>
      <c r="D38" s="356">
        <f>PMT(D39,D36,-D37)+(D35*D37)</f>
        <v>29.855173428070458</v>
      </c>
      <c r="E38" s="353">
        <f>PMT(E39,E36,-E37)+(E35*E37)</f>
        <v>29.855173428070458</v>
      </c>
      <c r="F38" s="104"/>
      <c r="G38" s="259" t="s">
        <v>2272</v>
      </c>
      <c r="H38" s="104"/>
      <c r="I38" s="259" t="s">
        <v>2273</v>
      </c>
      <c r="J38" s="341"/>
      <c r="K38" s="82"/>
      <c r="M38" s="107"/>
      <c r="O38" s="108"/>
      <c r="Q38" s="58"/>
      <c r="R38" s="109"/>
      <c r="S38" s="109"/>
      <c r="T38" s="57"/>
      <c r="U38" s="57"/>
      <c r="V38" s="57"/>
      <c r="W38" s="57"/>
      <c r="X38" s="57"/>
    </row>
    <row r="39" spans="1:24" s="108" customFormat="1" ht="16.5" thickBot="1" x14ac:dyDescent="0.3">
      <c r="A39" s="110"/>
      <c r="B39" s="125" t="s">
        <v>2274</v>
      </c>
      <c r="C39" s="65"/>
      <c r="D39" s="357">
        <f>+Lookup!G4</f>
        <v>5.1249999999999997E-2</v>
      </c>
      <c r="E39" s="352">
        <f>+D39</f>
        <v>5.1249999999999997E-2</v>
      </c>
      <c r="F39" s="344"/>
      <c r="G39" s="172" t="s">
        <v>2275</v>
      </c>
      <c r="H39" s="111"/>
      <c r="I39" s="172" t="s">
        <v>2276</v>
      </c>
      <c r="J39" s="327"/>
      <c r="K39" s="261"/>
      <c r="M39" s="54"/>
      <c r="O39" s="53"/>
      <c r="Q39" s="58"/>
      <c r="R39" s="112"/>
      <c r="S39" s="113"/>
      <c r="T39" s="57"/>
      <c r="U39" s="114"/>
      <c r="V39" s="115"/>
      <c r="W39" s="116"/>
      <c r="X39" s="57"/>
    </row>
    <row r="40" spans="1:24" s="108" customFormat="1" ht="16.5" thickTop="1" x14ac:dyDescent="0.25">
      <c r="A40" s="110"/>
      <c r="B40" s="125" t="s">
        <v>3506</v>
      </c>
      <c r="C40" s="378"/>
      <c r="D40" s="379" t="str">
        <f>+$J$4</f>
        <v>Ac.</v>
      </c>
      <c r="E40" s="344"/>
      <c r="F40" s="344"/>
      <c r="G40" s="646" t="s">
        <v>3146</v>
      </c>
      <c r="H40" s="647"/>
      <c r="I40" s="647"/>
      <c r="J40" s="647"/>
      <c r="K40" s="648"/>
      <c r="M40" s="54"/>
      <c r="O40" s="53"/>
      <c r="Q40" s="58"/>
      <c r="R40" s="112"/>
      <c r="S40" s="113"/>
      <c r="T40" s="57"/>
      <c r="U40" s="114"/>
      <c r="V40" s="115"/>
      <c r="W40" s="116"/>
      <c r="X40" s="57"/>
    </row>
    <row r="41" spans="1:24" s="108" customFormat="1" ht="16.5" thickBot="1" x14ac:dyDescent="0.3">
      <c r="A41" s="110"/>
      <c r="B41" s="128"/>
      <c r="C41" s="129"/>
      <c r="D41" s="111"/>
      <c r="E41" s="111"/>
      <c r="F41" s="111"/>
      <c r="G41" s="649"/>
      <c r="H41" s="649"/>
      <c r="I41" s="649"/>
      <c r="J41" s="649"/>
      <c r="K41" s="650"/>
      <c r="M41" s="54"/>
      <c r="O41" s="53"/>
      <c r="Q41" s="58"/>
      <c r="R41" s="112"/>
      <c r="S41" s="113"/>
      <c r="T41" s="57"/>
      <c r="U41" s="114"/>
      <c r="V41" s="115"/>
      <c r="W41" s="116"/>
      <c r="X41" s="57"/>
    </row>
    <row r="42" spans="1:24" ht="15.75" thickTop="1" x14ac:dyDescent="0.2">
      <c r="A42" s="51"/>
      <c r="B42" s="51"/>
      <c r="C42" s="51"/>
      <c r="D42" s="51"/>
      <c r="E42" s="52"/>
      <c r="F42" s="52"/>
      <c r="G42" s="52"/>
      <c r="H42" s="52"/>
      <c r="I42" s="52"/>
      <c r="J42" s="52"/>
      <c r="K42" s="52"/>
      <c r="L42" s="52"/>
      <c r="M42" s="54"/>
      <c r="O42" s="53"/>
      <c r="Q42" s="58"/>
      <c r="R42" s="112"/>
      <c r="S42" s="117"/>
      <c r="T42" s="57"/>
      <c r="U42" s="57"/>
      <c r="V42" s="57"/>
      <c r="W42" s="57"/>
      <c r="X42" s="57"/>
    </row>
    <row r="43" spans="1:24" x14ac:dyDescent="0.2">
      <c r="B43" s="51"/>
      <c r="C43" s="118"/>
      <c r="D43" s="51"/>
      <c r="E43" s="52"/>
      <c r="F43" s="52"/>
      <c r="G43" s="52"/>
      <c r="H43" s="119"/>
      <c r="I43" s="52" t="s">
        <v>2277</v>
      </c>
      <c r="J43" s="52"/>
      <c r="M43" s="54"/>
      <c r="O43" s="53"/>
      <c r="Q43" s="58"/>
      <c r="R43" s="112"/>
      <c r="S43" s="120"/>
      <c r="T43" s="107"/>
      <c r="U43" s="121"/>
      <c r="V43" s="107"/>
      <c r="W43" s="107"/>
      <c r="X43" s="107"/>
    </row>
    <row r="44" spans="1:24" x14ac:dyDescent="0.2">
      <c r="A44" s="51"/>
      <c r="B44" s="51"/>
      <c r="C44" s="122"/>
      <c r="E44" s="122"/>
      <c r="F44" s="52"/>
      <c r="G44" s="52"/>
      <c r="H44" s="119"/>
      <c r="I44" s="52" t="s">
        <v>2278</v>
      </c>
      <c r="J44" s="52"/>
      <c r="M44" s="54"/>
      <c r="O44" s="53"/>
      <c r="Q44" s="58"/>
      <c r="R44" s="112"/>
      <c r="S44" s="120"/>
      <c r="T44" s="107"/>
      <c r="U44" s="121"/>
      <c r="V44" s="107"/>
      <c r="W44" s="107"/>
      <c r="X44" s="107"/>
    </row>
    <row r="45" spans="1:24" x14ac:dyDescent="0.2">
      <c r="A45" s="51"/>
      <c r="B45" s="51"/>
      <c r="C45" s="51"/>
      <c r="D45" s="51"/>
      <c r="E45" s="52"/>
      <c r="F45" s="52"/>
      <c r="G45" s="52"/>
      <c r="H45" s="119"/>
      <c r="J45" s="52"/>
      <c r="K45" s="301">
        <v>41396</v>
      </c>
      <c r="M45" s="54"/>
      <c r="O45" s="53"/>
      <c r="Q45" s="58"/>
      <c r="R45" s="112"/>
      <c r="S45" s="120"/>
      <c r="T45" s="107"/>
      <c r="U45" s="121"/>
      <c r="V45" s="107"/>
      <c r="W45" s="107"/>
      <c r="X45" s="107"/>
    </row>
    <row r="46" spans="1:24" x14ac:dyDescent="0.2">
      <c r="A46" s="51"/>
      <c r="B46" s="51"/>
      <c r="C46" s="51"/>
      <c r="D46" s="51"/>
      <c r="E46" s="52"/>
      <c r="F46" s="52"/>
      <c r="G46" s="52"/>
      <c r="H46" s="119"/>
      <c r="I46" s="52"/>
      <c r="J46" s="52"/>
      <c r="K46" s="52"/>
      <c r="L46" s="52"/>
      <c r="M46" s="54"/>
      <c r="O46" s="53"/>
      <c r="Q46" s="58"/>
      <c r="R46" s="112"/>
      <c r="S46" s="120"/>
      <c r="T46" s="107"/>
      <c r="U46" s="121"/>
      <c r="V46" s="107"/>
      <c r="W46" s="107"/>
      <c r="X46" s="107"/>
    </row>
    <row r="47" spans="1:24" x14ac:dyDescent="0.2">
      <c r="A47" s="51"/>
      <c r="B47" s="51"/>
      <c r="C47" s="51"/>
      <c r="D47" s="51"/>
      <c r="E47" s="52"/>
      <c r="F47" s="52"/>
      <c r="G47" s="52"/>
      <c r="H47" s="119"/>
      <c r="I47" s="52"/>
      <c r="J47" s="52"/>
      <c r="K47" s="52"/>
      <c r="L47" s="52"/>
      <c r="M47" s="54"/>
      <c r="O47" s="53"/>
      <c r="Q47" s="58"/>
      <c r="R47" s="112"/>
      <c r="S47" s="120"/>
      <c r="T47" s="107"/>
      <c r="U47" s="121"/>
      <c r="V47" s="107"/>
      <c r="W47" s="107"/>
      <c r="X47" s="107"/>
    </row>
    <row r="48" spans="1:24" x14ac:dyDescent="0.2">
      <c r="A48" s="51"/>
      <c r="B48" s="51"/>
      <c r="C48" s="51"/>
      <c r="D48" s="51"/>
      <c r="E48" s="52"/>
      <c r="F48" s="52"/>
      <c r="G48" s="52"/>
      <c r="H48" s="119"/>
      <c r="I48" s="52"/>
      <c r="J48" s="52"/>
      <c r="K48" s="52"/>
      <c r="L48" s="52"/>
      <c r="M48" s="99"/>
      <c r="O48" s="53"/>
      <c r="Q48" s="58"/>
      <c r="R48" s="112"/>
      <c r="S48" s="120"/>
      <c r="T48" s="107"/>
      <c r="U48" s="121"/>
      <c r="V48" s="107"/>
      <c r="W48" s="107"/>
      <c r="X48" s="107"/>
    </row>
  </sheetData>
  <mergeCells count="4">
    <mergeCell ref="B4:H5"/>
    <mergeCell ref="K3:K4"/>
    <mergeCell ref="I5:J5"/>
    <mergeCell ref="G40:K41"/>
  </mergeCells>
  <pageMargins left="1" right="0.75" top="1" bottom="0.75" header="0" footer="0"/>
  <pageSetup scale="73" fitToHeight="74" orientation="landscape" cellComments="atEnd" r:id="rId1"/>
  <headerFooter alignWithMargins="0"/>
  <ignoredErrors>
    <ignoredError sqref="D38:D40 D35:D37" unlockedFormula="1"/>
    <ignoredError sqref="E38"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51201" r:id="rId4" name="Drop Down 1">
              <controlPr defaultSize="0" autoLine="0" autoPict="0">
                <anchor moveWithCells="1">
                  <from>
                    <xdr:col>1</xdr:col>
                    <xdr:colOff>19050</xdr:colOff>
                    <xdr:row>0</xdr:row>
                    <xdr:rowOff>38100</xdr:rowOff>
                  </from>
                  <to>
                    <xdr:col>5</xdr:col>
                    <xdr:colOff>19050</xdr:colOff>
                    <xdr:row>0</xdr:row>
                    <xdr:rowOff>257175</xdr:rowOff>
                  </to>
                </anchor>
              </controlPr>
            </control>
          </mc:Choice>
        </mc:AlternateContent>
        <mc:AlternateContent xmlns:mc="http://schemas.openxmlformats.org/markup-compatibility/2006">
          <mc:Choice Requires="x14">
            <control shapeId="51202" r:id="rId5" name="Button 2">
              <controlPr defaultSize="0" print="0" autoFill="0" autoPict="0" macro="[0]!PrintEcon">
                <anchor moveWithCells="1" sizeWithCells="1">
                  <from>
                    <xdr:col>12</xdr:col>
                    <xdr:colOff>171450</xdr:colOff>
                    <xdr:row>1</xdr:row>
                    <xdr:rowOff>57150</xdr:rowOff>
                  </from>
                  <to>
                    <xdr:col>12</xdr:col>
                    <xdr:colOff>742950</xdr:colOff>
                    <xdr:row>1</xdr:row>
                    <xdr:rowOff>333375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B1:E77"/>
  <sheetViews>
    <sheetView zoomScaleNormal="100" workbookViewId="0"/>
  </sheetViews>
  <sheetFormatPr defaultColWidth="87.28515625" defaultRowHeight="12" x14ac:dyDescent="0.2"/>
  <cols>
    <col min="1" max="1" width="1.5703125" style="132" customWidth="1"/>
    <col min="2" max="2" width="79.7109375" style="131" customWidth="1"/>
    <col min="3" max="3" width="87.28515625" style="132"/>
    <col min="4" max="12" width="15.7109375" style="132" customWidth="1"/>
    <col min="13" max="16384" width="87.28515625" style="132"/>
  </cols>
  <sheetData>
    <row r="1" spans="2:3" x14ac:dyDescent="0.2">
      <c r="C1" s="132" t="s">
        <v>2231</v>
      </c>
    </row>
    <row r="2" spans="2:3" ht="26.25" x14ac:dyDescent="0.4">
      <c r="B2" s="159" t="s">
        <v>2340</v>
      </c>
    </row>
    <row r="4" spans="2:3" x14ac:dyDescent="0.2">
      <c r="B4" s="158" t="s">
        <v>2560</v>
      </c>
      <c r="C4" s="136"/>
    </row>
    <row r="5" spans="2:3" ht="25.5" x14ac:dyDescent="0.2">
      <c r="B5" s="313" t="s">
        <v>2281</v>
      </c>
      <c r="C5" s="13" t="s">
        <v>2282</v>
      </c>
    </row>
    <row r="6" spans="2:3" ht="38.25" x14ac:dyDescent="0.2">
      <c r="B6" s="313" t="s">
        <v>2283</v>
      </c>
      <c r="C6" s="13" t="s">
        <v>2284</v>
      </c>
    </row>
    <row r="7" spans="2:3" ht="25.5" x14ac:dyDescent="0.2">
      <c r="B7" s="313" t="s">
        <v>2285</v>
      </c>
      <c r="C7" s="13" t="s">
        <v>2286</v>
      </c>
    </row>
    <row r="8" spans="2:3" ht="38.25" x14ac:dyDescent="0.2">
      <c r="B8" s="313" t="s">
        <v>2287</v>
      </c>
      <c r="C8" s="135" t="s">
        <v>2381</v>
      </c>
    </row>
    <row r="9" spans="2:3" ht="25.5" x14ac:dyDescent="0.2">
      <c r="B9" s="313" t="s">
        <v>2288</v>
      </c>
      <c r="C9" s="13" t="s">
        <v>2289</v>
      </c>
    </row>
    <row r="10" spans="2:3" ht="25.5" x14ac:dyDescent="0.2">
      <c r="B10" s="313" t="s">
        <v>2290</v>
      </c>
      <c r="C10" s="13" t="s">
        <v>2291</v>
      </c>
    </row>
    <row r="11" spans="2:3" ht="25.5" x14ac:dyDescent="0.2">
      <c r="B11" s="313" t="s">
        <v>2292</v>
      </c>
      <c r="C11" s="13" t="s">
        <v>2293</v>
      </c>
    </row>
    <row r="12" spans="2:3" ht="12.75" x14ac:dyDescent="0.2">
      <c r="B12" s="313"/>
      <c r="C12" s="13"/>
    </row>
    <row r="13" spans="2:3" x14ac:dyDescent="0.2">
      <c r="B13" s="314" t="s">
        <v>2561</v>
      </c>
      <c r="C13" s="136"/>
    </row>
    <row r="14" spans="2:3" ht="25.5" x14ac:dyDescent="0.2">
      <c r="B14" s="313" t="s">
        <v>2562</v>
      </c>
      <c r="C14" s="13" t="s">
        <v>2294</v>
      </c>
    </row>
    <row r="15" spans="2:3" ht="25.5" x14ac:dyDescent="0.2">
      <c r="B15" s="313" t="s">
        <v>2295</v>
      </c>
      <c r="C15" s="13" t="s">
        <v>2296</v>
      </c>
    </row>
    <row r="16" spans="2:3" ht="38.25" x14ac:dyDescent="0.2">
      <c r="B16" s="313" t="s">
        <v>2297</v>
      </c>
      <c r="C16" s="13" t="s">
        <v>2298</v>
      </c>
    </row>
    <row r="17" spans="2:3" ht="38.25" x14ac:dyDescent="0.2">
      <c r="B17" s="313" t="s">
        <v>2299</v>
      </c>
      <c r="C17" s="13" t="s">
        <v>2300</v>
      </c>
    </row>
    <row r="18" spans="2:3" ht="38.25" x14ac:dyDescent="0.2">
      <c r="B18" s="313" t="s">
        <v>2299</v>
      </c>
      <c r="C18" s="13" t="s">
        <v>2300</v>
      </c>
    </row>
    <row r="19" spans="2:3" ht="25.5" x14ac:dyDescent="0.2">
      <c r="B19" s="313" t="s">
        <v>2301</v>
      </c>
      <c r="C19" s="13" t="s">
        <v>2302</v>
      </c>
    </row>
    <row r="20" spans="2:3" ht="51" x14ac:dyDescent="0.2">
      <c r="B20" s="313" t="s">
        <v>2563</v>
      </c>
      <c r="C20" s="13" t="s">
        <v>2303</v>
      </c>
    </row>
    <row r="21" spans="2:3" ht="25.5" x14ac:dyDescent="0.2">
      <c r="B21" s="313" t="s">
        <v>2304</v>
      </c>
      <c r="C21" s="13" t="s">
        <v>2305</v>
      </c>
    </row>
    <row r="22" spans="2:3" ht="25.5" x14ac:dyDescent="0.2">
      <c r="B22" s="313" t="s">
        <v>2306</v>
      </c>
      <c r="C22" s="13" t="s">
        <v>2307</v>
      </c>
    </row>
    <row r="23" spans="2:3" ht="25.5" x14ac:dyDescent="0.2">
      <c r="B23" s="313" t="s">
        <v>2308</v>
      </c>
      <c r="C23" s="13" t="s">
        <v>2309</v>
      </c>
    </row>
    <row r="24" spans="2:3" ht="12.75" x14ac:dyDescent="0.2">
      <c r="B24" s="313" t="s">
        <v>2310</v>
      </c>
      <c r="C24" s="13" t="s">
        <v>2311</v>
      </c>
    </row>
    <row r="25" spans="2:3" ht="12.75" x14ac:dyDescent="0.2">
      <c r="B25" s="313"/>
      <c r="C25" s="13"/>
    </row>
    <row r="26" spans="2:3" x14ac:dyDescent="0.2">
      <c r="B26" s="314" t="s">
        <v>2564</v>
      </c>
      <c r="C26" s="136"/>
    </row>
    <row r="27" spans="2:3" ht="38.25" x14ac:dyDescent="0.2">
      <c r="B27" s="313" t="s">
        <v>2312</v>
      </c>
      <c r="C27" s="13" t="s">
        <v>2313</v>
      </c>
    </row>
    <row r="28" spans="2:3" ht="38.25" x14ac:dyDescent="0.2">
      <c r="B28" s="313" t="s">
        <v>2314</v>
      </c>
      <c r="C28" s="13" t="s">
        <v>2315</v>
      </c>
    </row>
    <row r="29" spans="2:3" ht="25.5" x14ac:dyDescent="0.2">
      <c r="B29" s="313" t="s">
        <v>2316</v>
      </c>
      <c r="C29" s="13" t="s">
        <v>2317</v>
      </c>
    </row>
    <row r="30" spans="2:3" ht="25.5" x14ac:dyDescent="0.2">
      <c r="B30" s="313" t="s">
        <v>2318</v>
      </c>
      <c r="C30" s="13" t="s">
        <v>2319</v>
      </c>
    </row>
    <row r="31" spans="2:3" ht="12.75" x14ac:dyDescent="0.2">
      <c r="B31" s="313"/>
      <c r="C31" s="13"/>
    </row>
    <row r="32" spans="2:3" x14ac:dyDescent="0.2">
      <c r="B32" s="314" t="s">
        <v>2565</v>
      </c>
      <c r="C32" s="136"/>
    </row>
    <row r="33" spans="2:3" ht="25.5" x14ac:dyDescent="0.2">
      <c r="B33" s="313" t="s">
        <v>2320</v>
      </c>
      <c r="C33" s="13" t="s">
        <v>2321</v>
      </c>
    </row>
    <row r="34" spans="2:3" ht="25.5" x14ac:dyDescent="0.2">
      <c r="B34" s="313" t="s">
        <v>2322</v>
      </c>
      <c r="C34" s="135" t="s">
        <v>2323</v>
      </c>
    </row>
    <row r="35" spans="2:3" ht="12.75" x14ac:dyDescent="0.2">
      <c r="B35" s="313" t="s">
        <v>2324</v>
      </c>
      <c r="C35" s="13" t="s">
        <v>2325</v>
      </c>
    </row>
    <row r="36" spans="2:3" ht="25.5" x14ac:dyDescent="0.2">
      <c r="B36" s="313" t="s">
        <v>2326</v>
      </c>
      <c r="C36" s="13" t="s">
        <v>2327</v>
      </c>
    </row>
    <row r="37" spans="2:3" ht="12.75" x14ac:dyDescent="0.2">
      <c r="B37" s="313"/>
      <c r="C37" s="13"/>
    </row>
    <row r="38" spans="2:3" x14ac:dyDescent="0.2">
      <c r="B38" s="314" t="s">
        <v>2566</v>
      </c>
      <c r="C38" s="136"/>
    </row>
    <row r="39" spans="2:3" ht="51" x14ac:dyDescent="0.2">
      <c r="B39" s="313" t="s">
        <v>2328</v>
      </c>
      <c r="C39" s="13" t="s">
        <v>2329</v>
      </c>
    </row>
    <row r="40" spans="2:3" ht="25.5" x14ac:dyDescent="0.2">
      <c r="B40" s="313" t="s">
        <v>2330</v>
      </c>
      <c r="C40" s="13" t="s">
        <v>2331</v>
      </c>
    </row>
    <row r="41" spans="2:3" ht="12.75" x14ac:dyDescent="0.2">
      <c r="B41" s="313"/>
      <c r="C41" s="13"/>
    </row>
    <row r="42" spans="2:3" x14ac:dyDescent="0.2">
      <c r="B42" s="314" t="s">
        <v>2567</v>
      </c>
      <c r="C42" s="136"/>
    </row>
    <row r="43" spans="2:3" ht="89.25" x14ac:dyDescent="0.2">
      <c r="B43" s="313" t="s">
        <v>2332</v>
      </c>
      <c r="C43" s="13" t="s">
        <v>2333</v>
      </c>
    </row>
    <row r="44" spans="2:3" ht="12.75" x14ac:dyDescent="0.2">
      <c r="B44" s="313" t="s">
        <v>2334</v>
      </c>
      <c r="C44" s="13" t="s">
        <v>2335</v>
      </c>
    </row>
    <row r="45" spans="2:3" ht="25.5" x14ac:dyDescent="0.2">
      <c r="B45" s="313" t="s">
        <v>2336</v>
      </c>
      <c r="C45" s="13" t="s">
        <v>2337</v>
      </c>
    </row>
    <row r="46" spans="2:3" ht="25.5" x14ac:dyDescent="0.2">
      <c r="B46" s="313" t="s">
        <v>2338</v>
      </c>
      <c r="C46" s="13" t="s">
        <v>2339</v>
      </c>
    </row>
    <row r="47" spans="2:3" x14ac:dyDescent="0.2">
      <c r="B47" s="314" t="s">
        <v>2558</v>
      </c>
      <c r="C47" s="136"/>
    </row>
    <row r="48" spans="2:3" ht="25.5" x14ac:dyDescent="0.2">
      <c r="B48" s="313" t="s">
        <v>416</v>
      </c>
      <c r="C48" s="13" t="s">
        <v>1459</v>
      </c>
    </row>
    <row r="49" spans="2:5" ht="25.5" x14ac:dyDescent="0.2">
      <c r="B49" s="313" t="s">
        <v>1673</v>
      </c>
      <c r="C49" s="13" t="s">
        <v>1586</v>
      </c>
      <c r="E49" s="132" t="s">
        <v>2236</v>
      </c>
    </row>
    <row r="50" spans="2:5" ht="25.5" x14ac:dyDescent="0.2">
      <c r="B50" s="313" t="s">
        <v>1674</v>
      </c>
      <c r="C50" s="13" t="s">
        <v>1587</v>
      </c>
      <c r="E50" s="132" t="s">
        <v>2237</v>
      </c>
    </row>
    <row r="51" spans="2:5" ht="25.5" x14ac:dyDescent="0.2">
      <c r="B51" s="313" t="s">
        <v>1675</v>
      </c>
      <c r="C51" s="13" t="s">
        <v>1040</v>
      </c>
      <c r="E51" s="132" t="s">
        <v>2239</v>
      </c>
    </row>
    <row r="52" spans="2:5" ht="25.5" x14ac:dyDescent="0.2">
      <c r="B52" s="313" t="s">
        <v>1400</v>
      </c>
      <c r="C52" s="13" t="s">
        <v>1041</v>
      </c>
      <c r="E52" s="132" t="s">
        <v>2247</v>
      </c>
    </row>
    <row r="53" spans="2:5" ht="25.5" x14ac:dyDescent="0.2">
      <c r="B53" s="313" t="s">
        <v>1401</v>
      </c>
      <c r="C53" s="13" t="s">
        <v>1050</v>
      </c>
      <c r="E53" s="132" t="s">
        <v>2248</v>
      </c>
    </row>
    <row r="54" spans="2:5" ht="25.5" x14ac:dyDescent="0.2">
      <c r="B54" s="313" t="s">
        <v>1402</v>
      </c>
      <c r="C54" s="13" t="s">
        <v>1416</v>
      </c>
    </row>
    <row r="55" spans="2:5" ht="25.5" x14ac:dyDescent="0.2">
      <c r="B55" s="313" t="s">
        <v>1403</v>
      </c>
      <c r="C55" s="13" t="s">
        <v>1417</v>
      </c>
      <c r="E55" s="132" t="s">
        <v>2242</v>
      </c>
    </row>
    <row r="56" spans="2:5" ht="25.5" x14ac:dyDescent="0.2">
      <c r="B56" s="313" t="s">
        <v>1404</v>
      </c>
      <c r="C56" s="13" t="s">
        <v>1418</v>
      </c>
    </row>
    <row r="57" spans="2:5" ht="25.5" x14ac:dyDescent="0.2">
      <c r="B57" s="313" t="s">
        <v>1405</v>
      </c>
      <c r="C57" s="13" t="s">
        <v>1419</v>
      </c>
      <c r="E57" s="132" t="s">
        <v>2251</v>
      </c>
    </row>
    <row r="58" spans="2:5" ht="51" x14ac:dyDescent="0.2">
      <c r="B58" s="313" t="s">
        <v>1406</v>
      </c>
      <c r="C58" s="13" t="s">
        <v>1048</v>
      </c>
      <c r="E58" s="132" t="s">
        <v>2252</v>
      </c>
    </row>
    <row r="59" spans="2:5" ht="25.5" x14ac:dyDescent="0.2">
      <c r="B59" s="313" t="s">
        <v>1407</v>
      </c>
      <c r="C59" s="13" t="s">
        <v>1664</v>
      </c>
      <c r="E59" s="132" t="s">
        <v>2951</v>
      </c>
    </row>
    <row r="60" spans="2:5" ht="25.5" x14ac:dyDescent="0.2">
      <c r="B60" s="313" t="s">
        <v>939</v>
      </c>
      <c r="C60" s="13" t="s">
        <v>1125</v>
      </c>
      <c r="E60" s="132" t="s">
        <v>2253</v>
      </c>
    </row>
    <row r="61" spans="2:5" ht="51" x14ac:dyDescent="0.2">
      <c r="B61" s="313" t="s">
        <v>940</v>
      </c>
      <c r="C61" s="13" t="s">
        <v>1304</v>
      </c>
    </row>
    <row r="62" spans="2:5" ht="38.25" x14ac:dyDescent="0.2">
      <c r="B62" s="313" t="s">
        <v>941</v>
      </c>
      <c r="C62" s="13" t="s">
        <v>1672</v>
      </c>
    </row>
    <row r="63" spans="2:5" ht="63.75" x14ac:dyDescent="0.2">
      <c r="B63" s="313" t="s">
        <v>2559</v>
      </c>
      <c r="C63" s="13" t="s">
        <v>690</v>
      </c>
    </row>
    <row r="64" spans="2:5" ht="38.25" x14ac:dyDescent="0.2">
      <c r="B64" s="313" t="s">
        <v>691</v>
      </c>
      <c r="C64" s="13" t="s">
        <v>683</v>
      </c>
    </row>
    <row r="76" spans="2:2" x14ac:dyDescent="0.2">
      <c r="B76" s="131" t="s">
        <v>2231</v>
      </c>
    </row>
    <row r="77" spans="2:2" x14ac:dyDescent="0.2">
      <c r="B77" s="131" t="s">
        <v>2231</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2"/>
  <dimension ref="A2:H189"/>
  <sheetViews>
    <sheetView showGridLines="0" tabSelected="1" topLeftCell="C34" workbookViewId="0">
      <selection activeCell="C1" sqref="C1"/>
    </sheetView>
  </sheetViews>
  <sheetFormatPr defaultRowHeight="12.75" x14ac:dyDescent="0.2"/>
  <cols>
    <col min="1" max="1" width="3.28515625" style="139" hidden="1" customWidth="1"/>
    <col min="2" max="2" width="4.28515625" style="139" hidden="1" customWidth="1"/>
    <col min="3" max="3" width="4.28515625" style="139" customWidth="1"/>
    <col min="4" max="4" width="89.7109375" style="139" bestFit="1" customWidth="1"/>
    <col min="5" max="5" width="10.7109375" style="138" customWidth="1"/>
    <col min="6" max="6" width="78.140625" style="139" customWidth="1"/>
    <col min="7" max="7" width="3.28515625" style="139" customWidth="1"/>
    <col min="8" max="8" width="7.140625" style="138" customWidth="1"/>
    <col min="9" max="235" width="8.85546875" style="139"/>
    <col min="236" max="236" width="2.28515625" style="139" customWidth="1"/>
    <col min="237" max="237" width="89.7109375" style="139" bestFit="1" customWidth="1"/>
    <col min="238" max="238" width="10.7109375" style="139" customWidth="1"/>
    <col min="239" max="239" width="141.42578125" style="139" customWidth="1"/>
    <col min="240" max="244" width="2.7109375" style="139" customWidth="1"/>
    <col min="245" max="245" width="3.28515625" style="139" customWidth="1"/>
    <col min="246" max="246" width="7.140625" style="139" customWidth="1"/>
    <col min="247" max="247" width="11.7109375" style="139" customWidth="1"/>
    <col min="248" max="491" width="8.85546875" style="139"/>
    <col min="492" max="492" width="2.28515625" style="139" customWidth="1"/>
    <col min="493" max="493" width="89.7109375" style="139" bestFit="1" customWidth="1"/>
    <col min="494" max="494" width="10.7109375" style="139" customWidth="1"/>
    <col min="495" max="495" width="141.42578125" style="139" customWidth="1"/>
    <col min="496" max="500" width="2.7109375" style="139" customWidth="1"/>
    <col min="501" max="501" width="3.28515625" style="139" customWidth="1"/>
    <col min="502" max="502" width="7.140625" style="139" customWidth="1"/>
    <col min="503" max="503" width="11.7109375" style="139" customWidth="1"/>
    <col min="504" max="747" width="8.85546875" style="139"/>
    <col min="748" max="748" width="2.28515625" style="139" customWidth="1"/>
    <col min="749" max="749" width="89.7109375" style="139" bestFit="1" customWidth="1"/>
    <col min="750" max="750" width="10.7109375" style="139" customWidth="1"/>
    <col min="751" max="751" width="141.42578125" style="139" customWidth="1"/>
    <col min="752" max="756" width="2.7109375" style="139" customWidth="1"/>
    <col min="757" max="757" width="3.28515625" style="139" customWidth="1"/>
    <col min="758" max="758" width="7.140625" style="139" customWidth="1"/>
    <col min="759" max="759" width="11.7109375" style="139" customWidth="1"/>
    <col min="760" max="1003" width="8.85546875" style="139"/>
    <col min="1004" max="1004" width="2.28515625" style="139" customWidth="1"/>
    <col min="1005" max="1005" width="89.7109375" style="139" bestFit="1" customWidth="1"/>
    <col min="1006" max="1006" width="10.7109375" style="139" customWidth="1"/>
    <col min="1007" max="1007" width="141.42578125" style="139" customWidth="1"/>
    <col min="1008" max="1012" width="2.7109375" style="139" customWidth="1"/>
    <col min="1013" max="1013" width="3.28515625" style="139" customWidth="1"/>
    <col min="1014" max="1014" width="7.140625" style="139" customWidth="1"/>
    <col min="1015" max="1015" width="11.7109375" style="139" customWidth="1"/>
    <col min="1016" max="1259" width="8.85546875" style="139"/>
    <col min="1260" max="1260" width="2.28515625" style="139" customWidth="1"/>
    <col min="1261" max="1261" width="89.7109375" style="139" bestFit="1" customWidth="1"/>
    <col min="1262" max="1262" width="10.7109375" style="139" customWidth="1"/>
    <col min="1263" max="1263" width="141.42578125" style="139" customWidth="1"/>
    <col min="1264" max="1268" width="2.7109375" style="139" customWidth="1"/>
    <col min="1269" max="1269" width="3.28515625" style="139" customWidth="1"/>
    <col min="1270" max="1270" width="7.140625" style="139" customWidth="1"/>
    <col min="1271" max="1271" width="11.7109375" style="139" customWidth="1"/>
    <col min="1272" max="1515" width="8.85546875" style="139"/>
    <col min="1516" max="1516" width="2.28515625" style="139" customWidth="1"/>
    <col min="1517" max="1517" width="89.7109375" style="139" bestFit="1" customWidth="1"/>
    <col min="1518" max="1518" width="10.7109375" style="139" customWidth="1"/>
    <col min="1519" max="1519" width="141.42578125" style="139" customWidth="1"/>
    <col min="1520" max="1524" width="2.7109375" style="139" customWidth="1"/>
    <col min="1525" max="1525" width="3.28515625" style="139" customWidth="1"/>
    <col min="1526" max="1526" width="7.140625" style="139" customWidth="1"/>
    <col min="1527" max="1527" width="11.7109375" style="139" customWidth="1"/>
    <col min="1528" max="1771" width="8.85546875" style="139"/>
    <col min="1772" max="1772" width="2.28515625" style="139" customWidth="1"/>
    <col min="1773" max="1773" width="89.7109375" style="139" bestFit="1" customWidth="1"/>
    <col min="1774" max="1774" width="10.7109375" style="139" customWidth="1"/>
    <col min="1775" max="1775" width="141.42578125" style="139" customWidth="1"/>
    <col min="1776" max="1780" width="2.7109375" style="139" customWidth="1"/>
    <col min="1781" max="1781" width="3.28515625" style="139" customWidth="1"/>
    <col min="1782" max="1782" width="7.140625" style="139" customWidth="1"/>
    <col min="1783" max="1783" width="11.7109375" style="139" customWidth="1"/>
    <col min="1784" max="2027" width="8.85546875" style="139"/>
    <col min="2028" max="2028" width="2.28515625" style="139" customWidth="1"/>
    <col min="2029" max="2029" width="89.7109375" style="139" bestFit="1" customWidth="1"/>
    <col min="2030" max="2030" width="10.7109375" style="139" customWidth="1"/>
    <col min="2031" max="2031" width="141.42578125" style="139" customWidth="1"/>
    <col min="2032" max="2036" width="2.7109375" style="139" customWidth="1"/>
    <col min="2037" max="2037" width="3.28515625" style="139" customWidth="1"/>
    <col min="2038" max="2038" width="7.140625" style="139" customWidth="1"/>
    <col min="2039" max="2039" width="11.7109375" style="139" customWidth="1"/>
    <col min="2040" max="2283" width="8.85546875" style="139"/>
    <col min="2284" max="2284" width="2.28515625" style="139" customWidth="1"/>
    <col min="2285" max="2285" width="89.7109375" style="139" bestFit="1" customWidth="1"/>
    <col min="2286" max="2286" width="10.7109375" style="139" customWidth="1"/>
    <col min="2287" max="2287" width="141.42578125" style="139" customWidth="1"/>
    <col min="2288" max="2292" width="2.7109375" style="139" customWidth="1"/>
    <col min="2293" max="2293" width="3.28515625" style="139" customWidth="1"/>
    <col min="2294" max="2294" width="7.140625" style="139" customWidth="1"/>
    <col min="2295" max="2295" width="11.7109375" style="139" customWidth="1"/>
    <col min="2296" max="2539" width="8.85546875" style="139"/>
    <col min="2540" max="2540" width="2.28515625" style="139" customWidth="1"/>
    <col min="2541" max="2541" width="89.7109375" style="139" bestFit="1" customWidth="1"/>
    <col min="2542" max="2542" width="10.7109375" style="139" customWidth="1"/>
    <col min="2543" max="2543" width="141.42578125" style="139" customWidth="1"/>
    <col min="2544" max="2548" width="2.7109375" style="139" customWidth="1"/>
    <col min="2549" max="2549" width="3.28515625" style="139" customWidth="1"/>
    <col min="2550" max="2550" width="7.140625" style="139" customWidth="1"/>
    <col min="2551" max="2551" width="11.7109375" style="139" customWidth="1"/>
    <col min="2552" max="2795" width="8.85546875" style="139"/>
    <col min="2796" max="2796" width="2.28515625" style="139" customWidth="1"/>
    <col min="2797" max="2797" width="89.7109375" style="139" bestFit="1" customWidth="1"/>
    <col min="2798" max="2798" width="10.7109375" style="139" customWidth="1"/>
    <col min="2799" max="2799" width="141.42578125" style="139" customWidth="1"/>
    <col min="2800" max="2804" width="2.7109375" style="139" customWidth="1"/>
    <col min="2805" max="2805" width="3.28515625" style="139" customWidth="1"/>
    <col min="2806" max="2806" width="7.140625" style="139" customWidth="1"/>
    <col min="2807" max="2807" width="11.7109375" style="139" customWidth="1"/>
    <col min="2808" max="3051" width="8.85546875" style="139"/>
    <col min="3052" max="3052" width="2.28515625" style="139" customWidth="1"/>
    <col min="3053" max="3053" width="89.7109375" style="139" bestFit="1" customWidth="1"/>
    <col min="3054" max="3054" width="10.7109375" style="139" customWidth="1"/>
    <col min="3055" max="3055" width="141.42578125" style="139" customWidth="1"/>
    <col min="3056" max="3060" width="2.7109375" style="139" customWidth="1"/>
    <col min="3061" max="3061" width="3.28515625" style="139" customWidth="1"/>
    <col min="3062" max="3062" width="7.140625" style="139" customWidth="1"/>
    <col min="3063" max="3063" width="11.7109375" style="139" customWidth="1"/>
    <col min="3064" max="3307" width="8.85546875" style="139"/>
    <col min="3308" max="3308" width="2.28515625" style="139" customWidth="1"/>
    <col min="3309" max="3309" width="89.7109375" style="139" bestFit="1" customWidth="1"/>
    <col min="3310" max="3310" width="10.7109375" style="139" customWidth="1"/>
    <col min="3311" max="3311" width="141.42578125" style="139" customWidth="1"/>
    <col min="3312" max="3316" width="2.7109375" style="139" customWidth="1"/>
    <col min="3317" max="3317" width="3.28515625" style="139" customWidth="1"/>
    <col min="3318" max="3318" width="7.140625" style="139" customWidth="1"/>
    <col min="3319" max="3319" width="11.7109375" style="139" customWidth="1"/>
    <col min="3320" max="3563" width="8.85546875" style="139"/>
    <col min="3564" max="3564" width="2.28515625" style="139" customWidth="1"/>
    <col min="3565" max="3565" width="89.7109375" style="139" bestFit="1" customWidth="1"/>
    <col min="3566" max="3566" width="10.7109375" style="139" customWidth="1"/>
    <col min="3567" max="3567" width="141.42578125" style="139" customWidth="1"/>
    <col min="3568" max="3572" width="2.7109375" style="139" customWidth="1"/>
    <col min="3573" max="3573" width="3.28515625" style="139" customWidth="1"/>
    <col min="3574" max="3574" width="7.140625" style="139" customWidth="1"/>
    <col min="3575" max="3575" width="11.7109375" style="139" customWidth="1"/>
    <col min="3576" max="3819" width="8.85546875" style="139"/>
    <col min="3820" max="3820" width="2.28515625" style="139" customWidth="1"/>
    <col min="3821" max="3821" width="89.7109375" style="139" bestFit="1" customWidth="1"/>
    <col min="3822" max="3822" width="10.7109375" style="139" customWidth="1"/>
    <col min="3823" max="3823" width="141.42578125" style="139" customWidth="1"/>
    <col min="3824" max="3828" width="2.7109375" style="139" customWidth="1"/>
    <col min="3829" max="3829" width="3.28515625" style="139" customWidth="1"/>
    <col min="3830" max="3830" width="7.140625" style="139" customWidth="1"/>
    <col min="3831" max="3831" width="11.7109375" style="139" customWidth="1"/>
    <col min="3832" max="4075" width="8.85546875" style="139"/>
    <col min="4076" max="4076" width="2.28515625" style="139" customWidth="1"/>
    <col min="4077" max="4077" width="89.7109375" style="139" bestFit="1" customWidth="1"/>
    <col min="4078" max="4078" width="10.7109375" style="139" customWidth="1"/>
    <col min="4079" max="4079" width="141.42578125" style="139" customWidth="1"/>
    <col min="4080" max="4084" width="2.7109375" style="139" customWidth="1"/>
    <col min="4085" max="4085" width="3.28515625" style="139" customWidth="1"/>
    <col min="4086" max="4086" width="7.140625" style="139" customWidth="1"/>
    <col min="4087" max="4087" width="11.7109375" style="139" customWidth="1"/>
    <col min="4088" max="4331" width="8.85546875" style="139"/>
    <col min="4332" max="4332" width="2.28515625" style="139" customWidth="1"/>
    <col min="4333" max="4333" width="89.7109375" style="139" bestFit="1" customWidth="1"/>
    <col min="4334" max="4334" width="10.7109375" style="139" customWidth="1"/>
    <col min="4335" max="4335" width="141.42578125" style="139" customWidth="1"/>
    <col min="4336" max="4340" width="2.7109375" style="139" customWidth="1"/>
    <col min="4341" max="4341" width="3.28515625" style="139" customWidth="1"/>
    <col min="4342" max="4342" width="7.140625" style="139" customWidth="1"/>
    <col min="4343" max="4343" width="11.7109375" style="139" customWidth="1"/>
    <col min="4344" max="4587" width="8.85546875" style="139"/>
    <col min="4588" max="4588" width="2.28515625" style="139" customWidth="1"/>
    <col min="4589" max="4589" width="89.7109375" style="139" bestFit="1" customWidth="1"/>
    <col min="4590" max="4590" width="10.7109375" style="139" customWidth="1"/>
    <col min="4591" max="4591" width="141.42578125" style="139" customWidth="1"/>
    <col min="4592" max="4596" width="2.7109375" style="139" customWidth="1"/>
    <col min="4597" max="4597" width="3.28515625" style="139" customWidth="1"/>
    <col min="4598" max="4598" width="7.140625" style="139" customWidth="1"/>
    <col min="4599" max="4599" width="11.7109375" style="139" customWidth="1"/>
    <col min="4600" max="4843" width="8.85546875" style="139"/>
    <col min="4844" max="4844" width="2.28515625" style="139" customWidth="1"/>
    <col min="4845" max="4845" width="89.7109375" style="139" bestFit="1" customWidth="1"/>
    <col min="4846" max="4846" width="10.7109375" style="139" customWidth="1"/>
    <col min="4847" max="4847" width="141.42578125" style="139" customWidth="1"/>
    <col min="4848" max="4852" width="2.7109375" style="139" customWidth="1"/>
    <col min="4853" max="4853" width="3.28515625" style="139" customWidth="1"/>
    <col min="4854" max="4854" width="7.140625" style="139" customWidth="1"/>
    <col min="4855" max="4855" width="11.7109375" style="139" customWidth="1"/>
    <col min="4856" max="5099" width="8.85546875" style="139"/>
    <col min="5100" max="5100" width="2.28515625" style="139" customWidth="1"/>
    <col min="5101" max="5101" width="89.7109375" style="139" bestFit="1" customWidth="1"/>
    <col min="5102" max="5102" width="10.7109375" style="139" customWidth="1"/>
    <col min="5103" max="5103" width="141.42578125" style="139" customWidth="1"/>
    <col min="5104" max="5108" width="2.7109375" style="139" customWidth="1"/>
    <col min="5109" max="5109" width="3.28515625" style="139" customWidth="1"/>
    <col min="5110" max="5110" width="7.140625" style="139" customWidth="1"/>
    <col min="5111" max="5111" width="11.7109375" style="139" customWidth="1"/>
    <col min="5112" max="5355" width="8.85546875" style="139"/>
    <col min="5356" max="5356" width="2.28515625" style="139" customWidth="1"/>
    <col min="5357" max="5357" width="89.7109375" style="139" bestFit="1" customWidth="1"/>
    <col min="5358" max="5358" width="10.7109375" style="139" customWidth="1"/>
    <col min="5359" max="5359" width="141.42578125" style="139" customWidth="1"/>
    <col min="5360" max="5364" width="2.7109375" style="139" customWidth="1"/>
    <col min="5365" max="5365" width="3.28515625" style="139" customWidth="1"/>
    <col min="5366" max="5366" width="7.140625" style="139" customWidth="1"/>
    <col min="5367" max="5367" width="11.7109375" style="139" customWidth="1"/>
    <col min="5368" max="5611" width="8.85546875" style="139"/>
    <col min="5612" max="5612" width="2.28515625" style="139" customWidth="1"/>
    <col min="5613" max="5613" width="89.7109375" style="139" bestFit="1" customWidth="1"/>
    <col min="5614" max="5614" width="10.7109375" style="139" customWidth="1"/>
    <col min="5615" max="5615" width="141.42578125" style="139" customWidth="1"/>
    <col min="5616" max="5620" width="2.7109375" style="139" customWidth="1"/>
    <col min="5621" max="5621" width="3.28515625" style="139" customWidth="1"/>
    <col min="5622" max="5622" width="7.140625" style="139" customWidth="1"/>
    <col min="5623" max="5623" width="11.7109375" style="139" customWidth="1"/>
    <col min="5624" max="5867" width="8.85546875" style="139"/>
    <col min="5868" max="5868" width="2.28515625" style="139" customWidth="1"/>
    <col min="5869" max="5869" width="89.7109375" style="139" bestFit="1" customWidth="1"/>
    <col min="5870" max="5870" width="10.7109375" style="139" customWidth="1"/>
    <col min="5871" max="5871" width="141.42578125" style="139" customWidth="1"/>
    <col min="5872" max="5876" width="2.7109375" style="139" customWidth="1"/>
    <col min="5877" max="5877" width="3.28515625" style="139" customWidth="1"/>
    <col min="5878" max="5878" width="7.140625" style="139" customWidth="1"/>
    <col min="5879" max="5879" width="11.7109375" style="139" customWidth="1"/>
    <col min="5880" max="6123" width="8.85546875" style="139"/>
    <col min="6124" max="6124" width="2.28515625" style="139" customWidth="1"/>
    <col min="6125" max="6125" width="89.7109375" style="139" bestFit="1" customWidth="1"/>
    <col min="6126" max="6126" width="10.7109375" style="139" customWidth="1"/>
    <col min="6127" max="6127" width="141.42578125" style="139" customWidth="1"/>
    <col min="6128" max="6132" width="2.7109375" style="139" customWidth="1"/>
    <col min="6133" max="6133" width="3.28515625" style="139" customWidth="1"/>
    <col min="6134" max="6134" width="7.140625" style="139" customWidth="1"/>
    <col min="6135" max="6135" width="11.7109375" style="139" customWidth="1"/>
    <col min="6136" max="6379" width="8.85546875" style="139"/>
    <col min="6380" max="6380" width="2.28515625" style="139" customWidth="1"/>
    <col min="6381" max="6381" width="89.7109375" style="139" bestFit="1" customWidth="1"/>
    <col min="6382" max="6382" width="10.7109375" style="139" customWidth="1"/>
    <col min="6383" max="6383" width="141.42578125" style="139" customWidth="1"/>
    <col min="6384" max="6388" width="2.7109375" style="139" customWidth="1"/>
    <col min="6389" max="6389" width="3.28515625" style="139" customWidth="1"/>
    <col min="6390" max="6390" width="7.140625" style="139" customWidth="1"/>
    <col min="6391" max="6391" width="11.7109375" style="139" customWidth="1"/>
    <col min="6392" max="6635" width="8.85546875" style="139"/>
    <col min="6636" max="6636" width="2.28515625" style="139" customWidth="1"/>
    <col min="6637" max="6637" width="89.7109375" style="139" bestFit="1" customWidth="1"/>
    <col min="6638" max="6638" width="10.7109375" style="139" customWidth="1"/>
    <col min="6639" max="6639" width="141.42578125" style="139" customWidth="1"/>
    <col min="6640" max="6644" width="2.7109375" style="139" customWidth="1"/>
    <col min="6645" max="6645" width="3.28515625" style="139" customWidth="1"/>
    <col min="6646" max="6646" width="7.140625" style="139" customWidth="1"/>
    <col min="6647" max="6647" width="11.7109375" style="139" customWidth="1"/>
    <col min="6648" max="6891" width="8.85546875" style="139"/>
    <col min="6892" max="6892" width="2.28515625" style="139" customWidth="1"/>
    <col min="6893" max="6893" width="89.7109375" style="139" bestFit="1" customWidth="1"/>
    <col min="6894" max="6894" width="10.7109375" style="139" customWidth="1"/>
    <col min="6895" max="6895" width="141.42578125" style="139" customWidth="1"/>
    <col min="6896" max="6900" width="2.7109375" style="139" customWidth="1"/>
    <col min="6901" max="6901" width="3.28515625" style="139" customWidth="1"/>
    <col min="6902" max="6902" width="7.140625" style="139" customWidth="1"/>
    <col min="6903" max="6903" width="11.7109375" style="139" customWidth="1"/>
    <col min="6904" max="7147" width="8.85546875" style="139"/>
    <col min="7148" max="7148" width="2.28515625" style="139" customWidth="1"/>
    <col min="7149" max="7149" width="89.7109375" style="139" bestFit="1" customWidth="1"/>
    <col min="7150" max="7150" width="10.7109375" style="139" customWidth="1"/>
    <col min="7151" max="7151" width="141.42578125" style="139" customWidth="1"/>
    <col min="7152" max="7156" width="2.7109375" style="139" customWidth="1"/>
    <col min="7157" max="7157" width="3.28515625" style="139" customWidth="1"/>
    <col min="7158" max="7158" width="7.140625" style="139" customWidth="1"/>
    <col min="7159" max="7159" width="11.7109375" style="139" customWidth="1"/>
    <col min="7160" max="7403" width="8.85546875" style="139"/>
    <col min="7404" max="7404" width="2.28515625" style="139" customWidth="1"/>
    <col min="7405" max="7405" width="89.7109375" style="139" bestFit="1" customWidth="1"/>
    <col min="7406" max="7406" width="10.7109375" style="139" customWidth="1"/>
    <col min="7407" max="7407" width="141.42578125" style="139" customWidth="1"/>
    <col min="7408" max="7412" width="2.7109375" style="139" customWidth="1"/>
    <col min="7413" max="7413" width="3.28515625" style="139" customWidth="1"/>
    <col min="7414" max="7414" width="7.140625" style="139" customWidth="1"/>
    <col min="7415" max="7415" width="11.7109375" style="139" customWidth="1"/>
    <col min="7416" max="7659" width="8.85546875" style="139"/>
    <col min="7660" max="7660" width="2.28515625" style="139" customWidth="1"/>
    <col min="7661" max="7661" width="89.7109375" style="139" bestFit="1" customWidth="1"/>
    <col min="7662" max="7662" width="10.7109375" style="139" customWidth="1"/>
    <col min="7663" max="7663" width="141.42578125" style="139" customWidth="1"/>
    <col min="7664" max="7668" width="2.7109375" style="139" customWidth="1"/>
    <col min="7669" max="7669" width="3.28515625" style="139" customWidth="1"/>
    <col min="7670" max="7670" width="7.140625" style="139" customWidth="1"/>
    <col min="7671" max="7671" width="11.7109375" style="139" customWidth="1"/>
    <col min="7672" max="7915" width="8.85546875" style="139"/>
    <col min="7916" max="7916" width="2.28515625" style="139" customWidth="1"/>
    <col min="7917" max="7917" width="89.7109375" style="139" bestFit="1" customWidth="1"/>
    <col min="7918" max="7918" width="10.7109375" style="139" customWidth="1"/>
    <col min="7919" max="7919" width="141.42578125" style="139" customWidth="1"/>
    <col min="7920" max="7924" width="2.7109375" style="139" customWidth="1"/>
    <col min="7925" max="7925" width="3.28515625" style="139" customWidth="1"/>
    <col min="7926" max="7926" width="7.140625" style="139" customWidth="1"/>
    <col min="7927" max="7927" width="11.7109375" style="139" customWidth="1"/>
    <col min="7928" max="8171" width="8.85546875" style="139"/>
    <col min="8172" max="8172" width="2.28515625" style="139" customWidth="1"/>
    <col min="8173" max="8173" width="89.7109375" style="139" bestFit="1" customWidth="1"/>
    <col min="8174" max="8174" width="10.7109375" style="139" customWidth="1"/>
    <col min="8175" max="8175" width="141.42578125" style="139" customWidth="1"/>
    <col min="8176" max="8180" width="2.7109375" style="139" customWidth="1"/>
    <col min="8181" max="8181" width="3.28515625" style="139" customWidth="1"/>
    <col min="8182" max="8182" width="7.140625" style="139" customWidth="1"/>
    <col min="8183" max="8183" width="11.7109375" style="139" customWidth="1"/>
    <col min="8184" max="8427" width="8.85546875" style="139"/>
    <col min="8428" max="8428" width="2.28515625" style="139" customWidth="1"/>
    <col min="8429" max="8429" width="89.7109375" style="139" bestFit="1" customWidth="1"/>
    <col min="8430" max="8430" width="10.7109375" style="139" customWidth="1"/>
    <col min="8431" max="8431" width="141.42578125" style="139" customWidth="1"/>
    <col min="8432" max="8436" width="2.7109375" style="139" customWidth="1"/>
    <col min="8437" max="8437" width="3.28515625" style="139" customWidth="1"/>
    <col min="8438" max="8438" width="7.140625" style="139" customWidth="1"/>
    <col min="8439" max="8439" width="11.7109375" style="139" customWidth="1"/>
    <col min="8440" max="8683" width="8.85546875" style="139"/>
    <col min="8684" max="8684" width="2.28515625" style="139" customWidth="1"/>
    <col min="8685" max="8685" width="89.7109375" style="139" bestFit="1" customWidth="1"/>
    <col min="8686" max="8686" width="10.7109375" style="139" customWidth="1"/>
    <col min="8687" max="8687" width="141.42578125" style="139" customWidth="1"/>
    <col min="8688" max="8692" width="2.7109375" style="139" customWidth="1"/>
    <col min="8693" max="8693" width="3.28515625" style="139" customWidth="1"/>
    <col min="8694" max="8694" width="7.140625" style="139" customWidth="1"/>
    <col min="8695" max="8695" width="11.7109375" style="139" customWidth="1"/>
    <col min="8696" max="8939" width="8.85546875" style="139"/>
    <col min="8940" max="8940" width="2.28515625" style="139" customWidth="1"/>
    <col min="8941" max="8941" width="89.7109375" style="139" bestFit="1" customWidth="1"/>
    <col min="8942" max="8942" width="10.7109375" style="139" customWidth="1"/>
    <col min="8943" max="8943" width="141.42578125" style="139" customWidth="1"/>
    <col min="8944" max="8948" width="2.7109375" style="139" customWidth="1"/>
    <col min="8949" max="8949" width="3.28515625" style="139" customWidth="1"/>
    <col min="8950" max="8950" width="7.140625" style="139" customWidth="1"/>
    <col min="8951" max="8951" width="11.7109375" style="139" customWidth="1"/>
    <col min="8952" max="9195" width="8.85546875" style="139"/>
    <col min="9196" max="9196" width="2.28515625" style="139" customWidth="1"/>
    <col min="9197" max="9197" width="89.7109375" style="139" bestFit="1" customWidth="1"/>
    <col min="9198" max="9198" width="10.7109375" style="139" customWidth="1"/>
    <col min="9199" max="9199" width="141.42578125" style="139" customWidth="1"/>
    <col min="9200" max="9204" width="2.7109375" style="139" customWidth="1"/>
    <col min="9205" max="9205" width="3.28515625" style="139" customWidth="1"/>
    <col min="9206" max="9206" width="7.140625" style="139" customWidth="1"/>
    <col min="9207" max="9207" width="11.7109375" style="139" customWidth="1"/>
    <col min="9208" max="9451" width="8.85546875" style="139"/>
    <col min="9452" max="9452" width="2.28515625" style="139" customWidth="1"/>
    <col min="9453" max="9453" width="89.7109375" style="139" bestFit="1" customWidth="1"/>
    <col min="9454" max="9454" width="10.7109375" style="139" customWidth="1"/>
    <col min="9455" max="9455" width="141.42578125" style="139" customWidth="1"/>
    <col min="9456" max="9460" width="2.7109375" style="139" customWidth="1"/>
    <col min="9461" max="9461" width="3.28515625" style="139" customWidth="1"/>
    <col min="9462" max="9462" width="7.140625" style="139" customWidth="1"/>
    <col min="9463" max="9463" width="11.7109375" style="139" customWidth="1"/>
    <col min="9464" max="9707" width="8.85546875" style="139"/>
    <col min="9708" max="9708" width="2.28515625" style="139" customWidth="1"/>
    <col min="9709" max="9709" width="89.7109375" style="139" bestFit="1" customWidth="1"/>
    <col min="9710" max="9710" width="10.7109375" style="139" customWidth="1"/>
    <col min="9711" max="9711" width="141.42578125" style="139" customWidth="1"/>
    <col min="9712" max="9716" width="2.7109375" style="139" customWidth="1"/>
    <col min="9717" max="9717" width="3.28515625" style="139" customWidth="1"/>
    <col min="9718" max="9718" width="7.140625" style="139" customWidth="1"/>
    <col min="9719" max="9719" width="11.7109375" style="139" customWidth="1"/>
    <col min="9720" max="9963" width="8.85546875" style="139"/>
    <col min="9964" max="9964" width="2.28515625" style="139" customWidth="1"/>
    <col min="9965" max="9965" width="89.7109375" style="139" bestFit="1" customWidth="1"/>
    <col min="9966" max="9966" width="10.7109375" style="139" customWidth="1"/>
    <col min="9967" max="9967" width="141.42578125" style="139" customWidth="1"/>
    <col min="9968" max="9972" width="2.7109375" style="139" customWidth="1"/>
    <col min="9973" max="9973" width="3.28515625" style="139" customWidth="1"/>
    <col min="9974" max="9974" width="7.140625" style="139" customWidth="1"/>
    <col min="9975" max="9975" width="11.7109375" style="139" customWidth="1"/>
    <col min="9976" max="10219" width="8.85546875" style="139"/>
    <col min="10220" max="10220" width="2.28515625" style="139" customWidth="1"/>
    <col min="10221" max="10221" width="89.7109375" style="139" bestFit="1" customWidth="1"/>
    <col min="10222" max="10222" width="10.7109375" style="139" customWidth="1"/>
    <col min="10223" max="10223" width="141.42578125" style="139" customWidth="1"/>
    <col min="10224" max="10228" width="2.7109375" style="139" customWidth="1"/>
    <col min="10229" max="10229" width="3.28515625" style="139" customWidth="1"/>
    <col min="10230" max="10230" width="7.140625" style="139" customWidth="1"/>
    <col min="10231" max="10231" width="11.7109375" style="139" customWidth="1"/>
    <col min="10232" max="10475" width="8.85546875" style="139"/>
    <col min="10476" max="10476" width="2.28515625" style="139" customWidth="1"/>
    <col min="10477" max="10477" width="89.7109375" style="139" bestFit="1" customWidth="1"/>
    <col min="10478" max="10478" width="10.7109375" style="139" customWidth="1"/>
    <col min="10479" max="10479" width="141.42578125" style="139" customWidth="1"/>
    <col min="10480" max="10484" width="2.7109375" style="139" customWidth="1"/>
    <col min="10485" max="10485" width="3.28515625" style="139" customWidth="1"/>
    <col min="10486" max="10486" width="7.140625" style="139" customWidth="1"/>
    <col min="10487" max="10487" width="11.7109375" style="139" customWidth="1"/>
    <col min="10488" max="10731" width="8.85546875" style="139"/>
    <col min="10732" max="10732" width="2.28515625" style="139" customWidth="1"/>
    <col min="10733" max="10733" width="89.7109375" style="139" bestFit="1" customWidth="1"/>
    <col min="10734" max="10734" width="10.7109375" style="139" customWidth="1"/>
    <col min="10735" max="10735" width="141.42578125" style="139" customWidth="1"/>
    <col min="10736" max="10740" width="2.7109375" style="139" customWidth="1"/>
    <col min="10741" max="10741" width="3.28515625" style="139" customWidth="1"/>
    <col min="10742" max="10742" width="7.140625" style="139" customWidth="1"/>
    <col min="10743" max="10743" width="11.7109375" style="139" customWidth="1"/>
    <col min="10744" max="10987" width="8.85546875" style="139"/>
    <col min="10988" max="10988" width="2.28515625" style="139" customWidth="1"/>
    <col min="10989" max="10989" width="89.7109375" style="139" bestFit="1" customWidth="1"/>
    <col min="10990" max="10990" width="10.7109375" style="139" customWidth="1"/>
    <col min="10991" max="10991" width="141.42578125" style="139" customWidth="1"/>
    <col min="10992" max="10996" width="2.7109375" style="139" customWidth="1"/>
    <col min="10997" max="10997" width="3.28515625" style="139" customWidth="1"/>
    <col min="10998" max="10998" width="7.140625" style="139" customWidth="1"/>
    <col min="10999" max="10999" width="11.7109375" style="139" customWidth="1"/>
    <col min="11000" max="11243" width="8.85546875" style="139"/>
    <col min="11244" max="11244" width="2.28515625" style="139" customWidth="1"/>
    <col min="11245" max="11245" width="89.7109375" style="139" bestFit="1" customWidth="1"/>
    <col min="11246" max="11246" width="10.7109375" style="139" customWidth="1"/>
    <col min="11247" max="11247" width="141.42578125" style="139" customWidth="1"/>
    <col min="11248" max="11252" width="2.7109375" style="139" customWidth="1"/>
    <col min="11253" max="11253" width="3.28515625" style="139" customWidth="1"/>
    <col min="11254" max="11254" width="7.140625" style="139" customWidth="1"/>
    <col min="11255" max="11255" width="11.7109375" style="139" customWidth="1"/>
    <col min="11256" max="11499" width="8.85546875" style="139"/>
    <col min="11500" max="11500" width="2.28515625" style="139" customWidth="1"/>
    <col min="11501" max="11501" width="89.7109375" style="139" bestFit="1" customWidth="1"/>
    <col min="11502" max="11502" width="10.7109375" style="139" customWidth="1"/>
    <col min="11503" max="11503" width="141.42578125" style="139" customWidth="1"/>
    <col min="11504" max="11508" width="2.7109375" style="139" customWidth="1"/>
    <col min="11509" max="11509" width="3.28515625" style="139" customWidth="1"/>
    <col min="11510" max="11510" width="7.140625" style="139" customWidth="1"/>
    <col min="11511" max="11511" width="11.7109375" style="139" customWidth="1"/>
    <col min="11512" max="11755" width="8.85546875" style="139"/>
    <col min="11756" max="11756" width="2.28515625" style="139" customWidth="1"/>
    <col min="11757" max="11757" width="89.7109375" style="139" bestFit="1" customWidth="1"/>
    <col min="11758" max="11758" width="10.7109375" style="139" customWidth="1"/>
    <col min="11759" max="11759" width="141.42578125" style="139" customWidth="1"/>
    <col min="11760" max="11764" width="2.7109375" style="139" customWidth="1"/>
    <col min="11765" max="11765" width="3.28515625" style="139" customWidth="1"/>
    <col min="11766" max="11766" width="7.140625" style="139" customWidth="1"/>
    <col min="11767" max="11767" width="11.7109375" style="139" customWidth="1"/>
    <col min="11768" max="12011" width="8.85546875" style="139"/>
    <col min="12012" max="12012" width="2.28515625" style="139" customWidth="1"/>
    <col min="12013" max="12013" width="89.7109375" style="139" bestFit="1" customWidth="1"/>
    <col min="12014" max="12014" width="10.7109375" style="139" customWidth="1"/>
    <col min="12015" max="12015" width="141.42578125" style="139" customWidth="1"/>
    <col min="12016" max="12020" width="2.7109375" style="139" customWidth="1"/>
    <col min="12021" max="12021" width="3.28515625" style="139" customWidth="1"/>
    <col min="12022" max="12022" width="7.140625" style="139" customWidth="1"/>
    <col min="12023" max="12023" width="11.7109375" style="139" customWidth="1"/>
    <col min="12024" max="12267" width="8.85546875" style="139"/>
    <col min="12268" max="12268" width="2.28515625" style="139" customWidth="1"/>
    <col min="12269" max="12269" width="89.7109375" style="139" bestFit="1" customWidth="1"/>
    <col min="12270" max="12270" width="10.7109375" style="139" customWidth="1"/>
    <col min="12271" max="12271" width="141.42578125" style="139" customWidth="1"/>
    <col min="12272" max="12276" width="2.7109375" style="139" customWidth="1"/>
    <col min="12277" max="12277" width="3.28515625" style="139" customWidth="1"/>
    <col min="12278" max="12278" width="7.140625" style="139" customWidth="1"/>
    <col min="12279" max="12279" width="11.7109375" style="139" customWidth="1"/>
    <col min="12280" max="12523" width="8.85546875" style="139"/>
    <col min="12524" max="12524" width="2.28515625" style="139" customWidth="1"/>
    <col min="12525" max="12525" width="89.7109375" style="139" bestFit="1" customWidth="1"/>
    <col min="12526" max="12526" width="10.7109375" style="139" customWidth="1"/>
    <col min="12527" max="12527" width="141.42578125" style="139" customWidth="1"/>
    <col min="12528" max="12532" width="2.7109375" style="139" customWidth="1"/>
    <col min="12533" max="12533" width="3.28515625" style="139" customWidth="1"/>
    <col min="12534" max="12534" width="7.140625" style="139" customWidth="1"/>
    <col min="12535" max="12535" width="11.7109375" style="139" customWidth="1"/>
    <col min="12536" max="12779" width="8.85546875" style="139"/>
    <col min="12780" max="12780" width="2.28515625" style="139" customWidth="1"/>
    <col min="12781" max="12781" width="89.7109375" style="139" bestFit="1" customWidth="1"/>
    <col min="12782" max="12782" width="10.7109375" style="139" customWidth="1"/>
    <col min="12783" max="12783" width="141.42578125" style="139" customWidth="1"/>
    <col min="12784" max="12788" width="2.7109375" style="139" customWidth="1"/>
    <col min="12789" max="12789" width="3.28515625" style="139" customWidth="1"/>
    <col min="12790" max="12790" width="7.140625" style="139" customWidth="1"/>
    <col min="12791" max="12791" width="11.7109375" style="139" customWidth="1"/>
    <col min="12792" max="13035" width="8.85546875" style="139"/>
    <col min="13036" max="13036" width="2.28515625" style="139" customWidth="1"/>
    <col min="13037" max="13037" width="89.7109375" style="139" bestFit="1" customWidth="1"/>
    <col min="13038" max="13038" width="10.7109375" style="139" customWidth="1"/>
    <col min="13039" max="13039" width="141.42578125" style="139" customWidth="1"/>
    <col min="13040" max="13044" width="2.7109375" style="139" customWidth="1"/>
    <col min="13045" max="13045" width="3.28515625" style="139" customWidth="1"/>
    <col min="13046" max="13046" width="7.140625" style="139" customWidth="1"/>
    <col min="13047" max="13047" width="11.7109375" style="139" customWidth="1"/>
    <col min="13048" max="13291" width="8.85546875" style="139"/>
    <col min="13292" max="13292" width="2.28515625" style="139" customWidth="1"/>
    <col min="13293" max="13293" width="89.7109375" style="139" bestFit="1" customWidth="1"/>
    <col min="13294" max="13294" width="10.7109375" style="139" customWidth="1"/>
    <col min="13295" max="13295" width="141.42578125" style="139" customWidth="1"/>
    <col min="13296" max="13300" width="2.7109375" style="139" customWidth="1"/>
    <col min="13301" max="13301" width="3.28515625" style="139" customWidth="1"/>
    <col min="13302" max="13302" width="7.140625" style="139" customWidth="1"/>
    <col min="13303" max="13303" width="11.7109375" style="139" customWidth="1"/>
    <col min="13304" max="13547" width="8.85546875" style="139"/>
    <col min="13548" max="13548" width="2.28515625" style="139" customWidth="1"/>
    <col min="13549" max="13549" width="89.7109375" style="139" bestFit="1" customWidth="1"/>
    <col min="13550" max="13550" width="10.7109375" style="139" customWidth="1"/>
    <col min="13551" max="13551" width="141.42578125" style="139" customWidth="1"/>
    <col min="13552" max="13556" width="2.7109375" style="139" customWidth="1"/>
    <col min="13557" max="13557" width="3.28515625" style="139" customWidth="1"/>
    <col min="13558" max="13558" width="7.140625" style="139" customWidth="1"/>
    <col min="13559" max="13559" width="11.7109375" style="139" customWidth="1"/>
    <col min="13560" max="13803" width="8.85546875" style="139"/>
    <col min="13804" max="13804" width="2.28515625" style="139" customWidth="1"/>
    <col min="13805" max="13805" width="89.7109375" style="139" bestFit="1" customWidth="1"/>
    <col min="13806" max="13806" width="10.7109375" style="139" customWidth="1"/>
    <col min="13807" max="13807" width="141.42578125" style="139" customWidth="1"/>
    <col min="13808" max="13812" width="2.7109375" style="139" customWidth="1"/>
    <col min="13813" max="13813" width="3.28515625" style="139" customWidth="1"/>
    <col min="13814" max="13814" width="7.140625" style="139" customWidth="1"/>
    <col min="13815" max="13815" width="11.7109375" style="139" customWidth="1"/>
    <col min="13816" max="14059" width="8.85546875" style="139"/>
    <col min="14060" max="14060" width="2.28515625" style="139" customWidth="1"/>
    <col min="14061" max="14061" width="89.7109375" style="139" bestFit="1" customWidth="1"/>
    <col min="14062" max="14062" width="10.7109375" style="139" customWidth="1"/>
    <col min="14063" max="14063" width="141.42578125" style="139" customWidth="1"/>
    <col min="14064" max="14068" width="2.7109375" style="139" customWidth="1"/>
    <col min="14069" max="14069" width="3.28515625" style="139" customWidth="1"/>
    <col min="14070" max="14070" width="7.140625" style="139" customWidth="1"/>
    <col min="14071" max="14071" width="11.7109375" style="139" customWidth="1"/>
    <col min="14072" max="14315" width="8.85546875" style="139"/>
    <col min="14316" max="14316" width="2.28515625" style="139" customWidth="1"/>
    <col min="14317" max="14317" width="89.7109375" style="139" bestFit="1" customWidth="1"/>
    <col min="14318" max="14318" width="10.7109375" style="139" customWidth="1"/>
    <col min="14319" max="14319" width="141.42578125" style="139" customWidth="1"/>
    <col min="14320" max="14324" width="2.7109375" style="139" customWidth="1"/>
    <col min="14325" max="14325" width="3.28515625" style="139" customWidth="1"/>
    <col min="14326" max="14326" width="7.140625" style="139" customWidth="1"/>
    <col min="14327" max="14327" width="11.7109375" style="139" customWidth="1"/>
    <col min="14328" max="14571" width="8.85546875" style="139"/>
    <col min="14572" max="14572" width="2.28515625" style="139" customWidth="1"/>
    <col min="14573" max="14573" width="89.7109375" style="139" bestFit="1" customWidth="1"/>
    <col min="14574" max="14574" width="10.7109375" style="139" customWidth="1"/>
    <col min="14575" max="14575" width="141.42578125" style="139" customWidth="1"/>
    <col min="14576" max="14580" width="2.7109375" style="139" customWidth="1"/>
    <col min="14581" max="14581" width="3.28515625" style="139" customWidth="1"/>
    <col min="14582" max="14582" width="7.140625" style="139" customWidth="1"/>
    <col min="14583" max="14583" width="11.7109375" style="139" customWidth="1"/>
    <col min="14584" max="14827" width="8.85546875" style="139"/>
    <col min="14828" max="14828" width="2.28515625" style="139" customWidth="1"/>
    <col min="14829" max="14829" width="89.7109375" style="139" bestFit="1" customWidth="1"/>
    <col min="14830" max="14830" width="10.7109375" style="139" customWidth="1"/>
    <col min="14831" max="14831" width="141.42578125" style="139" customWidth="1"/>
    <col min="14832" max="14836" width="2.7109375" style="139" customWidth="1"/>
    <col min="14837" max="14837" width="3.28515625" style="139" customWidth="1"/>
    <col min="14838" max="14838" width="7.140625" style="139" customWidth="1"/>
    <col min="14839" max="14839" width="11.7109375" style="139" customWidth="1"/>
    <col min="14840" max="15083" width="8.85546875" style="139"/>
    <col min="15084" max="15084" width="2.28515625" style="139" customWidth="1"/>
    <col min="15085" max="15085" width="89.7109375" style="139" bestFit="1" customWidth="1"/>
    <col min="15086" max="15086" width="10.7109375" style="139" customWidth="1"/>
    <col min="15087" max="15087" width="141.42578125" style="139" customWidth="1"/>
    <col min="15088" max="15092" width="2.7109375" style="139" customWidth="1"/>
    <col min="15093" max="15093" width="3.28515625" style="139" customWidth="1"/>
    <col min="15094" max="15094" width="7.140625" style="139" customWidth="1"/>
    <col min="15095" max="15095" width="11.7109375" style="139" customWidth="1"/>
    <col min="15096" max="15339" width="8.85546875" style="139"/>
    <col min="15340" max="15340" width="2.28515625" style="139" customWidth="1"/>
    <col min="15341" max="15341" width="89.7109375" style="139" bestFit="1" customWidth="1"/>
    <col min="15342" max="15342" width="10.7109375" style="139" customWidth="1"/>
    <col min="15343" max="15343" width="141.42578125" style="139" customWidth="1"/>
    <col min="15344" max="15348" width="2.7109375" style="139" customWidth="1"/>
    <col min="15349" max="15349" width="3.28515625" style="139" customWidth="1"/>
    <col min="15350" max="15350" width="7.140625" style="139" customWidth="1"/>
    <col min="15351" max="15351" width="11.7109375" style="139" customWidth="1"/>
    <col min="15352" max="15595" width="8.85546875" style="139"/>
    <col min="15596" max="15596" width="2.28515625" style="139" customWidth="1"/>
    <col min="15597" max="15597" width="89.7109375" style="139" bestFit="1" customWidth="1"/>
    <col min="15598" max="15598" width="10.7109375" style="139" customWidth="1"/>
    <col min="15599" max="15599" width="141.42578125" style="139" customWidth="1"/>
    <col min="15600" max="15604" width="2.7109375" style="139" customWidth="1"/>
    <col min="15605" max="15605" width="3.28515625" style="139" customWidth="1"/>
    <col min="15606" max="15606" width="7.140625" style="139" customWidth="1"/>
    <col min="15607" max="15607" width="11.7109375" style="139" customWidth="1"/>
    <col min="15608" max="15851" width="8.85546875" style="139"/>
    <col min="15852" max="15852" width="2.28515625" style="139" customWidth="1"/>
    <col min="15853" max="15853" width="89.7109375" style="139" bestFit="1" customWidth="1"/>
    <col min="15854" max="15854" width="10.7109375" style="139" customWidth="1"/>
    <col min="15855" max="15855" width="141.42578125" style="139" customWidth="1"/>
    <col min="15856" max="15860" width="2.7109375" style="139" customWidth="1"/>
    <col min="15861" max="15861" width="3.28515625" style="139" customWidth="1"/>
    <col min="15862" max="15862" width="7.140625" style="139" customWidth="1"/>
    <col min="15863" max="15863" width="11.7109375" style="139" customWidth="1"/>
    <col min="15864" max="16107" width="8.85546875" style="139"/>
    <col min="16108" max="16108" width="2.28515625" style="139" customWidth="1"/>
    <col min="16109" max="16109" width="89.7109375" style="139" bestFit="1" customWidth="1"/>
    <col min="16110" max="16110" width="10.7109375" style="139" customWidth="1"/>
    <col min="16111" max="16111" width="141.42578125" style="139" customWidth="1"/>
    <col min="16112" max="16116" width="2.7109375" style="139" customWidth="1"/>
    <col min="16117" max="16117" width="3.28515625" style="139" customWidth="1"/>
    <col min="16118" max="16118" width="7.140625" style="139" customWidth="1"/>
    <col min="16119" max="16119" width="11.7109375" style="139" customWidth="1"/>
    <col min="16120" max="16360" width="8.85546875" style="139"/>
    <col min="16361" max="16384" width="8.85546875" style="139" customWidth="1"/>
  </cols>
  <sheetData>
    <row r="2" spans="1:8" ht="25.5" x14ac:dyDescent="0.35">
      <c r="D2" s="137" t="s">
        <v>2391</v>
      </c>
    </row>
    <row r="3" spans="1:8" s="142" customFormat="1" x14ac:dyDescent="0.2">
      <c r="D3" s="140"/>
      <c r="E3" s="141"/>
      <c r="H3" s="141"/>
    </row>
    <row r="4" spans="1:8" s="142" customFormat="1" x14ac:dyDescent="0.2">
      <c r="D4" s="143" t="s">
        <v>2548</v>
      </c>
      <c r="E4" s="271" t="s">
        <v>2549</v>
      </c>
      <c r="H4" s="141"/>
    </row>
    <row r="5" spans="1:8" s="142" customFormat="1" ht="13.5" thickBot="1" x14ac:dyDescent="0.25">
      <c r="D5" s="143"/>
      <c r="E5" s="141"/>
      <c r="H5" s="141"/>
    </row>
    <row r="6" spans="1:8" s="142" customFormat="1" ht="21" thickBot="1" x14ac:dyDescent="0.25">
      <c r="D6" s="316" t="s">
        <v>3880</v>
      </c>
      <c r="E6" s="315">
        <f>VLOOKUP($D$6,$D$11:$F$186,2)</f>
        <v>632</v>
      </c>
      <c r="F6" s="144"/>
      <c r="H6" s="141"/>
    </row>
    <row r="7" spans="1:8" s="142" customFormat="1" ht="70.5" customHeight="1" thickBot="1" x14ac:dyDescent="0.25">
      <c r="D7" s="651" t="str">
        <f>VLOOKUP($D$6,$D$11:$F$186,3)</f>
        <v>A filtration or screening device, settling tank, settling basin, or settling channel used to separate a portion of solids from a liquid waste stream.</v>
      </c>
      <c r="E7" s="652"/>
      <c r="F7" s="134"/>
      <c r="G7" s="134"/>
      <c r="H7" s="145"/>
    </row>
    <row r="8" spans="1:8" s="142" customFormat="1" x14ac:dyDescent="0.2">
      <c r="E8" s="141"/>
      <c r="F8" s="146"/>
      <c r="H8" s="141"/>
    </row>
    <row r="9" spans="1:8" s="142" customFormat="1" x14ac:dyDescent="0.2">
      <c r="E9" s="141"/>
      <c r="F9" s="133"/>
      <c r="H9" s="141"/>
    </row>
    <row r="10" spans="1:8" x14ac:dyDescent="0.2">
      <c r="D10" s="147" t="s">
        <v>2392</v>
      </c>
      <c r="E10" s="148" t="s">
        <v>2393</v>
      </c>
      <c r="F10" s="144" t="s">
        <v>2394</v>
      </c>
      <c r="G10" s="142"/>
      <c r="H10" s="149" t="s">
        <v>2280</v>
      </c>
    </row>
    <row r="11" spans="1:8" x14ac:dyDescent="0.2">
      <c r="A11" s="253">
        <v>1</v>
      </c>
      <c r="B11" s="253">
        <f t="shared" ref="B11:B74" si="0">+E11</f>
        <v>472</v>
      </c>
      <c r="C11" s="253"/>
      <c r="D11" s="139" t="s">
        <v>13</v>
      </c>
      <c r="E11" s="150">
        <v>472</v>
      </c>
      <c r="F11" s="139" t="s">
        <v>2396</v>
      </c>
      <c r="G11" s="142" t="s">
        <v>2231</v>
      </c>
      <c r="H11" s="138" t="s">
        <v>2398</v>
      </c>
    </row>
    <row r="12" spans="1:8" x14ac:dyDescent="0.2">
      <c r="A12" s="253">
        <f>+A11+1</f>
        <v>2</v>
      </c>
      <c r="B12" s="253">
        <f t="shared" si="0"/>
        <v>560</v>
      </c>
      <c r="C12" s="253"/>
      <c r="D12" s="139" t="s">
        <v>1269</v>
      </c>
      <c r="E12" s="150">
        <v>560</v>
      </c>
      <c r="F12" s="139" t="s">
        <v>2397</v>
      </c>
      <c r="G12" s="142"/>
      <c r="H12" s="138" t="s">
        <v>2399</v>
      </c>
    </row>
    <row r="13" spans="1:8" x14ac:dyDescent="0.2">
      <c r="A13" s="253">
        <f t="shared" ref="A13:A76" si="1">+A12+1</f>
        <v>3</v>
      </c>
      <c r="B13" s="253">
        <f t="shared" si="0"/>
        <v>309</v>
      </c>
      <c r="C13" s="253"/>
      <c r="D13" s="139" t="s">
        <v>783</v>
      </c>
      <c r="E13" s="150">
        <v>309</v>
      </c>
      <c r="F13" s="139" t="s">
        <v>2400</v>
      </c>
      <c r="G13" s="142" t="s">
        <v>2231</v>
      </c>
      <c r="H13" s="138" t="s">
        <v>2403</v>
      </c>
    </row>
    <row r="14" spans="1:8" x14ac:dyDescent="0.2">
      <c r="A14" s="253">
        <f t="shared" si="1"/>
        <v>4</v>
      </c>
      <c r="B14" s="253">
        <f t="shared" si="0"/>
        <v>371</v>
      </c>
      <c r="C14" s="253"/>
      <c r="D14" s="139" t="s">
        <v>1771</v>
      </c>
      <c r="E14" s="150">
        <v>371</v>
      </c>
      <c r="F14" s="139" t="s">
        <v>2401</v>
      </c>
      <c r="G14" s="142"/>
      <c r="H14" s="138" t="s">
        <v>2399</v>
      </c>
    </row>
    <row r="15" spans="1:8" x14ac:dyDescent="0.2">
      <c r="A15" s="253">
        <f t="shared" si="1"/>
        <v>5</v>
      </c>
      <c r="B15" s="253">
        <f t="shared" si="0"/>
        <v>311</v>
      </c>
      <c r="C15" s="253"/>
      <c r="D15" s="139" t="s">
        <v>1270</v>
      </c>
      <c r="E15" s="150">
        <v>311</v>
      </c>
      <c r="F15" s="139" t="s">
        <v>2402</v>
      </c>
      <c r="G15" s="142"/>
      <c r="H15" s="138" t="s">
        <v>2399</v>
      </c>
    </row>
    <row r="16" spans="1:8" x14ac:dyDescent="0.2">
      <c r="A16" s="253">
        <f t="shared" si="1"/>
        <v>6</v>
      </c>
      <c r="B16" s="253">
        <f t="shared" si="0"/>
        <v>333</v>
      </c>
      <c r="C16" s="253"/>
      <c r="D16" s="555" t="s">
        <v>3879</v>
      </c>
      <c r="E16" s="150">
        <v>333</v>
      </c>
      <c r="F16" s="139" t="s">
        <v>3919</v>
      </c>
      <c r="G16" s="142"/>
      <c r="H16" s="138" t="s">
        <v>2403</v>
      </c>
    </row>
    <row r="17" spans="1:8" x14ac:dyDescent="0.2">
      <c r="A17" s="253">
        <f t="shared" si="1"/>
        <v>7</v>
      </c>
      <c r="B17" s="253">
        <f t="shared" si="0"/>
        <v>591</v>
      </c>
      <c r="C17" s="253"/>
      <c r="D17" s="139" t="s">
        <v>1271</v>
      </c>
      <c r="E17" s="150">
        <v>591</v>
      </c>
      <c r="F17" s="139" t="s">
        <v>2404</v>
      </c>
      <c r="G17" s="142"/>
      <c r="H17" s="138" t="s">
        <v>2399</v>
      </c>
    </row>
    <row r="18" spans="1:8" x14ac:dyDescent="0.2">
      <c r="A18" s="253">
        <f t="shared" si="1"/>
        <v>8</v>
      </c>
      <c r="B18" s="253">
        <f t="shared" si="0"/>
        <v>366</v>
      </c>
      <c r="C18" s="253"/>
      <c r="D18" s="139" t="s">
        <v>528</v>
      </c>
      <c r="E18" s="150">
        <v>366</v>
      </c>
      <c r="F18" s="139" t="s">
        <v>2401</v>
      </c>
      <c r="G18" s="142" t="s">
        <v>2231</v>
      </c>
      <c r="H18" s="138" t="s">
        <v>2398</v>
      </c>
    </row>
    <row r="19" spans="1:8" x14ac:dyDescent="0.2">
      <c r="A19" s="253">
        <f t="shared" si="1"/>
        <v>9</v>
      </c>
      <c r="B19" s="253">
        <f t="shared" si="0"/>
        <v>316</v>
      </c>
      <c r="C19" s="253"/>
      <c r="D19" s="139" t="s">
        <v>1272</v>
      </c>
      <c r="E19" s="150">
        <v>316</v>
      </c>
      <c r="F19" s="139" t="s">
        <v>2405</v>
      </c>
      <c r="G19" s="142" t="s">
        <v>2231</v>
      </c>
      <c r="H19" s="138" t="s">
        <v>2403</v>
      </c>
    </row>
    <row r="20" spans="1:8" x14ac:dyDescent="0.2">
      <c r="A20" s="253">
        <f t="shared" si="1"/>
        <v>10</v>
      </c>
      <c r="B20" s="253">
        <f t="shared" si="0"/>
        <v>450</v>
      </c>
      <c r="C20" s="253"/>
      <c r="D20" s="139" t="s">
        <v>606</v>
      </c>
      <c r="E20" s="150">
        <v>450</v>
      </c>
      <c r="F20" s="139" t="s">
        <v>2406</v>
      </c>
      <c r="G20" s="142" t="s">
        <v>2231</v>
      </c>
      <c r="H20" s="138" t="s">
        <v>2403</v>
      </c>
    </row>
    <row r="21" spans="1:8" x14ac:dyDescent="0.2">
      <c r="A21" s="253">
        <f t="shared" si="1"/>
        <v>11</v>
      </c>
      <c r="B21" s="253">
        <f t="shared" si="0"/>
        <v>397</v>
      </c>
      <c r="C21" s="253"/>
      <c r="D21" s="139" t="s">
        <v>607</v>
      </c>
      <c r="E21" s="150">
        <v>397</v>
      </c>
      <c r="F21" s="151" t="s">
        <v>2407</v>
      </c>
      <c r="G21" s="142" t="s">
        <v>2231</v>
      </c>
      <c r="H21" s="138" t="s">
        <v>2403</v>
      </c>
    </row>
    <row r="22" spans="1:8" x14ac:dyDescent="0.2">
      <c r="A22" s="253">
        <f t="shared" si="1"/>
        <v>12</v>
      </c>
      <c r="B22" s="253">
        <f t="shared" si="0"/>
        <v>396</v>
      </c>
      <c r="C22" s="253"/>
      <c r="D22" s="139" t="s">
        <v>1790</v>
      </c>
      <c r="E22" s="150">
        <v>396</v>
      </c>
      <c r="F22" s="139" t="s">
        <v>2408</v>
      </c>
      <c r="G22" s="142"/>
      <c r="H22" s="138" t="s">
        <v>2403</v>
      </c>
    </row>
    <row r="23" spans="1:8" x14ac:dyDescent="0.2">
      <c r="A23" s="253">
        <f t="shared" si="1"/>
        <v>13</v>
      </c>
      <c r="B23" s="253">
        <f t="shared" si="0"/>
        <v>310</v>
      </c>
      <c r="C23" s="253"/>
      <c r="D23" s="139" t="s">
        <v>608</v>
      </c>
      <c r="E23" s="150">
        <v>310</v>
      </c>
      <c r="F23" s="139" t="s">
        <v>2409</v>
      </c>
      <c r="G23" s="142" t="s">
        <v>2231</v>
      </c>
      <c r="H23" s="138" t="s">
        <v>2403</v>
      </c>
    </row>
    <row r="24" spans="1:8" x14ac:dyDescent="0.2">
      <c r="A24" s="253">
        <f t="shared" si="1"/>
        <v>14</v>
      </c>
      <c r="B24" s="253">
        <f t="shared" si="0"/>
        <v>400</v>
      </c>
      <c r="C24" s="253"/>
      <c r="D24" s="139" t="s">
        <v>1984</v>
      </c>
      <c r="E24" s="150">
        <v>400</v>
      </c>
      <c r="F24" s="139" t="s">
        <v>2410</v>
      </c>
      <c r="G24" s="142" t="s">
        <v>2231</v>
      </c>
      <c r="H24" s="138" t="s">
        <v>2398</v>
      </c>
    </row>
    <row r="25" spans="1:8" x14ac:dyDescent="0.2">
      <c r="A25" s="253">
        <f t="shared" si="1"/>
        <v>15</v>
      </c>
      <c r="B25" s="253">
        <f t="shared" si="0"/>
        <v>314</v>
      </c>
      <c r="C25" s="253"/>
      <c r="D25" s="139" t="s">
        <v>609</v>
      </c>
      <c r="E25" s="150">
        <v>314</v>
      </c>
      <c r="F25" s="153" t="s">
        <v>2411</v>
      </c>
      <c r="G25" s="142" t="s">
        <v>2231</v>
      </c>
      <c r="H25" s="154" t="s">
        <v>2399</v>
      </c>
    </row>
    <row r="26" spans="1:8" x14ac:dyDescent="0.2">
      <c r="A26" s="253">
        <f t="shared" si="1"/>
        <v>16</v>
      </c>
      <c r="B26" s="253">
        <f t="shared" si="0"/>
        <v>672</v>
      </c>
      <c r="C26" s="253"/>
      <c r="D26" s="139" t="s">
        <v>2798</v>
      </c>
      <c r="E26" s="150">
        <v>672</v>
      </c>
      <c r="F26" s="153" t="s">
        <v>3668</v>
      </c>
      <c r="G26" s="142"/>
      <c r="H26" s="154" t="s">
        <v>2399</v>
      </c>
    </row>
    <row r="27" spans="1:8" x14ac:dyDescent="0.2">
      <c r="A27" s="253">
        <f t="shared" si="1"/>
        <v>17</v>
      </c>
      <c r="B27" s="253">
        <f t="shared" si="0"/>
        <v>584</v>
      </c>
      <c r="C27" s="253"/>
      <c r="D27" s="139" t="s">
        <v>1797</v>
      </c>
      <c r="E27" s="150">
        <v>584</v>
      </c>
      <c r="F27" s="139" t="s">
        <v>2412</v>
      </c>
      <c r="G27" s="142" t="s">
        <v>2231</v>
      </c>
      <c r="H27" s="138" t="s">
        <v>2403</v>
      </c>
    </row>
    <row r="28" spans="1:8" x14ac:dyDescent="0.2">
      <c r="A28" s="253">
        <f t="shared" si="1"/>
        <v>18</v>
      </c>
      <c r="B28" s="253">
        <f t="shared" si="0"/>
        <v>326</v>
      </c>
      <c r="C28" s="253"/>
      <c r="D28" s="139" t="s">
        <v>610</v>
      </c>
      <c r="E28" s="150">
        <v>326</v>
      </c>
      <c r="F28" s="139" t="s">
        <v>2413</v>
      </c>
      <c r="G28" s="142" t="s">
        <v>2231</v>
      </c>
      <c r="H28" s="138" t="s">
        <v>2399</v>
      </c>
    </row>
    <row r="29" spans="1:8" x14ac:dyDescent="0.2">
      <c r="A29" s="253">
        <f t="shared" si="1"/>
        <v>19</v>
      </c>
      <c r="B29" s="253">
        <f t="shared" si="0"/>
        <v>372</v>
      </c>
      <c r="C29" s="253"/>
      <c r="D29" s="139" t="s">
        <v>1775</v>
      </c>
      <c r="E29" s="138">
        <v>372</v>
      </c>
      <c r="F29" s="139" t="s">
        <v>2414</v>
      </c>
      <c r="G29" s="142" t="s">
        <v>2231</v>
      </c>
      <c r="H29" s="138" t="s">
        <v>2399</v>
      </c>
    </row>
    <row r="30" spans="1:8" x14ac:dyDescent="0.2">
      <c r="A30" s="253">
        <f t="shared" si="1"/>
        <v>20</v>
      </c>
      <c r="B30" s="253">
        <f t="shared" si="0"/>
        <v>317</v>
      </c>
      <c r="C30" s="253"/>
      <c r="D30" s="139" t="s">
        <v>611</v>
      </c>
      <c r="E30" s="150">
        <v>317</v>
      </c>
      <c r="F30" s="139" t="s">
        <v>2550</v>
      </c>
      <c r="G30" s="142" t="s">
        <v>2231</v>
      </c>
      <c r="H30" s="138" t="s">
        <v>2403</v>
      </c>
    </row>
    <row r="31" spans="1:8" x14ac:dyDescent="0.2">
      <c r="A31" s="253">
        <f t="shared" si="1"/>
        <v>21</v>
      </c>
      <c r="B31" s="253">
        <f t="shared" si="0"/>
        <v>334</v>
      </c>
      <c r="C31" s="253"/>
      <c r="D31" s="139" t="s">
        <v>3878</v>
      </c>
      <c r="E31" s="150">
        <v>334</v>
      </c>
      <c r="F31" s="139" t="s">
        <v>3928</v>
      </c>
      <c r="G31" s="142"/>
      <c r="H31" s="138" t="s">
        <v>2403</v>
      </c>
    </row>
    <row r="32" spans="1:8" x14ac:dyDescent="0.2">
      <c r="A32" s="253">
        <f t="shared" si="1"/>
        <v>22</v>
      </c>
      <c r="B32" s="253">
        <f t="shared" si="0"/>
        <v>327</v>
      </c>
      <c r="C32" s="253"/>
      <c r="D32" s="139" t="s">
        <v>612</v>
      </c>
      <c r="E32" s="150">
        <v>327</v>
      </c>
      <c r="F32" s="139" t="s">
        <v>2551</v>
      </c>
      <c r="G32" s="142" t="s">
        <v>2231</v>
      </c>
      <c r="H32" s="138" t="s">
        <v>2403</v>
      </c>
    </row>
    <row r="33" spans="1:8" x14ac:dyDescent="0.2">
      <c r="A33" s="253">
        <f t="shared" si="1"/>
        <v>23</v>
      </c>
      <c r="B33" s="253">
        <f t="shared" si="0"/>
        <v>328</v>
      </c>
      <c r="C33" s="253"/>
      <c r="D33" s="139" t="s">
        <v>578</v>
      </c>
      <c r="E33" s="150">
        <v>328</v>
      </c>
      <c r="F33" s="139" t="s">
        <v>2415</v>
      </c>
      <c r="G33" s="142" t="s">
        <v>2231</v>
      </c>
      <c r="H33" s="138" t="s">
        <v>2403</v>
      </c>
    </row>
    <row r="34" spans="1:8" x14ac:dyDescent="0.2">
      <c r="A34" s="253">
        <f t="shared" si="1"/>
        <v>24</v>
      </c>
      <c r="B34" s="253">
        <f t="shared" si="0"/>
        <v>656</v>
      </c>
      <c r="C34" s="253"/>
      <c r="D34" s="139" t="s">
        <v>579</v>
      </c>
      <c r="E34" s="150">
        <v>656</v>
      </c>
      <c r="F34" s="139" t="s">
        <v>2416</v>
      </c>
      <c r="G34" s="142" t="s">
        <v>2231</v>
      </c>
      <c r="H34" s="138" t="s">
        <v>2403</v>
      </c>
    </row>
    <row r="35" spans="1:8" x14ac:dyDescent="0.2">
      <c r="A35" s="253">
        <f t="shared" si="1"/>
        <v>25</v>
      </c>
      <c r="B35" s="253">
        <f t="shared" si="0"/>
        <v>332</v>
      </c>
      <c r="C35" s="253"/>
      <c r="D35" s="139" t="s">
        <v>580</v>
      </c>
      <c r="E35" s="150">
        <v>332</v>
      </c>
      <c r="F35" s="139" t="s">
        <v>2417</v>
      </c>
      <c r="G35" s="142" t="s">
        <v>2231</v>
      </c>
      <c r="H35" s="138" t="s">
        <v>2403</v>
      </c>
    </row>
    <row r="36" spans="1:8" x14ac:dyDescent="0.2">
      <c r="A36" s="253">
        <f t="shared" si="1"/>
        <v>26</v>
      </c>
      <c r="B36" s="253">
        <f t="shared" si="0"/>
        <v>330</v>
      </c>
      <c r="C36" s="253"/>
      <c r="D36" s="139" t="s">
        <v>581</v>
      </c>
      <c r="E36" s="150">
        <v>330</v>
      </c>
      <c r="F36" s="139" t="s">
        <v>2418</v>
      </c>
      <c r="G36" s="142" t="s">
        <v>2231</v>
      </c>
      <c r="H36" s="138" t="s">
        <v>2403</v>
      </c>
    </row>
    <row r="37" spans="1:8" x14ac:dyDescent="0.2">
      <c r="A37" s="253">
        <f t="shared" si="1"/>
        <v>27</v>
      </c>
      <c r="B37" s="253">
        <f t="shared" si="0"/>
        <v>331</v>
      </c>
      <c r="C37" s="253"/>
      <c r="D37" s="139" t="s">
        <v>2188</v>
      </c>
      <c r="E37" s="150">
        <v>331</v>
      </c>
      <c r="F37" s="139" t="s">
        <v>2419</v>
      </c>
      <c r="G37" s="142" t="s">
        <v>2231</v>
      </c>
      <c r="H37" s="138" t="s">
        <v>2403</v>
      </c>
    </row>
    <row r="38" spans="1:8" x14ac:dyDescent="0.2">
      <c r="A38" s="253">
        <f t="shared" si="1"/>
        <v>28</v>
      </c>
      <c r="B38" s="253">
        <f t="shared" si="0"/>
        <v>340</v>
      </c>
      <c r="C38" s="253"/>
      <c r="D38" s="139" t="s">
        <v>582</v>
      </c>
      <c r="E38" s="150">
        <v>340</v>
      </c>
      <c r="F38" s="139" t="s">
        <v>2420</v>
      </c>
      <c r="G38" s="142" t="s">
        <v>2231</v>
      </c>
      <c r="H38" s="138" t="s">
        <v>2403</v>
      </c>
    </row>
    <row r="39" spans="1:8" x14ac:dyDescent="0.2">
      <c r="A39" s="253">
        <f t="shared" si="1"/>
        <v>29</v>
      </c>
      <c r="B39" s="253">
        <f t="shared" si="0"/>
        <v>342</v>
      </c>
      <c r="C39" s="253"/>
      <c r="D39" s="139" t="s">
        <v>583</v>
      </c>
      <c r="E39" s="150">
        <v>342</v>
      </c>
      <c r="F39" s="139" t="s">
        <v>2421</v>
      </c>
      <c r="G39" s="142" t="s">
        <v>2231</v>
      </c>
      <c r="H39" s="138" t="s">
        <v>2403</v>
      </c>
    </row>
    <row r="40" spans="1:8" x14ac:dyDescent="0.2">
      <c r="A40" s="253">
        <f t="shared" si="1"/>
        <v>30</v>
      </c>
      <c r="B40" s="253">
        <f t="shared" si="0"/>
        <v>588</v>
      </c>
      <c r="C40" s="253"/>
      <c r="D40" s="139" t="s">
        <v>3659</v>
      </c>
      <c r="E40" s="150">
        <v>588</v>
      </c>
      <c r="F40" s="139" t="s">
        <v>2422</v>
      </c>
      <c r="G40" s="142"/>
      <c r="H40" s="138" t="s">
        <v>2403</v>
      </c>
    </row>
    <row r="41" spans="1:8" x14ac:dyDescent="0.2">
      <c r="A41" s="253">
        <f t="shared" si="1"/>
        <v>31</v>
      </c>
      <c r="B41" s="253" t="str">
        <f t="shared" si="0"/>
        <v>589C</v>
      </c>
      <c r="C41" s="253"/>
      <c r="D41" s="139" t="s">
        <v>585</v>
      </c>
      <c r="E41" s="157" t="s">
        <v>1478</v>
      </c>
      <c r="F41" s="139" t="s">
        <v>2423</v>
      </c>
      <c r="G41" s="142" t="s">
        <v>2231</v>
      </c>
      <c r="H41" s="138" t="s">
        <v>2403</v>
      </c>
    </row>
    <row r="42" spans="1:8" x14ac:dyDescent="0.2">
      <c r="A42" s="253">
        <f t="shared" si="1"/>
        <v>32</v>
      </c>
      <c r="B42" s="253">
        <f t="shared" si="0"/>
        <v>402</v>
      </c>
      <c r="C42" s="253"/>
      <c r="D42" s="139" t="s">
        <v>586</v>
      </c>
      <c r="E42" s="150">
        <v>402</v>
      </c>
      <c r="F42" s="139" t="s">
        <v>2552</v>
      </c>
      <c r="G42" s="142" t="s">
        <v>2231</v>
      </c>
      <c r="H42" s="138" t="s">
        <v>2399</v>
      </c>
    </row>
    <row r="43" spans="1:8" x14ac:dyDescent="0.2">
      <c r="A43" s="253">
        <f t="shared" si="1"/>
        <v>33</v>
      </c>
      <c r="B43" s="253">
        <f t="shared" si="0"/>
        <v>348</v>
      </c>
      <c r="C43" s="253"/>
      <c r="D43" s="139" t="s">
        <v>587</v>
      </c>
      <c r="E43" s="150">
        <v>348</v>
      </c>
      <c r="F43" s="139" t="s">
        <v>2424</v>
      </c>
      <c r="G43" s="142" t="s">
        <v>2231</v>
      </c>
      <c r="H43" s="138" t="s">
        <v>2399</v>
      </c>
    </row>
    <row r="44" spans="1:8" x14ac:dyDescent="0.2">
      <c r="A44" s="253">
        <f t="shared" si="1"/>
        <v>34</v>
      </c>
      <c r="B44" s="253">
        <f t="shared" si="0"/>
        <v>324</v>
      </c>
      <c r="C44" s="253"/>
      <c r="D44" s="139" t="s">
        <v>588</v>
      </c>
      <c r="E44" s="150">
        <v>324</v>
      </c>
      <c r="F44" s="139" t="s">
        <v>2425</v>
      </c>
      <c r="G44" s="142" t="s">
        <v>2231</v>
      </c>
      <c r="H44" s="138" t="s">
        <v>2403</v>
      </c>
    </row>
    <row r="45" spans="1:8" x14ac:dyDescent="0.2">
      <c r="A45" s="253">
        <f t="shared" si="1"/>
        <v>35</v>
      </c>
      <c r="B45" s="253">
        <f t="shared" si="0"/>
        <v>605</v>
      </c>
      <c r="C45" s="253"/>
      <c r="D45" s="139" t="s">
        <v>3877</v>
      </c>
      <c r="E45" s="150">
        <v>605</v>
      </c>
      <c r="F45" s="139" t="s">
        <v>3932</v>
      </c>
      <c r="G45" s="142"/>
      <c r="H45" s="138" t="s">
        <v>2399</v>
      </c>
    </row>
    <row r="46" spans="1:8" x14ac:dyDescent="0.2">
      <c r="A46" s="253">
        <f t="shared" si="1"/>
        <v>36</v>
      </c>
      <c r="B46" s="253">
        <f t="shared" si="0"/>
        <v>356</v>
      </c>
      <c r="C46" s="253"/>
      <c r="D46" s="139" t="s">
        <v>589</v>
      </c>
      <c r="E46" s="150">
        <v>356</v>
      </c>
      <c r="F46" s="139" t="s">
        <v>2426</v>
      </c>
      <c r="G46" s="142" t="s">
        <v>2231</v>
      </c>
      <c r="H46" s="138" t="s">
        <v>2398</v>
      </c>
    </row>
    <row r="47" spans="1:8" x14ac:dyDescent="0.2">
      <c r="A47" s="253">
        <f t="shared" si="1"/>
        <v>37</v>
      </c>
      <c r="B47" s="253">
        <f t="shared" si="0"/>
        <v>362</v>
      </c>
      <c r="C47" s="253"/>
      <c r="D47" s="139" t="s">
        <v>590</v>
      </c>
      <c r="E47" s="150">
        <v>362</v>
      </c>
      <c r="F47" s="139" t="s">
        <v>2427</v>
      </c>
      <c r="G47" s="142" t="s">
        <v>2231</v>
      </c>
      <c r="H47" s="138" t="s">
        <v>2398</v>
      </c>
    </row>
    <row r="48" spans="1:8" x14ac:dyDescent="0.2">
      <c r="A48" s="253">
        <f t="shared" si="1"/>
        <v>38</v>
      </c>
      <c r="B48" s="253">
        <f t="shared" si="0"/>
        <v>554</v>
      </c>
      <c r="C48" s="253"/>
      <c r="D48" s="139" t="s">
        <v>591</v>
      </c>
      <c r="E48" s="150">
        <v>554</v>
      </c>
      <c r="F48" s="139" t="s">
        <v>2428</v>
      </c>
      <c r="G48" s="142" t="s">
        <v>2231</v>
      </c>
      <c r="H48" s="138" t="s">
        <v>2403</v>
      </c>
    </row>
    <row r="49" spans="1:8" x14ac:dyDescent="0.2">
      <c r="A49" s="253">
        <f t="shared" si="1"/>
        <v>39</v>
      </c>
      <c r="B49" s="253">
        <f t="shared" si="0"/>
        <v>432</v>
      </c>
      <c r="C49" s="253"/>
      <c r="D49" s="139" t="s">
        <v>592</v>
      </c>
      <c r="E49" s="150">
        <v>432</v>
      </c>
      <c r="F49" s="139" t="s">
        <v>2429</v>
      </c>
      <c r="G49" s="142" t="s">
        <v>2231</v>
      </c>
      <c r="H49" s="138" t="s">
        <v>2399</v>
      </c>
    </row>
    <row r="50" spans="1:8" ht="12.75" customHeight="1" x14ac:dyDescent="0.2">
      <c r="A50" s="253">
        <f t="shared" si="1"/>
        <v>40</v>
      </c>
      <c r="B50" s="253">
        <f t="shared" si="0"/>
        <v>375</v>
      </c>
      <c r="C50" s="253"/>
      <c r="D50" s="139" t="s">
        <v>1783</v>
      </c>
      <c r="E50" s="150">
        <v>375</v>
      </c>
      <c r="F50" s="139" t="s">
        <v>2430</v>
      </c>
      <c r="G50" s="142" t="s">
        <v>2231</v>
      </c>
      <c r="H50" s="138" t="s">
        <v>2403</v>
      </c>
    </row>
    <row r="51" spans="1:8" x14ac:dyDescent="0.2">
      <c r="A51" s="253">
        <f t="shared" si="1"/>
        <v>41</v>
      </c>
      <c r="B51" s="253">
        <f t="shared" si="0"/>
        <v>373</v>
      </c>
      <c r="C51" s="253"/>
      <c r="D51" s="139" t="s">
        <v>1779</v>
      </c>
      <c r="E51" s="150">
        <v>373</v>
      </c>
      <c r="F51" s="139" t="s">
        <v>2431</v>
      </c>
      <c r="G51" s="142"/>
      <c r="H51" s="138" t="s">
        <v>2399</v>
      </c>
    </row>
    <row r="52" spans="1:8" x14ac:dyDescent="0.2">
      <c r="A52" s="253">
        <f t="shared" si="1"/>
        <v>42</v>
      </c>
      <c r="B52" s="253">
        <f t="shared" si="0"/>
        <v>647</v>
      </c>
      <c r="C52" s="253"/>
      <c r="D52" s="139" t="s">
        <v>593</v>
      </c>
      <c r="E52" s="150">
        <v>647</v>
      </c>
      <c r="F52" s="142" t="s">
        <v>2432</v>
      </c>
      <c r="G52" s="142" t="s">
        <v>2231</v>
      </c>
      <c r="H52" s="138" t="s">
        <v>2398</v>
      </c>
    </row>
    <row r="53" spans="1:8" x14ac:dyDescent="0.2">
      <c r="A53" s="253">
        <f t="shared" si="1"/>
        <v>43</v>
      </c>
      <c r="B53" s="253">
        <f t="shared" si="0"/>
        <v>368</v>
      </c>
      <c r="C53" s="253"/>
      <c r="D53" s="139" t="s">
        <v>3876</v>
      </c>
      <c r="E53" s="150">
        <v>368</v>
      </c>
      <c r="F53" s="142" t="s">
        <v>3931</v>
      </c>
      <c r="G53" s="142"/>
      <c r="H53" s="138" t="s">
        <v>2399</v>
      </c>
    </row>
    <row r="54" spans="1:8" x14ac:dyDescent="0.2">
      <c r="A54" s="253">
        <f t="shared" si="1"/>
        <v>44</v>
      </c>
      <c r="B54" s="253">
        <f t="shared" si="0"/>
        <v>374</v>
      </c>
      <c r="C54" s="253"/>
      <c r="D54" s="139" t="s">
        <v>1988</v>
      </c>
      <c r="E54" s="150">
        <v>374</v>
      </c>
      <c r="F54" s="139" t="s">
        <v>2433</v>
      </c>
      <c r="G54" s="142" t="s">
        <v>2231</v>
      </c>
      <c r="H54" s="138" t="s">
        <v>2398</v>
      </c>
    </row>
    <row r="55" spans="1:8" x14ac:dyDescent="0.2">
      <c r="A55" s="253">
        <f t="shared" si="1"/>
        <v>45</v>
      </c>
      <c r="B55" s="253">
        <f t="shared" si="0"/>
        <v>592</v>
      </c>
      <c r="C55" s="253"/>
      <c r="D55" s="139" t="s">
        <v>594</v>
      </c>
      <c r="E55" s="150">
        <v>592</v>
      </c>
      <c r="F55" s="139" t="s">
        <v>2434</v>
      </c>
      <c r="G55" s="142" t="s">
        <v>2231</v>
      </c>
      <c r="H55" s="138" t="s">
        <v>2403</v>
      </c>
    </row>
    <row r="56" spans="1:8" x14ac:dyDescent="0.2">
      <c r="A56" s="253">
        <f t="shared" si="1"/>
        <v>46</v>
      </c>
      <c r="B56" s="253">
        <f t="shared" si="0"/>
        <v>382</v>
      </c>
      <c r="C56" s="253"/>
      <c r="D56" s="139" t="s">
        <v>595</v>
      </c>
      <c r="E56" s="150">
        <v>382</v>
      </c>
      <c r="F56" s="139" t="s">
        <v>2435</v>
      </c>
      <c r="G56" s="142" t="s">
        <v>2231</v>
      </c>
      <c r="H56" s="138" t="s">
        <v>2398</v>
      </c>
    </row>
    <row r="57" spans="1:8" x14ac:dyDescent="0.2">
      <c r="A57" s="253">
        <f t="shared" si="1"/>
        <v>47</v>
      </c>
      <c r="B57" s="253">
        <f t="shared" si="0"/>
        <v>297</v>
      </c>
      <c r="C57" s="253"/>
      <c r="D57" s="139" t="s">
        <v>3873</v>
      </c>
      <c r="E57" s="150">
        <v>297</v>
      </c>
      <c r="F57" s="139" t="s">
        <v>3930</v>
      </c>
      <c r="G57" s="142"/>
      <c r="H57" s="138" t="s">
        <v>2403</v>
      </c>
    </row>
    <row r="58" spans="1:8" x14ac:dyDescent="0.2">
      <c r="A58" s="253">
        <f t="shared" si="1"/>
        <v>48</v>
      </c>
      <c r="B58" s="253">
        <f t="shared" si="0"/>
        <v>386</v>
      </c>
      <c r="C58" s="253"/>
      <c r="D58" s="139" t="s">
        <v>618</v>
      </c>
      <c r="E58" s="150">
        <v>386</v>
      </c>
      <c r="F58" s="151" t="s">
        <v>2436</v>
      </c>
      <c r="G58" s="142" t="s">
        <v>2231</v>
      </c>
      <c r="H58" s="138" t="s">
        <v>2399</v>
      </c>
    </row>
    <row r="59" spans="1:8" x14ac:dyDescent="0.2">
      <c r="A59" s="253">
        <f t="shared" si="1"/>
        <v>49</v>
      </c>
      <c r="B59" s="253">
        <f t="shared" si="0"/>
        <v>376</v>
      </c>
      <c r="C59" s="253"/>
      <c r="D59" s="139" t="s">
        <v>3875</v>
      </c>
      <c r="E59" s="150">
        <v>376</v>
      </c>
      <c r="F59" s="151" t="s">
        <v>3929</v>
      </c>
      <c r="G59" s="142"/>
      <c r="H59" s="138" t="s">
        <v>2403</v>
      </c>
    </row>
    <row r="60" spans="1:8" x14ac:dyDescent="0.2">
      <c r="A60" s="253">
        <f t="shared" si="1"/>
        <v>50</v>
      </c>
      <c r="B60" s="253">
        <f t="shared" si="0"/>
        <v>393</v>
      </c>
      <c r="C60" s="253"/>
      <c r="D60" s="139" t="s">
        <v>619</v>
      </c>
      <c r="E60" s="150">
        <v>393</v>
      </c>
      <c r="F60" s="139" t="s">
        <v>2437</v>
      </c>
      <c r="G60" s="142" t="s">
        <v>2231</v>
      </c>
      <c r="H60" s="138" t="s">
        <v>2398</v>
      </c>
    </row>
    <row r="61" spans="1:8" x14ac:dyDescent="0.2">
      <c r="A61" s="253">
        <f t="shared" si="1"/>
        <v>51</v>
      </c>
      <c r="B61" s="253">
        <f t="shared" si="0"/>
        <v>394</v>
      </c>
      <c r="C61" s="253"/>
      <c r="D61" s="139" t="s">
        <v>620</v>
      </c>
      <c r="E61" s="150">
        <v>394</v>
      </c>
      <c r="F61" s="139" t="s">
        <v>2438</v>
      </c>
      <c r="G61" s="142" t="s">
        <v>2231</v>
      </c>
      <c r="H61" s="138" t="s">
        <v>2399</v>
      </c>
    </row>
    <row r="62" spans="1:8" x14ac:dyDescent="0.2">
      <c r="A62" s="253">
        <f t="shared" si="1"/>
        <v>52</v>
      </c>
      <c r="B62" s="253">
        <f t="shared" si="0"/>
        <v>398</v>
      </c>
      <c r="C62" s="253"/>
      <c r="D62" s="139" t="s">
        <v>621</v>
      </c>
      <c r="E62" s="150">
        <v>398</v>
      </c>
      <c r="F62" s="139" t="s">
        <v>2439</v>
      </c>
      <c r="G62" s="142" t="s">
        <v>2231</v>
      </c>
      <c r="H62" s="138" t="s">
        <v>2403</v>
      </c>
    </row>
    <row r="63" spans="1:8" x14ac:dyDescent="0.2">
      <c r="A63" s="253">
        <f t="shared" si="1"/>
        <v>53</v>
      </c>
      <c r="B63" s="253">
        <f t="shared" si="0"/>
        <v>399</v>
      </c>
      <c r="C63" s="253"/>
      <c r="D63" s="139" t="s">
        <v>622</v>
      </c>
      <c r="E63" s="150">
        <v>399</v>
      </c>
      <c r="F63" s="139" t="s">
        <v>2440</v>
      </c>
      <c r="G63" s="142" t="s">
        <v>2231</v>
      </c>
      <c r="H63" s="138" t="s">
        <v>2403</v>
      </c>
    </row>
    <row r="64" spans="1:8" x14ac:dyDescent="0.2">
      <c r="A64" s="253">
        <f t="shared" si="1"/>
        <v>54</v>
      </c>
      <c r="B64" s="253">
        <f t="shared" si="0"/>
        <v>512</v>
      </c>
      <c r="C64" s="253"/>
      <c r="D64" s="139" t="s">
        <v>679</v>
      </c>
      <c r="E64" s="138">
        <v>512</v>
      </c>
      <c r="F64" s="142" t="s">
        <v>2441</v>
      </c>
      <c r="G64" s="142"/>
      <c r="H64" s="138" t="s">
        <v>2403</v>
      </c>
    </row>
    <row r="65" spans="1:8" x14ac:dyDescent="0.2">
      <c r="A65" s="253">
        <f t="shared" si="1"/>
        <v>55</v>
      </c>
      <c r="B65" s="253">
        <f t="shared" si="0"/>
        <v>511</v>
      </c>
      <c r="C65" s="253"/>
      <c r="D65" s="139" t="s">
        <v>623</v>
      </c>
      <c r="E65" s="150">
        <v>511</v>
      </c>
      <c r="F65" s="139" t="s">
        <v>2442</v>
      </c>
      <c r="G65" s="142" t="s">
        <v>2231</v>
      </c>
      <c r="H65" s="138" t="s">
        <v>2403</v>
      </c>
    </row>
    <row r="66" spans="1:8" x14ac:dyDescent="0.2">
      <c r="A66" s="253">
        <f t="shared" si="1"/>
        <v>56</v>
      </c>
      <c r="B66" s="253">
        <f t="shared" si="0"/>
        <v>666</v>
      </c>
      <c r="C66" s="253"/>
      <c r="D66" s="139" t="s">
        <v>624</v>
      </c>
      <c r="E66" s="150">
        <v>666</v>
      </c>
      <c r="F66" s="139" t="s">
        <v>2443</v>
      </c>
      <c r="G66" s="142" t="s">
        <v>2231</v>
      </c>
      <c r="H66" s="138" t="s">
        <v>2403</v>
      </c>
    </row>
    <row r="67" spans="1:8" x14ac:dyDescent="0.2">
      <c r="A67" s="253">
        <f t="shared" si="1"/>
        <v>57</v>
      </c>
      <c r="B67" s="253">
        <f t="shared" si="0"/>
        <v>655</v>
      </c>
      <c r="C67" s="253"/>
      <c r="D67" s="139" t="s">
        <v>625</v>
      </c>
      <c r="E67" s="138">
        <v>655</v>
      </c>
      <c r="F67" s="142" t="s">
        <v>2444</v>
      </c>
      <c r="G67" s="142"/>
      <c r="H67" s="138" t="s">
        <v>2403</v>
      </c>
    </row>
    <row r="68" spans="1:8" x14ac:dyDescent="0.2">
      <c r="A68" s="253">
        <f t="shared" si="1"/>
        <v>58</v>
      </c>
      <c r="B68" s="253">
        <f t="shared" si="0"/>
        <v>383</v>
      </c>
      <c r="C68" s="253"/>
      <c r="D68" s="139" t="s">
        <v>626</v>
      </c>
      <c r="E68" s="150">
        <v>383</v>
      </c>
      <c r="F68" s="139" t="s">
        <v>2553</v>
      </c>
      <c r="G68" s="142" t="s">
        <v>2231</v>
      </c>
      <c r="H68" s="138" t="s">
        <v>2399</v>
      </c>
    </row>
    <row r="69" spans="1:8" x14ac:dyDescent="0.2">
      <c r="A69" s="253">
        <f t="shared" si="1"/>
        <v>59</v>
      </c>
      <c r="B69" s="253">
        <f t="shared" si="0"/>
        <v>410</v>
      </c>
      <c r="C69" s="253"/>
      <c r="D69" s="139" t="s">
        <v>627</v>
      </c>
      <c r="E69" s="150">
        <v>410</v>
      </c>
      <c r="F69" s="139" t="s">
        <v>2445</v>
      </c>
      <c r="G69" s="142" t="s">
        <v>2231</v>
      </c>
      <c r="H69" s="138" t="s">
        <v>2403</v>
      </c>
    </row>
    <row r="70" spans="1:8" x14ac:dyDescent="0.2">
      <c r="A70" s="253">
        <f t="shared" si="1"/>
        <v>60</v>
      </c>
      <c r="B70" s="253">
        <f t="shared" si="0"/>
        <v>412</v>
      </c>
      <c r="C70" s="253"/>
      <c r="D70" s="139" t="s">
        <v>628</v>
      </c>
      <c r="E70" s="150">
        <v>412</v>
      </c>
      <c r="F70" s="139" t="s">
        <v>2446</v>
      </c>
      <c r="G70" s="142" t="s">
        <v>2231</v>
      </c>
      <c r="H70" s="138" t="s">
        <v>2403</v>
      </c>
    </row>
    <row r="71" spans="1:8" x14ac:dyDescent="0.2">
      <c r="A71" s="253">
        <f t="shared" si="1"/>
        <v>61</v>
      </c>
      <c r="B71" s="253">
        <f t="shared" si="0"/>
        <v>548</v>
      </c>
      <c r="C71" s="253"/>
      <c r="D71" s="139" t="s">
        <v>629</v>
      </c>
      <c r="E71" s="150">
        <v>548</v>
      </c>
      <c r="F71" s="139" t="s">
        <v>2447</v>
      </c>
      <c r="G71" s="142" t="s">
        <v>2231</v>
      </c>
      <c r="H71" s="138" t="s">
        <v>2403</v>
      </c>
    </row>
    <row r="72" spans="1:8" x14ac:dyDescent="0.2">
      <c r="A72" s="253">
        <f t="shared" si="1"/>
        <v>62</v>
      </c>
      <c r="B72" s="253">
        <f t="shared" si="0"/>
        <v>355</v>
      </c>
      <c r="C72" s="253"/>
      <c r="D72" s="142" t="s">
        <v>3709</v>
      </c>
      <c r="E72" s="150">
        <v>355</v>
      </c>
      <c r="F72" s="139" t="s">
        <v>3920</v>
      </c>
      <c r="G72" s="142"/>
      <c r="H72" s="138" t="s">
        <v>2399</v>
      </c>
    </row>
    <row r="73" spans="1:8" x14ac:dyDescent="0.2">
      <c r="A73" s="253">
        <f t="shared" si="1"/>
        <v>63</v>
      </c>
      <c r="B73" s="253">
        <f t="shared" si="0"/>
        <v>561</v>
      </c>
      <c r="C73" s="253"/>
      <c r="D73" s="139" t="s">
        <v>630</v>
      </c>
      <c r="E73" s="150">
        <v>561</v>
      </c>
      <c r="F73" s="139" t="s">
        <v>2448</v>
      </c>
      <c r="G73" s="142" t="s">
        <v>2231</v>
      </c>
      <c r="H73" s="138" t="s">
        <v>2398</v>
      </c>
    </row>
    <row r="74" spans="1:8" x14ac:dyDescent="0.2">
      <c r="A74" s="253">
        <f t="shared" si="1"/>
        <v>64</v>
      </c>
      <c r="B74" s="253">
        <f t="shared" si="0"/>
        <v>422</v>
      </c>
      <c r="C74" s="253"/>
      <c r="D74" s="139" t="s">
        <v>631</v>
      </c>
      <c r="E74" s="150">
        <v>422</v>
      </c>
      <c r="F74" s="139" t="s">
        <v>2449</v>
      </c>
      <c r="G74" s="142" t="s">
        <v>2231</v>
      </c>
      <c r="H74" s="138" t="s">
        <v>2398</v>
      </c>
    </row>
    <row r="75" spans="1:8" x14ac:dyDescent="0.2">
      <c r="A75" s="253">
        <f t="shared" si="1"/>
        <v>65</v>
      </c>
      <c r="B75" s="253">
        <f t="shared" ref="B75:B138" si="2">+E75</f>
        <v>315</v>
      </c>
      <c r="C75" s="253"/>
      <c r="D75" s="139" t="s">
        <v>1017</v>
      </c>
      <c r="E75" s="150">
        <v>315</v>
      </c>
      <c r="F75" s="139" t="s">
        <v>2450</v>
      </c>
      <c r="G75" s="142" t="s">
        <v>2231</v>
      </c>
      <c r="H75" s="138" t="s">
        <v>2398</v>
      </c>
    </row>
    <row r="76" spans="1:8" x14ac:dyDescent="0.2">
      <c r="A76" s="253">
        <f t="shared" si="1"/>
        <v>66</v>
      </c>
      <c r="B76" s="253">
        <f t="shared" si="2"/>
        <v>603</v>
      </c>
      <c r="C76" s="253"/>
      <c r="D76" s="139" t="s">
        <v>632</v>
      </c>
      <c r="E76" s="150">
        <v>603</v>
      </c>
      <c r="F76" s="139" t="s">
        <v>2451</v>
      </c>
      <c r="G76" s="142" t="s">
        <v>2231</v>
      </c>
      <c r="H76" s="138" t="s">
        <v>2398</v>
      </c>
    </row>
    <row r="77" spans="1:8" x14ac:dyDescent="0.2">
      <c r="A77" s="253">
        <f t="shared" ref="A77:A140" si="3">+A76+1</f>
        <v>67</v>
      </c>
      <c r="B77" s="253">
        <f t="shared" si="2"/>
        <v>325</v>
      </c>
      <c r="C77" s="253"/>
      <c r="D77" s="139" t="s">
        <v>3882</v>
      </c>
      <c r="E77" s="150">
        <v>325</v>
      </c>
      <c r="F77" s="139" t="s">
        <v>3874</v>
      </c>
      <c r="G77" s="142"/>
      <c r="H77" s="138" t="s">
        <v>2399</v>
      </c>
    </row>
    <row r="78" spans="1:8" x14ac:dyDescent="0.2">
      <c r="A78" s="253">
        <f t="shared" si="3"/>
        <v>68</v>
      </c>
      <c r="B78" s="253">
        <f t="shared" si="2"/>
        <v>423</v>
      </c>
      <c r="C78" s="253"/>
      <c r="D78" s="139" t="s">
        <v>633</v>
      </c>
      <c r="E78" s="150">
        <v>423</v>
      </c>
      <c r="F78" s="139" t="s">
        <v>2452</v>
      </c>
      <c r="G78" s="142" t="s">
        <v>2231</v>
      </c>
      <c r="H78" s="138" t="s">
        <v>2398</v>
      </c>
    </row>
    <row r="79" spans="1:8" x14ac:dyDescent="0.2">
      <c r="A79" s="253">
        <f t="shared" si="3"/>
        <v>69</v>
      </c>
      <c r="B79" s="253">
        <f t="shared" si="2"/>
        <v>595</v>
      </c>
      <c r="C79" s="253"/>
      <c r="D79" s="139" t="s">
        <v>374</v>
      </c>
      <c r="E79" s="150">
        <v>595</v>
      </c>
      <c r="F79" s="139" t="s">
        <v>2453</v>
      </c>
      <c r="G79" s="142" t="s">
        <v>2231</v>
      </c>
      <c r="H79" s="138" t="s">
        <v>2403</v>
      </c>
    </row>
    <row r="80" spans="1:8" x14ac:dyDescent="0.2">
      <c r="A80" s="253">
        <f t="shared" si="3"/>
        <v>70</v>
      </c>
      <c r="B80" s="253">
        <f t="shared" si="2"/>
        <v>320</v>
      </c>
      <c r="C80" s="253"/>
      <c r="D80" s="139" t="s">
        <v>634</v>
      </c>
      <c r="E80" s="138">
        <v>320</v>
      </c>
      <c r="F80" s="142" t="s">
        <v>2454</v>
      </c>
      <c r="G80" s="142"/>
    </row>
    <row r="81" spans="1:8" x14ac:dyDescent="0.2">
      <c r="A81" s="253">
        <f t="shared" si="3"/>
        <v>71</v>
      </c>
      <c r="B81" s="253">
        <f t="shared" si="2"/>
        <v>428</v>
      </c>
      <c r="C81" s="253"/>
      <c r="D81" s="139" t="s">
        <v>1691</v>
      </c>
      <c r="E81" s="150">
        <v>428</v>
      </c>
      <c r="F81" s="139" t="s">
        <v>2554</v>
      </c>
      <c r="G81" s="142" t="s">
        <v>2231</v>
      </c>
      <c r="H81" s="138" t="s">
        <v>2399</v>
      </c>
    </row>
    <row r="82" spans="1:8" x14ac:dyDescent="0.2">
      <c r="A82" s="253">
        <f t="shared" si="3"/>
        <v>72</v>
      </c>
      <c r="B82" s="253">
        <f t="shared" si="2"/>
        <v>388</v>
      </c>
      <c r="C82" s="253"/>
      <c r="D82" s="139" t="s">
        <v>635</v>
      </c>
      <c r="E82" s="150">
        <v>388</v>
      </c>
      <c r="F82" s="139" t="s">
        <v>2455</v>
      </c>
      <c r="G82" s="142" t="s">
        <v>2231</v>
      </c>
      <c r="H82" s="138" t="s">
        <v>2403</v>
      </c>
    </row>
    <row r="83" spans="1:8" x14ac:dyDescent="0.2">
      <c r="A83" s="253">
        <f t="shared" si="3"/>
        <v>73</v>
      </c>
      <c r="B83" s="253">
        <f t="shared" si="2"/>
        <v>464</v>
      </c>
      <c r="C83" s="253"/>
      <c r="D83" s="139" t="s">
        <v>636</v>
      </c>
      <c r="E83" s="150">
        <v>464</v>
      </c>
      <c r="F83" s="139" t="s">
        <v>2456</v>
      </c>
      <c r="G83" s="142" t="s">
        <v>2231</v>
      </c>
      <c r="H83" s="138" t="s">
        <v>2399</v>
      </c>
    </row>
    <row r="84" spans="1:8" x14ac:dyDescent="0.2">
      <c r="A84" s="253">
        <f t="shared" si="3"/>
        <v>74</v>
      </c>
      <c r="B84" s="253">
        <f t="shared" si="2"/>
        <v>430</v>
      </c>
      <c r="C84" s="253"/>
      <c r="D84" s="139" t="s">
        <v>1175</v>
      </c>
      <c r="E84" s="150">
        <v>430</v>
      </c>
      <c r="F84" s="139" t="s">
        <v>2457</v>
      </c>
      <c r="G84" s="142" t="s">
        <v>2231</v>
      </c>
      <c r="H84" s="138" t="s">
        <v>2399</v>
      </c>
    </row>
    <row r="85" spans="1:8" x14ac:dyDescent="0.2">
      <c r="A85" s="253">
        <f t="shared" si="3"/>
        <v>75</v>
      </c>
      <c r="B85" s="253">
        <f t="shared" si="2"/>
        <v>436</v>
      </c>
      <c r="C85" s="253"/>
      <c r="D85" s="139" t="s">
        <v>1176</v>
      </c>
      <c r="E85" s="150">
        <v>436</v>
      </c>
      <c r="F85" s="139" t="s">
        <v>2458</v>
      </c>
      <c r="G85" s="142" t="s">
        <v>2231</v>
      </c>
      <c r="H85" s="138" t="s">
        <v>2399</v>
      </c>
    </row>
    <row r="86" spans="1:8" x14ac:dyDescent="0.2">
      <c r="A86" s="253">
        <f t="shared" si="3"/>
        <v>76</v>
      </c>
      <c r="B86" s="253">
        <f t="shared" si="2"/>
        <v>441</v>
      </c>
      <c r="C86" s="253"/>
      <c r="D86" s="139" t="s">
        <v>637</v>
      </c>
      <c r="E86" s="150">
        <v>441</v>
      </c>
      <c r="F86" s="139" t="s">
        <v>2459</v>
      </c>
      <c r="G86" s="142" t="s">
        <v>2231</v>
      </c>
      <c r="H86" s="138" t="s">
        <v>2398</v>
      </c>
    </row>
    <row r="87" spans="1:8" x14ac:dyDescent="0.2">
      <c r="A87" s="253">
        <f t="shared" si="3"/>
        <v>77</v>
      </c>
      <c r="B87" s="253">
        <f t="shared" si="2"/>
        <v>443</v>
      </c>
      <c r="C87" s="253"/>
      <c r="D87" s="139" t="s">
        <v>639</v>
      </c>
      <c r="E87" s="150">
        <v>443</v>
      </c>
      <c r="F87" s="139" t="s">
        <v>2461</v>
      </c>
      <c r="G87" s="142" t="s">
        <v>2231</v>
      </c>
      <c r="H87" s="138" t="s">
        <v>2398</v>
      </c>
    </row>
    <row r="88" spans="1:8" x14ac:dyDescent="0.2">
      <c r="A88" s="253">
        <f t="shared" si="3"/>
        <v>78</v>
      </c>
      <c r="B88" s="253">
        <f t="shared" si="2"/>
        <v>447</v>
      </c>
      <c r="C88" s="253"/>
      <c r="D88" s="139" t="s">
        <v>640</v>
      </c>
      <c r="E88" s="138">
        <v>447</v>
      </c>
      <c r="F88" s="142" t="s">
        <v>2462</v>
      </c>
      <c r="G88" s="142"/>
      <c r="H88" s="138" t="s">
        <v>2399</v>
      </c>
    </row>
    <row r="89" spans="1:8" x14ac:dyDescent="0.2">
      <c r="A89" s="253">
        <f t="shared" si="3"/>
        <v>79</v>
      </c>
      <c r="B89" s="253">
        <f t="shared" si="2"/>
        <v>449</v>
      </c>
      <c r="C89" s="253"/>
      <c r="D89" s="139" t="s">
        <v>335</v>
      </c>
      <c r="E89" s="150">
        <v>449</v>
      </c>
      <c r="F89" s="139" t="s">
        <v>2463</v>
      </c>
      <c r="G89" s="142" t="s">
        <v>2231</v>
      </c>
      <c r="H89" s="138" t="s">
        <v>2398</v>
      </c>
    </row>
    <row r="90" spans="1:8" x14ac:dyDescent="0.2">
      <c r="A90" s="253">
        <f t="shared" si="3"/>
        <v>80</v>
      </c>
      <c r="B90" s="253">
        <f t="shared" si="2"/>
        <v>527</v>
      </c>
      <c r="C90" s="253"/>
      <c r="D90" s="139" t="s">
        <v>1798</v>
      </c>
      <c r="E90" s="150">
        <v>527</v>
      </c>
      <c r="F90" s="139" t="s">
        <v>2464</v>
      </c>
      <c r="G90" s="142" t="s">
        <v>2231</v>
      </c>
      <c r="H90" s="138" t="s">
        <v>2398</v>
      </c>
    </row>
    <row r="91" spans="1:8" x14ac:dyDescent="0.2">
      <c r="A91" s="253">
        <f t="shared" si="3"/>
        <v>81</v>
      </c>
      <c r="B91" s="253">
        <f t="shared" si="2"/>
        <v>460</v>
      </c>
      <c r="C91" s="253"/>
      <c r="D91" s="139" t="s">
        <v>336</v>
      </c>
      <c r="E91" s="150">
        <v>460</v>
      </c>
      <c r="F91" s="139" t="s">
        <v>2465</v>
      </c>
      <c r="G91" s="142" t="s">
        <v>2231</v>
      </c>
      <c r="H91" s="138" t="s">
        <v>2398</v>
      </c>
    </row>
    <row r="92" spans="1:8" x14ac:dyDescent="0.2">
      <c r="A92" s="253">
        <f t="shared" si="3"/>
        <v>82</v>
      </c>
      <c r="B92" s="253">
        <f t="shared" si="2"/>
        <v>543</v>
      </c>
      <c r="C92" s="253"/>
      <c r="D92" s="139" t="s">
        <v>1823</v>
      </c>
      <c r="E92" s="150">
        <v>543</v>
      </c>
      <c r="F92" s="139" t="s">
        <v>2466</v>
      </c>
      <c r="G92" s="142" t="s">
        <v>2231</v>
      </c>
      <c r="H92" s="138" t="s">
        <v>2398</v>
      </c>
    </row>
    <row r="93" spans="1:8" x14ac:dyDescent="0.2">
      <c r="A93" s="253">
        <f t="shared" si="3"/>
        <v>83</v>
      </c>
      <c r="B93" s="253">
        <f t="shared" si="2"/>
        <v>544</v>
      </c>
      <c r="C93" s="253"/>
      <c r="D93" s="139" t="s">
        <v>1824</v>
      </c>
      <c r="E93" s="150">
        <v>544</v>
      </c>
      <c r="F93" s="139" t="s">
        <v>2467</v>
      </c>
      <c r="G93" s="142" t="s">
        <v>2231</v>
      </c>
      <c r="H93" s="138" t="s">
        <v>2398</v>
      </c>
    </row>
    <row r="94" spans="1:8" x14ac:dyDescent="0.2">
      <c r="A94" s="253">
        <f t="shared" si="3"/>
        <v>84</v>
      </c>
      <c r="B94" s="253">
        <f t="shared" si="2"/>
        <v>453</v>
      </c>
      <c r="C94" s="253"/>
      <c r="D94" s="139" t="s">
        <v>337</v>
      </c>
      <c r="E94" s="150">
        <v>453</v>
      </c>
      <c r="F94" s="139" t="s">
        <v>2468</v>
      </c>
      <c r="G94" s="142" t="s">
        <v>2231</v>
      </c>
      <c r="H94" s="138" t="s">
        <v>2398</v>
      </c>
    </row>
    <row r="95" spans="1:8" x14ac:dyDescent="0.2">
      <c r="A95" s="253">
        <f t="shared" si="3"/>
        <v>85</v>
      </c>
      <c r="B95" s="253">
        <f t="shared" si="2"/>
        <v>455</v>
      </c>
      <c r="C95" s="253"/>
      <c r="D95" s="139" t="s">
        <v>1011</v>
      </c>
      <c r="E95" s="150">
        <v>455</v>
      </c>
      <c r="F95" s="139" t="s">
        <v>2469</v>
      </c>
      <c r="G95" s="142" t="s">
        <v>2231</v>
      </c>
      <c r="H95" s="138" t="s">
        <v>2398</v>
      </c>
    </row>
    <row r="96" spans="1:8" x14ac:dyDescent="0.2">
      <c r="A96" s="253">
        <f t="shared" si="3"/>
        <v>86</v>
      </c>
      <c r="B96" s="253">
        <f t="shared" si="2"/>
        <v>466</v>
      </c>
      <c r="C96" s="253"/>
      <c r="D96" s="139" t="s">
        <v>1012</v>
      </c>
      <c r="E96" s="138">
        <v>466</v>
      </c>
      <c r="F96" s="142" t="s">
        <v>2470</v>
      </c>
      <c r="G96" s="142"/>
      <c r="H96" s="138" t="s">
        <v>2403</v>
      </c>
    </row>
    <row r="97" spans="1:8" x14ac:dyDescent="0.2">
      <c r="A97" s="253">
        <f t="shared" si="3"/>
        <v>87</v>
      </c>
      <c r="B97" s="253">
        <f t="shared" si="2"/>
        <v>670</v>
      </c>
      <c r="C97" s="253"/>
      <c r="D97" s="139" t="s">
        <v>2803</v>
      </c>
      <c r="E97" s="150">
        <v>670</v>
      </c>
      <c r="F97" s="139" t="s">
        <v>3667</v>
      </c>
      <c r="G97" s="142"/>
      <c r="H97" s="138" t="s">
        <v>2399</v>
      </c>
    </row>
    <row r="98" spans="1:8" x14ac:dyDescent="0.2">
      <c r="A98" s="253">
        <f t="shared" si="3"/>
        <v>88</v>
      </c>
      <c r="B98" s="253">
        <f t="shared" si="2"/>
        <v>468</v>
      </c>
      <c r="C98" s="253"/>
      <c r="D98" s="139" t="s">
        <v>1028</v>
      </c>
      <c r="E98" s="150">
        <v>468</v>
      </c>
      <c r="F98" s="139" t="s">
        <v>2555</v>
      </c>
      <c r="G98" s="142" t="s">
        <v>2231</v>
      </c>
      <c r="H98" s="138" t="s">
        <v>2398</v>
      </c>
    </row>
    <row r="99" spans="1:8" x14ac:dyDescent="0.2">
      <c r="A99" s="253">
        <f t="shared" si="3"/>
        <v>89</v>
      </c>
      <c r="B99" s="253">
        <f t="shared" si="2"/>
        <v>516</v>
      </c>
      <c r="C99" s="253"/>
      <c r="D99" s="139" t="s">
        <v>2229</v>
      </c>
      <c r="E99" s="150">
        <v>516</v>
      </c>
      <c r="F99" s="139" t="s">
        <v>2471</v>
      </c>
      <c r="G99" s="142" t="s">
        <v>2231</v>
      </c>
      <c r="H99" s="138" t="s">
        <v>2398</v>
      </c>
    </row>
    <row r="100" spans="1:8" x14ac:dyDescent="0.2">
      <c r="A100" s="253">
        <f t="shared" si="3"/>
        <v>90</v>
      </c>
      <c r="B100" s="253">
        <f t="shared" si="2"/>
        <v>567</v>
      </c>
      <c r="C100" s="253"/>
      <c r="D100" s="142" t="s">
        <v>3855</v>
      </c>
      <c r="E100" s="150">
        <v>567</v>
      </c>
      <c r="F100" s="139" t="s">
        <v>3858</v>
      </c>
      <c r="G100" s="142"/>
      <c r="H100" s="138" t="s">
        <v>2399</v>
      </c>
    </row>
    <row r="101" spans="1:8" x14ac:dyDescent="0.2">
      <c r="A101" s="253">
        <f t="shared" si="3"/>
        <v>91</v>
      </c>
      <c r="B101" s="253">
        <f t="shared" si="2"/>
        <v>457</v>
      </c>
      <c r="C101" s="253"/>
      <c r="D101" s="139" t="s">
        <v>1029</v>
      </c>
      <c r="E101" s="150">
        <v>457</v>
      </c>
      <c r="F101" s="139" t="s">
        <v>2472</v>
      </c>
      <c r="G101" s="142" t="s">
        <v>2231</v>
      </c>
      <c r="H101" s="138" t="s">
        <v>2398</v>
      </c>
    </row>
    <row r="102" spans="1:8" x14ac:dyDescent="0.2">
      <c r="A102" s="253">
        <f t="shared" si="3"/>
        <v>92</v>
      </c>
      <c r="B102" s="253">
        <f t="shared" si="2"/>
        <v>482</v>
      </c>
      <c r="C102" s="253"/>
      <c r="D102" s="139" t="s">
        <v>1030</v>
      </c>
      <c r="E102" s="150">
        <v>482</v>
      </c>
      <c r="F102" s="139" t="s">
        <v>2473</v>
      </c>
      <c r="G102" s="142"/>
      <c r="H102" s="138" t="s">
        <v>2403</v>
      </c>
    </row>
    <row r="103" spans="1:8" x14ac:dyDescent="0.2">
      <c r="A103" s="253">
        <f t="shared" si="3"/>
        <v>93</v>
      </c>
      <c r="B103" s="253">
        <f t="shared" si="2"/>
        <v>353</v>
      </c>
      <c r="C103" s="253"/>
      <c r="D103" s="139" t="s">
        <v>1031</v>
      </c>
      <c r="E103" s="150">
        <v>353</v>
      </c>
      <c r="F103" s="139" t="s">
        <v>2474</v>
      </c>
      <c r="G103" s="142" t="s">
        <v>2231</v>
      </c>
      <c r="H103" s="138" t="s">
        <v>2399</v>
      </c>
    </row>
    <row r="104" spans="1:8" x14ac:dyDescent="0.2">
      <c r="A104" s="253">
        <f t="shared" si="3"/>
        <v>94</v>
      </c>
      <c r="B104" s="253">
        <f t="shared" si="2"/>
        <v>484</v>
      </c>
      <c r="C104" s="253"/>
      <c r="D104" s="139" t="s">
        <v>1032</v>
      </c>
      <c r="E104" s="150">
        <v>484</v>
      </c>
      <c r="F104" s="139" t="s">
        <v>2475</v>
      </c>
      <c r="G104" s="142" t="s">
        <v>2231</v>
      </c>
      <c r="H104" s="138" t="s">
        <v>2399</v>
      </c>
    </row>
    <row r="105" spans="1:8" x14ac:dyDescent="0.2">
      <c r="A105" s="253">
        <f t="shared" si="3"/>
        <v>95</v>
      </c>
      <c r="B105" s="253">
        <f t="shared" si="2"/>
        <v>379</v>
      </c>
      <c r="C105" s="253"/>
      <c r="D105" s="139" t="s">
        <v>1218</v>
      </c>
      <c r="E105" s="150">
        <v>379</v>
      </c>
      <c r="F105" s="139" t="s">
        <v>2476</v>
      </c>
      <c r="G105" s="142" t="s">
        <v>2231</v>
      </c>
      <c r="H105" s="138" t="s">
        <v>2403</v>
      </c>
    </row>
    <row r="106" spans="1:8" x14ac:dyDescent="0.2">
      <c r="A106" s="253">
        <f t="shared" si="3"/>
        <v>96</v>
      </c>
      <c r="B106" s="253">
        <f t="shared" si="2"/>
        <v>590</v>
      </c>
      <c r="C106" s="253"/>
      <c r="D106" s="139" t="s">
        <v>1596</v>
      </c>
      <c r="E106" s="138">
        <v>590</v>
      </c>
      <c r="F106" s="142" t="s">
        <v>2477</v>
      </c>
      <c r="G106" s="142" t="s">
        <v>2231</v>
      </c>
      <c r="H106" s="138" t="s">
        <v>2399</v>
      </c>
    </row>
    <row r="107" spans="1:8" x14ac:dyDescent="0.2">
      <c r="A107" s="253">
        <f t="shared" si="3"/>
        <v>97</v>
      </c>
      <c r="B107" s="253">
        <f t="shared" si="2"/>
        <v>500</v>
      </c>
      <c r="C107" s="253"/>
      <c r="D107" s="139" t="s">
        <v>1014</v>
      </c>
      <c r="E107" s="150">
        <v>500</v>
      </c>
      <c r="F107" s="139" t="s">
        <v>2478</v>
      </c>
      <c r="G107" s="142" t="s">
        <v>2231</v>
      </c>
      <c r="H107" s="138" t="s">
        <v>2403</v>
      </c>
    </row>
    <row r="108" spans="1:8" x14ac:dyDescent="0.2">
      <c r="A108" s="253">
        <f t="shared" si="3"/>
        <v>98</v>
      </c>
      <c r="B108" s="253">
        <f t="shared" si="2"/>
        <v>319</v>
      </c>
      <c r="C108" s="253"/>
      <c r="D108" s="142" t="s">
        <v>3697</v>
      </c>
      <c r="E108" s="150">
        <v>319</v>
      </c>
      <c r="F108" s="139" t="s">
        <v>3921</v>
      </c>
      <c r="G108" s="142"/>
      <c r="H108" s="138" t="s">
        <v>2399</v>
      </c>
    </row>
    <row r="109" spans="1:8" x14ac:dyDescent="0.2">
      <c r="A109" s="253">
        <f t="shared" si="3"/>
        <v>99</v>
      </c>
      <c r="B109" s="253">
        <f t="shared" si="2"/>
        <v>582</v>
      </c>
      <c r="C109" s="253"/>
      <c r="D109" s="139" t="s">
        <v>1015</v>
      </c>
      <c r="E109" s="150">
        <v>582</v>
      </c>
      <c r="F109" s="139" t="s">
        <v>2479</v>
      </c>
      <c r="G109" s="142" t="s">
        <v>2231</v>
      </c>
      <c r="H109" s="138" t="s">
        <v>2403</v>
      </c>
    </row>
    <row r="110" spans="1:8" x14ac:dyDescent="0.2">
      <c r="A110" s="253">
        <f t="shared" si="3"/>
        <v>100</v>
      </c>
      <c r="B110" s="253">
        <f t="shared" si="2"/>
        <v>378</v>
      </c>
      <c r="C110" s="253"/>
      <c r="D110" s="139" t="s">
        <v>641</v>
      </c>
      <c r="E110" s="150">
        <v>378</v>
      </c>
      <c r="F110" s="139" t="s">
        <v>2480</v>
      </c>
      <c r="G110" s="142" t="s">
        <v>2231</v>
      </c>
      <c r="H110" s="138" t="s">
        <v>2403</v>
      </c>
    </row>
    <row r="111" spans="1:8" x14ac:dyDescent="0.2">
      <c r="A111" s="253">
        <f t="shared" si="3"/>
        <v>101</v>
      </c>
      <c r="B111" s="253" t="str">
        <f t="shared" si="2"/>
        <v>521C</v>
      </c>
      <c r="C111" s="253"/>
      <c r="D111" s="139" t="s">
        <v>642</v>
      </c>
      <c r="E111" s="150" t="s">
        <v>1422</v>
      </c>
      <c r="F111" s="139" t="s">
        <v>2481</v>
      </c>
      <c r="G111" s="142" t="s">
        <v>2231</v>
      </c>
      <c r="H111" s="138" t="s">
        <v>2399</v>
      </c>
    </row>
    <row r="112" spans="1:8" x14ac:dyDescent="0.2">
      <c r="A112" s="253">
        <f t="shared" si="3"/>
        <v>102</v>
      </c>
      <c r="B112" s="253" t="str">
        <f t="shared" si="2"/>
        <v>521D</v>
      </c>
      <c r="C112" s="253"/>
      <c r="D112" s="139" t="s">
        <v>643</v>
      </c>
      <c r="E112" s="150" t="s">
        <v>766</v>
      </c>
      <c r="F112" s="139" t="s">
        <v>2482</v>
      </c>
      <c r="G112" s="142" t="s">
        <v>2231</v>
      </c>
      <c r="H112" s="138" t="s">
        <v>2398</v>
      </c>
    </row>
    <row r="113" spans="1:8" x14ac:dyDescent="0.2">
      <c r="A113" s="253">
        <f t="shared" si="3"/>
        <v>103</v>
      </c>
      <c r="B113" s="253" t="str">
        <f t="shared" si="2"/>
        <v>521A</v>
      </c>
      <c r="C113" s="253"/>
      <c r="D113" s="139" t="s">
        <v>644</v>
      </c>
      <c r="E113" s="150" t="s">
        <v>1420</v>
      </c>
      <c r="F113" s="139" t="s">
        <v>2483</v>
      </c>
      <c r="G113" s="142"/>
      <c r="H113" s="138" t="s">
        <v>2399</v>
      </c>
    </row>
    <row r="114" spans="1:8" x14ac:dyDescent="0.2">
      <c r="A114" s="253">
        <f t="shared" si="3"/>
        <v>104</v>
      </c>
      <c r="B114" s="253" t="str">
        <f t="shared" si="2"/>
        <v>521B</v>
      </c>
      <c r="C114" s="253"/>
      <c r="D114" s="139" t="s">
        <v>645</v>
      </c>
      <c r="E114" s="150" t="s">
        <v>1421</v>
      </c>
      <c r="F114" s="142" t="s">
        <v>2484</v>
      </c>
      <c r="G114" s="142" t="s">
        <v>2231</v>
      </c>
      <c r="H114" s="138" t="s">
        <v>2399</v>
      </c>
    </row>
    <row r="115" spans="1:8" x14ac:dyDescent="0.2">
      <c r="A115" s="253">
        <f t="shared" si="3"/>
        <v>105</v>
      </c>
      <c r="B115" s="253">
        <f t="shared" si="2"/>
        <v>462</v>
      </c>
      <c r="C115" s="253"/>
      <c r="D115" s="139" t="s">
        <v>646</v>
      </c>
      <c r="E115" s="150">
        <v>462</v>
      </c>
      <c r="F115" s="139" t="s">
        <v>2485</v>
      </c>
      <c r="G115" s="142" t="s">
        <v>2231</v>
      </c>
      <c r="H115" s="138" t="s">
        <v>2398</v>
      </c>
    </row>
    <row r="116" spans="1:8" x14ac:dyDescent="0.2">
      <c r="A116" s="253">
        <f t="shared" si="3"/>
        <v>106</v>
      </c>
      <c r="B116" s="253">
        <f t="shared" si="2"/>
        <v>338</v>
      </c>
      <c r="C116" s="253"/>
      <c r="D116" s="139" t="s">
        <v>647</v>
      </c>
      <c r="E116" s="150">
        <v>338</v>
      </c>
      <c r="F116" s="139" t="s">
        <v>2486</v>
      </c>
      <c r="G116" s="142"/>
      <c r="H116" s="138" t="s">
        <v>2399</v>
      </c>
    </row>
    <row r="117" spans="1:8" x14ac:dyDescent="0.2">
      <c r="A117" s="253">
        <f t="shared" si="3"/>
        <v>107</v>
      </c>
      <c r="B117" s="253">
        <f t="shared" si="2"/>
        <v>528</v>
      </c>
      <c r="C117" s="253"/>
      <c r="D117" s="139" t="s">
        <v>648</v>
      </c>
      <c r="E117" s="150">
        <v>528</v>
      </c>
      <c r="F117" s="139" t="s">
        <v>2487</v>
      </c>
      <c r="G117" s="142" t="s">
        <v>2231</v>
      </c>
      <c r="H117" s="138" t="s">
        <v>2403</v>
      </c>
    </row>
    <row r="118" spans="1:8" x14ac:dyDescent="0.2">
      <c r="A118" s="253">
        <f t="shared" si="3"/>
        <v>108</v>
      </c>
      <c r="B118" s="253">
        <f t="shared" si="2"/>
        <v>533</v>
      </c>
      <c r="C118" s="253"/>
      <c r="D118" s="139" t="s">
        <v>649</v>
      </c>
      <c r="E118" s="150">
        <v>533</v>
      </c>
      <c r="F118" s="139" t="s">
        <v>2488</v>
      </c>
      <c r="G118" s="142" t="s">
        <v>2231</v>
      </c>
      <c r="H118" s="138" t="s">
        <v>2403</v>
      </c>
    </row>
    <row r="119" spans="1:8" x14ac:dyDescent="0.2">
      <c r="A119" s="253">
        <f t="shared" si="3"/>
        <v>109</v>
      </c>
      <c r="B119" s="253">
        <f t="shared" si="2"/>
        <v>550</v>
      </c>
      <c r="C119" s="253"/>
      <c r="D119" s="139" t="s">
        <v>650</v>
      </c>
      <c r="E119" s="150">
        <v>550</v>
      </c>
      <c r="F119" s="139" t="s">
        <v>2489</v>
      </c>
      <c r="G119" s="142" t="s">
        <v>2231</v>
      </c>
      <c r="H119" s="138" t="s">
        <v>2403</v>
      </c>
    </row>
    <row r="120" spans="1:8" x14ac:dyDescent="0.2">
      <c r="A120" s="253">
        <f t="shared" si="3"/>
        <v>110</v>
      </c>
      <c r="B120" s="253">
        <f t="shared" si="2"/>
        <v>562</v>
      </c>
      <c r="C120" s="253"/>
      <c r="D120" s="139" t="s">
        <v>651</v>
      </c>
      <c r="E120" s="150">
        <v>562</v>
      </c>
      <c r="F120" s="139" t="s">
        <v>2490</v>
      </c>
      <c r="G120" s="142" t="s">
        <v>2231</v>
      </c>
      <c r="H120" s="138" t="s">
        <v>2398</v>
      </c>
    </row>
    <row r="121" spans="1:8" x14ac:dyDescent="0.2">
      <c r="A121" s="253">
        <f t="shared" si="3"/>
        <v>111</v>
      </c>
      <c r="B121" s="253">
        <f t="shared" si="2"/>
        <v>566</v>
      </c>
      <c r="C121" s="253"/>
      <c r="D121" s="139" t="s">
        <v>652</v>
      </c>
      <c r="E121" s="150">
        <v>566</v>
      </c>
      <c r="F121" s="139" t="s">
        <v>2491</v>
      </c>
      <c r="G121" s="142" t="s">
        <v>2231</v>
      </c>
      <c r="H121" s="138" t="s">
        <v>2403</v>
      </c>
    </row>
    <row r="122" spans="1:8" x14ac:dyDescent="0.2">
      <c r="A122" s="253">
        <f t="shared" si="3"/>
        <v>112</v>
      </c>
      <c r="B122" s="253">
        <f t="shared" si="2"/>
        <v>329</v>
      </c>
      <c r="C122" s="253"/>
      <c r="D122" s="139" t="s">
        <v>3711</v>
      </c>
      <c r="E122" s="150">
        <v>329</v>
      </c>
      <c r="F122" s="139" t="s">
        <v>2493</v>
      </c>
      <c r="G122" s="142" t="s">
        <v>2231</v>
      </c>
      <c r="H122" s="138" t="s">
        <v>2398</v>
      </c>
    </row>
    <row r="123" spans="1:8" x14ac:dyDescent="0.2">
      <c r="A123" s="253">
        <f t="shared" si="3"/>
        <v>113</v>
      </c>
      <c r="B123" s="253">
        <f t="shared" si="2"/>
        <v>345</v>
      </c>
      <c r="C123" s="253"/>
      <c r="D123" s="139" t="s">
        <v>3712</v>
      </c>
      <c r="E123" s="150">
        <v>345</v>
      </c>
      <c r="F123" s="139" t="s">
        <v>2492</v>
      </c>
      <c r="G123" s="142" t="s">
        <v>2231</v>
      </c>
      <c r="H123" s="138" t="s">
        <v>2403</v>
      </c>
    </row>
    <row r="124" spans="1:8" x14ac:dyDescent="0.2">
      <c r="A124" s="253">
        <f t="shared" si="3"/>
        <v>114</v>
      </c>
      <c r="B124" s="253">
        <f t="shared" si="2"/>
        <v>643</v>
      </c>
      <c r="C124" s="253"/>
      <c r="D124" s="139" t="s">
        <v>47</v>
      </c>
      <c r="E124" s="150">
        <v>643</v>
      </c>
      <c r="F124" s="139" t="s">
        <v>2494</v>
      </c>
      <c r="G124" s="142"/>
      <c r="H124" s="138" t="s">
        <v>2399</v>
      </c>
    </row>
    <row r="125" spans="1:8" x14ac:dyDescent="0.2">
      <c r="A125" s="253">
        <f t="shared" si="3"/>
        <v>115</v>
      </c>
      <c r="B125" s="253">
        <f t="shared" si="2"/>
        <v>391</v>
      </c>
      <c r="C125" s="253"/>
      <c r="D125" s="139" t="s">
        <v>48</v>
      </c>
      <c r="E125" s="150">
        <v>391</v>
      </c>
      <c r="F125" s="139" t="s">
        <v>2495</v>
      </c>
      <c r="G125" s="142" t="s">
        <v>2231</v>
      </c>
      <c r="H125" s="138" t="s">
        <v>2399</v>
      </c>
    </row>
    <row r="126" spans="1:8" x14ac:dyDescent="0.2">
      <c r="A126" s="253">
        <f t="shared" si="3"/>
        <v>116</v>
      </c>
      <c r="B126" s="253">
        <f t="shared" si="2"/>
        <v>390</v>
      </c>
      <c r="C126" s="253"/>
      <c r="D126" s="139" t="s">
        <v>49</v>
      </c>
      <c r="E126" s="150">
        <v>390</v>
      </c>
      <c r="F126" s="139" t="s">
        <v>2496</v>
      </c>
      <c r="G126" s="142" t="s">
        <v>2231</v>
      </c>
      <c r="H126" s="138" t="s">
        <v>2399</v>
      </c>
    </row>
    <row r="127" spans="1:8" x14ac:dyDescent="0.2">
      <c r="A127" s="253">
        <f t="shared" si="3"/>
        <v>117</v>
      </c>
      <c r="B127" s="253">
        <f t="shared" si="2"/>
        <v>654</v>
      </c>
      <c r="C127" s="253"/>
      <c r="D127" s="139" t="s">
        <v>479</v>
      </c>
      <c r="E127" s="150">
        <v>654</v>
      </c>
      <c r="F127" s="139" t="s">
        <v>2497</v>
      </c>
      <c r="G127" s="142" t="s">
        <v>2231</v>
      </c>
      <c r="H127" s="138" t="s">
        <v>2399</v>
      </c>
    </row>
    <row r="128" spans="1:8" x14ac:dyDescent="0.2">
      <c r="A128" s="253">
        <f t="shared" si="3"/>
        <v>118</v>
      </c>
      <c r="B128" s="253">
        <f t="shared" si="2"/>
        <v>555</v>
      </c>
      <c r="C128" s="253"/>
      <c r="D128" s="139" t="s">
        <v>50</v>
      </c>
      <c r="E128" s="150">
        <v>555</v>
      </c>
      <c r="F128" s="139" t="s">
        <v>2498</v>
      </c>
      <c r="G128" s="142" t="s">
        <v>2231</v>
      </c>
      <c r="H128" s="138" t="s">
        <v>2399</v>
      </c>
    </row>
    <row r="129" spans="1:8" x14ac:dyDescent="0.2">
      <c r="A129" s="253">
        <f t="shared" si="3"/>
        <v>119</v>
      </c>
      <c r="B129" s="253">
        <f t="shared" si="2"/>
        <v>558</v>
      </c>
      <c r="C129" s="253"/>
      <c r="D129" s="139" t="s">
        <v>51</v>
      </c>
      <c r="E129" s="150">
        <v>558</v>
      </c>
      <c r="F129" s="139" t="s">
        <v>2499</v>
      </c>
      <c r="G129" s="142" t="s">
        <v>2231</v>
      </c>
      <c r="H129" s="138" t="s">
        <v>2403</v>
      </c>
    </row>
    <row r="130" spans="1:8" x14ac:dyDescent="0.2">
      <c r="A130" s="253">
        <f t="shared" si="3"/>
        <v>120</v>
      </c>
      <c r="B130" s="253">
        <f t="shared" si="2"/>
        <v>367</v>
      </c>
      <c r="C130" s="253"/>
      <c r="D130" s="139" t="s">
        <v>1521</v>
      </c>
      <c r="E130" s="150">
        <v>367</v>
      </c>
      <c r="F130" s="139" t="s">
        <v>2500</v>
      </c>
      <c r="G130" s="142" t="s">
        <v>2231</v>
      </c>
      <c r="H130" s="138" t="s">
        <v>2403</v>
      </c>
    </row>
    <row r="131" spans="1:8" x14ac:dyDescent="0.2">
      <c r="A131" s="253">
        <f t="shared" si="3"/>
        <v>121</v>
      </c>
      <c r="B131" s="253">
        <f t="shared" si="2"/>
        <v>557</v>
      </c>
      <c r="C131" s="253"/>
      <c r="D131" s="139" t="s">
        <v>52</v>
      </c>
      <c r="E131" s="138">
        <v>557</v>
      </c>
      <c r="F131" s="139" t="s">
        <v>2501</v>
      </c>
      <c r="G131" s="142"/>
      <c r="H131" s="138" t="s">
        <v>2403</v>
      </c>
    </row>
    <row r="132" spans="1:8" x14ac:dyDescent="0.2">
      <c r="A132" s="253">
        <f t="shared" si="3"/>
        <v>122</v>
      </c>
      <c r="B132" s="253">
        <f t="shared" si="2"/>
        <v>610</v>
      </c>
      <c r="C132" s="253"/>
      <c r="D132" s="139" t="s">
        <v>53</v>
      </c>
      <c r="E132" s="150">
        <v>610</v>
      </c>
      <c r="F132" s="139" t="s">
        <v>2502</v>
      </c>
      <c r="G132" s="142" t="s">
        <v>2231</v>
      </c>
      <c r="H132" s="138" t="s">
        <v>2399</v>
      </c>
    </row>
    <row r="133" spans="1:8" x14ac:dyDescent="0.2">
      <c r="A133" s="253">
        <f t="shared" si="3"/>
        <v>123</v>
      </c>
      <c r="B133" s="253">
        <f t="shared" si="2"/>
        <v>350</v>
      </c>
      <c r="C133" s="253"/>
      <c r="D133" s="139" t="s">
        <v>54</v>
      </c>
      <c r="E133" s="150">
        <v>350</v>
      </c>
      <c r="F133" s="139" t="s">
        <v>2503</v>
      </c>
      <c r="G133" s="142" t="s">
        <v>2231</v>
      </c>
      <c r="H133" s="138" t="s">
        <v>2403</v>
      </c>
    </row>
    <row r="134" spans="1:8" x14ac:dyDescent="0.2">
      <c r="A134" s="253">
        <f t="shared" si="3"/>
        <v>124</v>
      </c>
      <c r="B134" s="253">
        <f t="shared" si="2"/>
        <v>646</v>
      </c>
      <c r="C134" s="253"/>
      <c r="D134" s="139" t="s">
        <v>349</v>
      </c>
      <c r="E134" s="150">
        <v>646</v>
      </c>
      <c r="F134" s="139" t="s">
        <v>2504</v>
      </c>
      <c r="G134" s="142" t="s">
        <v>2231</v>
      </c>
      <c r="H134" s="138" t="s">
        <v>2403</v>
      </c>
    </row>
    <row r="135" spans="1:8" x14ac:dyDescent="0.2">
      <c r="A135" s="253">
        <f t="shared" si="3"/>
        <v>125</v>
      </c>
      <c r="B135" s="253">
        <f t="shared" si="2"/>
        <v>318</v>
      </c>
      <c r="C135" s="253"/>
      <c r="D135" s="139" t="s">
        <v>3700</v>
      </c>
      <c r="E135" s="150">
        <v>318</v>
      </c>
      <c r="F135" s="139" t="s">
        <v>3922</v>
      </c>
      <c r="G135" s="142"/>
      <c r="H135" s="138" t="s">
        <v>2399</v>
      </c>
    </row>
    <row r="136" spans="1:8" x14ac:dyDescent="0.2">
      <c r="A136" s="253">
        <f t="shared" si="3"/>
        <v>126</v>
      </c>
      <c r="B136" s="253">
        <f t="shared" si="2"/>
        <v>381</v>
      </c>
      <c r="C136" s="253"/>
      <c r="D136" s="139" t="s">
        <v>350</v>
      </c>
      <c r="E136" s="150">
        <v>381</v>
      </c>
      <c r="F136" s="139" t="s">
        <v>2505</v>
      </c>
      <c r="G136" s="142" t="s">
        <v>2231</v>
      </c>
      <c r="H136" s="138" t="s">
        <v>2403</v>
      </c>
    </row>
    <row r="137" spans="1:8" x14ac:dyDescent="0.2">
      <c r="A137" s="253">
        <f t="shared" si="3"/>
        <v>127</v>
      </c>
      <c r="B137" s="253">
        <f t="shared" si="2"/>
        <v>572</v>
      </c>
      <c r="C137" s="253"/>
      <c r="D137" s="139" t="s">
        <v>352</v>
      </c>
      <c r="E137" s="150">
        <v>572</v>
      </c>
      <c r="F137" s="139" t="s">
        <v>2507</v>
      </c>
      <c r="G137" s="142"/>
      <c r="H137" s="138" t="s">
        <v>2399</v>
      </c>
    </row>
    <row r="138" spans="1:8" x14ac:dyDescent="0.2">
      <c r="A138" s="253">
        <f t="shared" si="3"/>
        <v>128</v>
      </c>
      <c r="B138" s="253">
        <f t="shared" si="2"/>
        <v>574</v>
      </c>
      <c r="C138" s="253"/>
      <c r="D138" s="139" t="s">
        <v>353</v>
      </c>
      <c r="E138" s="138">
        <v>574</v>
      </c>
      <c r="F138" s="142" t="s">
        <v>2508</v>
      </c>
      <c r="G138" s="142"/>
      <c r="H138" s="138" t="s">
        <v>2399</v>
      </c>
    </row>
    <row r="139" spans="1:8" x14ac:dyDescent="0.2">
      <c r="A139" s="253">
        <f t="shared" si="3"/>
        <v>129</v>
      </c>
      <c r="B139" s="253">
        <f t="shared" ref="B139:B160" si="4">+E139</f>
        <v>442</v>
      </c>
      <c r="C139" s="253"/>
      <c r="D139" s="139" t="s">
        <v>3881</v>
      </c>
      <c r="E139" s="150">
        <v>442</v>
      </c>
      <c r="F139" s="139" t="s">
        <v>2460</v>
      </c>
      <c r="G139" s="142" t="s">
        <v>2231</v>
      </c>
      <c r="H139" s="138" t="s">
        <v>2398</v>
      </c>
    </row>
    <row r="140" spans="1:8" x14ac:dyDescent="0.2">
      <c r="A140" s="253">
        <f t="shared" si="3"/>
        <v>130</v>
      </c>
      <c r="B140" s="253">
        <f t="shared" si="4"/>
        <v>570</v>
      </c>
      <c r="C140" s="253"/>
      <c r="D140" s="139" t="s">
        <v>1522</v>
      </c>
      <c r="E140" s="138">
        <v>570</v>
      </c>
      <c r="F140" s="142" t="s">
        <v>2509</v>
      </c>
      <c r="G140" s="142"/>
      <c r="H140" s="138" t="s">
        <v>2398</v>
      </c>
    </row>
    <row r="141" spans="1:8" x14ac:dyDescent="0.2">
      <c r="A141" s="253">
        <f t="shared" ref="A141:A186" si="5">+A140+1</f>
        <v>131</v>
      </c>
      <c r="B141" s="253">
        <f t="shared" si="4"/>
        <v>580</v>
      </c>
      <c r="C141" s="253"/>
      <c r="D141" s="139" t="s">
        <v>356</v>
      </c>
      <c r="E141" s="150">
        <v>580</v>
      </c>
      <c r="F141" s="152" t="s">
        <v>2510</v>
      </c>
      <c r="G141" s="142"/>
      <c r="H141" s="138" t="s">
        <v>2398</v>
      </c>
    </row>
    <row r="142" spans="1:8" x14ac:dyDescent="0.2">
      <c r="A142" s="253">
        <f t="shared" si="5"/>
        <v>132</v>
      </c>
      <c r="B142" s="253">
        <f t="shared" si="4"/>
        <v>578</v>
      </c>
      <c r="C142" s="253"/>
      <c r="D142" s="139" t="s">
        <v>354</v>
      </c>
      <c r="E142" s="150">
        <v>578</v>
      </c>
      <c r="F142" s="152" t="s">
        <v>2511</v>
      </c>
      <c r="G142" s="142" t="s">
        <v>2231</v>
      </c>
      <c r="H142" s="138" t="s">
        <v>2403</v>
      </c>
    </row>
    <row r="143" spans="1:8" x14ac:dyDescent="0.2">
      <c r="A143" s="253">
        <f t="shared" si="5"/>
        <v>133</v>
      </c>
      <c r="B143" s="253">
        <f t="shared" si="4"/>
        <v>395</v>
      </c>
      <c r="C143" s="253"/>
      <c r="D143" s="139" t="s">
        <v>355</v>
      </c>
      <c r="E143" s="150">
        <v>395</v>
      </c>
      <c r="F143" s="139" t="s">
        <v>2512</v>
      </c>
      <c r="G143" s="142" t="s">
        <v>2231</v>
      </c>
      <c r="H143" s="138" t="s">
        <v>2403</v>
      </c>
    </row>
    <row r="144" spans="1:8" x14ac:dyDescent="0.2">
      <c r="A144" s="253">
        <f t="shared" si="5"/>
        <v>134</v>
      </c>
      <c r="B144" s="253">
        <f t="shared" si="4"/>
        <v>586</v>
      </c>
      <c r="C144" s="253"/>
      <c r="D144" s="139" t="s">
        <v>2757</v>
      </c>
      <c r="E144" s="150">
        <v>586</v>
      </c>
      <c r="F144" s="139" t="s">
        <v>2513</v>
      </c>
      <c r="G144" s="142" t="s">
        <v>2231</v>
      </c>
      <c r="H144" s="138" t="s">
        <v>2403</v>
      </c>
    </row>
    <row r="145" spans="1:8" x14ac:dyDescent="0.2">
      <c r="A145" s="253">
        <f t="shared" si="5"/>
        <v>135</v>
      </c>
      <c r="B145" s="253">
        <f t="shared" si="4"/>
        <v>587</v>
      </c>
      <c r="C145" s="253"/>
      <c r="D145" s="139" t="s">
        <v>358</v>
      </c>
      <c r="E145" s="150">
        <v>587</v>
      </c>
      <c r="F145" s="139" t="s">
        <v>2514</v>
      </c>
      <c r="G145" s="142" t="s">
        <v>2231</v>
      </c>
      <c r="H145" s="138" t="s">
        <v>2403</v>
      </c>
    </row>
    <row r="146" spans="1:8" x14ac:dyDescent="0.2">
      <c r="A146" s="253">
        <f t="shared" si="5"/>
        <v>136</v>
      </c>
      <c r="B146" s="253">
        <f t="shared" si="4"/>
        <v>649</v>
      </c>
      <c r="C146" s="253"/>
      <c r="D146" s="139" t="s">
        <v>3871</v>
      </c>
      <c r="E146" s="150">
        <v>649</v>
      </c>
      <c r="F146" s="139" t="s">
        <v>3923</v>
      </c>
      <c r="G146" s="142"/>
      <c r="H146" s="138" t="s">
        <v>2399</v>
      </c>
    </row>
    <row r="147" spans="1:8" x14ac:dyDescent="0.2">
      <c r="A147" s="253">
        <f t="shared" si="5"/>
        <v>137</v>
      </c>
      <c r="B147" s="253">
        <f t="shared" si="4"/>
        <v>606</v>
      </c>
      <c r="C147" s="253"/>
      <c r="D147" s="139" t="s">
        <v>359</v>
      </c>
      <c r="E147" s="150">
        <v>606</v>
      </c>
      <c r="F147" s="139" t="s">
        <v>2515</v>
      </c>
      <c r="G147" s="142" t="s">
        <v>2231</v>
      </c>
      <c r="H147" s="138" t="s">
        <v>2398</v>
      </c>
    </row>
    <row r="148" spans="1:8" x14ac:dyDescent="0.2">
      <c r="A148" s="253">
        <f t="shared" si="5"/>
        <v>138</v>
      </c>
      <c r="B148" s="253">
        <f t="shared" si="4"/>
        <v>607</v>
      </c>
      <c r="C148" s="253"/>
      <c r="D148" s="139" t="s">
        <v>360</v>
      </c>
      <c r="E148" s="150">
        <v>607</v>
      </c>
      <c r="F148" s="139" t="s">
        <v>2517</v>
      </c>
      <c r="G148" s="142" t="s">
        <v>2231</v>
      </c>
      <c r="H148" s="138" t="s">
        <v>2399</v>
      </c>
    </row>
    <row r="149" spans="1:8" x14ac:dyDescent="0.2">
      <c r="A149" s="253">
        <f t="shared" si="5"/>
        <v>139</v>
      </c>
      <c r="B149" s="253">
        <f t="shared" si="4"/>
        <v>608</v>
      </c>
      <c r="C149" s="253"/>
      <c r="D149" s="139" t="s">
        <v>361</v>
      </c>
      <c r="E149" s="150">
        <v>608</v>
      </c>
      <c r="F149" s="139" t="s">
        <v>2518</v>
      </c>
      <c r="G149" s="142" t="s">
        <v>2231</v>
      </c>
      <c r="H149" s="138" t="s">
        <v>2403</v>
      </c>
    </row>
    <row r="150" spans="1:8" x14ac:dyDescent="0.2">
      <c r="A150" s="253">
        <f t="shared" si="5"/>
        <v>140</v>
      </c>
      <c r="B150" s="253">
        <f t="shared" si="4"/>
        <v>609</v>
      </c>
      <c r="C150" s="253"/>
      <c r="D150" s="139" t="s">
        <v>362</v>
      </c>
      <c r="E150" s="150">
        <v>609</v>
      </c>
      <c r="F150" s="139" t="s">
        <v>2516</v>
      </c>
      <c r="G150" s="142" t="s">
        <v>2231</v>
      </c>
      <c r="H150" s="138" t="s">
        <v>2399</v>
      </c>
    </row>
    <row r="151" spans="1:8" x14ac:dyDescent="0.2">
      <c r="A151" s="253">
        <f t="shared" si="5"/>
        <v>141</v>
      </c>
      <c r="B151" s="253">
        <f t="shared" si="4"/>
        <v>600</v>
      </c>
      <c r="C151" s="253"/>
      <c r="D151" s="139" t="s">
        <v>363</v>
      </c>
      <c r="E151" s="150">
        <v>600</v>
      </c>
      <c r="F151" s="139" t="s">
        <v>2520</v>
      </c>
      <c r="G151" s="142" t="s">
        <v>2231</v>
      </c>
      <c r="H151" s="138" t="s">
        <v>2403</v>
      </c>
    </row>
    <row r="152" spans="1:8" x14ac:dyDescent="0.2">
      <c r="A152" s="253">
        <f t="shared" si="5"/>
        <v>142</v>
      </c>
      <c r="B152" s="253">
        <f t="shared" si="4"/>
        <v>568</v>
      </c>
      <c r="C152" s="253"/>
      <c r="D152" s="142" t="s">
        <v>1016</v>
      </c>
      <c r="E152" s="150">
        <v>568</v>
      </c>
      <c r="F152" s="139" t="s">
        <v>2519</v>
      </c>
      <c r="G152" s="142" t="s">
        <v>2231</v>
      </c>
      <c r="H152" s="138" t="s">
        <v>2399</v>
      </c>
    </row>
    <row r="153" spans="1:8" x14ac:dyDescent="0.2">
      <c r="A153" s="253">
        <f t="shared" si="5"/>
        <v>143</v>
      </c>
      <c r="B153" s="253">
        <f t="shared" si="4"/>
        <v>612</v>
      </c>
      <c r="C153" s="253"/>
      <c r="D153" s="139" t="s">
        <v>364</v>
      </c>
      <c r="E153" s="150">
        <v>612</v>
      </c>
      <c r="F153" s="139" t="s">
        <v>2521</v>
      </c>
      <c r="G153" s="142" t="s">
        <v>2231</v>
      </c>
      <c r="H153" s="138" t="s">
        <v>2403</v>
      </c>
    </row>
    <row r="154" spans="1:8" x14ac:dyDescent="0.2">
      <c r="A154" s="253">
        <f t="shared" si="5"/>
        <v>144</v>
      </c>
      <c r="B154" s="253">
        <f t="shared" si="4"/>
        <v>490</v>
      </c>
      <c r="C154" s="253"/>
      <c r="D154" s="139" t="s">
        <v>1394</v>
      </c>
      <c r="E154" s="150">
        <v>490</v>
      </c>
      <c r="F154" s="139" t="s">
        <v>2523</v>
      </c>
      <c r="G154" s="142" t="s">
        <v>2231</v>
      </c>
      <c r="H154" s="138" t="s">
        <v>2399</v>
      </c>
    </row>
    <row r="155" spans="1:8" x14ac:dyDescent="0.2">
      <c r="A155" s="253">
        <f t="shared" si="5"/>
        <v>145</v>
      </c>
      <c r="B155" s="253">
        <f t="shared" si="4"/>
        <v>660</v>
      </c>
      <c r="C155" s="253"/>
      <c r="D155" s="139" t="s">
        <v>365</v>
      </c>
      <c r="E155" s="150">
        <v>660</v>
      </c>
      <c r="F155" s="139" t="s">
        <v>2522</v>
      </c>
      <c r="G155" s="142" t="s">
        <v>2231</v>
      </c>
      <c r="H155" s="138" t="s">
        <v>2398</v>
      </c>
    </row>
    <row r="156" spans="1:8" x14ac:dyDescent="0.2">
      <c r="A156" s="253">
        <f t="shared" si="5"/>
        <v>146</v>
      </c>
      <c r="B156" s="253">
        <f t="shared" si="4"/>
        <v>620</v>
      </c>
      <c r="C156" s="253"/>
      <c r="D156" s="139" t="s">
        <v>1395</v>
      </c>
      <c r="E156" s="150">
        <v>620</v>
      </c>
      <c r="F156" s="139" t="s">
        <v>2524</v>
      </c>
      <c r="G156" s="142" t="s">
        <v>2231</v>
      </c>
      <c r="H156" s="138" t="s">
        <v>2398</v>
      </c>
    </row>
    <row r="157" spans="1:8" x14ac:dyDescent="0.2">
      <c r="A157" s="253">
        <f t="shared" si="5"/>
        <v>147</v>
      </c>
      <c r="B157" s="253">
        <f t="shared" si="4"/>
        <v>645</v>
      </c>
      <c r="C157" s="253"/>
      <c r="D157" s="139" t="s">
        <v>268</v>
      </c>
      <c r="E157" s="150">
        <v>645</v>
      </c>
      <c r="F157" s="139" t="s">
        <v>2525</v>
      </c>
      <c r="G157" s="142" t="s">
        <v>2231</v>
      </c>
      <c r="H157" s="138" t="s">
        <v>2403</v>
      </c>
    </row>
    <row r="158" spans="1:8" x14ac:dyDescent="0.2">
      <c r="A158" s="253">
        <f t="shared" si="5"/>
        <v>148</v>
      </c>
      <c r="B158" s="253">
        <f t="shared" si="4"/>
        <v>635</v>
      </c>
      <c r="C158" s="253"/>
      <c r="D158" s="139" t="s">
        <v>14</v>
      </c>
      <c r="E158" s="150">
        <v>635</v>
      </c>
      <c r="F158" s="139" t="s">
        <v>2526</v>
      </c>
      <c r="G158" s="142" t="s">
        <v>2231</v>
      </c>
      <c r="H158" s="138" t="s">
        <v>2398</v>
      </c>
    </row>
    <row r="159" spans="1:8" x14ac:dyDescent="0.2">
      <c r="A159" s="253">
        <f t="shared" si="5"/>
        <v>149</v>
      </c>
      <c r="B159" s="253">
        <f t="shared" si="4"/>
        <v>601</v>
      </c>
      <c r="C159" s="253"/>
      <c r="D159" s="139" t="s">
        <v>1147</v>
      </c>
      <c r="E159" s="150">
        <v>601</v>
      </c>
      <c r="F159" s="139" t="s">
        <v>2527</v>
      </c>
      <c r="G159" s="142" t="s">
        <v>2231</v>
      </c>
      <c r="H159" s="138" t="s">
        <v>2403</v>
      </c>
    </row>
    <row r="160" spans="1:8" x14ac:dyDescent="0.2">
      <c r="A160" s="253">
        <f t="shared" si="5"/>
        <v>150</v>
      </c>
      <c r="B160" s="253">
        <f t="shared" si="4"/>
        <v>630</v>
      </c>
      <c r="C160" s="253"/>
      <c r="D160" s="139" t="s">
        <v>1148</v>
      </c>
      <c r="E160" s="150">
        <v>630</v>
      </c>
      <c r="F160" s="139" t="s">
        <v>2528</v>
      </c>
      <c r="G160" s="142" t="s">
        <v>2231</v>
      </c>
      <c r="H160" s="138" t="s">
        <v>2399</v>
      </c>
    </row>
    <row r="161" spans="1:8" x14ac:dyDescent="0.2">
      <c r="A161" s="253">
        <f t="shared" si="5"/>
        <v>151</v>
      </c>
      <c r="B161" s="253">
        <f t="shared" ref="B161:B165" si="6">+E161</f>
        <v>360</v>
      </c>
      <c r="C161" s="253"/>
      <c r="D161" s="139" t="s">
        <v>1782</v>
      </c>
      <c r="E161" s="150">
        <v>360</v>
      </c>
      <c r="F161" s="139" t="s">
        <v>2529</v>
      </c>
      <c r="G161" s="142" t="s">
        <v>2231</v>
      </c>
      <c r="H161" s="138" t="s">
        <v>2398</v>
      </c>
    </row>
    <row r="162" spans="1:8" x14ac:dyDescent="0.2">
      <c r="A162" s="253">
        <f t="shared" si="5"/>
        <v>152</v>
      </c>
      <c r="B162" s="253">
        <f t="shared" si="6"/>
        <v>321</v>
      </c>
      <c r="C162" s="253"/>
      <c r="D162" s="139" t="s">
        <v>3902</v>
      </c>
      <c r="E162" s="150">
        <v>321</v>
      </c>
      <c r="F162" s="139" t="s">
        <v>3935</v>
      </c>
      <c r="G162" s="142"/>
      <c r="H162" s="138" t="s">
        <v>3934</v>
      </c>
    </row>
    <row r="163" spans="1:8" x14ac:dyDescent="0.2">
      <c r="A163" s="253">
        <f t="shared" si="5"/>
        <v>153</v>
      </c>
      <c r="B163" s="253">
        <f t="shared" si="6"/>
        <v>633</v>
      </c>
      <c r="C163" s="253"/>
      <c r="D163" s="139" t="s">
        <v>1973</v>
      </c>
      <c r="E163" s="150">
        <v>633</v>
      </c>
      <c r="F163" s="139" t="s">
        <v>2534</v>
      </c>
      <c r="G163" s="142" t="s">
        <v>2231</v>
      </c>
      <c r="H163" s="138" t="s">
        <v>2398</v>
      </c>
    </row>
    <row r="164" spans="1:8" x14ac:dyDescent="0.2">
      <c r="A164" s="253">
        <f t="shared" si="5"/>
        <v>154</v>
      </c>
      <c r="B164" s="253">
        <f t="shared" si="6"/>
        <v>632</v>
      </c>
      <c r="C164" s="253"/>
      <c r="D164" s="139" t="s">
        <v>3880</v>
      </c>
      <c r="E164" s="150">
        <v>632</v>
      </c>
      <c r="F164" s="139" t="s">
        <v>2506</v>
      </c>
      <c r="G164" s="142" t="s">
        <v>2231</v>
      </c>
      <c r="H164" s="138" t="s">
        <v>2398</v>
      </c>
    </row>
    <row r="165" spans="1:8" x14ac:dyDescent="0.2">
      <c r="A165" s="253">
        <f t="shared" si="5"/>
        <v>155</v>
      </c>
      <c r="B165" s="253">
        <f t="shared" si="6"/>
        <v>313</v>
      </c>
      <c r="C165" s="253"/>
      <c r="D165" s="142" t="s">
        <v>1149</v>
      </c>
      <c r="E165" s="150">
        <v>313</v>
      </c>
      <c r="F165" s="139" t="s">
        <v>2530</v>
      </c>
      <c r="G165" s="142" t="s">
        <v>2231</v>
      </c>
      <c r="H165" s="138" t="s">
        <v>2398</v>
      </c>
    </row>
    <row r="166" spans="1:8" x14ac:dyDescent="0.2">
      <c r="A166" s="253">
        <f t="shared" si="5"/>
        <v>156</v>
      </c>
      <c r="B166" s="253">
        <f t="shared" ref="B166:B186" si="7">+E166</f>
        <v>634</v>
      </c>
      <c r="C166" s="253"/>
      <c r="D166" s="139" t="s">
        <v>1825</v>
      </c>
      <c r="E166" s="150">
        <v>634</v>
      </c>
      <c r="F166" s="139" t="s">
        <v>2531</v>
      </c>
      <c r="G166" s="142" t="s">
        <v>2231</v>
      </c>
      <c r="H166" s="138" t="s">
        <v>2398</v>
      </c>
    </row>
    <row r="167" spans="1:8" x14ac:dyDescent="0.2">
      <c r="A167" s="253">
        <f t="shared" si="5"/>
        <v>157</v>
      </c>
      <c r="B167" s="253">
        <f t="shared" si="7"/>
        <v>629</v>
      </c>
      <c r="C167" s="253"/>
      <c r="D167" s="139" t="s">
        <v>1150</v>
      </c>
      <c r="E167" s="150">
        <v>629</v>
      </c>
      <c r="F167" s="151" t="s">
        <v>2532</v>
      </c>
      <c r="G167" s="142" t="s">
        <v>2231</v>
      </c>
      <c r="H167" s="138" t="s">
        <v>2398</v>
      </c>
    </row>
    <row r="168" spans="1:8" x14ac:dyDescent="0.2">
      <c r="A168" s="253">
        <f t="shared" si="5"/>
        <v>158</v>
      </c>
      <c r="B168" s="253">
        <f t="shared" si="7"/>
        <v>359</v>
      </c>
      <c r="C168" s="253"/>
      <c r="D168" s="139" t="s">
        <v>1151</v>
      </c>
      <c r="E168" s="150">
        <v>359</v>
      </c>
      <c r="F168" s="139" t="s">
        <v>2533</v>
      </c>
      <c r="G168" s="142" t="s">
        <v>2231</v>
      </c>
      <c r="H168" s="138" t="s">
        <v>2403</v>
      </c>
    </row>
    <row r="169" spans="1:8" x14ac:dyDescent="0.2">
      <c r="A169" s="253">
        <f t="shared" si="5"/>
        <v>159</v>
      </c>
      <c r="B169" s="253">
        <f t="shared" si="7"/>
        <v>638</v>
      </c>
      <c r="C169" s="253"/>
      <c r="D169" s="139" t="s">
        <v>1152</v>
      </c>
      <c r="E169" s="150">
        <v>638</v>
      </c>
      <c r="F169" s="139" t="s">
        <v>2535</v>
      </c>
      <c r="G169" s="142" t="s">
        <v>2231</v>
      </c>
      <c r="H169" s="138" t="s">
        <v>2399</v>
      </c>
    </row>
    <row r="170" spans="1:8" x14ac:dyDescent="0.2">
      <c r="A170" s="253">
        <f t="shared" si="5"/>
        <v>160</v>
      </c>
      <c r="B170" s="253">
        <f t="shared" si="7"/>
        <v>636</v>
      </c>
      <c r="C170" s="253"/>
      <c r="D170" s="139" t="s">
        <v>1153</v>
      </c>
      <c r="E170" s="150">
        <v>636</v>
      </c>
      <c r="F170" s="139" t="s">
        <v>2536</v>
      </c>
      <c r="G170" s="142" t="s">
        <v>2231</v>
      </c>
      <c r="H170" s="138" t="s">
        <v>2403</v>
      </c>
    </row>
    <row r="171" spans="1:8" x14ac:dyDescent="0.2">
      <c r="A171" s="253">
        <f t="shared" si="5"/>
        <v>161</v>
      </c>
      <c r="B171" s="253">
        <f t="shared" si="7"/>
        <v>614</v>
      </c>
      <c r="C171" s="253"/>
      <c r="D171" s="139" t="s">
        <v>305</v>
      </c>
      <c r="E171" s="150">
        <v>614</v>
      </c>
      <c r="F171" s="139" t="s">
        <v>2538</v>
      </c>
      <c r="G171" s="142" t="s">
        <v>2231</v>
      </c>
      <c r="H171" s="138" t="s">
        <v>2403</v>
      </c>
    </row>
    <row r="172" spans="1:8" x14ac:dyDescent="0.2">
      <c r="A172" s="253">
        <f t="shared" si="5"/>
        <v>162</v>
      </c>
      <c r="B172" s="253">
        <f t="shared" si="7"/>
        <v>640</v>
      </c>
      <c r="C172" s="253"/>
      <c r="D172" s="139" t="s">
        <v>306</v>
      </c>
      <c r="E172" s="150">
        <v>640</v>
      </c>
      <c r="F172" s="139" t="s">
        <v>2539</v>
      </c>
      <c r="G172" s="142" t="s">
        <v>2231</v>
      </c>
      <c r="H172" s="138" t="s">
        <v>2398</v>
      </c>
    </row>
    <row r="173" spans="1:8" x14ac:dyDescent="0.2">
      <c r="A173" s="253">
        <f t="shared" si="5"/>
        <v>163</v>
      </c>
      <c r="B173" s="253">
        <f t="shared" si="7"/>
        <v>642</v>
      </c>
      <c r="C173" s="253"/>
      <c r="D173" s="139" t="s">
        <v>1154</v>
      </c>
      <c r="E173" s="150">
        <v>642</v>
      </c>
      <c r="F173" s="139" t="s">
        <v>2537</v>
      </c>
      <c r="G173" s="142" t="s">
        <v>2231</v>
      </c>
      <c r="H173" s="138" t="s">
        <v>2403</v>
      </c>
    </row>
    <row r="174" spans="1:8" x14ac:dyDescent="0.2">
      <c r="A174" s="253">
        <f t="shared" si="5"/>
        <v>164</v>
      </c>
      <c r="B174" s="253">
        <f t="shared" si="7"/>
        <v>351</v>
      </c>
      <c r="C174" s="253"/>
      <c r="D174" s="139" t="s">
        <v>3870</v>
      </c>
      <c r="E174" s="150">
        <v>351</v>
      </c>
      <c r="F174" s="139" t="s">
        <v>2540</v>
      </c>
      <c r="G174" s="142" t="s">
        <v>2231</v>
      </c>
      <c r="H174" s="138" t="s">
        <v>2403</v>
      </c>
    </row>
    <row r="175" spans="1:8" x14ac:dyDescent="0.2">
      <c r="A175" s="253">
        <f t="shared" si="5"/>
        <v>165</v>
      </c>
      <c r="B175" s="253">
        <f t="shared" si="7"/>
        <v>658</v>
      </c>
      <c r="C175" s="253"/>
      <c r="D175" s="139" t="s">
        <v>308</v>
      </c>
      <c r="E175" s="150">
        <v>658</v>
      </c>
      <c r="F175" s="139" t="s">
        <v>2541</v>
      </c>
      <c r="G175" s="142" t="s">
        <v>2231</v>
      </c>
      <c r="H175" s="138" t="s">
        <v>2398</v>
      </c>
    </row>
    <row r="176" spans="1:8" x14ac:dyDescent="0.2">
      <c r="A176" s="253">
        <f t="shared" si="5"/>
        <v>166</v>
      </c>
      <c r="B176" s="253">
        <f t="shared" si="7"/>
        <v>659</v>
      </c>
      <c r="C176" s="253"/>
      <c r="D176" s="139" t="s">
        <v>309</v>
      </c>
      <c r="E176" s="150">
        <v>659</v>
      </c>
      <c r="F176" s="139" t="s">
        <v>2542</v>
      </c>
      <c r="G176" s="142" t="s">
        <v>2231</v>
      </c>
      <c r="H176" s="138" t="s">
        <v>2399</v>
      </c>
    </row>
    <row r="177" spans="1:8" x14ac:dyDescent="0.2">
      <c r="A177" s="253">
        <f t="shared" si="5"/>
        <v>167</v>
      </c>
      <c r="B177" s="253">
        <f t="shared" si="7"/>
        <v>657</v>
      </c>
      <c r="C177" s="253"/>
      <c r="D177" s="139" t="s">
        <v>310</v>
      </c>
      <c r="E177" s="150">
        <v>657</v>
      </c>
      <c r="F177" s="139" t="s">
        <v>2543</v>
      </c>
      <c r="G177" s="142"/>
      <c r="H177" s="138" t="s">
        <v>2399</v>
      </c>
    </row>
    <row r="178" spans="1:8" x14ac:dyDescent="0.2">
      <c r="A178" s="253">
        <f t="shared" si="5"/>
        <v>168</v>
      </c>
      <c r="B178" s="253">
        <f t="shared" si="7"/>
        <v>644</v>
      </c>
      <c r="C178" s="253"/>
      <c r="D178" s="139" t="s">
        <v>1380</v>
      </c>
      <c r="E178" s="150">
        <v>644</v>
      </c>
      <c r="F178" s="139" t="s">
        <v>2544</v>
      </c>
      <c r="G178" s="142" t="s">
        <v>2231</v>
      </c>
      <c r="H178" s="138" t="s">
        <v>2399</v>
      </c>
    </row>
    <row r="179" spans="1:8" x14ac:dyDescent="0.2">
      <c r="A179" s="253">
        <f t="shared" si="5"/>
        <v>169</v>
      </c>
      <c r="B179" s="253">
        <f t="shared" si="7"/>
        <v>380</v>
      </c>
      <c r="C179" s="253"/>
      <c r="D179" s="139" t="s">
        <v>1381</v>
      </c>
      <c r="E179" s="150">
        <v>380</v>
      </c>
      <c r="F179" s="139" t="s">
        <v>2545</v>
      </c>
      <c r="G179" s="142" t="s">
        <v>2231</v>
      </c>
      <c r="H179" s="138" t="s">
        <v>2399</v>
      </c>
    </row>
    <row r="180" spans="1:8" x14ac:dyDescent="0.2">
      <c r="A180" s="253">
        <f t="shared" si="5"/>
        <v>170</v>
      </c>
      <c r="B180" s="253">
        <f t="shared" si="7"/>
        <v>650</v>
      </c>
      <c r="C180" s="253"/>
      <c r="D180" s="139" t="s">
        <v>1382</v>
      </c>
      <c r="E180" s="150">
        <v>650</v>
      </c>
      <c r="F180" s="139" t="s">
        <v>2546</v>
      </c>
      <c r="G180" s="142" t="s">
        <v>2231</v>
      </c>
      <c r="H180" s="138" t="s">
        <v>2403</v>
      </c>
    </row>
    <row r="181" spans="1:8" x14ac:dyDescent="0.2">
      <c r="A181" s="253">
        <f t="shared" si="5"/>
        <v>171</v>
      </c>
      <c r="B181" s="253">
        <f t="shared" si="7"/>
        <v>384</v>
      </c>
      <c r="C181" s="253"/>
      <c r="D181" s="139" t="s">
        <v>1974</v>
      </c>
      <c r="E181" s="150">
        <v>384</v>
      </c>
      <c r="F181" s="139" t="s">
        <v>2547</v>
      </c>
      <c r="G181" s="142"/>
      <c r="H181" s="138" t="s">
        <v>2403</v>
      </c>
    </row>
    <row r="182" spans="1:8" x14ac:dyDescent="0.2">
      <c r="A182" s="253">
        <f t="shared" si="5"/>
        <v>172</v>
      </c>
      <c r="B182" s="253">
        <f t="shared" si="7"/>
        <v>522</v>
      </c>
      <c r="D182" s="139" t="s">
        <v>3976</v>
      </c>
      <c r="E182" s="150">
        <v>522</v>
      </c>
      <c r="F182" s="565" t="s">
        <v>3975</v>
      </c>
      <c r="G182" s="142"/>
      <c r="H182" s="138" t="s">
        <v>3934</v>
      </c>
    </row>
    <row r="183" spans="1:8" x14ac:dyDescent="0.2">
      <c r="A183" s="253">
        <f t="shared" si="5"/>
        <v>173</v>
      </c>
      <c r="B183" s="253">
        <f t="shared" si="7"/>
        <v>604</v>
      </c>
      <c r="D183" s="139" t="s">
        <v>3977</v>
      </c>
      <c r="E183" s="150">
        <v>604</v>
      </c>
      <c r="F183" s="139" t="s">
        <v>3979</v>
      </c>
      <c r="G183" s="142"/>
      <c r="H183" s="138" t="s">
        <v>3978</v>
      </c>
    </row>
    <row r="184" spans="1:8" x14ac:dyDescent="0.2">
      <c r="A184" s="253">
        <f t="shared" si="5"/>
        <v>174</v>
      </c>
      <c r="B184" s="253">
        <f t="shared" si="7"/>
        <v>0</v>
      </c>
      <c r="E184" s="150"/>
      <c r="F184" s="151"/>
      <c r="G184" s="142"/>
    </row>
    <row r="185" spans="1:8" x14ac:dyDescent="0.2">
      <c r="A185" s="253">
        <f t="shared" si="5"/>
        <v>175</v>
      </c>
      <c r="B185" s="253">
        <f t="shared" si="7"/>
        <v>0</v>
      </c>
      <c r="E185" s="150"/>
      <c r="G185" s="142"/>
    </row>
    <row r="186" spans="1:8" x14ac:dyDescent="0.2">
      <c r="A186" s="253">
        <f t="shared" si="5"/>
        <v>176</v>
      </c>
      <c r="B186" s="253">
        <f t="shared" si="7"/>
        <v>0</v>
      </c>
      <c r="E186" s="150"/>
      <c r="G186" s="142"/>
    </row>
    <row r="187" spans="1:8" x14ac:dyDescent="0.2">
      <c r="D187" s="155"/>
      <c r="E187" s="156"/>
      <c r="G187" s="142" t="s">
        <v>2231</v>
      </c>
    </row>
    <row r="188" spans="1:8" x14ac:dyDescent="0.2">
      <c r="D188" s="139" t="s">
        <v>2556</v>
      </c>
    </row>
    <row r="189" spans="1:8" x14ac:dyDescent="0.2">
      <c r="D189" s="139" t="s">
        <v>2557</v>
      </c>
    </row>
  </sheetData>
  <mergeCells count="1">
    <mergeCell ref="D7:E7"/>
  </mergeCells>
  <dataValidations disablePrompts="1" count="1">
    <dataValidation type="list" allowBlank="1" showInputMessage="1" showErrorMessage="1" sqref="D65515 D6 IC6 RY6 ABU6 ALQ6 AVM6 BFI6 BPE6 BZA6 CIW6 CSS6 DCO6 DMK6 DWG6 EGC6 EPY6 EZU6 FJQ6 FTM6 GDI6 GNE6 GXA6 HGW6 HQS6 IAO6 IKK6 IUG6 JEC6 JNY6 JXU6 KHQ6 KRM6 LBI6 LLE6 LVA6 MEW6 MOS6 MYO6 NIK6 NSG6 OCC6 OLY6 OVU6 PFQ6 PPM6 PZI6 QJE6 QTA6 RCW6 RMS6 RWO6 SGK6 SQG6 TAC6 TJY6 TTU6 UDQ6 UNM6 UXI6 VHE6 VRA6 WAW6 WKS6 WUO6 IC65515 RY65515 ABU65515 ALQ65515 AVM65515 BFI65515 BPE65515 BZA65515 CIW65515 CSS65515 DCO65515 DMK65515 DWG65515 EGC65515 EPY65515 EZU65515 FJQ65515 FTM65515 GDI65515 GNE65515 GXA65515 HGW65515 HQS65515 IAO65515 IKK65515 IUG65515 JEC65515 JNY65515 JXU65515 KHQ65515 KRM65515 LBI65515 LLE65515 LVA65515 MEW65515 MOS65515 MYO65515 NIK65515 NSG65515 OCC65515 OLY65515 OVU65515 PFQ65515 PPM65515 PZI65515 QJE65515 QTA65515 RCW65515 RMS65515 RWO65515 SGK65515 SQG65515 TAC65515 TJY65515 TTU65515 UDQ65515 UNM65515 UXI65515 VHE65515 VRA65515 WAW65515 WKS65515 WUO65515 D131051 IC131051 RY131051 ABU131051 ALQ131051 AVM131051 BFI131051 BPE131051 BZA131051 CIW131051 CSS131051 DCO131051 DMK131051 DWG131051 EGC131051 EPY131051 EZU131051 FJQ131051 FTM131051 GDI131051 GNE131051 GXA131051 HGW131051 HQS131051 IAO131051 IKK131051 IUG131051 JEC131051 JNY131051 JXU131051 KHQ131051 KRM131051 LBI131051 LLE131051 LVA131051 MEW131051 MOS131051 MYO131051 NIK131051 NSG131051 OCC131051 OLY131051 OVU131051 PFQ131051 PPM131051 PZI131051 QJE131051 QTA131051 RCW131051 RMS131051 RWO131051 SGK131051 SQG131051 TAC131051 TJY131051 TTU131051 UDQ131051 UNM131051 UXI131051 VHE131051 VRA131051 WAW131051 WKS131051 WUO131051 D196587 IC196587 RY196587 ABU196587 ALQ196587 AVM196587 BFI196587 BPE196587 BZA196587 CIW196587 CSS196587 DCO196587 DMK196587 DWG196587 EGC196587 EPY196587 EZU196587 FJQ196587 FTM196587 GDI196587 GNE196587 GXA196587 HGW196587 HQS196587 IAO196587 IKK196587 IUG196587 JEC196587 JNY196587 JXU196587 KHQ196587 KRM196587 LBI196587 LLE196587 LVA196587 MEW196587 MOS196587 MYO196587 NIK196587 NSG196587 OCC196587 OLY196587 OVU196587 PFQ196587 PPM196587 PZI196587 QJE196587 QTA196587 RCW196587 RMS196587 RWO196587 SGK196587 SQG196587 TAC196587 TJY196587 TTU196587 UDQ196587 UNM196587 UXI196587 VHE196587 VRA196587 WAW196587 WKS196587 WUO196587 D262123 IC262123 RY262123 ABU262123 ALQ262123 AVM262123 BFI262123 BPE262123 BZA262123 CIW262123 CSS262123 DCO262123 DMK262123 DWG262123 EGC262123 EPY262123 EZU262123 FJQ262123 FTM262123 GDI262123 GNE262123 GXA262123 HGW262123 HQS262123 IAO262123 IKK262123 IUG262123 JEC262123 JNY262123 JXU262123 KHQ262123 KRM262123 LBI262123 LLE262123 LVA262123 MEW262123 MOS262123 MYO262123 NIK262123 NSG262123 OCC262123 OLY262123 OVU262123 PFQ262123 PPM262123 PZI262123 QJE262123 QTA262123 RCW262123 RMS262123 RWO262123 SGK262123 SQG262123 TAC262123 TJY262123 TTU262123 UDQ262123 UNM262123 UXI262123 VHE262123 VRA262123 WAW262123 WKS262123 WUO262123 D327659 IC327659 RY327659 ABU327659 ALQ327659 AVM327659 BFI327659 BPE327659 BZA327659 CIW327659 CSS327659 DCO327659 DMK327659 DWG327659 EGC327659 EPY327659 EZU327659 FJQ327659 FTM327659 GDI327659 GNE327659 GXA327659 HGW327659 HQS327659 IAO327659 IKK327659 IUG327659 JEC327659 JNY327659 JXU327659 KHQ327659 KRM327659 LBI327659 LLE327659 LVA327659 MEW327659 MOS327659 MYO327659 NIK327659 NSG327659 OCC327659 OLY327659 OVU327659 PFQ327659 PPM327659 PZI327659 QJE327659 QTA327659 RCW327659 RMS327659 RWO327659 SGK327659 SQG327659 TAC327659 TJY327659 TTU327659 UDQ327659 UNM327659 UXI327659 VHE327659 VRA327659 WAW327659 WKS327659 WUO327659 D393195 IC393195 RY393195 ABU393195 ALQ393195 AVM393195 BFI393195 BPE393195 BZA393195 CIW393195 CSS393195 DCO393195 DMK393195 DWG393195 EGC393195 EPY393195 EZU393195 FJQ393195 FTM393195 GDI393195 GNE393195 GXA393195 HGW393195 HQS393195 IAO393195 IKK393195 IUG393195 JEC393195 JNY393195 JXU393195 KHQ393195 KRM393195 LBI393195 LLE393195 LVA393195 MEW393195 MOS393195 MYO393195 NIK393195 NSG393195 OCC393195 OLY393195 OVU393195 PFQ393195 PPM393195 PZI393195 QJE393195 QTA393195 RCW393195 RMS393195 RWO393195 SGK393195 SQG393195 TAC393195 TJY393195 TTU393195 UDQ393195 UNM393195 UXI393195 VHE393195 VRA393195 WAW393195 WKS393195 WUO393195 D458731 IC458731 RY458731 ABU458731 ALQ458731 AVM458731 BFI458731 BPE458731 BZA458731 CIW458731 CSS458731 DCO458731 DMK458731 DWG458731 EGC458731 EPY458731 EZU458731 FJQ458731 FTM458731 GDI458731 GNE458731 GXA458731 HGW458731 HQS458731 IAO458731 IKK458731 IUG458731 JEC458731 JNY458731 JXU458731 KHQ458731 KRM458731 LBI458731 LLE458731 LVA458731 MEW458731 MOS458731 MYO458731 NIK458731 NSG458731 OCC458731 OLY458731 OVU458731 PFQ458731 PPM458731 PZI458731 QJE458731 QTA458731 RCW458731 RMS458731 RWO458731 SGK458731 SQG458731 TAC458731 TJY458731 TTU458731 UDQ458731 UNM458731 UXI458731 VHE458731 VRA458731 WAW458731 WKS458731 WUO458731 D524267 IC524267 RY524267 ABU524267 ALQ524267 AVM524267 BFI524267 BPE524267 BZA524267 CIW524267 CSS524267 DCO524267 DMK524267 DWG524267 EGC524267 EPY524267 EZU524267 FJQ524267 FTM524267 GDI524267 GNE524267 GXA524267 HGW524267 HQS524267 IAO524267 IKK524267 IUG524267 JEC524267 JNY524267 JXU524267 KHQ524267 KRM524267 LBI524267 LLE524267 LVA524267 MEW524267 MOS524267 MYO524267 NIK524267 NSG524267 OCC524267 OLY524267 OVU524267 PFQ524267 PPM524267 PZI524267 QJE524267 QTA524267 RCW524267 RMS524267 RWO524267 SGK524267 SQG524267 TAC524267 TJY524267 TTU524267 UDQ524267 UNM524267 UXI524267 VHE524267 VRA524267 WAW524267 WKS524267 WUO524267 D589803 IC589803 RY589803 ABU589803 ALQ589803 AVM589803 BFI589803 BPE589803 BZA589803 CIW589803 CSS589803 DCO589803 DMK589803 DWG589803 EGC589803 EPY589803 EZU589803 FJQ589803 FTM589803 GDI589803 GNE589803 GXA589803 HGW589803 HQS589803 IAO589803 IKK589803 IUG589803 JEC589803 JNY589803 JXU589803 KHQ589803 KRM589803 LBI589803 LLE589803 LVA589803 MEW589803 MOS589803 MYO589803 NIK589803 NSG589803 OCC589803 OLY589803 OVU589803 PFQ589803 PPM589803 PZI589803 QJE589803 QTA589803 RCW589803 RMS589803 RWO589803 SGK589803 SQG589803 TAC589803 TJY589803 TTU589803 UDQ589803 UNM589803 UXI589803 VHE589803 VRA589803 WAW589803 WKS589803 WUO589803 D655339 IC655339 RY655339 ABU655339 ALQ655339 AVM655339 BFI655339 BPE655339 BZA655339 CIW655339 CSS655339 DCO655339 DMK655339 DWG655339 EGC655339 EPY655339 EZU655339 FJQ655339 FTM655339 GDI655339 GNE655339 GXA655339 HGW655339 HQS655339 IAO655339 IKK655339 IUG655339 JEC655339 JNY655339 JXU655339 KHQ655339 KRM655339 LBI655339 LLE655339 LVA655339 MEW655339 MOS655339 MYO655339 NIK655339 NSG655339 OCC655339 OLY655339 OVU655339 PFQ655339 PPM655339 PZI655339 QJE655339 QTA655339 RCW655339 RMS655339 RWO655339 SGK655339 SQG655339 TAC655339 TJY655339 TTU655339 UDQ655339 UNM655339 UXI655339 VHE655339 VRA655339 WAW655339 WKS655339 WUO655339 D720875 IC720875 RY720875 ABU720875 ALQ720875 AVM720875 BFI720875 BPE720875 BZA720875 CIW720875 CSS720875 DCO720875 DMK720875 DWG720875 EGC720875 EPY720875 EZU720875 FJQ720875 FTM720875 GDI720875 GNE720875 GXA720875 HGW720875 HQS720875 IAO720875 IKK720875 IUG720875 JEC720875 JNY720875 JXU720875 KHQ720875 KRM720875 LBI720875 LLE720875 LVA720875 MEW720875 MOS720875 MYO720875 NIK720875 NSG720875 OCC720875 OLY720875 OVU720875 PFQ720875 PPM720875 PZI720875 QJE720875 QTA720875 RCW720875 RMS720875 RWO720875 SGK720875 SQG720875 TAC720875 TJY720875 TTU720875 UDQ720875 UNM720875 UXI720875 VHE720875 VRA720875 WAW720875 WKS720875 WUO720875 D786411 IC786411 RY786411 ABU786411 ALQ786411 AVM786411 BFI786411 BPE786411 BZA786411 CIW786411 CSS786411 DCO786411 DMK786411 DWG786411 EGC786411 EPY786411 EZU786411 FJQ786411 FTM786411 GDI786411 GNE786411 GXA786411 HGW786411 HQS786411 IAO786411 IKK786411 IUG786411 JEC786411 JNY786411 JXU786411 KHQ786411 KRM786411 LBI786411 LLE786411 LVA786411 MEW786411 MOS786411 MYO786411 NIK786411 NSG786411 OCC786411 OLY786411 OVU786411 PFQ786411 PPM786411 PZI786411 QJE786411 QTA786411 RCW786411 RMS786411 RWO786411 SGK786411 SQG786411 TAC786411 TJY786411 TTU786411 UDQ786411 UNM786411 UXI786411 VHE786411 VRA786411 WAW786411 WKS786411 WUO786411 D851947 IC851947 RY851947 ABU851947 ALQ851947 AVM851947 BFI851947 BPE851947 BZA851947 CIW851947 CSS851947 DCO851947 DMK851947 DWG851947 EGC851947 EPY851947 EZU851947 FJQ851947 FTM851947 GDI851947 GNE851947 GXA851947 HGW851947 HQS851947 IAO851947 IKK851947 IUG851947 JEC851947 JNY851947 JXU851947 KHQ851947 KRM851947 LBI851947 LLE851947 LVA851947 MEW851947 MOS851947 MYO851947 NIK851947 NSG851947 OCC851947 OLY851947 OVU851947 PFQ851947 PPM851947 PZI851947 QJE851947 QTA851947 RCW851947 RMS851947 RWO851947 SGK851947 SQG851947 TAC851947 TJY851947 TTU851947 UDQ851947 UNM851947 UXI851947 VHE851947 VRA851947 WAW851947 WKS851947 WUO851947 D917483 IC917483 RY917483 ABU917483 ALQ917483 AVM917483 BFI917483 BPE917483 BZA917483 CIW917483 CSS917483 DCO917483 DMK917483 DWG917483 EGC917483 EPY917483 EZU917483 FJQ917483 FTM917483 GDI917483 GNE917483 GXA917483 HGW917483 HQS917483 IAO917483 IKK917483 IUG917483 JEC917483 JNY917483 JXU917483 KHQ917483 KRM917483 LBI917483 LLE917483 LVA917483 MEW917483 MOS917483 MYO917483 NIK917483 NSG917483 OCC917483 OLY917483 OVU917483 PFQ917483 PPM917483 PZI917483 QJE917483 QTA917483 RCW917483 RMS917483 RWO917483 SGK917483 SQG917483 TAC917483 TJY917483 TTU917483 UDQ917483 UNM917483 UXI917483 VHE917483 VRA917483 WAW917483 WKS917483 WUO917483 D983019 IC983019 RY983019 ABU983019 ALQ983019 AVM983019 BFI983019 BPE983019 BZA983019 CIW983019 CSS983019 DCO983019 DMK983019 DWG983019 EGC983019 EPY983019 EZU983019 FJQ983019 FTM983019 GDI983019 GNE983019 GXA983019 HGW983019 HQS983019 IAO983019 IKK983019 IUG983019 JEC983019 JNY983019 JXU983019 KHQ983019 KRM983019 LBI983019 LLE983019 LVA983019 MEW983019 MOS983019 MYO983019 NIK983019 NSG983019 OCC983019 OLY983019 OVU983019 PFQ983019 PPM983019 PZI983019 QJE983019 QTA983019 RCW983019 RMS983019 RWO983019 SGK983019 SQG983019 TAC983019 TJY983019 TTU983019 UDQ983019 UNM983019 UXI983019 VHE983019 VRA983019 WAW983019 WKS983019 WUO983019" xr:uid="{00000000-0002-0000-0900-000000000000}">
      <formula1>$D$11:$D$186</formula1>
    </dataValidation>
  </dataValidations>
  <pageMargins left="0.75" right="0.75" top="1" bottom="1" header="0.5" footer="0.5"/>
  <pageSetup scale="55" orientation="landscape" r:id="rId1"/>
  <headerFooter alignWithMargins="0"/>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B1:AE187"/>
  <sheetViews>
    <sheetView showGridLines="0" zoomScaleNormal="100" workbookViewId="0">
      <pane xSplit="3" ySplit="2" topLeftCell="D3" activePane="bottomRight" state="frozen"/>
      <selection pane="topRight" activeCell="C1" sqref="C1"/>
      <selection pane="bottomLeft" activeCell="A3" sqref="A3"/>
      <selection pane="bottomRight" activeCell="AA2" sqref="AA2"/>
    </sheetView>
  </sheetViews>
  <sheetFormatPr defaultColWidth="9.140625" defaultRowHeight="16.5" customHeight="1" x14ac:dyDescent="0.25"/>
  <cols>
    <col min="1" max="1" width="2.42578125" style="160" customWidth="1"/>
    <col min="2" max="2" width="50.140625" style="160" customWidth="1"/>
    <col min="3" max="3" width="5.5703125" style="160" bestFit="1" customWidth="1"/>
    <col min="4" max="13" width="3.140625" style="160" customWidth="1"/>
    <col min="14" max="14" width="0" style="160" hidden="1" customWidth="1"/>
    <col min="15" max="22" width="3.140625" style="160" hidden="1" customWidth="1"/>
    <col min="23" max="23" width="3.42578125" style="160" hidden="1" customWidth="1"/>
    <col min="24" max="24" width="2.28515625" style="160" hidden="1" customWidth="1"/>
    <col min="25" max="25" width="0" style="160" hidden="1" customWidth="1"/>
    <col min="26" max="26" width="22.85546875" style="537" hidden="1" customWidth="1"/>
    <col min="27" max="29" width="9.140625" style="160"/>
    <col min="30" max="30" width="20.7109375" style="160" customWidth="1"/>
    <col min="31" max="16384" width="9.140625" style="160"/>
  </cols>
  <sheetData>
    <row r="1" spans="2:31" ht="16.5" customHeight="1" thickBot="1" x14ac:dyDescent="0.3">
      <c r="B1" s="653" t="s">
        <v>2568</v>
      </c>
      <c r="C1" s="654"/>
      <c r="D1" s="552" t="s">
        <v>2569</v>
      </c>
      <c r="E1" s="522"/>
      <c r="F1" s="522"/>
      <c r="G1" s="522"/>
      <c r="H1" s="522"/>
      <c r="I1" s="522"/>
      <c r="J1" s="522"/>
      <c r="K1" s="522"/>
      <c r="L1" s="522"/>
      <c r="M1" s="523"/>
      <c r="O1" s="524" t="s">
        <v>2569</v>
      </c>
      <c r="P1" s="525"/>
      <c r="Q1" s="525"/>
      <c r="R1" s="525"/>
      <c r="S1" s="525"/>
      <c r="T1" s="525"/>
      <c r="U1" s="525"/>
      <c r="V1" s="525"/>
      <c r="W1" s="525"/>
      <c r="X1" s="526"/>
    </row>
    <row r="2" spans="2:31" ht="96.6" customHeight="1" thickBot="1" x14ac:dyDescent="0.3">
      <c r="B2" s="655"/>
      <c r="C2" s="656"/>
      <c r="D2" s="161" t="s">
        <v>1110</v>
      </c>
      <c r="E2" s="162" t="s">
        <v>301</v>
      </c>
      <c r="F2" s="162" t="s">
        <v>2214</v>
      </c>
      <c r="G2" s="162" t="s">
        <v>1260</v>
      </c>
      <c r="H2" s="163" t="s">
        <v>2570</v>
      </c>
      <c r="I2" s="162" t="s">
        <v>2221</v>
      </c>
      <c r="J2" s="162" t="s">
        <v>2223</v>
      </c>
      <c r="K2" s="162" t="s">
        <v>1457</v>
      </c>
      <c r="L2" s="162" t="s">
        <v>2228</v>
      </c>
      <c r="M2" s="164" t="s">
        <v>2571</v>
      </c>
      <c r="O2" s="527" t="s">
        <v>2579</v>
      </c>
      <c r="P2" s="528"/>
      <c r="Q2" s="528"/>
      <c r="R2" s="528"/>
      <c r="S2" s="528"/>
      <c r="T2" s="528"/>
      <c r="U2" s="528"/>
      <c r="V2" s="528"/>
      <c r="W2" s="528"/>
      <c r="X2" s="529"/>
    </row>
    <row r="3" spans="2:31" ht="16.5" customHeight="1" x14ac:dyDescent="0.25">
      <c r="B3" s="539" t="s">
        <v>3873</v>
      </c>
      <c r="C3" s="520">
        <v>297</v>
      </c>
      <c r="D3" s="317" t="s">
        <v>2580</v>
      </c>
      <c r="E3" s="318" t="s">
        <v>2581</v>
      </c>
      <c r="F3" s="318" t="s">
        <v>2582</v>
      </c>
      <c r="G3" s="318" t="s">
        <v>2583</v>
      </c>
      <c r="H3" s="318" t="s">
        <v>2584</v>
      </c>
      <c r="I3" s="318" t="s">
        <v>2585</v>
      </c>
      <c r="J3" s="318" t="s">
        <v>2589</v>
      </c>
      <c r="K3" s="318"/>
      <c r="L3" s="318" t="s">
        <v>2587</v>
      </c>
      <c r="M3" s="319" t="s">
        <v>2588</v>
      </c>
      <c r="O3" s="530" t="str">
        <f>(D3&amp;"  "&amp;E3&amp;"  "&amp;F3&amp;"  " &amp;G3&amp;"  "&amp;H3&amp;"  "&amp;I3&amp;"  "&amp;J3&amp;"  "&amp;K3&amp;"  "&amp;L3&amp;"  "&amp;M3)</f>
        <v>C  F  R  P  Pr  FS  D    O  AL</v>
      </c>
      <c r="P3" s="531"/>
      <c r="Q3" s="531"/>
      <c r="R3" s="531"/>
      <c r="S3" s="531"/>
      <c r="T3" s="531"/>
      <c r="U3" s="531"/>
      <c r="V3" s="531"/>
      <c r="W3" s="531"/>
      <c r="X3" s="532"/>
      <c r="Z3" s="538"/>
      <c r="AD3" s="542"/>
      <c r="AE3" s="545"/>
    </row>
    <row r="4" spans="2:31" ht="16.5" customHeight="1" x14ac:dyDescent="0.25">
      <c r="B4" s="165" t="s">
        <v>783</v>
      </c>
      <c r="C4" s="520">
        <v>309</v>
      </c>
      <c r="D4" s="317" t="s">
        <v>2580</v>
      </c>
      <c r="E4" s="318" t="s">
        <v>2581</v>
      </c>
      <c r="F4" s="318" t="s">
        <v>2582</v>
      </c>
      <c r="G4" s="318" t="s">
        <v>2583</v>
      </c>
      <c r="H4" s="318"/>
      <c r="I4" s="318" t="s">
        <v>2585</v>
      </c>
      <c r="J4" s="318" t="s">
        <v>2589</v>
      </c>
      <c r="K4" s="318"/>
      <c r="L4" s="318" t="s">
        <v>2587</v>
      </c>
      <c r="M4" s="319" t="s">
        <v>2588</v>
      </c>
      <c r="O4" s="530" t="str">
        <f t="shared" ref="O4:O67" si="0">(D4&amp;"  "&amp;E4&amp;"  "&amp;F4&amp;"  " &amp;G4&amp;"  "&amp;H4&amp;"  "&amp;I4&amp;"  "&amp;J4&amp;"  "&amp;K4&amp;"  "&amp;L4&amp;"  "&amp;M4)</f>
        <v>C  F  R  P    FS  D    O  AL</v>
      </c>
      <c r="P4" s="531"/>
      <c r="Q4" s="531"/>
      <c r="R4" s="531"/>
      <c r="S4" s="531"/>
      <c r="T4" s="531"/>
      <c r="U4" s="531"/>
      <c r="V4" s="531"/>
      <c r="W4" s="531"/>
      <c r="X4" s="532"/>
      <c r="AD4" s="542"/>
      <c r="AE4" s="545"/>
    </row>
    <row r="5" spans="2:31" ht="16.5" customHeight="1" x14ac:dyDescent="0.25">
      <c r="B5" s="166" t="s">
        <v>608</v>
      </c>
      <c r="C5" s="167">
        <v>310</v>
      </c>
      <c r="D5" s="317" t="s">
        <v>2580</v>
      </c>
      <c r="E5" s="318" t="s">
        <v>2581</v>
      </c>
      <c r="F5" s="318"/>
      <c r="G5" s="318"/>
      <c r="H5" s="318"/>
      <c r="I5" s="318"/>
      <c r="J5" s="318"/>
      <c r="K5" s="318"/>
      <c r="L5" s="318"/>
      <c r="M5" s="319"/>
      <c r="O5" s="530" t="str">
        <f t="shared" si="0"/>
        <v xml:space="preserve">C  F                </v>
      </c>
      <c r="P5" s="531"/>
      <c r="Q5" s="531"/>
      <c r="R5" s="531"/>
      <c r="S5" s="531"/>
      <c r="T5" s="531"/>
      <c r="U5" s="531"/>
      <c r="V5" s="531"/>
      <c r="W5" s="531"/>
      <c r="X5" s="532"/>
      <c r="AD5" s="542"/>
      <c r="AE5" s="545"/>
    </row>
    <row r="6" spans="2:31" ht="16.5" customHeight="1" x14ac:dyDescent="0.25">
      <c r="B6" s="166" t="s">
        <v>1270</v>
      </c>
      <c r="C6" s="167">
        <v>311</v>
      </c>
      <c r="D6" s="317" t="s">
        <v>2580</v>
      </c>
      <c r="E6" s="318"/>
      <c r="F6" s="318"/>
      <c r="G6" s="318"/>
      <c r="H6" s="318"/>
      <c r="I6" s="318"/>
      <c r="J6" s="318"/>
      <c r="K6" s="318"/>
      <c r="L6" s="318"/>
      <c r="M6" s="319"/>
      <c r="O6" s="530" t="str">
        <f t="shared" si="0"/>
        <v xml:space="preserve">C                  </v>
      </c>
      <c r="P6" s="531"/>
      <c r="Q6" s="531"/>
      <c r="R6" s="531"/>
      <c r="S6" s="531"/>
      <c r="T6" s="531"/>
      <c r="U6" s="531"/>
      <c r="V6" s="531"/>
      <c r="W6" s="531"/>
      <c r="X6" s="532"/>
      <c r="AD6" s="542"/>
      <c r="AE6" s="545"/>
    </row>
    <row r="7" spans="2:31" ht="16.5" customHeight="1" x14ac:dyDescent="0.25">
      <c r="B7" s="166" t="s">
        <v>1149</v>
      </c>
      <c r="C7" s="167">
        <v>313</v>
      </c>
      <c r="D7" s="317"/>
      <c r="E7" s="318"/>
      <c r="F7" s="318"/>
      <c r="G7" s="318"/>
      <c r="H7" s="318"/>
      <c r="I7" s="318" t="s">
        <v>2585</v>
      </c>
      <c r="J7" s="318"/>
      <c r="K7" s="318"/>
      <c r="L7" s="318"/>
      <c r="M7" s="319"/>
      <c r="O7" s="530" t="str">
        <f t="shared" si="0"/>
        <v xml:space="preserve">          FS        </v>
      </c>
      <c r="P7" s="531"/>
      <c r="Q7" s="531"/>
      <c r="R7" s="531"/>
      <c r="S7" s="531"/>
      <c r="T7" s="531"/>
      <c r="U7" s="531"/>
      <c r="V7" s="531"/>
      <c r="W7" s="531"/>
      <c r="X7" s="532"/>
      <c r="AD7" s="542"/>
      <c r="AE7" s="545"/>
    </row>
    <row r="8" spans="2:31" ht="16.5" customHeight="1" x14ac:dyDescent="0.25">
      <c r="B8" s="166" t="s">
        <v>609</v>
      </c>
      <c r="C8" s="167">
        <v>314</v>
      </c>
      <c r="D8" s="317"/>
      <c r="E8" s="318" t="s">
        <v>2581</v>
      </c>
      <c r="F8" s="318" t="s">
        <v>2582</v>
      </c>
      <c r="G8" s="318" t="s">
        <v>2583</v>
      </c>
      <c r="H8" s="318" t="s">
        <v>2584</v>
      </c>
      <c r="I8" s="318"/>
      <c r="J8" s="318"/>
      <c r="K8" s="318"/>
      <c r="L8" s="318" t="s">
        <v>2587</v>
      </c>
      <c r="M8" s="319" t="s">
        <v>2588</v>
      </c>
      <c r="O8" s="530" t="str">
        <f t="shared" si="0"/>
        <v xml:space="preserve">  F  R  P  Pr        O  AL</v>
      </c>
      <c r="P8" s="531"/>
      <c r="Q8" s="531"/>
      <c r="R8" s="531"/>
      <c r="S8" s="531"/>
      <c r="T8" s="531"/>
      <c r="U8" s="531"/>
      <c r="V8" s="531"/>
      <c r="W8" s="531"/>
      <c r="X8" s="532"/>
      <c r="AD8" s="542"/>
      <c r="AE8" s="545"/>
    </row>
    <row r="9" spans="2:31" ht="16.5" customHeight="1" x14ac:dyDescent="0.25">
      <c r="B9" s="166" t="s">
        <v>1017</v>
      </c>
      <c r="C9" s="168">
        <v>315</v>
      </c>
      <c r="D9" s="317"/>
      <c r="E9" s="318" t="s">
        <v>2581</v>
      </c>
      <c r="F9" s="318" t="s">
        <v>2582</v>
      </c>
      <c r="G9" s="318" t="s">
        <v>2583</v>
      </c>
      <c r="H9" s="318" t="s">
        <v>2584</v>
      </c>
      <c r="I9" s="318" t="s">
        <v>2585</v>
      </c>
      <c r="J9" s="318" t="s">
        <v>2589</v>
      </c>
      <c r="K9" s="318"/>
      <c r="L9" s="318" t="s">
        <v>2587</v>
      </c>
      <c r="M9" s="319" t="s">
        <v>2588</v>
      </c>
      <c r="O9" s="530" t="str">
        <f t="shared" si="0"/>
        <v xml:space="preserve">  F  R  P  Pr  FS  D    O  AL</v>
      </c>
      <c r="P9" s="531"/>
      <c r="Q9" s="531"/>
      <c r="R9" s="531"/>
      <c r="S9" s="531"/>
      <c r="T9" s="531"/>
      <c r="U9" s="531"/>
      <c r="V9" s="531"/>
      <c r="W9" s="531"/>
      <c r="X9" s="532"/>
      <c r="AD9" s="542"/>
      <c r="AE9" s="548"/>
    </row>
    <row r="10" spans="2:31" ht="16.5" customHeight="1" x14ac:dyDescent="0.25">
      <c r="B10" s="166" t="s">
        <v>1272</v>
      </c>
      <c r="C10" s="167">
        <v>316</v>
      </c>
      <c r="D10" s="317"/>
      <c r="E10" s="318"/>
      <c r="F10" s="318"/>
      <c r="G10" s="318" t="s">
        <v>2583</v>
      </c>
      <c r="H10" s="318"/>
      <c r="I10" s="318" t="s">
        <v>2585</v>
      </c>
      <c r="J10" s="318"/>
      <c r="K10" s="318"/>
      <c r="L10" s="318"/>
      <c r="M10" s="319"/>
      <c r="O10" s="530" t="str">
        <f t="shared" si="0"/>
        <v xml:space="preserve">      P    FS        </v>
      </c>
      <c r="P10" s="531"/>
      <c r="Q10" s="531"/>
      <c r="R10" s="531"/>
      <c r="S10" s="531"/>
      <c r="T10" s="531"/>
      <c r="U10" s="531"/>
      <c r="V10" s="531"/>
      <c r="W10" s="531"/>
      <c r="X10" s="532"/>
      <c r="AD10" s="542"/>
      <c r="AE10" s="545"/>
    </row>
    <row r="11" spans="2:31" ht="16.5" customHeight="1" x14ac:dyDescent="0.25">
      <c r="B11" s="166" t="s">
        <v>611</v>
      </c>
      <c r="C11" s="167">
        <v>317</v>
      </c>
      <c r="D11" s="317"/>
      <c r="E11" s="318"/>
      <c r="F11" s="318"/>
      <c r="G11" s="318"/>
      <c r="H11" s="318"/>
      <c r="I11" s="318" t="s">
        <v>2585</v>
      </c>
      <c r="J11" s="318"/>
      <c r="K11" s="318"/>
      <c r="L11" s="318"/>
      <c r="M11" s="319"/>
      <c r="O11" s="530" t="str">
        <f t="shared" si="0"/>
        <v xml:space="preserve">          FS        </v>
      </c>
      <c r="P11" s="531"/>
      <c r="Q11" s="531"/>
      <c r="R11" s="531"/>
      <c r="S11" s="531"/>
      <c r="T11" s="531"/>
      <c r="U11" s="531"/>
      <c r="V11" s="531"/>
      <c r="W11" s="531"/>
      <c r="X11" s="532"/>
      <c r="AD11" s="542"/>
      <c r="AE11" s="545"/>
    </row>
    <row r="12" spans="2:31" ht="16.5" customHeight="1" x14ac:dyDescent="0.25">
      <c r="B12" s="166" t="s">
        <v>3700</v>
      </c>
      <c r="C12" s="167">
        <v>318</v>
      </c>
      <c r="D12" s="317"/>
      <c r="E12" s="318"/>
      <c r="F12" s="318" t="s">
        <v>2231</v>
      </c>
      <c r="G12" s="318"/>
      <c r="H12" s="318"/>
      <c r="I12" s="318" t="s">
        <v>2585</v>
      </c>
      <c r="J12" s="318"/>
      <c r="K12" s="318"/>
      <c r="L12" s="318"/>
      <c r="M12" s="319"/>
      <c r="O12" s="530" t="str">
        <f t="shared" si="0"/>
        <v xml:space="preserve">           FS        </v>
      </c>
      <c r="P12" s="531"/>
      <c r="Q12" s="531"/>
      <c r="R12" s="531"/>
      <c r="S12" s="531"/>
      <c r="T12" s="531"/>
      <c r="U12" s="531"/>
      <c r="V12" s="531"/>
      <c r="W12" s="531"/>
      <c r="X12" s="532"/>
      <c r="AD12" s="542"/>
      <c r="AE12" s="545"/>
    </row>
    <row r="13" spans="2:31" ht="16.5" customHeight="1" x14ac:dyDescent="0.25">
      <c r="B13" s="166" t="s">
        <v>3697</v>
      </c>
      <c r="C13" s="167">
        <v>319</v>
      </c>
      <c r="D13" s="317"/>
      <c r="E13" s="318"/>
      <c r="F13" s="318"/>
      <c r="G13" s="318"/>
      <c r="H13" s="318"/>
      <c r="I13" s="318" t="s">
        <v>2585</v>
      </c>
      <c r="J13" s="318"/>
      <c r="K13" s="318"/>
      <c r="L13" s="318"/>
      <c r="M13" s="319"/>
      <c r="O13" s="530" t="str">
        <f t="shared" si="0"/>
        <v xml:space="preserve">          FS        </v>
      </c>
      <c r="P13" s="531"/>
      <c r="Q13" s="531"/>
      <c r="R13" s="531"/>
      <c r="S13" s="531"/>
      <c r="T13" s="531"/>
      <c r="U13" s="531"/>
      <c r="V13" s="531"/>
      <c r="W13" s="531"/>
      <c r="X13" s="532"/>
      <c r="AD13" s="542"/>
      <c r="AE13" s="545"/>
    </row>
    <row r="14" spans="2:31" ht="16.5" customHeight="1" x14ac:dyDescent="0.25">
      <c r="B14" s="166" t="s">
        <v>634</v>
      </c>
      <c r="C14" s="168">
        <v>320</v>
      </c>
      <c r="D14" s="317" t="s">
        <v>2580</v>
      </c>
      <c r="E14" s="318" t="s">
        <v>2581</v>
      </c>
      <c r="F14" s="318" t="s">
        <v>2582</v>
      </c>
      <c r="G14" s="318" t="s">
        <v>2583</v>
      </c>
      <c r="H14" s="318" t="s">
        <v>2584</v>
      </c>
      <c r="I14" s="318" t="s">
        <v>2585</v>
      </c>
      <c r="J14" s="318" t="s">
        <v>2589</v>
      </c>
      <c r="K14" s="318"/>
      <c r="L14" s="318" t="s">
        <v>2587</v>
      </c>
      <c r="M14" s="319" t="s">
        <v>2588</v>
      </c>
      <c r="N14" s="160" t="s">
        <v>2231</v>
      </c>
      <c r="O14" s="530" t="str">
        <f t="shared" si="0"/>
        <v>C  F  R  P  Pr  FS  D    O  AL</v>
      </c>
      <c r="P14" s="531"/>
      <c r="Q14" s="531"/>
      <c r="R14" s="531"/>
      <c r="S14" s="531"/>
      <c r="T14" s="531"/>
      <c r="U14" s="531"/>
      <c r="V14" s="531"/>
      <c r="W14" s="531"/>
      <c r="X14" s="532"/>
      <c r="AD14" s="542"/>
      <c r="AE14" s="543"/>
    </row>
    <row r="15" spans="2:31" ht="16.5" customHeight="1" x14ac:dyDescent="0.25">
      <c r="B15" s="166" t="s">
        <v>3902</v>
      </c>
      <c r="C15" s="553">
        <v>321</v>
      </c>
      <c r="D15" s="317" t="s">
        <v>2580</v>
      </c>
      <c r="E15" s="318" t="s">
        <v>2581</v>
      </c>
      <c r="F15" s="318" t="s">
        <v>2582</v>
      </c>
      <c r="G15" s="318" t="s">
        <v>2583</v>
      </c>
      <c r="H15" s="318" t="s">
        <v>2584</v>
      </c>
      <c r="I15" s="318" t="s">
        <v>2585</v>
      </c>
      <c r="J15" s="318" t="s">
        <v>2589</v>
      </c>
      <c r="K15" s="318"/>
      <c r="L15" s="318" t="s">
        <v>2587</v>
      </c>
      <c r="M15" s="319" t="s">
        <v>2588</v>
      </c>
      <c r="O15" s="530"/>
      <c r="P15" s="531"/>
      <c r="Q15" s="531"/>
      <c r="R15" s="531"/>
      <c r="S15" s="531"/>
      <c r="T15" s="531"/>
      <c r="U15" s="531"/>
      <c r="V15" s="531"/>
      <c r="W15" s="531"/>
      <c r="X15" s="532"/>
      <c r="AD15" s="542"/>
      <c r="AE15" s="543"/>
    </row>
    <row r="16" spans="2:31" ht="16.5" customHeight="1" x14ac:dyDescent="0.25">
      <c r="B16" s="166" t="s">
        <v>588</v>
      </c>
      <c r="C16" s="167">
        <v>324</v>
      </c>
      <c r="D16" s="317" t="s">
        <v>2580</v>
      </c>
      <c r="E16" s="318" t="s">
        <v>2581</v>
      </c>
      <c r="F16" s="318" t="s">
        <v>2582</v>
      </c>
      <c r="G16" s="318" t="s">
        <v>2583</v>
      </c>
      <c r="H16" s="318" t="s">
        <v>2584</v>
      </c>
      <c r="I16" s="318" t="s">
        <v>2585</v>
      </c>
      <c r="J16" s="318" t="s">
        <v>2589</v>
      </c>
      <c r="K16" s="318"/>
      <c r="L16" s="318" t="s">
        <v>2587</v>
      </c>
      <c r="M16" s="319" t="s">
        <v>2588</v>
      </c>
      <c r="O16" s="530" t="str">
        <f t="shared" si="0"/>
        <v>C  F  R  P  Pr  FS  D    O  AL</v>
      </c>
      <c r="P16" s="531"/>
      <c r="Q16" s="531"/>
      <c r="R16" s="531"/>
      <c r="S16" s="531"/>
      <c r="T16" s="531"/>
      <c r="U16" s="531"/>
      <c r="V16" s="531"/>
      <c r="W16" s="531"/>
      <c r="X16" s="532"/>
      <c r="AD16" s="542"/>
      <c r="AE16" s="549"/>
    </row>
    <row r="17" spans="2:31" ht="16.5" customHeight="1" x14ac:dyDescent="0.25">
      <c r="B17" s="166" t="s">
        <v>3882</v>
      </c>
      <c r="C17" s="167">
        <v>325</v>
      </c>
      <c r="D17" s="317" t="s">
        <v>2580</v>
      </c>
      <c r="E17" s="318"/>
      <c r="F17" s="318"/>
      <c r="G17" s="318"/>
      <c r="H17" s="318"/>
      <c r="I17" s="318"/>
      <c r="J17" s="318"/>
      <c r="K17" s="318"/>
      <c r="L17" s="318"/>
      <c r="M17" s="319"/>
      <c r="O17" s="530" t="str">
        <f t="shared" si="0"/>
        <v xml:space="preserve">C                  </v>
      </c>
      <c r="P17" s="531"/>
      <c r="Q17" s="531"/>
      <c r="R17" s="531"/>
      <c r="S17" s="531"/>
      <c r="T17" s="531"/>
      <c r="U17" s="531"/>
      <c r="V17" s="531"/>
      <c r="W17" s="531"/>
      <c r="X17" s="532"/>
      <c r="AD17" s="542"/>
      <c r="AE17" s="551"/>
    </row>
    <row r="18" spans="2:31" ht="16.5" customHeight="1" x14ac:dyDescent="0.25">
      <c r="B18" s="166" t="s">
        <v>610</v>
      </c>
      <c r="C18" s="167">
        <v>326</v>
      </c>
      <c r="D18" s="317" t="s">
        <v>2580</v>
      </c>
      <c r="E18" s="318" t="s">
        <v>2581</v>
      </c>
      <c r="F18" s="318" t="s">
        <v>2582</v>
      </c>
      <c r="G18" s="318" t="s">
        <v>2583</v>
      </c>
      <c r="H18" s="318" t="s">
        <v>2584</v>
      </c>
      <c r="I18" s="318" t="s">
        <v>2585</v>
      </c>
      <c r="J18" s="318" t="s">
        <v>2589</v>
      </c>
      <c r="K18" s="318" t="s">
        <v>2577</v>
      </c>
      <c r="L18" s="318" t="s">
        <v>2587</v>
      </c>
      <c r="M18" s="319" t="s">
        <v>2588</v>
      </c>
      <c r="O18" s="530" t="str">
        <f t="shared" si="0"/>
        <v>C  F  R  P  Pr  FS  D  W  O  AL</v>
      </c>
      <c r="P18" s="531"/>
      <c r="Q18" s="531"/>
      <c r="R18" s="531"/>
      <c r="S18" s="531"/>
      <c r="T18" s="531"/>
      <c r="U18" s="531"/>
      <c r="V18" s="531"/>
      <c r="W18" s="531"/>
      <c r="X18" s="532"/>
      <c r="AD18" s="542"/>
      <c r="AE18" s="545"/>
    </row>
    <row r="19" spans="2:31" ht="16.5" customHeight="1" x14ac:dyDescent="0.25">
      <c r="B19" s="166" t="s">
        <v>612</v>
      </c>
      <c r="C19" s="167">
        <v>327</v>
      </c>
      <c r="D19" s="317" t="s">
        <v>2580</v>
      </c>
      <c r="E19" s="318" t="s">
        <v>2581</v>
      </c>
      <c r="F19" s="318" t="s">
        <v>2582</v>
      </c>
      <c r="G19" s="318"/>
      <c r="H19" s="318" t="s">
        <v>2584</v>
      </c>
      <c r="I19" s="318" t="s">
        <v>2585</v>
      </c>
      <c r="J19" s="318" t="s">
        <v>2589</v>
      </c>
      <c r="K19" s="318"/>
      <c r="L19" s="318" t="s">
        <v>2587</v>
      </c>
      <c r="M19" s="319" t="s">
        <v>2588</v>
      </c>
      <c r="O19" s="530" t="str">
        <f t="shared" si="0"/>
        <v>C  F  R    Pr  FS  D    O  AL</v>
      </c>
      <c r="P19" s="531"/>
      <c r="Q19" s="531"/>
      <c r="R19" s="531"/>
      <c r="S19" s="531"/>
      <c r="T19" s="531"/>
      <c r="U19" s="531"/>
      <c r="V19" s="531"/>
      <c r="W19" s="531"/>
      <c r="X19" s="532"/>
      <c r="AD19" s="542"/>
      <c r="AE19" s="545"/>
    </row>
    <row r="20" spans="2:31" ht="16.5" customHeight="1" x14ac:dyDescent="0.25">
      <c r="B20" s="166" t="s">
        <v>578</v>
      </c>
      <c r="C20" s="167">
        <v>328</v>
      </c>
      <c r="D20" s="317" t="s">
        <v>2580</v>
      </c>
      <c r="E20" s="318"/>
      <c r="F20" s="318"/>
      <c r="G20" s="318"/>
      <c r="H20" s="318"/>
      <c r="I20" s="318"/>
      <c r="J20" s="318"/>
      <c r="K20" s="318"/>
      <c r="L20" s="318"/>
      <c r="M20" s="319"/>
      <c r="O20" s="530" t="str">
        <f t="shared" si="0"/>
        <v xml:space="preserve">C                  </v>
      </c>
      <c r="P20" s="531"/>
      <c r="Q20" s="531"/>
      <c r="R20" s="531"/>
      <c r="S20" s="531"/>
      <c r="T20" s="531"/>
      <c r="U20" s="531"/>
      <c r="V20" s="531"/>
      <c r="W20" s="531"/>
      <c r="X20" s="532"/>
      <c r="AD20" s="542"/>
      <c r="AE20" s="545"/>
    </row>
    <row r="21" spans="2:31" ht="16.5" customHeight="1" x14ac:dyDescent="0.25">
      <c r="B21" s="166" t="s">
        <v>654</v>
      </c>
      <c r="C21" s="167">
        <v>329</v>
      </c>
      <c r="D21" s="317" t="s">
        <v>2580</v>
      </c>
      <c r="E21" s="318"/>
      <c r="F21" s="318"/>
      <c r="G21" s="318" t="s">
        <v>2583</v>
      </c>
      <c r="H21" s="318"/>
      <c r="I21" s="318"/>
      <c r="J21" s="318"/>
      <c r="K21" s="318"/>
      <c r="L21" s="318" t="s">
        <v>2587</v>
      </c>
      <c r="M21" s="319"/>
      <c r="O21" s="530" t="str">
        <f t="shared" si="0"/>
        <v xml:space="preserve">C      P          O  </v>
      </c>
      <c r="P21" s="531"/>
      <c r="Q21" s="531"/>
      <c r="R21" s="531"/>
      <c r="S21" s="531"/>
      <c r="T21" s="531"/>
      <c r="U21" s="531"/>
      <c r="V21" s="531"/>
      <c r="W21" s="531"/>
      <c r="X21" s="532"/>
      <c r="AD21" s="542"/>
      <c r="AE21" s="545"/>
    </row>
    <row r="22" spans="2:31" ht="16.5" customHeight="1" x14ac:dyDescent="0.25">
      <c r="B22" s="166" t="s">
        <v>581</v>
      </c>
      <c r="C22" s="167">
        <v>330</v>
      </c>
      <c r="D22" s="317" t="s">
        <v>2580</v>
      </c>
      <c r="E22" s="318"/>
      <c r="F22" s="318"/>
      <c r="G22" s="318"/>
      <c r="H22" s="318"/>
      <c r="I22" s="318"/>
      <c r="J22" s="318"/>
      <c r="K22" s="318"/>
      <c r="L22" s="318"/>
      <c r="M22" s="319"/>
      <c r="O22" s="530" t="str">
        <f t="shared" si="0"/>
        <v xml:space="preserve">C                  </v>
      </c>
      <c r="P22" s="531"/>
      <c r="Q22" s="531"/>
      <c r="R22" s="531"/>
      <c r="S22" s="531"/>
      <c r="T22" s="531"/>
      <c r="U22" s="531"/>
      <c r="V22" s="531"/>
      <c r="W22" s="531"/>
      <c r="X22" s="532"/>
      <c r="AD22" s="542"/>
      <c r="AE22" s="545"/>
    </row>
    <row r="23" spans="2:31" ht="16.5" customHeight="1" x14ac:dyDescent="0.25">
      <c r="B23" s="166" t="s">
        <v>2188</v>
      </c>
      <c r="C23" s="167">
        <v>331</v>
      </c>
      <c r="D23" s="317" t="s">
        <v>2580</v>
      </c>
      <c r="E23" s="318"/>
      <c r="F23" s="318"/>
      <c r="G23" s="318"/>
      <c r="H23" s="318"/>
      <c r="I23" s="318"/>
      <c r="J23" s="318"/>
      <c r="K23" s="318"/>
      <c r="L23" s="318"/>
      <c r="M23" s="319"/>
      <c r="O23" s="530" t="str">
        <f t="shared" si="0"/>
        <v xml:space="preserve">C                  </v>
      </c>
      <c r="P23" s="531"/>
      <c r="Q23" s="531"/>
      <c r="R23" s="531"/>
      <c r="S23" s="531"/>
      <c r="T23" s="531"/>
      <c r="U23" s="531"/>
      <c r="V23" s="531"/>
      <c r="W23" s="531"/>
      <c r="X23" s="532"/>
      <c r="AD23" s="542"/>
      <c r="AE23" s="545"/>
    </row>
    <row r="24" spans="2:31" ht="16.5" customHeight="1" x14ac:dyDescent="0.25">
      <c r="B24" s="166" t="s">
        <v>580</v>
      </c>
      <c r="C24" s="167">
        <v>332</v>
      </c>
      <c r="D24" s="317" t="s">
        <v>2580</v>
      </c>
      <c r="E24" s="318"/>
      <c r="F24" s="318"/>
      <c r="G24" s="318"/>
      <c r="H24" s="318"/>
      <c r="I24" s="318"/>
      <c r="J24" s="318"/>
      <c r="K24" s="318"/>
      <c r="L24" s="318"/>
      <c r="M24" s="319"/>
      <c r="O24" s="530" t="str">
        <f t="shared" si="0"/>
        <v xml:space="preserve">C                  </v>
      </c>
      <c r="P24" s="531"/>
      <c r="Q24" s="531"/>
      <c r="R24" s="531"/>
      <c r="S24" s="531"/>
      <c r="T24" s="531"/>
      <c r="U24" s="531"/>
      <c r="V24" s="531"/>
      <c r="W24" s="531"/>
      <c r="X24" s="532"/>
      <c r="AD24" s="542"/>
      <c r="AE24" s="545"/>
    </row>
    <row r="25" spans="2:31" ht="16.5" customHeight="1" x14ac:dyDescent="0.25">
      <c r="B25" s="166" t="s">
        <v>3879</v>
      </c>
      <c r="C25" s="167">
        <v>333</v>
      </c>
      <c r="D25" s="317" t="s">
        <v>2580</v>
      </c>
      <c r="E25" s="318"/>
      <c r="F25" s="318"/>
      <c r="G25" s="318" t="s">
        <v>2583</v>
      </c>
      <c r="H25" s="318"/>
      <c r="I25" s="318"/>
      <c r="J25" s="318"/>
      <c r="K25" s="318"/>
      <c r="L25" s="318"/>
      <c r="M25" s="319"/>
      <c r="O25" s="530" t="str">
        <f t="shared" si="0"/>
        <v xml:space="preserve">C      P            </v>
      </c>
      <c r="P25" s="531"/>
      <c r="Q25" s="531"/>
      <c r="R25" s="531"/>
      <c r="S25" s="531"/>
      <c r="T25" s="531"/>
      <c r="U25" s="531"/>
      <c r="V25" s="531"/>
      <c r="W25" s="531"/>
      <c r="X25" s="532"/>
      <c r="AD25" s="542"/>
      <c r="AE25" s="546"/>
    </row>
    <row r="26" spans="2:31" ht="16.5" customHeight="1" x14ac:dyDescent="0.25">
      <c r="B26" s="166" t="s">
        <v>3878</v>
      </c>
      <c r="C26" s="167">
        <v>334</v>
      </c>
      <c r="D26" s="317" t="s">
        <v>2580</v>
      </c>
      <c r="E26" s="318"/>
      <c r="F26" s="318"/>
      <c r="G26" s="318" t="s">
        <v>2583</v>
      </c>
      <c r="H26" s="318"/>
      <c r="I26" s="318"/>
      <c r="J26" s="318"/>
      <c r="K26" s="318"/>
      <c r="L26" s="318"/>
      <c r="M26" s="319"/>
      <c r="O26" s="530" t="str">
        <f t="shared" si="0"/>
        <v xml:space="preserve">C      P            </v>
      </c>
      <c r="P26" s="531"/>
      <c r="Q26" s="531"/>
      <c r="R26" s="531"/>
      <c r="S26" s="531"/>
      <c r="T26" s="531"/>
      <c r="U26" s="531"/>
      <c r="V26" s="531"/>
      <c r="W26" s="531"/>
      <c r="X26" s="532"/>
      <c r="AD26" s="542"/>
      <c r="AE26" s="546"/>
    </row>
    <row r="27" spans="2:31" ht="16.5" customHeight="1" x14ac:dyDescent="0.25">
      <c r="B27" s="166" t="s">
        <v>647</v>
      </c>
      <c r="C27" s="167">
        <v>338</v>
      </c>
      <c r="D27" s="317" t="s">
        <v>2580</v>
      </c>
      <c r="E27" s="318" t="s">
        <v>2581</v>
      </c>
      <c r="F27" s="318" t="s">
        <v>2582</v>
      </c>
      <c r="G27" s="318" t="s">
        <v>2583</v>
      </c>
      <c r="H27" s="318" t="s">
        <v>2584</v>
      </c>
      <c r="I27" s="318"/>
      <c r="J27" s="318"/>
      <c r="K27" s="318"/>
      <c r="L27" s="318" t="s">
        <v>2587</v>
      </c>
      <c r="M27" s="319" t="s">
        <v>2588</v>
      </c>
      <c r="O27" s="530" t="str">
        <f t="shared" si="0"/>
        <v>C  F  R  P  Pr        O  AL</v>
      </c>
      <c r="P27" s="531"/>
      <c r="Q27" s="531"/>
      <c r="R27" s="531"/>
      <c r="S27" s="531"/>
      <c r="T27" s="531"/>
      <c r="U27" s="531"/>
      <c r="V27" s="531"/>
      <c r="W27" s="531"/>
      <c r="X27" s="532"/>
      <c r="AD27" s="542"/>
      <c r="AE27" s="545"/>
    </row>
    <row r="28" spans="2:31" ht="16.5" customHeight="1" x14ac:dyDescent="0.25">
      <c r="B28" s="166" t="s">
        <v>582</v>
      </c>
      <c r="C28" s="167">
        <v>340</v>
      </c>
      <c r="D28" s="317" t="s">
        <v>2580</v>
      </c>
      <c r="E28" s="318" t="s">
        <v>2581</v>
      </c>
      <c r="F28" s="318" t="s">
        <v>2582</v>
      </c>
      <c r="G28" s="318" t="s">
        <v>2583</v>
      </c>
      <c r="H28" s="318" t="s">
        <v>2584</v>
      </c>
      <c r="I28" s="318"/>
      <c r="J28" s="318"/>
      <c r="K28" s="318"/>
      <c r="L28" s="318" t="s">
        <v>2587</v>
      </c>
      <c r="M28" s="319" t="s">
        <v>2588</v>
      </c>
      <c r="O28" s="530" t="str">
        <f t="shared" si="0"/>
        <v>C  F  R  P  Pr        O  AL</v>
      </c>
      <c r="P28" s="531"/>
      <c r="Q28" s="531"/>
      <c r="R28" s="531"/>
      <c r="S28" s="531"/>
      <c r="T28" s="531"/>
      <c r="U28" s="531"/>
      <c r="V28" s="531"/>
      <c r="W28" s="531"/>
      <c r="X28" s="532"/>
      <c r="AD28" s="542"/>
      <c r="AE28" s="545"/>
    </row>
    <row r="29" spans="2:31" ht="16.5" customHeight="1" x14ac:dyDescent="0.25">
      <c r="B29" s="166" t="s">
        <v>583</v>
      </c>
      <c r="C29" s="167">
        <v>342</v>
      </c>
      <c r="D29" s="317" t="s">
        <v>2580</v>
      </c>
      <c r="E29" s="318" t="s">
        <v>2581</v>
      </c>
      <c r="F29" s="318" t="s">
        <v>2582</v>
      </c>
      <c r="G29" s="318" t="s">
        <v>2583</v>
      </c>
      <c r="H29" s="318" t="s">
        <v>2584</v>
      </c>
      <c r="I29" s="318" t="s">
        <v>2585</v>
      </c>
      <c r="J29" s="318" t="s">
        <v>2589</v>
      </c>
      <c r="K29" s="318"/>
      <c r="L29" s="318" t="s">
        <v>2587</v>
      </c>
      <c r="M29" s="319" t="s">
        <v>2588</v>
      </c>
      <c r="O29" s="530" t="str">
        <f t="shared" si="0"/>
        <v>C  F  R  P  Pr  FS  D    O  AL</v>
      </c>
      <c r="P29" s="531"/>
      <c r="Q29" s="531"/>
      <c r="R29" s="531"/>
      <c r="S29" s="531"/>
      <c r="T29" s="531"/>
      <c r="U29" s="531"/>
      <c r="V29" s="531"/>
      <c r="W29" s="531"/>
      <c r="X29" s="532"/>
      <c r="AD29" s="542"/>
      <c r="AE29" s="545"/>
    </row>
    <row r="30" spans="2:31" ht="16.5" customHeight="1" x14ac:dyDescent="0.25">
      <c r="B30" s="166" t="s">
        <v>3712</v>
      </c>
      <c r="C30" s="167">
        <v>345</v>
      </c>
      <c r="D30" s="317" t="s">
        <v>2580</v>
      </c>
      <c r="E30" s="318"/>
      <c r="F30" s="318"/>
      <c r="G30" s="318" t="s">
        <v>2583</v>
      </c>
      <c r="H30" s="318"/>
      <c r="I30" s="318"/>
      <c r="J30" s="318"/>
      <c r="K30" s="318"/>
      <c r="L30" s="318" t="s">
        <v>2587</v>
      </c>
      <c r="M30" s="319"/>
      <c r="O30" s="530" t="str">
        <f t="shared" si="0"/>
        <v xml:space="preserve">C      P          O  </v>
      </c>
      <c r="P30" s="531"/>
      <c r="Q30" s="531"/>
      <c r="R30" s="531"/>
      <c r="S30" s="531"/>
      <c r="T30" s="531"/>
      <c r="U30" s="531"/>
      <c r="V30" s="531"/>
      <c r="W30" s="531"/>
      <c r="X30" s="532"/>
      <c r="AD30" s="542"/>
      <c r="AE30" s="545"/>
    </row>
    <row r="31" spans="2:31" ht="16.5" customHeight="1" x14ac:dyDescent="0.25">
      <c r="B31" s="166" t="s">
        <v>587</v>
      </c>
      <c r="C31" s="167">
        <v>348</v>
      </c>
      <c r="D31" s="317" t="s">
        <v>2580</v>
      </c>
      <c r="E31" s="318" t="s">
        <v>2581</v>
      </c>
      <c r="F31" s="318" t="s">
        <v>2582</v>
      </c>
      <c r="G31" s="318" t="s">
        <v>2583</v>
      </c>
      <c r="H31" s="318" t="s">
        <v>2584</v>
      </c>
      <c r="I31" s="318" t="s">
        <v>2585</v>
      </c>
      <c r="J31" s="318" t="s">
        <v>2589</v>
      </c>
      <c r="K31" s="318" t="s">
        <v>2577</v>
      </c>
      <c r="L31" s="318" t="s">
        <v>2587</v>
      </c>
      <c r="M31" s="319" t="s">
        <v>2588</v>
      </c>
      <c r="O31" s="530" t="str">
        <f t="shared" si="0"/>
        <v>C  F  R  P  Pr  FS  D  W  O  AL</v>
      </c>
      <c r="P31" s="531"/>
      <c r="Q31" s="531"/>
      <c r="R31" s="531"/>
      <c r="S31" s="531"/>
      <c r="T31" s="531"/>
      <c r="U31" s="531"/>
      <c r="V31" s="531"/>
      <c r="W31" s="531"/>
      <c r="X31" s="532"/>
      <c r="AD31" s="542"/>
      <c r="AE31" s="545"/>
    </row>
    <row r="32" spans="2:31" ht="16.5" customHeight="1" x14ac:dyDescent="0.25">
      <c r="B32" s="166" t="s">
        <v>54</v>
      </c>
      <c r="C32" s="168">
        <v>350</v>
      </c>
      <c r="D32" s="317" t="s">
        <v>2580</v>
      </c>
      <c r="E32" s="318" t="s">
        <v>2581</v>
      </c>
      <c r="F32" s="318" t="s">
        <v>2582</v>
      </c>
      <c r="G32" s="318" t="s">
        <v>2583</v>
      </c>
      <c r="H32" s="318" t="s">
        <v>2584</v>
      </c>
      <c r="I32" s="318" t="s">
        <v>2585</v>
      </c>
      <c r="J32" s="318" t="s">
        <v>2589</v>
      </c>
      <c r="K32" s="318"/>
      <c r="L32" s="318" t="s">
        <v>2587</v>
      </c>
      <c r="M32" s="319" t="s">
        <v>2588</v>
      </c>
      <c r="O32" s="530" t="str">
        <f t="shared" si="0"/>
        <v>C  F  R  P  Pr  FS  D    O  AL</v>
      </c>
      <c r="P32" s="531"/>
      <c r="Q32" s="531"/>
      <c r="R32" s="531"/>
      <c r="S32" s="531"/>
      <c r="T32" s="531"/>
      <c r="U32" s="531"/>
      <c r="V32" s="531"/>
      <c r="W32" s="531"/>
      <c r="X32" s="532"/>
      <c r="AD32" s="542"/>
      <c r="AE32" s="548"/>
    </row>
    <row r="33" spans="2:31" ht="16.5" customHeight="1" x14ac:dyDescent="0.25">
      <c r="B33" s="166" t="s">
        <v>1799</v>
      </c>
      <c r="C33" s="167">
        <v>351</v>
      </c>
      <c r="D33" s="317" t="s">
        <v>2580</v>
      </c>
      <c r="E33" s="318" t="s">
        <v>2581</v>
      </c>
      <c r="F33" s="318" t="s">
        <v>2582</v>
      </c>
      <c r="G33" s="318" t="s">
        <v>2583</v>
      </c>
      <c r="H33" s="318" t="s">
        <v>2584</v>
      </c>
      <c r="I33" s="318" t="s">
        <v>2585</v>
      </c>
      <c r="J33" s="318" t="s">
        <v>2589</v>
      </c>
      <c r="K33" s="318"/>
      <c r="L33" s="318" t="s">
        <v>2587</v>
      </c>
      <c r="M33" s="319" t="s">
        <v>2588</v>
      </c>
      <c r="O33" s="530" t="str">
        <f t="shared" si="0"/>
        <v>C  F  R  P  Pr  FS  D    O  AL</v>
      </c>
      <c r="P33" s="531"/>
      <c r="Q33" s="531"/>
      <c r="R33" s="531"/>
      <c r="S33" s="531"/>
      <c r="T33" s="531"/>
      <c r="U33" s="531"/>
      <c r="V33" s="531"/>
      <c r="W33" s="531"/>
      <c r="X33" s="532"/>
      <c r="AD33" s="542"/>
      <c r="AE33" s="545"/>
    </row>
    <row r="34" spans="2:31" ht="16.5" customHeight="1" x14ac:dyDescent="0.25">
      <c r="B34" s="166" t="s">
        <v>1031</v>
      </c>
      <c r="C34" s="167">
        <v>353</v>
      </c>
      <c r="D34" s="317"/>
      <c r="E34" s="318"/>
      <c r="F34" s="318"/>
      <c r="G34" s="318"/>
      <c r="H34" s="318"/>
      <c r="I34" s="318" t="s">
        <v>2585</v>
      </c>
      <c r="J34" s="318"/>
      <c r="K34" s="318"/>
      <c r="L34" s="318"/>
      <c r="M34" s="319"/>
      <c r="O34" s="530" t="str">
        <f t="shared" si="0"/>
        <v xml:space="preserve">          FS        </v>
      </c>
      <c r="P34" s="531"/>
      <c r="Q34" s="531"/>
      <c r="R34" s="531"/>
      <c r="S34" s="531"/>
      <c r="T34" s="531"/>
      <c r="U34" s="531"/>
      <c r="V34" s="531"/>
      <c r="W34" s="531"/>
      <c r="X34" s="532"/>
      <c r="AD34" s="542"/>
      <c r="AE34" s="545"/>
    </row>
    <row r="35" spans="2:31" ht="16.5" customHeight="1" x14ac:dyDescent="0.25">
      <c r="B35" s="166" t="s">
        <v>307</v>
      </c>
      <c r="C35" s="167">
        <v>355</v>
      </c>
      <c r="D35" s="317" t="s">
        <v>2580</v>
      </c>
      <c r="E35" s="318" t="s">
        <v>2581</v>
      </c>
      <c r="F35" s="318" t="s">
        <v>2582</v>
      </c>
      <c r="G35" s="318" t="s">
        <v>2583</v>
      </c>
      <c r="H35" s="318" t="s">
        <v>2584</v>
      </c>
      <c r="I35" s="318" t="s">
        <v>2585</v>
      </c>
      <c r="J35" s="318" t="s">
        <v>2589</v>
      </c>
      <c r="K35" s="318"/>
      <c r="L35" s="318" t="s">
        <v>2587</v>
      </c>
      <c r="M35" s="319" t="s">
        <v>2588</v>
      </c>
      <c r="O35" s="530" t="str">
        <f t="shared" si="0"/>
        <v>C  F  R  P  Pr  FS  D    O  AL</v>
      </c>
      <c r="P35" s="531"/>
      <c r="Q35" s="531"/>
      <c r="R35" s="531"/>
      <c r="S35" s="531"/>
      <c r="T35" s="531"/>
      <c r="U35" s="531"/>
      <c r="V35" s="531"/>
      <c r="W35" s="531"/>
      <c r="X35" s="532"/>
      <c r="AD35" s="542"/>
      <c r="AE35" s="545"/>
    </row>
    <row r="36" spans="2:31" ht="16.5" customHeight="1" x14ac:dyDescent="0.25">
      <c r="B36" s="166" t="s">
        <v>589</v>
      </c>
      <c r="C36" s="167">
        <v>356</v>
      </c>
      <c r="D36" s="317" t="s">
        <v>2580</v>
      </c>
      <c r="E36" s="318" t="s">
        <v>2581</v>
      </c>
      <c r="F36" s="318" t="s">
        <v>2582</v>
      </c>
      <c r="G36" s="318" t="s">
        <v>2583</v>
      </c>
      <c r="H36" s="318" t="s">
        <v>2584</v>
      </c>
      <c r="I36" s="318" t="s">
        <v>2585</v>
      </c>
      <c r="J36" s="318" t="s">
        <v>2589</v>
      </c>
      <c r="K36" s="318" t="s">
        <v>2577</v>
      </c>
      <c r="L36" s="318" t="s">
        <v>2587</v>
      </c>
      <c r="M36" s="319" t="s">
        <v>2588</v>
      </c>
      <c r="O36" s="530" t="str">
        <f t="shared" si="0"/>
        <v>C  F  R  P  Pr  FS  D  W  O  AL</v>
      </c>
      <c r="P36" s="531"/>
      <c r="Q36" s="531"/>
      <c r="R36" s="531"/>
      <c r="S36" s="531"/>
      <c r="T36" s="531"/>
      <c r="U36" s="531"/>
      <c r="V36" s="531"/>
      <c r="W36" s="531"/>
      <c r="X36" s="532"/>
      <c r="AD36" s="542"/>
      <c r="AE36" s="545"/>
    </row>
    <row r="37" spans="2:31" ht="16.5" customHeight="1" x14ac:dyDescent="0.25">
      <c r="B37" s="166" t="s">
        <v>1151</v>
      </c>
      <c r="C37" s="167">
        <v>359</v>
      </c>
      <c r="D37" s="317"/>
      <c r="E37" s="318"/>
      <c r="F37" s="318"/>
      <c r="G37" s="318"/>
      <c r="H37" s="318"/>
      <c r="I37" s="318" t="s">
        <v>2585</v>
      </c>
      <c r="J37" s="318"/>
      <c r="K37" s="318"/>
      <c r="L37" s="318"/>
      <c r="M37" s="319"/>
      <c r="O37" s="530" t="str">
        <f t="shared" si="0"/>
        <v xml:space="preserve">          FS        </v>
      </c>
      <c r="P37" s="531"/>
      <c r="Q37" s="531"/>
      <c r="R37" s="531"/>
      <c r="S37" s="531"/>
      <c r="T37" s="531"/>
      <c r="U37" s="531"/>
      <c r="V37" s="531"/>
      <c r="W37" s="531"/>
      <c r="X37" s="532"/>
      <c r="AD37" s="542"/>
      <c r="AE37" s="545"/>
    </row>
    <row r="38" spans="2:31" ht="16.5" customHeight="1" x14ac:dyDescent="0.25">
      <c r="B38" s="166" t="s">
        <v>1782</v>
      </c>
      <c r="C38" s="167">
        <v>360</v>
      </c>
      <c r="D38" s="317"/>
      <c r="E38" s="318"/>
      <c r="F38" s="318"/>
      <c r="G38" s="318"/>
      <c r="H38" s="318"/>
      <c r="I38" s="318" t="s">
        <v>2585</v>
      </c>
      <c r="J38" s="318"/>
      <c r="K38" s="318"/>
      <c r="L38" s="318"/>
      <c r="M38" s="319"/>
      <c r="O38" s="530" t="str">
        <f t="shared" si="0"/>
        <v xml:space="preserve">          FS        </v>
      </c>
      <c r="P38" s="531"/>
      <c r="Q38" s="531"/>
      <c r="R38" s="531"/>
      <c r="S38" s="531"/>
      <c r="T38" s="531"/>
      <c r="U38" s="531"/>
      <c r="V38" s="531"/>
      <c r="W38" s="531"/>
      <c r="X38" s="532"/>
      <c r="AD38" s="542"/>
      <c r="AE38" s="545"/>
    </row>
    <row r="39" spans="2:31" ht="16.5" customHeight="1" x14ac:dyDescent="0.25">
      <c r="B39" s="166" t="s">
        <v>590</v>
      </c>
      <c r="C39" s="167">
        <v>362</v>
      </c>
      <c r="D39" s="317" t="s">
        <v>2580</v>
      </c>
      <c r="E39" s="318" t="s">
        <v>2581</v>
      </c>
      <c r="F39" s="318" t="s">
        <v>2582</v>
      </c>
      <c r="G39" s="318" t="s">
        <v>2583</v>
      </c>
      <c r="H39" s="318" t="s">
        <v>2584</v>
      </c>
      <c r="I39" s="318" t="s">
        <v>2585</v>
      </c>
      <c r="J39" s="318" t="s">
        <v>2589</v>
      </c>
      <c r="K39" s="318"/>
      <c r="L39" s="318" t="s">
        <v>2587</v>
      </c>
      <c r="M39" s="319" t="s">
        <v>2588</v>
      </c>
      <c r="O39" s="530" t="str">
        <f t="shared" si="0"/>
        <v>C  F  R  P  Pr  FS  D    O  AL</v>
      </c>
      <c r="P39" s="531"/>
      <c r="Q39" s="531"/>
      <c r="R39" s="531"/>
      <c r="S39" s="531"/>
      <c r="T39" s="531"/>
      <c r="U39" s="531"/>
      <c r="V39" s="531"/>
      <c r="W39" s="531"/>
      <c r="X39" s="532"/>
      <c r="AD39" s="542"/>
      <c r="AE39" s="545"/>
    </row>
    <row r="40" spans="2:31" ht="16.5" customHeight="1" x14ac:dyDescent="0.25">
      <c r="B40" s="166" t="s">
        <v>528</v>
      </c>
      <c r="C40" s="167">
        <v>366</v>
      </c>
      <c r="D40" s="317"/>
      <c r="E40" s="318"/>
      <c r="F40" s="318"/>
      <c r="G40" s="318"/>
      <c r="H40" s="318"/>
      <c r="I40" s="318" t="s">
        <v>2585</v>
      </c>
      <c r="J40" s="318"/>
      <c r="K40" s="318"/>
      <c r="L40" s="318"/>
      <c r="M40" s="319"/>
      <c r="O40" s="530" t="str">
        <f t="shared" si="0"/>
        <v xml:space="preserve">          FS        </v>
      </c>
      <c r="P40" s="531"/>
      <c r="Q40" s="531"/>
      <c r="R40" s="531"/>
      <c r="S40" s="531"/>
      <c r="T40" s="531"/>
      <c r="U40" s="531"/>
      <c r="V40" s="531"/>
      <c r="W40" s="531"/>
      <c r="X40" s="532"/>
      <c r="AD40" s="542"/>
      <c r="AE40" s="547"/>
    </row>
    <row r="41" spans="2:31" ht="16.5" customHeight="1" x14ac:dyDescent="0.25">
      <c r="B41" s="166" t="s">
        <v>1521</v>
      </c>
      <c r="C41" s="168">
        <v>367</v>
      </c>
      <c r="D41" s="317"/>
      <c r="E41" s="318"/>
      <c r="F41" s="318"/>
      <c r="G41" s="318"/>
      <c r="H41" s="318"/>
      <c r="I41" s="318" t="s">
        <v>2585</v>
      </c>
      <c r="J41" s="318" t="s">
        <v>2589</v>
      </c>
      <c r="K41" s="318"/>
      <c r="L41" s="318"/>
      <c r="M41" s="319"/>
      <c r="O41" s="530" t="str">
        <f t="shared" si="0"/>
        <v xml:space="preserve">          FS  D      </v>
      </c>
      <c r="P41" s="531"/>
      <c r="Q41" s="531"/>
      <c r="R41" s="531"/>
      <c r="S41" s="531"/>
      <c r="T41" s="531"/>
      <c r="U41" s="531"/>
      <c r="V41" s="531"/>
      <c r="W41" s="531"/>
      <c r="X41" s="532"/>
      <c r="AD41" s="542"/>
      <c r="AE41" s="548"/>
    </row>
    <row r="42" spans="2:31" ht="16.5" customHeight="1" x14ac:dyDescent="0.25">
      <c r="B42" s="166" t="s">
        <v>3876</v>
      </c>
      <c r="C42" s="168">
        <v>368</v>
      </c>
      <c r="D42" s="317"/>
      <c r="E42" s="318"/>
      <c r="F42" s="318"/>
      <c r="G42" s="318"/>
      <c r="H42" s="318"/>
      <c r="I42" s="318" t="s">
        <v>2585</v>
      </c>
      <c r="J42" s="318"/>
      <c r="K42" s="318"/>
      <c r="L42" s="318"/>
      <c r="M42" s="319"/>
      <c r="O42" s="530" t="str">
        <f t="shared" si="0"/>
        <v xml:space="preserve">          FS        </v>
      </c>
      <c r="P42" s="531"/>
      <c r="Q42" s="531"/>
      <c r="R42" s="531"/>
      <c r="S42" s="531"/>
      <c r="T42" s="531"/>
      <c r="U42" s="531"/>
      <c r="V42" s="531"/>
      <c r="W42" s="531"/>
      <c r="X42" s="532"/>
      <c r="AD42" s="542"/>
      <c r="AE42" s="546"/>
    </row>
    <row r="43" spans="2:31" ht="16.5" customHeight="1" x14ac:dyDescent="0.25">
      <c r="B43" s="166" t="s">
        <v>1771</v>
      </c>
      <c r="C43" s="167">
        <v>371</v>
      </c>
      <c r="D43" s="317"/>
      <c r="E43" s="318"/>
      <c r="F43" s="318"/>
      <c r="G43" s="318"/>
      <c r="H43" s="318"/>
      <c r="I43" s="318" t="s">
        <v>2585</v>
      </c>
      <c r="J43" s="318" t="s">
        <v>2589</v>
      </c>
      <c r="K43" s="318"/>
      <c r="L43" s="318"/>
      <c r="M43" s="319"/>
      <c r="O43" s="530" t="str">
        <f t="shared" si="0"/>
        <v xml:space="preserve">          FS  D      </v>
      </c>
      <c r="P43" s="531"/>
      <c r="Q43" s="531"/>
      <c r="R43" s="531"/>
      <c r="S43" s="531"/>
      <c r="T43" s="531"/>
      <c r="U43" s="531"/>
      <c r="V43" s="531"/>
      <c r="W43" s="531"/>
      <c r="X43" s="532"/>
      <c r="AD43" s="542"/>
      <c r="AE43" s="545"/>
    </row>
    <row r="44" spans="2:31" ht="16.5" customHeight="1" x14ac:dyDescent="0.25">
      <c r="B44" s="166" t="s">
        <v>1775</v>
      </c>
      <c r="C44" s="167">
        <v>372</v>
      </c>
      <c r="D44" s="317" t="s">
        <v>2580</v>
      </c>
      <c r="E44" s="318" t="s">
        <v>2581</v>
      </c>
      <c r="F44" s="318" t="s">
        <v>2582</v>
      </c>
      <c r="G44" s="318" t="s">
        <v>2583</v>
      </c>
      <c r="H44" s="318" t="s">
        <v>2584</v>
      </c>
      <c r="I44" s="318" t="s">
        <v>2585</v>
      </c>
      <c r="J44" s="318" t="s">
        <v>2589</v>
      </c>
      <c r="K44" s="318" t="s">
        <v>2577</v>
      </c>
      <c r="L44" s="318" t="s">
        <v>2587</v>
      </c>
      <c r="M44" s="319" t="s">
        <v>2588</v>
      </c>
      <c r="O44" s="530" t="str">
        <f t="shared" si="0"/>
        <v>C  F  R  P  Pr  FS  D  W  O  AL</v>
      </c>
      <c r="P44" s="531"/>
      <c r="Q44" s="531"/>
      <c r="R44" s="531"/>
      <c r="S44" s="531"/>
      <c r="T44" s="531"/>
      <c r="U44" s="531"/>
      <c r="V44" s="531"/>
      <c r="W44" s="531"/>
      <c r="X44" s="532"/>
      <c r="AD44" s="542"/>
      <c r="AE44" s="545"/>
    </row>
    <row r="45" spans="2:31" ht="16.5" customHeight="1" x14ac:dyDescent="0.25">
      <c r="B45" s="166" t="s">
        <v>1779</v>
      </c>
      <c r="C45" s="167">
        <v>373</v>
      </c>
      <c r="D45" s="317" t="s">
        <v>2580</v>
      </c>
      <c r="E45" s="318" t="s">
        <v>2581</v>
      </c>
      <c r="F45" s="318" t="s">
        <v>2582</v>
      </c>
      <c r="G45" s="318" t="s">
        <v>2583</v>
      </c>
      <c r="H45" s="318" t="s">
        <v>2584</v>
      </c>
      <c r="I45" s="318" t="s">
        <v>2585</v>
      </c>
      <c r="J45" s="318" t="s">
        <v>2589</v>
      </c>
      <c r="K45" s="318"/>
      <c r="L45" s="318" t="s">
        <v>2587</v>
      </c>
      <c r="M45" s="319" t="s">
        <v>2588</v>
      </c>
      <c r="O45" s="530" t="str">
        <f t="shared" si="0"/>
        <v>C  F  R  P  Pr  FS  D    O  AL</v>
      </c>
      <c r="P45" s="531"/>
      <c r="Q45" s="531"/>
      <c r="R45" s="531"/>
      <c r="S45" s="531"/>
      <c r="T45" s="531"/>
      <c r="U45" s="531"/>
      <c r="V45" s="531"/>
      <c r="W45" s="531"/>
      <c r="X45" s="532"/>
      <c r="AD45" s="542"/>
      <c r="AE45" s="545"/>
    </row>
    <row r="46" spans="2:31" ht="16.5" customHeight="1" x14ac:dyDescent="0.25">
      <c r="B46" s="166" t="s">
        <v>1988</v>
      </c>
      <c r="C46" s="167">
        <v>374</v>
      </c>
      <c r="D46" s="317" t="s">
        <v>2580</v>
      </c>
      <c r="E46" s="318" t="s">
        <v>2581</v>
      </c>
      <c r="F46" s="318" t="s">
        <v>2582</v>
      </c>
      <c r="G46" s="318" t="s">
        <v>2583</v>
      </c>
      <c r="H46" s="318" t="s">
        <v>2584</v>
      </c>
      <c r="I46" s="318"/>
      <c r="J46" s="318"/>
      <c r="K46" s="318"/>
      <c r="L46" s="318" t="s">
        <v>2587</v>
      </c>
      <c r="M46" s="319"/>
      <c r="O46" s="530" t="str">
        <f t="shared" si="0"/>
        <v xml:space="preserve">C  F  R  P  Pr        O  </v>
      </c>
      <c r="P46" s="531"/>
      <c r="Q46" s="531"/>
      <c r="R46" s="531"/>
      <c r="S46" s="531"/>
      <c r="T46" s="531"/>
      <c r="U46" s="531"/>
      <c r="V46" s="531"/>
      <c r="W46" s="531"/>
      <c r="X46" s="532"/>
      <c r="AD46" s="542"/>
      <c r="AE46" s="545"/>
    </row>
    <row r="47" spans="2:31" ht="16.5" customHeight="1" x14ac:dyDescent="0.25">
      <c r="B47" s="166" t="s">
        <v>1783</v>
      </c>
      <c r="C47" s="167">
        <v>375</v>
      </c>
      <c r="D47" s="317"/>
      <c r="E47" s="318"/>
      <c r="F47" s="318"/>
      <c r="G47" s="318"/>
      <c r="H47" s="318"/>
      <c r="I47" s="318" t="s">
        <v>2585</v>
      </c>
      <c r="J47" s="318"/>
      <c r="K47" s="318"/>
      <c r="L47" s="318"/>
      <c r="M47" s="319"/>
      <c r="O47" s="530" t="str">
        <f t="shared" si="0"/>
        <v xml:space="preserve">          FS        </v>
      </c>
      <c r="P47" s="531"/>
      <c r="Q47" s="531"/>
      <c r="R47" s="531"/>
      <c r="S47" s="531"/>
      <c r="T47" s="531"/>
      <c r="U47" s="531"/>
      <c r="V47" s="531"/>
      <c r="W47" s="531"/>
      <c r="X47" s="532"/>
      <c r="AD47" s="542"/>
      <c r="AE47" s="545"/>
    </row>
    <row r="48" spans="2:31" ht="16.5" customHeight="1" x14ac:dyDescent="0.25">
      <c r="B48" s="166" t="s">
        <v>3875</v>
      </c>
      <c r="C48" s="167">
        <v>376</v>
      </c>
      <c r="D48" s="317" t="s">
        <v>2580</v>
      </c>
      <c r="E48" s="318" t="s">
        <v>2581</v>
      </c>
      <c r="F48" s="318" t="s">
        <v>2582</v>
      </c>
      <c r="G48" s="318" t="s">
        <v>2583</v>
      </c>
      <c r="H48" s="318"/>
      <c r="I48" s="318"/>
      <c r="J48" s="318"/>
      <c r="K48" s="318"/>
      <c r="L48" s="318"/>
      <c r="M48" s="319" t="s">
        <v>2588</v>
      </c>
      <c r="O48" s="530" t="str">
        <f t="shared" si="0"/>
        <v>C  F  R  P            AL</v>
      </c>
      <c r="P48" s="531"/>
      <c r="Q48" s="531"/>
      <c r="R48" s="531"/>
      <c r="S48" s="531"/>
      <c r="T48" s="531"/>
      <c r="U48" s="531"/>
      <c r="V48" s="531"/>
      <c r="W48" s="531"/>
      <c r="X48" s="532"/>
      <c r="AD48" s="542"/>
      <c r="AE48" s="546"/>
    </row>
    <row r="49" spans="2:31" ht="16.5" customHeight="1" x14ac:dyDescent="0.25">
      <c r="B49" s="166" t="s">
        <v>641</v>
      </c>
      <c r="C49" s="167">
        <v>378</v>
      </c>
      <c r="D49" s="317" t="s">
        <v>2580</v>
      </c>
      <c r="E49" s="318" t="s">
        <v>2581</v>
      </c>
      <c r="F49" s="318" t="s">
        <v>2582</v>
      </c>
      <c r="G49" s="318" t="s">
        <v>2583</v>
      </c>
      <c r="H49" s="318" t="s">
        <v>2584</v>
      </c>
      <c r="I49" s="318" t="s">
        <v>2585</v>
      </c>
      <c r="J49" s="318" t="s">
        <v>2589</v>
      </c>
      <c r="K49" s="318"/>
      <c r="L49" s="318" t="s">
        <v>2587</v>
      </c>
      <c r="M49" s="319" t="s">
        <v>2588</v>
      </c>
      <c r="O49" s="530" t="str">
        <f t="shared" si="0"/>
        <v>C  F  R  P  Pr  FS  D    O  AL</v>
      </c>
      <c r="P49" s="531"/>
      <c r="Q49" s="531"/>
      <c r="R49" s="531"/>
      <c r="S49" s="531"/>
      <c r="T49" s="531"/>
      <c r="U49" s="531"/>
      <c r="V49" s="531"/>
      <c r="W49" s="531"/>
      <c r="X49" s="532"/>
      <c r="AD49" s="542"/>
      <c r="AE49" s="545"/>
    </row>
    <row r="50" spans="2:31" ht="16.5" customHeight="1" x14ac:dyDescent="0.25">
      <c r="B50" s="166" t="s">
        <v>1218</v>
      </c>
      <c r="C50" s="167">
        <v>379</v>
      </c>
      <c r="D50" s="317" t="s">
        <v>2580</v>
      </c>
      <c r="E50" s="318" t="s">
        <v>2581</v>
      </c>
      <c r="F50" s="318"/>
      <c r="G50" s="318" t="s">
        <v>2583</v>
      </c>
      <c r="H50" s="318"/>
      <c r="I50" s="318"/>
      <c r="J50" s="318"/>
      <c r="K50" s="318"/>
      <c r="L50" s="318"/>
      <c r="M50" s="319"/>
      <c r="O50" s="530" t="str">
        <f t="shared" si="0"/>
        <v xml:space="preserve">C  F    P            </v>
      </c>
      <c r="P50" s="531"/>
      <c r="Q50" s="531"/>
      <c r="R50" s="531"/>
      <c r="S50" s="531"/>
      <c r="T50" s="531"/>
      <c r="U50" s="531"/>
      <c r="V50" s="531"/>
      <c r="W50" s="531"/>
      <c r="X50" s="532"/>
      <c r="AD50" s="542"/>
      <c r="AE50" s="545"/>
    </row>
    <row r="51" spans="2:31" ht="16.5" customHeight="1" x14ac:dyDescent="0.25">
      <c r="B51" s="166" t="s">
        <v>1381</v>
      </c>
      <c r="C51" s="167">
        <v>380</v>
      </c>
      <c r="D51" s="317" t="s">
        <v>2580</v>
      </c>
      <c r="E51" s="318"/>
      <c r="F51" s="318"/>
      <c r="G51" s="318" t="s">
        <v>2583</v>
      </c>
      <c r="H51" s="318"/>
      <c r="I51" s="318" t="s">
        <v>2585</v>
      </c>
      <c r="J51" s="318" t="s">
        <v>2589</v>
      </c>
      <c r="K51" s="318"/>
      <c r="L51" s="318" t="s">
        <v>2587</v>
      </c>
      <c r="M51" s="319" t="s">
        <v>2588</v>
      </c>
      <c r="O51" s="530" t="str">
        <f t="shared" si="0"/>
        <v>C      P    FS  D    O  AL</v>
      </c>
      <c r="P51" s="531"/>
      <c r="Q51" s="531"/>
      <c r="R51" s="531"/>
      <c r="S51" s="531"/>
      <c r="T51" s="531"/>
      <c r="U51" s="531"/>
      <c r="V51" s="531"/>
      <c r="W51" s="531"/>
      <c r="X51" s="532"/>
      <c r="AD51" s="542"/>
      <c r="AE51" s="545"/>
    </row>
    <row r="52" spans="2:31" ht="16.5" customHeight="1" x14ac:dyDescent="0.25">
      <c r="B52" s="166" t="s">
        <v>350</v>
      </c>
      <c r="C52" s="167">
        <v>381</v>
      </c>
      <c r="D52" s="317"/>
      <c r="E52" s="318" t="s">
        <v>2581</v>
      </c>
      <c r="F52" s="318"/>
      <c r="G52" s="318" t="s">
        <v>2583</v>
      </c>
      <c r="H52" s="318"/>
      <c r="I52" s="318"/>
      <c r="J52" s="318"/>
      <c r="K52" s="318"/>
      <c r="L52" s="318"/>
      <c r="M52" s="319"/>
      <c r="O52" s="530" t="str">
        <f t="shared" si="0"/>
        <v xml:space="preserve">  F    P            </v>
      </c>
      <c r="P52" s="531"/>
      <c r="Q52" s="531"/>
      <c r="R52" s="531"/>
      <c r="S52" s="531"/>
      <c r="T52" s="531"/>
      <c r="U52" s="531"/>
      <c r="V52" s="531"/>
      <c r="W52" s="531"/>
      <c r="X52" s="532"/>
      <c r="AD52" s="542"/>
      <c r="AE52" s="545"/>
    </row>
    <row r="53" spans="2:31" ht="16.5" customHeight="1" x14ac:dyDescent="0.25">
      <c r="B53" s="166" t="s">
        <v>595</v>
      </c>
      <c r="C53" s="167">
        <v>382</v>
      </c>
      <c r="D53" s="317" t="s">
        <v>2580</v>
      </c>
      <c r="E53" s="318" t="s">
        <v>2581</v>
      </c>
      <c r="F53" s="318" t="s">
        <v>2582</v>
      </c>
      <c r="G53" s="318" t="s">
        <v>2583</v>
      </c>
      <c r="H53" s="318" t="s">
        <v>2584</v>
      </c>
      <c r="I53" s="318" t="s">
        <v>2585</v>
      </c>
      <c r="J53" s="318" t="s">
        <v>2589</v>
      </c>
      <c r="K53" s="318" t="s">
        <v>2577</v>
      </c>
      <c r="L53" s="318" t="s">
        <v>2587</v>
      </c>
      <c r="M53" s="319" t="s">
        <v>2588</v>
      </c>
      <c r="O53" s="530" t="str">
        <f t="shared" si="0"/>
        <v>C  F  R  P  Pr  FS  D  W  O  AL</v>
      </c>
      <c r="P53" s="531"/>
      <c r="Q53" s="531"/>
      <c r="R53" s="531"/>
      <c r="S53" s="531"/>
      <c r="T53" s="531"/>
      <c r="U53" s="531"/>
      <c r="V53" s="531"/>
      <c r="W53" s="531"/>
      <c r="X53" s="532"/>
      <c r="AD53" s="542"/>
      <c r="AE53" s="545"/>
    </row>
    <row r="54" spans="2:31" ht="16.5" customHeight="1" x14ac:dyDescent="0.25">
      <c r="B54" s="166" t="s">
        <v>626</v>
      </c>
      <c r="C54" s="167">
        <v>383</v>
      </c>
      <c r="D54" s="317"/>
      <c r="E54" s="318" t="s">
        <v>2581</v>
      </c>
      <c r="F54" s="318" t="s">
        <v>2582</v>
      </c>
      <c r="G54" s="318"/>
      <c r="H54" s="318" t="s">
        <v>2584</v>
      </c>
      <c r="I54" s="318" t="s">
        <v>2585</v>
      </c>
      <c r="J54" s="318" t="s">
        <v>2589</v>
      </c>
      <c r="K54" s="318"/>
      <c r="L54" s="318" t="s">
        <v>2587</v>
      </c>
      <c r="M54" s="319"/>
      <c r="O54" s="530" t="str">
        <f t="shared" si="0"/>
        <v xml:space="preserve">  F  R    Pr  FS  D    O  </v>
      </c>
      <c r="P54" s="531"/>
      <c r="Q54" s="531"/>
      <c r="R54" s="531"/>
      <c r="S54" s="531"/>
      <c r="T54" s="531"/>
      <c r="U54" s="531"/>
      <c r="V54" s="531"/>
      <c r="W54" s="531"/>
      <c r="X54" s="532"/>
      <c r="AD54" s="542"/>
      <c r="AE54" s="545"/>
    </row>
    <row r="55" spans="2:31" ht="16.5" customHeight="1" x14ac:dyDescent="0.25">
      <c r="B55" s="166" t="s">
        <v>1974</v>
      </c>
      <c r="C55" s="167">
        <v>384</v>
      </c>
      <c r="D55" s="317" t="s">
        <v>2580</v>
      </c>
      <c r="E55" s="318" t="s">
        <v>2581</v>
      </c>
      <c r="F55" s="318" t="s">
        <v>2582</v>
      </c>
      <c r="G55" s="318" t="s">
        <v>2583</v>
      </c>
      <c r="H55" s="318" t="s">
        <v>2584</v>
      </c>
      <c r="I55" s="318" t="s">
        <v>2585</v>
      </c>
      <c r="J55" s="318" t="s">
        <v>2589</v>
      </c>
      <c r="K55" s="318" t="s">
        <v>2231</v>
      </c>
      <c r="L55" s="318" t="s">
        <v>2587</v>
      </c>
      <c r="M55" s="319" t="s">
        <v>2588</v>
      </c>
      <c r="O55" s="530" t="str">
        <f t="shared" si="0"/>
        <v>C  F  R  P  Pr  FS  D     O  AL</v>
      </c>
      <c r="P55" s="531"/>
      <c r="Q55" s="531"/>
      <c r="R55" s="531"/>
      <c r="S55" s="531"/>
      <c r="T55" s="531"/>
      <c r="U55" s="531"/>
      <c r="V55" s="531"/>
      <c r="W55" s="531"/>
      <c r="X55" s="532"/>
      <c r="AD55" s="542"/>
      <c r="AE55" s="545"/>
    </row>
    <row r="56" spans="2:31" ht="16.5" customHeight="1" x14ac:dyDescent="0.25">
      <c r="B56" s="166" t="s">
        <v>618</v>
      </c>
      <c r="C56" s="167">
        <v>386</v>
      </c>
      <c r="D56" s="317" t="s">
        <v>2580</v>
      </c>
      <c r="E56" s="318"/>
      <c r="F56" s="318"/>
      <c r="G56" s="318" t="s">
        <v>2583</v>
      </c>
      <c r="H56" s="318"/>
      <c r="I56" s="318"/>
      <c r="J56" s="318"/>
      <c r="K56" s="318"/>
      <c r="L56" s="318" t="s">
        <v>2587</v>
      </c>
      <c r="M56" s="319"/>
      <c r="O56" s="530" t="str">
        <f t="shared" si="0"/>
        <v xml:space="preserve">C      P          O  </v>
      </c>
      <c r="P56" s="531"/>
      <c r="Q56" s="531"/>
      <c r="R56" s="531"/>
      <c r="S56" s="531"/>
      <c r="T56" s="531"/>
      <c r="U56" s="531"/>
      <c r="V56" s="531"/>
      <c r="W56" s="531"/>
      <c r="X56" s="532"/>
      <c r="AD56" s="542"/>
      <c r="AE56" s="545"/>
    </row>
    <row r="57" spans="2:31" ht="16.5" customHeight="1" x14ac:dyDescent="0.25">
      <c r="B57" s="166" t="s">
        <v>635</v>
      </c>
      <c r="C57" s="168">
        <v>388</v>
      </c>
      <c r="D57" s="317" t="s">
        <v>2580</v>
      </c>
      <c r="E57" s="318" t="s">
        <v>2581</v>
      </c>
      <c r="F57" s="318" t="s">
        <v>2582</v>
      </c>
      <c r="G57" s="318" t="s">
        <v>2583</v>
      </c>
      <c r="H57" s="318" t="s">
        <v>2584</v>
      </c>
      <c r="I57" s="318" t="s">
        <v>2585</v>
      </c>
      <c r="J57" s="318" t="s">
        <v>2589</v>
      </c>
      <c r="K57" s="318" t="s">
        <v>2577</v>
      </c>
      <c r="L57" s="318" t="s">
        <v>2587</v>
      </c>
      <c r="M57" s="319" t="s">
        <v>2588</v>
      </c>
      <c r="O57" s="530" t="str">
        <f t="shared" si="0"/>
        <v>C  F  R  P  Pr  FS  D  W  O  AL</v>
      </c>
      <c r="P57" s="531"/>
      <c r="Q57" s="531"/>
      <c r="R57" s="531"/>
      <c r="S57" s="531"/>
      <c r="T57" s="531"/>
      <c r="U57" s="531"/>
      <c r="V57" s="531"/>
      <c r="W57" s="531"/>
      <c r="X57" s="532"/>
      <c r="AD57" s="542"/>
      <c r="AE57" s="543"/>
    </row>
    <row r="58" spans="2:31" ht="16.5" customHeight="1" x14ac:dyDescent="0.25">
      <c r="B58" s="166" t="s">
        <v>49</v>
      </c>
      <c r="C58" s="167">
        <v>390</v>
      </c>
      <c r="D58" s="317" t="s">
        <v>2580</v>
      </c>
      <c r="E58" s="318" t="s">
        <v>2581</v>
      </c>
      <c r="F58" s="318" t="s">
        <v>2582</v>
      </c>
      <c r="G58" s="318" t="s">
        <v>2583</v>
      </c>
      <c r="H58" s="318" t="s">
        <v>2584</v>
      </c>
      <c r="I58" s="318" t="s">
        <v>2585</v>
      </c>
      <c r="J58" s="318" t="s">
        <v>2589</v>
      </c>
      <c r="K58" s="318"/>
      <c r="L58" s="318" t="s">
        <v>2587</v>
      </c>
      <c r="M58" s="319" t="s">
        <v>2588</v>
      </c>
      <c r="O58" s="530" t="str">
        <f t="shared" si="0"/>
        <v>C  F  R  P  Pr  FS  D    O  AL</v>
      </c>
      <c r="P58" s="531"/>
      <c r="Q58" s="531"/>
      <c r="R58" s="531"/>
      <c r="S58" s="531"/>
      <c r="T58" s="531"/>
      <c r="U58" s="531"/>
      <c r="V58" s="531"/>
      <c r="W58" s="531"/>
      <c r="X58" s="532"/>
      <c r="AD58" s="542"/>
      <c r="AE58" s="545"/>
    </row>
    <row r="59" spans="2:31" ht="16.5" customHeight="1" x14ac:dyDescent="0.25">
      <c r="B59" s="166" t="s">
        <v>48</v>
      </c>
      <c r="C59" s="167">
        <v>391</v>
      </c>
      <c r="D59" s="317" t="s">
        <v>2580</v>
      </c>
      <c r="E59" s="318" t="s">
        <v>2581</v>
      </c>
      <c r="F59" s="318" t="s">
        <v>2582</v>
      </c>
      <c r="G59" s="318" t="s">
        <v>2583</v>
      </c>
      <c r="H59" s="318" t="s">
        <v>2584</v>
      </c>
      <c r="I59" s="318" t="s">
        <v>2585</v>
      </c>
      <c r="J59" s="318" t="s">
        <v>2589</v>
      </c>
      <c r="K59" s="318"/>
      <c r="L59" s="318" t="s">
        <v>2587</v>
      </c>
      <c r="M59" s="319" t="s">
        <v>2588</v>
      </c>
      <c r="O59" s="530" t="str">
        <f t="shared" si="0"/>
        <v>C  F  R  P  Pr  FS  D    O  AL</v>
      </c>
      <c r="P59" s="531"/>
      <c r="Q59" s="531"/>
      <c r="R59" s="531"/>
      <c r="S59" s="531"/>
      <c r="T59" s="531"/>
      <c r="U59" s="531"/>
      <c r="V59" s="531"/>
      <c r="W59" s="531"/>
      <c r="X59" s="532"/>
      <c r="AD59" s="542"/>
      <c r="AE59" s="545"/>
    </row>
    <row r="60" spans="2:31" ht="16.5" customHeight="1" x14ac:dyDescent="0.25">
      <c r="B60" s="166" t="s">
        <v>619</v>
      </c>
      <c r="C60" s="167">
        <v>393</v>
      </c>
      <c r="D60" s="317" t="s">
        <v>2580</v>
      </c>
      <c r="E60" s="318" t="s">
        <v>2581</v>
      </c>
      <c r="F60" s="318" t="s">
        <v>2582</v>
      </c>
      <c r="G60" s="318" t="s">
        <v>2583</v>
      </c>
      <c r="H60" s="318" t="s">
        <v>2584</v>
      </c>
      <c r="I60" s="318" t="s">
        <v>2585</v>
      </c>
      <c r="J60" s="318" t="s">
        <v>2589</v>
      </c>
      <c r="K60" s="318"/>
      <c r="L60" s="318" t="s">
        <v>2587</v>
      </c>
      <c r="M60" s="319" t="s">
        <v>2588</v>
      </c>
      <c r="O60" s="530" t="str">
        <f t="shared" si="0"/>
        <v>C  F  R  P  Pr  FS  D    O  AL</v>
      </c>
      <c r="P60" s="531"/>
      <c r="Q60" s="531"/>
      <c r="R60" s="531"/>
      <c r="S60" s="531"/>
      <c r="T60" s="531"/>
      <c r="U60" s="531"/>
      <c r="V60" s="531"/>
      <c r="W60" s="531"/>
      <c r="X60" s="532"/>
      <c r="AD60" s="542"/>
      <c r="AE60" s="545"/>
    </row>
    <row r="61" spans="2:31" ht="16.5" customHeight="1" x14ac:dyDescent="0.25">
      <c r="B61" s="166" t="s">
        <v>620</v>
      </c>
      <c r="C61" s="167">
        <v>394</v>
      </c>
      <c r="D61" s="317" t="s">
        <v>2580</v>
      </c>
      <c r="E61" s="318" t="s">
        <v>2581</v>
      </c>
      <c r="F61" s="318" t="s">
        <v>2582</v>
      </c>
      <c r="G61" s="318" t="s">
        <v>2583</v>
      </c>
      <c r="H61" s="318" t="s">
        <v>2584</v>
      </c>
      <c r="I61" s="318" t="s">
        <v>2585</v>
      </c>
      <c r="J61" s="318" t="s">
        <v>2589</v>
      </c>
      <c r="K61" s="318"/>
      <c r="L61" s="318" t="s">
        <v>2587</v>
      </c>
      <c r="M61" s="319" t="s">
        <v>2588</v>
      </c>
      <c r="O61" s="530" t="str">
        <f t="shared" si="0"/>
        <v>C  F  R  P  Pr  FS  D    O  AL</v>
      </c>
      <c r="P61" s="531"/>
      <c r="Q61" s="531"/>
      <c r="R61" s="531"/>
      <c r="S61" s="531"/>
      <c r="T61" s="531"/>
      <c r="U61" s="531"/>
      <c r="V61" s="531"/>
      <c r="W61" s="531"/>
      <c r="X61" s="532"/>
      <c r="AD61" s="542"/>
      <c r="AE61" s="545"/>
    </row>
    <row r="62" spans="2:31" ht="16.5" customHeight="1" x14ac:dyDescent="0.25">
      <c r="B62" s="166" t="s">
        <v>355</v>
      </c>
      <c r="C62" s="167">
        <v>395</v>
      </c>
      <c r="D62" s="317" t="s">
        <v>2580</v>
      </c>
      <c r="E62" s="318" t="s">
        <v>2581</v>
      </c>
      <c r="F62" s="318" t="s">
        <v>2582</v>
      </c>
      <c r="G62" s="318" t="s">
        <v>2583</v>
      </c>
      <c r="H62" s="318" t="s">
        <v>2584</v>
      </c>
      <c r="I62" s="318" t="s">
        <v>2585</v>
      </c>
      <c r="J62" s="318" t="s">
        <v>2589</v>
      </c>
      <c r="K62" s="318" t="s">
        <v>2577</v>
      </c>
      <c r="L62" s="318" t="s">
        <v>2587</v>
      </c>
      <c r="M62" s="319" t="s">
        <v>2588</v>
      </c>
      <c r="O62" s="530" t="str">
        <f t="shared" si="0"/>
        <v>C  F  R  P  Pr  FS  D  W  O  AL</v>
      </c>
      <c r="P62" s="531"/>
      <c r="Q62" s="531"/>
      <c r="R62" s="531"/>
      <c r="S62" s="531"/>
      <c r="T62" s="531"/>
      <c r="U62" s="531"/>
      <c r="V62" s="531"/>
      <c r="W62" s="531"/>
      <c r="X62" s="532"/>
      <c r="AD62" s="542"/>
      <c r="AE62" s="545"/>
    </row>
    <row r="63" spans="2:31" ht="16.5" customHeight="1" x14ac:dyDescent="0.25">
      <c r="B63" s="166" t="s">
        <v>1790</v>
      </c>
      <c r="C63" s="167">
        <v>396</v>
      </c>
      <c r="D63" s="317" t="s">
        <v>2580</v>
      </c>
      <c r="E63" s="318" t="s">
        <v>2581</v>
      </c>
      <c r="F63" s="318" t="s">
        <v>2582</v>
      </c>
      <c r="G63" s="318" t="s">
        <v>2583</v>
      </c>
      <c r="H63" s="318" t="s">
        <v>2584</v>
      </c>
      <c r="I63" s="318" t="s">
        <v>2585</v>
      </c>
      <c r="J63" s="318" t="s">
        <v>2589</v>
      </c>
      <c r="K63" s="318" t="s">
        <v>2577</v>
      </c>
      <c r="L63" s="318" t="s">
        <v>2587</v>
      </c>
      <c r="M63" s="319" t="s">
        <v>2588</v>
      </c>
      <c r="O63" s="530" t="str">
        <f t="shared" si="0"/>
        <v>C  F  R  P  Pr  FS  D  W  O  AL</v>
      </c>
      <c r="P63" s="531"/>
      <c r="Q63" s="531"/>
      <c r="R63" s="531"/>
      <c r="S63" s="531"/>
      <c r="T63" s="531"/>
      <c r="U63" s="531"/>
      <c r="V63" s="531"/>
      <c r="W63" s="531"/>
      <c r="X63" s="532"/>
      <c r="AD63" s="542"/>
      <c r="AE63" s="545"/>
    </row>
    <row r="64" spans="2:31" ht="16.5" customHeight="1" x14ac:dyDescent="0.25">
      <c r="B64" s="166" t="s">
        <v>607</v>
      </c>
      <c r="C64" s="167">
        <v>397</v>
      </c>
      <c r="D64" s="317"/>
      <c r="E64" s="318"/>
      <c r="F64" s="318" t="s">
        <v>2582</v>
      </c>
      <c r="G64" s="318" t="s">
        <v>2583</v>
      </c>
      <c r="H64" s="318"/>
      <c r="I64" s="318" t="s">
        <v>2585</v>
      </c>
      <c r="J64" s="318"/>
      <c r="K64" s="318" t="s">
        <v>2577</v>
      </c>
      <c r="L64" s="318" t="s">
        <v>2587</v>
      </c>
      <c r="M64" s="319"/>
      <c r="O64" s="530" t="str">
        <f t="shared" si="0"/>
        <v xml:space="preserve">    R  P    FS    W  O  </v>
      </c>
      <c r="P64" s="531"/>
      <c r="Q64" s="531"/>
      <c r="R64" s="531"/>
      <c r="S64" s="531"/>
      <c r="T64" s="531"/>
      <c r="U64" s="531"/>
      <c r="V64" s="531"/>
      <c r="W64" s="531"/>
      <c r="X64" s="532"/>
      <c r="AD64" s="542"/>
      <c r="AE64" s="545"/>
    </row>
    <row r="65" spans="2:31" ht="16.5" customHeight="1" x14ac:dyDescent="0.25">
      <c r="B65" s="166" t="s">
        <v>621</v>
      </c>
      <c r="C65" s="167">
        <v>398</v>
      </c>
      <c r="D65" s="317"/>
      <c r="E65" s="318"/>
      <c r="F65" s="318"/>
      <c r="G65" s="318"/>
      <c r="H65" s="318"/>
      <c r="I65" s="318" t="s">
        <v>2585</v>
      </c>
      <c r="J65" s="318"/>
      <c r="K65" s="318" t="s">
        <v>2577</v>
      </c>
      <c r="L65" s="318"/>
      <c r="M65" s="319"/>
      <c r="O65" s="530" t="str">
        <f t="shared" si="0"/>
        <v xml:space="preserve">          FS    W    </v>
      </c>
      <c r="P65" s="531"/>
      <c r="Q65" s="531"/>
      <c r="R65" s="531"/>
      <c r="S65" s="531"/>
      <c r="T65" s="531"/>
      <c r="U65" s="531"/>
      <c r="V65" s="531"/>
      <c r="W65" s="531"/>
      <c r="X65" s="532"/>
      <c r="AD65" s="542"/>
      <c r="AE65" s="547"/>
    </row>
    <row r="66" spans="2:31" ht="16.5" customHeight="1" x14ac:dyDescent="0.25">
      <c r="B66" s="166" t="s">
        <v>622</v>
      </c>
      <c r="C66" s="167">
        <v>399</v>
      </c>
      <c r="D66" s="317" t="s">
        <v>2580</v>
      </c>
      <c r="E66" s="318" t="s">
        <v>2581</v>
      </c>
      <c r="F66" s="318" t="s">
        <v>2582</v>
      </c>
      <c r="G66" s="318" t="s">
        <v>2583</v>
      </c>
      <c r="H66" s="318"/>
      <c r="I66" s="318" t="s">
        <v>2585</v>
      </c>
      <c r="J66" s="318"/>
      <c r="K66" s="318" t="s">
        <v>2577</v>
      </c>
      <c r="L66" s="318"/>
      <c r="M66" s="319" t="s">
        <v>2588</v>
      </c>
      <c r="O66" s="530" t="str">
        <f t="shared" si="0"/>
        <v>C  F  R  P    FS    W    AL</v>
      </c>
      <c r="P66" s="531"/>
      <c r="Q66" s="531"/>
      <c r="R66" s="531"/>
      <c r="S66" s="531"/>
      <c r="T66" s="531"/>
      <c r="U66" s="531"/>
      <c r="V66" s="531"/>
      <c r="W66" s="531"/>
      <c r="X66" s="532"/>
      <c r="AD66" s="542"/>
      <c r="AE66" s="545"/>
    </row>
    <row r="67" spans="2:31" ht="16.5" customHeight="1" x14ac:dyDescent="0.25">
      <c r="B67" s="166" t="s">
        <v>2573</v>
      </c>
      <c r="C67" s="167">
        <v>400</v>
      </c>
      <c r="D67" s="317"/>
      <c r="E67" s="318"/>
      <c r="F67" s="318"/>
      <c r="G67" s="318"/>
      <c r="H67" s="318"/>
      <c r="I67" s="318"/>
      <c r="J67" s="318"/>
      <c r="K67" s="318" t="s">
        <v>2577</v>
      </c>
      <c r="L67" s="318"/>
      <c r="M67" s="319"/>
      <c r="O67" s="530" t="str">
        <f t="shared" si="0"/>
        <v xml:space="preserve">              W    </v>
      </c>
      <c r="P67" s="531"/>
      <c r="Q67" s="531"/>
      <c r="R67" s="531"/>
      <c r="S67" s="531"/>
      <c r="T67" s="531"/>
      <c r="U67" s="531"/>
      <c r="V67" s="531"/>
      <c r="W67" s="531"/>
      <c r="X67" s="532"/>
      <c r="AD67" s="542"/>
      <c r="AE67" s="548"/>
    </row>
    <row r="68" spans="2:31" ht="16.5" customHeight="1" x14ac:dyDescent="0.25">
      <c r="B68" s="166" t="s">
        <v>586</v>
      </c>
      <c r="C68" s="167">
        <v>402</v>
      </c>
      <c r="D68" s="317" t="s">
        <v>2580</v>
      </c>
      <c r="E68" s="318" t="s">
        <v>2581</v>
      </c>
      <c r="F68" s="318" t="s">
        <v>2582</v>
      </c>
      <c r="G68" s="318" t="s">
        <v>2583</v>
      </c>
      <c r="H68" s="318" t="s">
        <v>2584</v>
      </c>
      <c r="I68" s="318"/>
      <c r="J68" s="318" t="s">
        <v>2589</v>
      </c>
      <c r="K68" s="318" t="s">
        <v>2577</v>
      </c>
      <c r="L68" s="318" t="s">
        <v>2587</v>
      </c>
      <c r="M68" s="319" t="s">
        <v>2588</v>
      </c>
      <c r="O68" s="530" t="str">
        <f t="shared" ref="O68:O130" si="1">(D68&amp;"  "&amp;E68&amp;"  "&amp;F68&amp;"  " &amp;G68&amp;"  "&amp;H68&amp;"  "&amp;I68&amp;"  "&amp;J68&amp;"  "&amp;K68&amp;"  "&amp;L68&amp;"  "&amp;M68)</f>
        <v>C  F  R  P  Pr    D  W  O  AL</v>
      </c>
      <c r="P68" s="531"/>
      <c r="Q68" s="531"/>
      <c r="R68" s="531"/>
      <c r="S68" s="531"/>
      <c r="T68" s="531"/>
      <c r="U68" s="531"/>
      <c r="V68" s="531"/>
      <c r="W68" s="531"/>
      <c r="X68" s="532"/>
      <c r="AD68" s="542"/>
      <c r="AE68" s="545"/>
    </row>
    <row r="69" spans="2:31" ht="16.5" customHeight="1" x14ac:dyDescent="0.25">
      <c r="B69" s="166" t="s">
        <v>627</v>
      </c>
      <c r="C69" s="167">
        <v>410</v>
      </c>
      <c r="D69" s="317" t="s">
        <v>2580</v>
      </c>
      <c r="E69" s="318" t="s">
        <v>2581</v>
      </c>
      <c r="F69" s="318" t="s">
        <v>2582</v>
      </c>
      <c r="G69" s="318" t="s">
        <v>2583</v>
      </c>
      <c r="H69" s="318" t="s">
        <v>2584</v>
      </c>
      <c r="I69" s="318" t="s">
        <v>2585</v>
      </c>
      <c r="J69" s="318" t="s">
        <v>2589</v>
      </c>
      <c r="K69" s="318" t="s">
        <v>2577</v>
      </c>
      <c r="L69" s="318" t="s">
        <v>2587</v>
      </c>
      <c r="M69" s="319" t="s">
        <v>2588</v>
      </c>
      <c r="O69" s="530" t="str">
        <f t="shared" si="1"/>
        <v>C  F  R  P  Pr  FS  D  W  O  AL</v>
      </c>
      <c r="P69" s="531"/>
      <c r="Q69" s="531"/>
      <c r="R69" s="531"/>
      <c r="S69" s="531"/>
      <c r="T69" s="531"/>
      <c r="U69" s="531"/>
      <c r="V69" s="531"/>
      <c r="W69" s="531"/>
      <c r="X69" s="532"/>
      <c r="AD69" s="542"/>
      <c r="AE69" s="545"/>
    </row>
    <row r="70" spans="2:31" ht="16.5" customHeight="1" x14ac:dyDescent="0.25">
      <c r="B70" s="166" t="s">
        <v>628</v>
      </c>
      <c r="C70" s="167">
        <v>412</v>
      </c>
      <c r="D70" s="317" t="s">
        <v>2580</v>
      </c>
      <c r="E70" s="318"/>
      <c r="F70" s="318"/>
      <c r="G70" s="318" t="s">
        <v>2583</v>
      </c>
      <c r="H70" s="318" t="s">
        <v>2584</v>
      </c>
      <c r="I70" s="318" t="s">
        <v>2585</v>
      </c>
      <c r="J70" s="318" t="s">
        <v>2589</v>
      </c>
      <c r="K70" s="318"/>
      <c r="L70" s="318" t="s">
        <v>2587</v>
      </c>
      <c r="M70" s="319" t="s">
        <v>2588</v>
      </c>
      <c r="O70" s="530" t="str">
        <f t="shared" si="1"/>
        <v>C      P  Pr  FS  D    O  AL</v>
      </c>
      <c r="P70" s="531"/>
      <c r="Q70" s="531"/>
      <c r="R70" s="531"/>
      <c r="S70" s="531"/>
      <c r="T70" s="531"/>
      <c r="U70" s="531"/>
      <c r="V70" s="531"/>
      <c r="W70" s="531"/>
      <c r="X70" s="532"/>
      <c r="AD70" s="542"/>
      <c r="AE70" s="545"/>
    </row>
    <row r="71" spans="2:31" ht="16.5" customHeight="1" x14ac:dyDescent="0.25">
      <c r="B71" s="166" t="s">
        <v>631</v>
      </c>
      <c r="C71" s="167">
        <v>422</v>
      </c>
      <c r="D71" s="317" t="s">
        <v>2580</v>
      </c>
      <c r="E71" s="318"/>
      <c r="F71" s="318"/>
      <c r="G71" s="318" t="s">
        <v>2583</v>
      </c>
      <c r="H71" s="318" t="s">
        <v>2584</v>
      </c>
      <c r="I71" s="318" t="s">
        <v>2585</v>
      </c>
      <c r="J71" s="318" t="s">
        <v>2589</v>
      </c>
      <c r="K71" s="318"/>
      <c r="L71" s="318" t="s">
        <v>2587</v>
      </c>
      <c r="M71" s="319" t="s">
        <v>2588</v>
      </c>
      <c r="O71" s="530" t="str">
        <f t="shared" si="1"/>
        <v>C      P  Pr  FS  D    O  AL</v>
      </c>
      <c r="P71" s="531"/>
      <c r="Q71" s="531"/>
      <c r="R71" s="531"/>
      <c r="S71" s="531"/>
      <c r="T71" s="531"/>
      <c r="U71" s="531"/>
      <c r="V71" s="531"/>
      <c r="W71" s="531"/>
      <c r="X71" s="532"/>
      <c r="AD71" s="542"/>
      <c r="AE71" s="545"/>
    </row>
    <row r="72" spans="2:31" ht="16.5" customHeight="1" x14ac:dyDescent="0.25">
      <c r="B72" s="166" t="s">
        <v>633</v>
      </c>
      <c r="C72" s="167">
        <v>423</v>
      </c>
      <c r="D72" s="317" t="s">
        <v>2580</v>
      </c>
      <c r="E72" s="318" t="s">
        <v>2581</v>
      </c>
      <c r="F72" s="318" t="s">
        <v>2582</v>
      </c>
      <c r="G72" s="318" t="s">
        <v>2583</v>
      </c>
      <c r="H72" s="318" t="s">
        <v>2584</v>
      </c>
      <c r="I72" s="318" t="s">
        <v>2585</v>
      </c>
      <c r="J72" s="318"/>
      <c r="K72" s="318"/>
      <c r="L72" s="318" t="s">
        <v>2587</v>
      </c>
      <c r="M72" s="319" t="s">
        <v>2588</v>
      </c>
      <c r="O72" s="530" t="str">
        <f t="shared" si="1"/>
        <v>C  F  R  P  Pr  FS      O  AL</v>
      </c>
      <c r="P72" s="531"/>
      <c r="Q72" s="531"/>
      <c r="R72" s="531"/>
      <c r="S72" s="531"/>
      <c r="T72" s="531"/>
      <c r="U72" s="531"/>
      <c r="V72" s="531"/>
      <c r="W72" s="531"/>
      <c r="X72" s="532"/>
      <c r="AD72" s="542"/>
      <c r="AE72" s="545"/>
    </row>
    <row r="73" spans="2:31" ht="16.5" customHeight="1" x14ac:dyDescent="0.25">
      <c r="B73" s="166" t="s">
        <v>1691</v>
      </c>
      <c r="C73" s="168">
        <v>428</v>
      </c>
      <c r="D73" s="317" t="s">
        <v>2580</v>
      </c>
      <c r="E73" s="318" t="s">
        <v>2581</v>
      </c>
      <c r="F73" s="318" t="s">
        <v>2582</v>
      </c>
      <c r="G73" s="318" t="s">
        <v>2583</v>
      </c>
      <c r="H73" s="318" t="s">
        <v>2584</v>
      </c>
      <c r="I73" s="318" t="s">
        <v>2585</v>
      </c>
      <c r="J73" s="318" t="s">
        <v>2589</v>
      </c>
      <c r="K73" s="318" t="s">
        <v>2577</v>
      </c>
      <c r="L73" s="318" t="s">
        <v>2587</v>
      </c>
      <c r="M73" s="319" t="s">
        <v>2588</v>
      </c>
      <c r="O73" s="530" t="str">
        <f t="shared" si="1"/>
        <v>C  F  R  P  Pr  FS  D  W  O  AL</v>
      </c>
      <c r="P73" s="531"/>
      <c r="Q73" s="531"/>
      <c r="R73" s="531"/>
      <c r="S73" s="531"/>
      <c r="T73" s="531"/>
      <c r="U73" s="531"/>
      <c r="V73" s="531"/>
      <c r="W73" s="531"/>
      <c r="X73" s="532"/>
      <c r="AD73" s="542"/>
      <c r="AE73" s="543"/>
    </row>
    <row r="74" spans="2:31" ht="16.5" customHeight="1" x14ac:dyDescent="0.25">
      <c r="B74" s="166" t="s">
        <v>1175</v>
      </c>
      <c r="C74" s="168">
        <v>430</v>
      </c>
      <c r="D74" s="317" t="s">
        <v>2580</v>
      </c>
      <c r="E74" s="318" t="s">
        <v>2581</v>
      </c>
      <c r="F74" s="318" t="s">
        <v>2582</v>
      </c>
      <c r="G74" s="318" t="s">
        <v>2583</v>
      </c>
      <c r="H74" s="318" t="s">
        <v>2584</v>
      </c>
      <c r="I74" s="318" t="s">
        <v>2585</v>
      </c>
      <c r="J74" s="318" t="s">
        <v>2589</v>
      </c>
      <c r="K74" s="318" t="s">
        <v>2577</v>
      </c>
      <c r="L74" s="318" t="s">
        <v>2587</v>
      </c>
      <c r="M74" s="319" t="s">
        <v>2588</v>
      </c>
      <c r="O74" s="530" t="str">
        <f t="shared" si="1"/>
        <v>C  F  R  P  Pr  FS  D  W  O  AL</v>
      </c>
      <c r="P74" s="531"/>
      <c r="Q74" s="531"/>
      <c r="R74" s="531"/>
      <c r="S74" s="531"/>
      <c r="T74" s="531"/>
      <c r="U74" s="531"/>
      <c r="V74" s="531"/>
      <c r="W74" s="531"/>
      <c r="X74" s="532"/>
      <c r="AD74" s="542"/>
      <c r="AE74" s="543"/>
    </row>
    <row r="75" spans="2:31" ht="16.5" customHeight="1" x14ac:dyDescent="0.25">
      <c r="B75" s="166" t="s">
        <v>592</v>
      </c>
      <c r="C75" s="167">
        <v>432</v>
      </c>
      <c r="D75" s="317" t="s">
        <v>2580</v>
      </c>
      <c r="E75" s="318" t="s">
        <v>2581</v>
      </c>
      <c r="F75" s="318" t="s">
        <v>2582</v>
      </c>
      <c r="G75" s="318" t="s">
        <v>2583</v>
      </c>
      <c r="H75" s="318" t="s">
        <v>2584</v>
      </c>
      <c r="I75" s="318" t="s">
        <v>2585</v>
      </c>
      <c r="J75" s="318" t="s">
        <v>2589</v>
      </c>
      <c r="K75" s="318"/>
      <c r="L75" s="318" t="s">
        <v>2587</v>
      </c>
      <c r="M75" s="319" t="s">
        <v>2588</v>
      </c>
      <c r="O75" s="530" t="str">
        <f t="shared" si="1"/>
        <v>C  F  R  P  Pr  FS  D    O  AL</v>
      </c>
      <c r="P75" s="531"/>
      <c r="Q75" s="531"/>
      <c r="R75" s="531"/>
      <c r="S75" s="531"/>
      <c r="T75" s="531"/>
      <c r="U75" s="531"/>
      <c r="V75" s="531"/>
      <c r="W75" s="531"/>
      <c r="X75" s="532"/>
      <c r="AD75" s="542"/>
      <c r="AE75" s="545"/>
    </row>
    <row r="76" spans="2:31" ht="16.5" customHeight="1" x14ac:dyDescent="0.25">
      <c r="B76" s="166" t="s">
        <v>1176</v>
      </c>
      <c r="C76" s="168">
        <v>436</v>
      </c>
      <c r="D76" s="317" t="s">
        <v>2580</v>
      </c>
      <c r="E76" s="318" t="s">
        <v>2581</v>
      </c>
      <c r="F76" s="318" t="s">
        <v>2582</v>
      </c>
      <c r="G76" s="318" t="s">
        <v>2583</v>
      </c>
      <c r="H76" s="318" t="s">
        <v>2584</v>
      </c>
      <c r="I76" s="318" t="s">
        <v>2585</v>
      </c>
      <c r="J76" s="318" t="s">
        <v>2589</v>
      </c>
      <c r="K76" s="318" t="s">
        <v>2577</v>
      </c>
      <c r="L76" s="318" t="s">
        <v>2587</v>
      </c>
      <c r="M76" s="319" t="s">
        <v>2588</v>
      </c>
      <c r="O76" s="530" t="str">
        <f t="shared" si="1"/>
        <v>C  F  R  P  Pr  FS  D  W  O  AL</v>
      </c>
      <c r="P76" s="531"/>
      <c r="Q76" s="531"/>
      <c r="R76" s="531"/>
      <c r="S76" s="531"/>
      <c r="T76" s="531"/>
      <c r="U76" s="531"/>
      <c r="V76" s="531"/>
      <c r="W76" s="531"/>
      <c r="X76" s="532"/>
      <c r="AD76" s="542"/>
      <c r="AE76" s="543"/>
    </row>
    <row r="77" spans="2:31" ht="16.5" customHeight="1" x14ac:dyDescent="0.25">
      <c r="B77" s="166" t="s">
        <v>637</v>
      </c>
      <c r="C77" s="167">
        <v>441</v>
      </c>
      <c r="D77" s="317" t="s">
        <v>2580</v>
      </c>
      <c r="E77" s="318" t="s">
        <v>2581</v>
      </c>
      <c r="F77" s="318" t="s">
        <v>2582</v>
      </c>
      <c r="G77" s="318" t="s">
        <v>2583</v>
      </c>
      <c r="H77" s="318" t="s">
        <v>2584</v>
      </c>
      <c r="I77" s="318" t="s">
        <v>2585</v>
      </c>
      <c r="J77" s="318" t="s">
        <v>2589</v>
      </c>
      <c r="K77" s="318" t="s">
        <v>2577</v>
      </c>
      <c r="L77" s="318" t="s">
        <v>2587</v>
      </c>
      <c r="M77" s="319" t="s">
        <v>2588</v>
      </c>
      <c r="O77" s="530" t="str">
        <f t="shared" si="1"/>
        <v>C  F  R  P  Pr  FS  D  W  O  AL</v>
      </c>
      <c r="P77" s="531"/>
      <c r="Q77" s="531"/>
      <c r="R77" s="531"/>
      <c r="S77" s="531"/>
      <c r="T77" s="531"/>
      <c r="U77" s="531"/>
      <c r="V77" s="531"/>
      <c r="W77" s="531"/>
      <c r="X77" s="532"/>
      <c r="AD77" s="542"/>
      <c r="AE77" s="545"/>
    </row>
    <row r="78" spans="2:31" ht="16.5" customHeight="1" x14ac:dyDescent="0.25">
      <c r="B78" s="166" t="s">
        <v>638</v>
      </c>
      <c r="C78" s="167">
        <v>442</v>
      </c>
      <c r="D78" s="317" t="s">
        <v>2580</v>
      </c>
      <c r="E78" s="318" t="s">
        <v>2581</v>
      </c>
      <c r="F78" s="318" t="s">
        <v>2582</v>
      </c>
      <c r="G78" s="318" t="s">
        <v>2583</v>
      </c>
      <c r="H78" s="318" t="s">
        <v>2584</v>
      </c>
      <c r="I78" s="318" t="s">
        <v>2585</v>
      </c>
      <c r="J78" s="318" t="s">
        <v>2589</v>
      </c>
      <c r="K78" s="318" t="s">
        <v>2577</v>
      </c>
      <c r="L78" s="318" t="s">
        <v>2587</v>
      </c>
      <c r="M78" s="319" t="s">
        <v>2588</v>
      </c>
      <c r="O78" s="530" t="str">
        <f t="shared" si="1"/>
        <v>C  F  R  P  Pr  FS  D  W  O  AL</v>
      </c>
      <c r="P78" s="531"/>
      <c r="Q78" s="531"/>
      <c r="R78" s="531"/>
      <c r="S78" s="531"/>
      <c r="T78" s="531"/>
      <c r="U78" s="531"/>
      <c r="V78" s="531"/>
      <c r="W78" s="531"/>
      <c r="X78" s="532"/>
      <c r="AD78" s="542"/>
      <c r="AE78" s="545"/>
    </row>
    <row r="79" spans="2:31" ht="16.5" customHeight="1" x14ac:dyDescent="0.25">
      <c r="B79" s="166" t="s">
        <v>639</v>
      </c>
      <c r="C79" s="168">
        <v>443</v>
      </c>
      <c r="D79" s="317" t="s">
        <v>2580</v>
      </c>
      <c r="E79" s="318" t="s">
        <v>2581</v>
      </c>
      <c r="F79" s="318" t="s">
        <v>2582</v>
      </c>
      <c r="G79" s="318" t="s">
        <v>2583</v>
      </c>
      <c r="H79" s="318" t="s">
        <v>2584</v>
      </c>
      <c r="I79" s="318" t="s">
        <v>2585</v>
      </c>
      <c r="J79" s="318" t="s">
        <v>2589</v>
      </c>
      <c r="K79" s="318" t="s">
        <v>2577</v>
      </c>
      <c r="L79" s="318" t="s">
        <v>2587</v>
      </c>
      <c r="M79" s="319" t="s">
        <v>2588</v>
      </c>
      <c r="O79" s="530" t="str">
        <f t="shared" si="1"/>
        <v>C  F  R  P  Pr  FS  D  W  O  AL</v>
      </c>
      <c r="P79" s="531"/>
      <c r="Q79" s="531"/>
      <c r="R79" s="531"/>
      <c r="S79" s="531"/>
      <c r="T79" s="531"/>
      <c r="U79" s="531"/>
      <c r="V79" s="531"/>
      <c r="W79" s="531"/>
      <c r="X79" s="532"/>
      <c r="AD79" s="542"/>
      <c r="AE79" s="543"/>
    </row>
    <row r="80" spans="2:31" ht="16.5" customHeight="1" x14ac:dyDescent="0.25">
      <c r="B80" s="166" t="s">
        <v>640</v>
      </c>
      <c r="C80" s="167">
        <v>447</v>
      </c>
      <c r="D80" s="317" t="s">
        <v>2580</v>
      </c>
      <c r="E80" s="318" t="s">
        <v>2581</v>
      </c>
      <c r="F80" s="318" t="s">
        <v>2582</v>
      </c>
      <c r="G80" s="318" t="s">
        <v>2583</v>
      </c>
      <c r="H80" s="318" t="s">
        <v>2584</v>
      </c>
      <c r="I80" s="318" t="s">
        <v>2585</v>
      </c>
      <c r="J80" s="318" t="s">
        <v>2589</v>
      </c>
      <c r="K80" s="318" t="s">
        <v>2577</v>
      </c>
      <c r="L80" s="318" t="s">
        <v>2587</v>
      </c>
      <c r="M80" s="319" t="s">
        <v>2588</v>
      </c>
      <c r="O80" s="530" t="str">
        <f t="shared" si="1"/>
        <v>C  F  R  P  Pr  FS  D  W  O  AL</v>
      </c>
      <c r="P80" s="531"/>
      <c r="Q80" s="531"/>
      <c r="R80" s="531"/>
      <c r="S80" s="531"/>
      <c r="T80" s="531"/>
      <c r="U80" s="531"/>
      <c r="V80" s="531"/>
      <c r="W80" s="531"/>
      <c r="X80" s="532"/>
      <c r="AD80" s="542"/>
      <c r="AE80" s="545"/>
    </row>
    <row r="81" spans="2:31" ht="16.5" customHeight="1" x14ac:dyDescent="0.25">
      <c r="B81" s="166" t="s">
        <v>335</v>
      </c>
      <c r="C81" s="167">
        <v>449</v>
      </c>
      <c r="D81" s="317" t="s">
        <v>2580</v>
      </c>
      <c r="E81" s="318" t="s">
        <v>2581</v>
      </c>
      <c r="F81" s="318" t="s">
        <v>2582</v>
      </c>
      <c r="G81" s="318" t="s">
        <v>2583</v>
      </c>
      <c r="H81" s="318" t="s">
        <v>2584</v>
      </c>
      <c r="I81" s="318" t="s">
        <v>2585</v>
      </c>
      <c r="J81" s="318" t="s">
        <v>2589</v>
      </c>
      <c r="K81" s="318" t="s">
        <v>2577</v>
      </c>
      <c r="L81" s="318" t="s">
        <v>2587</v>
      </c>
      <c r="M81" s="319" t="s">
        <v>2588</v>
      </c>
      <c r="O81" s="530" t="str">
        <f t="shared" si="1"/>
        <v>C  F  R  P  Pr  FS  D  W  O  AL</v>
      </c>
      <c r="P81" s="531"/>
      <c r="Q81" s="531"/>
      <c r="R81" s="531"/>
      <c r="S81" s="531"/>
      <c r="T81" s="531"/>
      <c r="U81" s="531"/>
      <c r="V81" s="531"/>
      <c r="W81" s="531"/>
      <c r="X81" s="532"/>
      <c r="AD81" s="542"/>
      <c r="AE81" s="545"/>
    </row>
    <row r="82" spans="2:31" ht="16.5" customHeight="1" x14ac:dyDescent="0.25">
      <c r="B82" s="166" t="s">
        <v>2572</v>
      </c>
      <c r="C82" s="168">
        <v>450</v>
      </c>
      <c r="D82" s="317" t="s">
        <v>2580</v>
      </c>
      <c r="E82" s="318" t="s">
        <v>2581</v>
      </c>
      <c r="F82" s="318" t="s">
        <v>2582</v>
      </c>
      <c r="G82" s="318" t="s">
        <v>2583</v>
      </c>
      <c r="H82" s="318" t="s">
        <v>2584</v>
      </c>
      <c r="I82" s="318" t="s">
        <v>2585</v>
      </c>
      <c r="J82" s="318" t="s">
        <v>2589</v>
      </c>
      <c r="K82" s="318" t="s">
        <v>2577</v>
      </c>
      <c r="L82" s="318" t="s">
        <v>2587</v>
      </c>
      <c r="M82" s="319" t="s">
        <v>2588</v>
      </c>
      <c r="O82" s="530" t="str">
        <f t="shared" si="1"/>
        <v>C  F  R  P  Pr  FS  D  W  O  AL</v>
      </c>
      <c r="P82" s="531"/>
      <c r="Q82" s="531"/>
      <c r="R82" s="531"/>
      <c r="S82" s="531"/>
      <c r="T82" s="531"/>
      <c r="U82" s="531"/>
      <c r="V82" s="531"/>
      <c r="W82" s="531"/>
      <c r="X82" s="532"/>
      <c r="AD82" s="542"/>
      <c r="AE82" s="548"/>
    </row>
    <row r="83" spans="2:31" ht="16.5" customHeight="1" x14ac:dyDescent="0.25">
      <c r="B83" s="166" t="s">
        <v>337</v>
      </c>
      <c r="C83" s="167">
        <v>453</v>
      </c>
      <c r="D83" s="317" t="s">
        <v>2580</v>
      </c>
      <c r="E83" s="318" t="s">
        <v>2581</v>
      </c>
      <c r="F83" s="318" t="s">
        <v>2582</v>
      </c>
      <c r="G83" s="318" t="s">
        <v>2583</v>
      </c>
      <c r="H83" s="318" t="s">
        <v>2584</v>
      </c>
      <c r="I83" s="318" t="s">
        <v>2585</v>
      </c>
      <c r="J83" s="318" t="s">
        <v>2589</v>
      </c>
      <c r="K83" s="318"/>
      <c r="L83" s="318" t="s">
        <v>2587</v>
      </c>
      <c r="M83" s="319" t="s">
        <v>2588</v>
      </c>
      <c r="O83" s="530" t="str">
        <f t="shared" si="1"/>
        <v>C  F  R  P  Pr  FS  D    O  AL</v>
      </c>
      <c r="P83" s="531"/>
      <c r="Q83" s="531"/>
      <c r="R83" s="531"/>
      <c r="S83" s="531"/>
      <c r="T83" s="531"/>
      <c r="U83" s="531"/>
      <c r="V83" s="531"/>
      <c r="W83" s="531"/>
      <c r="X83" s="532"/>
      <c r="AD83" s="542"/>
      <c r="AE83" s="545"/>
    </row>
    <row r="84" spans="2:31" ht="16.5" customHeight="1" x14ac:dyDescent="0.25">
      <c r="B84" s="166" t="s">
        <v>1011</v>
      </c>
      <c r="C84" s="167">
        <v>455</v>
      </c>
      <c r="D84" s="317"/>
      <c r="E84" s="318"/>
      <c r="F84" s="318"/>
      <c r="G84" s="318"/>
      <c r="H84" s="318"/>
      <c r="I84" s="318"/>
      <c r="J84" s="318"/>
      <c r="K84" s="318"/>
      <c r="L84" s="318" t="s">
        <v>2587</v>
      </c>
      <c r="M84" s="319"/>
      <c r="O84" s="530" t="str">
        <f t="shared" si="1"/>
        <v xml:space="preserve">                O  </v>
      </c>
      <c r="P84" s="531"/>
      <c r="Q84" s="531"/>
      <c r="R84" s="531"/>
      <c r="S84" s="531"/>
      <c r="T84" s="531"/>
      <c r="U84" s="531"/>
      <c r="V84" s="531"/>
      <c r="W84" s="531"/>
      <c r="X84" s="532"/>
      <c r="AD84" s="542"/>
      <c r="AE84" s="545"/>
    </row>
    <row r="85" spans="2:31" ht="16.5" customHeight="1" x14ac:dyDescent="0.25">
      <c r="B85" s="166" t="s">
        <v>1029</v>
      </c>
      <c r="C85" s="167">
        <v>457</v>
      </c>
      <c r="D85" s="317"/>
      <c r="E85" s="318"/>
      <c r="F85" s="318"/>
      <c r="G85" s="318"/>
      <c r="H85" s="318"/>
      <c r="I85" s="318"/>
      <c r="J85" s="318"/>
      <c r="K85" s="318" t="s">
        <v>2577</v>
      </c>
      <c r="L85" s="318" t="s">
        <v>2587</v>
      </c>
      <c r="M85" s="319"/>
      <c r="O85" s="530" t="str">
        <f t="shared" si="1"/>
        <v xml:space="preserve">              W  O  </v>
      </c>
      <c r="P85" s="531"/>
      <c r="Q85" s="531"/>
      <c r="R85" s="531"/>
      <c r="S85" s="531"/>
      <c r="T85" s="531"/>
      <c r="U85" s="531"/>
      <c r="V85" s="531"/>
      <c r="W85" s="531"/>
      <c r="X85" s="532"/>
      <c r="AD85" s="542"/>
      <c r="AE85" s="545"/>
    </row>
    <row r="86" spans="2:31" ht="16.5" customHeight="1" x14ac:dyDescent="0.25">
      <c r="B86" s="166" t="s">
        <v>336</v>
      </c>
      <c r="C86" s="167">
        <v>460</v>
      </c>
      <c r="D86" s="317" t="s">
        <v>2580</v>
      </c>
      <c r="E86" s="318"/>
      <c r="F86" s="318" t="s">
        <v>2582</v>
      </c>
      <c r="G86" s="318" t="s">
        <v>2583</v>
      </c>
      <c r="H86" s="318" t="s">
        <v>2584</v>
      </c>
      <c r="I86" s="318" t="s">
        <v>2585</v>
      </c>
      <c r="J86" s="318" t="s">
        <v>2589</v>
      </c>
      <c r="K86" s="318"/>
      <c r="L86" s="318" t="s">
        <v>2587</v>
      </c>
      <c r="M86" s="319" t="s">
        <v>2588</v>
      </c>
      <c r="O86" s="530" t="str">
        <f t="shared" si="1"/>
        <v>C    R  P  Pr  FS  D    O  AL</v>
      </c>
      <c r="P86" s="531"/>
      <c r="Q86" s="531"/>
      <c r="R86" s="531"/>
      <c r="S86" s="531"/>
      <c r="T86" s="531"/>
      <c r="U86" s="531"/>
      <c r="V86" s="531"/>
      <c r="W86" s="531"/>
      <c r="X86" s="532"/>
      <c r="AD86" s="542"/>
      <c r="AE86" s="545"/>
    </row>
    <row r="87" spans="2:31" ht="16.5" customHeight="1" x14ac:dyDescent="0.25">
      <c r="B87" s="166" t="s">
        <v>646</v>
      </c>
      <c r="C87" s="167">
        <v>462</v>
      </c>
      <c r="D87" s="317" t="s">
        <v>2580</v>
      </c>
      <c r="E87" s="318"/>
      <c r="F87" s="318"/>
      <c r="G87" s="318" t="s">
        <v>2583</v>
      </c>
      <c r="H87" s="318"/>
      <c r="I87" s="318" t="s">
        <v>2585</v>
      </c>
      <c r="J87" s="318" t="s">
        <v>2589</v>
      </c>
      <c r="K87" s="318"/>
      <c r="L87" s="318" t="s">
        <v>2587</v>
      </c>
      <c r="M87" s="319"/>
      <c r="O87" s="530" t="str">
        <f t="shared" si="1"/>
        <v xml:space="preserve">C      P    FS  D    O  </v>
      </c>
      <c r="P87" s="531"/>
      <c r="Q87" s="531"/>
      <c r="R87" s="531"/>
      <c r="S87" s="531"/>
      <c r="T87" s="531"/>
      <c r="U87" s="531"/>
      <c r="V87" s="531"/>
      <c r="W87" s="531"/>
      <c r="X87" s="532"/>
      <c r="AD87" s="542"/>
      <c r="AE87" s="545"/>
    </row>
    <row r="88" spans="2:31" ht="16.5" customHeight="1" x14ac:dyDescent="0.25">
      <c r="B88" s="166" t="s">
        <v>636</v>
      </c>
      <c r="C88" s="168">
        <v>464</v>
      </c>
      <c r="D88" s="317" t="s">
        <v>2580</v>
      </c>
      <c r="E88" s="318" t="s">
        <v>2581</v>
      </c>
      <c r="F88" s="318" t="s">
        <v>2582</v>
      </c>
      <c r="G88" s="318" t="s">
        <v>2583</v>
      </c>
      <c r="H88" s="318" t="s">
        <v>2584</v>
      </c>
      <c r="I88" s="318" t="s">
        <v>2585</v>
      </c>
      <c r="J88" s="318" t="s">
        <v>2589</v>
      </c>
      <c r="K88" s="318" t="s">
        <v>2577</v>
      </c>
      <c r="L88" s="318" t="s">
        <v>2587</v>
      </c>
      <c r="M88" s="319" t="s">
        <v>2588</v>
      </c>
      <c r="O88" s="530" t="str">
        <f t="shared" si="1"/>
        <v>C  F  R  P  Pr  FS  D  W  O  AL</v>
      </c>
      <c r="P88" s="531"/>
      <c r="Q88" s="531"/>
      <c r="R88" s="531"/>
      <c r="S88" s="531"/>
      <c r="T88" s="531"/>
      <c r="U88" s="531"/>
      <c r="V88" s="531"/>
      <c r="W88" s="531"/>
      <c r="X88" s="532"/>
      <c r="AD88" s="542"/>
      <c r="AE88" s="543"/>
    </row>
    <row r="89" spans="2:31" ht="16.5" customHeight="1" x14ac:dyDescent="0.25">
      <c r="B89" s="166" t="s">
        <v>1012</v>
      </c>
      <c r="C89" s="167">
        <v>466</v>
      </c>
      <c r="D89" s="317" t="s">
        <v>2580</v>
      </c>
      <c r="E89" s="318"/>
      <c r="F89" s="318"/>
      <c r="G89" s="318" t="s">
        <v>2583</v>
      </c>
      <c r="H89" s="318"/>
      <c r="I89" s="318" t="s">
        <v>2585</v>
      </c>
      <c r="J89" s="318"/>
      <c r="K89" s="318"/>
      <c r="L89" s="318" t="s">
        <v>2587</v>
      </c>
      <c r="M89" s="319"/>
      <c r="O89" s="530" t="str">
        <f t="shared" si="1"/>
        <v xml:space="preserve">C      P    FS      O  </v>
      </c>
      <c r="P89" s="531"/>
      <c r="Q89" s="531"/>
      <c r="R89" s="531"/>
      <c r="S89" s="531"/>
      <c r="T89" s="531"/>
      <c r="U89" s="531"/>
      <c r="V89" s="531"/>
      <c r="W89" s="531"/>
      <c r="X89" s="532"/>
      <c r="AD89" s="542"/>
      <c r="AE89" s="545"/>
    </row>
    <row r="90" spans="2:31" ht="16.5" customHeight="1" x14ac:dyDescent="0.25">
      <c r="B90" s="166" t="s">
        <v>1028</v>
      </c>
      <c r="C90" s="167">
        <v>468</v>
      </c>
      <c r="D90" s="317" t="s">
        <v>2580</v>
      </c>
      <c r="E90" s="318" t="s">
        <v>2581</v>
      </c>
      <c r="F90" s="318" t="s">
        <v>2582</v>
      </c>
      <c r="G90" s="318" t="s">
        <v>2583</v>
      </c>
      <c r="H90" s="318" t="s">
        <v>2584</v>
      </c>
      <c r="I90" s="318" t="s">
        <v>2585</v>
      </c>
      <c r="J90" s="318" t="s">
        <v>2589</v>
      </c>
      <c r="K90" s="318"/>
      <c r="L90" s="318" t="s">
        <v>2587</v>
      </c>
      <c r="M90" s="319" t="s">
        <v>2588</v>
      </c>
      <c r="O90" s="530" t="str">
        <f t="shared" si="1"/>
        <v>C  F  R  P  Pr  FS  D    O  AL</v>
      </c>
      <c r="P90" s="531"/>
      <c r="Q90" s="531"/>
      <c r="R90" s="531"/>
      <c r="S90" s="531"/>
      <c r="T90" s="531"/>
      <c r="U90" s="531"/>
      <c r="V90" s="531"/>
      <c r="W90" s="531"/>
      <c r="X90" s="532"/>
      <c r="AD90" s="542"/>
      <c r="AE90" s="545"/>
    </row>
    <row r="91" spans="2:31" ht="16.5" customHeight="1" x14ac:dyDescent="0.25">
      <c r="B91" s="166" t="s">
        <v>13</v>
      </c>
      <c r="C91" s="168">
        <v>472</v>
      </c>
      <c r="D91" s="317" t="s">
        <v>2580</v>
      </c>
      <c r="E91" s="318" t="s">
        <v>2581</v>
      </c>
      <c r="F91" s="318" t="s">
        <v>2582</v>
      </c>
      <c r="G91" s="318" t="s">
        <v>2583</v>
      </c>
      <c r="H91" s="318" t="s">
        <v>2584</v>
      </c>
      <c r="I91" s="318" t="s">
        <v>2585</v>
      </c>
      <c r="J91" s="318" t="s">
        <v>2589</v>
      </c>
      <c r="K91" s="318" t="s">
        <v>2577</v>
      </c>
      <c r="L91" s="318" t="s">
        <v>2587</v>
      </c>
      <c r="M91" s="319" t="s">
        <v>2588</v>
      </c>
      <c r="O91" s="530" t="str">
        <f t="shared" si="1"/>
        <v>C  F  R  P  Pr  FS  D  W  O  AL</v>
      </c>
      <c r="P91" s="531"/>
      <c r="Q91" s="531"/>
      <c r="R91" s="531"/>
      <c r="S91" s="531"/>
      <c r="T91" s="531"/>
      <c r="U91" s="531"/>
      <c r="V91" s="531"/>
      <c r="W91" s="531"/>
      <c r="X91" s="532"/>
      <c r="AD91" s="542"/>
      <c r="AE91" s="543"/>
    </row>
    <row r="92" spans="2:31" ht="16.5" customHeight="1" x14ac:dyDescent="0.25">
      <c r="B92" s="166" t="s">
        <v>1030</v>
      </c>
      <c r="C92" s="167">
        <v>482</v>
      </c>
      <c r="D92" s="317" t="s">
        <v>2580</v>
      </c>
      <c r="E92" s="318"/>
      <c r="F92" s="318"/>
      <c r="G92" s="318" t="s">
        <v>2583</v>
      </c>
      <c r="H92" s="318"/>
      <c r="I92" s="318"/>
      <c r="J92" s="318"/>
      <c r="K92" s="318"/>
      <c r="L92" s="318"/>
      <c r="M92" s="319"/>
      <c r="O92" s="530" t="str">
        <f t="shared" si="1"/>
        <v xml:space="preserve">C      P            </v>
      </c>
      <c r="P92" s="531"/>
      <c r="Q92" s="531"/>
      <c r="R92" s="531"/>
      <c r="S92" s="531"/>
      <c r="T92" s="531"/>
      <c r="U92" s="531"/>
      <c r="V92" s="531"/>
      <c r="W92" s="531"/>
      <c r="X92" s="532"/>
      <c r="AD92" s="542"/>
      <c r="AE92" s="545"/>
    </row>
    <row r="93" spans="2:31" ht="16.5" customHeight="1" x14ac:dyDescent="0.25">
      <c r="B93" s="166" t="s">
        <v>1032</v>
      </c>
      <c r="C93" s="167">
        <v>484</v>
      </c>
      <c r="D93" s="317" t="s">
        <v>2580</v>
      </c>
      <c r="E93" s="318" t="s">
        <v>2581</v>
      </c>
      <c r="F93" s="318" t="s">
        <v>2582</v>
      </c>
      <c r="G93" s="318" t="s">
        <v>2583</v>
      </c>
      <c r="H93" s="318" t="s">
        <v>2584</v>
      </c>
      <c r="I93" s="318" t="s">
        <v>2585</v>
      </c>
      <c r="J93" s="318" t="s">
        <v>2589</v>
      </c>
      <c r="K93" s="318"/>
      <c r="L93" s="318" t="s">
        <v>2587</v>
      </c>
      <c r="M93" s="319" t="s">
        <v>2588</v>
      </c>
      <c r="O93" s="530" t="str">
        <f t="shared" si="1"/>
        <v>C  F  R  P  Pr  FS  D    O  AL</v>
      </c>
      <c r="P93" s="531"/>
      <c r="Q93" s="531"/>
      <c r="R93" s="531"/>
      <c r="S93" s="531"/>
      <c r="T93" s="531"/>
      <c r="U93" s="531"/>
      <c r="V93" s="531"/>
      <c r="W93" s="531"/>
      <c r="X93" s="532"/>
      <c r="AD93" s="542"/>
      <c r="AE93" s="545"/>
    </row>
    <row r="94" spans="2:31" ht="16.5" customHeight="1" x14ac:dyDescent="0.25">
      <c r="B94" s="166" t="s">
        <v>1394</v>
      </c>
      <c r="C94" s="167">
        <v>490</v>
      </c>
      <c r="D94" s="317" t="s">
        <v>2580</v>
      </c>
      <c r="E94" s="318" t="s">
        <v>2581</v>
      </c>
      <c r="F94" s="318" t="s">
        <v>2582</v>
      </c>
      <c r="G94" s="318" t="s">
        <v>2583</v>
      </c>
      <c r="H94" s="318" t="s">
        <v>2584</v>
      </c>
      <c r="I94" s="318" t="s">
        <v>2585</v>
      </c>
      <c r="J94" s="318" t="s">
        <v>2589</v>
      </c>
      <c r="K94" s="318"/>
      <c r="L94" s="318" t="s">
        <v>2587</v>
      </c>
      <c r="M94" s="319" t="s">
        <v>2588</v>
      </c>
      <c r="O94" s="530" t="str">
        <f t="shared" si="1"/>
        <v>C  F  R  P  Pr  FS  D    O  AL</v>
      </c>
      <c r="P94" s="531"/>
      <c r="Q94" s="531"/>
      <c r="R94" s="531"/>
      <c r="S94" s="531"/>
      <c r="T94" s="531"/>
      <c r="U94" s="531"/>
      <c r="V94" s="531"/>
      <c r="W94" s="531"/>
      <c r="X94" s="532"/>
      <c r="AD94" s="542"/>
      <c r="AE94" s="545"/>
    </row>
    <row r="95" spans="2:31" ht="16.5" customHeight="1" x14ac:dyDescent="0.25">
      <c r="B95" s="166" t="s">
        <v>1014</v>
      </c>
      <c r="C95" s="168">
        <v>500</v>
      </c>
      <c r="D95" s="317" t="s">
        <v>2580</v>
      </c>
      <c r="E95" s="318" t="s">
        <v>2581</v>
      </c>
      <c r="F95" s="318" t="s">
        <v>2582</v>
      </c>
      <c r="G95" s="318" t="s">
        <v>2583</v>
      </c>
      <c r="H95" s="318" t="s">
        <v>2584</v>
      </c>
      <c r="I95" s="318" t="s">
        <v>2585</v>
      </c>
      <c r="J95" s="318" t="s">
        <v>2589</v>
      </c>
      <c r="K95" s="318"/>
      <c r="L95" s="318" t="s">
        <v>2587</v>
      </c>
      <c r="M95" s="319" t="s">
        <v>2588</v>
      </c>
      <c r="O95" s="530" t="str">
        <f t="shared" si="1"/>
        <v>C  F  R  P  Pr  FS  D    O  AL</v>
      </c>
      <c r="P95" s="531"/>
      <c r="Q95" s="531"/>
      <c r="R95" s="531"/>
      <c r="S95" s="531"/>
      <c r="T95" s="531"/>
      <c r="U95" s="531"/>
      <c r="V95" s="531"/>
      <c r="W95" s="531"/>
      <c r="X95" s="532"/>
      <c r="AD95" s="542"/>
      <c r="AE95" s="548"/>
    </row>
    <row r="96" spans="2:31" ht="16.5" customHeight="1" x14ac:dyDescent="0.25">
      <c r="B96" s="166" t="s">
        <v>623</v>
      </c>
      <c r="C96" s="167">
        <v>511</v>
      </c>
      <c r="D96" s="317" t="s">
        <v>2580</v>
      </c>
      <c r="E96" s="318"/>
      <c r="F96" s="318"/>
      <c r="G96" s="318" t="s">
        <v>2583</v>
      </c>
      <c r="H96" s="318"/>
      <c r="I96" s="318"/>
      <c r="J96" s="318"/>
      <c r="K96" s="318"/>
      <c r="L96" s="318"/>
      <c r="M96" s="319"/>
      <c r="O96" s="530" t="str">
        <f t="shared" si="1"/>
        <v xml:space="preserve">C      P            </v>
      </c>
      <c r="P96" s="531"/>
      <c r="Q96" s="531"/>
      <c r="R96" s="531"/>
      <c r="S96" s="531"/>
      <c r="T96" s="531"/>
      <c r="U96" s="531"/>
      <c r="V96" s="531"/>
      <c r="W96" s="531"/>
      <c r="X96" s="532"/>
      <c r="AD96" s="542"/>
      <c r="AE96" s="545"/>
    </row>
    <row r="97" spans="2:31" ht="16.5" customHeight="1" x14ac:dyDescent="0.25">
      <c r="B97" s="166" t="s">
        <v>679</v>
      </c>
      <c r="C97" s="167">
        <v>512</v>
      </c>
      <c r="D97" s="317" t="s">
        <v>2580</v>
      </c>
      <c r="E97" s="318"/>
      <c r="F97" s="318"/>
      <c r="G97" s="318" t="s">
        <v>2583</v>
      </c>
      <c r="H97" s="318"/>
      <c r="I97" s="318"/>
      <c r="J97" s="318"/>
      <c r="K97" s="318"/>
      <c r="L97" s="318"/>
      <c r="M97" s="319"/>
      <c r="O97" s="530" t="str">
        <f t="shared" si="1"/>
        <v xml:space="preserve">C      P            </v>
      </c>
      <c r="P97" s="531"/>
      <c r="Q97" s="531"/>
      <c r="R97" s="531"/>
      <c r="S97" s="531"/>
      <c r="T97" s="531"/>
      <c r="U97" s="531"/>
      <c r="V97" s="531"/>
      <c r="W97" s="531"/>
      <c r="X97" s="532"/>
      <c r="AC97" s="521"/>
      <c r="AD97" s="542"/>
      <c r="AE97" s="545"/>
    </row>
    <row r="98" spans="2:31" ht="16.5" customHeight="1" x14ac:dyDescent="0.25">
      <c r="B98" s="166" t="s">
        <v>2229</v>
      </c>
      <c r="C98" s="167">
        <v>516</v>
      </c>
      <c r="D98" s="317" t="s">
        <v>2580</v>
      </c>
      <c r="E98" s="318" t="s">
        <v>2581</v>
      </c>
      <c r="F98" s="318" t="s">
        <v>2582</v>
      </c>
      <c r="G98" s="318" t="s">
        <v>2583</v>
      </c>
      <c r="H98" s="318" t="s">
        <v>2584</v>
      </c>
      <c r="I98" s="318" t="s">
        <v>2585</v>
      </c>
      <c r="J98" s="318" t="s">
        <v>2589</v>
      </c>
      <c r="K98" s="318"/>
      <c r="L98" s="318" t="s">
        <v>2587</v>
      </c>
      <c r="M98" s="319" t="s">
        <v>2588</v>
      </c>
      <c r="O98" s="530" t="str">
        <f t="shared" si="1"/>
        <v>C  F  R  P  Pr  FS  D    O  AL</v>
      </c>
      <c r="P98" s="531"/>
      <c r="Q98" s="531"/>
      <c r="R98" s="531"/>
      <c r="S98" s="531"/>
      <c r="T98" s="531"/>
      <c r="U98" s="531"/>
      <c r="V98" s="531"/>
      <c r="W98" s="531"/>
      <c r="X98" s="532"/>
      <c r="AD98" s="542"/>
      <c r="AE98" s="545"/>
    </row>
    <row r="99" spans="2:31" ht="16.5" customHeight="1" x14ac:dyDescent="0.25">
      <c r="B99" s="166" t="s">
        <v>1798</v>
      </c>
      <c r="C99" s="167">
        <v>527</v>
      </c>
      <c r="D99" s="317" t="s">
        <v>2580</v>
      </c>
      <c r="E99" s="318" t="s">
        <v>2581</v>
      </c>
      <c r="F99" s="318" t="s">
        <v>2582</v>
      </c>
      <c r="G99" s="318" t="s">
        <v>2583</v>
      </c>
      <c r="H99" s="318" t="s">
        <v>2584</v>
      </c>
      <c r="I99" s="318" t="s">
        <v>2585</v>
      </c>
      <c r="J99" s="318" t="s">
        <v>2589</v>
      </c>
      <c r="K99" s="318"/>
      <c r="L99" s="318" t="s">
        <v>2587</v>
      </c>
      <c r="M99" s="319" t="s">
        <v>2588</v>
      </c>
      <c r="O99" s="530" t="str">
        <f t="shared" si="1"/>
        <v>C  F  R  P  Pr  FS  D    O  AL</v>
      </c>
      <c r="P99" s="531"/>
      <c r="Q99" s="531"/>
      <c r="R99" s="531"/>
      <c r="S99" s="531"/>
      <c r="T99" s="531"/>
      <c r="U99" s="531"/>
      <c r="V99" s="531"/>
      <c r="W99" s="531"/>
      <c r="X99" s="532"/>
      <c r="AD99" s="542"/>
      <c r="AE99" s="545"/>
    </row>
    <row r="100" spans="2:31" ht="16.5" customHeight="1" x14ac:dyDescent="0.25">
      <c r="B100" s="166" t="s">
        <v>648</v>
      </c>
      <c r="C100" s="167">
        <v>528</v>
      </c>
      <c r="D100" s="317" t="s">
        <v>2580</v>
      </c>
      <c r="E100" s="318" t="s">
        <v>2581</v>
      </c>
      <c r="F100" s="318" t="s">
        <v>2582</v>
      </c>
      <c r="G100" s="318" t="s">
        <v>2583</v>
      </c>
      <c r="H100" s="318" t="s">
        <v>2584</v>
      </c>
      <c r="I100" s="318" t="s">
        <v>2585</v>
      </c>
      <c r="J100" s="318" t="s">
        <v>2589</v>
      </c>
      <c r="K100" s="318" t="s">
        <v>2577</v>
      </c>
      <c r="L100" s="318" t="s">
        <v>2587</v>
      </c>
      <c r="M100" s="319" t="s">
        <v>2588</v>
      </c>
      <c r="O100" s="530" t="str">
        <f t="shared" si="1"/>
        <v>C  F  R  P  Pr  FS  D  W  O  AL</v>
      </c>
      <c r="P100" s="531"/>
      <c r="Q100" s="531"/>
      <c r="R100" s="531"/>
      <c r="S100" s="531"/>
      <c r="T100" s="531"/>
      <c r="U100" s="531"/>
      <c r="V100" s="531"/>
      <c r="W100" s="531"/>
      <c r="X100" s="532"/>
      <c r="AD100" s="542"/>
      <c r="AE100" s="545"/>
    </row>
    <row r="101" spans="2:31" ht="16.5" customHeight="1" x14ac:dyDescent="0.25">
      <c r="B101" s="166" t="s">
        <v>649</v>
      </c>
      <c r="C101" s="167">
        <v>533</v>
      </c>
      <c r="D101" s="317" t="s">
        <v>2580</v>
      </c>
      <c r="E101" s="318" t="s">
        <v>2581</v>
      </c>
      <c r="F101" s="318" t="s">
        <v>2582</v>
      </c>
      <c r="G101" s="318" t="s">
        <v>2583</v>
      </c>
      <c r="H101" s="318" t="s">
        <v>2584</v>
      </c>
      <c r="I101" s="318" t="s">
        <v>2585</v>
      </c>
      <c r="J101" s="318"/>
      <c r="K101" s="318"/>
      <c r="L101" s="318" t="s">
        <v>2587</v>
      </c>
      <c r="M101" s="319"/>
      <c r="O101" s="530" t="str">
        <f t="shared" si="1"/>
        <v xml:space="preserve">C  F  R  P  Pr  FS      O  </v>
      </c>
      <c r="P101" s="531"/>
      <c r="Q101" s="531"/>
      <c r="R101" s="531"/>
      <c r="S101" s="531"/>
      <c r="T101" s="531"/>
      <c r="U101" s="531"/>
      <c r="V101" s="531"/>
      <c r="W101" s="531"/>
      <c r="X101" s="532"/>
      <c r="AD101" s="542"/>
      <c r="AE101" s="545"/>
    </row>
    <row r="102" spans="2:31" ht="16.5" customHeight="1" x14ac:dyDescent="0.25">
      <c r="B102" s="166" t="s">
        <v>1823</v>
      </c>
      <c r="C102" s="167">
        <v>543</v>
      </c>
      <c r="D102" s="317"/>
      <c r="E102" s="318"/>
      <c r="F102" s="318"/>
      <c r="G102" s="318"/>
      <c r="H102" s="318"/>
      <c r="I102" s="318"/>
      <c r="J102" s="318"/>
      <c r="K102" s="318"/>
      <c r="L102" s="318" t="s">
        <v>2587</v>
      </c>
      <c r="M102" s="319"/>
      <c r="O102" s="530" t="str">
        <f t="shared" si="1"/>
        <v xml:space="preserve">                O  </v>
      </c>
      <c r="P102" s="531"/>
      <c r="Q102" s="531"/>
      <c r="R102" s="531"/>
      <c r="S102" s="531"/>
      <c r="T102" s="531"/>
      <c r="U102" s="531"/>
      <c r="V102" s="531"/>
      <c r="W102" s="531"/>
      <c r="X102" s="532"/>
      <c r="AD102" s="544"/>
      <c r="AE102" s="545"/>
    </row>
    <row r="103" spans="2:31" ht="16.5" customHeight="1" x14ac:dyDescent="0.25">
      <c r="B103" s="166" t="s">
        <v>1824</v>
      </c>
      <c r="C103" s="167">
        <v>544</v>
      </c>
      <c r="D103" s="317"/>
      <c r="E103" s="318"/>
      <c r="F103" s="318"/>
      <c r="G103" s="318"/>
      <c r="H103" s="318"/>
      <c r="I103" s="318"/>
      <c r="J103" s="318"/>
      <c r="K103" s="318"/>
      <c r="L103" s="318" t="s">
        <v>2587</v>
      </c>
      <c r="M103" s="319"/>
      <c r="O103" s="530" t="str">
        <f t="shared" si="1"/>
        <v xml:space="preserve">                O  </v>
      </c>
      <c r="P103" s="531"/>
      <c r="Q103" s="531"/>
      <c r="R103" s="531"/>
      <c r="S103" s="531"/>
      <c r="T103" s="531"/>
      <c r="U103" s="531"/>
      <c r="V103" s="531"/>
      <c r="W103" s="531"/>
      <c r="X103" s="532"/>
      <c r="AD103" s="542"/>
      <c r="AE103" s="545"/>
    </row>
    <row r="104" spans="2:31" ht="16.5" customHeight="1" x14ac:dyDescent="0.25">
      <c r="B104" s="166" t="s">
        <v>629</v>
      </c>
      <c r="C104" s="167">
        <v>548</v>
      </c>
      <c r="D104" s="317"/>
      <c r="E104" s="318" t="s">
        <v>2581</v>
      </c>
      <c r="F104" s="318" t="s">
        <v>2582</v>
      </c>
      <c r="G104" s="318" t="s">
        <v>2583</v>
      </c>
      <c r="H104" s="318"/>
      <c r="I104" s="318"/>
      <c r="J104" s="318"/>
      <c r="K104" s="318"/>
      <c r="L104" s="318"/>
      <c r="M104" s="319"/>
      <c r="O104" s="530" t="str">
        <f t="shared" si="1"/>
        <v xml:space="preserve">  F  R  P            </v>
      </c>
      <c r="P104" s="531"/>
      <c r="Q104" s="531"/>
      <c r="R104" s="531"/>
      <c r="S104" s="531"/>
      <c r="T104" s="531"/>
      <c r="U104" s="531"/>
      <c r="V104" s="531"/>
      <c r="W104" s="531"/>
      <c r="X104" s="532"/>
      <c r="AD104" s="542"/>
      <c r="AE104" s="545"/>
    </row>
    <row r="105" spans="2:31" ht="16.5" customHeight="1" x14ac:dyDescent="0.25">
      <c r="B105" s="166" t="s">
        <v>650</v>
      </c>
      <c r="C105" s="167">
        <v>550</v>
      </c>
      <c r="D105" s="317"/>
      <c r="E105" s="318" t="s">
        <v>2581</v>
      </c>
      <c r="F105" s="318" t="s">
        <v>2582</v>
      </c>
      <c r="G105" s="318" t="s">
        <v>2583</v>
      </c>
      <c r="H105" s="318" t="s">
        <v>2584</v>
      </c>
      <c r="I105" s="318"/>
      <c r="J105" s="318"/>
      <c r="K105" s="318"/>
      <c r="L105" s="318"/>
      <c r="M105" s="319" t="s">
        <v>2588</v>
      </c>
      <c r="O105" s="530" t="str">
        <f t="shared" si="1"/>
        <v xml:space="preserve">  F  R  P  Pr          AL</v>
      </c>
      <c r="P105" s="531"/>
      <c r="Q105" s="531"/>
      <c r="R105" s="531"/>
      <c r="S105" s="531"/>
      <c r="T105" s="531"/>
      <c r="U105" s="531"/>
      <c r="V105" s="531"/>
      <c r="W105" s="531"/>
      <c r="X105" s="532"/>
      <c r="AD105" s="542"/>
      <c r="AE105" s="545"/>
    </row>
    <row r="106" spans="2:31" ht="16.5" customHeight="1" x14ac:dyDescent="0.25">
      <c r="B106" s="166" t="s">
        <v>591</v>
      </c>
      <c r="C106" s="167">
        <v>554</v>
      </c>
      <c r="D106" s="317" t="s">
        <v>2580</v>
      </c>
      <c r="E106" s="318"/>
      <c r="F106" s="318"/>
      <c r="G106" s="318" t="s">
        <v>2583</v>
      </c>
      <c r="H106" s="318"/>
      <c r="I106" s="318" t="s">
        <v>2585</v>
      </c>
      <c r="J106" s="318"/>
      <c r="K106" s="318"/>
      <c r="L106" s="318" t="s">
        <v>2587</v>
      </c>
      <c r="M106" s="319" t="s">
        <v>2588</v>
      </c>
      <c r="O106" s="530" t="str">
        <f t="shared" si="1"/>
        <v>C      P    FS      O  AL</v>
      </c>
      <c r="P106" s="531"/>
      <c r="Q106" s="531"/>
      <c r="R106" s="531"/>
      <c r="S106" s="531"/>
      <c r="T106" s="531"/>
      <c r="U106" s="531"/>
      <c r="V106" s="531"/>
      <c r="W106" s="531"/>
      <c r="X106" s="532"/>
      <c r="AD106" s="542"/>
      <c r="AE106" s="545"/>
    </row>
    <row r="107" spans="2:31" ht="16.5" customHeight="1" x14ac:dyDescent="0.25">
      <c r="B107" s="166" t="s">
        <v>50</v>
      </c>
      <c r="C107" s="167">
        <v>555</v>
      </c>
      <c r="D107" s="317" t="s">
        <v>2580</v>
      </c>
      <c r="E107" s="318"/>
      <c r="F107" s="318" t="s">
        <v>2582</v>
      </c>
      <c r="G107" s="318" t="s">
        <v>2583</v>
      </c>
      <c r="H107" s="318" t="s">
        <v>2584</v>
      </c>
      <c r="I107" s="318"/>
      <c r="J107" s="318"/>
      <c r="K107" s="318"/>
      <c r="L107" s="318" t="s">
        <v>2587</v>
      </c>
      <c r="M107" s="319" t="s">
        <v>2588</v>
      </c>
      <c r="O107" s="530" t="str">
        <f t="shared" si="1"/>
        <v>C    R  P  Pr        O  AL</v>
      </c>
      <c r="P107" s="531"/>
      <c r="Q107" s="531"/>
      <c r="R107" s="531"/>
      <c r="S107" s="531"/>
      <c r="T107" s="531"/>
      <c r="U107" s="531"/>
      <c r="V107" s="531"/>
      <c r="W107" s="531"/>
      <c r="X107" s="532"/>
      <c r="AD107" s="542"/>
      <c r="AE107" s="545"/>
    </row>
    <row r="108" spans="2:31" ht="16.5" customHeight="1" x14ac:dyDescent="0.25">
      <c r="B108" s="166" t="s">
        <v>52</v>
      </c>
      <c r="C108" s="167">
        <v>557</v>
      </c>
      <c r="D108" s="317" t="s">
        <v>2580</v>
      </c>
      <c r="E108" s="318" t="s">
        <v>2581</v>
      </c>
      <c r="F108" s="318"/>
      <c r="G108" s="318"/>
      <c r="H108" s="318"/>
      <c r="I108" s="318"/>
      <c r="J108" s="318"/>
      <c r="K108" s="318"/>
      <c r="L108" s="318"/>
      <c r="M108" s="319"/>
      <c r="O108" s="530" t="str">
        <f t="shared" si="1"/>
        <v xml:space="preserve">C  F                </v>
      </c>
      <c r="P108" s="531"/>
      <c r="Q108" s="531"/>
      <c r="R108" s="531"/>
      <c r="S108" s="531"/>
      <c r="T108" s="531"/>
      <c r="U108" s="531"/>
      <c r="V108" s="531"/>
      <c r="W108" s="531"/>
      <c r="X108" s="532"/>
      <c r="AD108" s="542"/>
      <c r="AE108" s="545"/>
    </row>
    <row r="109" spans="2:31" ht="16.5" customHeight="1" x14ac:dyDescent="0.25">
      <c r="B109" s="166" t="s">
        <v>51</v>
      </c>
      <c r="C109" s="167">
        <v>558</v>
      </c>
      <c r="D109" s="317"/>
      <c r="E109" s="318"/>
      <c r="F109" s="318"/>
      <c r="G109" s="318"/>
      <c r="H109" s="318"/>
      <c r="I109" s="318" t="s">
        <v>2585</v>
      </c>
      <c r="J109" s="318" t="s">
        <v>2589</v>
      </c>
      <c r="K109" s="318"/>
      <c r="L109" s="318"/>
      <c r="M109" s="319"/>
      <c r="O109" s="530" t="str">
        <f t="shared" si="1"/>
        <v xml:space="preserve">          FS  D      </v>
      </c>
      <c r="P109" s="531"/>
      <c r="Q109" s="531"/>
      <c r="R109" s="531"/>
      <c r="S109" s="531"/>
      <c r="T109" s="531"/>
      <c r="U109" s="531"/>
      <c r="V109" s="531"/>
      <c r="W109" s="531"/>
      <c r="X109" s="532"/>
      <c r="AD109" s="542"/>
      <c r="AE109" s="545"/>
    </row>
    <row r="110" spans="2:31" ht="16.5" customHeight="1" x14ac:dyDescent="0.25">
      <c r="B110" s="166" t="s">
        <v>1269</v>
      </c>
      <c r="C110" s="167">
        <v>560</v>
      </c>
      <c r="D110" s="317" t="s">
        <v>2580</v>
      </c>
      <c r="E110" s="318" t="s">
        <v>2581</v>
      </c>
      <c r="F110" s="318" t="s">
        <v>2582</v>
      </c>
      <c r="G110" s="318" t="s">
        <v>2583</v>
      </c>
      <c r="H110" s="318" t="s">
        <v>2584</v>
      </c>
      <c r="I110" s="318" t="s">
        <v>2585</v>
      </c>
      <c r="J110" s="318" t="s">
        <v>2589</v>
      </c>
      <c r="K110" s="318"/>
      <c r="L110" s="318" t="s">
        <v>2587</v>
      </c>
      <c r="M110" s="319" t="s">
        <v>2588</v>
      </c>
      <c r="O110" s="530" t="str">
        <f t="shared" si="1"/>
        <v>C  F  R  P  Pr  FS  D    O  AL</v>
      </c>
      <c r="P110" s="531"/>
      <c r="Q110" s="531"/>
      <c r="R110" s="531"/>
      <c r="S110" s="531"/>
      <c r="T110" s="531"/>
      <c r="U110" s="531"/>
      <c r="V110" s="531"/>
      <c r="W110" s="531"/>
      <c r="X110" s="532"/>
      <c r="AD110" s="542"/>
      <c r="AE110" s="545"/>
    </row>
    <row r="111" spans="2:31" ht="16.5" customHeight="1" x14ac:dyDescent="0.25">
      <c r="B111" s="166" t="s">
        <v>630</v>
      </c>
      <c r="C111" s="167">
        <v>561</v>
      </c>
      <c r="D111" s="317" t="s">
        <v>2580</v>
      </c>
      <c r="E111" s="318" t="s">
        <v>2581</v>
      </c>
      <c r="F111" s="318" t="s">
        <v>2582</v>
      </c>
      <c r="G111" s="318" t="s">
        <v>2583</v>
      </c>
      <c r="H111" s="318" t="s">
        <v>2584</v>
      </c>
      <c r="I111" s="318" t="s">
        <v>2585</v>
      </c>
      <c r="J111" s="318" t="s">
        <v>2589</v>
      </c>
      <c r="K111" s="318"/>
      <c r="L111" s="318" t="s">
        <v>2587</v>
      </c>
      <c r="M111" s="318" t="s">
        <v>2588</v>
      </c>
      <c r="O111" s="530" t="str">
        <f t="shared" si="1"/>
        <v>C  F  R  P  Pr  FS  D    O  AL</v>
      </c>
      <c r="P111" s="531"/>
      <c r="Q111" s="531"/>
      <c r="R111" s="531"/>
      <c r="S111" s="531"/>
      <c r="T111" s="531"/>
      <c r="U111" s="531"/>
      <c r="V111" s="531"/>
      <c r="W111" s="531"/>
      <c r="X111" s="532"/>
      <c r="AD111" s="542"/>
      <c r="AE111" s="545"/>
    </row>
    <row r="112" spans="2:31" ht="16.5" customHeight="1" x14ac:dyDescent="0.25">
      <c r="B112" s="166" t="s">
        <v>651</v>
      </c>
      <c r="C112" s="167">
        <v>562</v>
      </c>
      <c r="D112" s="317"/>
      <c r="E112" s="318" t="s">
        <v>2581</v>
      </c>
      <c r="F112" s="318" t="s">
        <v>2582</v>
      </c>
      <c r="G112" s="318"/>
      <c r="H112" s="318" t="s">
        <v>2584</v>
      </c>
      <c r="I112" s="318" t="s">
        <v>2585</v>
      </c>
      <c r="J112" s="318"/>
      <c r="K112" s="318"/>
      <c r="L112" s="318" t="s">
        <v>2587</v>
      </c>
      <c r="M112" s="319"/>
      <c r="O112" s="530" t="str">
        <f t="shared" si="1"/>
        <v xml:space="preserve">  F  R    Pr  FS      O  </v>
      </c>
      <c r="P112" s="531"/>
      <c r="Q112" s="531"/>
      <c r="R112" s="531"/>
      <c r="S112" s="531"/>
      <c r="T112" s="531"/>
      <c r="U112" s="531"/>
      <c r="V112" s="531"/>
      <c r="W112" s="531"/>
      <c r="X112" s="532"/>
      <c r="AD112" s="542"/>
      <c r="AE112" s="545"/>
    </row>
    <row r="113" spans="2:31" ht="16.5" customHeight="1" x14ac:dyDescent="0.25">
      <c r="B113" s="166" t="s">
        <v>652</v>
      </c>
      <c r="C113" s="167">
        <v>566</v>
      </c>
      <c r="D113" s="317"/>
      <c r="E113" s="318" t="s">
        <v>2581</v>
      </c>
      <c r="F113" s="318" t="s">
        <v>2582</v>
      </c>
      <c r="G113" s="318"/>
      <c r="H113" s="318" t="s">
        <v>2584</v>
      </c>
      <c r="I113" s="318" t="s">
        <v>2585</v>
      </c>
      <c r="J113" s="318" t="s">
        <v>2589</v>
      </c>
      <c r="K113" s="318"/>
      <c r="L113" s="318" t="s">
        <v>2587</v>
      </c>
      <c r="M113" s="319"/>
      <c r="O113" s="530" t="str">
        <f t="shared" si="1"/>
        <v xml:space="preserve">  F  R    Pr  FS  D    O  </v>
      </c>
      <c r="P113" s="531"/>
      <c r="Q113" s="531"/>
      <c r="R113" s="531"/>
      <c r="S113" s="531"/>
      <c r="T113" s="531"/>
      <c r="U113" s="531"/>
      <c r="V113" s="531"/>
      <c r="W113" s="531"/>
      <c r="X113" s="532"/>
      <c r="AD113" s="542"/>
      <c r="AE113" s="545"/>
    </row>
    <row r="114" spans="2:31" ht="16.5" customHeight="1" x14ac:dyDescent="0.25">
      <c r="B114" s="166" t="s">
        <v>1522</v>
      </c>
      <c r="C114" s="168">
        <v>570</v>
      </c>
      <c r="D114" s="317" t="s">
        <v>2580</v>
      </c>
      <c r="E114" s="318" t="s">
        <v>2581</v>
      </c>
      <c r="F114" s="318" t="s">
        <v>2582</v>
      </c>
      <c r="G114" s="318" t="s">
        <v>2583</v>
      </c>
      <c r="H114" s="318" t="s">
        <v>2584</v>
      </c>
      <c r="I114" s="318" t="s">
        <v>2585</v>
      </c>
      <c r="J114" s="318" t="s">
        <v>2589</v>
      </c>
      <c r="K114" s="318"/>
      <c r="L114" s="318" t="s">
        <v>2587</v>
      </c>
      <c r="M114" s="319" t="s">
        <v>2588</v>
      </c>
      <c r="O114" s="530" t="str">
        <f t="shared" si="1"/>
        <v>C  F  R  P  Pr  FS  D    O  AL</v>
      </c>
      <c r="P114" s="531"/>
      <c r="Q114" s="531"/>
      <c r="R114" s="531"/>
      <c r="S114" s="531"/>
      <c r="T114" s="531"/>
      <c r="U114" s="531"/>
      <c r="V114" s="531"/>
      <c r="W114" s="531"/>
      <c r="X114" s="532"/>
      <c r="AD114" s="542"/>
      <c r="AE114" s="548"/>
    </row>
    <row r="115" spans="2:31" ht="16.5" customHeight="1" x14ac:dyDescent="0.25">
      <c r="B115" s="166" t="s">
        <v>352</v>
      </c>
      <c r="C115" s="167">
        <v>572</v>
      </c>
      <c r="D115" s="317" t="s">
        <v>2580</v>
      </c>
      <c r="E115" s="318" t="s">
        <v>2581</v>
      </c>
      <c r="F115" s="318" t="s">
        <v>2582</v>
      </c>
      <c r="G115" s="318" t="s">
        <v>2583</v>
      </c>
      <c r="H115" s="318" t="s">
        <v>2584</v>
      </c>
      <c r="I115" s="318" t="s">
        <v>2585</v>
      </c>
      <c r="J115" s="318" t="s">
        <v>2589</v>
      </c>
      <c r="K115" s="318"/>
      <c r="L115" s="318" t="s">
        <v>2587</v>
      </c>
      <c r="M115" s="319" t="s">
        <v>2588</v>
      </c>
      <c r="O115" s="530" t="str">
        <f t="shared" si="1"/>
        <v>C  F  R  P  Pr  FS  D    O  AL</v>
      </c>
      <c r="P115" s="531"/>
      <c r="Q115" s="531"/>
      <c r="R115" s="531"/>
      <c r="S115" s="531"/>
      <c r="T115" s="531"/>
      <c r="U115" s="531"/>
      <c r="V115" s="531"/>
      <c r="W115" s="531"/>
      <c r="X115" s="532"/>
      <c r="AD115" s="542"/>
      <c r="AE115" s="545"/>
    </row>
    <row r="116" spans="2:31" ht="16.5" customHeight="1" x14ac:dyDescent="0.25">
      <c r="B116" s="166" t="s">
        <v>353</v>
      </c>
      <c r="C116" s="167">
        <v>574</v>
      </c>
      <c r="D116" s="317" t="s">
        <v>2580</v>
      </c>
      <c r="E116" s="318" t="s">
        <v>2581</v>
      </c>
      <c r="F116" s="318" t="s">
        <v>2582</v>
      </c>
      <c r="G116" s="318" t="s">
        <v>2583</v>
      </c>
      <c r="H116" s="318" t="s">
        <v>2584</v>
      </c>
      <c r="I116" s="318" t="s">
        <v>2585</v>
      </c>
      <c r="J116" s="318" t="s">
        <v>2589</v>
      </c>
      <c r="K116" s="318"/>
      <c r="L116" s="318" t="s">
        <v>2587</v>
      </c>
      <c r="M116" s="319" t="s">
        <v>2588</v>
      </c>
      <c r="O116" s="530" t="str">
        <f t="shared" si="1"/>
        <v>C  F  R  P  Pr  FS  D    O  AL</v>
      </c>
      <c r="P116" s="531"/>
      <c r="Q116" s="531"/>
      <c r="R116" s="531"/>
      <c r="S116" s="531"/>
      <c r="T116" s="531"/>
      <c r="U116" s="531"/>
      <c r="V116" s="531"/>
      <c r="W116" s="531"/>
      <c r="X116" s="532"/>
      <c r="AD116" s="542"/>
      <c r="AE116" s="545"/>
    </row>
    <row r="117" spans="2:31" ht="16.5" customHeight="1" x14ac:dyDescent="0.25">
      <c r="B117" s="166" t="s">
        <v>1273</v>
      </c>
      <c r="C117" s="168">
        <v>575</v>
      </c>
      <c r="D117" s="317" t="s">
        <v>2580</v>
      </c>
      <c r="E117" s="318" t="s">
        <v>2581</v>
      </c>
      <c r="F117" s="318" t="s">
        <v>2582</v>
      </c>
      <c r="G117" s="318" t="s">
        <v>2583</v>
      </c>
      <c r="H117" s="318" t="s">
        <v>2584</v>
      </c>
      <c r="I117" s="318" t="s">
        <v>2585</v>
      </c>
      <c r="J117" s="318" t="s">
        <v>2589</v>
      </c>
      <c r="K117" s="318"/>
      <c r="L117" s="318" t="s">
        <v>2587</v>
      </c>
      <c r="M117" s="319" t="s">
        <v>2588</v>
      </c>
      <c r="O117" s="530" t="str">
        <f t="shared" si="1"/>
        <v>C  F  R  P  Pr  FS  D    O  AL</v>
      </c>
      <c r="P117" s="531"/>
      <c r="Q117" s="531"/>
      <c r="R117" s="531"/>
      <c r="S117" s="531"/>
      <c r="T117" s="531"/>
      <c r="U117" s="531"/>
      <c r="V117" s="531"/>
      <c r="W117" s="531"/>
      <c r="X117" s="532"/>
      <c r="AD117" s="542"/>
      <c r="AE117" s="545"/>
    </row>
    <row r="118" spans="2:31" ht="16.5" customHeight="1" x14ac:dyDescent="0.25">
      <c r="B118" s="166" t="s">
        <v>3855</v>
      </c>
      <c r="C118" s="168">
        <v>576</v>
      </c>
      <c r="D118" s="317"/>
      <c r="E118" s="318" t="s">
        <v>2581</v>
      </c>
      <c r="F118" s="318" t="s">
        <v>2582</v>
      </c>
      <c r="G118" s="318" t="s">
        <v>2583</v>
      </c>
      <c r="H118" s="318"/>
      <c r="I118" s="318" t="s">
        <v>2585</v>
      </c>
      <c r="J118" s="318"/>
      <c r="K118" s="318"/>
      <c r="L118" s="318"/>
      <c r="M118" s="319"/>
      <c r="O118" s="530" t="str">
        <f t="shared" si="1"/>
        <v xml:space="preserve">  F  R  P    FS        </v>
      </c>
      <c r="P118" s="531"/>
      <c r="Q118" s="531"/>
      <c r="R118" s="531"/>
      <c r="S118" s="531"/>
      <c r="T118" s="531"/>
      <c r="U118" s="531"/>
      <c r="V118" s="531"/>
      <c r="W118" s="531"/>
      <c r="X118" s="532"/>
      <c r="AD118" s="542"/>
      <c r="AE118" s="545"/>
    </row>
    <row r="119" spans="2:31" ht="16.5" customHeight="1" x14ac:dyDescent="0.25">
      <c r="B119" s="166" t="s">
        <v>354</v>
      </c>
      <c r="C119" s="167">
        <v>578</v>
      </c>
      <c r="D119" s="317" t="s">
        <v>2580</v>
      </c>
      <c r="E119" s="318" t="s">
        <v>2581</v>
      </c>
      <c r="F119" s="318" t="s">
        <v>2582</v>
      </c>
      <c r="G119" s="318" t="s">
        <v>2583</v>
      </c>
      <c r="H119" s="318" t="s">
        <v>2584</v>
      </c>
      <c r="I119" s="318" t="s">
        <v>2585</v>
      </c>
      <c r="J119" s="318" t="s">
        <v>2589</v>
      </c>
      <c r="K119" s="318"/>
      <c r="L119" s="318" t="s">
        <v>2587</v>
      </c>
      <c r="M119" s="319" t="s">
        <v>2588</v>
      </c>
      <c r="O119" s="530" t="str">
        <f t="shared" si="1"/>
        <v>C  F  R  P  Pr  FS  D    O  AL</v>
      </c>
      <c r="P119" s="531"/>
      <c r="Q119" s="531"/>
      <c r="R119" s="531"/>
      <c r="S119" s="531"/>
      <c r="T119" s="531"/>
      <c r="U119" s="531"/>
      <c r="V119" s="531"/>
      <c r="W119" s="531"/>
      <c r="X119" s="532"/>
      <c r="AD119" s="542"/>
      <c r="AE119" s="545"/>
    </row>
    <row r="120" spans="2:31" ht="16.5" customHeight="1" x14ac:dyDescent="0.25">
      <c r="B120" s="166" t="s">
        <v>356</v>
      </c>
      <c r="C120" s="167">
        <v>580</v>
      </c>
      <c r="D120" s="317" t="s">
        <v>2580</v>
      </c>
      <c r="E120" s="318" t="s">
        <v>2581</v>
      </c>
      <c r="F120" s="318" t="s">
        <v>2582</v>
      </c>
      <c r="G120" s="318" t="s">
        <v>2583</v>
      </c>
      <c r="H120" s="318" t="s">
        <v>2584</v>
      </c>
      <c r="I120" s="318" t="s">
        <v>2585</v>
      </c>
      <c r="J120" s="318" t="s">
        <v>2589</v>
      </c>
      <c r="K120" s="318"/>
      <c r="L120" s="318" t="s">
        <v>2587</v>
      </c>
      <c r="M120" s="319" t="s">
        <v>2588</v>
      </c>
      <c r="O120" s="530" t="str">
        <f t="shared" si="1"/>
        <v>C  F  R  P  Pr  FS  D    O  AL</v>
      </c>
      <c r="P120" s="531"/>
      <c r="Q120" s="531"/>
      <c r="R120" s="531"/>
      <c r="S120" s="531"/>
      <c r="T120" s="531"/>
      <c r="U120" s="531"/>
      <c r="V120" s="531"/>
      <c r="W120" s="531"/>
      <c r="X120" s="532"/>
      <c r="AD120" s="542"/>
      <c r="AE120" s="545"/>
    </row>
    <row r="121" spans="2:31" ht="16.5" customHeight="1" x14ac:dyDescent="0.25">
      <c r="B121" s="166" t="s">
        <v>1015</v>
      </c>
      <c r="C121" s="167">
        <v>582</v>
      </c>
      <c r="D121" s="317" t="s">
        <v>2580</v>
      </c>
      <c r="E121" s="318" t="s">
        <v>2581</v>
      </c>
      <c r="F121" s="318" t="s">
        <v>2582</v>
      </c>
      <c r="G121" s="318" t="s">
        <v>2583</v>
      </c>
      <c r="H121" s="318" t="s">
        <v>2584</v>
      </c>
      <c r="I121" s="318" t="s">
        <v>2585</v>
      </c>
      <c r="J121" s="318" t="s">
        <v>2589</v>
      </c>
      <c r="K121" s="318" t="s">
        <v>2577</v>
      </c>
      <c r="L121" s="318" t="s">
        <v>2587</v>
      </c>
      <c r="M121" s="319" t="s">
        <v>2588</v>
      </c>
      <c r="O121" s="530" t="str">
        <f t="shared" si="1"/>
        <v>C  F  R  P  Pr  FS  D  W  O  AL</v>
      </c>
      <c r="P121" s="531"/>
      <c r="Q121" s="531"/>
      <c r="R121" s="531"/>
      <c r="S121" s="531"/>
      <c r="T121" s="531"/>
      <c r="U121" s="531"/>
      <c r="V121" s="531"/>
      <c r="W121" s="531"/>
      <c r="X121" s="532"/>
      <c r="AD121" s="542"/>
      <c r="AE121" s="545"/>
    </row>
    <row r="122" spans="2:31" ht="16.5" customHeight="1" x14ac:dyDescent="0.25">
      <c r="B122" s="166" t="s">
        <v>1797</v>
      </c>
      <c r="C122" s="167">
        <v>584</v>
      </c>
      <c r="D122" s="317" t="s">
        <v>2580</v>
      </c>
      <c r="E122" s="318" t="s">
        <v>2581</v>
      </c>
      <c r="F122" s="318" t="s">
        <v>2582</v>
      </c>
      <c r="G122" s="318" t="s">
        <v>2583</v>
      </c>
      <c r="H122" s="318" t="s">
        <v>2584</v>
      </c>
      <c r="I122" s="318" t="s">
        <v>2585</v>
      </c>
      <c r="J122" s="318" t="s">
        <v>2589</v>
      </c>
      <c r="K122" s="318" t="s">
        <v>2577</v>
      </c>
      <c r="L122" s="318" t="s">
        <v>2587</v>
      </c>
      <c r="M122" s="319" t="s">
        <v>2588</v>
      </c>
      <c r="O122" s="530" t="str">
        <f t="shared" si="1"/>
        <v>C  F  R  P  Pr  FS  D  W  O  AL</v>
      </c>
      <c r="P122" s="531"/>
      <c r="Q122" s="531"/>
      <c r="R122" s="531"/>
      <c r="S122" s="531"/>
      <c r="T122" s="531"/>
      <c r="U122" s="531"/>
      <c r="V122" s="531"/>
      <c r="W122" s="531"/>
      <c r="X122" s="532"/>
      <c r="AD122" s="542"/>
      <c r="AE122" s="545"/>
    </row>
    <row r="123" spans="2:31" ht="16.5" customHeight="1" x14ac:dyDescent="0.25">
      <c r="B123" s="166" t="s">
        <v>357</v>
      </c>
      <c r="C123" s="167">
        <v>585</v>
      </c>
      <c r="D123" s="317" t="s">
        <v>2580</v>
      </c>
      <c r="E123" s="318"/>
      <c r="F123" s="318"/>
      <c r="G123" s="318"/>
      <c r="H123" s="318"/>
      <c r="I123" s="318"/>
      <c r="J123" s="318"/>
      <c r="K123" s="318"/>
      <c r="L123" s="318"/>
      <c r="M123" s="319"/>
      <c r="O123" s="530" t="str">
        <f t="shared" si="1"/>
        <v xml:space="preserve">C                  </v>
      </c>
      <c r="P123" s="531"/>
      <c r="Q123" s="531"/>
      <c r="R123" s="531"/>
      <c r="S123" s="531"/>
      <c r="T123" s="531"/>
      <c r="U123" s="531"/>
      <c r="V123" s="531"/>
      <c r="W123" s="531"/>
      <c r="X123" s="532"/>
      <c r="AD123" s="542"/>
      <c r="AE123" s="545"/>
    </row>
    <row r="124" spans="2:31" ht="16.5" customHeight="1" x14ac:dyDescent="0.25">
      <c r="B124" s="166" t="s">
        <v>358</v>
      </c>
      <c r="C124" s="167">
        <v>587</v>
      </c>
      <c r="D124" s="317" t="s">
        <v>2580</v>
      </c>
      <c r="E124" s="318" t="s">
        <v>2581</v>
      </c>
      <c r="F124" s="318" t="s">
        <v>2582</v>
      </c>
      <c r="G124" s="318" t="s">
        <v>2583</v>
      </c>
      <c r="H124" s="318" t="s">
        <v>2584</v>
      </c>
      <c r="I124" s="318" t="s">
        <v>2585</v>
      </c>
      <c r="J124" s="318" t="s">
        <v>2589</v>
      </c>
      <c r="K124" s="318" t="s">
        <v>2577</v>
      </c>
      <c r="L124" s="318" t="s">
        <v>2587</v>
      </c>
      <c r="M124" s="319" t="s">
        <v>2588</v>
      </c>
      <c r="O124" s="530" t="str">
        <f t="shared" si="1"/>
        <v>C  F  R  P  Pr  FS  D  W  O  AL</v>
      </c>
      <c r="P124" s="531"/>
      <c r="Q124" s="531"/>
      <c r="R124" s="531"/>
      <c r="S124" s="531"/>
      <c r="T124" s="531"/>
      <c r="U124" s="531"/>
      <c r="V124" s="531"/>
      <c r="W124" s="531"/>
      <c r="X124" s="532"/>
      <c r="AD124" s="542"/>
      <c r="AE124" s="545"/>
    </row>
    <row r="125" spans="2:31" ht="16.5" customHeight="1" x14ac:dyDescent="0.25">
      <c r="B125" s="166" t="s">
        <v>584</v>
      </c>
      <c r="C125" s="168">
        <v>588</v>
      </c>
      <c r="D125" s="317" t="s">
        <v>2580</v>
      </c>
      <c r="E125" s="318"/>
      <c r="F125" s="318"/>
      <c r="G125" s="318"/>
      <c r="H125" s="318"/>
      <c r="I125" s="318"/>
      <c r="J125" s="318"/>
      <c r="K125" s="318"/>
      <c r="L125" s="318"/>
      <c r="M125" s="319"/>
      <c r="O125" s="530" t="str">
        <f t="shared" si="1"/>
        <v xml:space="preserve">C                  </v>
      </c>
      <c r="P125" s="531"/>
      <c r="Q125" s="531"/>
      <c r="R125" s="531"/>
      <c r="S125" s="531"/>
      <c r="T125" s="531"/>
      <c r="U125" s="531"/>
      <c r="V125" s="531"/>
      <c r="W125" s="531"/>
      <c r="X125" s="532"/>
      <c r="AD125" s="542"/>
      <c r="AE125" s="545"/>
    </row>
    <row r="126" spans="2:31" ht="16.5" customHeight="1" x14ac:dyDescent="0.25">
      <c r="B126" s="166" t="s">
        <v>1596</v>
      </c>
      <c r="C126" s="167">
        <v>590</v>
      </c>
      <c r="D126" s="317" t="s">
        <v>2580</v>
      </c>
      <c r="E126" s="318" t="s">
        <v>2581</v>
      </c>
      <c r="F126" s="318" t="s">
        <v>2582</v>
      </c>
      <c r="G126" s="318" t="s">
        <v>2583</v>
      </c>
      <c r="H126" s="318" t="s">
        <v>2584</v>
      </c>
      <c r="I126" s="318" t="s">
        <v>2585</v>
      </c>
      <c r="J126" s="318" t="s">
        <v>2589</v>
      </c>
      <c r="K126" s="318"/>
      <c r="L126" s="318" t="s">
        <v>2587</v>
      </c>
      <c r="M126" s="319" t="s">
        <v>2588</v>
      </c>
      <c r="O126" s="530" t="str">
        <f t="shared" si="1"/>
        <v>C  F  R  P  Pr  FS  D    O  AL</v>
      </c>
      <c r="P126" s="531"/>
      <c r="Q126" s="531"/>
      <c r="R126" s="531"/>
      <c r="S126" s="531"/>
      <c r="T126" s="531"/>
      <c r="U126" s="531"/>
      <c r="V126" s="531"/>
      <c r="W126" s="531"/>
      <c r="X126" s="532"/>
      <c r="AD126" s="542"/>
      <c r="AE126" s="545"/>
    </row>
    <row r="127" spans="2:31" ht="16.5" customHeight="1" x14ac:dyDescent="0.25">
      <c r="B127" s="166" t="s">
        <v>1271</v>
      </c>
      <c r="C127" s="167">
        <v>591</v>
      </c>
      <c r="D127" s="317" t="s">
        <v>2580</v>
      </c>
      <c r="E127" s="318" t="s">
        <v>2581</v>
      </c>
      <c r="F127" s="318" t="s">
        <v>2582</v>
      </c>
      <c r="G127" s="318" t="s">
        <v>2583</v>
      </c>
      <c r="H127" s="318"/>
      <c r="I127" s="318" t="s">
        <v>2585</v>
      </c>
      <c r="J127" s="318" t="s">
        <v>2589</v>
      </c>
      <c r="K127" s="318"/>
      <c r="L127" s="318" t="s">
        <v>2587</v>
      </c>
      <c r="M127" s="319" t="s">
        <v>2588</v>
      </c>
      <c r="O127" s="530" t="str">
        <f t="shared" si="1"/>
        <v>C  F  R  P    FS  D    O  AL</v>
      </c>
      <c r="P127" s="531"/>
      <c r="Q127" s="531"/>
      <c r="R127" s="531"/>
      <c r="S127" s="531"/>
      <c r="T127" s="531"/>
      <c r="U127" s="531"/>
      <c r="V127" s="531"/>
      <c r="W127" s="531"/>
      <c r="X127" s="532"/>
      <c r="AD127" s="542"/>
      <c r="AE127" s="545"/>
    </row>
    <row r="128" spans="2:31" ht="16.5" customHeight="1" x14ac:dyDescent="0.25">
      <c r="B128" s="166" t="s">
        <v>594</v>
      </c>
      <c r="C128" s="167">
        <v>592</v>
      </c>
      <c r="D128" s="317"/>
      <c r="E128" s="318"/>
      <c r="F128" s="318"/>
      <c r="G128" s="318"/>
      <c r="H128" s="318"/>
      <c r="I128" s="318" t="s">
        <v>2585</v>
      </c>
      <c r="J128" s="318"/>
      <c r="K128" s="318"/>
      <c r="L128" s="318"/>
      <c r="M128" s="319"/>
      <c r="O128" s="530" t="str">
        <f t="shared" si="1"/>
        <v xml:space="preserve">          FS        </v>
      </c>
      <c r="P128" s="531"/>
      <c r="Q128" s="531"/>
      <c r="R128" s="531"/>
      <c r="S128" s="531"/>
      <c r="T128" s="531"/>
      <c r="U128" s="531"/>
      <c r="V128" s="531"/>
      <c r="W128" s="531"/>
      <c r="X128" s="532"/>
      <c r="AD128" s="542"/>
      <c r="AE128" s="545"/>
    </row>
    <row r="129" spans="2:31" ht="16.5" customHeight="1" x14ac:dyDescent="0.25">
      <c r="B129" s="166" t="s">
        <v>374</v>
      </c>
      <c r="C129" s="168">
        <v>595</v>
      </c>
      <c r="D129" s="317" t="s">
        <v>2580</v>
      </c>
      <c r="E129" s="318" t="s">
        <v>2581</v>
      </c>
      <c r="F129" s="318" t="s">
        <v>2582</v>
      </c>
      <c r="G129" s="318" t="s">
        <v>2583</v>
      </c>
      <c r="H129" s="318" t="s">
        <v>2584</v>
      </c>
      <c r="I129" s="318" t="s">
        <v>2585</v>
      </c>
      <c r="J129" s="318" t="s">
        <v>2589</v>
      </c>
      <c r="K129" s="318" t="s">
        <v>2577</v>
      </c>
      <c r="L129" s="318" t="s">
        <v>2587</v>
      </c>
      <c r="M129" s="319" t="s">
        <v>2588</v>
      </c>
      <c r="O129" s="530" t="str">
        <f t="shared" si="1"/>
        <v>C  F  R  P  Pr  FS  D  W  O  AL</v>
      </c>
      <c r="P129" s="531"/>
      <c r="Q129" s="531"/>
      <c r="R129" s="531"/>
      <c r="S129" s="531"/>
      <c r="T129" s="531"/>
      <c r="U129" s="531"/>
      <c r="V129" s="531"/>
      <c r="W129" s="531"/>
      <c r="X129" s="532"/>
      <c r="AD129" s="542"/>
      <c r="AE129" s="548"/>
    </row>
    <row r="130" spans="2:31" ht="16.5" customHeight="1" x14ac:dyDescent="0.25">
      <c r="B130" s="166" t="s">
        <v>363</v>
      </c>
      <c r="C130" s="167">
        <v>600</v>
      </c>
      <c r="D130" s="317" t="s">
        <v>2580</v>
      </c>
      <c r="E130" s="318"/>
      <c r="F130" s="318"/>
      <c r="G130" s="318"/>
      <c r="H130" s="318"/>
      <c r="I130" s="318"/>
      <c r="J130" s="318"/>
      <c r="K130" s="318"/>
      <c r="L130" s="318"/>
      <c r="M130" s="319"/>
      <c r="O130" s="530" t="str">
        <f t="shared" si="1"/>
        <v xml:space="preserve">C                  </v>
      </c>
      <c r="P130" s="531"/>
      <c r="Q130" s="531"/>
      <c r="R130" s="531"/>
      <c r="S130" s="531"/>
      <c r="T130" s="531"/>
      <c r="U130" s="531"/>
      <c r="V130" s="531"/>
      <c r="W130" s="531"/>
      <c r="X130" s="532"/>
      <c r="AD130" s="542"/>
      <c r="AE130" s="545"/>
    </row>
    <row r="131" spans="2:31" ht="16.5" customHeight="1" x14ac:dyDescent="0.25">
      <c r="B131" s="166" t="s">
        <v>1147</v>
      </c>
      <c r="C131" s="167">
        <v>601</v>
      </c>
      <c r="D131" s="317" t="s">
        <v>2580</v>
      </c>
      <c r="E131" s="318" t="s">
        <v>2581</v>
      </c>
      <c r="F131" s="318" t="s">
        <v>2582</v>
      </c>
      <c r="G131" s="318" t="s">
        <v>2583</v>
      </c>
      <c r="H131" s="318" t="s">
        <v>2584</v>
      </c>
      <c r="I131" s="318" t="s">
        <v>2585</v>
      </c>
      <c r="J131" s="318" t="s">
        <v>2586</v>
      </c>
      <c r="K131" s="318"/>
      <c r="L131" s="318" t="s">
        <v>2587</v>
      </c>
      <c r="M131" s="319" t="s">
        <v>2588</v>
      </c>
      <c r="O131" s="530" t="str">
        <f t="shared" ref="O131:O172" si="2">(D131&amp;"  "&amp;E131&amp;"  "&amp;F131&amp;"  " &amp;G131&amp;"  "&amp;H131&amp;"  "&amp;I131&amp;"  "&amp;J131&amp;"  "&amp;K131&amp;"  "&amp;L131&amp;"  "&amp;M131)</f>
        <v>C  F  R  P  Pr  FS  DL    O  AL</v>
      </c>
      <c r="P131" s="531"/>
      <c r="Q131" s="531"/>
      <c r="R131" s="531"/>
      <c r="S131" s="531"/>
      <c r="T131" s="531"/>
      <c r="U131" s="531"/>
      <c r="V131" s="531"/>
      <c r="W131" s="531"/>
      <c r="X131" s="532"/>
      <c r="AD131" s="542"/>
      <c r="AE131" s="545"/>
    </row>
    <row r="132" spans="2:31" ht="16.5" customHeight="1" x14ac:dyDescent="0.25">
      <c r="B132" s="166" t="s">
        <v>632</v>
      </c>
      <c r="C132" s="167">
        <v>603</v>
      </c>
      <c r="D132" s="317" t="s">
        <v>2580</v>
      </c>
      <c r="E132" s="318"/>
      <c r="F132" s="318"/>
      <c r="G132" s="318"/>
      <c r="H132" s="318" t="s">
        <v>2584</v>
      </c>
      <c r="I132" s="318"/>
      <c r="J132" s="318"/>
      <c r="K132" s="318"/>
      <c r="L132" s="318" t="s">
        <v>2587</v>
      </c>
      <c r="M132" s="319"/>
      <c r="O132" s="530" t="str">
        <f t="shared" si="2"/>
        <v xml:space="preserve">C        Pr        O  </v>
      </c>
      <c r="P132" s="531"/>
      <c r="Q132" s="531"/>
      <c r="R132" s="531"/>
      <c r="S132" s="531"/>
      <c r="T132" s="531"/>
      <c r="U132" s="531"/>
      <c r="V132" s="531"/>
      <c r="W132" s="531"/>
      <c r="X132" s="532"/>
      <c r="AD132" s="542"/>
      <c r="AE132" s="545"/>
    </row>
    <row r="133" spans="2:31" ht="16.5" customHeight="1" x14ac:dyDescent="0.25">
      <c r="B133" s="166" t="s">
        <v>3877</v>
      </c>
      <c r="C133" s="167">
        <v>605</v>
      </c>
      <c r="D133" s="317"/>
      <c r="E133" s="318"/>
      <c r="F133" s="318"/>
      <c r="G133" s="318"/>
      <c r="H133" s="318"/>
      <c r="I133" s="318" t="s">
        <v>2585</v>
      </c>
      <c r="J133" s="318"/>
      <c r="K133" s="318"/>
      <c r="L133" s="318"/>
      <c r="M133" s="319"/>
      <c r="O133" s="530" t="str">
        <f t="shared" si="2"/>
        <v xml:space="preserve">          FS        </v>
      </c>
      <c r="P133" s="531"/>
      <c r="Q133" s="531"/>
      <c r="R133" s="531"/>
      <c r="S133" s="531"/>
      <c r="T133" s="531"/>
      <c r="U133" s="531"/>
      <c r="V133" s="531"/>
      <c r="W133" s="531"/>
      <c r="X133" s="532"/>
      <c r="AD133" s="542"/>
      <c r="AE133" s="550"/>
    </row>
    <row r="134" spans="2:31" ht="16.5" customHeight="1" x14ac:dyDescent="0.25">
      <c r="B134" s="166" t="s">
        <v>359</v>
      </c>
      <c r="C134" s="168">
        <v>606</v>
      </c>
      <c r="D134" s="317" t="s">
        <v>2580</v>
      </c>
      <c r="E134" s="318" t="s">
        <v>2581</v>
      </c>
      <c r="F134" s="318" t="s">
        <v>2582</v>
      </c>
      <c r="G134" s="318" t="s">
        <v>2583</v>
      </c>
      <c r="H134" s="318" t="s">
        <v>2584</v>
      </c>
      <c r="I134" s="318" t="s">
        <v>2585</v>
      </c>
      <c r="J134" s="318" t="s">
        <v>2589</v>
      </c>
      <c r="K134" s="318"/>
      <c r="L134" s="318" t="s">
        <v>2587</v>
      </c>
      <c r="M134" s="319" t="s">
        <v>2588</v>
      </c>
      <c r="O134" s="530" t="str">
        <f t="shared" si="2"/>
        <v>C  F  R  P  Pr  FS  D    O  AL</v>
      </c>
      <c r="P134" s="531"/>
      <c r="Q134" s="531"/>
      <c r="R134" s="531"/>
      <c r="S134" s="531"/>
      <c r="T134" s="531"/>
      <c r="U134" s="531"/>
      <c r="V134" s="531"/>
      <c r="W134" s="531"/>
      <c r="X134" s="532"/>
      <c r="AD134" s="542"/>
      <c r="AE134" s="548"/>
    </row>
    <row r="135" spans="2:31" ht="16.5" customHeight="1" x14ac:dyDescent="0.25">
      <c r="B135" s="166" t="s">
        <v>360</v>
      </c>
      <c r="C135" s="168">
        <v>607</v>
      </c>
      <c r="D135" s="317" t="s">
        <v>2580</v>
      </c>
      <c r="E135" s="318" t="s">
        <v>2581</v>
      </c>
      <c r="F135" s="318" t="s">
        <v>2582</v>
      </c>
      <c r="G135" s="318" t="s">
        <v>2583</v>
      </c>
      <c r="H135" s="318" t="s">
        <v>2584</v>
      </c>
      <c r="I135" s="318" t="s">
        <v>2585</v>
      </c>
      <c r="J135" s="318" t="s">
        <v>2589</v>
      </c>
      <c r="K135" s="318"/>
      <c r="L135" s="318" t="s">
        <v>2587</v>
      </c>
      <c r="M135" s="319" t="s">
        <v>2588</v>
      </c>
      <c r="O135" s="530" t="str">
        <f t="shared" si="2"/>
        <v>C  F  R  P  Pr  FS  D    O  AL</v>
      </c>
      <c r="P135" s="531"/>
      <c r="Q135" s="531"/>
      <c r="R135" s="531"/>
      <c r="S135" s="531"/>
      <c r="T135" s="531"/>
      <c r="U135" s="531"/>
      <c r="V135" s="531"/>
      <c r="W135" s="531"/>
      <c r="X135" s="532"/>
      <c r="AD135" s="542"/>
      <c r="AE135" s="548"/>
    </row>
    <row r="136" spans="2:31" ht="16.5" customHeight="1" x14ac:dyDescent="0.25">
      <c r="B136" s="166" t="s">
        <v>361</v>
      </c>
      <c r="C136" s="168">
        <v>608</v>
      </c>
      <c r="D136" s="317" t="s">
        <v>2580</v>
      </c>
      <c r="E136" s="318" t="s">
        <v>2581</v>
      </c>
      <c r="F136" s="318" t="s">
        <v>2582</v>
      </c>
      <c r="G136" s="318" t="s">
        <v>2583</v>
      </c>
      <c r="H136" s="318" t="s">
        <v>2584</v>
      </c>
      <c r="I136" s="318" t="s">
        <v>2585</v>
      </c>
      <c r="J136" s="318" t="s">
        <v>2589</v>
      </c>
      <c r="K136" s="318"/>
      <c r="L136" s="318" t="s">
        <v>2587</v>
      </c>
      <c r="M136" s="319" t="s">
        <v>2588</v>
      </c>
      <c r="O136" s="530" t="str">
        <f t="shared" si="2"/>
        <v>C  F  R  P  Pr  FS  D    O  AL</v>
      </c>
      <c r="P136" s="531"/>
      <c r="Q136" s="531"/>
      <c r="R136" s="531"/>
      <c r="S136" s="531"/>
      <c r="T136" s="531"/>
      <c r="U136" s="531"/>
      <c r="V136" s="531"/>
      <c r="W136" s="531"/>
      <c r="X136" s="532"/>
      <c r="AD136" s="542"/>
      <c r="AE136" s="548"/>
    </row>
    <row r="137" spans="2:31" ht="16.5" customHeight="1" x14ac:dyDescent="0.25">
      <c r="B137" s="166" t="s">
        <v>362</v>
      </c>
      <c r="C137" s="167">
        <v>609</v>
      </c>
      <c r="D137" s="317" t="s">
        <v>2580</v>
      </c>
      <c r="E137" s="318"/>
      <c r="F137" s="318"/>
      <c r="G137" s="318"/>
      <c r="H137" s="318"/>
      <c r="I137" s="318"/>
      <c r="J137" s="318"/>
      <c r="K137" s="318"/>
      <c r="L137" s="318"/>
      <c r="M137" s="319"/>
      <c r="O137" s="530" t="str">
        <f t="shared" si="2"/>
        <v xml:space="preserve">C                  </v>
      </c>
      <c r="P137" s="531"/>
      <c r="Q137" s="531"/>
      <c r="R137" s="531"/>
      <c r="S137" s="531"/>
      <c r="T137" s="531"/>
      <c r="U137" s="531"/>
      <c r="V137" s="531"/>
      <c r="W137" s="531"/>
      <c r="X137" s="532"/>
      <c r="AD137" s="542"/>
      <c r="AE137" s="545"/>
    </row>
    <row r="138" spans="2:31" ht="16.5" customHeight="1" x14ac:dyDescent="0.25">
      <c r="B138" s="166" t="s">
        <v>53</v>
      </c>
      <c r="C138" s="167">
        <v>610</v>
      </c>
      <c r="D138" s="317" t="s">
        <v>2580</v>
      </c>
      <c r="E138" s="318" t="s">
        <v>2581</v>
      </c>
      <c r="F138" s="318" t="s">
        <v>2582</v>
      </c>
      <c r="G138" s="318" t="s">
        <v>2583</v>
      </c>
      <c r="H138" s="318" t="s">
        <v>2584</v>
      </c>
      <c r="I138" s="318" t="s">
        <v>2585</v>
      </c>
      <c r="J138" s="318" t="s">
        <v>2589</v>
      </c>
      <c r="K138" s="318"/>
      <c r="L138" s="318" t="s">
        <v>2587</v>
      </c>
      <c r="M138" s="319" t="s">
        <v>2588</v>
      </c>
      <c r="O138" s="530" t="str">
        <f t="shared" si="2"/>
        <v>C  F  R  P  Pr  FS  D    O  AL</v>
      </c>
      <c r="P138" s="531"/>
      <c r="Q138" s="531"/>
      <c r="R138" s="531"/>
      <c r="S138" s="531"/>
      <c r="T138" s="531"/>
      <c r="U138" s="531"/>
      <c r="V138" s="531"/>
      <c r="W138" s="531"/>
      <c r="X138" s="532"/>
      <c r="AD138" s="542"/>
      <c r="AE138" s="545"/>
    </row>
    <row r="139" spans="2:31" ht="16.5" customHeight="1" x14ac:dyDescent="0.25">
      <c r="B139" s="166" t="s">
        <v>364</v>
      </c>
      <c r="C139" s="167">
        <v>612</v>
      </c>
      <c r="D139" s="317" t="s">
        <v>2580</v>
      </c>
      <c r="E139" s="318" t="s">
        <v>2581</v>
      </c>
      <c r="F139" s="318" t="s">
        <v>2582</v>
      </c>
      <c r="G139" s="318" t="s">
        <v>2583</v>
      </c>
      <c r="H139" s="318" t="s">
        <v>2584</v>
      </c>
      <c r="I139" s="318" t="s">
        <v>2585</v>
      </c>
      <c r="J139" s="318" t="s">
        <v>2589</v>
      </c>
      <c r="K139" s="318"/>
      <c r="L139" s="318" t="s">
        <v>2587</v>
      </c>
      <c r="M139" s="319" t="s">
        <v>2588</v>
      </c>
      <c r="O139" s="530" t="str">
        <f t="shared" si="2"/>
        <v>C  F  R  P  Pr  FS  D    O  AL</v>
      </c>
      <c r="P139" s="531"/>
      <c r="Q139" s="531"/>
      <c r="R139" s="531"/>
      <c r="S139" s="531"/>
      <c r="T139" s="531"/>
      <c r="U139" s="531"/>
      <c r="V139" s="531"/>
      <c r="W139" s="531"/>
      <c r="X139" s="532"/>
      <c r="AD139" s="542"/>
      <c r="AE139" s="545"/>
    </row>
    <row r="140" spans="2:31" ht="16.5" customHeight="1" x14ac:dyDescent="0.25">
      <c r="B140" s="166" t="s">
        <v>305</v>
      </c>
      <c r="C140" s="168">
        <v>614</v>
      </c>
      <c r="D140" s="317" t="s">
        <v>2580</v>
      </c>
      <c r="E140" s="318" t="s">
        <v>2581</v>
      </c>
      <c r="F140" s="318" t="s">
        <v>2582</v>
      </c>
      <c r="G140" s="318" t="s">
        <v>2583</v>
      </c>
      <c r="H140" s="318" t="s">
        <v>2584</v>
      </c>
      <c r="I140" s="318" t="s">
        <v>2585</v>
      </c>
      <c r="J140" s="318" t="s">
        <v>2589</v>
      </c>
      <c r="K140" s="318" t="s">
        <v>2577</v>
      </c>
      <c r="L140" s="318" t="s">
        <v>2587</v>
      </c>
      <c r="M140" s="319" t="s">
        <v>2588</v>
      </c>
      <c r="O140" s="530" t="str">
        <f t="shared" si="2"/>
        <v>C  F  R  P  Pr  FS  D  W  O  AL</v>
      </c>
      <c r="P140" s="531"/>
      <c r="Q140" s="531"/>
      <c r="R140" s="531"/>
      <c r="S140" s="531"/>
      <c r="T140" s="531"/>
      <c r="U140" s="531"/>
      <c r="V140" s="531"/>
      <c r="W140" s="531"/>
      <c r="X140" s="532"/>
      <c r="AD140" s="542"/>
      <c r="AE140" s="548"/>
    </row>
    <row r="141" spans="2:31" ht="16.5" customHeight="1" x14ac:dyDescent="0.25">
      <c r="B141" s="166" t="s">
        <v>1395</v>
      </c>
      <c r="C141" s="167">
        <v>620</v>
      </c>
      <c r="D141" s="317" t="s">
        <v>2580</v>
      </c>
      <c r="E141" s="318" t="s">
        <v>2581</v>
      </c>
      <c r="F141" s="318" t="s">
        <v>2582</v>
      </c>
      <c r="G141" s="318" t="s">
        <v>2583</v>
      </c>
      <c r="H141" s="318" t="s">
        <v>2584</v>
      </c>
      <c r="I141" s="318" t="s">
        <v>2585</v>
      </c>
      <c r="J141" s="318" t="s">
        <v>2589</v>
      </c>
      <c r="K141" s="318" t="s">
        <v>2577</v>
      </c>
      <c r="L141" s="318" t="s">
        <v>2587</v>
      </c>
      <c r="M141" s="319" t="s">
        <v>2588</v>
      </c>
      <c r="O141" s="530" t="str">
        <f t="shared" si="2"/>
        <v>C  F  R  P  Pr  FS  D  W  O  AL</v>
      </c>
      <c r="P141" s="531"/>
      <c r="Q141" s="531"/>
      <c r="R141" s="531"/>
      <c r="S141" s="531"/>
      <c r="T141" s="531"/>
      <c r="U141" s="531"/>
      <c r="V141" s="531"/>
      <c r="W141" s="531"/>
      <c r="X141" s="532"/>
      <c r="AD141" s="542"/>
      <c r="AE141" s="545"/>
    </row>
    <row r="142" spans="2:31" ht="16.5" customHeight="1" x14ac:dyDescent="0.25">
      <c r="B142" s="166" t="s">
        <v>1150</v>
      </c>
      <c r="C142" s="167">
        <v>629</v>
      </c>
      <c r="D142" s="317"/>
      <c r="E142" s="318"/>
      <c r="F142" s="318"/>
      <c r="G142" s="318"/>
      <c r="H142" s="318"/>
      <c r="I142" s="318" t="s">
        <v>2585</v>
      </c>
      <c r="J142" s="318"/>
      <c r="K142" s="318"/>
      <c r="L142" s="318"/>
      <c r="M142" s="319"/>
      <c r="O142" s="530" t="str">
        <f t="shared" si="2"/>
        <v xml:space="preserve">          FS        </v>
      </c>
      <c r="P142" s="531"/>
      <c r="Q142" s="531"/>
      <c r="R142" s="531"/>
      <c r="S142" s="531"/>
      <c r="T142" s="531"/>
      <c r="U142" s="531"/>
      <c r="V142" s="531"/>
      <c r="W142" s="531"/>
      <c r="X142" s="532"/>
      <c r="AD142" s="542"/>
      <c r="AE142" s="545"/>
    </row>
    <row r="143" spans="2:31" ht="16.5" customHeight="1" x14ac:dyDescent="0.25">
      <c r="B143" s="166" t="s">
        <v>1148</v>
      </c>
      <c r="C143" s="167">
        <v>630</v>
      </c>
      <c r="D143" s="317" t="s">
        <v>2580</v>
      </c>
      <c r="E143" s="318" t="s">
        <v>2581</v>
      </c>
      <c r="F143" s="318" t="s">
        <v>2582</v>
      </c>
      <c r="G143" s="318" t="s">
        <v>2583</v>
      </c>
      <c r="H143" s="318" t="s">
        <v>2584</v>
      </c>
      <c r="I143" s="318" t="s">
        <v>2585</v>
      </c>
      <c r="J143" s="318" t="s">
        <v>2586</v>
      </c>
      <c r="K143" s="318"/>
      <c r="L143" s="318" t="s">
        <v>2587</v>
      </c>
      <c r="M143" s="319" t="s">
        <v>2588</v>
      </c>
      <c r="O143" s="530" t="str">
        <f t="shared" si="2"/>
        <v>C  F  R  P  Pr  FS  DL    O  AL</v>
      </c>
      <c r="P143" s="531"/>
      <c r="Q143" s="531"/>
      <c r="R143" s="531"/>
      <c r="S143" s="531"/>
      <c r="T143" s="531"/>
      <c r="U143" s="531"/>
      <c r="V143" s="531"/>
      <c r="W143" s="531"/>
      <c r="X143" s="532"/>
      <c r="AD143" s="542"/>
      <c r="AE143" s="545"/>
    </row>
    <row r="144" spans="2:31" ht="16.5" customHeight="1" x14ac:dyDescent="0.25">
      <c r="B144" s="166" t="s">
        <v>2578</v>
      </c>
      <c r="C144" s="167">
        <v>632</v>
      </c>
      <c r="D144" s="317"/>
      <c r="E144" s="318"/>
      <c r="F144" s="318"/>
      <c r="G144" s="318"/>
      <c r="H144" s="318"/>
      <c r="I144" s="318" t="s">
        <v>2585</v>
      </c>
      <c r="J144" s="318"/>
      <c r="K144" s="318"/>
      <c r="L144" s="318"/>
      <c r="M144" s="319"/>
      <c r="O144" s="530" t="str">
        <f t="shared" si="2"/>
        <v xml:space="preserve">          FS        </v>
      </c>
      <c r="P144" s="531"/>
      <c r="Q144" s="531"/>
      <c r="R144" s="531"/>
      <c r="S144" s="531"/>
      <c r="T144" s="531"/>
      <c r="U144" s="531"/>
      <c r="V144" s="531"/>
      <c r="W144" s="531"/>
      <c r="X144" s="532"/>
      <c r="AD144" s="542"/>
      <c r="AE144" s="545"/>
    </row>
    <row r="145" spans="2:31" ht="16.5" customHeight="1" x14ac:dyDescent="0.25">
      <c r="B145" s="166" t="s">
        <v>1973</v>
      </c>
      <c r="C145" s="167">
        <v>633</v>
      </c>
      <c r="D145" s="317" t="s">
        <v>2580</v>
      </c>
      <c r="E145" s="318" t="s">
        <v>2581</v>
      </c>
      <c r="F145" s="318" t="s">
        <v>2582</v>
      </c>
      <c r="G145" s="318" t="s">
        <v>2583</v>
      </c>
      <c r="H145" s="318" t="s">
        <v>2584</v>
      </c>
      <c r="I145" s="318"/>
      <c r="J145" s="318"/>
      <c r="K145" s="318"/>
      <c r="L145" s="318" t="s">
        <v>2587</v>
      </c>
      <c r="M145" s="319" t="s">
        <v>2588</v>
      </c>
      <c r="O145" s="530" t="str">
        <f t="shared" si="2"/>
        <v>C  F  R  P  Pr        O  AL</v>
      </c>
      <c r="P145" s="531"/>
      <c r="Q145" s="531"/>
      <c r="R145" s="531"/>
      <c r="S145" s="531"/>
      <c r="T145" s="531"/>
      <c r="U145" s="531"/>
      <c r="V145" s="531"/>
      <c r="W145" s="531"/>
      <c r="X145" s="532"/>
      <c r="AD145" s="542"/>
      <c r="AE145" s="548"/>
    </row>
    <row r="146" spans="2:31" ht="16.5" customHeight="1" x14ac:dyDescent="0.25">
      <c r="B146" s="166" t="s">
        <v>1825</v>
      </c>
      <c r="C146" s="168">
        <v>634</v>
      </c>
      <c r="D146" s="317"/>
      <c r="E146" s="318"/>
      <c r="F146" s="318"/>
      <c r="G146" s="318"/>
      <c r="H146" s="318"/>
      <c r="I146" s="318" t="s">
        <v>2585</v>
      </c>
      <c r="J146" s="318"/>
      <c r="K146" s="318"/>
      <c r="L146" s="318"/>
      <c r="M146" s="319"/>
      <c r="O146" s="530" t="str">
        <f t="shared" si="2"/>
        <v xml:space="preserve">          FS        </v>
      </c>
      <c r="P146" s="531"/>
      <c r="Q146" s="531"/>
      <c r="R146" s="531"/>
      <c r="S146" s="531"/>
      <c r="T146" s="531"/>
      <c r="U146" s="531"/>
      <c r="V146" s="531"/>
      <c r="W146" s="531"/>
      <c r="X146" s="532"/>
      <c r="AD146" s="542"/>
      <c r="AE146" s="543"/>
    </row>
    <row r="147" spans="2:31" ht="16.5" customHeight="1" x14ac:dyDescent="0.25">
      <c r="B147" s="166" t="s">
        <v>14</v>
      </c>
      <c r="C147" s="168">
        <v>635</v>
      </c>
      <c r="D147" s="317" t="s">
        <v>2580</v>
      </c>
      <c r="E147" s="318"/>
      <c r="F147" s="318"/>
      <c r="G147" s="318" t="s">
        <v>2583</v>
      </c>
      <c r="H147" s="318"/>
      <c r="I147" s="318" t="s">
        <v>2585</v>
      </c>
      <c r="J147" s="318"/>
      <c r="K147" s="318"/>
      <c r="L147" s="318"/>
      <c r="M147" s="319"/>
      <c r="O147" s="530" t="str">
        <f t="shared" si="2"/>
        <v xml:space="preserve">C      P    FS        </v>
      </c>
      <c r="P147" s="531"/>
      <c r="Q147" s="531"/>
      <c r="R147" s="531"/>
      <c r="S147" s="531"/>
      <c r="T147" s="531"/>
      <c r="U147" s="531"/>
      <c r="V147" s="531"/>
      <c r="W147" s="531"/>
      <c r="X147" s="532"/>
    </row>
    <row r="148" spans="2:31" ht="16.5" customHeight="1" x14ac:dyDescent="0.25">
      <c r="B148" s="166" t="s">
        <v>1153</v>
      </c>
      <c r="C148" s="168">
        <v>636</v>
      </c>
      <c r="D148" s="317" t="s">
        <v>2580</v>
      </c>
      <c r="E148" s="318" t="s">
        <v>2581</v>
      </c>
      <c r="F148" s="318" t="s">
        <v>2582</v>
      </c>
      <c r="G148" s="318" t="s">
        <v>2583</v>
      </c>
      <c r="H148" s="318" t="s">
        <v>2584</v>
      </c>
      <c r="I148" s="318" t="s">
        <v>2585</v>
      </c>
      <c r="J148" s="318" t="s">
        <v>2589</v>
      </c>
      <c r="K148" s="318"/>
      <c r="L148" s="318" t="s">
        <v>2587</v>
      </c>
      <c r="M148" s="319" t="s">
        <v>2588</v>
      </c>
      <c r="O148" s="530" t="str">
        <f t="shared" si="2"/>
        <v>C  F  R  P  Pr  FS  D    O  AL</v>
      </c>
      <c r="P148" s="531"/>
      <c r="Q148" s="531"/>
      <c r="R148" s="531"/>
      <c r="S148" s="531"/>
      <c r="T148" s="531"/>
      <c r="U148" s="531"/>
      <c r="V148" s="531"/>
      <c r="W148" s="531"/>
      <c r="X148" s="532"/>
    </row>
    <row r="149" spans="2:31" ht="16.5" customHeight="1" x14ac:dyDescent="0.25">
      <c r="B149" s="166" t="s">
        <v>1152</v>
      </c>
      <c r="C149" s="167">
        <v>638</v>
      </c>
      <c r="D149" s="317" t="s">
        <v>2580</v>
      </c>
      <c r="E149" s="318" t="s">
        <v>2581</v>
      </c>
      <c r="F149" s="318" t="s">
        <v>2582</v>
      </c>
      <c r="G149" s="318" t="s">
        <v>2583</v>
      </c>
      <c r="H149" s="318" t="s">
        <v>2584</v>
      </c>
      <c r="I149" s="318" t="s">
        <v>2585</v>
      </c>
      <c r="J149" s="318" t="s">
        <v>2589</v>
      </c>
      <c r="K149" s="318" t="s">
        <v>2577</v>
      </c>
      <c r="L149" s="318" t="s">
        <v>2587</v>
      </c>
      <c r="M149" s="319" t="s">
        <v>2588</v>
      </c>
      <c r="O149" s="530" t="str">
        <f t="shared" si="2"/>
        <v>C  F  R  P  Pr  FS  D  W  O  AL</v>
      </c>
      <c r="P149" s="531"/>
      <c r="Q149" s="531"/>
      <c r="R149" s="531"/>
      <c r="S149" s="531"/>
      <c r="T149" s="531"/>
      <c r="U149" s="531"/>
      <c r="V149" s="531"/>
      <c r="W149" s="531"/>
      <c r="X149" s="532"/>
    </row>
    <row r="150" spans="2:31" ht="16.5" customHeight="1" x14ac:dyDescent="0.25">
      <c r="B150" s="166" t="s">
        <v>306</v>
      </c>
      <c r="C150" s="167">
        <v>640</v>
      </c>
      <c r="D150" s="317" t="s">
        <v>2580</v>
      </c>
      <c r="E150" s="318" t="s">
        <v>2581</v>
      </c>
      <c r="F150" s="318" t="s">
        <v>2582</v>
      </c>
      <c r="G150" s="318" t="s">
        <v>2583</v>
      </c>
      <c r="H150" s="318" t="s">
        <v>2584</v>
      </c>
      <c r="I150" s="318"/>
      <c r="J150" s="318"/>
      <c r="K150" s="318"/>
      <c r="L150" s="318" t="s">
        <v>2587</v>
      </c>
      <c r="M150" s="319"/>
      <c r="O150" s="530" t="str">
        <f t="shared" si="2"/>
        <v xml:space="preserve">C  F  R  P  Pr        O  </v>
      </c>
      <c r="P150" s="531"/>
      <c r="Q150" s="531"/>
      <c r="R150" s="531"/>
      <c r="S150" s="531"/>
      <c r="T150" s="531"/>
      <c r="U150" s="531"/>
      <c r="V150" s="531"/>
      <c r="W150" s="531"/>
      <c r="X150" s="532"/>
    </row>
    <row r="151" spans="2:31" ht="16.5" customHeight="1" x14ac:dyDescent="0.25">
      <c r="B151" s="166" t="s">
        <v>1154</v>
      </c>
      <c r="C151" s="167">
        <v>642</v>
      </c>
      <c r="D151" s="317" t="s">
        <v>2580</v>
      </c>
      <c r="E151" s="318" t="s">
        <v>2581</v>
      </c>
      <c r="F151" s="318" t="s">
        <v>2582</v>
      </c>
      <c r="G151" s="318" t="s">
        <v>2583</v>
      </c>
      <c r="H151" s="318" t="s">
        <v>2584</v>
      </c>
      <c r="I151" s="318" t="s">
        <v>2585</v>
      </c>
      <c r="J151" s="318" t="s">
        <v>2589</v>
      </c>
      <c r="K151" s="318"/>
      <c r="L151" s="318" t="s">
        <v>2587</v>
      </c>
      <c r="M151" s="319" t="s">
        <v>2588</v>
      </c>
      <c r="O151" s="530" t="str">
        <f t="shared" si="2"/>
        <v>C  F  R  P  Pr  FS  D    O  AL</v>
      </c>
      <c r="P151" s="531"/>
      <c r="Q151" s="531"/>
      <c r="R151" s="531"/>
      <c r="S151" s="531"/>
      <c r="T151" s="531"/>
      <c r="U151" s="531"/>
      <c r="V151" s="531"/>
      <c r="W151" s="531"/>
      <c r="X151" s="532"/>
    </row>
    <row r="152" spans="2:31" ht="16.5" customHeight="1" x14ac:dyDescent="0.25">
      <c r="B152" s="166" t="s">
        <v>47</v>
      </c>
      <c r="C152" s="167">
        <v>643</v>
      </c>
      <c r="D152" s="317" t="s">
        <v>2580</v>
      </c>
      <c r="E152" s="318" t="s">
        <v>2581</v>
      </c>
      <c r="F152" s="318" t="s">
        <v>2582</v>
      </c>
      <c r="G152" s="318" t="s">
        <v>2583</v>
      </c>
      <c r="H152" s="318" t="s">
        <v>2584</v>
      </c>
      <c r="I152" s="318" t="s">
        <v>2585</v>
      </c>
      <c r="J152" s="318" t="s">
        <v>2589</v>
      </c>
      <c r="K152" s="318" t="s">
        <v>2577</v>
      </c>
      <c r="L152" s="318" t="s">
        <v>2587</v>
      </c>
      <c r="M152" s="319" t="s">
        <v>2588</v>
      </c>
      <c r="O152" s="530" t="str">
        <f t="shared" si="2"/>
        <v>C  F  R  P  Pr  FS  D  W  O  AL</v>
      </c>
      <c r="P152" s="531"/>
      <c r="Q152" s="531"/>
      <c r="R152" s="531"/>
      <c r="S152" s="531"/>
      <c r="T152" s="531"/>
      <c r="U152" s="531"/>
      <c r="V152" s="531"/>
      <c r="W152" s="531"/>
      <c r="X152" s="532"/>
    </row>
    <row r="153" spans="2:31" ht="16.5" customHeight="1" x14ac:dyDescent="0.25">
      <c r="B153" s="166" t="s">
        <v>1380</v>
      </c>
      <c r="C153" s="167">
        <v>644</v>
      </c>
      <c r="D153" s="317" t="s">
        <v>2580</v>
      </c>
      <c r="E153" s="318" t="s">
        <v>2581</v>
      </c>
      <c r="F153" s="318" t="s">
        <v>2582</v>
      </c>
      <c r="G153" s="318" t="s">
        <v>2583</v>
      </c>
      <c r="H153" s="318" t="s">
        <v>2584</v>
      </c>
      <c r="I153" s="318" t="s">
        <v>2585</v>
      </c>
      <c r="J153" s="318" t="s">
        <v>2589</v>
      </c>
      <c r="K153" s="318" t="s">
        <v>2577</v>
      </c>
      <c r="L153" s="318" t="s">
        <v>2587</v>
      </c>
      <c r="M153" s="319" t="s">
        <v>2588</v>
      </c>
      <c r="O153" s="530" t="str">
        <f t="shared" si="2"/>
        <v>C  F  R  P  Pr  FS  D  W  O  AL</v>
      </c>
      <c r="P153" s="531"/>
      <c r="Q153" s="531"/>
      <c r="R153" s="531"/>
      <c r="S153" s="531"/>
      <c r="T153" s="531"/>
      <c r="U153" s="531"/>
      <c r="V153" s="531"/>
      <c r="W153" s="531"/>
      <c r="X153" s="532"/>
    </row>
    <row r="154" spans="2:31" ht="16.5" customHeight="1" x14ac:dyDescent="0.25">
      <c r="B154" s="166" t="s">
        <v>268</v>
      </c>
      <c r="C154" s="167">
        <v>645</v>
      </c>
      <c r="D154" s="317" t="s">
        <v>2580</v>
      </c>
      <c r="E154" s="318" t="s">
        <v>2581</v>
      </c>
      <c r="F154" s="318" t="s">
        <v>2582</v>
      </c>
      <c r="G154" s="318" t="s">
        <v>2583</v>
      </c>
      <c r="H154" s="318" t="s">
        <v>2584</v>
      </c>
      <c r="I154" s="318" t="s">
        <v>2585</v>
      </c>
      <c r="J154" s="318" t="s">
        <v>2589</v>
      </c>
      <c r="K154" s="318" t="s">
        <v>2577</v>
      </c>
      <c r="L154" s="318" t="s">
        <v>2587</v>
      </c>
      <c r="M154" s="319" t="s">
        <v>2588</v>
      </c>
      <c r="O154" s="530" t="str">
        <f t="shared" si="2"/>
        <v>C  F  R  P  Pr  FS  D  W  O  AL</v>
      </c>
      <c r="P154" s="531"/>
      <c r="Q154" s="531"/>
      <c r="R154" s="531"/>
      <c r="S154" s="531"/>
      <c r="T154" s="531"/>
      <c r="U154" s="531"/>
      <c r="V154" s="531"/>
      <c r="W154" s="531"/>
      <c r="X154" s="532"/>
    </row>
    <row r="155" spans="2:31" ht="16.5" customHeight="1" x14ac:dyDescent="0.25">
      <c r="B155" s="166" t="s">
        <v>349</v>
      </c>
      <c r="C155" s="167">
        <v>646</v>
      </c>
      <c r="D155" s="317" t="s">
        <v>2580</v>
      </c>
      <c r="E155" s="318" t="s">
        <v>2581</v>
      </c>
      <c r="F155" s="318" t="s">
        <v>2582</v>
      </c>
      <c r="G155" s="318" t="s">
        <v>2583</v>
      </c>
      <c r="H155" s="318" t="s">
        <v>2584</v>
      </c>
      <c r="I155" s="318" t="s">
        <v>2585</v>
      </c>
      <c r="J155" s="318" t="s">
        <v>2589</v>
      </c>
      <c r="K155" s="318" t="s">
        <v>2577</v>
      </c>
      <c r="L155" s="318" t="s">
        <v>2587</v>
      </c>
      <c r="M155" s="319" t="s">
        <v>2588</v>
      </c>
      <c r="O155" s="530" t="str">
        <f t="shared" si="2"/>
        <v>C  F  R  P  Pr  FS  D  W  O  AL</v>
      </c>
      <c r="P155" s="531"/>
      <c r="Q155" s="531"/>
      <c r="R155" s="531"/>
      <c r="S155" s="531"/>
      <c r="T155" s="531"/>
      <c r="U155" s="531"/>
      <c r="V155" s="531"/>
      <c r="W155" s="531"/>
      <c r="X155" s="532"/>
    </row>
    <row r="156" spans="2:31" ht="16.5" customHeight="1" x14ac:dyDescent="0.25">
      <c r="B156" s="166" t="s">
        <v>2575</v>
      </c>
      <c r="C156" s="167">
        <v>647</v>
      </c>
      <c r="D156" s="317" t="s">
        <v>2580</v>
      </c>
      <c r="E156" s="318" t="s">
        <v>2581</v>
      </c>
      <c r="F156" s="318" t="s">
        <v>2582</v>
      </c>
      <c r="G156" s="318" t="s">
        <v>2583</v>
      </c>
      <c r="H156" s="318" t="s">
        <v>2584</v>
      </c>
      <c r="I156" s="318" t="s">
        <v>2585</v>
      </c>
      <c r="J156" s="318" t="s">
        <v>2589</v>
      </c>
      <c r="K156" s="318" t="s">
        <v>2577</v>
      </c>
      <c r="L156" s="318" t="s">
        <v>2587</v>
      </c>
      <c r="M156" s="319" t="s">
        <v>2588</v>
      </c>
      <c r="O156" s="530" t="str">
        <f t="shared" si="2"/>
        <v>C  F  R  P  Pr  FS  D  W  O  AL</v>
      </c>
      <c r="P156" s="531"/>
      <c r="Q156" s="531"/>
      <c r="R156" s="531"/>
      <c r="S156" s="531"/>
      <c r="T156" s="531"/>
      <c r="U156" s="531"/>
      <c r="V156" s="531"/>
      <c r="W156" s="531"/>
      <c r="X156" s="532"/>
    </row>
    <row r="157" spans="2:31" ht="16.5" customHeight="1" x14ac:dyDescent="0.25">
      <c r="B157" s="166" t="s">
        <v>3871</v>
      </c>
      <c r="C157" s="167">
        <v>649</v>
      </c>
      <c r="D157" s="317" t="s">
        <v>2580</v>
      </c>
      <c r="E157" s="318" t="s">
        <v>2581</v>
      </c>
      <c r="F157" s="318" t="s">
        <v>2582</v>
      </c>
      <c r="G157" s="318" t="s">
        <v>2583</v>
      </c>
      <c r="H157" s="318" t="s">
        <v>2584</v>
      </c>
      <c r="I157" s="318" t="s">
        <v>2585</v>
      </c>
      <c r="J157" s="318" t="s">
        <v>2589</v>
      </c>
      <c r="K157" s="318" t="s">
        <v>2577</v>
      </c>
      <c r="L157" s="318" t="s">
        <v>2587</v>
      </c>
      <c r="M157" s="319" t="s">
        <v>2588</v>
      </c>
      <c r="O157" s="530" t="str">
        <f t="shared" si="2"/>
        <v>C  F  R  P  Pr  FS  D  W  O  AL</v>
      </c>
      <c r="P157" s="531"/>
      <c r="Q157" s="531"/>
      <c r="R157" s="531"/>
      <c r="S157" s="531"/>
      <c r="T157" s="531"/>
      <c r="U157" s="531"/>
      <c r="V157" s="531"/>
      <c r="W157" s="531"/>
      <c r="X157" s="532"/>
    </row>
    <row r="158" spans="2:31" ht="16.5" customHeight="1" x14ac:dyDescent="0.25">
      <c r="B158" s="166" t="s">
        <v>1382</v>
      </c>
      <c r="C158" s="167">
        <v>650</v>
      </c>
      <c r="D158" s="317" t="s">
        <v>2580</v>
      </c>
      <c r="E158" s="318"/>
      <c r="F158" s="318"/>
      <c r="G158" s="318" t="s">
        <v>2583</v>
      </c>
      <c r="H158" s="318"/>
      <c r="I158" s="318" t="s">
        <v>2585</v>
      </c>
      <c r="J158" s="318" t="s">
        <v>2589</v>
      </c>
      <c r="K158" s="318"/>
      <c r="L158" s="318" t="s">
        <v>2587</v>
      </c>
      <c r="M158" s="319" t="s">
        <v>2588</v>
      </c>
      <c r="O158" s="530" t="str">
        <f t="shared" si="2"/>
        <v>C      P    FS  D    O  AL</v>
      </c>
      <c r="P158" s="531"/>
      <c r="Q158" s="531"/>
      <c r="R158" s="531"/>
      <c r="S158" s="531"/>
      <c r="T158" s="531"/>
      <c r="U158" s="531"/>
      <c r="V158" s="531"/>
      <c r="W158" s="531"/>
      <c r="X158" s="532"/>
    </row>
    <row r="159" spans="2:31" ht="16.5" customHeight="1" x14ac:dyDescent="0.25">
      <c r="B159" s="166" t="s">
        <v>479</v>
      </c>
      <c r="C159" s="168">
        <v>654</v>
      </c>
      <c r="D159" s="317"/>
      <c r="E159" s="318" t="s">
        <v>2581</v>
      </c>
      <c r="F159" s="318" t="s">
        <v>2582</v>
      </c>
      <c r="G159" s="318"/>
      <c r="H159" s="318" t="s">
        <v>2584</v>
      </c>
      <c r="I159" s="318"/>
      <c r="J159" s="318"/>
      <c r="K159" s="318"/>
      <c r="L159" s="318" t="s">
        <v>2587</v>
      </c>
      <c r="M159" s="319" t="s">
        <v>2588</v>
      </c>
      <c r="O159" s="530" t="str">
        <f t="shared" si="2"/>
        <v xml:space="preserve">  F  R    Pr        O  AL</v>
      </c>
      <c r="P159" s="531"/>
      <c r="Q159" s="531"/>
      <c r="R159" s="531"/>
      <c r="S159" s="531"/>
      <c r="T159" s="531"/>
      <c r="U159" s="531"/>
      <c r="V159" s="531"/>
      <c r="W159" s="531"/>
      <c r="X159" s="532"/>
    </row>
    <row r="160" spans="2:31" ht="16.5" customHeight="1" x14ac:dyDescent="0.25">
      <c r="B160" s="166" t="s">
        <v>625</v>
      </c>
      <c r="C160" s="167">
        <v>655</v>
      </c>
      <c r="D160" s="317"/>
      <c r="E160" s="318" t="s">
        <v>2581</v>
      </c>
      <c r="F160" s="318"/>
      <c r="G160" s="318"/>
      <c r="H160" s="318" t="s">
        <v>2584</v>
      </c>
      <c r="I160" s="318"/>
      <c r="J160" s="318"/>
      <c r="K160" s="318"/>
      <c r="L160" s="318" t="s">
        <v>2587</v>
      </c>
      <c r="M160" s="319"/>
      <c r="O160" s="530" t="str">
        <f t="shared" si="2"/>
        <v xml:space="preserve">  F      Pr        O  </v>
      </c>
      <c r="P160" s="531"/>
      <c r="Q160" s="531"/>
      <c r="R160" s="531"/>
      <c r="S160" s="531"/>
      <c r="T160" s="531"/>
      <c r="U160" s="531"/>
      <c r="V160" s="531"/>
      <c r="W160" s="531"/>
      <c r="X160" s="532"/>
    </row>
    <row r="161" spans="2:26" ht="16.5" customHeight="1" x14ac:dyDescent="0.25">
      <c r="B161" s="166" t="s">
        <v>579</v>
      </c>
      <c r="C161" s="167">
        <v>656</v>
      </c>
      <c r="D161" s="317" t="s">
        <v>2580</v>
      </c>
      <c r="E161" s="318" t="s">
        <v>2581</v>
      </c>
      <c r="F161" s="318" t="s">
        <v>2582</v>
      </c>
      <c r="G161" s="318" t="s">
        <v>2583</v>
      </c>
      <c r="H161" s="318" t="s">
        <v>2584</v>
      </c>
      <c r="I161" s="318" t="s">
        <v>2585</v>
      </c>
      <c r="J161" s="318"/>
      <c r="K161" s="318"/>
      <c r="L161" s="318" t="s">
        <v>2587</v>
      </c>
      <c r="M161" s="319" t="s">
        <v>2588</v>
      </c>
      <c r="O161" s="530" t="str">
        <f t="shared" si="2"/>
        <v>C  F  R  P  Pr  FS      O  AL</v>
      </c>
      <c r="P161" s="531"/>
      <c r="Q161" s="531"/>
      <c r="R161" s="531"/>
      <c r="S161" s="531"/>
      <c r="T161" s="531"/>
      <c r="U161" s="531"/>
      <c r="V161" s="531"/>
      <c r="W161" s="531"/>
      <c r="X161" s="532"/>
    </row>
    <row r="162" spans="2:26" ht="16.5" customHeight="1" x14ac:dyDescent="0.25">
      <c r="B162" s="166" t="s">
        <v>310</v>
      </c>
      <c r="C162" s="167">
        <v>657</v>
      </c>
      <c r="D162" s="317" t="s">
        <v>2580</v>
      </c>
      <c r="E162" s="318" t="s">
        <v>2581</v>
      </c>
      <c r="F162" s="318" t="s">
        <v>2582</v>
      </c>
      <c r="G162" s="318" t="s">
        <v>2583</v>
      </c>
      <c r="H162" s="318" t="s">
        <v>2584</v>
      </c>
      <c r="I162" s="318"/>
      <c r="J162" s="318"/>
      <c r="K162" s="318" t="s">
        <v>2577</v>
      </c>
      <c r="L162" s="318" t="s">
        <v>2587</v>
      </c>
      <c r="M162" s="319" t="s">
        <v>2588</v>
      </c>
      <c r="O162" s="530" t="str">
        <f t="shared" si="2"/>
        <v>C  F  R  P  Pr      W  O  AL</v>
      </c>
      <c r="P162" s="531"/>
      <c r="Q162" s="531"/>
      <c r="R162" s="531"/>
      <c r="S162" s="531"/>
      <c r="T162" s="531"/>
      <c r="U162" s="531"/>
      <c r="V162" s="531"/>
      <c r="W162" s="531"/>
      <c r="X162" s="532"/>
    </row>
    <row r="163" spans="2:26" ht="16.5" customHeight="1" x14ac:dyDescent="0.25">
      <c r="B163" s="166" t="s">
        <v>308</v>
      </c>
      <c r="C163" s="167">
        <v>658</v>
      </c>
      <c r="D163" s="317" t="s">
        <v>2580</v>
      </c>
      <c r="E163" s="318" t="s">
        <v>2581</v>
      </c>
      <c r="F163" s="318" t="s">
        <v>2582</v>
      </c>
      <c r="G163" s="318" t="s">
        <v>2583</v>
      </c>
      <c r="H163" s="318" t="s">
        <v>2584</v>
      </c>
      <c r="I163" s="318"/>
      <c r="J163" s="318"/>
      <c r="K163" s="318" t="s">
        <v>2577</v>
      </c>
      <c r="L163" s="318" t="s">
        <v>2587</v>
      </c>
      <c r="M163" s="319" t="s">
        <v>2588</v>
      </c>
      <c r="O163" s="530" t="str">
        <f t="shared" si="2"/>
        <v>C  F  R  P  Pr      W  O  AL</v>
      </c>
      <c r="P163" s="531"/>
      <c r="Q163" s="531"/>
      <c r="R163" s="531"/>
      <c r="S163" s="531"/>
      <c r="T163" s="531"/>
      <c r="U163" s="531"/>
      <c r="V163" s="531"/>
      <c r="W163" s="531"/>
      <c r="X163" s="532"/>
    </row>
    <row r="164" spans="2:26" ht="16.5" customHeight="1" x14ac:dyDescent="0.25">
      <c r="B164" s="166" t="s">
        <v>309</v>
      </c>
      <c r="C164" s="167">
        <v>659</v>
      </c>
      <c r="D164" s="317" t="s">
        <v>2580</v>
      </c>
      <c r="E164" s="318" t="s">
        <v>2581</v>
      </c>
      <c r="F164" s="318" t="s">
        <v>2582</v>
      </c>
      <c r="G164" s="318" t="s">
        <v>2583</v>
      </c>
      <c r="H164" s="318" t="s">
        <v>2584</v>
      </c>
      <c r="I164" s="318"/>
      <c r="J164" s="318"/>
      <c r="K164" s="318" t="s">
        <v>2577</v>
      </c>
      <c r="L164" s="318" t="s">
        <v>2587</v>
      </c>
      <c r="M164" s="319" t="s">
        <v>2588</v>
      </c>
      <c r="O164" s="530" t="str">
        <f t="shared" si="2"/>
        <v>C  F  R  P  Pr      W  O  AL</v>
      </c>
      <c r="P164" s="531"/>
      <c r="Q164" s="531"/>
      <c r="R164" s="531"/>
      <c r="S164" s="531"/>
      <c r="T164" s="531"/>
      <c r="U164" s="531"/>
      <c r="V164" s="531"/>
      <c r="W164" s="531"/>
      <c r="X164" s="532"/>
    </row>
    <row r="165" spans="2:26" ht="16.5" customHeight="1" x14ac:dyDescent="0.25">
      <c r="B165" s="166" t="s">
        <v>365</v>
      </c>
      <c r="C165" s="167">
        <v>660</v>
      </c>
      <c r="D165" s="317" t="s">
        <v>2580</v>
      </c>
      <c r="E165" s="318" t="s">
        <v>2581</v>
      </c>
      <c r="F165" s="318" t="s">
        <v>2582</v>
      </c>
      <c r="G165" s="318" t="s">
        <v>2583</v>
      </c>
      <c r="H165" s="318" t="s">
        <v>2584</v>
      </c>
      <c r="I165" s="318" t="s">
        <v>2585</v>
      </c>
      <c r="J165" s="318" t="s">
        <v>2589</v>
      </c>
      <c r="K165" s="318"/>
      <c r="L165" s="318" t="s">
        <v>2587</v>
      </c>
      <c r="M165" s="319" t="s">
        <v>2588</v>
      </c>
      <c r="O165" s="530" t="str">
        <f t="shared" si="2"/>
        <v>C  F  R  P  Pr  FS  D    O  AL</v>
      </c>
      <c r="P165" s="531"/>
      <c r="Q165" s="531"/>
      <c r="R165" s="531"/>
      <c r="S165" s="531"/>
      <c r="T165" s="531"/>
      <c r="U165" s="531"/>
      <c r="V165" s="531"/>
      <c r="W165" s="531"/>
      <c r="X165" s="532"/>
    </row>
    <row r="166" spans="2:26" ht="16.5" customHeight="1" x14ac:dyDescent="0.25">
      <c r="B166" s="166" t="s">
        <v>624</v>
      </c>
      <c r="C166" s="167">
        <v>666</v>
      </c>
      <c r="D166" s="317"/>
      <c r="E166" s="318" t="s">
        <v>2581</v>
      </c>
      <c r="F166" s="318"/>
      <c r="G166" s="318" t="s">
        <v>2583</v>
      </c>
      <c r="H166" s="318" t="s">
        <v>2584</v>
      </c>
      <c r="I166" s="318"/>
      <c r="J166" s="318"/>
      <c r="K166" s="318"/>
      <c r="L166" s="318" t="s">
        <v>2587</v>
      </c>
      <c r="M166" s="319"/>
      <c r="O166" s="530" t="str">
        <f t="shared" si="2"/>
        <v xml:space="preserve">  F    P  Pr        O  </v>
      </c>
      <c r="P166" s="531"/>
      <c r="Q166" s="531"/>
      <c r="R166" s="531"/>
      <c r="S166" s="531"/>
      <c r="T166" s="531"/>
      <c r="U166" s="531"/>
      <c r="V166" s="531"/>
      <c r="W166" s="531"/>
      <c r="X166" s="532"/>
    </row>
    <row r="167" spans="2:26" ht="16.5" customHeight="1" x14ac:dyDescent="0.25">
      <c r="B167" s="166" t="s">
        <v>2576</v>
      </c>
      <c r="C167" s="167">
        <v>670</v>
      </c>
      <c r="D167" s="317"/>
      <c r="E167" s="318"/>
      <c r="F167" s="318"/>
      <c r="G167" s="318"/>
      <c r="H167" s="318"/>
      <c r="I167" s="318" t="s">
        <v>2585</v>
      </c>
      <c r="J167" s="318" t="s">
        <v>2589</v>
      </c>
      <c r="K167" s="318"/>
      <c r="L167" s="318"/>
      <c r="M167" s="319"/>
      <c r="O167" s="530" t="str">
        <f t="shared" si="2"/>
        <v xml:space="preserve">          FS  D      </v>
      </c>
      <c r="P167" s="531"/>
      <c r="Q167" s="531"/>
      <c r="R167" s="531"/>
      <c r="S167" s="531"/>
      <c r="T167" s="531"/>
      <c r="U167" s="531"/>
      <c r="V167" s="531"/>
      <c r="W167" s="531"/>
      <c r="X167" s="532"/>
    </row>
    <row r="168" spans="2:26" ht="16.5" customHeight="1" x14ac:dyDescent="0.25">
      <c r="B168" s="166" t="s">
        <v>2574</v>
      </c>
      <c r="C168" s="167">
        <v>672</v>
      </c>
      <c r="D168" s="317"/>
      <c r="E168" s="318"/>
      <c r="F168" s="318"/>
      <c r="G168" s="318"/>
      <c r="H168" s="318"/>
      <c r="I168" s="318" t="s">
        <v>2585</v>
      </c>
      <c r="J168" s="318" t="s">
        <v>2589</v>
      </c>
      <c r="K168" s="318"/>
      <c r="L168" s="318"/>
      <c r="M168" s="319"/>
      <c r="O168" s="530" t="str">
        <f t="shared" si="2"/>
        <v xml:space="preserve">          FS  D      </v>
      </c>
      <c r="P168" s="531"/>
      <c r="Q168" s="531"/>
      <c r="R168" s="531"/>
      <c r="S168" s="531"/>
      <c r="T168" s="531"/>
      <c r="U168" s="531"/>
      <c r="V168" s="531"/>
      <c r="W168" s="531"/>
      <c r="X168" s="532"/>
    </row>
    <row r="169" spans="2:26" ht="16.5" customHeight="1" x14ac:dyDescent="0.25">
      <c r="B169" s="166" t="s">
        <v>644</v>
      </c>
      <c r="C169" s="167" t="s">
        <v>1420</v>
      </c>
      <c r="D169" s="317" t="s">
        <v>2580</v>
      </c>
      <c r="E169" s="318" t="s">
        <v>2581</v>
      </c>
      <c r="F169" s="318" t="s">
        <v>2582</v>
      </c>
      <c r="G169" s="318" t="s">
        <v>2583</v>
      </c>
      <c r="H169" s="318" t="s">
        <v>2584</v>
      </c>
      <c r="I169" s="318" t="s">
        <v>2585</v>
      </c>
      <c r="J169" s="318"/>
      <c r="K169" s="318"/>
      <c r="L169" s="318" t="s">
        <v>2587</v>
      </c>
      <c r="M169" s="319" t="s">
        <v>2588</v>
      </c>
      <c r="O169" s="530" t="str">
        <f t="shared" si="2"/>
        <v>C  F  R  P  Pr  FS      O  AL</v>
      </c>
      <c r="P169" s="531"/>
      <c r="Q169" s="531"/>
      <c r="R169" s="531"/>
      <c r="S169" s="531"/>
      <c r="T169" s="531"/>
      <c r="U169" s="531"/>
      <c r="V169" s="531"/>
      <c r="W169" s="531"/>
      <c r="X169" s="532"/>
      <c r="Z169" s="160"/>
    </row>
    <row r="170" spans="2:26" ht="16.5" customHeight="1" x14ac:dyDescent="0.25">
      <c r="B170" s="166" t="s">
        <v>645</v>
      </c>
      <c r="C170" s="167" t="s">
        <v>1421</v>
      </c>
      <c r="D170" s="317" t="s">
        <v>2580</v>
      </c>
      <c r="E170" s="318" t="s">
        <v>2581</v>
      </c>
      <c r="F170" s="318" t="s">
        <v>2582</v>
      </c>
      <c r="G170" s="318" t="s">
        <v>2583</v>
      </c>
      <c r="H170" s="318" t="s">
        <v>2584</v>
      </c>
      <c r="I170" s="318" t="s">
        <v>2585</v>
      </c>
      <c r="J170" s="318" t="s">
        <v>2589</v>
      </c>
      <c r="K170" s="318"/>
      <c r="L170" s="318" t="s">
        <v>2587</v>
      </c>
      <c r="M170" s="319" t="s">
        <v>2588</v>
      </c>
      <c r="O170" s="530" t="str">
        <f t="shared" si="2"/>
        <v>C  F  R  P  Pr  FS  D    O  AL</v>
      </c>
      <c r="P170" s="531"/>
      <c r="Q170" s="531"/>
      <c r="R170" s="531"/>
      <c r="S170" s="531"/>
      <c r="T170" s="531"/>
      <c r="U170" s="531"/>
      <c r="V170" s="531"/>
      <c r="W170" s="531"/>
      <c r="X170" s="532"/>
      <c r="Z170" s="160"/>
    </row>
    <row r="171" spans="2:26" ht="16.5" customHeight="1" x14ac:dyDescent="0.25">
      <c r="B171" s="166" t="s">
        <v>642</v>
      </c>
      <c r="C171" s="167" t="s">
        <v>1422</v>
      </c>
      <c r="D171" s="317" t="s">
        <v>2580</v>
      </c>
      <c r="E171" s="318" t="s">
        <v>2581</v>
      </c>
      <c r="F171" s="318" t="s">
        <v>2582</v>
      </c>
      <c r="G171" s="318" t="s">
        <v>2583</v>
      </c>
      <c r="H171" s="318" t="s">
        <v>2584</v>
      </c>
      <c r="I171" s="318" t="s">
        <v>2585</v>
      </c>
      <c r="J171" s="318" t="s">
        <v>2589</v>
      </c>
      <c r="K171" s="318"/>
      <c r="L171" s="318" t="s">
        <v>2587</v>
      </c>
      <c r="M171" s="319" t="s">
        <v>2588</v>
      </c>
      <c r="O171" s="530" t="str">
        <f t="shared" si="2"/>
        <v>C  F  R  P  Pr  FS  D    O  AL</v>
      </c>
      <c r="P171" s="531"/>
      <c r="Q171" s="531"/>
      <c r="R171" s="531"/>
      <c r="S171" s="531"/>
      <c r="T171" s="531"/>
      <c r="U171" s="531"/>
      <c r="V171" s="531"/>
      <c r="W171" s="531"/>
      <c r="X171" s="532"/>
      <c r="Z171" s="160"/>
    </row>
    <row r="172" spans="2:26" ht="16.5" customHeight="1" x14ac:dyDescent="0.25">
      <c r="B172" s="166" t="s">
        <v>643</v>
      </c>
      <c r="C172" s="167" t="s">
        <v>766</v>
      </c>
      <c r="D172" s="317" t="s">
        <v>2580</v>
      </c>
      <c r="E172" s="318" t="s">
        <v>2581</v>
      </c>
      <c r="F172" s="318" t="s">
        <v>2582</v>
      </c>
      <c r="G172" s="318" t="s">
        <v>2583</v>
      </c>
      <c r="H172" s="318" t="s">
        <v>2584</v>
      </c>
      <c r="I172" s="318" t="s">
        <v>2585</v>
      </c>
      <c r="J172" s="318" t="s">
        <v>2589</v>
      </c>
      <c r="K172" s="318"/>
      <c r="L172" s="318" t="s">
        <v>2587</v>
      </c>
      <c r="M172" s="319" t="s">
        <v>2588</v>
      </c>
      <c r="O172" s="530" t="str">
        <f t="shared" si="2"/>
        <v>C  F  R  P  Pr  FS  D    O  AL</v>
      </c>
      <c r="P172" s="531"/>
      <c r="Q172" s="531"/>
      <c r="R172" s="531"/>
      <c r="S172" s="531"/>
      <c r="T172" s="531"/>
      <c r="U172" s="531"/>
      <c r="V172" s="531"/>
      <c r="W172" s="531"/>
      <c r="X172" s="532"/>
      <c r="Z172" s="160"/>
    </row>
    <row r="173" spans="2:26" ht="16.5" customHeight="1" thickBot="1" x14ac:dyDescent="0.3">
      <c r="B173" s="170" t="s">
        <v>585</v>
      </c>
      <c r="C173" s="171" t="s">
        <v>1478</v>
      </c>
      <c r="D173" s="540" t="s">
        <v>2580</v>
      </c>
      <c r="E173" s="320"/>
      <c r="F173" s="320"/>
      <c r="G173" s="320"/>
      <c r="H173" s="320"/>
      <c r="I173" s="320"/>
      <c r="J173" s="320"/>
      <c r="K173" s="320"/>
      <c r="L173" s="320" t="s">
        <v>2587</v>
      </c>
      <c r="M173" s="541"/>
      <c r="O173" s="533" t="str">
        <f t="shared" ref="O173" si="3">(D173&amp;"  "&amp;E173&amp;"  "&amp;F173&amp;"  " &amp;G173&amp;"  "&amp;H173&amp;"  "&amp;I173&amp;"  "&amp;J173&amp;"  "&amp;K173&amp;"  "&amp;L173&amp;"  "&amp;M173)</f>
        <v xml:space="preserve">C                O  </v>
      </c>
      <c r="P173" s="534"/>
      <c r="Q173" s="534"/>
      <c r="R173" s="534"/>
      <c r="S173" s="534"/>
      <c r="T173" s="534"/>
      <c r="U173" s="534"/>
      <c r="V173" s="534"/>
      <c r="W173" s="534"/>
      <c r="X173" s="535"/>
      <c r="Z173" s="160"/>
    </row>
    <row r="174" spans="2:26" ht="16.5" customHeight="1" x14ac:dyDescent="0.25">
      <c r="Z174" s="160"/>
    </row>
    <row r="175" spans="2:26" ht="16.5" customHeight="1" x14ac:dyDescent="0.25">
      <c r="Z175" s="160"/>
    </row>
    <row r="176" spans="2:26" ht="16.5" customHeight="1" thickBot="1" x14ac:dyDescent="0.3">
      <c r="B176" s="268" t="s">
        <v>300</v>
      </c>
      <c r="D176" s="8" t="s">
        <v>1458</v>
      </c>
      <c r="X176" s="160" t="s">
        <v>2231</v>
      </c>
      <c r="Z176" s="160"/>
    </row>
    <row r="177" spans="2:26" ht="75" customHeight="1" thickTop="1" x14ac:dyDescent="0.25">
      <c r="B177" s="263" t="s">
        <v>1110</v>
      </c>
      <c r="C177" s="264"/>
      <c r="D177" s="660" t="s">
        <v>2215</v>
      </c>
      <c r="E177" s="661"/>
      <c r="F177" s="661"/>
      <c r="G177" s="661"/>
      <c r="H177" s="661"/>
      <c r="I177" s="661"/>
      <c r="J177" s="661"/>
      <c r="K177" s="661"/>
      <c r="L177" s="661"/>
      <c r="M177" s="661"/>
      <c r="N177" s="661"/>
      <c r="O177" s="661"/>
      <c r="P177" s="661"/>
      <c r="Q177" s="661"/>
      <c r="R177" s="661"/>
      <c r="S177" s="661"/>
      <c r="T177" s="661"/>
      <c r="U177" s="661"/>
      <c r="V177" s="661"/>
      <c r="W177" s="661"/>
      <c r="X177" s="662"/>
      <c r="Z177" s="160"/>
    </row>
    <row r="178" spans="2:26" ht="75" customHeight="1" x14ac:dyDescent="0.25">
      <c r="B178" s="265" t="s">
        <v>301</v>
      </c>
      <c r="C178" s="169"/>
      <c r="D178" s="660" t="s">
        <v>2218</v>
      </c>
      <c r="E178" s="661"/>
      <c r="F178" s="661"/>
      <c r="G178" s="661"/>
      <c r="H178" s="661"/>
      <c r="I178" s="661"/>
      <c r="J178" s="661"/>
      <c r="K178" s="661"/>
      <c r="L178" s="661"/>
      <c r="M178" s="661"/>
      <c r="N178" s="661"/>
      <c r="O178" s="661"/>
      <c r="P178" s="661"/>
      <c r="Q178" s="661"/>
      <c r="R178" s="661"/>
      <c r="S178" s="661"/>
      <c r="T178" s="661"/>
      <c r="U178" s="661"/>
      <c r="V178" s="661"/>
      <c r="W178" s="661"/>
      <c r="X178" s="662"/>
      <c r="Z178" s="160"/>
    </row>
    <row r="179" spans="2:26" ht="75" customHeight="1" x14ac:dyDescent="0.25">
      <c r="B179" s="265" t="s">
        <v>2214</v>
      </c>
      <c r="C179" s="169"/>
      <c r="D179" s="660" t="s">
        <v>2217</v>
      </c>
      <c r="E179" s="661"/>
      <c r="F179" s="661"/>
      <c r="G179" s="661"/>
      <c r="H179" s="661"/>
      <c r="I179" s="661"/>
      <c r="J179" s="661"/>
      <c r="K179" s="661"/>
      <c r="L179" s="661"/>
      <c r="M179" s="661"/>
      <c r="N179" s="661"/>
      <c r="O179" s="661"/>
      <c r="P179" s="661"/>
      <c r="Q179" s="661"/>
      <c r="R179" s="661"/>
      <c r="S179" s="661"/>
      <c r="T179" s="661"/>
      <c r="U179" s="661"/>
      <c r="V179" s="661"/>
      <c r="W179" s="661"/>
      <c r="X179" s="662"/>
      <c r="Z179" s="160"/>
    </row>
    <row r="180" spans="2:26" ht="75" customHeight="1" x14ac:dyDescent="0.25">
      <c r="B180" s="265" t="s">
        <v>1260</v>
      </c>
      <c r="C180" s="169"/>
      <c r="D180" s="660" t="s">
        <v>2216</v>
      </c>
      <c r="E180" s="661"/>
      <c r="F180" s="661"/>
      <c r="G180" s="661"/>
      <c r="H180" s="661"/>
      <c r="I180" s="661"/>
      <c r="J180" s="661"/>
      <c r="K180" s="661"/>
      <c r="L180" s="661"/>
      <c r="M180" s="661"/>
      <c r="N180" s="661"/>
      <c r="O180" s="661"/>
      <c r="P180" s="661"/>
      <c r="Q180" s="661"/>
      <c r="R180" s="661"/>
      <c r="S180" s="661"/>
      <c r="T180" s="661"/>
      <c r="U180" s="661"/>
      <c r="V180" s="661"/>
      <c r="W180" s="661"/>
      <c r="X180" s="662"/>
      <c r="Z180" s="160"/>
    </row>
    <row r="181" spans="2:26" ht="75" customHeight="1" x14ac:dyDescent="0.25">
      <c r="B181" s="265" t="s">
        <v>2221</v>
      </c>
      <c r="C181" s="169"/>
      <c r="D181" s="660" t="s">
        <v>2220</v>
      </c>
      <c r="E181" s="661"/>
      <c r="F181" s="661"/>
      <c r="G181" s="661"/>
      <c r="H181" s="661"/>
      <c r="I181" s="661"/>
      <c r="J181" s="661"/>
      <c r="K181" s="661"/>
      <c r="L181" s="661"/>
      <c r="M181" s="661"/>
      <c r="N181" s="661"/>
      <c r="O181" s="661"/>
      <c r="P181" s="661"/>
      <c r="Q181" s="661"/>
      <c r="R181" s="661"/>
      <c r="S181" s="661"/>
      <c r="T181" s="661"/>
      <c r="U181" s="661"/>
      <c r="V181" s="661"/>
      <c r="W181" s="661"/>
      <c r="X181" s="662"/>
    </row>
    <row r="182" spans="2:26" ht="75" customHeight="1" x14ac:dyDescent="0.25">
      <c r="B182" s="265" t="s">
        <v>1457</v>
      </c>
      <c r="C182" s="169"/>
      <c r="D182" s="660" t="s">
        <v>2226</v>
      </c>
      <c r="E182" s="661"/>
      <c r="F182" s="661"/>
      <c r="G182" s="661"/>
      <c r="H182" s="661"/>
      <c r="I182" s="661"/>
      <c r="J182" s="661"/>
      <c r="K182" s="661"/>
      <c r="L182" s="661"/>
      <c r="M182" s="661"/>
      <c r="N182" s="661"/>
      <c r="O182" s="661"/>
      <c r="P182" s="661"/>
      <c r="Q182" s="661"/>
      <c r="R182" s="661"/>
      <c r="S182" s="661"/>
      <c r="T182" s="661"/>
      <c r="U182" s="661"/>
      <c r="V182" s="661"/>
      <c r="W182" s="661"/>
      <c r="X182" s="662"/>
    </row>
    <row r="183" spans="2:26" ht="75" customHeight="1" x14ac:dyDescent="0.25">
      <c r="B183" s="265" t="s">
        <v>2225</v>
      </c>
      <c r="C183" s="169"/>
      <c r="D183" s="660" t="s">
        <v>2224</v>
      </c>
      <c r="E183" s="661"/>
      <c r="F183" s="661"/>
      <c r="G183" s="661"/>
      <c r="H183" s="661"/>
      <c r="I183" s="661"/>
      <c r="J183" s="661"/>
      <c r="K183" s="661"/>
      <c r="L183" s="661"/>
      <c r="M183" s="661"/>
      <c r="N183" s="661"/>
      <c r="O183" s="661"/>
      <c r="P183" s="661"/>
      <c r="Q183" s="661"/>
      <c r="R183" s="661"/>
      <c r="S183" s="661"/>
      <c r="T183" s="661"/>
      <c r="U183" s="661"/>
      <c r="V183" s="661"/>
      <c r="W183" s="661"/>
      <c r="X183" s="662"/>
    </row>
    <row r="184" spans="2:26" ht="75" customHeight="1" x14ac:dyDescent="0.25">
      <c r="B184" s="265" t="s">
        <v>2219</v>
      </c>
      <c r="C184" s="169"/>
      <c r="D184" s="660" t="s">
        <v>2748</v>
      </c>
      <c r="E184" s="661"/>
      <c r="F184" s="661"/>
      <c r="G184" s="661"/>
      <c r="H184" s="661"/>
      <c r="I184" s="661"/>
      <c r="J184" s="661"/>
      <c r="K184" s="661"/>
      <c r="L184" s="661"/>
      <c r="M184" s="661"/>
      <c r="N184" s="661"/>
      <c r="O184" s="661"/>
      <c r="P184" s="661"/>
      <c r="Q184" s="661"/>
      <c r="R184" s="661"/>
      <c r="S184" s="661"/>
      <c r="T184" s="661"/>
      <c r="U184" s="661"/>
      <c r="V184" s="661"/>
      <c r="W184" s="661"/>
      <c r="X184" s="662"/>
    </row>
    <row r="185" spans="2:26" ht="75" customHeight="1" x14ac:dyDescent="0.25">
      <c r="B185" s="265" t="s">
        <v>2223</v>
      </c>
      <c r="C185" s="169"/>
      <c r="D185" s="660" t="s">
        <v>2222</v>
      </c>
      <c r="E185" s="661"/>
      <c r="F185" s="661"/>
      <c r="G185" s="661"/>
      <c r="H185" s="661"/>
      <c r="I185" s="661"/>
      <c r="J185" s="661"/>
      <c r="K185" s="661"/>
      <c r="L185" s="661"/>
      <c r="M185" s="661"/>
      <c r="N185" s="661"/>
      <c r="O185" s="661"/>
      <c r="P185" s="661"/>
      <c r="Q185" s="661"/>
      <c r="R185" s="661"/>
      <c r="S185" s="661"/>
      <c r="T185" s="661"/>
      <c r="U185" s="661"/>
      <c r="V185" s="661"/>
      <c r="W185" s="661"/>
      <c r="X185" s="662"/>
    </row>
    <row r="186" spans="2:26" ht="75" customHeight="1" thickBot="1" x14ac:dyDescent="0.3">
      <c r="B186" s="266" t="s">
        <v>2228</v>
      </c>
      <c r="C186" s="267"/>
      <c r="D186" s="657" t="s">
        <v>2227</v>
      </c>
      <c r="E186" s="658"/>
      <c r="F186" s="658"/>
      <c r="G186" s="658"/>
      <c r="H186" s="658"/>
      <c r="I186" s="658"/>
      <c r="J186" s="658"/>
      <c r="K186" s="658"/>
      <c r="L186" s="658"/>
      <c r="M186" s="658"/>
      <c r="N186" s="658"/>
      <c r="O186" s="658"/>
      <c r="P186" s="658"/>
      <c r="Q186" s="658"/>
      <c r="R186" s="658"/>
      <c r="S186" s="658"/>
      <c r="T186" s="658"/>
      <c r="U186" s="658"/>
      <c r="V186" s="658"/>
      <c r="W186" s="658"/>
      <c r="X186" s="659"/>
    </row>
    <row r="187" spans="2:26" ht="16.5" customHeight="1" thickTop="1" x14ac:dyDescent="0.25"/>
  </sheetData>
  <sortState ref="AD3:AE173">
    <sortCondition ref="AE3:AE173"/>
  </sortState>
  <mergeCells count="11">
    <mergeCell ref="B1:C2"/>
    <mergeCell ref="D186:X186"/>
    <mergeCell ref="D177:X177"/>
    <mergeCell ref="D178:X178"/>
    <mergeCell ref="D179:X179"/>
    <mergeCell ref="D180:X180"/>
    <mergeCell ref="D181:X181"/>
    <mergeCell ref="D182:X182"/>
    <mergeCell ref="D183:X183"/>
    <mergeCell ref="D184:X184"/>
    <mergeCell ref="D185:X185"/>
  </mergeCells>
  <pageMargins left="0.25" right="0.25" top="0.75" bottom="0.75" header="0.3" footer="0.3"/>
  <pageSetup orientation="portrait" copies="2" r:id="rId1"/>
  <headerFooter>
    <oddHeader>&amp;C&amp;"-,Bold"&amp;14Practice  X  Landuse Matrix</oddHeader>
    <oddFooter>&amp;C&amp;P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B2:AW272"/>
  <sheetViews>
    <sheetView workbookViewId="0">
      <pane xSplit="3" ySplit="4" topLeftCell="D5" activePane="bottomRight" state="frozen"/>
      <selection pane="topRight" activeCell="D1" sqref="D1"/>
      <selection pane="bottomLeft" activeCell="A5" sqref="A5"/>
      <selection pane="bottomRight"/>
    </sheetView>
  </sheetViews>
  <sheetFormatPr defaultColWidth="8.85546875" defaultRowHeight="11.25" x14ac:dyDescent="0.2"/>
  <cols>
    <col min="1" max="1" width="2.5703125" style="485" customWidth="1"/>
    <col min="2" max="2" width="4.28515625" style="485" hidden="1" customWidth="1"/>
    <col min="3" max="3" width="33.28515625" style="485" customWidth="1"/>
    <col min="4" max="11" width="9.42578125" style="485" customWidth="1"/>
    <col min="12" max="12" width="10.42578125" style="485" customWidth="1"/>
    <col min="13" max="19" width="9.42578125" style="485" customWidth="1"/>
    <col min="20" max="20" width="10.5703125" style="485" customWidth="1"/>
    <col min="21" max="21" width="9.42578125" style="485" customWidth="1"/>
    <col min="22" max="47" width="10.5703125" style="485" customWidth="1"/>
    <col min="48" max="16384" width="8.85546875" style="485"/>
  </cols>
  <sheetData>
    <row r="2" spans="2:49" ht="18" x14ac:dyDescent="0.25">
      <c r="C2" s="556" t="s">
        <v>3669</v>
      </c>
    </row>
    <row r="3" spans="2:49" x14ac:dyDescent="0.2">
      <c r="C3" s="486"/>
    </row>
    <row r="4" spans="2:49" s="483" customFormat="1" ht="135" x14ac:dyDescent="0.2">
      <c r="D4" s="489" t="str">
        <f>+'Physical Effects-Numbers'!D1</f>
        <v>Soil Erosion - Sheet and Rill Erosion</v>
      </c>
      <c r="E4" s="489" t="str">
        <f>+'Physical Effects-Numbers'!E1</f>
        <v>Soil Erosion - Wind Erosion</v>
      </c>
      <c r="F4" s="489" t="str">
        <f>+'Physical Effects-Numbers'!F1</f>
        <v>Soil Erosion - Ephemeral Gully Erosion</v>
      </c>
      <c r="G4" s="489" t="str">
        <f>+'Physical Effects-Numbers'!G1</f>
        <v>Soil Erosion - Classic Gully Erosion</v>
      </c>
      <c r="H4" s="489" t="str">
        <f>+'Physical Effects-Numbers'!H1</f>
        <v>Soil Erosion - Streambank, Shoreline, Water Conveyance Channels</v>
      </c>
      <c r="I4" s="489" t="str">
        <f>+'Physical Effects-Numbers'!I1</f>
        <v>Soil Quality Degradation - Organic Matter Depletion</v>
      </c>
      <c r="J4" s="489" t="str">
        <f>+'Physical Effects-Numbers'!J1</f>
        <v>Soil Quality Degradation - Compaction</v>
      </c>
      <c r="K4" s="489" t="str">
        <f>+'Physical Effects-Numbers'!K1</f>
        <v>Soil Quality Degradation - Subsidence</v>
      </c>
      <c r="L4" s="489" t="str">
        <f>+'Physical Effects-Numbers'!L1</f>
        <v>Soil Quality Degradation - Concentration of Salts or Other Chemicals</v>
      </c>
      <c r="M4" s="489" t="str">
        <f>+'Physical Effects-Numbers'!M1</f>
        <v>Excess Water - Seeps</v>
      </c>
      <c r="N4" s="489" t="str">
        <f>+'Physical Effects-Numbers'!N1</f>
        <v>Excess Water - Runoff, Flooding, or Ponding</v>
      </c>
      <c r="O4" s="489" t="str">
        <f>+'Physical Effects-Numbers'!O1</f>
        <v>Excess Water - Seasonal High Water Table</v>
      </c>
      <c r="P4" s="489" t="str">
        <f>+'Physical Effects-Numbers'!P1</f>
        <v>Excess Water - Drifted Snow</v>
      </c>
      <c r="Q4" s="489" t="str">
        <f>+'Physical Effects-Numbers'!Q1</f>
        <v>Insufficient Water - Inefficient Use of Irrigation Water</v>
      </c>
      <c r="R4" s="489" t="str">
        <f>+'Physical Effects-Numbers'!R1</f>
        <v>Insufficient Water - Inefficient Moisture Management</v>
      </c>
      <c r="S4" s="489" t="str">
        <f>+'Physical Effects-Numbers'!S1</f>
        <v>Water Quality Degradation - Pesticides in Surface Water</v>
      </c>
      <c r="T4" s="489" t="str">
        <f>+'Physical Effects-Numbers'!T1</f>
        <v>Water Quality Degradation - Pesticides in Groundwater</v>
      </c>
      <c r="U4" s="489" t="str">
        <f>+'Physical Effects-Numbers'!U1</f>
        <v>Water Quality Degradation - Nutrients in Surface water</v>
      </c>
      <c r="V4" s="489" t="str">
        <f>+'Physical Effects-Numbers'!V1</f>
        <v>Water Quality Degradation - Nutrients in Groundwater</v>
      </c>
      <c r="W4" s="489" t="str">
        <f>+'Physical Effects-Numbers'!W1</f>
        <v>Water Quality Degradation - Salts in Surface Water</v>
      </c>
      <c r="X4" s="489" t="str">
        <f>+'Physical Effects-Numbers'!X1</f>
        <v>Water Quality Degradation - Salts in Groundwater</v>
      </c>
      <c r="Y4" s="489" t="str">
        <f>+'Physical Effects-Numbers'!Y1</f>
        <v>Water Quality Degradation - Excess Pathogens and Chemicals from Manure, Bio-solids or Compost Applications in Surface Water</v>
      </c>
      <c r="Z4" s="489" t="str">
        <f>+'Physical Effects-Numbers'!Z1</f>
        <v>Water Quality Degradation - Excess Pathogens and Chemicals from Manure, Bio-solids or Compost Applications in Groundwater</v>
      </c>
      <c r="AA4" s="489" t="str">
        <f>+'Physical Effects-Numbers'!AA1</f>
        <v>Water Quality Degradation - Excessive Sediment in Surface Water</v>
      </c>
      <c r="AB4" s="489" t="str">
        <f>+'Physical Effects-Numbers'!AB1</f>
        <v>Water Quality Degradation - Elevated Water Temperature</v>
      </c>
      <c r="AC4" s="489" t="str">
        <f>+'Physical Effects-Numbers'!AC1</f>
        <v>Water Quality Degradation - Petroleum, Heavy Metals and Other Pollutants Transported to Surface Water</v>
      </c>
      <c r="AD4" s="489" t="str">
        <f>+'Physical Effects-Numbers'!AD1</f>
        <v>Water Quality Degradation - Petroleum, Heavy Metals and Other Pollutants Transported to Groundwater</v>
      </c>
      <c r="AE4" s="489" t="str">
        <f>+'Physical Effects-Numbers'!AE1</f>
        <v>Air Quality Impacts - Emissions of Particulate Matter (PM) and PM Precursors</v>
      </c>
      <c r="AF4" s="489" t="str">
        <f>+'Physical Effects-Numbers'!AF1</f>
        <v>Air Quality Impacts - Emissions of Ozone Precursors</v>
      </c>
      <c r="AG4" s="489" t="str">
        <f>+'Physical Effects-Numbers'!AG1</f>
        <v>Air Quality Impacts - Emissions of Greenhouse Gases (GHGs)</v>
      </c>
      <c r="AH4" s="489" t="str">
        <f>+'Physical Effects-Numbers'!AH1</f>
        <v>Air Quality Impacts - Objectionable Odors</v>
      </c>
      <c r="AI4" s="489" t="str">
        <f>+'Physical Effects-Numbers'!AI1</f>
        <v>Degraded Plant Condition - Undesirable Plant Productivity and Health</v>
      </c>
      <c r="AJ4" s="489" t="str">
        <f>+'Physical Effects-Numbers'!AJ1</f>
        <v xml:space="preserve">Degraded Plant Condition - Inadequate Structure and Composition </v>
      </c>
      <c r="AK4" s="489" t="str">
        <f>+'Physical Effects-Numbers'!AK1</f>
        <v>Degraded Plant Condition - Excessive Plant Pest Pressure</v>
      </c>
      <c r="AL4" s="489" t="str">
        <f>+'Physical Effects-Numbers'!AL1</f>
        <v>Degraded Plant Condition - Wildfire Hazard, Excessive Biomass Accumulation</v>
      </c>
      <c r="AM4" s="489" t="str">
        <f>+'Physical Effects-Numbers'!AM1</f>
        <v>Fish and Wildlife - Inadequate Habitat - Food</v>
      </c>
      <c r="AN4" s="489" t="str">
        <f>+'Physical Effects-Numbers'!AN1</f>
        <v>Fish and Wildlife - Inadequate Habitat - Cover/Shelter</v>
      </c>
      <c r="AO4" s="489" t="str">
        <f>+'Physical Effects-Numbers'!AO1</f>
        <v>Fish and Wildlife - Inadequate Habitat - Water</v>
      </c>
      <c r="AP4" s="489" t="str">
        <f>+'Physical Effects-Numbers'!AP1</f>
        <v>Fish and Wildlife - Inadequate Habitat - Habitat Continuity (Space)</v>
      </c>
      <c r="AQ4" s="489" t="str">
        <f>+'Physical Effects-Numbers'!AQ1</f>
        <v>Livestock Production Limitation - Inadequate Feed and Forage</v>
      </c>
      <c r="AR4" s="489" t="str">
        <f>+'Physical Effects-Numbers'!AR1</f>
        <v>Livestock Production Limitation - Inadequate Shelter</v>
      </c>
      <c r="AS4" s="489" t="str">
        <f>+'Physical Effects-Numbers'!AS1</f>
        <v>Livestock Production Limitation - Inadequate Water</v>
      </c>
      <c r="AT4" s="489" t="str">
        <f>+'Physical Effects-Numbers'!AT1</f>
        <v>Inefficient Energy Use - Equipment and Facilities</v>
      </c>
      <c r="AU4" s="489" t="str">
        <f>+'Physical Effects-Numbers'!AU1</f>
        <v>Inefficient Energy Use - Farming/Ranching Practices and Field Operations</v>
      </c>
      <c r="AV4" s="484"/>
      <c r="AW4" s="484" t="s">
        <v>2231</v>
      </c>
    </row>
    <row r="5" spans="2:49" x14ac:dyDescent="0.2">
      <c r="B5" s="487">
        <v>2</v>
      </c>
      <c r="C5" s="486" t="str">
        <f>+'Physical Effects-Numbers'!B2</f>
        <v xml:space="preserve">Access Control </v>
      </c>
      <c r="D5" s="488" t="str">
        <f>IF(D$4="","",IF(HLOOKUP(D$4,'Physical Effects-Numbers'!$B$1:$AU$172,$B5,FALSE)&lt;0,HLOOKUP(D$4,'Physical Effects-Numbers'!$B$1:$AU$172,$B5,FALSE),""))</f>
        <v/>
      </c>
      <c r="E5" s="488" t="str">
        <f>IF(E$4="","",IF(HLOOKUP(E$4,'Physical Effects-Numbers'!$B$1:$AU$172,$B5,FALSE)&lt;0,HLOOKUP(E$4,'Physical Effects-Numbers'!$B$1:$AU$172,$B5,FALSE),""))</f>
        <v/>
      </c>
      <c r="F5" s="488" t="str">
        <f>IF(F$4="","",IF(HLOOKUP(F$4,'Physical Effects-Numbers'!$B$1:$AU$172,$B5,FALSE)&lt;0,HLOOKUP(F$4,'Physical Effects-Numbers'!$B$1:$AU$172,$B5,FALSE),""))</f>
        <v/>
      </c>
      <c r="G5" s="488" t="str">
        <f>IF(G$4="","",IF(HLOOKUP(G$4,'Physical Effects-Numbers'!$B$1:$AU$172,$B5,FALSE)&lt;0,HLOOKUP(G$4,'Physical Effects-Numbers'!$B$1:$AU$172,$B5,FALSE),""))</f>
        <v/>
      </c>
      <c r="H5" s="488" t="str">
        <f>IF(H$4="","",IF(HLOOKUP(H$4,'Physical Effects-Numbers'!$B$1:$AU$172,$B5,FALSE)&lt;0,HLOOKUP(H$4,'Physical Effects-Numbers'!$B$1:$AU$172,$B5,FALSE),""))</f>
        <v/>
      </c>
      <c r="I5" s="488" t="str">
        <f>IF(I$4="","",IF(HLOOKUP(I$4,'Physical Effects-Numbers'!$B$1:$AU$172,$B5,FALSE)&lt;0,HLOOKUP(I$4,'Physical Effects-Numbers'!$B$1:$AU$172,$B5,FALSE),""))</f>
        <v/>
      </c>
      <c r="J5" s="488" t="str">
        <f>IF(J$4="","",IF(HLOOKUP(J$4,'Physical Effects-Numbers'!$B$1:$AU$172,$B5,FALSE)&lt;0,HLOOKUP(J$4,'Physical Effects-Numbers'!$B$1:$AU$172,$B5,FALSE),""))</f>
        <v/>
      </c>
      <c r="K5" s="488" t="str">
        <f>IF(K$4="","",IF(HLOOKUP(K$4,'Physical Effects-Numbers'!$B$1:$AU$172,$B5,FALSE)&lt;0,HLOOKUP(K$4,'Physical Effects-Numbers'!$B$1:$AU$172,$B5,FALSE),""))</f>
        <v/>
      </c>
      <c r="L5" s="488" t="str">
        <f>IF(L$4="","",IF(HLOOKUP(L$4,'Physical Effects-Numbers'!$B$1:$AU$172,$B5,FALSE)&lt;0,HLOOKUP(L$4,'Physical Effects-Numbers'!$B$1:$AU$172,$B5,FALSE),""))</f>
        <v/>
      </c>
      <c r="M5" s="488" t="str">
        <f>IF(M$4="","",IF(HLOOKUP(M$4,'Physical Effects-Numbers'!$B$1:$AU$172,$B5,FALSE)&lt;0,HLOOKUP(M$4,'Physical Effects-Numbers'!$B$1:$AU$172,$B5,FALSE),""))</f>
        <v/>
      </c>
      <c r="N5" s="488" t="str">
        <f>IF(N$4="","",IF(HLOOKUP(N$4,'Physical Effects-Numbers'!$B$1:$AU$172,$B5,FALSE)&lt;0,HLOOKUP(N$4,'Physical Effects-Numbers'!$B$1:$AU$172,$B5,FALSE),""))</f>
        <v/>
      </c>
      <c r="O5" s="488" t="str">
        <f>IF(O$4="","",IF(HLOOKUP(O$4,'Physical Effects-Numbers'!$B$1:$AU$172,$B5,FALSE)&lt;0,HLOOKUP(O$4,'Physical Effects-Numbers'!$B$1:$AU$172,$B5,FALSE),""))</f>
        <v/>
      </c>
      <c r="P5" s="488" t="str">
        <f>IF(P$4="","",IF(HLOOKUP(P$4,'Physical Effects-Numbers'!$B$1:$AU$172,$B5,FALSE)&lt;0,HLOOKUP(P$4,'Physical Effects-Numbers'!$B$1:$AU$172,$B5,FALSE),""))</f>
        <v/>
      </c>
      <c r="Q5" s="488" t="str">
        <f>IF(Q$4="","",IF(HLOOKUP(Q$4,'Physical Effects-Numbers'!$B$1:$AU$172,$B5,FALSE)&lt;0,HLOOKUP(Q$4,'Physical Effects-Numbers'!$B$1:$AU$172,$B5,FALSE),""))</f>
        <v/>
      </c>
      <c r="R5" s="488" t="str">
        <f>IF(R$4="","",IF(HLOOKUP(R$4,'Physical Effects-Numbers'!$B$1:$AU$172,$B5,FALSE)&lt;0,HLOOKUP(R$4,'Physical Effects-Numbers'!$B$1:$AU$172,$B5,FALSE),""))</f>
        <v/>
      </c>
      <c r="S5" s="488" t="str">
        <f>IF(S$4="","",IF(HLOOKUP(S$4,'Physical Effects-Numbers'!$B$1:$AU$172,$B5,FALSE)&lt;0,HLOOKUP(S$4,'Physical Effects-Numbers'!$B$1:$AU$172,$B5,FALSE),""))</f>
        <v/>
      </c>
      <c r="T5" s="488" t="str">
        <f>IF(T$4="","",IF(HLOOKUP(T$4,'Physical Effects-Numbers'!$B$1:$AU$172,$B5,FALSE)&lt;0,HLOOKUP(T$4,'Physical Effects-Numbers'!$B$1:$AU$172,$B5,FALSE),""))</f>
        <v/>
      </c>
      <c r="U5" s="488" t="str">
        <f>IF(U$4="","",IF(HLOOKUP(U$4,'Physical Effects-Numbers'!$B$1:$AU$172,$B5,FALSE)&lt;0,HLOOKUP(U$4,'Physical Effects-Numbers'!$B$1:$AU$172,$B5,FALSE),""))</f>
        <v/>
      </c>
      <c r="V5" s="488" t="str">
        <f>IF(V$4="","",IF(HLOOKUP(V$4,'Physical Effects-Numbers'!$B$1:$AU$172,$B5,FALSE)&lt;0,HLOOKUP(V$4,'Physical Effects-Numbers'!$B$1:$AU$172,$B5,FALSE),""))</f>
        <v/>
      </c>
      <c r="W5" s="488" t="str">
        <f>IF(W$4="","",IF(HLOOKUP(W$4,'Physical Effects-Numbers'!$B$1:$AU$172,$B5,FALSE)&lt;0,HLOOKUP(W$4,'Physical Effects-Numbers'!$B$1:$AU$172,$B5,FALSE),""))</f>
        <v/>
      </c>
      <c r="X5" s="488" t="str">
        <f>IF(X$4="","",IF(HLOOKUP(X$4,'Physical Effects-Numbers'!$B$1:$AU$172,$B5,FALSE)&lt;0,HLOOKUP(X$4,'Physical Effects-Numbers'!$B$1:$AU$172,$B5,FALSE),""))</f>
        <v/>
      </c>
      <c r="Y5" s="488" t="str">
        <f>IF(Y$4="","",IF(HLOOKUP(Y$4,'Physical Effects-Numbers'!$B$1:$AU$172,$B5,FALSE)&lt;0,HLOOKUP(Y$4,'Physical Effects-Numbers'!$B$1:$AU$172,$B5,FALSE),""))</f>
        <v/>
      </c>
      <c r="Z5" s="488" t="str">
        <f>IF(Z$4="","",IF(HLOOKUP(Z$4,'Physical Effects-Numbers'!$B$1:$AU$172,$B5,FALSE)&lt;0,HLOOKUP(Z$4,'Physical Effects-Numbers'!$B$1:$AU$172,$B5,FALSE),""))</f>
        <v/>
      </c>
      <c r="AA5" s="488" t="str">
        <f>IF(AA$4="","",IF(HLOOKUP(AA$4,'Physical Effects-Numbers'!$B$1:$AU$172,$B5,FALSE)&lt;0,HLOOKUP(AA$4,'Physical Effects-Numbers'!$B$1:$AU$172,$B5,FALSE),""))</f>
        <v/>
      </c>
      <c r="AB5" s="488" t="str">
        <f>IF(AB$4="","",IF(HLOOKUP(AB$4,'Physical Effects-Numbers'!$B$1:$AU$172,$B5,FALSE)&lt;0,HLOOKUP(AB$4,'Physical Effects-Numbers'!$B$1:$AU$172,$B5,FALSE),""))</f>
        <v/>
      </c>
      <c r="AC5" s="488" t="str">
        <f>IF(AC$4="","",IF(HLOOKUP(AC$4,'Physical Effects-Numbers'!$B$1:$AU$172,$B5,FALSE)&lt;0,HLOOKUP(AC$4,'Physical Effects-Numbers'!$B$1:$AU$172,$B5,FALSE),""))</f>
        <v/>
      </c>
      <c r="AD5" s="488" t="str">
        <f>IF(AD$4="","",IF(HLOOKUP(AD$4,'Physical Effects-Numbers'!$B$1:$AU$172,$B5,FALSE)&lt;0,HLOOKUP(AD$4,'Physical Effects-Numbers'!$B$1:$AU$172,$B5,FALSE),""))</f>
        <v/>
      </c>
      <c r="AE5" s="488" t="str">
        <f>IF(AE$4="","",IF(HLOOKUP(AE$4,'Physical Effects-Numbers'!$B$1:$AU$172,$B5,FALSE)&lt;0,HLOOKUP(AE$4,'Physical Effects-Numbers'!$B$1:$AU$172,$B5,FALSE),""))</f>
        <v/>
      </c>
      <c r="AF5" s="488" t="str">
        <f>IF(AF$4="","",IF(HLOOKUP(AF$4,'Physical Effects-Numbers'!$B$1:$AU$172,$B5,FALSE)&lt;0,HLOOKUP(AF$4,'Physical Effects-Numbers'!$B$1:$AU$172,$B5,FALSE),""))</f>
        <v/>
      </c>
      <c r="AG5" s="488" t="str">
        <f>IF(AG$4="","",IF(HLOOKUP(AG$4,'Physical Effects-Numbers'!$B$1:$AU$172,$B5,FALSE)&lt;0,HLOOKUP(AG$4,'Physical Effects-Numbers'!$B$1:$AU$172,$B5,FALSE),""))</f>
        <v/>
      </c>
      <c r="AH5" s="488" t="str">
        <f>IF(AH$4="","",IF(HLOOKUP(AH$4,'Physical Effects-Numbers'!$B$1:$AU$172,$B5,FALSE)&lt;0,HLOOKUP(AH$4,'Physical Effects-Numbers'!$B$1:$AU$172,$B5,FALSE),""))</f>
        <v/>
      </c>
      <c r="AI5" s="488" t="str">
        <f>IF(AI$4="","",IF(HLOOKUP(AI$4,'Physical Effects-Numbers'!$B$1:$AU$172,$B5,FALSE)&lt;0,HLOOKUP(AI$4,'Physical Effects-Numbers'!$B$1:$AU$172,$B5,FALSE),""))</f>
        <v/>
      </c>
      <c r="AJ5" s="488" t="str">
        <f>IF(AJ$4="","",IF(HLOOKUP(AJ$4,'Physical Effects-Numbers'!$B$1:$AU$172,$B5,FALSE)&lt;0,HLOOKUP(AJ$4,'Physical Effects-Numbers'!$B$1:$AU$172,$B5,FALSE),""))</f>
        <v/>
      </c>
      <c r="AK5" s="488" t="str">
        <f>IF(AK$4="","",IF(HLOOKUP(AK$4,'Physical Effects-Numbers'!$B$1:$AU$172,$B5,FALSE)&lt;0,HLOOKUP(AK$4,'Physical Effects-Numbers'!$B$1:$AU$172,$B5,FALSE),""))</f>
        <v/>
      </c>
      <c r="AL5" s="488" t="str">
        <f>IF(AL$4="","",IF(HLOOKUP(AL$4,'Physical Effects-Numbers'!$B$1:$AU$172,$B5,FALSE)&lt;0,HLOOKUP(AL$4,'Physical Effects-Numbers'!$B$1:$AU$172,$B5,FALSE),""))</f>
        <v/>
      </c>
      <c r="AM5" s="488" t="str">
        <f>IF(AM$4="","",IF(HLOOKUP(AM$4,'Physical Effects-Numbers'!$B$1:$AU$172,$B5,FALSE)&lt;0,HLOOKUP(AM$4,'Physical Effects-Numbers'!$B$1:$AU$172,$B5,FALSE),""))</f>
        <v/>
      </c>
      <c r="AN5" s="488" t="str">
        <f>IF(AN$4="","",IF(HLOOKUP(AN$4,'Physical Effects-Numbers'!$B$1:$AU$172,$B5,FALSE)&lt;0,HLOOKUP(AN$4,'Physical Effects-Numbers'!$B$1:$AU$172,$B5,FALSE),""))</f>
        <v/>
      </c>
      <c r="AO5" s="488" t="str">
        <f>IF(AO$4="","",IF(HLOOKUP(AO$4,'Physical Effects-Numbers'!$B$1:$AU$172,$B5,FALSE)&lt;0,HLOOKUP(AO$4,'Physical Effects-Numbers'!$B$1:$AU$172,$B5,FALSE),""))</f>
        <v/>
      </c>
      <c r="AP5" s="488" t="str">
        <f>IF(AP$4="","",IF(HLOOKUP(AP$4,'Physical Effects-Numbers'!$B$1:$AU$172,$B5,FALSE)&lt;0,HLOOKUP(AP$4,'Physical Effects-Numbers'!$B$1:$AU$172,$B5,FALSE),""))</f>
        <v/>
      </c>
      <c r="AQ5" s="488" t="str">
        <f>IF(AQ$4="","",IF(HLOOKUP(AQ$4,'Physical Effects-Numbers'!$B$1:$AU$172,$B5,FALSE)&lt;0,HLOOKUP(AQ$4,'Physical Effects-Numbers'!$B$1:$AU$172,$B5,FALSE),""))</f>
        <v/>
      </c>
      <c r="AR5" s="488" t="str">
        <f>IF(AR$4="","",IF(HLOOKUP(AR$4,'Physical Effects-Numbers'!$B$1:$AU$172,$B5,FALSE)&lt;0,HLOOKUP(AR$4,'Physical Effects-Numbers'!$B$1:$AU$172,$B5,FALSE),""))</f>
        <v/>
      </c>
      <c r="AS5" s="488" t="str">
        <f>IF(AS$4="","",IF(HLOOKUP(AS$4,'Physical Effects-Numbers'!$B$1:$AU$172,$B5,FALSE)&lt;0,HLOOKUP(AS$4,'Physical Effects-Numbers'!$B$1:$AU$172,$B5,FALSE),""))</f>
        <v/>
      </c>
      <c r="AT5" s="488" t="str">
        <f>IF(AT$4="","",IF(HLOOKUP(AT$4,'Physical Effects-Numbers'!$B$1:$AU$172,$B5,FALSE)&lt;0,HLOOKUP(AT$4,'Physical Effects-Numbers'!$B$1:$AU$172,$B5,FALSE),""))</f>
        <v/>
      </c>
      <c r="AU5" s="488" t="str">
        <f>IF(AU$4="","",IF(HLOOKUP(AU$4,'Physical Effects-Numbers'!$B$1:$AU$172,$B5,FALSE)&lt;0,HLOOKUP(AU$4,'Physical Effects-Numbers'!$B$1:$AU$172,$B5,FALSE),""))</f>
        <v/>
      </c>
      <c r="AV5" s="488" t="str">
        <f>IF(AV$4="","",IF(HLOOKUP(AV$4,'Physical Effects-Numbers'!$B$1:$AU$167,$B5,FALSE)&lt;0,HLOOKUP(AV$4,'Physical Effects-Numbers'!$B$1:$AU$167,$B5,FALSE),""))</f>
        <v/>
      </c>
    </row>
    <row r="6" spans="2:49" x14ac:dyDescent="0.2">
      <c r="B6" s="487">
        <f>+B5+1</f>
        <v>3</v>
      </c>
      <c r="C6" s="486" t="str">
        <f>+'Physical Effects-Numbers'!B3</f>
        <v xml:space="preserve">Access Road </v>
      </c>
      <c r="D6" s="488" t="str">
        <f>IF(D$4="","",IF(HLOOKUP(D$4,'Physical Effects-Numbers'!$B$1:$AU$172,$B6,FALSE)&lt;0,HLOOKUP(D$4,'Physical Effects-Numbers'!$B$1:$AU$172,$B6,FALSE),""))</f>
        <v/>
      </c>
      <c r="E6" s="488" t="str">
        <f>IF(E$4="","",IF(HLOOKUP(E$4,'Physical Effects-Numbers'!$B$1:$AU$172,$B6,FALSE)&lt;0,HLOOKUP(E$4,'Physical Effects-Numbers'!$B$1:$AU$172,$B6,FALSE),""))</f>
        <v/>
      </c>
      <c r="F6" s="488" t="str">
        <f>IF(F$4="","",IF(HLOOKUP(F$4,'Physical Effects-Numbers'!$B$1:$AU$172,$B6,FALSE)&lt;0,HLOOKUP(F$4,'Physical Effects-Numbers'!$B$1:$AU$172,$B6,FALSE),""))</f>
        <v/>
      </c>
      <c r="G6" s="488" t="str">
        <f>IF(G$4="","",IF(HLOOKUP(G$4,'Physical Effects-Numbers'!$B$1:$AU$172,$B6,FALSE)&lt;0,HLOOKUP(G$4,'Physical Effects-Numbers'!$B$1:$AU$172,$B6,FALSE),""))</f>
        <v/>
      </c>
      <c r="H6" s="488" t="str">
        <f>IF(H$4="","",IF(HLOOKUP(H$4,'Physical Effects-Numbers'!$B$1:$AU$172,$B6,FALSE)&lt;0,HLOOKUP(H$4,'Physical Effects-Numbers'!$B$1:$AU$172,$B6,FALSE),""))</f>
        <v/>
      </c>
      <c r="I6" s="488" t="str">
        <f>IF(I$4="","",IF(HLOOKUP(I$4,'Physical Effects-Numbers'!$B$1:$AU$172,$B6,FALSE)&lt;0,HLOOKUP(I$4,'Physical Effects-Numbers'!$B$1:$AU$172,$B6,FALSE),""))</f>
        <v/>
      </c>
      <c r="J6" s="488" t="str">
        <f>IF(J$4="","",IF(HLOOKUP(J$4,'Physical Effects-Numbers'!$B$1:$AU$172,$B6,FALSE)&lt;0,HLOOKUP(J$4,'Physical Effects-Numbers'!$B$1:$AU$172,$B6,FALSE),""))</f>
        <v/>
      </c>
      <c r="K6" s="488" t="str">
        <f>IF(K$4="","",IF(HLOOKUP(K$4,'Physical Effects-Numbers'!$B$1:$AU$172,$B6,FALSE)&lt;0,HLOOKUP(K$4,'Physical Effects-Numbers'!$B$1:$AU$172,$B6,FALSE),""))</f>
        <v/>
      </c>
      <c r="L6" s="488" t="str">
        <f>IF(L$4="","",IF(HLOOKUP(L$4,'Physical Effects-Numbers'!$B$1:$AU$172,$B6,FALSE)&lt;0,HLOOKUP(L$4,'Physical Effects-Numbers'!$B$1:$AU$172,$B6,FALSE),""))</f>
        <v/>
      </c>
      <c r="M6" s="488" t="str">
        <f>IF(M$4="","",IF(HLOOKUP(M$4,'Physical Effects-Numbers'!$B$1:$AU$172,$B6,FALSE)&lt;0,HLOOKUP(M$4,'Physical Effects-Numbers'!$B$1:$AU$172,$B6,FALSE),""))</f>
        <v/>
      </c>
      <c r="N6" s="488" t="str">
        <f>IF(N$4="","",IF(HLOOKUP(N$4,'Physical Effects-Numbers'!$B$1:$AU$172,$B6,FALSE)&lt;0,HLOOKUP(N$4,'Physical Effects-Numbers'!$B$1:$AU$172,$B6,FALSE),""))</f>
        <v/>
      </c>
      <c r="O6" s="488" t="str">
        <f>IF(O$4="","",IF(HLOOKUP(O$4,'Physical Effects-Numbers'!$B$1:$AU$172,$B6,FALSE)&lt;0,HLOOKUP(O$4,'Physical Effects-Numbers'!$B$1:$AU$172,$B6,FALSE),""))</f>
        <v/>
      </c>
      <c r="P6" s="488" t="str">
        <f>IF(P$4="","",IF(HLOOKUP(P$4,'Physical Effects-Numbers'!$B$1:$AU$172,$B6,FALSE)&lt;0,HLOOKUP(P$4,'Physical Effects-Numbers'!$B$1:$AU$172,$B6,FALSE),""))</f>
        <v/>
      </c>
      <c r="Q6" s="488" t="str">
        <f>IF(Q$4="","",IF(HLOOKUP(Q$4,'Physical Effects-Numbers'!$B$1:$AU$172,$B6,FALSE)&lt;0,HLOOKUP(Q$4,'Physical Effects-Numbers'!$B$1:$AU$172,$B6,FALSE),""))</f>
        <v/>
      </c>
      <c r="R6" s="488" t="str">
        <f>IF(R$4="","",IF(HLOOKUP(R$4,'Physical Effects-Numbers'!$B$1:$AU$172,$B6,FALSE)&lt;0,HLOOKUP(R$4,'Physical Effects-Numbers'!$B$1:$AU$172,$B6,FALSE),""))</f>
        <v/>
      </c>
      <c r="S6" s="488" t="str">
        <f>IF(S$4="","",IF(HLOOKUP(S$4,'Physical Effects-Numbers'!$B$1:$AU$172,$B6,FALSE)&lt;0,HLOOKUP(S$4,'Physical Effects-Numbers'!$B$1:$AU$172,$B6,FALSE),""))</f>
        <v/>
      </c>
      <c r="T6" s="488" t="str">
        <f>IF(T$4="","",IF(HLOOKUP(T$4,'Physical Effects-Numbers'!$B$1:$AU$172,$B6,FALSE)&lt;0,HLOOKUP(T$4,'Physical Effects-Numbers'!$B$1:$AU$172,$B6,FALSE),""))</f>
        <v/>
      </c>
      <c r="U6" s="488" t="str">
        <f>IF(U$4="","",IF(HLOOKUP(U$4,'Physical Effects-Numbers'!$B$1:$AU$172,$B6,FALSE)&lt;0,HLOOKUP(U$4,'Physical Effects-Numbers'!$B$1:$AU$172,$B6,FALSE),""))</f>
        <v/>
      </c>
      <c r="V6" s="488" t="str">
        <f>IF(V$4="","",IF(HLOOKUP(V$4,'Physical Effects-Numbers'!$B$1:$AU$172,$B6,FALSE)&lt;0,HLOOKUP(V$4,'Physical Effects-Numbers'!$B$1:$AU$172,$B6,FALSE),""))</f>
        <v/>
      </c>
      <c r="W6" s="488" t="str">
        <f>IF(W$4="","",IF(HLOOKUP(W$4,'Physical Effects-Numbers'!$B$1:$AU$172,$B6,FALSE)&lt;0,HLOOKUP(W$4,'Physical Effects-Numbers'!$B$1:$AU$172,$B6,FALSE),""))</f>
        <v/>
      </c>
      <c r="X6" s="488" t="str">
        <f>IF(X$4="","",IF(HLOOKUP(X$4,'Physical Effects-Numbers'!$B$1:$AU$172,$B6,FALSE)&lt;0,HLOOKUP(X$4,'Physical Effects-Numbers'!$B$1:$AU$172,$B6,FALSE),""))</f>
        <v/>
      </c>
      <c r="Y6" s="488" t="str">
        <f>IF(Y$4="","",IF(HLOOKUP(Y$4,'Physical Effects-Numbers'!$B$1:$AU$172,$B6,FALSE)&lt;0,HLOOKUP(Y$4,'Physical Effects-Numbers'!$B$1:$AU$172,$B6,FALSE),""))</f>
        <v/>
      </c>
      <c r="Z6" s="488" t="str">
        <f>IF(Z$4="","",IF(HLOOKUP(Z$4,'Physical Effects-Numbers'!$B$1:$AU$172,$B6,FALSE)&lt;0,HLOOKUP(Z$4,'Physical Effects-Numbers'!$B$1:$AU$172,$B6,FALSE),""))</f>
        <v/>
      </c>
      <c r="AA6" s="488" t="str">
        <f>IF(AA$4="","",IF(HLOOKUP(AA$4,'Physical Effects-Numbers'!$B$1:$AU$172,$B6,FALSE)&lt;0,HLOOKUP(AA$4,'Physical Effects-Numbers'!$B$1:$AU$172,$B6,FALSE),""))</f>
        <v/>
      </c>
      <c r="AB6" s="488" t="str">
        <f>IF(AB$4="","",IF(HLOOKUP(AB$4,'Physical Effects-Numbers'!$B$1:$AU$172,$B6,FALSE)&lt;0,HLOOKUP(AB$4,'Physical Effects-Numbers'!$B$1:$AU$172,$B6,FALSE),""))</f>
        <v/>
      </c>
      <c r="AC6" s="488" t="str">
        <f>IF(AC$4="","",IF(HLOOKUP(AC$4,'Physical Effects-Numbers'!$B$1:$AU$172,$B6,FALSE)&lt;0,HLOOKUP(AC$4,'Physical Effects-Numbers'!$B$1:$AU$172,$B6,FALSE),""))</f>
        <v/>
      </c>
      <c r="AD6" s="488" t="str">
        <f>IF(AD$4="","",IF(HLOOKUP(AD$4,'Physical Effects-Numbers'!$B$1:$AU$172,$B6,FALSE)&lt;0,HLOOKUP(AD$4,'Physical Effects-Numbers'!$B$1:$AU$172,$B6,FALSE),""))</f>
        <v/>
      </c>
      <c r="AE6" s="488" t="str">
        <f>IF(AE$4="","",IF(HLOOKUP(AE$4,'Physical Effects-Numbers'!$B$1:$AU$172,$B6,FALSE)&lt;0,HLOOKUP(AE$4,'Physical Effects-Numbers'!$B$1:$AU$172,$B6,FALSE),""))</f>
        <v/>
      </c>
      <c r="AF6" s="488" t="str">
        <f>IF(AF$4="","",IF(HLOOKUP(AF$4,'Physical Effects-Numbers'!$B$1:$AU$172,$B6,FALSE)&lt;0,HLOOKUP(AF$4,'Physical Effects-Numbers'!$B$1:$AU$172,$B6,FALSE),""))</f>
        <v/>
      </c>
      <c r="AG6" s="488" t="str">
        <f>IF(AG$4="","",IF(HLOOKUP(AG$4,'Physical Effects-Numbers'!$B$1:$AU$172,$B6,FALSE)&lt;0,HLOOKUP(AG$4,'Physical Effects-Numbers'!$B$1:$AU$172,$B6,FALSE),""))</f>
        <v/>
      </c>
      <c r="AH6" s="488" t="str">
        <f>IF(AH$4="","",IF(HLOOKUP(AH$4,'Physical Effects-Numbers'!$B$1:$AU$172,$B6,FALSE)&lt;0,HLOOKUP(AH$4,'Physical Effects-Numbers'!$B$1:$AU$172,$B6,FALSE),""))</f>
        <v/>
      </c>
      <c r="AI6" s="488" t="str">
        <f>IF(AI$4="","",IF(HLOOKUP(AI$4,'Physical Effects-Numbers'!$B$1:$AU$172,$B6,FALSE)&lt;0,HLOOKUP(AI$4,'Physical Effects-Numbers'!$B$1:$AU$172,$B6,FALSE),""))</f>
        <v/>
      </c>
      <c r="AJ6" s="488" t="str">
        <f>IF(AJ$4="","",IF(HLOOKUP(AJ$4,'Physical Effects-Numbers'!$B$1:$AU$172,$B6,FALSE)&lt;0,HLOOKUP(AJ$4,'Physical Effects-Numbers'!$B$1:$AU$172,$B6,FALSE),""))</f>
        <v/>
      </c>
      <c r="AK6" s="488" t="str">
        <f>IF(AK$4="","",IF(HLOOKUP(AK$4,'Physical Effects-Numbers'!$B$1:$AU$172,$B6,FALSE)&lt;0,HLOOKUP(AK$4,'Physical Effects-Numbers'!$B$1:$AU$172,$B6,FALSE),""))</f>
        <v/>
      </c>
      <c r="AL6" s="488" t="str">
        <f>IF(AL$4="","",IF(HLOOKUP(AL$4,'Physical Effects-Numbers'!$B$1:$AU$172,$B6,FALSE)&lt;0,HLOOKUP(AL$4,'Physical Effects-Numbers'!$B$1:$AU$172,$B6,FALSE),""))</f>
        <v/>
      </c>
      <c r="AM6" s="488" t="str">
        <f>IF(AM$4="","",IF(HLOOKUP(AM$4,'Physical Effects-Numbers'!$B$1:$AU$172,$B6,FALSE)&lt;0,HLOOKUP(AM$4,'Physical Effects-Numbers'!$B$1:$AU$172,$B6,FALSE),""))</f>
        <v/>
      </c>
      <c r="AN6" s="488" t="str">
        <f>IF(AN$4="","",IF(HLOOKUP(AN$4,'Physical Effects-Numbers'!$B$1:$AU$172,$B6,FALSE)&lt;0,HLOOKUP(AN$4,'Physical Effects-Numbers'!$B$1:$AU$172,$B6,FALSE),""))</f>
        <v/>
      </c>
      <c r="AO6" s="488" t="str">
        <f>IF(AO$4="","",IF(HLOOKUP(AO$4,'Physical Effects-Numbers'!$B$1:$AU$172,$B6,FALSE)&lt;0,HLOOKUP(AO$4,'Physical Effects-Numbers'!$B$1:$AU$172,$B6,FALSE),""))</f>
        <v/>
      </c>
      <c r="AP6" s="488">
        <f>IF(AP$4="","",IF(HLOOKUP(AP$4,'Physical Effects-Numbers'!$B$1:$AU$172,$B6,FALSE)&lt;0,HLOOKUP(AP$4,'Physical Effects-Numbers'!$B$1:$AU$172,$B6,FALSE),""))</f>
        <v>-1</v>
      </c>
      <c r="AQ6" s="488" t="str">
        <f>IF(AQ$4="","",IF(HLOOKUP(AQ$4,'Physical Effects-Numbers'!$B$1:$AU$172,$B6,FALSE)&lt;0,HLOOKUP(AQ$4,'Physical Effects-Numbers'!$B$1:$AU$172,$B6,FALSE),""))</f>
        <v/>
      </c>
      <c r="AR6" s="488" t="str">
        <f>IF(AR$4="","",IF(HLOOKUP(AR$4,'Physical Effects-Numbers'!$B$1:$AU$172,$B6,FALSE)&lt;0,HLOOKUP(AR$4,'Physical Effects-Numbers'!$B$1:$AU$172,$B6,FALSE),""))</f>
        <v/>
      </c>
      <c r="AS6" s="488" t="str">
        <f>IF(AS$4="","",IF(HLOOKUP(AS$4,'Physical Effects-Numbers'!$B$1:$AU$172,$B6,FALSE)&lt;0,HLOOKUP(AS$4,'Physical Effects-Numbers'!$B$1:$AU$172,$B6,FALSE),""))</f>
        <v/>
      </c>
      <c r="AT6" s="488" t="str">
        <f>IF(AT$4="","",IF(HLOOKUP(AT$4,'Physical Effects-Numbers'!$B$1:$AU$172,$B6,FALSE)&lt;0,HLOOKUP(AT$4,'Physical Effects-Numbers'!$B$1:$AU$172,$B6,FALSE),""))</f>
        <v/>
      </c>
      <c r="AU6" s="488" t="str">
        <f>IF(AU$4="","",IF(HLOOKUP(AU$4,'Physical Effects-Numbers'!$B$1:$AU$172,$B6,FALSE)&lt;0,HLOOKUP(AU$4,'Physical Effects-Numbers'!$B$1:$AU$172,$B6,FALSE),""))</f>
        <v/>
      </c>
      <c r="AV6" s="488" t="str">
        <f>IF(AV$4="","",IF(HLOOKUP(AV$4,'Physical Effects-Numbers'!$B$1:$AU$167,$B6,FALSE)&lt;0,HLOOKUP(AV$4,'Physical Effects-Numbers'!$B$1:$AU$167,$B6,FALSE),""))</f>
        <v/>
      </c>
    </row>
    <row r="7" spans="2:49" x14ac:dyDescent="0.2">
      <c r="B7" s="487">
        <f t="shared" ref="B7:B70" si="0">+B6+1</f>
        <v>4</v>
      </c>
      <c r="C7" s="486" t="str">
        <f>+'Physical Effects-Numbers'!B4</f>
        <v>Agrichemical Handling Facility</v>
      </c>
      <c r="D7" s="488" t="str">
        <f>IF(D$4="","",IF(HLOOKUP(D$4,'Physical Effects-Numbers'!$B$1:$AU$172,$B7,FALSE)&lt;0,HLOOKUP(D$4,'Physical Effects-Numbers'!$B$1:$AU$172,$B7,FALSE),""))</f>
        <v/>
      </c>
      <c r="E7" s="488" t="str">
        <f>IF(E$4="","",IF(HLOOKUP(E$4,'Physical Effects-Numbers'!$B$1:$AU$172,$B7,FALSE)&lt;0,HLOOKUP(E$4,'Physical Effects-Numbers'!$B$1:$AU$172,$B7,FALSE),""))</f>
        <v/>
      </c>
      <c r="F7" s="488" t="str">
        <f>IF(F$4="","",IF(HLOOKUP(F$4,'Physical Effects-Numbers'!$B$1:$AU$172,$B7,FALSE)&lt;0,HLOOKUP(F$4,'Physical Effects-Numbers'!$B$1:$AU$172,$B7,FALSE),""))</f>
        <v/>
      </c>
      <c r="G7" s="488" t="str">
        <f>IF(G$4="","",IF(HLOOKUP(G$4,'Physical Effects-Numbers'!$B$1:$AU$172,$B7,FALSE)&lt;0,HLOOKUP(G$4,'Physical Effects-Numbers'!$B$1:$AU$172,$B7,FALSE),""))</f>
        <v/>
      </c>
      <c r="H7" s="488" t="str">
        <f>IF(H$4="","",IF(HLOOKUP(H$4,'Physical Effects-Numbers'!$B$1:$AU$172,$B7,FALSE)&lt;0,HLOOKUP(H$4,'Physical Effects-Numbers'!$B$1:$AU$172,$B7,FALSE),""))</f>
        <v/>
      </c>
      <c r="I7" s="488" t="str">
        <f>IF(I$4="","",IF(HLOOKUP(I$4,'Physical Effects-Numbers'!$B$1:$AU$172,$B7,FALSE)&lt;0,HLOOKUP(I$4,'Physical Effects-Numbers'!$B$1:$AU$172,$B7,FALSE),""))</f>
        <v/>
      </c>
      <c r="J7" s="488" t="str">
        <f>IF(J$4="","",IF(HLOOKUP(J$4,'Physical Effects-Numbers'!$B$1:$AU$172,$B7,FALSE)&lt;0,HLOOKUP(J$4,'Physical Effects-Numbers'!$B$1:$AU$172,$B7,FALSE),""))</f>
        <v/>
      </c>
      <c r="K7" s="488" t="str">
        <f>IF(K$4="","",IF(HLOOKUP(K$4,'Physical Effects-Numbers'!$B$1:$AU$172,$B7,FALSE)&lt;0,HLOOKUP(K$4,'Physical Effects-Numbers'!$B$1:$AU$172,$B7,FALSE),""))</f>
        <v/>
      </c>
      <c r="L7" s="488" t="str">
        <f>IF(L$4="","",IF(HLOOKUP(L$4,'Physical Effects-Numbers'!$B$1:$AU$172,$B7,FALSE)&lt;0,HLOOKUP(L$4,'Physical Effects-Numbers'!$B$1:$AU$172,$B7,FALSE),""))</f>
        <v/>
      </c>
      <c r="M7" s="488" t="str">
        <f>IF(M$4="","",IF(HLOOKUP(M$4,'Physical Effects-Numbers'!$B$1:$AU$172,$B7,FALSE)&lt;0,HLOOKUP(M$4,'Physical Effects-Numbers'!$B$1:$AU$172,$B7,FALSE),""))</f>
        <v/>
      </c>
      <c r="N7" s="488" t="str">
        <f>IF(N$4="","",IF(HLOOKUP(N$4,'Physical Effects-Numbers'!$B$1:$AU$172,$B7,FALSE)&lt;0,HLOOKUP(N$4,'Physical Effects-Numbers'!$B$1:$AU$172,$B7,FALSE),""))</f>
        <v/>
      </c>
      <c r="O7" s="488" t="str">
        <f>IF(O$4="","",IF(HLOOKUP(O$4,'Physical Effects-Numbers'!$B$1:$AU$172,$B7,FALSE)&lt;0,HLOOKUP(O$4,'Physical Effects-Numbers'!$B$1:$AU$172,$B7,FALSE),""))</f>
        <v/>
      </c>
      <c r="P7" s="488" t="str">
        <f>IF(P$4="","",IF(HLOOKUP(P$4,'Physical Effects-Numbers'!$B$1:$AU$172,$B7,FALSE)&lt;0,HLOOKUP(P$4,'Physical Effects-Numbers'!$B$1:$AU$172,$B7,FALSE),""))</f>
        <v/>
      </c>
      <c r="Q7" s="488" t="str">
        <f>IF(Q$4="","",IF(HLOOKUP(Q$4,'Physical Effects-Numbers'!$B$1:$AU$172,$B7,FALSE)&lt;0,HLOOKUP(Q$4,'Physical Effects-Numbers'!$B$1:$AU$172,$B7,FALSE),""))</f>
        <v/>
      </c>
      <c r="R7" s="488" t="str">
        <f>IF(R$4="","",IF(HLOOKUP(R$4,'Physical Effects-Numbers'!$B$1:$AU$172,$B7,FALSE)&lt;0,HLOOKUP(R$4,'Physical Effects-Numbers'!$B$1:$AU$172,$B7,FALSE),""))</f>
        <v/>
      </c>
      <c r="S7" s="488" t="str">
        <f>IF(S$4="","",IF(HLOOKUP(S$4,'Physical Effects-Numbers'!$B$1:$AU$172,$B7,FALSE)&lt;0,HLOOKUP(S$4,'Physical Effects-Numbers'!$B$1:$AU$172,$B7,FALSE),""))</f>
        <v/>
      </c>
      <c r="T7" s="488" t="str">
        <f>IF(T$4="","",IF(HLOOKUP(T$4,'Physical Effects-Numbers'!$B$1:$AU$172,$B7,FALSE)&lt;0,HLOOKUP(T$4,'Physical Effects-Numbers'!$B$1:$AU$172,$B7,FALSE),""))</f>
        <v/>
      </c>
      <c r="U7" s="488" t="str">
        <f>IF(U$4="","",IF(HLOOKUP(U$4,'Physical Effects-Numbers'!$B$1:$AU$172,$B7,FALSE)&lt;0,HLOOKUP(U$4,'Physical Effects-Numbers'!$B$1:$AU$172,$B7,FALSE),""))</f>
        <v/>
      </c>
      <c r="V7" s="488" t="str">
        <f>IF(V$4="","",IF(HLOOKUP(V$4,'Physical Effects-Numbers'!$B$1:$AU$172,$B7,FALSE)&lt;0,HLOOKUP(V$4,'Physical Effects-Numbers'!$B$1:$AU$172,$B7,FALSE),""))</f>
        <v/>
      </c>
      <c r="W7" s="488" t="str">
        <f>IF(W$4="","",IF(HLOOKUP(W$4,'Physical Effects-Numbers'!$B$1:$AU$172,$B7,FALSE)&lt;0,HLOOKUP(W$4,'Physical Effects-Numbers'!$B$1:$AU$172,$B7,FALSE),""))</f>
        <v/>
      </c>
      <c r="X7" s="488" t="str">
        <f>IF(X$4="","",IF(HLOOKUP(X$4,'Physical Effects-Numbers'!$B$1:$AU$172,$B7,FALSE)&lt;0,HLOOKUP(X$4,'Physical Effects-Numbers'!$B$1:$AU$172,$B7,FALSE),""))</f>
        <v/>
      </c>
      <c r="Y7" s="488" t="str">
        <f>IF(Y$4="","",IF(HLOOKUP(Y$4,'Physical Effects-Numbers'!$B$1:$AU$172,$B7,FALSE)&lt;0,HLOOKUP(Y$4,'Physical Effects-Numbers'!$B$1:$AU$172,$B7,FALSE),""))</f>
        <v/>
      </c>
      <c r="Z7" s="488" t="str">
        <f>IF(Z$4="","",IF(HLOOKUP(Z$4,'Physical Effects-Numbers'!$B$1:$AU$172,$B7,FALSE)&lt;0,HLOOKUP(Z$4,'Physical Effects-Numbers'!$B$1:$AU$172,$B7,FALSE),""))</f>
        <v/>
      </c>
      <c r="AA7" s="488" t="str">
        <f>IF(AA$4="","",IF(HLOOKUP(AA$4,'Physical Effects-Numbers'!$B$1:$AU$172,$B7,FALSE)&lt;0,HLOOKUP(AA$4,'Physical Effects-Numbers'!$B$1:$AU$172,$B7,FALSE),""))</f>
        <v/>
      </c>
      <c r="AB7" s="488" t="str">
        <f>IF(AB$4="","",IF(HLOOKUP(AB$4,'Physical Effects-Numbers'!$B$1:$AU$172,$B7,FALSE)&lt;0,HLOOKUP(AB$4,'Physical Effects-Numbers'!$B$1:$AU$172,$B7,FALSE),""))</f>
        <v/>
      </c>
      <c r="AC7" s="488" t="str">
        <f>IF(AC$4="","",IF(HLOOKUP(AC$4,'Physical Effects-Numbers'!$B$1:$AU$172,$B7,FALSE)&lt;0,HLOOKUP(AC$4,'Physical Effects-Numbers'!$B$1:$AU$172,$B7,FALSE),""))</f>
        <v/>
      </c>
      <c r="AD7" s="488" t="str">
        <f>IF(AD$4="","",IF(HLOOKUP(AD$4,'Physical Effects-Numbers'!$B$1:$AU$172,$B7,FALSE)&lt;0,HLOOKUP(AD$4,'Physical Effects-Numbers'!$B$1:$AU$172,$B7,FALSE),""))</f>
        <v/>
      </c>
      <c r="AE7" s="488" t="str">
        <f>IF(AE$4="","",IF(HLOOKUP(AE$4,'Physical Effects-Numbers'!$B$1:$AU$172,$B7,FALSE)&lt;0,HLOOKUP(AE$4,'Physical Effects-Numbers'!$B$1:$AU$172,$B7,FALSE),""))</f>
        <v/>
      </c>
      <c r="AF7" s="488" t="str">
        <f>IF(AF$4="","",IF(HLOOKUP(AF$4,'Physical Effects-Numbers'!$B$1:$AU$172,$B7,FALSE)&lt;0,HLOOKUP(AF$4,'Physical Effects-Numbers'!$B$1:$AU$172,$B7,FALSE),""))</f>
        <v/>
      </c>
      <c r="AG7" s="488" t="str">
        <f>IF(AG$4="","",IF(HLOOKUP(AG$4,'Physical Effects-Numbers'!$B$1:$AU$172,$B7,FALSE)&lt;0,HLOOKUP(AG$4,'Physical Effects-Numbers'!$B$1:$AU$172,$B7,FALSE),""))</f>
        <v/>
      </c>
      <c r="AH7" s="488" t="str">
        <f>IF(AH$4="","",IF(HLOOKUP(AH$4,'Physical Effects-Numbers'!$B$1:$AU$172,$B7,FALSE)&lt;0,HLOOKUP(AH$4,'Physical Effects-Numbers'!$B$1:$AU$172,$B7,FALSE),""))</f>
        <v/>
      </c>
      <c r="AI7" s="488" t="str">
        <f>IF(AI$4="","",IF(HLOOKUP(AI$4,'Physical Effects-Numbers'!$B$1:$AU$172,$B7,FALSE)&lt;0,HLOOKUP(AI$4,'Physical Effects-Numbers'!$B$1:$AU$172,$B7,FALSE),""))</f>
        <v/>
      </c>
      <c r="AJ7" s="488" t="str">
        <f>IF(AJ$4="","",IF(HLOOKUP(AJ$4,'Physical Effects-Numbers'!$B$1:$AU$172,$B7,FALSE)&lt;0,HLOOKUP(AJ$4,'Physical Effects-Numbers'!$B$1:$AU$172,$B7,FALSE),""))</f>
        <v/>
      </c>
      <c r="AK7" s="488" t="str">
        <f>IF(AK$4="","",IF(HLOOKUP(AK$4,'Physical Effects-Numbers'!$B$1:$AU$172,$B7,FALSE)&lt;0,HLOOKUP(AK$4,'Physical Effects-Numbers'!$B$1:$AU$172,$B7,FALSE),""))</f>
        <v/>
      </c>
      <c r="AL7" s="488" t="str">
        <f>IF(AL$4="","",IF(HLOOKUP(AL$4,'Physical Effects-Numbers'!$B$1:$AU$172,$B7,FALSE)&lt;0,HLOOKUP(AL$4,'Physical Effects-Numbers'!$B$1:$AU$172,$B7,FALSE),""))</f>
        <v/>
      </c>
      <c r="AM7" s="488" t="str">
        <f>IF(AM$4="","",IF(HLOOKUP(AM$4,'Physical Effects-Numbers'!$B$1:$AU$172,$B7,FALSE)&lt;0,HLOOKUP(AM$4,'Physical Effects-Numbers'!$B$1:$AU$172,$B7,FALSE),""))</f>
        <v/>
      </c>
      <c r="AN7" s="488" t="str">
        <f>IF(AN$4="","",IF(HLOOKUP(AN$4,'Physical Effects-Numbers'!$B$1:$AU$172,$B7,FALSE)&lt;0,HLOOKUP(AN$4,'Physical Effects-Numbers'!$B$1:$AU$172,$B7,FALSE),""))</f>
        <v/>
      </c>
      <c r="AO7" s="488" t="str">
        <f>IF(AO$4="","",IF(HLOOKUP(AO$4,'Physical Effects-Numbers'!$B$1:$AU$172,$B7,FALSE)&lt;0,HLOOKUP(AO$4,'Physical Effects-Numbers'!$B$1:$AU$172,$B7,FALSE),""))</f>
        <v/>
      </c>
      <c r="AP7" s="488" t="str">
        <f>IF(AP$4="","",IF(HLOOKUP(AP$4,'Physical Effects-Numbers'!$B$1:$AU$172,$B7,FALSE)&lt;0,HLOOKUP(AP$4,'Physical Effects-Numbers'!$B$1:$AU$172,$B7,FALSE),""))</f>
        <v/>
      </c>
      <c r="AQ7" s="488" t="str">
        <f>IF(AQ$4="","",IF(HLOOKUP(AQ$4,'Physical Effects-Numbers'!$B$1:$AU$172,$B7,FALSE)&lt;0,HLOOKUP(AQ$4,'Physical Effects-Numbers'!$B$1:$AU$172,$B7,FALSE),""))</f>
        <v/>
      </c>
      <c r="AR7" s="488" t="str">
        <f>IF(AR$4="","",IF(HLOOKUP(AR$4,'Physical Effects-Numbers'!$B$1:$AU$172,$B7,FALSE)&lt;0,HLOOKUP(AR$4,'Physical Effects-Numbers'!$B$1:$AU$172,$B7,FALSE),""))</f>
        <v/>
      </c>
      <c r="AS7" s="488" t="str">
        <f>IF(AS$4="","",IF(HLOOKUP(AS$4,'Physical Effects-Numbers'!$B$1:$AU$172,$B7,FALSE)&lt;0,HLOOKUP(AS$4,'Physical Effects-Numbers'!$B$1:$AU$172,$B7,FALSE),""))</f>
        <v/>
      </c>
      <c r="AT7" s="488" t="str">
        <f>IF(AT$4="","",IF(HLOOKUP(AT$4,'Physical Effects-Numbers'!$B$1:$AU$172,$B7,FALSE)&lt;0,HLOOKUP(AT$4,'Physical Effects-Numbers'!$B$1:$AU$172,$B7,FALSE),""))</f>
        <v/>
      </c>
      <c r="AU7" s="488" t="str">
        <f>IF(AU$4="","",IF(HLOOKUP(AU$4,'Physical Effects-Numbers'!$B$1:$AU$172,$B7,FALSE)&lt;0,HLOOKUP(AU$4,'Physical Effects-Numbers'!$B$1:$AU$172,$B7,FALSE),""))</f>
        <v/>
      </c>
      <c r="AV7" s="488" t="str">
        <f>IF(AV$4="","",IF(HLOOKUP(AV$4,'Physical Effects-Numbers'!$B$1:$AU$167,$B7,FALSE)&lt;0,HLOOKUP(AV$4,'Physical Effects-Numbers'!$B$1:$AU$167,$B7,FALSE),""))</f>
        <v/>
      </c>
    </row>
    <row r="8" spans="2:49" x14ac:dyDescent="0.2">
      <c r="B8" s="487">
        <f t="shared" si="0"/>
        <v>5</v>
      </c>
      <c r="C8" s="486" t="str">
        <f>+'Physical Effects-Numbers'!B5</f>
        <v>Air Filtration and Scrubbing</v>
      </c>
      <c r="D8" s="488" t="str">
        <f>IF(D$4="","",IF(HLOOKUP(D$4,'Physical Effects-Numbers'!$B$1:$AU$172,$B8,FALSE)&lt;0,HLOOKUP(D$4,'Physical Effects-Numbers'!$B$1:$AU$172,$B8,FALSE),""))</f>
        <v/>
      </c>
      <c r="E8" s="488" t="str">
        <f>IF(E$4="","",IF(HLOOKUP(E$4,'Physical Effects-Numbers'!$B$1:$AU$172,$B8,FALSE)&lt;0,HLOOKUP(E$4,'Physical Effects-Numbers'!$B$1:$AU$172,$B8,FALSE),""))</f>
        <v/>
      </c>
      <c r="F8" s="488" t="str">
        <f>IF(F$4="","",IF(HLOOKUP(F$4,'Physical Effects-Numbers'!$B$1:$AU$172,$B8,FALSE)&lt;0,HLOOKUP(F$4,'Physical Effects-Numbers'!$B$1:$AU$172,$B8,FALSE),""))</f>
        <v/>
      </c>
      <c r="G8" s="488" t="str">
        <f>IF(G$4="","",IF(HLOOKUP(G$4,'Physical Effects-Numbers'!$B$1:$AU$172,$B8,FALSE)&lt;0,HLOOKUP(G$4,'Physical Effects-Numbers'!$B$1:$AU$172,$B8,FALSE),""))</f>
        <v/>
      </c>
      <c r="H8" s="488" t="str">
        <f>IF(H$4="","",IF(HLOOKUP(H$4,'Physical Effects-Numbers'!$B$1:$AU$172,$B8,FALSE)&lt;0,HLOOKUP(H$4,'Physical Effects-Numbers'!$B$1:$AU$172,$B8,FALSE),""))</f>
        <v/>
      </c>
      <c r="I8" s="488" t="str">
        <f>IF(I$4="","",IF(HLOOKUP(I$4,'Physical Effects-Numbers'!$B$1:$AU$172,$B8,FALSE)&lt;0,HLOOKUP(I$4,'Physical Effects-Numbers'!$B$1:$AU$172,$B8,FALSE),""))</f>
        <v/>
      </c>
      <c r="J8" s="488" t="str">
        <f>IF(J$4="","",IF(HLOOKUP(J$4,'Physical Effects-Numbers'!$B$1:$AU$172,$B8,FALSE)&lt;0,HLOOKUP(J$4,'Physical Effects-Numbers'!$B$1:$AU$172,$B8,FALSE),""))</f>
        <v/>
      </c>
      <c r="K8" s="488" t="str">
        <f>IF(K$4="","",IF(HLOOKUP(K$4,'Physical Effects-Numbers'!$B$1:$AU$172,$B8,FALSE)&lt;0,HLOOKUP(K$4,'Physical Effects-Numbers'!$B$1:$AU$172,$B8,FALSE),""))</f>
        <v/>
      </c>
      <c r="L8" s="488" t="str">
        <f>IF(L$4="","",IF(HLOOKUP(L$4,'Physical Effects-Numbers'!$B$1:$AU$172,$B8,FALSE)&lt;0,HLOOKUP(L$4,'Physical Effects-Numbers'!$B$1:$AU$172,$B8,FALSE),""))</f>
        <v/>
      </c>
      <c r="M8" s="488" t="str">
        <f>IF(M$4="","",IF(HLOOKUP(M$4,'Physical Effects-Numbers'!$B$1:$AU$172,$B8,FALSE)&lt;0,HLOOKUP(M$4,'Physical Effects-Numbers'!$B$1:$AU$172,$B8,FALSE),""))</f>
        <v/>
      </c>
      <c r="N8" s="488" t="str">
        <f>IF(N$4="","",IF(HLOOKUP(N$4,'Physical Effects-Numbers'!$B$1:$AU$172,$B8,FALSE)&lt;0,HLOOKUP(N$4,'Physical Effects-Numbers'!$B$1:$AU$172,$B8,FALSE),""))</f>
        <v/>
      </c>
      <c r="O8" s="488" t="str">
        <f>IF(O$4="","",IF(HLOOKUP(O$4,'Physical Effects-Numbers'!$B$1:$AU$172,$B8,FALSE)&lt;0,HLOOKUP(O$4,'Physical Effects-Numbers'!$B$1:$AU$172,$B8,FALSE),""))</f>
        <v/>
      </c>
      <c r="P8" s="488" t="str">
        <f>IF(P$4="","",IF(HLOOKUP(P$4,'Physical Effects-Numbers'!$B$1:$AU$172,$B8,FALSE)&lt;0,HLOOKUP(P$4,'Physical Effects-Numbers'!$B$1:$AU$172,$B8,FALSE),""))</f>
        <v/>
      </c>
      <c r="Q8" s="488" t="str">
        <f>IF(Q$4="","",IF(HLOOKUP(Q$4,'Physical Effects-Numbers'!$B$1:$AU$172,$B8,FALSE)&lt;0,HLOOKUP(Q$4,'Physical Effects-Numbers'!$B$1:$AU$172,$B8,FALSE),""))</f>
        <v/>
      </c>
      <c r="R8" s="488" t="str">
        <f>IF(R$4="","",IF(HLOOKUP(R$4,'Physical Effects-Numbers'!$B$1:$AU$172,$B8,FALSE)&lt;0,HLOOKUP(R$4,'Physical Effects-Numbers'!$B$1:$AU$172,$B8,FALSE),""))</f>
        <v/>
      </c>
      <c r="S8" s="488" t="str">
        <f>IF(S$4="","",IF(HLOOKUP(S$4,'Physical Effects-Numbers'!$B$1:$AU$172,$B8,FALSE)&lt;0,HLOOKUP(S$4,'Physical Effects-Numbers'!$B$1:$AU$172,$B8,FALSE),""))</f>
        <v/>
      </c>
      <c r="T8" s="488" t="str">
        <f>IF(T$4="","",IF(HLOOKUP(T$4,'Physical Effects-Numbers'!$B$1:$AU$172,$B8,FALSE)&lt;0,HLOOKUP(T$4,'Physical Effects-Numbers'!$B$1:$AU$172,$B8,FALSE),""))</f>
        <v/>
      </c>
      <c r="U8" s="488" t="str">
        <f>IF(U$4="","",IF(HLOOKUP(U$4,'Physical Effects-Numbers'!$B$1:$AU$172,$B8,FALSE)&lt;0,HLOOKUP(U$4,'Physical Effects-Numbers'!$B$1:$AU$172,$B8,FALSE),""))</f>
        <v/>
      </c>
      <c r="V8" s="488" t="str">
        <f>IF(V$4="","",IF(HLOOKUP(V$4,'Physical Effects-Numbers'!$B$1:$AU$172,$B8,FALSE)&lt;0,HLOOKUP(V$4,'Physical Effects-Numbers'!$B$1:$AU$172,$B8,FALSE),""))</f>
        <v/>
      </c>
      <c r="W8" s="488" t="str">
        <f>IF(W$4="","",IF(HLOOKUP(W$4,'Physical Effects-Numbers'!$B$1:$AU$172,$B8,FALSE)&lt;0,HLOOKUP(W$4,'Physical Effects-Numbers'!$B$1:$AU$172,$B8,FALSE),""))</f>
        <v/>
      </c>
      <c r="X8" s="488" t="str">
        <f>IF(X$4="","",IF(HLOOKUP(X$4,'Physical Effects-Numbers'!$B$1:$AU$172,$B8,FALSE)&lt;0,HLOOKUP(X$4,'Physical Effects-Numbers'!$B$1:$AU$172,$B8,FALSE),""))</f>
        <v/>
      </c>
      <c r="Y8" s="488" t="str">
        <f>IF(Y$4="","",IF(HLOOKUP(Y$4,'Physical Effects-Numbers'!$B$1:$AU$172,$B8,FALSE)&lt;0,HLOOKUP(Y$4,'Physical Effects-Numbers'!$B$1:$AU$172,$B8,FALSE),""))</f>
        <v/>
      </c>
      <c r="Z8" s="488" t="str">
        <f>IF(Z$4="","",IF(HLOOKUP(Z$4,'Physical Effects-Numbers'!$B$1:$AU$172,$B8,FALSE)&lt;0,HLOOKUP(Z$4,'Physical Effects-Numbers'!$B$1:$AU$172,$B8,FALSE),""))</f>
        <v/>
      </c>
      <c r="AA8" s="488" t="str">
        <f>IF(AA$4="","",IF(HLOOKUP(AA$4,'Physical Effects-Numbers'!$B$1:$AU$172,$B8,FALSE)&lt;0,HLOOKUP(AA$4,'Physical Effects-Numbers'!$B$1:$AU$172,$B8,FALSE),""))</f>
        <v/>
      </c>
      <c r="AB8" s="488" t="str">
        <f>IF(AB$4="","",IF(HLOOKUP(AB$4,'Physical Effects-Numbers'!$B$1:$AU$172,$B8,FALSE)&lt;0,HLOOKUP(AB$4,'Physical Effects-Numbers'!$B$1:$AU$172,$B8,FALSE),""))</f>
        <v/>
      </c>
      <c r="AC8" s="488" t="str">
        <f>IF(AC$4="","",IF(HLOOKUP(AC$4,'Physical Effects-Numbers'!$B$1:$AU$172,$B8,FALSE)&lt;0,HLOOKUP(AC$4,'Physical Effects-Numbers'!$B$1:$AU$172,$B8,FALSE),""))</f>
        <v/>
      </c>
      <c r="AD8" s="488" t="str">
        <f>IF(AD$4="","",IF(HLOOKUP(AD$4,'Physical Effects-Numbers'!$B$1:$AU$172,$B8,FALSE)&lt;0,HLOOKUP(AD$4,'Physical Effects-Numbers'!$B$1:$AU$172,$B8,FALSE),""))</f>
        <v/>
      </c>
      <c r="AE8" s="488" t="str">
        <f>IF(AE$4="","",IF(HLOOKUP(AE$4,'Physical Effects-Numbers'!$B$1:$AU$172,$B8,FALSE)&lt;0,HLOOKUP(AE$4,'Physical Effects-Numbers'!$B$1:$AU$172,$B8,FALSE),""))</f>
        <v/>
      </c>
      <c r="AF8" s="488" t="str">
        <f>IF(AF$4="","",IF(HLOOKUP(AF$4,'Physical Effects-Numbers'!$B$1:$AU$172,$B8,FALSE)&lt;0,HLOOKUP(AF$4,'Physical Effects-Numbers'!$B$1:$AU$172,$B8,FALSE),""))</f>
        <v/>
      </c>
      <c r="AG8" s="488" t="str">
        <f>IF(AG$4="","",IF(HLOOKUP(AG$4,'Physical Effects-Numbers'!$B$1:$AU$172,$B8,FALSE)&lt;0,HLOOKUP(AG$4,'Physical Effects-Numbers'!$B$1:$AU$172,$B8,FALSE),""))</f>
        <v/>
      </c>
      <c r="AH8" s="488" t="str">
        <f>IF(AH$4="","",IF(HLOOKUP(AH$4,'Physical Effects-Numbers'!$B$1:$AU$172,$B8,FALSE)&lt;0,HLOOKUP(AH$4,'Physical Effects-Numbers'!$B$1:$AU$172,$B8,FALSE),""))</f>
        <v/>
      </c>
      <c r="AI8" s="488" t="str">
        <f>IF(AI$4="","",IF(HLOOKUP(AI$4,'Physical Effects-Numbers'!$B$1:$AU$172,$B8,FALSE)&lt;0,HLOOKUP(AI$4,'Physical Effects-Numbers'!$B$1:$AU$172,$B8,FALSE),""))</f>
        <v/>
      </c>
      <c r="AJ8" s="488" t="str">
        <f>IF(AJ$4="","",IF(HLOOKUP(AJ$4,'Physical Effects-Numbers'!$B$1:$AU$172,$B8,FALSE)&lt;0,HLOOKUP(AJ$4,'Physical Effects-Numbers'!$B$1:$AU$172,$B8,FALSE),""))</f>
        <v/>
      </c>
      <c r="AK8" s="488" t="str">
        <f>IF(AK$4="","",IF(HLOOKUP(AK$4,'Physical Effects-Numbers'!$B$1:$AU$172,$B8,FALSE)&lt;0,HLOOKUP(AK$4,'Physical Effects-Numbers'!$B$1:$AU$172,$B8,FALSE),""))</f>
        <v/>
      </c>
      <c r="AL8" s="488" t="str">
        <f>IF(AL$4="","",IF(HLOOKUP(AL$4,'Physical Effects-Numbers'!$B$1:$AU$172,$B8,FALSE)&lt;0,HLOOKUP(AL$4,'Physical Effects-Numbers'!$B$1:$AU$172,$B8,FALSE),""))</f>
        <v/>
      </c>
      <c r="AM8" s="488" t="str">
        <f>IF(AM$4="","",IF(HLOOKUP(AM$4,'Physical Effects-Numbers'!$B$1:$AU$172,$B8,FALSE)&lt;0,HLOOKUP(AM$4,'Physical Effects-Numbers'!$B$1:$AU$172,$B8,FALSE),""))</f>
        <v/>
      </c>
      <c r="AN8" s="488" t="str">
        <f>IF(AN$4="","",IF(HLOOKUP(AN$4,'Physical Effects-Numbers'!$B$1:$AU$172,$B8,FALSE)&lt;0,HLOOKUP(AN$4,'Physical Effects-Numbers'!$B$1:$AU$172,$B8,FALSE),""))</f>
        <v/>
      </c>
      <c r="AO8" s="488" t="str">
        <f>IF(AO$4="","",IF(HLOOKUP(AO$4,'Physical Effects-Numbers'!$B$1:$AU$172,$B8,FALSE)&lt;0,HLOOKUP(AO$4,'Physical Effects-Numbers'!$B$1:$AU$172,$B8,FALSE),""))</f>
        <v/>
      </c>
      <c r="AP8" s="488" t="str">
        <f>IF(AP$4="","",IF(HLOOKUP(AP$4,'Physical Effects-Numbers'!$B$1:$AU$172,$B8,FALSE)&lt;0,HLOOKUP(AP$4,'Physical Effects-Numbers'!$B$1:$AU$172,$B8,FALSE),""))</f>
        <v/>
      </c>
      <c r="AQ8" s="488" t="str">
        <f>IF(AQ$4="","",IF(HLOOKUP(AQ$4,'Physical Effects-Numbers'!$B$1:$AU$172,$B8,FALSE)&lt;0,HLOOKUP(AQ$4,'Physical Effects-Numbers'!$B$1:$AU$172,$B8,FALSE),""))</f>
        <v/>
      </c>
      <c r="AR8" s="488" t="str">
        <f>IF(AR$4="","",IF(HLOOKUP(AR$4,'Physical Effects-Numbers'!$B$1:$AU$172,$B8,FALSE)&lt;0,HLOOKUP(AR$4,'Physical Effects-Numbers'!$B$1:$AU$172,$B8,FALSE),""))</f>
        <v/>
      </c>
      <c r="AS8" s="488" t="str">
        <f>IF(AS$4="","",IF(HLOOKUP(AS$4,'Physical Effects-Numbers'!$B$1:$AU$172,$B8,FALSE)&lt;0,HLOOKUP(AS$4,'Physical Effects-Numbers'!$B$1:$AU$172,$B8,FALSE),""))</f>
        <v/>
      </c>
      <c r="AT8" s="488">
        <f>IF(AT$4="","",IF(HLOOKUP(AT$4,'Physical Effects-Numbers'!$B$1:$AU$172,$B8,FALSE)&lt;0,HLOOKUP(AT$4,'Physical Effects-Numbers'!$B$1:$AU$172,$B8,FALSE),""))</f>
        <v>-1</v>
      </c>
      <c r="AU8" s="488" t="str">
        <f>IF(AU$4="","",IF(HLOOKUP(AU$4,'Physical Effects-Numbers'!$B$1:$AU$172,$B8,FALSE)&lt;0,HLOOKUP(AU$4,'Physical Effects-Numbers'!$B$1:$AU$172,$B8,FALSE),""))</f>
        <v/>
      </c>
      <c r="AV8" s="488" t="str">
        <f>IF(AV$4="","",IF(HLOOKUP(AV$4,'Physical Effects-Numbers'!$B$1:$AU$167,$B8,FALSE)&lt;0,HLOOKUP(AV$4,'Physical Effects-Numbers'!$B$1:$AU$167,$B8,FALSE),""))</f>
        <v/>
      </c>
    </row>
    <row r="9" spans="2:49" x14ac:dyDescent="0.2">
      <c r="B9" s="487">
        <f t="shared" si="0"/>
        <v>6</v>
      </c>
      <c r="C9" s="486" t="str">
        <f>+'Physical Effects-Numbers'!B6</f>
        <v>Alley Cropping</v>
      </c>
      <c r="D9" s="488" t="str">
        <f>IF(D$4="","",IF(HLOOKUP(D$4,'Physical Effects-Numbers'!$B$1:$AU$172,$B9,FALSE)&lt;0,HLOOKUP(D$4,'Physical Effects-Numbers'!$B$1:$AU$172,$B9,FALSE),""))</f>
        <v/>
      </c>
      <c r="E9" s="488" t="str">
        <f>IF(E$4="","",IF(HLOOKUP(E$4,'Physical Effects-Numbers'!$B$1:$AU$172,$B9,FALSE)&lt;0,HLOOKUP(E$4,'Physical Effects-Numbers'!$B$1:$AU$172,$B9,FALSE),""))</f>
        <v/>
      </c>
      <c r="F9" s="488" t="str">
        <f>IF(F$4="","",IF(HLOOKUP(F$4,'Physical Effects-Numbers'!$B$1:$AU$172,$B9,FALSE)&lt;0,HLOOKUP(F$4,'Physical Effects-Numbers'!$B$1:$AU$172,$B9,FALSE),""))</f>
        <v/>
      </c>
      <c r="G9" s="488" t="str">
        <f>IF(G$4="","",IF(HLOOKUP(G$4,'Physical Effects-Numbers'!$B$1:$AU$172,$B9,FALSE)&lt;0,HLOOKUP(G$4,'Physical Effects-Numbers'!$B$1:$AU$172,$B9,FALSE),""))</f>
        <v/>
      </c>
      <c r="H9" s="488" t="str">
        <f>IF(H$4="","",IF(HLOOKUP(H$4,'Physical Effects-Numbers'!$B$1:$AU$172,$B9,FALSE)&lt;0,HLOOKUP(H$4,'Physical Effects-Numbers'!$B$1:$AU$172,$B9,FALSE),""))</f>
        <v/>
      </c>
      <c r="I9" s="488" t="str">
        <f>IF(I$4="","",IF(HLOOKUP(I$4,'Physical Effects-Numbers'!$B$1:$AU$172,$B9,FALSE)&lt;0,HLOOKUP(I$4,'Physical Effects-Numbers'!$B$1:$AU$172,$B9,FALSE),""))</f>
        <v/>
      </c>
      <c r="J9" s="488" t="str">
        <f>IF(J$4="","",IF(HLOOKUP(J$4,'Physical Effects-Numbers'!$B$1:$AU$172,$B9,FALSE)&lt;0,HLOOKUP(J$4,'Physical Effects-Numbers'!$B$1:$AU$172,$B9,FALSE),""))</f>
        <v/>
      </c>
      <c r="K9" s="488" t="str">
        <f>IF(K$4="","",IF(HLOOKUP(K$4,'Physical Effects-Numbers'!$B$1:$AU$172,$B9,FALSE)&lt;0,HLOOKUP(K$4,'Physical Effects-Numbers'!$B$1:$AU$172,$B9,FALSE),""))</f>
        <v/>
      </c>
      <c r="L9" s="488" t="str">
        <f>IF(L$4="","",IF(HLOOKUP(L$4,'Physical Effects-Numbers'!$B$1:$AU$172,$B9,FALSE)&lt;0,HLOOKUP(L$4,'Physical Effects-Numbers'!$B$1:$AU$172,$B9,FALSE),""))</f>
        <v/>
      </c>
      <c r="M9" s="488" t="str">
        <f>IF(M$4="","",IF(HLOOKUP(M$4,'Physical Effects-Numbers'!$B$1:$AU$172,$B9,FALSE)&lt;0,HLOOKUP(M$4,'Physical Effects-Numbers'!$B$1:$AU$172,$B9,FALSE),""))</f>
        <v/>
      </c>
      <c r="N9" s="488" t="str">
        <f>IF(N$4="","",IF(HLOOKUP(N$4,'Physical Effects-Numbers'!$B$1:$AU$172,$B9,FALSE)&lt;0,HLOOKUP(N$4,'Physical Effects-Numbers'!$B$1:$AU$172,$B9,FALSE),""))</f>
        <v/>
      </c>
      <c r="O9" s="488" t="str">
        <f>IF(O$4="","",IF(HLOOKUP(O$4,'Physical Effects-Numbers'!$B$1:$AU$172,$B9,FALSE)&lt;0,HLOOKUP(O$4,'Physical Effects-Numbers'!$B$1:$AU$172,$B9,FALSE),""))</f>
        <v/>
      </c>
      <c r="P9" s="488" t="str">
        <f>IF(P$4="","",IF(HLOOKUP(P$4,'Physical Effects-Numbers'!$B$1:$AU$172,$B9,FALSE)&lt;0,HLOOKUP(P$4,'Physical Effects-Numbers'!$B$1:$AU$172,$B9,FALSE),""))</f>
        <v/>
      </c>
      <c r="Q9" s="488" t="str">
        <f>IF(Q$4="","",IF(HLOOKUP(Q$4,'Physical Effects-Numbers'!$B$1:$AU$172,$B9,FALSE)&lt;0,HLOOKUP(Q$4,'Physical Effects-Numbers'!$B$1:$AU$172,$B9,FALSE),""))</f>
        <v/>
      </c>
      <c r="R9" s="488" t="str">
        <f>IF(R$4="","",IF(HLOOKUP(R$4,'Physical Effects-Numbers'!$B$1:$AU$172,$B9,FALSE)&lt;0,HLOOKUP(R$4,'Physical Effects-Numbers'!$B$1:$AU$172,$B9,FALSE),""))</f>
        <v/>
      </c>
      <c r="S9" s="488" t="str">
        <f>IF(S$4="","",IF(HLOOKUP(S$4,'Physical Effects-Numbers'!$B$1:$AU$172,$B9,FALSE)&lt;0,HLOOKUP(S$4,'Physical Effects-Numbers'!$B$1:$AU$172,$B9,FALSE),""))</f>
        <v/>
      </c>
      <c r="T9" s="488" t="str">
        <f>IF(T$4="","",IF(HLOOKUP(T$4,'Physical Effects-Numbers'!$B$1:$AU$172,$B9,FALSE)&lt;0,HLOOKUP(T$4,'Physical Effects-Numbers'!$B$1:$AU$172,$B9,FALSE),""))</f>
        <v/>
      </c>
      <c r="U9" s="488" t="str">
        <f>IF(U$4="","",IF(HLOOKUP(U$4,'Physical Effects-Numbers'!$B$1:$AU$172,$B9,FALSE)&lt;0,HLOOKUP(U$4,'Physical Effects-Numbers'!$B$1:$AU$172,$B9,FALSE),""))</f>
        <v/>
      </c>
      <c r="V9" s="488" t="str">
        <f>IF(V$4="","",IF(HLOOKUP(V$4,'Physical Effects-Numbers'!$B$1:$AU$172,$B9,FALSE)&lt;0,HLOOKUP(V$4,'Physical Effects-Numbers'!$B$1:$AU$172,$B9,FALSE),""))</f>
        <v/>
      </c>
      <c r="W9" s="488" t="str">
        <f>IF(W$4="","",IF(HLOOKUP(W$4,'Physical Effects-Numbers'!$B$1:$AU$172,$B9,FALSE)&lt;0,HLOOKUP(W$4,'Physical Effects-Numbers'!$B$1:$AU$172,$B9,FALSE),""))</f>
        <v/>
      </c>
      <c r="X9" s="488" t="str">
        <f>IF(X$4="","",IF(HLOOKUP(X$4,'Physical Effects-Numbers'!$B$1:$AU$172,$B9,FALSE)&lt;0,HLOOKUP(X$4,'Physical Effects-Numbers'!$B$1:$AU$172,$B9,FALSE),""))</f>
        <v/>
      </c>
      <c r="Y9" s="488" t="str">
        <f>IF(Y$4="","",IF(HLOOKUP(Y$4,'Physical Effects-Numbers'!$B$1:$AU$172,$B9,FALSE)&lt;0,HLOOKUP(Y$4,'Physical Effects-Numbers'!$B$1:$AU$172,$B9,FALSE),""))</f>
        <v/>
      </c>
      <c r="Z9" s="488" t="str">
        <f>IF(Z$4="","",IF(HLOOKUP(Z$4,'Physical Effects-Numbers'!$B$1:$AU$172,$B9,FALSE)&lt;0,HLOOKUP(Z$4,'Physical Effects-Numbers'!$B$1:$AU$172,$B9,FALSE),""))</f>
        <v/>
      </c>
      <c r="AA9" s="488" t="str">
        <f>IF(AA$4="","",IF(HLOOKUP(AA$4,'Physical Effects-Numbers'!$B$1:$AU$172,$B9,FALSE)&lt;0,HLOOKUP(AA$4,'Physical Effects-Numbers'!$B$1:$AU$172,$B9,FALSE),""))</f>
        <v/>
      </c>
      <c r="AB9" s="488" t="str">
        <f>IF(AB$4="","",IF(HLOOKUP(AB$4,'Physical Effects-Numbers'!$B$1:$AU$172,$B9,FALSE)&lt;0,HLOOKUP(AB$4,'Physical Effects-Numbers'!$B$1:$AU$172,$B9,FALSE),""))</f>
        <v/>
      </c>
      <c r="AC9" s="488" t="str">
        <f>IF(AC$4="","",IF(HLOOKUP(AC$4,'Physical Effects-Numbers'!$B$1:$AU$172,$B9,FALSE)&lt;0,HLOOKUP(AC$4,'Physical Effects-Numbers'!$B$1:$AU$172,$B9,FALSE),""))</f>
        <v/>
      </c>
      <c r="AD9" s="488" t="str">
        <f>IF(AD$4="","",IF(HLOOKUP(AD$4,'Physical Effects-Numbers'!$B$1:$AU$172,$B9,FALSE)&lt;0,HLOOKUP(AD$4,'Physical Effects-Numbers'!$B$1:$AU$172,$B9,FALSE),""))</f>
        <v/>
      </c>
      <c r="AE9" s="488" t="str">
        <f>IF(AE$4="","",IF(HLOOKUP(AE$4,'Physical Effects-Numbers'!$B$1:$AU$172,$B9,FALSE)&lt;0,HLOOKUP(AE$4,'Physical Effects-Numbers'!$B$1:$AU$172,$B9,FALSE),""))</f>
        <v/>
      </c>
      <c r="AF9" s="488" t="str">
        <f>IF(AF$4="","",IF(HLOOKUP(AF$4,'Physical Effects-Numbers'!$B$1:$AU$172,$B9,FALSE)&lt;0,HLOOKUP(AF$4,'Physical Effects-Numbers'!$B$1:$AU$172,$B9,FALSE),""))</f>
        <v/>
      </c>
      <c r="AG9" s="488" t="str">
        <f>IF(AG$4="","",IF(HLOOKUP(AG$4,'Physical Effects-Numbers'!$B$1:$AU$172,$B9,FALSE)&lt;0,HLOOKUP(AG$4,'Physical Effects-Numbers'!$B$1:$AU$172,$B9,FALSE),""))</f>
        <v/>
      </c>
      <c r="AH9" s="488" t="str">
        <f>IF(AH$4="","",IF(HLOOKUP(AH$4,'Physical Effects-Numbers'!$B$1:$AU$172,$B9,FALSE)&lt;0,HLOOKUP(AH$4,'Physical Effects-Numbers'!$B$1:$AU$172,$B9,FALSE),""))</f>
        <v/>
      </c>
      <c r="AI9" s="488" t="str">
        <f>IF(AI$4="","",IF(HLOOKUP(AI$4,'Physical Effects-Numbers'!$B$1:$AU$172,$B9,FALSE)&lt;0,HLOOKUP(AI$4,'Physical Effects-Numbers'!$B$1:$AU$172,$B9,FALSE),""))</f>
        <v/>
      </c>
      <c r="AJ9" s="488" t="str">
        <f>IF(AJ$4="","",IF(HLOOKUP(AJ$4,'Physical Effects-Numbers'!$B$1:$AU$172,$B9,FALSE)&lt;0,HLOOKUP(AJ$4,'Physical Effects-Numbers'!$B$1:$AU$172,$B9,FALSE),""))</f>
        <v/>
      </c>
      <c r="AK9" s="488" t="str">
        <f>IF(AK$4="","",IF(HLOOKUP(AK$4,'Physical Effects-Numbers'!$B$1:$AU$172,$B9,FALSE)&lt;0,HLOOKUP(AK$4,'Physical Effects-Numbers'!$B$1:$AU$172,$B9,FALSE),""))</f>
        <v/>
      </c>
      <c r="AL9" s="488" t="str">
        <f>IF(AL$4="","",IF(HLOOKUP(AL$4,'Physical Effects-Numbers'!$B$1:$AU$172,$B9,FALSE)&lt;0,HLOOKUP(AL$4,'Physical Effects-Numbers'!$B$1:$AU$172,$B9,FALSE),""))</f>
        <v/>
      </c>
      <c r="AM9" s="488" t="str">
        <f>IF(AM$4="","",IF(HLOOKUP(AM$4,'Physical Effects-Numbers'!$B$1:$AU$172,$B9,FALSE)&lt;0,HLOOKUP(AM$4,'Physical Effects-Numbers'!$B$1:$AU$172,$B9,FALSE),""))</f>
        <v/>
      </c>
      <c r="AN9" s="488" t="str">
        <f>IF(AN$4="","",IF(HLOOKUP(AN$4,'Physical Effects-Numbers'!$B$1:$AU$172,$B9,FALSE)&lt;0,HLOOKUP(AN$4,'Physical Effects-Numbers'!$B$1:$AU$172,$B9,FALSE),""))</f>
        <v/>
      </c>
      <c r="AO9" s="488" t="str">
        <f>IF(AO$4="","",IF(HLOOKUP(AO$4,'Physical Effects-Numbers'!$B$1:$AU$172,$B9,FALSE)&lt;0,HLOOKUP(AO$4,'Physical Effects-Numbers'!$B$1:$AU$172,$B9,FALSE),""))</f>
        <v/>
      </c>
      <c r="AP9" s="488" t="str">
        <f>IF(AP$4="","",IF(HLOOKUP(AP$4,'Physical Effects-Numbers'!$B$1:$AU$172,$B9,FALSE)&lt;0,HLOOKUP(AP$4,'Physical Effects-Numbers'!$B$1:$AU$172,$B9,FALSE),""))</f>
        <v/>
      </c>
      <c r="AQ9" s="488" t="str">
        <f>IF(AQ$4="","",IF(HLOOKUP(AQ$4,'Physical Effects-Numbers'!$B$1:$AU$172,$B9,FALSE)&lt;0,HLOOKUP(AQ$4,'Physical Effects-Numbers'!$B$1:$AU$172,$B9,FALSE),""))</f>
        <v/>
      </c>
      <c r="AR9" s="488" t="str">
        <f>IF(AR$4="","",IF(HLOOKUP(AR$4,'Physical Effects-Numbers'!$B$1:$AU$172,$B9,FALSE)&lt;0,HLOOKUP(AR$4,'Physical Effects-Numbers'!$B$1:$AU$172,$B9,FALSE),""))</f>
        <v/>
      </c>
      <c r="AS9" s="488" t="str">
        <f>IF(AS$4="","",IF(HLOOKUP(AS$4,'Physical Effects-Numbers'!$B$1:$AU$172,$B9,FALSE)&lt;0,HLOOKUP(AS$4,'Physical Effects-Numbers'!$B$1:$AU$172,$B9,FALSE),""))</f>
        <v/>
      </c>
      <c r="AT9" s="488" t="str">
        <f>IF(AT$4="","",IF(HLOOKUP(AT$4,'Physical Effects-Numbers'!$B$1:$AU$172,$B9,FALSE)&lt;0,HLOOKUP(AT$4,'Physical Effects-Numbers'!$B$1:$AU$172,$B9,FALSE),""))</f>
        <v/>
      </c>
      <c r="AU9" s="488" t="str">
        <f>IF(AU$4="","",IF(HLOOKUP(AU$4,'Physical Effects-Numbers'!$B$1:$AU$172,$B9,FALSE)&lt;0,HLOOKUP(AU$4,'Physical Effects-Numbers'!$B$1:$AU$172,$B9,FALSE),""))</f>
        <v/>
      </c>
      <c r="AV9" s="488" t="str">
        <f>IF(AV$4="","",IF(HLOOKUP(AV$4,'Physical Effects-Numbers'!$B$1:$AU$167,$B9,FALSE)&lt;0,HLOOKUP(AV$4,'Physical Effects-Numbers'!$B$1:$AU$167,$B9,FALSE),""))</f>
        <v/>
      </c>
    </row>
    <row r="10" spans="2:49" x14ac:dyDescent="0.2">
      <c r="B10" s="487">
        <f t="shared" si="0"/>
        <v>7</v>
      </c>
      <c r="C10" s="486" t="str">
        <f>+'Physical Effects-Numbers'!B7</f>
        <v>Amending Soil Properties with Gypsum Products</v>
      </c>
      <c r="D10" s="488" t="str">
        <f>IF(D$4="","",IF(HLOOKUP(D$4,'Physical Effects-Numbers'!$B$1:$AU$172,$B10,FALSE)&lt;0,HLOOKUP(D$4,'Physical Effects-Numbers'!$B$1:$AU$172,$B10,FALSE),""))</f>
        <v/>
      </c>
      <c r="E10" s="488" t="str">
        <f>IF(E$4="","",IF(HLOOKUP(E$4,'Physical Effects-Numbers'!$B$1:$AU$172,$B10,FALSE)&lt;0,HLOOKUP(E$4,'Physical Effects-Numbers'!$B$1:$AU$172,$B10,FALSE),""))</f>
        <v/>
      </c>
      <c r="F10" s="488" t="str">
        <f>IF(F$4="","",IF(HLOOKUP(F$4,'Physical Effects-Numbers'!$B$1:$AU$172,$B10,FALSE)&lt;0,HLOOKUP(F$4,'Physical Effects-Numbers'!$B$1:$AU$172,$B10,FALSE),""))</f>
        <v/>
      </c>
      <c r="G10" s="488" t="str">
        <f>IF(G$4="","",IF(HLOOKUP(G$4,'Physical Effects-Numbers'!$B$1:$AU$172,$B10,FALSE)&lt;0,HLOOKUP(G$4,'Physical Effects-Numbers'!$B$1:$AU$172,$B10,FALSE),""))</f>
        <v/>
      </c>
      <c r="H10" s="488" t="str">
        <f>IF(H$4="","",IF(HLOOKUP(H$4,'Physical Effects-Numbers'!$B$1:$AU$172,$B10,FALSE)&lt;0,HLOOKUP(H$4,'Physical Effects-Numbers'!$B$1:$AU$172,$B10,FALSE),""))</f>
        <v/>
      </c>
      <c r="I10" s="488" t="str">
        <f>IF(I$4="","",IF(HLOOKUP(I$4,'Physical Effects-Numbers'!$B$1:$AU$172,$B10,FALSE)&lt;0,HLOOKUP(I$4,'Physical Effects-Numbers'!$B$1:$AU$172,$B10,FALSE),""))</f>
        <v/>
      </c>
      <c r="J10" s="488" t="str">
        <f>IF(J$4="","",IF(HLOOKUP(J$4,'Physical Effects-Numbers'!$B$1:$AU$172,$B10,FALSE)&lt;0,HLOOKUP(J$4,'Physical Effects-Numbers'!$B$1:$AU$172,$B10,FALSE),""))</f>
        <v/>
      </c>
      <c r="K10" s="488" t="str">
        <f>IF(K$4="","",IF(HLOOKUP(K$4,'Physical Effects-Numbers'!$B$1:$AU$172,$B10,FALSE)&lt;0,HLOOKUP(K$4,'Physical Effects-Numbers'!$B$1:$AU$172,$B10,FALSE),""))</f>
        <v/>
      </c>
      <c r="L10" s="488" t="str">
        <f>IF(L$4="","",IF(HLOOKUP(L$4,'Physical Effects-Numbers'!$B$1:$AU$172,$B10,FALSE)&lt;0,HLOOKUP(L$4,'Physical Effects-Numbers'!$B$1:$AU$172,$B10,FALSE),""))</f>
        <v/>
      </c>
      <c r="M10" s="488" t="str">
        <f>IF(M$4="","",IF(HLOOKUP(M$4,'Physical Effects-Numbers'!$B$1:$AU$172,$B10,FALSE)&lt;0,HLOOKUP(M$4,'Physical Effects-Numbers'!$B$1:$AU$172,$B10,FALSE),""))</f>
        <v/>
      </c>
      <c r="N10" s="488" t="str">
        <f>IF(N$4="","",IF(HLOOKUP(N$4,'Physical Effects-Numbers'!$B$1:$AU$172,$B10,FALSE)&lt;0,HLOOKUP(N$4,'Physical Effects-Numbers'!$B$1:$AU$172,$B10,FALSE),""))</f>
        <v/>
      </c>
      <c r="O10" s="488" t="str">
        <f>IF(O$4="","",IF(HLOOKUP(O$4,'Physical Effects-Numbers'!$B$1:$AU$172,$B10,FALSE)&lt;0,HLOOKUP(O$4,'Physical Effects-Numbers'!$B$1:$AU$172,$B10,FALSE),""))</f>
        <v/>
      </c>
      <c r="P10" s="488" t="str">
        <f>IF(P$4="","",IF(HLOOKUP(P$4,'Physical Effects-Numbers'!$B$1:$AU$172,$B10,FALSE)&lt;0,HLOOKUP(P$4,'Physical Effects-Numbers'!$B$1:$AU$172,$B10,FALSE),""))</f>
        <v/>
      </c>
      <c r="Q10" s="488" t="str">
        <f>IF(Q$4="","",IF(HLOOKUP(Q$4,'Physical Effects-Numbers'!$B$1:$AU$172,$B10,FALSE)&lt;0,HLOOKUP(Q$4,'Physical Effects-Numbers'!$B$1:$AU$172,$B10,FALSE),""))</f>
        <v/>
      </c>
      <c r="R10" s="488" t="str">
        <f>IF(R$4="","",IF(HLOOKUP(R$4,'Physical Effects-Numbers'!$B$1:$AU$172,$B10,FALSE)&lt;0,HLOOKUP(R$4,'Physical Effects-Numbers'!$B$1:$AU$172,$B10,FALSE),""))</f>
        <v/>
      </c>
      <c r="S10" s="488" t="str">
        <f>IF(S$4="","",IF(HLOOKUP(S$4,'Physical Effects-Numbers'!$B$1:$AU$172,$B10,FALSE)&lt;0,HLOOKUP(S$4,'Physical Effects-Numbers'!$B$1:$AU$172,$B10,FALSE),""))</f>
        <v/>
      </c>
      <c r="T10" s="488" t="str">
        <f>IF(T$4="","",IF(HLOOKUP(T$4,'Physical Effects-Numbers'!$B$1:$AU$172,$B10,FALSE)&lt;0,HLOOKUP(T$4,'Physical Effects-Numbers'!$B$1:$AU$172,$B10,FALSE),""))</f>
        <v/>
      </c>
      <c r="U10" s="488" t="str">
        <f>IF(U$4="","",IF(HLOOKUP(U$4,'Physical Effects-Numbers'!$B$1:$AU$172,$B10,FALSE)&lt;0,HLOOKUP(U$4,'Physical Effects-Numbers'!$B$1:$AU$172,$B10,FALSE),""))</f>
        <v/>
      </c>
      <c r="V10" s="488" t="str">
        <f>IF(V$4="","",IF(HLOOKUP(V$4,'Physical Effects-Numbers'!$B$1:$AU$172,$B10,FALSE)&lt;0,HLOOKUP(V$4,'Physical Effects-Numbers'!$B$1:$AU$172,$B10,FALSE),""))</f>
        <v/>
      </c>
      <c r="W10" s="488" t="str">
        <f>IF(W$4="","",IF(HLOOKUP(W$4,'Physical Effects-Numbers'!$B$1:$AU$172,$B10,FALSE)&lt;0,HLOOKUP(W$4,'Physical Effects-Numbers'!$B$1:$AU$172,$B10,FALSE),""))</f>
        <v/>
      </c>
      <c r="X10" s="488" t="str">
        <f>IF(X$4="","",IF(HLOOKUP(X$4,'Physical Effects-Numbers'!$B$1:$AU$172,$B10,FALSE)&lt;0,HLOOKUP(X$4,'Physical Effects-Numbers'!$B$1:$AU$172,$B10,FALSE),""))</f>
        <v/>
      </c>
      <c r="Y10" s="488" t="str">
        <f>IF(Y$4="","",IF(HLOOKUP(Y$4,'Physical Effects-Numbers'!$B$1:$AU$172,$B10,FALSE)&lt;0,HLOOKUP(Y$4,'Physical Effects-Numbers'!$B$1:$AU$172,$B10,FALSE),""))</f>
        <v/>
      </c>
      <c r="Z10" s="488" t="str">
        <f>IF(Z$4="","",IF(HLOOKUP(Z$4,'Physical Effects-Numbers'!$B$1:$AU$172,$B10,FALSE)&lt;0,HLOOKUP(Z$4,'Physical Effects-Numbers'!$B$1:$AU$172,$B10,FALSE),""))</f>
        <v/>
      </c>
      <c r="AA10" s="488" t="str">
        <f>IF(AA$4="","",IF(HLOOKUP(AA$4,'Physical Effects-Numbers'!$B$1:$AU$172,$B10,FALSE)&lt;0,HLOOKUP(AA$4,'Physical Effects-Numbers'!$B$1:$AU$172,$B10,FALSE),""))</f>
        <v/>
      </c>
      <c r="AB10" s="488" t="str">
        <f>IF(AB$4="","",IF(HLOOKUP(AB$4,'Physical Effects-Numbers'!$B$1:$AU$172,$B10,FALSE)&lt;0,HLOOKUP(AB$4,'Physical Effects-Numbers'!$B$1:$AU$172,$B10,FALSE),""))</f>
        <v/>
      </c>
      <c r="AC10" s="488" t="str">
        <f>IF(AC$4="","",IF(HLOOKUP(AC$4,'Physical Effects-Numbers'!$B$1:$AU$172,$B10,FALSE)&lt;0,HLOOKUP(AC$4,'Physical Effects-Numbers'!$B$1:$AU$172,$B10,FALSE),""))</f>
        <v/>
      </c>
      <c r="AD10" s="488" t="str">
        <f>IF(AD$4="","",IF(HLOOKUP(AD$4,'Physical Effects-Numbers'!$B$1:$AU$172,$B10,FALSE)&lt;0,HLOOKUP(AD$4,'Physical Effects-Numbers'!$B$1:$AU$172,$B10,FALSE),""))</f>
        <v/>
      </c>
      <c r="AE10" s="488" t="str">
        <f>IF(AE$4="","",IF(HLOOKUP(AE$4,'Physical Effects-Numbers'!$B$1:$AU$172,$B10,FALSE)&lt;0,HLOOKUP(AE$4,'Physical Effects-Numbers'!$B$1:$AU$172,$B10,FALSE),""))</f>
        <v/>
      </c>
      <c r="AF10" s="488" t="str">
        <f>IF(AF$4="","",IF(HLOOKUP(AF$4,'Physical Effects-Numbers'!$B$1:$AU$172,$B10,FALSE)&lt;0,HLOOKUP(AF$4,'Physical Effects-Numbers'!$B$1:$AU$172,$B10,FALSE),""))</f>
        <v/>
      </c>
      <c r="AG10" s="488" t="str">
        <f>IF(AG$4="","",IF(HLOOKUP(AG$4,'Physical Effects-Numbers'!$B$1:$AU$172,$B10,FALSE)&lt;0,HLOOKUP(AG$4,'Physical Effects-Numbers'!$B$1:$AU$172,$B10,FALSE),""))</f>
        <v/>
      </c>
      <c r="AH10" s="488" t="str">
        <f>IF(AH$4="","",IF(HLOOKUP(AH$4,'Physical Effects-Numbers'!$B$1:$AU$172,$B10,FALSE)&lt;0,HLOOKUP(AH$4,'Physical Effects-Numbers'!$B$1:$AU$172,$B10,FALSE),""))</f>
        <v/>
      </c>
      <c r="AI10" s="488" t="str">
        <f>IF(AI$4="","",IF(HLOOKUP(AI$4,'Physical Effects-Numbers'!$B$1:$AU$172,$B10,FALSE)&lt;0,HLOOKUP(AI$4,'Physical Effects-Numbers'!$B$1:$AU$172,$B10,FALSE),""))</f>
        <v/>
      </c>
      <c r="AJ10" s="488" t="str">
        <f>IF(AJ$4="","",IF(HLOOKUP(AJ$4,'Physical Effects-Numbers'!$B$1:$AU$172,$B10,FALSE)&lt;0,HLOOKUP(AJ$4,'Physical Effects-Numbers'!$B$1:$AU$172,$B10,FALSE),""))</f>
        <v/>
      </c>
      <c r="AK10" s="488" t="str">
        <f>IF(AK$4="","",IF(HLOOKUP(AK$4,'Physical Effects-Numbers'!$B$1:$AU$172,$B10,FALSE)&lt;0,HLOOKUP(AK$4,'Physical Effects-Numbers'!$B$1:$AU$172,$B10,FALSE),""))</f>
        <v/>
      </c>
      <c r="AL10" s="488" t="str">
        <f>IF(AL$4="","",IF(HLOOKUP(AL$4,'Physical Effects-Numbers'!$B$1:$AU$172,$B10,FALSE)&lt;0,HLOOKUP(AL$4,'Physical Effects-Numbers'!$B$1:$AU$172,$B10,FALSE),""))</f>
        <v/>
      </c>
      <c r="AM10" s="488" t="str">
        <f>IF(AM$4="","",IF(HLOOKUP(AM$4,'Physical Effects-Numbers'!$B$1:$AU$172,$B10,FALSE)&lt;0,HLOOKUP(AM$4,'Physical Effects-Numbers'!$B$1:$AU$172,$B10,FALSE),""))</f>
        <v/>
      </c>
      <c r="AN10" s="488" t="str">
        <f>IF(AN$4="","",IF(HLOOKUP(AN$4,'Physical Effects-Numbers'!$B$1:$AU$172,$B10,FALSE)&lt;0,HLOOKUP(AN$4,'Physical Effects-Numbers'!$B$1:$AU$172,$B10,FALSE),""))</f>
        <v/>
      </c>
      <c r="AO10" s="488" t="str">
        <f>IF(AO$4="","",IF(HLOOKUP(AO$4,'Physical Effects-Numbers'!$B$1:$AU$172,$B10,FALSE)&lt;0,HLOOKUP(AO$4,'Physical Effects-Numbers'!$B$1:$AU$172,$B10,FALSE),""))</f>
        <v/>
      </c>
      <c r="AP10" s="488" t="str">
        <f>IF(AP$4="","",IF(HLOOKUP(AP$4,'Physical Effects-Numbers'!$B$1:$AU$172,$B10,FALSE)&lt;0,HLOOKUP(AP$4,'Physical Effects-Numbers'!$B$1:$AU$172,$B10,FALSE),""))</f>
        <v/>
      </c>
      <c r="AQ10" s="488" t="str">
        <f>IF(AQ$4="","",IF(HLOOKUP(AQ$4,'Physical Effects-Numbers'!$B$1:$AU$172,$B10,FALSE)&lt;0,HLOOKUP(AQ$4,'Physical Effects-Numbers'!$B$1:$AU$172,$B10,FALSE),""))</f>
        <v/>
      </c>
      <c r="AR10" s="488" t="str">
        <f>IF(AR$4="","",IF(HLOOKUP(AR$4,'Physical Effects-Numbers'!$B$1:$AU$172,$B10,FALSE)&lt;0,HLOOKUP(AR$4,'Physical Effects-Numbers'!$B$1:$AU$172,$B10,FALSE),""))</f>
        <v/>
      </c>
      <c r="AS10" s="488" t="str">
        <f>IF(AS$4="","",IF(HLOOKUP(AS$4,'Physical Effects-Numbers'!$B$1:$AU$172,$B10,FALSE)&lt;0,HLOOKUP(AS$4,'Physical Effects-Numbers'!$B$1:$AU$172,$B10,FALSE),""))</f>
        <v/>
      </c>
      <c r="AT10" s="488" t="str">
        <f>IF(AT$4="","",IF(HLOOKUP(AT$4,'Physical Effects-Numbers'!$B$1:$AU$172,$B10,FALSE)&lt;0,HLOOKUP(AT$4,'Physical Effects-Numbers'!$B$1:$AU$172,$B10,FALSE),""))</f>
        <v/>
      </c>
      <c r="AU10" s="488" t="str">
        <f>IF(AU$4="","",IF(HLOOKUP(AU$4,'Physical Effects-Numbers'!$B$1:$AU$172,$B10,FALSE)&lt;0,HLOOKUP(AU$4,'Physical Effects-Numbers'!$B$1:$AU$172,$B10,FALSE),""))</f>
        <v/>
      </c>
      <c r="AV10" s="488" t="str">
        <f>IF(AV$4="","",IF(HLOOKUP(AV$4,'Physical Effects-Numbers'!$B$1:$AU$167,$B10,FALSE)&lt;0,HLOOKUP(AV$4,'Physical Effects-Numbers'!$B$1:$AU$167,$B10,FALSE),""))</f>
        <v/>
      </c>
    </row>
    <row r="11" spans="2:49" x14ac:dyDescent="0.2">
      <c r="B11" s="487">
        <f t="shared" si="0"/>
        <v>8</v>
      </c>
      <c r="C11" s="486" t="str">
        <f>+'Physical Effects-Numbers'!B8</f>
        <v>Amendments for Treatment of Agricultural Waste</v>
      </c>
      <c r="D11" s="488" t="str">
        <f>IF(D$4="","",IF(HLOOKUP(D$4,'Physical Effects-Numbers'!$B$1:$AU$172,$B11,FALSE)&lt;0,HLOOKUP(D$4,'Physical Effects-Numbers'!$B$1:$AU$172,$B11,FALSE),""))</f>
        <v/>
      </c>
      <c r="E11" s="488" t="str">
        <f>IF(E$4="","",IF(HLOOKUP(E$4,'Physical Effects-Numbers'!$B$1:$AU$172,$B11,FALSE)&lt;0,HLOOKUP(E$4,'Physical Effects-Numbers'!$B$1:$AU$172,$B11,FALSE),""))</f>
        <v/>
      </c>
      <c r="F11" s="488" t="str">
        <f>IF(F$4="","",IF(HLOOKUP(F$4,'Physical Effects-Numbers'!$B$1:$AU$172,$B11,FALSE)&lt;0,HLOOKUP(F$4,'Physical Effects-Numbers'!$B$1:$AU$172,$B11,FALSE),""))</f>
        <v/>
      </c>
      <c r="G11" s="488" t="str">
        <f>IF(G$4="","",IF(HLOOKUP(G$4,'Physical Effects-Numbers'!$B$1:$AU$172,$B11,FALSE)&lt;0,HLOOKUP(G$4,'Physical Effects-Numbers'!$B$1:$AU$172,$B11,FALSE),""))</f>
        <v/>
      </c>
      <c r="H11" s="488" t="str">
        <f>IF(H$4="","",IF(HLOOKUP(H$4,'Physical Effects-Numbers'!$B$1:$AU$172,$B11,FALSE)&lt;0,HLOOKUP(H$4,'Physical Effects-Numbers'!$B$1:$AU$172,$B11,FALSE),""))</f>
        <v/>
      </c>
      <c r="I11" s="488" t="str">
        <f>IF(I$4="","",IF(HLOOKUP(I$4,'Physical Effects-Numbers'!$B$1:$AU$172,$B11,FALSE)&lt;0,HLOOKUP(I$4,'Physical Effects-Numbers'!$B$1:$AU$172,$B11,FALSE),""))</f>
        <v/>
      </c>
      <c r="J11" s="488" t="str">
        <f>IF(J$4="","",IF(HLOOKUP(J$4,'Physical Effects-Numbers'!$B$1:$AU$172,$B11,FALSE)&lt;0,HLOOKUP(J$4,'Physical Effects-Numbers'!$B$1:$AU$172,$B11,FALSE),""))</f>
        <v/>
      </c>
      <c r="K11" s="488" t="str">
        <f>IF(K$4="","",IF(HLOOKUP(K$4,'Physical Effects-Numbers'!$B$1:$AU$172,$B11,FALSE)&lt;0,HLOOKUP(K$4,'Physical Effects-Numbers'!$B$1:$AU$172,$B11,FALSE),""))</f>
        <v/>
      </c>
      <c r="L11" s="488" t="str">
        <f>IF(L$4="","",IF(HLOOKUP(L$4,'Physical Effects-Numbers'!$B$1:$AU$172,$B11,FALSE)&lt;0,HLOOKUP(L$4,'Physical Effects-Numbers'!$B$1:$AU$172,$B11,FALSE),""))</f>
        <v/>
      </c>
      <c r="M11" s="488" t="str">
        <f>IF(M$4="","",IF(HLOOKUP(M$4,'Physical Effects-Numbers'!$B$1:$AU$172,$B11,FALSE)&lt;0,HLOOKUP(M$4,'Physical Effects-Numbers'!$B$1:$AU$172,$B11,FALSE),""))</f>
        <v/>
      </c>
      <c r="N11" s="488" t="str">
        <f>IF(N$4="","",IF(HLOOKUP(N$4,'Physical Effects-Numbers'!$B$1:$AU$172,$B11,FALSE)&lt;0,HLOOKUP(N$4,'Physical Effects-Numbers'!$B$1:$AU$172,$B11,FALSE),""))</f>
        <v/>
      </c>
      <c r="O11" s="488" t="str">
        <f>IF(O$4="","",IF(HLOOKUP(O$4,'Physical Effects-Numbers'!$B$1:$AU$172,$B11,FALSE)&lt;0,HLOOKUP(O$4,'Physical Effects-Numbers'!$B$1:$AU$172,$B11,FALSE),""))</f>
        <v/>
      </c>
      <c r="P11" s="488" t="str">
        <f>IF(P$4="","",IF(HLOOKUP(P$4,'Physical Effects-Numbers'!$B$1:$AU$172,$B11,FALSE)&lt;0,HLOOKUP(P$4,'Physical Effects-Numbers'!$B$1:$AU$172,$B11,FALSE),""))</f>
        <v/>
      </c>
      <c r="Q11" s="488" t="str">
        <f>IF(Q$4="","",IF(HLOOKUP(Q$4,'Physical Effects-Numbers'!$B$1:$AU$172,$B11,FALSE)&lt;0,HLOOKUP(Q$4,'Physical Effects-Numbers'!$B$1:$AU$172,$B11,FALSE),""))</f>
        <v/>
      </c>
      <c r="R11" s="488" t="str">
        <f>IF(R$4="","",IF(HLOOKUP(R$4,'Physical Effects-Numbers'!$B$1:$AU$172,$B11,FALSE)&lt;0,HLOOKUP(R$4,'Physical Effects-Numbers'!$B$1:$AU$172,$B11,FALSE),""))</f>
        <v/>
      </c>
      <c r="S11" s="488" t="str">
        <f>IF(S$4="","",IF(HLOOKUP(S$4,'Physical Effects-Numbers'!$B$1:$AU$172,$B11,FALSE)&lt;0,HLOOKUP(S$4,'Physical Effects-Numbers'!$B$1:$AU$172,$B11,FALSE),""))</f>
        <v/>
      </c>
      <c r="T11" s="488" t="str">
        <f>IF(T$4="","",IF(HLOOKUP(T$4,'Physical Effects-Numbers'!$B$1:$AU$172,$B11,FALSE)&lt;0,HLOOKUP(T$4,'Physical Effects-Numbers'!$B$1:$AU$172,$B11,FALSE),""))</f>
        <v/>
      </c>
      <c r="U11" s="488" t="str">
        <f>IF(U$4="","",IF(HLOOKUP(U$4,'Physical Effects-Numbers'!$B$1:$AU$172,$B11,FALSE)&lt;0,HLOOKUP(U$4,'Physical Effects-Numbers'!$B$1:$AU$172,$B11,FALSE),""))</f>
        <v/>
      </c>
      <c r="V11" s="488" t="str">
        <f>IF(V$4="","",IF(HLOOKUP(V$4,'Physical Effects-Numbers'!$B$1:$AU$172,$B11,FALSE)&lt;0,HLOOKUP(V$4,'Physical Effects-Numbers'!$B$1:$AU$172,$B11,FALSE),""))</f>
        <v/>
      </c>
      <c r="W11" s="488" t="str">
        <f>IF(W$4="","",IF(HLOOKUP(W$4,'Physical Effects-Numbers'!$B$1:$AU$172,$B11,FALSE)&lt;0,HLOOKUP(W$4,'Physical Effects-Numbers'!$B$1:$AU$172,$B11,FALSE),""))</f>
        <v/>
      </c>
      <c r="X11" s="488" t="str">
        <f>IF(X$4="","",IF(HLOOKUP(X$4,'Physical Effects-Numbers'!$B$1:$AU$172,$B11,FALSE)&lt;0,HLOOKUP(X$4,'Physical Effects-Numbers'!$B$1:$AU$172,$B11,FALSE),""))</f>
        <v/>
      </c>
      <c r="Y11" s="488" t="str">
        <f>IF(Y$4="","",IF(HLOOKUP(Y$4,'Physical Effects-Numbers'!$B$1:$AU$172,$B11,FALSE)&lt;0,HLOOKUP(Y$4,'Physical Effects-Numbers'!$B$1:$AU$172,$B11,FALSE),""))</f>
        <v/>
      </c>
      <c r="Z11" s="488" t="str">
        <f>IF(Z$4="","",IF(HLOOKUP(Z$4,'Physical Effects-Numbers'!$B$1:$AU$172,$B11,FALSE)&lt;0,HLOOKUP(Z$4,'Physical Effects-Numbers'!$B$1:$AU$172,$B11,FALSE),""))</f>
        <v/>
      </c>
      <c r="AA11" s="488" t="str">
        <f>IF(AA$4="","",IF(HLOOKUP(AA$4,'Physical Effects-Numbers'!$B$1:$AU$172,$B11,FALSE)&lt;0,HLOOKUP(AA$4,'Physical Effects-Numbers'!$B$1:$AU$172,$B11,FALSE),""))</f>
        <v/>
      </c>
      <c r="AB11" s="488" t="str">
        <f>IF(AB$4="","",IF(HLOOKUP(AB$4,'Physical Effects-Numbers'!$B$1:$AU$172,$B11,FALSE)&lt;0,HLOOKUP(AB$4,'Physical Effects-Numbers'!$B$1:$AU$172,$B11,FALSE),""))</f>
        <v/>
      </c>
      <c r="AC11" s="488" t="str">
        <f>IF(AC$4="","",IF(HLOOKUP(AC$4,'Physical Effects-Numbers'!$B$1:$AU$172,$B11,FALSE)&lt;0,HLOOKUP(AC$4,'Physical Effects-Numbers'!$B$1:$AU$172,$B11,FALSE),""))</f>
        <v/>
      </c>
      <c r="AD11" s="488" t="str">
        <f>IF(AD$4="","",IF(HLOOKUP(AD$4,'Physical Effects-Numbers'!$B$1:$AU$172,$B11,FALSE)&lt;0,HLOOKUP(AD$4,'Physical Effects-Numbers'!$B$1:$AU$172,$B11,FALSE),""))</f>
        <v/>
      </c>
      <c r="AE11" s="488" t="str">
        <f>IF(AE$4="","",IF(HLOOKUP(AE$4,'Physical Effects-Numbers'!$B$1:$AU$172,$B11,FALSE)&lt;0,HLOOKUP(AE$4,'Physical Effects-Numbers'!$B$1:$AU$172,$B11,FALSE),""))</f>
        <v/>
      </c>
      <c r="AF11" s="488" t="str">
        <f>IF(AF$4="","",IF(HLOOKUP(AF$4,'Physical Effects-Numbers'!$B$1:$AU$172,$B11,FALSE)&lt;0,HLOOKUP(AF$4,'Physical Effects-Numbers'!$B$1:$AU$172,$B11,FALSE),""))</f>
        <v/>
      </c>
      <c r="AG11" s="488" t="str">
        <f>IF(AG$4="","",IF(HLOOKUP(AG$4,'Physical Effects-Numbers'!$B$1:$AU$172,$B11,FALSE)&lt;0,HLOOKUP(AG$4,'Physical Effects-Numbers'!$B$1:$AU$172,$B11,FALSE),""))</f>
        <v/>
      </c>
      <c r="AH11" s="488" t="str">
        <f>IF(AH$4="","",IF(HLOOKUP(AH$4,'Physical Effects-Numbers'!$B$1:$AU$172,$B11,FALSE)&lt;0,HLOOKUP(AH$4,'Physical Effects-Numbers'!$B$1:$AU$172,$B11,FALSE),""))</f>
        <v/>
      </c>
      <c r="AI11" s="488" t="str">
        <f>IF(AI$4="","",IF(HLOOKUP(AI$4,'Physical Effects-Numbers'!$B$1:$AU$172,$B11,FALSE)&lt;0,HLOOKUP(AI$4,'Physical Effects-Numbers'!$B$1:$AU$172,$B11,FALSE),""))</f>
        <v/>
      </c>
      <c r="AJ11" s="488" t="str">
        <f>IF(AJ$4="","",IF(HLOOKUP(AJ$4,'Physical Effects-Numbers'!$B$1:$AU$172,$B11,FALSE)&lt;0,HLOOKUP(AJ$4,'Physical Effects-Numbers'!$B$1:$AU$172,$B11,FALSE),""))</f>
        <v/>
      </c>
      <c r="AK11" s="488" t="str">
        <f>IF(AK$4="","",IF(HLOOKUP(AK$4,'Physical Effects-Numbers'!$B$1:$AU$172,$B11,FALSE)&lt;0,HLOOKUP(AK$4,'Physical Effects-Numbers'!$B$1:$AU$172,$B11,FALSE),""))</f>
        <v/>
      </c>
      <c r="AL11" s="488" t="str">
        <f>IF(AL$4="","",IF(HLOOKUP(AL$4,'Physical Effects-Numbers'!$B$1:$AU$172,$B11,FALSE)&lt;0,HLOOKUP(AL$4,'Physical Effects-Numbers'!$B$1:$AU$172,$B11,FALSE),""))</f>
        <v/>
      </c>
      <c r="AM11" s="488" t="str">
        <f>IF(AM$4="","",IF(HLOOKUP(AM$4,'Physical Effects-Numbers'!$B$1:$AU$172,$B11,FALSE)&lt;0,HLOOKUP(AM$4,'Physical Effects-Numbers'!$B$1:$AU$172,$B11,FALSE),""))</f>
        <v/>
      </c>
      <c r="AN11" s="488" t="str">
        <f>IF(AN$4="","",IF(HLOOKUP(AN$4,'Physical Effects-Numbers'!$B$1:$AU$172,$B11,FALSE)&lt;0,HLOOKUP(AN$4,'Physical Effects-Numbers'!$B$1:$AU$172,$B11,FALSE),""))</f>
        <v/>
      </c>
      <c r="AO11" s="488" t="str">
        <f>IF(AO$4="","",IF(HLOOKUP(AO$4,'Physical Effects-Numbers'!$B$1:$AU$172,$B11,FALSE)&lt;0,HLOOKUP(AO$4,'Physical Effects-Numbers'!$B$1:$AU$172,$B11,FALSE),""))</f>
        <v/>
      </c>
      <c r="AP11" s="488" t="str">
        <f>IF(AP$4="","",IF(HLOOKUP(AP$4,'Physical Effects-Numbers'!$B$1:$AU$172,$B11,FALSE)&lt;0,HLOOKUP(AP$4,'Physical Effects-Numbers'!$B$1:$AU$172,$B11,FALSE),""))</f>
        <v/>
      </c>
      <c r="AQ11" s="488" t="str">
        <f>IF(AQ$4="","",IF(HLOOKUP(AQ$4,'Physical Effects-Numbers'!$B$1:$AU$172,$B11,FALSE)&lt;0,HLOOKUP(AQ$4,'Physical Effects-Numbers'!$B$1:$AU$172,$B11,FALSE),""))</f>
        <v/>
      </c>
      <c r="AR11" s="488" t="str">
        <f>IF(AR$4="","",IF(HLOOKUP(AR$4,'Physical Effects-Numbers'!$B$1:$AU$172,$B11,FALSE)&lt;0,HLOOKUP(AR$4,'Physical Effects-Numbers'!$B$1:$AU$172,$B11,FALSE),""))</f>
        <v/>
      </c>
      <c r="AS11" s="488" t="str">
        <f>IF(AS$4="","",IF(HLOOKUP(AS$4,'Physical Effects-Numbers'!$B$1:$AU$172,$B11,FALSE)&lt;0,HLOOKUP(AS$4,'Physical Effects-Numbers'!$B$1:$AU$172,$B11,FALSE),""))</f>
        <v/>
      </c>
      <c r="AT11" s="488" t="str">
        <f>IF(AT$4="","",IF(HLOOKUP(AT$4,'Physical Effects-Numbers'!$B$1:$AU$172,$B11,FALSE)&lt;0,HLOOKUP(AT$4,'Physical Effects-Numbers'!$B$1:$AU$172,$B11,FALSE),""))</f>
        <v/>
      </c>
      <c r="AU11" s="488" t="str">
        <f>IF(AU$4="","",IF(HLOOKUP(AU$4,'Physical Effects-Numbers'!$B$1:$AU$172,$B11,FALSE)&lt;0,HLOOKUP(AU$4,'Physical Effects-Numbers'!$B$1:$AU$172,$B11,FALSE),""))</f>
        <v/>
      </c>
      <c r="AV11" s="488" t="str">
        <f>IF(AV$4="","",IF(HLOOKUP(AV$4,'Physical Effects-Numbers'!$B$1:$AU$167,$B11,FALSE)&lt;0,HLOOKUP(AV$4,'Physical Effects-Numbers'!$B$1:$AU$167,$B11,FALSE),""))</f>
        <v/>
      </c>
    </row>
    <row r="12" spans="2:49" x14ac:dyDescent="0.2">
      <c r="B12" s="487">
        <f t="shared" si="0"/>
        <v>9</v>
      </c>
      <c r="C12" s="486" t="str">
        <f>+'Physical Effects-Numbers'!B9</f>
        <v>Anaerobic Digester</v>
      </c>
      <c r="D12" s="488" t="str">
        <f>IF(D$4="","",IF(HLOOKUP(D$4,'Physical Effects-Numbers'!$B$1:$AU$172,$B12,FALSE)&lt;0,HLOOKUP(D$4,'Physical Effects-Numbers'!$B$1:$AU$172,$B12,FALSE),""))</f>
        <v/>
      </c>
      <c r="E12" s="488" t="str">
        <f>IF(E$4="","",IF(HLOOKUP(E$4,'Physical Effects-Numbers'!$B$1:$AU$172,$B12,FALSE)&lt;0,HLOOKUP(E$4,'Physical Effects-Numbers'!$B$1:$AU$172,$B12,FALSE),""))</f>
        <v/>
      </c>
      <c r="F12" s="488" t="str">
        <f>IF(F$4="","",IF(HLOOKUP(F$4,'Physical Effects-Numbers'!$B$1:$AU$172,$B12,FALSE)&lt;0,HLOOKUP(F$4,'Physical Effects-Numbers'!$B$1:$AU$172,$B12,FALSE),""))</f>
        <v/>
      </c>
      <c r="G12" s="488" t="str">
        <f>IF(G$4="","",IF(HLOOKUP(G$4,'Physical Effects-Numbers'!$B$1:$AU$172,$B12,FALSE)&lt;0,HLOOKUP(G$4,'Physical Effects-Numbers'!$B$1:$AU$172,$B12,FALSE),""))</f>
        <v/>
      </c>
      <c r="H12" s="488" t="str">
        <f>IF(H$4="","",IF(HLOOKUP(H$4,'Physical Effects-Numbers'!$B$1:$AU$172,$B12,FALSE)&lt;0,HLOOKUP(H$4,'Physical Effects-Numbers'!$B$1:$AU$172,$B12,FALSE),""))</f>
        <v/>
      </c>
      <c r="I12" s="488" t="str">
        <f>IF(I$4="","",IF(HLOOKUP(I$4,'Physical Effects-Numbers'!$B$1:$AU$172,$B12,FALSE)&lt;0,HLOOKUP(I$4,'Physical Effects-Numbers'!$B$1:$AU$172,$B12,FALSE),""))</f>
        <v/>
      </c>
      <c r="J12" s="488" t="str">
        <f>IF(J$4="","",IF(HLOOKUP(J$4,'Physical Effects-Numbers'!$B$1:$AU$172,$B12,FALSE)&lt;0,HLOOKUP(J$4,'Physical Effects-Numbers'!$B$1:$AU$172,$B12,FALSE),""))</f>
        <v/>
      </c>
      <c r="K12" s="488" t="str">
        <f>IF(K$4="","",IF(HLOOKUP(K$4,'Physical Effects-Numbers'!$B$1:$AU$172,$B12,FALSE)&lt;0,HLOOKUP(K$4,'Physical Effects-Numbers'!$B$1:$AU$172,$B12,FALSE),""))</f>
        <v/>
      </c>
      <c r="L12" s="488" t="str">
        <f>IF(L$4="","",IF(HLOOKUP(L$4,'Physical Effects-Numbers'!$B$1:$AU$172,$B12,FALSE)&lt;0,HLOOKUP(L$4,'Physical Effects-Numbers'!$B$1:$AU$172,$B12,FALSE),""))</f>
        <v/>
      </c>
      <c r="M12" s="488" t="str">
        <f>IF(M$4="","",IF(HLOOKUP(M$4,'Physical Effects-Numbers'!$B$1:$AU$172,$B12,FALSE)&lt;0,HLOOKUP(M$4,'Physical Effects-Numbers'!$B$1:$AU$172,$B12,FALSE),""))</f>
        <v/>
      </c>
      <c r="N12" s="488" t="str">
        <f>IF(N$4="","",IF(HLOOKUP(N$4,'Physical Effects-Numbers'!$B$1:$AU$172,$B12,FALSE)&lt;0,HLOOKUP(N$4,'Physical Effects-Numbers'!$B$1:$AU$172,$B12,FALSE),""))</f>
        <v/>
      </c>
      <c r="O12" s="488" t="str">
        <f>IF(O$4="","",IF(HLOOKUP(O$4,'Physical Effects-Numbers'!$B$1:$AU$172,$B12,FALSE)&lt;0,HLOOKUP(O$4,'Physical Effects-Numbers'!$B$1:$AU$172,$B12,FALSE),""))</f>
        <v/>
      </c>
      <c r="P12" s="488" t="str">
        <f>IF(P$4="","",IF(HLOOKUP(P$4,'Physical Effects-Numbers'!$B$1:$AU$172,$B12,FALSE)&lt;0,HLOOKUP(P$4,'Physical Effects-Numbers'!$B$1:$AU$172,$B12,FALSE),""))</f>
        <v/>
      </c>
      <c r="Q12" s="488" t="str">
        <f>IF(Q$4="","",IF(HLOOKUP(Q$4,'Physical Effects-Numbers'!$B$1:$AU$172,$B12,FALSE)&lt;0,HLOOKUP(Q$4,'Physical Effects-Numbers'!$B$1:$AU$172,$B12,FALSE),""))</f>
        <v/>
      </c>
      <c r="R12" s="488" t="str">
        <f>IF(R$4="","",IF(HLOOKUP(R$4,'Physical Effects-Numbers'!$B$1:$AU$172,$B12,FALSE)&lt;0,HLOOKUP(R$4,'Physical Effects-Numbers'!$B$1:$AU$172,$B12,FALSE),""))</f>
        <v/>
      </c>
      <c r="S12" s="488" t="str">
        <f>IF(S$4="","",IF(HLOOKUP(S$4,'Physical Effects-Numbers'!$B$1:$AU$172,$B12,FALSE)&lt;0,HLOOKUP(S$4,'Physical Effects-Numbers'!$B$1:$AU$172,$B12,FALSE),""))</f>
        <v/>
      </c>
      <c r="T12" s="488" t="str">
        <f>IF(T$4="","",IF(HLOOKUP(T$4,'Physical Effects-Numbers'!$B$1:$AU$172,$B12,FALSE)&lt;0,HLOOKUP(T$4,'Physical Effects-Numbers'!$B$1:$AU$172,$B12,FALSE),""))</f>
        <v/>
      </c>
      <c r="U12" s="488" t="str">
        <f>IF(U$4="","",IF(HLOOKUP(U$4,'Physical Effects-Numbers'!$B$1:$AU$172,$B12,FALSE)&lt;0,HLOOKUP(U$4,'Physical Effects-Numbers'!$B$1:$AU$172,$B12,FALSE),""))</f>
        <v/>
      </c>
      <c r="V12" s="488" t="str">
        <f>IF(V$4="","",IF(HLOOKUP(V$4,'Physical Effects-Numbers'!$B$1:$AU$172,$B12,FALSE)&lt;0,HLOOKUP(V$4,'Physical Effects-Numbers'!$B$1:$AU$172,$B12,FALSE),""))</f>
        <v/>
      </c>
      <c r="W12" s="488" t="str">
        <f>IF(W$4="","",IF(HLOOKUP(W$4,'Physical Effects-Numbers'!$B$1:$AU$172,$B12,FALSE)&lt;0,HLOOKUP(W$4,'Physical Effects-Numbers'!$B$1:$AU$172,$B12,FALSE),""))</f>
        <v/>
      </c>
      <c r="X12" s="488" t="str">
        <f>IF(X$4="","",IF(HLOOKUP(X$4,'Physical Effects-Numbers'!$B$1:$AU$172,$B12,FALSE)&lt;0,HLOOKUP(X$4,'Physical Effects-Numbers'!$B$1:$AU$172,$B12,FALSE),""))</f>
        <v/>
      </c>
      <c r="Y12" s="488" t="str">
        <f>IF(Y$4="","",IF(HLOOKUP(Y$4,'Physical Effects-Numbers'!$B$1:$AU$172,$B12,FALSE)&lt;0,HLOOKUP(Y$4,'Physical Effects-Numbers'!$B$1:$AU$172,$B12,FALSE),""))</f>
        <v/>
      </c>
      <c r="Z12" s="488" t="str">
        <f>IF(Z$4="","",IF(HLOOKUP(Z$4,'Physical Effects-Numbers'!$B$1:$AU$172,$B12,FALSE)&lt;0,HLOOKUP(Z$4,'Physical Effects-Numbers'!$B$1:$AU$172,$B12,FALSE),""))</f>
        <v/>
      </c>
      <c r="AA12" s="488" t="str">
        <f>IF(AA$4="","",IF(HLOOKUP(AA$4,'Physical Effects-Numbers'!$B$1:$AU$172,$B12,FALSE)&lt;0,HLOOKUP(AA$4,'Physical Effects-Numbers'!$B$1:$AU$172,$B12,FALSE),""))</f>
        <v/>
      </c>
      <c r="AB12" s="488" t="str">
        <f>IF(AB$4="","",IF(HLOOKUP(AB$4,'Physical Effects-Numbers'!$B$1:$AU$172,$B12,FALSE)&lt;0,HLOOKUP(AB$4,'Physical Effects-Numbers'!$B$1:$AU$172,$B12,FALSE),""))</f>
        <v/>
      </c>
      <c r="AC12" s="488" t="str">
        <f>IF(AC$4="","",IF(HLOOKUP(AC$4,'Physical Effects-Numbers'!$B$1:$AU$172,$B12,FALSE)&lt;0,HLOOKUP(AC$4,'Physical Effects-Numbers'!$B$1:$AU$172,$B12,FALSE),""))</f>
        <v/>
      </c>
      <c r="AD12" s="488" t="str">
        <f>IF(AD$4="","",IF(HLOOKUP(AD$4,'Physical Effects-Numbers'!$B$1:$AU$172,$B12,FALSE)&lt;0,HLOOKUP(AD$4,'Physical Effects-Numbers'!$B$1:$AU$172,$B12,FALSE),""))</f>
        <v/>
      </c>
      <c r="AE12" s="488" t="str">
        <f>IF(AE$4="","",IF(HLOOKUP(AE$4,'Physical Effects-Numbers'!$B$1:$AU$172,$B12,FALSE)&lt;0,HLOOKUP(AE$4,'Physical Effects-Numbers'!$B$1:$AU$172,$B12,FALSE),""))</f>
        <v/>
      </c>
      <c r="AF12" s="488" t="str">
        <f>IF(AF$4="","",IF(HLOOKUP(AF$4,'Physical Effects-Numbers'!$B$1:$AU$172,$B12,FALSE)&lt;0,HLOOKUP(AF$4,'Physical Effects-Numbers'!$B$1:$AU$172,$B12,FALSE),""))</f>
        <v/>
      </c>
      <c r="AG12" s="488" t="str">
        <f>IF(AG$4="","",IF(HLOOKUP(AG$4,'Physical Effects-Numbers'!$B$1:$AU$172,$B12,FALSE)&lt;0,HLOOKUP(AG$4,'Physical Effects-Numbers'!$B$1:$AU$172,$B12,FALSE),""))</f>
        <v/>
      </c>
      <c r="AH12" s="488" t="str">
        <f>IF(AH$4="","",IF(HLOOKUP(AH$4,'Physical Effects-Numbers'!$B$1:$AU$172,$B12,FALSE)&lt;0,HLOOKUP(AH$4,'Physical Effects-Numbers'!$B$1:$AU$172,$B12,FALSE),""))</f>
        <v/>
      </c>
      <c r="AI12" s="488" t="str">
        <f>IF(AI$4="","",IF(HLOOKUP(AI$4,'Physical Effects-Numbers'!$B$1:$AU$172,$B12,FALSE)&lt;0,HLOOKUP(AI$4,'Physical Effects-Numbers'!$B$1:$AU$172,$B12,FALSE),""))</f>
        <v/>
      </c>
      <c r="AJ12" s="488" t="str">
        <f>IF(AJ$4="","",IF(HLOOKUP(AJ$4,'Physical Effects-Numbers'!$B$1:$AU$172,$B12,FALSE)&lt;0,HLOOKUP(AJ$4,'Physical Effects-Numbers'!$B$1:$AU$172,$B12,FALSE),""))</f>
        <v/>
      </c>
      <c r="AK12" s="488" t="str">
        <f>IF(AK$4="","",IF(HLOOKUP(AK$4,'Physical Effects-Numbers'!$B$1:$AU$172,$B12,FALSE)&lt;0,HLOOKUP(AK$4,'Physical Effects-Numbers'!$B$1:$AU$172,$B12,FALSE),""))</f>
        <v/>
      </c>
      <c r="AL12" s="488" t="str">
        <f>IF(AL$4="","",IF(HLOOKUP(AL$4,'Physical Effects-Numbers'!$B$1:$AU$172,$B12,FALSE)&lt;0,HLOOKUP(AL$4,'Physical Effects-Numbers'!$B$1:$AU$172,$B12,FALSE),""))</f>
        <v/>
      </c>
      <c r="AM12" s="488" t="str">
        <f>IF(AM$4="","",IF(HLOOKUP(AM$4,'Physical Effects-Numbers'!$B$1:$AU$172,$B12,FALSE)&lt;0,HLOOKUP(AM$4,'Physical Effects-Numbers'!$B$1:$AU$172,$B12,FALSE),""))</f>
        <v/>
      </c>
      <c r="AN12" s="488" t="str">
        <f>IF(AN$4="","",IF(HLOOKUP(AN$4,'Physical Effects-Numbers'!$B$1:$AU$172,$B12,FALSE)&lt;0,HLOOKUP(AN$4,'Physical Effects-Numbers'!$B$1:$AU$172,$B12,FALSE),""))</f>
        <v/>
      </c>
      <c r="AO12" s="488" t="str">
        <f>IF(AO$4="","",IF(HLOOKUP(AO$4,'Physical Effects-Numbers'!$B$1:$AU$172,$B12,FALSE)&lt;0,HLOOKUP(AO$4,'Physical Effects-Numbers'!$B$1:$AU$172,$B12,FALSE),""))</f>
        <v/>
      </c>
      <c r="AP12" s="488" t="str">
        <f>IF(AP$4="","",IF(HLOOKUP(AP$4,'Physical Effects-Numbers'!$B$1:$AU$172,$B12,FALSE)&lt;0,HLOOKUP(AP$4,'Physical Effects-Numbers'!$B$1:$AU$172,$B12,FALSE),""))</f>
        <v/>
      </c>
      <c r="AQ12" s="488" t="str">
        <f>IF(AQ$4="","",IF(HLOOKUP(AQ$4,'Physical Effects-Numbers'!$B$1:$AU$172,$B12,FALSE)&lt;0,HLOOKUP(AQ$4,'Physical Effects-Numbers'!$B$1:$AU$172,$B12,FALSE),""))</f>
        <v/>
      </c>
      <c r="AR12" s="488" t="str">
        <f>IF(AR$4="","",IF(HLOOKUP(AR$4,'Physical Effects-Numbers'!$B$1:$AU$172,$B12,FALSE)&lt;0,HLOOKUP(AR$4,'Physical Effects-Numbers'!$B$1:$AU$172,$B12,FALSE),""))</f>
        <v/>
      </c>
      <c r="AS12" s="488" t="str">
        <f>IF(AS$4="","",IF(HLOOKUP(AS$4,'Physical Effects-Numbers'!$B$1:$AU$172,$B12,FALSE)&lt;0,HLOOKUP(AS$4,'Physical Effects-Numbers'!$B$1:$AU$172,$B12,FALSE),""))</f>
        <v/>
      </c>
      <c r="AT12" s="488" t="str">
        <f>IF(AT$4="","",IF(HLOOKUP(AT$4,'Physical Effects-Numbers'!$B$1:$AU$172,$B12,FALSE)&lt;0,HLOOKUP(AT$4,'Physical Effects-Numbers'!$B$1:$AU$172,$B12,FALSE),""))</f>
        <v/>
      </c>
      <c r="AU12" s="488" t="str">
        <f>IF(AU$4="","",IF(HLOOKUP(AU$4,'Physical Effects-Numbers'!$B$1:$AU$172,$B12,FALSE)&lt;0,HLOOKUP(AU$4,'Physical Effects-Numbers'!$B$1:$AU$172,$B12,FALSE),""))</f>
        <v/>
      </c>
      <c r="AV12" s="488" t="str">
        <f>IF(AV$4="","",IF(HLOOKUP(AV$4,'Physical Effects-Numbers'!$B$1:$AU$167,$B12,FALSE)&lt;0,HLOOKUP(AV$4,'Physical Effects-Numbers'!$B$1:$AU$167,$B12,FALSE),""))</f>
        <v/>
      </c>
    </row>
    <row r="13" spans="2:49" x14ac:dyDescent="0.2">
      <c r="B13" s="487">
        <f t="shared" si="0"/>
        <v>10</v>
      </c>
      <c r="C13" s="486" t="str">
        <f>+'Physical Effects-Numbers'!B10</f>
        <v>Animal Mortality Facility</v>
      </c>
      <c r="D13" s="488" t="str">
        <f>IF(D$4="","",IF(HLOOKUP(D$4,'Physical Effects-Numbers'!$B$1:$AU$172,$B13,FALSE)&lt;0,HLOOKUP(D$4,'Physical Effects-Numbers'!$B$1:$AU$172,$B13,FALSE),""))</f>
        <v/>
      </c>
      <c r="E13" s="488" t="str">
        <f>IF(E$4="","",IF(HLOOKUP(E$4,'Physical Effects-Numbers'!$B$1:$AU$172,$B13,FALSE)&lt;0,HLOOKUP(E$4,'Physical Effects-Numbers'!$B$1:$AU$172,$B13,FALSE),""))</f>
        <v/>
      </c>
      <c r="F13" s="488" t="str">
        <f>IF(F$4="","",IF(HLOOKUP(F$4,'Physical Effects-Numbers'!$B$1:$AU$172,$B13,FALSE)&lt;0,HLOOKUP(F$4,'Physical Effects-Numbers'!$B$1:$AU$172,$B13,FALSE),""))</f>
        <v/>
      </c>
      <c r="G13" s="488" t="str">
        <f>IF(G$4="","",IF(HLOOKUP(G$4,'Physical Effects-Numbers'!$B$1:$AU$172,$B13,FALSE)&lt;0,HLOOKUP(G$4,'Physical Effects-Numbers'!$B$1:$AU$172,$B13,FALSE),""))</f>
        <v/>
      </c>
      <c r="H13" s="488" t="str">
        <f>IF(H$4="","",IF(HLOOKUP(H$4,'Physical Effects-Numbers'!$B$1:$AU$172,$B13,FALSE)&lt;0,HLOOKUP(H$4,'Physical Effects-Numbers'!$B$1:$AU$172,$B13,FALSE),""))</f>
        <v/>
      </c>
      <c r="I13" s="488" t="str">
        <f>IF(I$4="","",IF(HLOOKUP(I$4,'Physical Effects-Numbers'!$B$1:$AU$172,$B13,FALSE)&lt;0,HLOOKUP(I$4,'Physical Effects-Numbers'!$B$1:$AU$172,$B13,FALSE),""))</f>
        <v/>
      </c>
      <c r="J13" s="488" t="str">
        <f>IF(J$4="","",IF(HLOOKUP(J$4,'Physical Effects-Numbers'!$B$1:$AU$172,$B13,FALSE)&lt;0,HLOOKUP(J$4,'Physical Effects-Numbers'!$B$1:$AU$172,$B13,FALSE),""))</f>
        <v/>
      </c>
      <c r="K13" s="488" t="str">
        <f>IF(K$4="","",IF(HLOOKUP(K$4,'Physical Effects-Numbers'!$B$1:$AU$172,$B13,FALSE)&lt;0,HLOOKUP(K$4,'Physical Effects-Numbers'!$B$1:$AU$172,$B13,FALSE),""))</f>
        <v/>
      </c>
      <c r="L13" s="488" t="str">
        <f>IF(L$4="","",IF(HLOOKUP(L$4,'Physical Effects-Numbers'!$B$1:$AU$172,$B13,FALSE)&lt;0,HLOOKUP(L$4,'Physical Effects-Numbers'!$B$1:$AU$172,$B13,FALSE),""))</f>
        <v/>
      </c>
      <c r="M13" s="488" t="str">
        <f>IF(M$4="","",IF(HLOOKUP(M$4,'Physical Effects-Numbers'!$B$1:$AU$172,$B13,FALSE)&lt;0,HLOOKUP(M$4,'Physical Effects-Numbers'!$B$1:$AU$172,$B13,FALSE),""))</f>
        <v/>
      </c>
      <c r="N13" s="488" t="str">
        <f>IF(N$4="","",IF(HLOOKUP(N$4,'Physical Effects-Numbers'!$B$1:$AU$172,$B13,FALSE)&lt;0,HLOOKUP(N$4,'Physical Effects-Numbers'!$B$1:$AU$172,$B13,FALSE),""))</f>
        <v/>
      </c>
      <c r="O13" s="488" t="str">
        <f>IF(O$4="","",IF(HLOOKUP(O$4,'Physical Effects-Numbers'!$B$1:$AU$172,$B13,FALSE)&lt;0,HLOOKUP(O$4,'Physical Effects-Numbers'!$B$1:$AU$172,$B13,FALSE),""))</f>
        <v/>
      </c>
      <c r="P13" s="488" t="str">
        <f>IF(P$4="","",IF(HLOOKUP(P$4,'Physical Effects-Numbers'!$B$1:$AU$172,$B13,FALSE)&lt;0,HLOOKUP(P$4,'Physical Effects-Numbers'!$B$1:$AU$172,$B13,FALSE),""))</f>
        <v/>
      </c>
      <c r="Q13" s="488" t="str">
        <f>IF(Q$4="","",IF(HLOOKUP(Q$4,'Physical Effects-Numbers'!$B$1:$AU$172,$B13,FALSE)&lt;0,HLOOKUP(Q$4,'Physical Effects-Numbers'!$B$1:$AU$172,$B13,FALSE),""))</f>
        <v/>
      </c>
      <c r="R13" s="488" t="str">
        <f>IF(R$4="","",IF(HLOOKUP(R$4,'Physical Effects-Numbers'!$B$1:$AU$172,$B13,FALSE)&lt;0,HLOOKUP(R$4,'Physical Effects-Numbers'!$B$1:$AU$172,$B13,FALSE),""))</f>
        <v/>
      </c>
      <c r="S13" s="488" t="str">
        <f>IF(S$4="","",IF(HLOOKUP(S$4,'Physical Effects-Numbers'!$B$1:$AU$172,$B13,FALSE)&lt;0,HLOOKUP(S$4,'Physical Effects-Numbers'!$B$1:$AU$172,$B13,FALSE),""))</f>
        <v/>
      </c>
      <c r="T13" s="488" t="str">
        <f>IF(T$4="","",IF(HLOOKUP(T$4,'Physical Effects-Numbers'!$B$1:$AU$172,$B13,FALSE)&lt;0,HLOOKUP(T$4,'Physical Effects-Numbers'!$B$1:$AU$172,$B13,FALSE),""))</f>
        <v/>
      </c>
      <c r="U13" s="488" t="str">
        <f>IF(U$4="","",IF(HLOOKUP(U$4,'Physical Effects-Numbers'!$B$1:$AU$172,$B13,FALSE)&lt;0,HLOOKUP(U$4,'Physical Effects-Numbers'!$B$1:$AU$172,$B13,FALSE),""))</f>
        <v/>
      </c>
      <c r="V13" s="488" t="str">
        <f>IF(V$4="","",IF(HLOOKUP(V$4,'Physical Effects-Numbers'!$B$1:$AU$172,$B13,FALSE)&lt;0,HLOOKUP(V$4,'Physical Effects-Numbers'!$B$1:$AU$172,$B13,FALSE),""))</f>
        <v/>
      </c>
      <c r="W13" s="488" t="str">
        <f>IF(W$4="","",IF(HLOOKUP(W$4,'Physical Effects-Numbers'!$B$1:$AU$172,$B13,FALSE)&lt;0,HLOOKUP(W$4,'Physical Effects-Numbers'!$B$1:$AU$172,$B13,FALSE),""))</f>
        <v/>
      </c>
      <c r="X13" s="488" t="str">
        <f>IF(X$4="","",IF(HLOOKUP(X$4,'Physical Effects-Numbers'!$B$1:$AU$172,$B13,FALSE)&lt;0,HLOOKUP(X$4,'Physical Effects-Numbers'!$B$1:$AU$172,$B13,FALSE),""))</f>
        <v/>
      </c>
      <c r="Y13" s="488" t="str">
        <f>IF(Y$4="","",IF(HLOOKUP(Y$4,'Physical Effects-Numbers'!$B$1:$AU$172,$B13,FALSE)&lt;0,HLOOKUP(Y$4,'Physical Effects-Numbers'!$B$1:$AU$172,$B13,FALSE),""))</f>
        <v/>
      </c>
      <c r="Z13" s="488" t="str">
        <f>IF(Z$4="","",IF(HLOOKUP(Z$4,'Physical Effects-Numbers'!$B$1:$AU$172,$B13,FALSE)&lt;0,HLOOKUP(Z$4,'Physical Effects-Numbers'!$B$1:$AU$172,$B13,FALSE),""))</f>
        <v/>
      </c>
      <c r="AA13" s="488" t="str">
        <f>IF(AA$4="","",IF(HLOOKUP(AA$4,'Physical Effects-Numbers'!$B$1:$AU$172,$B13,FALSE)&lt;0,HLOOKUP(AA$4,'Physical Effects-Numbers'!$B$1:$AU$172,$B13,FALSE),""))</f>
        <v/>
      </c>
      <c r="AB13" s="488" t="str">
        <f>IF(AB$4="","",IF(HLOOKUP(AB$4,'Physical Effects-Numbers'!$B$1:$AU$172,$B13,FALSE)&lt;0,HLOOKUP(AB$4,'Physical Effects-Numbers'!$B$1:$AU$172,$B13,FALSE),""))</f>
        <v/>
      </c>
      <c r="AC13" s="488" t="str">
        <f>IF(AC$4="","",IF(HLOOKUP(AC$4,'Physical Effects-Numbers'!$B$1:$AU$172,$B13,FALSE)&lt;0,HLOOKUP(AC$4,'Physical Effects-Numbers'!$B$1:$AU$172,$B13,FALSE),""))</f>
        <v/>
      </c>
      <c r="AD13" s="488" t="str">
        <f>IF(AD$4="","",IF(HLOOKUP(AD$4,'Physical Effects-Numbers'!$B$1:$AU$172,$B13,FALSE)&lt;0,HLOOKUP(AD$4,'Physical Effects-Numbers'!$B$1:$AU$172,$B13,FALSE),""))</f>
        <v/>
      </c>
      <c r="AE13" s="488" t="str">
        <f>IF(AE$4="","",IF(HLOOKUP(AE$4,'Physical Effects-Numbers'!$B$1:$AU$172,$B13,FALSE)&lt;0,HLOOKUP(AE$4,'Physical Effects-Numbers'!$B$1:$AU$172,$B13,FALSE),""))</f>
        <v/>
      </c>
      <c r="AF13" s="488">
        <f>IF(AF$4="","",IF(HLOOKUP(AF$4,'Physical Effects-Numbers'!$B$1:$AU$172,$B13,FALSE)&lt;0,HLOOKUP(AF$4,'Physical Effects-Numbers'!$B$1:$AU$172,$B13,FALSE),""))</f>
        <v>-1</v>
      </c>
      <c r="AG13" s="488" t="str">
        <f>IF(AG$4="","",IF(HLOOKUP(AG$4,'Physical Effects-Numbers'!$B$1:$AU$172,$B13,FALSE)&lt;0,HLOOKUP(AG$4,'Physical Effects-Numbers'!$B$1:$AU$172,$B13,FALSE),""))</f>
        <v/>
      </c>
      <c r="AH13" s="488" t="str">
        <f>IF(AH$4="","",IF(HLOOKUP(AH$4,'Physical Effects-Numbers'!$B$1:$AU$172,$B13,FALSE)&lt;0,HLOOKUP(AH$4,'Physical Effects-Numbers'!$B$1:$AU$172,$B13,FALSE),""))</f>
        <v/>
      </c>
      <c r="AI13" s="488" t="str">
        <f>IF(AI$4="","",IF(HLOOKUP(AI$4,'Physical Effects-Numbers'!$B$1:$AU$172,$B13,FALSE)&lt;0,HLOOKUP(AI$4,'Physical Effects-Numbers'!$B$1:$AU$172,$B13,FALSE),""))</f>
        <v/>
      </c>
      <c r="AJ13" s="488" t="str">
        <f>IF(AJ$4="","",IF(HLOOKUP(AJ$4,'Physical Effects-Numbers'!$B$1:$AU$172,$B13,FALSE)&lt;0,HLOOKUP(AJ$4,'Physical Effects-Numbers'!$B$1:$AU$172,$B13,FALSE),""))</f>
        <v/>
      </c>
      <c r="AK13" s="488" t="str">
        <f>IF(AK$4="","",IF(HLOOKUP(AK$4,'Physical Effects-Numbers'!$B$1:$AU$172,$B13,FALSE)&lt;0,HLOOKUP(AK$4,'Physical Effects-Numbers'!$B$1:$AU$172,$B13,FALSE),""))</f>
        <v/>
      </c>
      <c r="AL13" s="488" t="str">
        <f>IF(AL$4="","",IF(HLOOKUP(AL$4,'Physical Effects-Numbers'!$B$1:$AU$172,$B13,FALSE)&lt;0,HLOOKUP(AL$4,'Physical Effects-Numbers'!$B$1:$AU$172,$B13,FALSE),""))</f>
        <v/>
      </c>
      <c r="AM13" s="488" t="str">
        <f>IF(AM$4="","",IF(HLOOKUP(AM$4,'Physical Effects-Numbers'!$B$1:$AU$172,$B13,FALSE)&lt;0,HLOOKUP(AM$4,'Physical Effects-Numbers'!$B$1:$AU$172,$B13,FALSE),""))</f>
        <v/>
      </c>
      <c r="AN13" s="488" t="str">
        <f>IF(AN$4="","",IF(HLOOKUP(AN$4,'Physical Effects-Numbers'!$B$1:$AU$172,$B13,FALSE)&lt;0,HLOOKUP(AN$4,'Physical Effects-Numbers'!$B$1:$AU$172,$B13,FALSE),""))</f>
        <v/>
      </c>
      <c r="AO13" s="488" t="str">
        <f>IF(AO$4="","",IF(HLOOKUP(AO$4,'Physical Effects-Numbers'!$B$1:$AU$172,$B13,FALSE)&lt;0,HLOOKUP(AO$4,'Physical Effects-Numbers'!$B$1:$AU$172,$B13,FALSE),""))</f>
        <v/>
      </c>
      <c r="AP13" s="488" t="str">
        <f>IF(AP$4="","",IF(HLOOKUP(AP$4,'Physical Effects-Numbers'!$B$1:$AU$172,$B13,FALSE)&lt;0,HLOOKUP(AP$4,'Physical Effects-Numbers'!$B$1:$AU$172,$B13,FALSE),""))</f>
        <v/>
      </c>
      <c r="AQ13" s="488" t="str">
        <f>IF(AQ$4="","",IF(HLOOKUP(AQ$4,'Physical Effects-Numbers'!$B$1:$AU$172,$B13,FALSE)&lt;0,HLOOKUP(AQ$4,'Physical Effects-Numbers'!$B$1:$AU$172,$B13,FALSE),""))</f>
        <v/>
      </c>
      <c r="AR13" s="488" t="str">
        <f>IF(AR$4="","",IF(HLOOKUP(AR$4,'Physical Effects-Numbers'!$B$1:$AU$172,$B13,FALSE)&lt;0,HLOOKUP(AR$4,'Physical Effects-Numbers'!$B$1:$AU$172,$B13,FALSE),""))</f>
        <v/>
      </c>
      <c r="AS13" s="488" t="str">
        <f>IF(AS$4="","",IF(HLOOKUP(AS$4,'Physical Effects-Numbers'!$B$1:$AU$172,$B13,FALSE)&lt;0,HLOOKUP(AS$4,'Physical Effects-Numbers'!$B$1:$AU$172,$B13,FALSE),""))</f>
        <v/>
      </c>
      <c r="AT13" s="488" t="str">
        <f>IF(AT$4="","",IF(HLOOKUP(AT$4,'Physical Effects-Numbers'!$B$1:$AU$172,$B13,FALSE)&lt;0,HLOOKUP(AT$4,'Physical Effects-Numbers'!$B$1:$AU$172,$B13,FALSE),""))</f>
        <v/>
      </c>
      <c r="AU13" s="488" t="str">
        <f>IF(AU$4="","",IF(HLOOKUP(AU$4,'Physical Effects-Numbers'!$B$1:$AU$172,$B13,FALSE)&lt;0,HLOOKUP(AU$4,'Physical Effects-Numbers'!$B$1:$AU$172,$B13,FALSE),""))</f>
        <v/>
      </c>
      <c r="AV13" s="488" t="str">
        <f>IF(AV$4="","",IF(HLOOKUP(AV$4,'Physical Effects-Numbers'!$B$1:$AU$167,$B13,FALSE)&lt;0,HLOOKUP(AV$4,'Physical Effects-Numbers'!$B$1:$AU$167,$B13,FALSE),""))</f>
        <v/>
      </c>
    </row>
    <row r="14" spans="2:49" x14ac:dyDescent="0.2">
      <c r="B14" s="487">
        <f t="shared" si="0"/>
        <v>11</v>
      </c>
      <c r="C14" s="486" t="str">
        <f>+'Physical Effects-Numbers'!B11</f>
        <v>Anionic Polyacrylamide (PAM) Erosion Control</v>
      </c>
      <c r="D14" s="488" t="str">
        <f>IF(D$4="","",IF(HLOOKUP(D$4,'Physical Effects-Numbers'!$B$1:$AU$172,$B14,FALSE)&lt;0,HLOOKUP(D$4,'Physical Effects-Numbers'!$B$1:$AU$172,$B14,FALSE),""))</f>
        <v/>
      </c>
      <c r="E14" s="488" t="str">
        <f>IF(E$4="","",IF(HLOOKUP(E$4,'Physical Effects-Numbers'!$B$1:$AU$172,$B14,FALSE)&lt;0,HLOOKUP(E$4,'Physical Effects-Numbers'!$B$1:$AU$172,$B14,FALSE),""))</f>
        <v/>
      </c>
      <c r="F14" s="488" t="str">
        <f>IF(F$4="","",IF(HLOOKUP(F$4,'Physical Effects-Numbers'!$B$1:$AU$172,$B14,FALSE)&lt;0,HLOOKUP(F$4,'Physical Effects-Numbers'!$B$1:$AU$172,$B14,FALSE),""))</f>
        <v/>
      </c>
      <c r="G14" s="488" t="str">
        <f>IF(G$4="","",IF(HLOOKUP(G$4,'Physical Effects-Numbers'!$B$1:$AU$172,$B14,FALSE)&lt;0,HLOOKUP(G$4,'Physical Effects-Numbers'!$B$1:$AU$172,$B14,FALSE),""))</f>
        <v/>
      </c>
      <c r="H14" s="488" t="str">
        <f>IF(H$4="","",IF(HLOOKUP(H$4,'Physical Effects-Numbers'!$B$1:$AU$172,$B14,FALSE)&lt;0,HLOOKUP(H$4,'Physical Effects-Numbers'!$B$1:$AU$172,$B14,FALSE),""))</f>
        <v/>
      </c>
      <c r="I14" s="488" t="str">
        <f>IF(I$4="","",IF(HLOOKUP(I$4,'Physical Effects-Numbers'!$B$1:$AU$172,$B14,FALSE)&lt;0,HLOOKUP(I$4,'Physical Effects-Numbers'!$B$1:$AU$172,$B14,FALSE),""))</f>
        <v/>
      </c>
      <c r="J14" s="488" t="str">
        <f>IF(J$4="","",IF(HLOOKUP(J$4,'Physical Effects-Numbers'!$B$1:$AU$172,$B14,FALSE)&lt;0,HLOOKUP(J$4,'Physical Effects-Numbers'!$B$1:$AU$172,$B14,FALSE),""))</f>
        <v/>
      </c>
      <c r="K14" s="488" t="str">
        <f>IF(K$4="","",IF(HLOOKUP(K$4,'Physical Effects-Numbers'!$B$1:$AU$172,$B14,FALSE)&lt;0,HLOOKUP(K$4,'Physical Effects-Numbers'!$B$1:$AU$172,$B14,FALSE),""))</f>
        <v/>
      </c>
      <c r="L14" s="488" t="str">
        <f>IF(L$4="","",IF(HLOOKUP(L$4,'Physical Effects-Numbers'!$B$1:$AU$172,$B14,FALSE)&lt;0,HLOOKUP(L$4,'Physical Effects-Numbers'!$B$1:$AU$172,$B14,FALSE),""))</f>
        <v/>
      </c>
      <c r="M14" s="488" t="str">
        <f>IF(M$4="","",IF(HLOOKUP(M$4,'Physical Effects-Numbers'!$B$1:$AU$172,$B14,FALSE)&lt;0,HLOOKUP(M$4,'Physical Effects-Numbers'!$B$1:$AU$172,$B14,FALSE),""))</f>
        <v/>
      </c>
      <c r="N14" s="488" t="str">
        <f>IF(N$4="","",IF(HLOOKUP(N$4,'Physical Effects-Numbers'!$B$1:$AU$172,$B14,FALSE)&lt;0,HLOOKUP(N$4,'Physical Effects-Numbers'!$B$1:$AU$172,$B14,FALSE),""))</f>
        <v/>
      </c>
      <c r="O14" s="488" t="str">
        <f>IF(O$4="","",IF(HLOOKUP(O$4,'Physical Effects-Numbers'!$B$1:$AU$172,$B14,FALSE)&lt;0,HLOOKUP(O$4,'Physical Effects-Numbers'!$B$1:$AU$172,$B14,FALSE),""))</f>
        <v/>
      </c>
      <c r="P14" s="488" t="str">
        <f>IF(P$4="","",IF(HLOOKUP(P$4,'Physical Effects-Numbers'!$B$1:$AU$172,$B14,FALSE)&lt;0,HLOOKUP(P$4,'Physical Effects-Numbers'!$B$1:$AU$172,$B14,FALSE),""))</f>
        <v/>
      </c>
      <c r="Q14" s="488" t="str">
        <f>IF(Q$4="","",IF(HLOOKUP(Q$4,'Physical Effects-Numbers'!$B$1:$AU$172,$B14,FALSE)&lt;0,HLOOKUP(Q$4,'Physical Effects-Numbers'!$B$1:$AU$172,$B14,FALSE),""))</f>
        <v/>
      </c>
      <c r="R14" s="488" t="str">
        <f>IF(R$4="","",IF(HLOOKUP(R$4,'Physical Effects-Numbers'!$B$1:$AU$172,$B14,FALSE)&lt;0,HLOOKUP(R$4,'Physical Effects-Numbers'!$B$1:$AU$172,$B14,FALSE),""))</f>
        <v/>
      </c>
      <c r="S14" s="488" t="str">
        <f>IF(S$4="","",IF(HLOOKUP(S$4,'Physical Effects-Numbers'!$B$1:$AU$172,$B14,FALSE)&lt;0,HLOOKUP(S$4,'Physical Effects-Numbers'!$B$1:$AU$172,$B14,FALSE),""))</f>
        <v/>
      </c>
      <c r="T14" s="488">
        <f>IF(T$4="","",IF(HLOOKUP(T$4,'Physical Effects-Numbers'!$B$1:$AU$172,$B14,FALSE)&lt;0,HLOOKUP(T$4,'Physical Effects-Numbers'!$B$1:$AU$172,$B14,FALSE),""))</f>
        <v>-1</v>
      </c>
      <c r="U14" s="488" t="str">
        <f>IF(U$4="","",IF(HLOOKUP(U$4,'Physical Effects-Numbers'!$B$1:$AU$172,$B14,FALSE)&lt;0,HLOOKUP(U$4,'Physical Effects-Numbers'!$B$1:$AU$172,$B14,FALSE),""))</f>
        <v/>
      </c>
      <c r="V14" s="488">
        <f>IF(V$4="","",IF(HLOOKUP(V$4,'Physical Effects-Numbers'!$B$1:$AU$172,$B14,FALSE)&lt;0,HLOOKUP(V$4,'Physical Effects-Numbers'!$B$1:$AU$172,$B14,FALSE),""))</f>
        <v>-1</v>
      </c>
      <c r="W14" s="488" t="str">
        <f>IF(W$4="","",IF(HLOOKUP(W$4,'Physical Effects-Numbers'!$B$1:$AU$172,$B14,FALSE)&lt;0,HLOOKUP(W$4,'Physical Effects-Numbers'!$B$1:$AU$172,$B14,FALSE),""))</f>
        <v/>
      </c>
      <c r="X14" s="488" t="str">
        <f>IF(X$4="","",IF(HLOOKUP(X$4,'Physical Effects-Numbers'!$B$1:$AU$172,$B14,FALSE)&lt;0,HLOOKUP(X$4,'Physical Effects-Numbers'!$B$1:$AU$172,$B14,FALSE),""))</f>
        <v/>
      </c>
      <c r="Y14" s="488" t="str">
        <f>IF(Y$4="","",IF(HLOOKUP(Y$4,'Physical Effects-Numbers'!$B$1:$AU$172,$B14,FALSE)&lt;0,HLOOKUP(Y$4,'Physical Effects-Numbers'!$B$1:$AU$172,$B14,FALSE),""))</f>
        <v/>
      </c>
      <c r="Z14" s="488" t="str">
        <f>IF(Z$4="","",IF(HLOOKUP(Z$4,'Physical Effects-Numbers'!$B$1:$AU$172,$B14,FALSE)&lt;0,HLOOKUP(Z$4,'Physical Effects-Numbers'!$B$1:$AU$172,$B14,FALSE),""))</f>
        <v/>
      </c>
      <c r="AA14" s="488" t="str">
        <f>IF(AA$4="","",IF(HLOOKUP(AA$4,'Physical Effects-Numbers'!$B$1:$AU$172,$B14,FALSE)&lt;0,HLOOKUP(AA$4,'Physical Effects-Numbers'!$B$1:$AU$172,$B14,FALSE),""))</f>
        <v/>
      </c>
      <c r="AB14" s="488" t="str">
        <f>IF(AB$4="","",IF(HLOOKUP(AB$4,'Physical Effects-Numbers'!$B$1:$AU$172,$B14,FALSE)&lt;0,HLOOKUP(AB$4,'Physical Effects-Numbers'!$B$1:$AU$172,$B14,FALSE),""))</f>
        <v/>
      </c>
      <c r="AC14" s="488" t="str">
        <f>IF(AC$4="","",IF(HLOOKUP(AC$4,'Physical Effects-Numbers'!$B$1:$AU$172,$B14,FALSE)&lt;0,HLOOKUP(AC$4,'Physical Effects-Numbers'!$B$1:$AU$172,$B14,FALSE),""))</f>
        <v/>
      </c>
      <c r="AD14" s="488" t="str">
        <f>IF(AD$4="","",IF(HLOOKUP(AD$4,'Physical Effects-Numbers'!$B$1:$AU$172,$B14,FALSE)&lt;0,HLOOKUP(AD$4,'Physical Effects-Numbers'!$B$1:$AU$172,$B14,FALSE),""))</f>
        <v/>
      </c>
      <c r="AE14" s="488" t="str">
        <f>IF(AE$4="","",IF(HLOOKUP(AE$4,'Physical Effects-Numbers'!$B$1:$AU$172,$B14,FALSE)&lt;0,HLOOKUP(AE$4,'Physical Effects-Numbers'!$B$1:$AU$172,$B14,FALSE),""))</f>
        <v/>
      </c>
      <c r="AF14" s="488" t="str">
        <f>IF(AF$4="","",IF(HLOOKUP(AF$4,'Physical Effects-Numbers'!$B$1:$AU$172,$B14,FALSE)&lt;0,HLOOKUP(AF$4,'Physical Effects-Numbers'!$B$1:$AU$172,$B14,FALSE),""))</f>
        <v/>
      </c>
      <c r="AG14" s="488" t="str">
        <f>IF(AG$4="","",IF(HLOOKUP(AG$4,'Physical Effects-Numbers'!$B$1:$AU$172,$B14,FALSE)&lt;0,HLOOKUP(AG$4,'Physical Effects-Numbers'!$B$1:$AU$172,$B14,FALSE),""))</f>
        <v/>
      </c>
      <c r="AH14" s="488" t="str">
        <f>IF(AH$4="","",IF(HLOOKUP(AH$4,'Physical Effects-Numbers'!$B$1:$AU$172,$B14,FALSE)&lt;0,HLOOKUP(AH$4,'Physical Effects-Numbers'!$B$1:$AU$172,$B14,FALSE),""))</f>
        <v/>
      </c>
      <c r="AI14" s="488" t="str">
        <f>IF(AI$4="","",IF(HLOOKUP(AI$4,'Physical Effects-Numbers'!$B$1:$AU$172,$B14,FALSE)&lt;0,HLOOKUP(AI$4,'Physical Effects-Numbers'!$B$1:$AU$172,$B14,FALSE),""))</f>
        <v/>
      </c>
      <c r="AJ14" s="488" t="str">
        <f>IF(AJ$4="","",IF(HLOOKUP(AJ$4,'Physical Effects-Numbers'!$B$1:$AU$172,$B14,FALSE)&lt;0,HLOOKUP(AJ$4,'Physical Effects-Numbers'!$B$1:$AU$172,$B14,FALSE),""))</f>
        <v/>
      </c>
      <c r="AK14" s="488" t="str">
        <f>IF(AK$4="","",IF(HLOOKUP(AK$4,'Physical Effects-Numbers'!$B$1:$AU$172,$B14,FALSE)&lt;0,HLOOKUP(AK$4,'Physical Effects-Numbers'!$B$1:$AU$172,$B14,FALSE),""))</f>
        <v/>
      </c>
      <c r="AL14" s="488" t="str">
        <f>IF(AL$4="","",IF(HLOOKUP(AL$4,'Physical Effects-Numbers'!$B$1:$AU$172,$B14,FALSE)&lt;0,HLOOKUP(AL$4,'Physical Effects-Numbers'!$B$1:$AU$172,$B14,FALSE),""))</f>
        <v/>
      </c>
      <c r="AM14" s="488" t="str">
        <f>IF(AM$4="","",IF(HLOOKUP(AM$4,'Physical Effects-Numbers'!$B$1:$AU$172,$B14,FALSE)&lt;0,HLOOKUP(AM$4,'Physical Effects-Numbers'!$B$1:$AU$172,$B14,FALSE),""))</f>
        <v/>
      </c>
      <c r="AN14" s="488" t="str">
        <f>IF(AN$4="","",IF(HLOOKUP(AN$4,'Physical Effects-Numbers'!$B$1:$AU$172,$B14,FALSE)&lt;0,HLOOKUP(AN$4,'Physical Effects-Numbers'!$B$1:$AU$172,$B14,FALSE),""))</f>
        <v/>
      </c>
      <c r="AO14" s="488" t="str">
        <f>IF(AO$4="","",IF(HLOOKUP(AO$4,'Physical Effects-Numbers'!$B$1:$AU$172,$B14,FALSE)&lt;0,HLOOKUP(AO$4,'Physical Effects-Numbers'!$B$1:$AU$172,$B14,FALSE),""))</f>
        <v/>
      </c>
      <c r="AP14" s="488" t="str">
        <f>IF(AP$4="","",IF(HLOOKUP(AP$4,'Physical Effects-Numbers'!$B$1:$AU$172,$B14,FALSE)&lt;0,HLOOKUP(AP$4,'Physical Effects-Numbers'!$B$1:$AU$172,$B14,FALSE),""))</f>
        <v/>
      </c>
      <c r="AQ14" s="488" t="str">
        <f>IF(AQ$4="","",IF(HLOOKUP(AQ$4,'Physical Effects-Numbers'!$B$1:$AU$172,$B14,FALSE)&lt;0,HLOOKUP(AQ$4,'Physical Effects-Numbers'!$B$1:$AU$172,$B14,FALSE),""))</f>
        <v/>
      </c>
      <c r="AR14" s="488" t="str">
        <f>IF(AR$4="","",IF(HLOOKUP(AR$4,'Physical Effects-Numbers'!$B$1:$AU$172,$B14,FALSE)&lt;0,HLOOKUP(AR$4,'Physical Effects-Numbers'!$B$1:$AU$172,$B14,FALSE),""))</f>
        <v/>
      </c>
      <c r="AS14" s="488" t="str">
        <f>IF(AS$4="","",IF(HLOOKUP(AS$4,'Physical Effects-Numbers'!$B$1:$AU$172,$B14,FALSE)&lt;0,HLOOKUP(AS$4,'Physical Effects-Numbers'!$B$1:$AU$172,$B14,FALSE),""))</f>
        <v/>
      </c>
      <c r="AT14" s="488" t="str">
        <f>IF(AT$4="","",IF(HLOOKUP(AT$4,'Physical Effects-Numbers'!$B$1:$AU$172,$B14,FALSE)&lt;0,HLOOKUP(AT$4,'Physical Effects-Numbers'!$B$1:$AU$172,$B14,FALSE),""))</f>
        <v/>
      </c>
      <c r="AU14" s="488" t="str">
        <f>IF(AU$4="","",IF(HLOOKUP(AU$4,'Physical Effects-Numbers'!$B$1:$AU$172,$B14,FALSE)&lt;0,HLOOKUP(AU$4,'Physical Effects-Numbers'!$B$1:$AU$172,$B14,FALSE),""))</f>
        <v/>
      </c>
      <c r="AV14" s="488" t="str">
        <f>IF(AV$4="","",IF(HLOOKUP(AV$4,'Physical Effects-Numbers'!$B$1:$AU$167,$B14,FALSE)&lt;0,HLOOKUP(AV$4,'Physical Effects-Numbers'!$B$1:$AU$167,$B14,FALSE),""))</f>
        <v/>
      </c>
    </row>
    <row r="15" spans="2:49" x14ac:dyDescent="0.2">
      <c r="B15" s="487">
        <f t="shared" si="0"/>
        <v>12</v>
      </c>
      <c r="C15" s="486" t="str">
        <f>+'Physical Effects-Numbers'!B12</f>
        <v>Aquaculture Ponds</v>
      </c>
      <c r="D15" s="488" t="str">
        <f>IF(D$4="","",IF(HLOOKUP(D$4,'Physical Effects-Numbers'!$B$1:$AU$172,$B15,FALSE)&lt;0,HLOOKUP(D$4,'Physical Effects-Numbers'!$B$1:$AU$172,$B15,FALSE),""))</f>
        <v/>
      </c>
      <c r="E15" s="488" t="str">
        <f>IF(E$4="","",IF(HLOOKUP(E$4,'Physical Effects-Numbers'!$B$1:$AU$172,$B15,FALSE)&lt;0,HLOOKUP(E$4,'Physical Effects-Numbers'!$B$1:$AU$172,$B15,FALSE),""))</f>
        <v/>
      </c>
      <c r="F15" s="488" t="str">
        <f>IF(F$4="","",IF(HLOOKUP(F$4,'Physical Effects-Numbers'!$B$1:$AU$172,$B15,FALSE)&lt;0,HLOOKUP(F$4,'Physical Effects-Numbers'!$B$1:$AU$172,$B15,FALSE),""))</f>
        <v/>
      </c>
      <c r="G15" s="488" t="str">
        <f>IF(G$4="","",IF(HLOOKUP(G$4,'Physical Effects-Numbers'!$B$1:$AU$172,$B15,FALSE)&lt;0,HLOOKUP(G$4,'Physical Effects-Numbers'!$B$1:$AU$172,$B15,FALSE),""))</f>
        <v/>
      </c>
      <c r="H15" s="488" t="str">
        <f>IF(H$4="","",IF(HLOOKUP(H$4,'Physical Effects-Numbers'!$B$1:$AU$172,$B15,FALSE)&lt;0,HLOOKUP(H$4,'Physical Effects-Numbers'!$B$1:$AU$172,$B15,FALSE),""))</f>
        <v/>
      </c>
      <c r="I15" s="488" t="str">
        <f>IF(I$4="","",IF(HLOOKUP(I$4,'Physical Effects-Numbers'!$B$1:$AU$172,$B15,FALSE)&lt;0,HLOOKUP(I$4,'Physical Effects-Numbers'!$B$1:$AU$172,$B15,FALSE),""))</f>
        <v/>
      </c>
      <c r="J15" s="488" t="str">
        <f>IF(J$4="","",IF(HLOOKUP(J$4,'Physical Effects-Numbers'!$B$1:$AU$172,$B15,FALSE)&lt;0,HLOOKUP(J$4,'Physical Effects-Numbers'!$B$1:$AU$172,$B15,FALSE),""))</f>
        <v/>
      </c>
      <c r="K15" s="488" t="str">
        <f>IF(K$4="","",IF(HLOOKUP(K$4,'Physical Effects-Numbers'!$B$1:$AU$172,$B15,FALSE)&lt;0,HLOOKUP(K$4,'Physical Effects-Numbers'!$B$1:$AU$172,$B15,FALSE),""))</f>
        <v/>
      </c>
      <c r="L15" s="488" t="str">
        <f>IF(L$4="","",IF(HLOOKUP(L$4,'Physical Effects-Numbers'!$B$1:$AU$172,$B15,FALSE)&lt;0,HLOOKUP(L$4,'Physical Effects-Numbers'!$B$1:$AU$172,$B15,FALSE),""))</f>
        <v/>
      </c>
      <c r="M15" s="488" t="str">
        <f>IF(M$4="","",IF(HLOOKUP(M$4,'Physical Effects-Numbers'!$B$1:$AU$172,$B15,FALSE)&lt;0,HLOOKUP(M$4,'Physical Effects-Numbers'!$B$1:$AU$172,$B15,FALSE),""))</f>
        <v/>
      </c>
      <c r="N15" s="488" t="str">
        <f>IF(N$4="","",IF(HLOOKUP(N$4,'Physical Effects-Numbers'!$B$1:$AU$172,$B15,FALSE)&lt;0,HLOOKUP(N$4,'Physical Effects-Numbers'!$B$1:$AU$172,$B15,FALSE),""))</f>
        <v/>
      </c>
      <c r="O15" s="488" t="str">
        <f>IF(O$4="","",IF(HLOOKUP(O$4,'Physical Effects-Numbers'!$B$1:$AU$172,$B15,FALSE)&lt;0,HLOOKUP(O$4,'Physical Effects-Numbers'!$B$1:$AU$172,$B15,FALSE),""))</f>
        <v/>
      </c>
      <c r="P15" s="488" t="str">
        <f>IF(P$4="","",IF(HLOOKUP(P$4,'Physical Effects-Numbers'!$B$1:$AU$172,$B15,FALSE)&lt;0,HLOOKUP(P$4,'Physical Effects-Numbers'!$B$1:$AU$172,$B15,FALSE),""))</f>
        <v/>
      </c>
      <c r="Q15" s="488" t="str">
        <f>IF(Q$4="","",IF(HLOOKUP(Q$4,'Physical Effects-Numbers'!$B$1:$AU$172,$B15,FALSE)&lt;0,HLOOKUP(Q$4,'Physical Effects-Numbers'!$B$1:$AU$172,$B15,FALSE),""))</f>
        <v/>
      </c>
      <c r="R15" s="488" t="str">
        <f>IF(R$4="","",IF(HLOOKUP(R$4,'Physical Effects-Numbers'!$B$1:$AU$172,$B15,FALSE)&lt;0,HLOOKUP(R$4,'Physical Effects-Numbers'!$B$1:$AU$172,$B15,FALSE),""))</f>
        <v/>
      </c>
      <c r="S15" s="488" t="str">
        <f>IF(S$4="","",IF(HLOOKUP(S$4,'Physical Effects-Numbers'!$B$1:$AU$172,$B15,FALSE)&lt;0,HLOOKUP(S$4,'Physical Effects-Numbers'!$B$1:$AU$172,$B15,FALSE),""))</f>
        <v/>
      </c>
      <c r="T15" s="488" t="str">
        <f>IF(T$4="","",IF(HLOOKUP(T$4,'Physical Effects-Numbers'!$B$1:$AU$172,$B15,FALSE)&lt;0,HLOOKUP(T$4,'Physical Effects-Numbers'!$B$1:$AU$172,$B15,FALSE),""))</f>
        <v/>
      </c>
      <c r="U15" s="488">
        <f>IF(U$4="","",IF(HLOOKUP(U$4,'Physical Effects-Numbers'!$B$1:$AU$172,$B15,FALSE)&lt;0,HLOOKUP(U$4,'Physical Effects-Numbers'!$B$1:$AU$172,$B15,FALSE),""))</f>
        <v>-2</v>
      </c>
      <c r="V15" s="488">
        <f>IF(V$4="","",IF(HLOOKUP(V$4,'Physical Effects-Numbers'!$B$1:$AU$172,$B15,FALSE)&lt;0,HLOOKUP(V$4,'Physical Effects-Numbers'!$B$1:$AU$172,$B15,FALSE),""))</f>
        <v>-2</v>
      </c>
      <c r="W15" s="488" t="str">
        <f>IF(W$4="","",IF(HLOOKUP(W$4,'Physical Effects-Numbers'!$B$1:$AU$172,$B15,FALSE)&lt;0,HLOOKUP(W$4,'Physical Effects-Numbers'!$B$1:$AU$172,$B15,FALSE),""))</f>
        <v/>
      </c>
      <c r="X15" s="488" t="str">
        <f>IF(X$4="","",IF(HLOOKUP(X$4,'Physical Effects-Numbers'!$B$1:$AU$172,$B15,FALSE)&lt;0,HLOOKUP(X$4,'Physical Effects-Numbers'!$B$1:$AU$172,$B15,FALSE),""))</f>
        <v/>
      </c>
      <c r="Y15" s="488">
        <f>IF(Y$4="","",IF(HLOOKUP(Y$4,'Physical Effects-Numbers'!$B$1:$AU$172,$B15,FALSE)&lt;0,HLOOKUP(Y$4,'Physical Effects-Numbers'!$B$1:$AU$172,$B15,FALSE),""))</f>
        <v>-2</v>
      </c>
      <c r="Z15" s="488" t="str">
        <f>IF(Z$4="","",IF(HLOOKUP(Z$4,'Physical Effects-Numbers'!$B$1:$AU$172,$B15,FALSE)&lt;0,HLOOKUP(Z$4,'Physical Effects-Numbers'!$B$1:$AU$172,$B15,FALSE),""))</f>
        <v/>
      </c>
      <c r="AA15" s="488" t="str">
        <f>IF(AA$4="","",IF(HLOOKUP(AA$4,'Physical Effects-Numbers'!$B$1:$AU$172,$B15,FALSE)&lt;0,HLOOKUP(AA$4,'Physical Effects-Numbers'!$B$1:$AU$172,$B15,FALSE),""))</f>
        <v/>
      </c>
      <c r="AB15" s="488">
        <f>IF(AB$4="","",IF(HLOOKUP(AB$4,'Physical Effects-Numbers'!$B$1:$AU$172,$B15,FALSE)&lt;0,HLOOKUP(AB$4,'Physical Effects-Numbers'!$B$1:$AU$172,$B15,FALSE),""))</f>
        <v>-2</v>
      </c>
      <c r="AC15" s="488" t="str">
        <f>IF(AC$4="","",IF(HLOOKUP(AC$4,'Physical Effects-Numbers'!$B$1:$AU$172,$B15,FALSE)&lt;0,HLOOKUP(AC$4,'Physical Effects-Numbers'!$B$1:$AU$172,$B15,FALSE),""))</f>
        <v/>
      </c>
      <c r="AD15" s="488" t="str">
        <f>IF(AD$4="","",IF(HLOOKUP(AD$4,'Physical Effects-Numbers'!$B$1:$AU$172,$B15,FALSE)&lt;0,HLOOKUP(AD$4,'Physical Effects-Numbers'!$B$1:$AU$172,$B15,FALSE),""))</f>
        <v/>
      </c>
      <c r="AE15" s="488" t="str">
        <f>IF(AE$4="","",IF(HLOOKUP(AE$4,'Physical Effects-Numbers'!$B$1:$AU$172,$B15,FALSE)&lt;0,HLOOKUP(AE$4,'Physical Effects-Numbers'!$B$1:$AU$172,$B15,FALSE),""))</f>
        <v/>
      </c>
      <c r="AF15" s="488" t="str">
        <f>IF(AF$4="","",IF(HLOOKUP(AF$4,'Physical Effects-Numbers'!$B$1:$AU$172,$B15,FALSE)&lt;0,HLOOKUP(AF$4,'Physical Effects-Numbers'!$B$1:$AU$172,$B15,FALSE),""))</f>
        <v/>
      </c>
      <c r="AG15" s="488" t="str">
        <f>IF(AG$4="","",IF(HLOOKUP(AG$4,'Physical Effects-Numbers'!$B$1:$AU$172,$B15,FALSE)&lt;0,HLOOKUP(AG$4,'Physical Effects-Numbers'!$B$1:$AU$172,$B15,FALSE),""))</f>
        <v/>
      </c>
      <c r="AH15" s="488" t="str">
        <f>IF(AH$4="","",IF(HLOOKUP(AH$4,'Physical Effects-Numbers'!$B$1:$AU$172,$B15,FALSE)&lt;0,HLOOKUP(AH$4,'Physical Effects-Numbers'!$B$1:$AU$172,$B15,FALSE),""))</f>
        <v/>
      </c>
      <c r="AI15" s="488" t="str">
        <f>IF(AI$4="","",IF(HLOOKUP(AI$4,'Physical Effects-Numbers'!$B$1:$AU$172,$B15,FALSE)&lt;0,HLOOKUP(AI$4,'Physical Effects-Numbers'!$B$1:$AU$172,$B15,FALSE),""))</f>
        <v/>
      </c>
      <c r="AJ15" s="488" t="str">
        <f>IF(AJ$4="","",IF(HLOOKUP(AJ$4,'Physical Effects-Numbers'!$B$1:$AU$172,$B15,FALSE)&lt;0,HLOOKUP(AJ$4,'Physical Effects-Numbers'!$B$1:$AU$172,$B15,FALSE),""))</f>
        <v/>
      </c>
      <c r="AK15" s="488" t="str">
        <f>IF(AK$4="","",IF(HLOOKUP(AK$4,'Physical Effects-Numbers'!$B$1:$AU$172,$B15,FALSE)&lt;0,HLOOKUP(AK$4,'Physical Effects-Numbers'!$B$1:$AU$172,$B15,FALSE),""))</f>
        <v/>
      </c>
      <c r="AL15" s="488" t="str">
        <f>IF(AL$4="","",IF(HLOOKUP(AL$4,'Physical Effects-Numbers'!$B$1:$AU$172,$B15,FALSE)&lt;0,HLOOKUP(AL$4,'Physical Effects-Numbers'!$B$1:$AU$172,$B15,FALSE),""))</f>
        <v/>
      </c>
      <c r="AM15" s="488" t="str">
        <f>IF(AM$4="","",IF(HLOOKUP(AM$4,'Physical Effects-Numbers'!$B$1:$AU$172,$B15,FALSE)&lt;0,HLOOKUP(AM$4,'Physical Effects-Numbers'!$B$1:$AU$172,$B15,FALSE),""))</f>
        <v/>
      </c>
      <c r="AN15" s="488" t="str">
        <f>IF(AN$4="","",IF(HLOOKUP(AN$4,'Physical Effects-Numbers'!$B$1:$AU$172,$B15,FALSE)&lt;0,HLOOKUP(AN$4,'Physical Effects-Numbers'!$B$1:$AU$172,$B15,FALSE),""))</f>
        <v/>
      </c>
      <c r="AO15" s="488" t="str">
        <f>IF(AO$4="","",IF(HLOOKUP(AO$4,'Physical Effects-Numbers'!$B$1:$AU$172,$B15,FALSE)&lt;0,HLOOKUP(AO$4,'Physical Effects-Numbers'!$B$1:$AU$172,$B15,FALSE),""))</f>
        <v/>
      </c>
      <c r="AP15" s="488" t="str">
        <f>IF(AP$4="","",IF(HLOOKUP(AP$4,'Physical Effects-Numbers'!$B$1:$AU$172,$B15,FALSE)&lt;0,HLOOKUP(AP$4,'Physical Effects-Numbers'!$B$1:$AU$172,$B15,FALSE),""))</f>
        <v/>
      </c>
      <c r="AQ15" s="488" t="str">
        <f>IF(AQ$4="","",IF(HLOOKUP(AQ$4,'Physical Effects-Numbers'!$B$1:$AU$172,$B15,FALSE)&lt;0,HLOOKUP(AQ$4,'Physical Effects-Numbers'!$B$1:$AU$172,$B15,FALSE),""))</f>
        <v/>
      </c>
      <c r="AR15" s="488" t="str">
        <f>IF(AR$4="","",IF(HLOOKUP(AR$4,'Physical Effects-Numbers'!$B$1:$AU$172,$B15,FALSE)&lt;0,HLOOKUP(AR$4,'Physical Effects-Numbers'!$B$1:$AU$172,$B15,FALSE),""))</f>
        <v/>
      </c>
      <c r="AS15" s="488" t="str">
        <f>IF(AS$4="","",IF(HLOOKUP(AS$4,'Physical Effects-Numbers'!$B$1:$AU$172,$B15,FALSE)&lt;0,HLOOKUP(AS$4,'Physical Effects-Numbers'!$B$1:$AU$172,$B15,FALSE),""))</f>
        <v/>
      </c>
      <c r="AT15" s="488" t="str">
        <f>IF(AT$4="","",IF(HLOOKUP(AT$4,'Physical Effects-Numbers'!$B$1:$AU$172,$B15,FALSE)&lt;0,HLOOKUP(AT$4,'Physical Effects-Numbers'!$B$1:$AU$172,$B15,FALSE),""))</f>
        <v/>
      </c>
      <c r="AU15" s="488" t="str">
        <f>IF(AU$4="","",IF(HLOOKUP(AU$4,'Physical Effects-Numbers'!$B$1:$AU$172,$B15,FALSE)&lt;0,HLOOKUP(AU$4,'Physical Effects-Numbers'!$B$1:$AU$172,$B15,FALSE),""))</f>
        <v/>
      </c>
      <c r="AV15" s="488" t="str">
        <f>IF(AV$4="","",IF(HLOOKUP(AV$4,'Physical Effects-Numbers'!$B$1:$AU$167,$B15,FALSE)&lt;0,HLOOKUP(AV$4,'Physical Effects-Numbers'!$B$1:$AU$167,$B15,FALSE),""))</f>
        <v/>
      </c>
    </row>
    <row r="16" spans="2:49" x14ac:dyDescent="0.2">
      <c r="B16" s="487">
        <f t="shared" si="0"/>
        <v>13</v>
      </c>
      <c r="C16" s="486" t="str">
        <f>+'Physical Effects-Numbers'!B13</f>
        <v xml:space="preserve">Aquatic Organism Passage </v>
      </c>
      <c r="D16" s="488" t="str">
        <f>IF(D$4="","",IF(HLOOKUP(D$4,'Physical Effects-Numbers'!$B$1:$AU$172,$B16,FALSE)&lt;0,HLOOKUP(D$4,'Physical Effects-Numbers'!$B$1:$AU$172,$B16,FALSE),""))</f>
        <v/>
      </c>
      <c r="E16" s="488" t="str">
        <f>IF(E$4="","",IF(HLOOKUP(E$4,'Physical Effects-Numbers'!$B$1:$AU$172,$B16,FALSE)&lt;0,HLOOKUP(E$4,'Physical Effects-Numbers'!$B$1:$AU$172,$B16,FALSE),""))</f>
        <v/>
      </c>
      <c r="F16" s="488" t="str">
        <f>IF(F$4="","",IF(HLOOKUP(F$4,'Physical Effects-Numbers'!$B$1:$AU$172,$B16,FALSE)&lt;0,HLOOKUP(F$4,'Physical Effects-Numbers'!$B$1:$AU$172,$B16,FALSE),""))</f>
        <v/>
      </c>
      <c r="G16" s="488" t="str">
        <f>IF(G$4="","",IF(HLOOKUP(G$4,'Physical Effects-Numbers'!$B$1:$AU$172,$B16,FALSE)&lt;0,HLOOKUP(G$4,'Physical Effects-Numbers'!$B$1:$AU$172,$B16,FALSE),""))</f>
        <v/>
      </c>
      <c r="H16" s="488" t="str">
        <f>IF(H$4="","",IF(HLOOKUP(H$4,'Physical Effects-Numbers'!$B$1:$AU$172,$B16,FALSE)&lt;0,HLOOKUP(H$4,'Physical Effects-Numbers'!$B$1:$AU$172,$B16,FALSE),""))</f>
        <v/>
      </c>
      <c r="I16" s="488" t="str">
        <f>IF(I$4="","",IF(HLOOKUP(I$4,'Physical Effects-Numbers'!$B$1:$AU$172,$B16,FALSE)&lt;0,HLOOKUP(I$4,'Physical Effects-Numbers'!$B$1:$AU$172,$B16,FALSE),""))</f>
        <v/>
      </c>
      <c r="J16" s="488" t="str">
        <f>IF(J$4="","",IF(HLOOKUP(J$4,'Physical Effects-Numbers'!$B$1:$AU$172,$B16,FALSE)&lt;0,HLOOKUP(J$4,'Physical Effects-Numbers'!$B$1:$AU$172,$B16,FALSE),""))</f>
        <v/>
      </c>
      <c r="K16" s="488" t="str">
        <f>IF(K$4="","",IF(HLOOKUP(K$4,'Physical Effects-Numbers'!$B$1:$AU$172,$B16,FALSE)&lt;0,HLOOKUP(K$4,'Physical Effects-Numbers'!$B$1:$AU$172,$B16,FALSE),""))</f>
        <v/>
      </c>
      <c r="L16" s="488" t="str">
        <f>IF(L$4="","",IF(HLOOKUP(L$4,'Physical Effects-Numbers'!$B$1:$AU$172,$B16,FALSE)&lt;0,HLOOKUP(L$4,'Physical Effects-Numbers'!$B$1:$AU$172,$B16,FALSE),""))</f>
        <v/>
      </c>
      <c r="M16" s="488" t="str">
        <f>IF(M$4="","",IF(HLOOKUP(M$4,'Physical Effects-Numbers'!$B$1:$AU$172,$B16,FALSE)&lt;0,HLOOKUP(M$4,'Physical Effects-Numbers'!$B$1:$AU$172,$B16,FALSE),""))</f>
        <v/>
      </c>
      <c r="N16" s="488" t="str">
        <f>IF(N$4="","",IF(HLOOKUP(N$4,'Physical Effects-Numbers'!$B$1:$AU$172,$B16,FALSE)&lt;0,HLOOKUP(N$4,'Physical Effects-Numbers'!$B$1:$AU$172,$B16,FALSE),""))</f>
        <v/>
      </c>
      <c r="O16" s="488" t="str">
        <f>IF(O$4="","",IF(HLOOKUP(O$4,'Physical Effects-Numbers'!$B$1:$AU$172,$B16,FALSE)&lt;0,HLOOKUP(O$4,'Physical Effects-Numbers'!$B$1:$AU$172,$B16,FALSE),""))</f>
        <v/>
      </c>
      <c r="P16" s="488" t="str">
        <f>IF(P$4="","",IF(HLOOKUP(P$4,'Physical Effects-Numbers'!$B$1:$AU$172,$B16,FALSE)&lt;0,HLOOKUP(P$4,'Physical Effects-Numbers'!$B$1:$AU$172,$B16,FALSE),""))</f>
        <v/>
      </c>
      <c r="Q16" s="488" t="str">
        <f>IF(Q$4="","",IF(HLOOKUP(Q$4,'Physical Effects-Numbers'!$B$1:$AU$172,$B16,FALSE)&lt;0,HLOOKUP(Q$4,'Physical Effects-Numbers'!$B$1:$AU$172,$B16,FALSE),""))</f>
        <v/>
      </c>
      <c r="R16" s="488" t="str">
        <f>IF(R$4="","",IF(HLOOKUP(R$4,'Physical Effects-Numbers'!$B$1:$AU$172,$B16,FALSE)&lt;0,HLOOKUP(R$4,'Physical Effects-Numbers'!$B$1:$AU$172,$B16,FALSE),""))</f>
        <v/>
      </c>
      <c r="S16" s="488" t="str">
        <f>IF(S$4="","",IF(HLOOKUP(S$4,'Physical Effects-Numbers'!$B$1:$AU$172,$B16,FALSE)&lt;0,HLOOKUP(S$4,'Physical Effects-Numbers'!$B$1:$AU$172,$B16,FALSE),""))</f>
        <v/>
      </c>
      <c r="T16" s="488" t="str">
        <f>IF(T$4="","",IF(HLOOKUP(T$4,'Physical Effects-Numbers'!$B$1:$AU$172,$B16,FALSE)&lt;0,HLOOKUP(T$4,'Physical Effects-Numbers'!$B$1:$AU$172,$B16,FALSE),""))</f>
        <v/>
      </c>
      <c r="U16" s="488" t="str">
        <f>IF(U$4="","",IF(HLOOKUP(U$4,'Physical Effects-Numbers'!$B$1:$AU$172,$B16,FALSE)&lt;0,HLOOKUP(U$4,'Physical Effects-Numbers'!$B$1:$AU$172,$B16,FALSE),""))</f>
        <v/>
      </c>
      <c r="V16" s="488" t="str">
        <f>IF(V$4="","",IF(HLOOKUP(V$4,'Physical Effects-Numbers'!$B$1:$AU$172,$B16,FALSE)&lt;0,HLOOKUP(V$4,'Physical Effects-Numbers'!$B$1:$AU$172,$B16,FALSE),""))</f>
        <v/>
      </c>
      <c r="W16" s="488" t="str">
        <f>IF(W$4="","",IF(HLOOKUP(W$4,'Physical Effects-Numbers'!$B$1:$AU$172,$B16,FALSE)&lt;0,HLOOKUP(W$4,'Physical Effects-Numbers'!$B$1:$AU$172,$B16,FALSE),""))</f>
        <v/>
      </c>
      <c r="X16" s="488" t="str">
        <f>IF(X$4="","",IF(HLOOKUP(X$4,'Physical Effects-Numbers'!$B$1:$AU$172,$B16,FALSE)&lt;0,HLOOKUP(X$4,'Physical Effects-Numbers'!$B$1:$AU$172,$B16,FALSE),""))</f>
        <v/>
      </c>
      <c r="Y16" s="488" t="str">
        <f>IF(Y$4="","",IF(HLOOKUP(Y$4,'Physical Effects-Numbers'!$B$1:$AU$172,$B16,FALSE)&lt;0,HLOOKUP(Y$4,'Physical Effects-Numbers'!$B$1:$AU$172,$B16,FALSE),""))</f>
        <v/>
      </c>
      <c r="Z16" s="488" t="str">
        <f>IF(Z$4="","",IF(HLOOKUP(Z$4,'Physical Effects-Numbers'!$B$1:$AU$172,$B16,FALSE)&lt;0,HLOOKUP(Z$4,'Physical Effects-Numbers'!$B$1:$AU$172,$B16,FALSE),""))</f>
        <v/>
      </c>
      <c r="AA16" s="488" t="str">
        <f>IF(AA$4="","",IF(HLOOKUP(AA$4,'Physical Effects-Numbers'!$B$1:$AU$172,$B16,FALSE)&lt;0,HLOOKUP(AA$4,'Physical Effects-Numbers'!$B$1:$AU$172,$B16,FALSE),""))</f>
        <v/>
      </c>
      <c r="AB16" s="488" t="str">
        <f>IF(AB$4="","",IF(HLOOKUP(AB$4,'Physical Effects-Numbers'!$B$1:$AU$172,$B16,FALSE)&lt;0,HLOOKUP(AB$4,'Physical Effects-Numbers'!$B$1:$AU$172,$B16,FALSE),""))</f>
        <v/>
      </c>
      <c r="AC16" s="488" t="str">
        <f>IF(AC$4="","",IF(HLOOKUP(AC$4,'Physical Effects-Numbers'!$B$1:$AU$172,$B16,FALSE)&lt;0,HLOOKUP(AC$4,'Physical Effects-Numbers'!$B$1:$AU$172,$B16,FALSE),""))</f>
        <v/>
      </c>
      <c r="AD16" s="488" t="str">
        <f>IF(AD$4="","",IF(HLOOKUP(AD$4,'Physical Effects-Numbers'!$B$1:$AU$172,$B16,FALSE)&lt;0,HLOOKUP(AD$4,'Physical Effects-Numbers'!$B$1:$AU$172,$B16,FALSE),""))</f>
        <v/>
      </c>
      <c r="AE16" s="488" t="str">
        <f>IF(AE$4="","",IF(HLOOKUP(AE$4,'Physical Effects-Numbers'!$B$1:$AU$172,$B16,FALSE)&lt;0,HLOOKUP(AE$4,'Physical Effects-Numbers'!$B$1:$AU$172,$B16,FALSE),""))</f>
        <v/>
      </c>
      <c r="AF16" s="488" t="str">
        <f>IF(AF$4="","",IF(HLOOKUP(AF$4,'Physical Effects-Numbers'!$B$1:$AU$172,$B16,FALSE)&lt;0,HLOOKUP(AF$4,'Physical Effects-Numbers'!$B$1:$AU$172,$B16,FALSE),""))</f>
        <v/>
      </c>
      <c r="AG16" s="488" t="str">
        <f>IF(AG$4="","",IF(HLOOKUP(AG$4,'Physical Effects-Numbers'!$B$1:$AU$172,$B16,FALSE)&lt;0,HLOOKUP(AG$4,'Physical Effects-Numbers'!$B$1:$AU$172,$B16,FALSE),""))</f>
        <v/>
      </c>
      <c r="AH16" s="488" t="str">
        <f>IF(AH$4="","",IF(HLOOKUP(AH$4,'Physical Effects-Numbers'!$B$1:$AU$172,$B16,FALSE)&lt;0,HLOOKUP(AH$4,'Physical Effects-Numbers'!$B$1:$AU$172,$B16,FALSE),""))</f>
        <v/>
      </c>
      <c r="AI16" s="488" t="str">
        <f>IF(AI$4="","",IF(HLOOKUP(AI$4,'Physical Effects-Numbers'!$B$1:$AU$172,$B16,FALSE)&lt;0,HLOOKUP(AI$4,'Physical Effects-Numbers'!$B$1:$AU$172,$B16,FALSE),""))</f>
        <v/>
      </c>
      <c r="AJ16" s="488" t="str">
        <f>IF(AJ$4="","",IF(HLOOKUP(AJ$4,'Physical Effects-Numbers'!$B$1:$AU$172,$B16,FALSE)&lt;0,HLOOKUP(AJ$4,'Physical Effects-Numbers'!$B$1:$AU$172,$B16,FALSE),""))</f>
        <v/>
      </c>
      <c r="AK16" s="488" t="str">
        <f>IF(AK$4="","",IF(HLOOKUP(AK$4,'Physical Effects-Numbers'!$B$1:$AU$172,$B16,FALSE)&lt;0,HLOOKUP(AK$4,'Physical Effects-Numbers'!$B$1:$AU$172,$B16,FALSE),""))</f>
        <v/>
      </c>
      <c r="AL16" s="488" t="str">
        <f>IF(AL$4="","",IF(HLOOKUP(AL$4,'Physical Effects-Numbers'!$B$1:$AU$172,$B16,FALSE)&lt;0,HLOOKUP(AL$4,'Physical Effects-Numbers'!$B$1:$AU$172,$B16,FALSE),""))</f>
        <v/>
      </c>
      <c r="AM16" s="488" t="str">
        <f>IF(AM$4="","",IF(HLOOKUP(AM$4,'Physical Effects-Numbers'!$B$1:$AU$172,$B16,FALSE)&lt;0,HLOOKUP(AM$4,'Physical Effects-Numbers'!$B$1:$AU$172,$B16,FALSE),""))</f>
        <v/>
      </c>
      <c r="AN16" s="488" t="str">
        <f>IF(AN$4="","",IF(HLOOKUP(AN$4,'Physical Effects-Numbers'!$B$1:$AU$172,$B16,FALSE)&lt;0,HLOOKUP(AN$4,'Physical Effects-Numbers'!$B$1:$AU$172,$B16,FALSE),""))</f>
        <v/>
      </c>
      <c r="AO16" s="488" t="str">
        <f>IF(AO$4="","",IF(HLOOKUP(AO$4,'Physical Effects-Numbers'!$B$1:$AU$172,$B16,FALSE)&lt;0,HLOOKUP(AO$4,'Physical Effects-Numbers'!$B$1:$AU$172,$B16,FALSE),""))</f>
        <v/>
      </c>
      <c r="AP16" s="488" t="str">
        <f>IF(AP$4="","",IF(HLOOKUP(AP$4,'Physical Effects-Numbers'!$B$1:$AU$172,$B16,FALSE)&lt;0,HLOOKUP(AP$4,'Physical Effects-Numbers'!$B$1:$AU$172,$B16,FALSE),""))</f>
        <v/>
      </c>
      <c r="AQ16" s="488" t="str">
        <f>IF(AQ$4="","",IF(HLOOKUP(AQ$4,'Physical Effects-Numbers'!$B$1:$AU$172,$B16,FALSE)&lt;0,HLOOKUP(AQ$4,'Physical Effects-Numbers'!$B$1:$AU$172,$B16,FALSE),""))</f>
        <v/>
      </c>
      <c r="AR16" s="488" t="str">
        <f>IF(AR$4="","",IF(HLOOKUP(AR$4,'Physical Effects-Numbers'!$B$1:$AU$172,$B16,FALSE)&lt;0,HLOOKUP(AR$4,'Physical Effects-Numbers'!$B$1:$AU$172,$B16,FALSE),""))</f>
        <v/>
      </c>
      <c r="AS16" s="488" t="str">
        <f>IF(AS$4="","",IF(HLOOKUP(AS$4,'Physical Effects-Numbers'!$B$1:$AU$172,$B16,FALSE)&lt;0,HLOOKUP(AS$4,'Physical Effects-Numbers'!$B$1:$AU$172,$B16,FALSE),""))</f>
        <v/>
      </c>
      <c r="AT16" s="488" t="str">
        <f>IF(AT$4="","",IF(HLOOKUP(AT$4,'Physical Effects-Numbers'!$B$1:$AU$172,$B16,FALSE)&lt;0,HLOOKUP(AT$4,'Physical Effects-Numbers'!$B$1:$AU$172,$B16,FALSE),""))</f>
        <v/>
      </c>
      <c r="AU16" s="488" t="str">
        <f>IF(AU$4="","",IF(HLOOKUP(AU$4,'Physical Effects-Numbers'!$B$1:$AU$172,$B16,FALSE)&lt;0,HLOOKUP(AU$4,'Physical Effects-Numbers'!$B$1:$AU$172,$B16,FALSE),""))</f>
        <v/>
      </c>
      <c r="AV16" s="488" t="str">
        <f>IF(AV$4="","",IF(HLOOKUP(AV$4,'Physical Effects-Numbers'!$B$1:$AU$167,$B16,FALSE)&lt;0,HLOOKUP(AV$4,'Physical Effects-Numbers'!$B$1:$AU$167,$B16,FALSE),""))</f>
        <v/>
      </c>
    </row>
    <row r="17" spans="2:48" x14ac:dyDescent="0.2">
      <c r="B17" s="487">
        <f t="shared" si="0"/>
        <v>14</v>
      </c>
      <c r="C17" s="486" t="str">
        <f>+'Physical Effects-Numbers'!B14</f>
        <v>Bedding</v>
      </c>
      <c r="D17" s="488" t="str">
        <f>IF(D$4="","",IF(HLOOKUP(D$4,'Physical Effects-Numbers'!$B$1:$AU$172,$B17,FALSE)&lt;0,HLOOKUP(D$4,'Physical Effects-Numbers'!$B$1:$AU$172,$B17,FALSE),""))</f>
        <v/>
      </c>
      <c r="E17" s="488" t="str">
        <f>IF(E$4="","",IF(HLOOKUP(E$4,'Physical Effects-Numbers'!$B$1:$AU$172,$B17,FALSE)&lt;0,HLOOKUP(E$4,'Physical Effects-Numbers'!$B$1:$AU$172,$B17,FALSE),""))</f>
        <v/>
      </c>
      <c r="F17" s="488" t="str">
        <f>IF(F$4="","",IF(HLOOKUP(F$4,'Physical Effects-Numbers'!$B$1:$AU$172,$B17,FALSE)&lt;0,HLOOKUP(F$4,'Physical Effects-Numbers'!$B$1:$AU$172,$B17,FALSE),""))</f>
        <v/>
      </c>
      <c r="G17" s="488" t="str">
        <f>IF(G$4="","",IF(HLOOKUP(G$4,'Physical Effects-Numbers'!$B$1:$AU$172,$B17,FALSE)&lt;0,HLOOKUP(G$4,'Physical Effects-Numbers'!$B$1:$AU$172,$B17,FALSE),""))</f>
        <v/>
      </c>
      <c r="H17" s="488" t="str">
        <f>IF(H$4="","",IF(HLOOKUP(H$4,'Physical Effects-Numbers'!$B$1:$AU$172,$B17,FALSE)&lt;0,HLOOKUP(H$4,'Physical Effects-Numbers'!$B$1:$AU$172,$B17,FALSE),""))</f>
        <v/>
      </c>
      <c r="I17" s="488">
        <f>IF(I$4="","",IF(HLOOKUP(I$4,'Physical Effects-Numbers'!$B$1:$AU$172,$B17,FALSE)&lt;0,HLOOKUP(I$4,'Physical Effects-Numbers'!$B$1:$AU$172,$B17,FALSE),""))</f>
        <v>-1</v>
      </c>
      <c r="J17" s="488">
        <f>IF(J$4="","",IF(HLOOKUP(J$4,'Physical Effects-Numbers'!$B$1:$AU$172,$B17,FALSE)&lt;0,HLOOKUP(J$4,'Physical Effects-Numbers'!$B$1:$AU$172,$B17,FALSE),""))</f>
        <v>-1</v>
      </c>
      <c r="K17" s="488" t="str">
        <f>IF(K$4="","",IF(HLOOKUP(K$4,'Physical Effects-Numbers'!$B$1:$AU$172,$B17,FALSE)&lt;0,HLOOKUP(K$4,'Physical Effects-Numbers'!$B$1:$AU$172,$B17,FALSE),""))</f>
        <v/>
      </c>
      <c r="L17" s="488" t="str">
        <f>IF(L$4="","",IF(HLOOKUP(L$4,'Physical Effects-Numbers'!$B$1:$AU$172,$B17,FALSE)&lt;0,HLOOKUP(L$4,'Physical Effects-Numbers'!$B$1:$AU$172,$B17,FALSE),""))</f>
        <v/>
      </c>
      <c r="M17" s="488" t="str">
        <f>IF(M$4="","",IF(HLOOKUP(M$4,'Physical Effects-Numbers'!$B$1:$AU$172,$B17,FALSE)&lt;0,HLOOKUP(M$4,'Physical Effects-Numbers'!$B$1:$AU$172,$B17,FALSE),""))</f>
        <v/>
      </c>
      <c r="N17" s="488" t="str">
        <f>IF(N$4="","",IF(HLOOKUP(N$4,'Physical Effects-Numbers'!$B$1:$AU$172,$B17,FALSE)&lt;0,HLOOKUP(N$4,'Physical Effects-Numbers'!$B$1:$AU$172,$B17,FALSE),""))</f>
        <v/>
      </c>
      <c r="O17" s="488" t="str">
        <f>IF(O$4="","",IF(HLOOKUP(O$4,'Physical Effects-Numbers'!$B$1:$AU$172,$B17,FALSE)&lt;0,HLOOKUP(O$4,'Physical Effects-Numbers'!$B$1:$AU$172,$B17,FALSE),""))</f>
        <v/>
      </c>
      <c r="P17" s="488" t="str">
        <f>IF(P$4="","",IF(HLOOKUP(P$4,'Physical Effects-Numbers'!$B$1:$AU$172,$B17,FALSE)&lt;0,HLOOKUP(P$4,'Physical Effects-Numbers'!$B$1:$AU$172,$B17,FALSE),""))</f>
        <v/>
      </c>
      <c r="Q17" s="488" t="str">
        <f>IF(Q$4="","",IF(HLOOKUP(Q$4,'Physical Effects-Numbers'!$B$1:$AU$172,$B17,FALSE)&lt;0,HLOOKUP(Q$4,'Physical Effects-Numbers'!$B$1:$AU$172,$B17,FALSE),""))</f>
        <v/>
      </c>
      <c r="R17" s="488">
        <f>IF(R$4="","",IF(HLOOKUP(R$4,'Physical Effects-Numbers'!$B$1:$AU$172,$B17,FALSE)&lt;0,HLOOKUP(R$4,'Physical Effects-Numbers'!$B$1:$AU$172,$B17,FALSE),""))</f>
        <v>-1</v>
      </c>
      <c r="S17" s="488">
        <f>IF(S$4="","",IF(HLOOKUP(S$4,'Physical Effects-Numbers'!$B$1:$AU$172,$B17,FALSE)&lt;0,HLOOKUP(S$4,'Physical Effects-Numbers'!$B$1:$AU$172,$B17,FALSE),""))</f>
        <v>-2</v>
      </c>
      <c r="T17" s="488" t="str">
        <f>IF(T$4="","",IF(HLOOKUP(T$4,'Physical Effects-Numbers'!$B$1:$AU$172,$B17,FALSE)&lt;0,HLOOKUP(T$4,'Physical Effects-Numbers'!$B$1:$AU$172,$B17,FALSE),""))</f>
        <v/>
      </c>
      <c r="U17" s="488">
        <f>IF(U$4="","",IF(HLOOKUP(U$4,'Physical Effects-Numbers'!$B$1:$AU$172,$B17,FALSE)&lt;0,HLOOKUP(U$4,'Physical Effects-Numbers'!$B$1:$AU$172,$B17,FALSE),""))</f>
        <v>-2</v>
      </c>
      <c r="V17" s="488" t="str">
        <f>IF(V$4="","",IF(HLOOKUP(V$4,'Physical Effects-Numbers'!$B$1:$AU$172,$B17,FALSE)&lt;0,HLOOKUP(V$4,'Physical Effects-Numbers'!$B$1:$AU$172,$B17,FALSE),""))</f>
        <v/>
      </c>
      <c r="W17" s="488">
        <f>IF(W$4="","",IF(HLOOKUP(W$4,'Physical Effects-Numbers'!$B$1:$AU$172,$B17,FALSE)&lt;0,HLOOKUP(W$4,'Physical Effects-Numbers'!$B$1:$AU$172,$B17,FALSE),""))</f>
        <v>-2</v>
      </c>
      <c r="X17" s="488" t="str">
        <f>IF(X$4="","",IF(HLOOKUP(X$4,'Physical Effects-Numbers'!$B$1:$AU$172,$B17,FALSE)&lt;0,HLOOKUP(X$4,'Physical Effects-Numbers'!$B$1:$AU$172,$B17,FALSE),""))</f>
        <v/>
      </c>
      <c r="Y17" s="488">
        <f>IF(Y$4="","",IF(HLOOKUP(Y$4,'Physical Effects-Numbers'!$B$1:$AU$172,$B17,FALSE)&lt;0,HLOOKUP(Y$4,'Physical Effects-Numbers'!$B$1:$AU$172,$B17,FALSE),""))</f>
        <v>-2</v>
      </c>
      <c r="Z17" s="488" t="str">
        <f>IF(Z$4="","",IF(HLOOKUP(Z$4,'Physical Effects-Numbers'!$B$1:$AU$172,$B17,FALSE)&lt;0,HLOOKUP(Z$4,'Physical Effects-Numbers'!$B$1:$AU$172,$B17,FALSE),""))</f>
        <v/>
      </c>
      <c r="AA17" s="488">
        <f>IF(AA$4="","",IF(HLOOKUP(AA$4,'Physical Effects-Numbers'!$B$1:$AU$172,$B17,FALSE)&lt;0,HLOOKUP(AA$4,'Physical Effects-Numbers'!$B$1:$AU$172,$B17,FALSE),""))</f>
        <v>-1</v>
      </c>
      <c r="AB17" s="488" t="str">
        <f>IF(AB$4="","",IF(HLOOKUP(AB$4,'Physical Effects-Numbers'!$B$1:$AU$172,$B17,FALSE)&lt;0,HLOOKUP(AB$4,'Physical Effects-Numbers'!$B$1:$AU$172,$B17,FALSE),""))</f>
        <v/>
      </c>
      <c r="AC17" s="488">
        <f>IF(AC$4="","",IF(HLOOKUP(AC$4,'Physical Effects-Numbers'!$B$1:$AU$172,$B17,FALSE)&lt;0,HLOOKUP(AC$4,'Physical Effects-Numbers'!$B$1:$AU$172,$B17,FALSE),""))</f>
        <v>-2</v>
      </c>
      <c r="AD17" s="488" t="str">
        <f>IF(AD$4="","",IF(HLOOKUP(AD$4,'Physical Effects-Numbers'!$B$1:$AU$172,$B17,FALSE)&lt;0,HLOOKUP(AD$4,'Physical Effects-Numbers'!$B$1:$AU$172,$B17,FALSE),""))</f>
        <v/>
      </c>
      <c r="AE17" s="488">
        <f>IF(AE$4="","",IF(HLOOKUP(AE$4,'Physical Effects-Numbers'!$B$1:$AU$172,$B17,FALSE)&lt;0,HLOOKUP(AE$4,'Physical Effects-Numbers'!$B$1:$AU$172,$B17,FALSE),""))</f>
        <v>-1</v>
      </c>
      <c r="AF17" s="488">
        <f>IF(AF$4="","",IF(HLOOKUP(AF$4,'Physical Effects-Numbers'!$B$1:$AU$172,$B17,FALSE)&lt;0,HLOOKUP(AF$4,'Physical Effects-Numbers'!$B$1:$AU$172,$B17,FALSE),""))</f>
        <v>-1</v>
      </c>
      <c r="AG17" s="488">
        <f>IF(AG$4="","",IF(HLOOKUP(AG$4,'Physical Effects-Numbers'!$B$1:$AU$172,$B17,FALSE)&lt;0,HLOOKUP(AG$4,'Physical Effects-Numbers'!$B$1:$AU$172,$B17,FALSE),""))</f>
        <v>-1</v>
      </c>
      <c r="AH17" s="488" t="str">
        <f>IF(AH$4="","",IF(HLOOKUP(AH$4,'Physical Effects-Numbers'!$B$1:$AU$172,$B17,FALSE)&lt;0,HLOOKUP(AH$4,'Physical Effects-Numbers'!$B$1:$AU$172,$B17,FALSE),""))</f>
        <v/>
      </c>
      <c r="AI17" s="488" t="str">
        <f>IF(AI$4="","",IF(HLOOKUP(AI$4,'Physical Effects-Numbers'!$B$1:$AU$172,$B17,FALSE)&lt;0,HLOOKUP(AI$4,'Physical Effects-Numbers'!$B$1:$AU$172,$B17,FALSE),""))</f>
        <v/>
      </c>
      <c r="AJ17" s="488" t="str">
        <f>IF(AJ$4="","",IF(HLOOKUP(AJ$4,'Physical Effects-Numbers'!$B$1:$AU$172,$B17,FALSE)&lt;0,HLOOKUP(AJ$4,'Physical Effects-Numbers'!$B$1:$AU$172,$B17,FALSE),""))</f>
        <v/>
      </c>
      <c r="AK17" s="488">
        <f>IF(AK$4="","",IF(HLOOKUP(AK$4,'Physical Effects-Numbers'!$B$1:$AU$172,$B17,FALSE)&lt;0,HLOOKUP(AK$4,'Physical Effects-Numbers'!$B$1:$AU$172,$B17,FALSE),""))</f>
        <v>-1</v>
      </c>
      <c r="AL17" s="488" t="str">
        <f>IF(AL$4="","",IF(HLOOKUP(AL$4,'Physical Effects-Numbers'!$B$1:$AU$172,$B17,FALSE)&lt;0,HLOOKUP(AL$4,'Physical Effects-Numbers'!$B$1:$AU$172,$B17,FALSE),""))</f>
        <v/>
      </c>
      <c r="AM17" s="488" t="str">
        <f>IF(AM$4="","",IF(HLOOKUP(AM$4,'Physical Effects-Numbers'!$B$1:$AU$172,$B17,FALSE)&lt;0,HLOOKUP(AM$4,'Physical Effects-Numbers'!$B$1:$AU$172,$B17,FALSE),""))</f>
        <v/>
      </c>
      <c r="AN17" s="488" t="str">
        <f>IF(AN$4="","",IF(HLOOKUP(AN$4,'Physical Effects-Numbers'!$B$1:$AU$172,$B17,FALSE)&lt;0,HLOOKUP(AN$4,'Physical Effects-Numbers'!$B$1:$AU$172,$B17,FALSE),""))</f>
        <v/>
      </c>
      <c r="AO17" s="488" t="str">
        <f>IF(AO$4="","",IF(HLOOKUP(AO$4,'Physical Effects-Numbers'!$B$1:$AU$172,$B17,FALSE)&lt;0,HLOOKUP(AO$4,'Physical Effects-Numbers'!$B$1:$AU$172,$B17,FALSE),""))</f>
        <v/>
      </c>
      <c r="AP17" s="488" t="str">
        <f>IF(AP$4="","",IF(HLOOKUP(AP$4,'Physical Effects-Numbers'!$B$1:$AU$172,$B17,FALSE)&lt;0,HLOOKUP(AP$4,'Physical Effects-Numbers'!$B$1:$AU$172,$B17,FALSE),""))</f>
        <v/>
      </c>
      <c r="AQ17" s="488" t="str">
        <f>IF(AQ$4="","",IF(HLOOKUP(AQ$4,'Physical Effects-Numbers'!$B$1:$AU$172,$B17,FALSE)&lt;0,HLOOKUP(AQ$4,'Physical Effects-Numbers'!$B$1:$AU$172,$B17,FALSE),""))</f>
        <v/>
      </c>
      <c r="AR17" s="488" t="str">
        <f>IF(AR$4="","",IF(HLOOKUP(AR$4,'Physical Effects-Numbers'!$B$1:$AU$172,$B17,FALSE)&lt;0,HLOOKUP(AR$4,'Physical Effects-Numbers'!$B$1:$AU$172,$B17,FALSE),""))</f>
        <v/>
      </c>
      <c r="AS17" s="488" t="str">
        <f>IF(AS$4="","",IF(HLOOKUP(AS$4,'Physical Effects-Numbers'!$B$1:$AU$172,$B17,FALSE)&lt;0,HLOOKUP(AS$4,'Physical Effects-Numbers'!$B$1:$AU$172,$B17,FALSE),""))</f>
        <v/>
      </c>
      <c r="AT17" s="488" t="str">
        <f>IF(AT$4="","",IF(HLOOKUP(AT$4,'Physical Effects-Numbers'!$B$1:$AU$172,$B17,FALSE)&lt;0,HLOOKUP(AT$4,'Physical Effects-Numbers'!$B$1:$AU$172,$B17,FALSE),""))</f>
        <v/>
      </c>
      <c r="AU17" s="488" t="str">
        <f>IF(AU$4="","",IF(HLOOKUP(AU$4,'Physical Effects-Numbers'!$B$1:$AU$172,$B17,FALSE)&lt;0,HLOOKUP(AU$4,'Physical Effects-Numbers'!$B$1:$AU$172,$B17,FALSE),""))</f>
        <v/>
      </c>
      <c r="AV17" s="488" t="str">
        <f>IF(AV$4="","",IF(HLOOKUP(AV$4,'Physical Effects-Numbers'!$B$1:$AU$167,$B17,FALSE)&lt;0,HLOOKUP(AV$4,'Physical Effects-Numbers'!$B$1:$AU$167,$B17,FALSE),""))</f>
        <v/>
      </c>
    </row>
    <row r="18" spans="2:48" x14ac:dyDescent="0.2">
      <c r="B18" s="487">
        <f t="shared" si="0"/>
        <v>15</v>
      </c>
      <c r="C18" s="486" t="str">
        <f>+'Physical Effects-Numbers'!B15</f>
        <v>Bivalve Aquaculture Gear and Biofouling Control</v>
      </c>
      <c r="D18" s="488" t="str">
        <f>IF(D$4="","",IF(HLOOKUP(D$4,'Physical Effects-Numbers'!$B$1:$AU$172,$B18,FALSE)&lt;0,HLOOKUP(D$4,'Physical Effects-Numbers'!$B$1:$AU$172,$B18,FALSE),""))</f>
        <v/>
      </c>
      <c r="E18" s="488" t="str">
        <f>IF(E$4="","",IF(HLOOKUP(E$4,'Physical Effects-Numbers'!$B$1:$AU$172,$B18,FALSE)&lt;0,HLOOKUP(E$4,'Physical Effects-Numbers'!$B$1:$AU$172,$B18,FALSE),""))</f>
        <v/>
      </c>
      <c r="F18" s="488" t="str">
        <f>IF(F$4="","",IF(HLOOKUP(F$4,'Physical Effects-Numbers'!$B$1:$AU$172,$B18,FALSE)&lt;0,HLOOKUP(F$4,'Physical Effects-Numbers'!$B$1:$AU$172,$B18,FALSE),""))</f>
        <v/>
      </c>
      <c r="G18" s="488" t="str">
        <f>IF(G$4="","",IF(HLOOKUP(G$4,'Physical Effects-Numbers'!$B$1:$AU$172,$B18,FALSE)&lt;0,HLOOKUP(G$4,'Physical Effects-Numbers'!$B$1:$AU$172,$B18,FALSE),""))</f>
        <v/>
      </c>
      <c r="H18" s="488" t="str">
        <f>IF(H$4="","",IF(HLOOKUP(H$4,'Physical Effects-Numbers'!$B$1:$AU$172,$B18,FALSE)&lt;0,HLOOKUP(H$4,'Physical Effects-Numbers'!$B$1:$AU$172,$B18,FALSE),""))</f>
        <v/>
      </c>
      <c r="I18" s="488" t="str">
        <f>IF(I$4="","",IF(HLOOKUP(I$4,'Physical Effects-Numbers'!$B$1:$AU$172,$B18,FALSE)&lt;0,HLOOKUP(I$4,'Physical Effects-Numbers'!$B$1:$AU$172,$B18,FALSE),""))</f>
        <v/>
      </c>
      <c r="J18" s="488" t="str">
        <f>IF(J$4="","",IF(HLOOKUP(J$4,'Physical Effects-Numbers'!$B$1:$AU$172,$B18,FALSE)&lt;0,HLOOKUP(J$4,'Physical Effects-Numbers'!$B$1:$AU$172,$B18,FALSE),""))</f>
        <v/>
      </c>
      <c r="K18" s="488" t="str">
        <f>IF(K$4="","",IF(HLOOKUP(K$4,'Physical Effects-Numbers'!$B$1:$AU$172,$B18,FALSE)&lt;0,HLOOKUP(K$4,'Physical Effects-Numbers'!$B$1:$AU$172,$B18,FALSE),""))</f>
        <v/>
      </c>
      <c r="L18" s="488" t="str">
        <f>IF(L$4="","",IF(HLOOKUP(L$4,'Physical Effects-Numbers'!$B$1:$AU$172,$B18,FALSE)&lt;0,HLOOKUP(L$4,'Physical Effects-Numbers'!$B$1:$AU$172,$B18,FALSE),""))</f>
        <v/>
      </c>
      <c r="M18" s="488" t="str">
        <f>IF(M$4="","",IF(HLOOKUP(M$4,'Physical Effects-Numbers'!$B$1:$AU$172,$B18,FALSE)&lt;0,HLOOKUP(M$4,'Physical Effects-Numbers'!$B$1:$AU$172,$B18,FALSE),""))</f>
        <v/>
      </c>
      <c r="N18" s="488" t="str">
        <f>IF(N$4="","",IF(HLOOKUP(N$4,'Physical Effects-Numbers'!$B$1:$AU$172,$B18,FALSE)&lt;0,HLOOKUP(N$4,'Physical Effects-Numbers'!$B$1:$AU$172,$B18,FALSE),""))</f>
        <v/>
      </c>
      <c r="O18" s="488" t="str">
        <f>IF(O$4="","",IF(HLOOKUP(O$4,'Physical Effects-Numbers'!$B$1:$AU$172,$B18,FALSE)&lt;0,HLOOKUP(O$4,'Physical Effects-Numbers'!$B$1:$AU$172,$B18,FALSE),""))</f>
        <v/>
      </c>
      <c r="P18" s="488" t="str">
        <f>IF(P$4="","",IF(HLOOKUP(P$4,'Physical Effects-Numbers'!$B$1:$AU$172,$B18,FALSE)&lt;0,HLOOKUP(P$4,'Physical Effects-Numbers'!$B$1:$AU$172,$B18,FALSE),""))</f>
        <v/>
      </c>
      <c r="Q18" s="488" t="str">
        <f>IF(Q$4="","",IF(HLOOKUP(Q$4,'Physical Effects-Numbers'!$B$1:$AU$172,$B18,FALSE)&lt;0,HLOOKUP(Q$4,'Physical Effects-Numbers'!$B$1:$AU$172,$B18,FALSE),""))</f>
        <v/>
      </c>
      <c r="R18" s="488" t="str">
        <f>IF(R$4="","",IF(HLOOKUP(R$4,'Physical Effects-Numbers'!$B$1:$AU$172,$B18,FALSE)&lt;0,HLOOKUP(R$4,'Physical Effects-Numbers'!$B$1:$AU$172,$B18,FALSE),""))</f>
        <v/>
      </c>
      <c r="S18" s="488" t="str">
        <f>IF(S$4="","",IF(HLOOKUP(S$4,'Physical Effects-Numbers'!$B$1:$AU$172,$B18,FALSE)&lt;0,HLOOKUP(S$4,'Physical Effects-Numbers'!$B$1:$AU$172,$B18,FALSE),""))</f>
        <v/>
      </c>
      <c r="T18" s="488" t="str">
        <f>IF(T$4="","",IF(HLOOKUP(T$4,'Physical Effects-Numbers'!$B$1:$AU$172,$B18,FALSE)&lt;0,HLOOKUP(T$4,'Physical Effects-Numbers'!$B$1:$AU$172,$B18,FALSE),""))</f>
        <v/>
      </c>
      <c r="U18" s="488" t="str">
        <f>IF(U$4="","",IF(HLOOKUP(U$4,'Physical Effects-Numbers'!$B$1:$AU$172,$B18,FALSE)&lt;0,HLOOKUP(U$4,'Physical Effects-Numbers'!$B$1:$AU$172,$B18,FALSE),""))</f>
        <v/>
      </c>
      <c r="V18" s="488" t="str">
        <f>IF(V$4="","",IF(HLOOKUP(V$4,'Physical Effects-Numbers'!$B$1:$AU$172,$B18,FALSE)&lt;0,HLOOKUP(V$4,'Physical Effects-Numbers'!$B$1:$AU$172,$B18,FALSE),""))</f>
        <v/>
      </c>
      <c r="W18" s="488" t="str">
        <f>IF(W$4="","",IF(HLOOKUP(W$4,'Physical Effects-Numbers'!$B$1:$AU$172,$B18,FALSE)&lt;0,HLOOKUP(W$4,'Physical Effects-Numbers'!$B$1:$AU$172,$B18,FALSE),""))</f>
        <v/>
      </c>
      <c r="X18" s="488" t="str">
        <f>IF(X$4="","",IF(HLOOKUP(X$4,'Physical Effects-Numbers'!$B$1:$AU$172,$B18,FALSE)&lt;0,HLOOKUP(X$4,'Physical Effects-Numbers'!$B$1:$AU$172,$B18,FALSE),""))</f>
        <v/>
      </c>
      <c r="Y18" s="488" t="str">
        <f>IF(Y$4="","",IF(HLOOKUP(Y$4,'Physical Effects-Numbers'!$B$1:$AU$172,$B18,FALSE)&lt;0,HLOOKUP(Y$4,'Physical Effects-Numbers'!$B$1:$AU$172,$B18,FALSE),""))</f>
        <v/>
      </c>
      <c r="Z18" s="488" t="str">
        <f>IF(Z$4="","",IF(HLOOKUP(Z$4,'Physical Effects-Numbers'!$B$1:$AU$172,$B18,FALSE)&lt;0,HLOOKUP(Z$4,'Physical Effects-Numbers'!$B$1:$AU$172,$B18,FALSE),""))</f>
        <v/>
      </c>
      <c r="AA18" s="488" t="str">
        <f>IF(AA$4="","",IF(HLOOKUP(AA$4,'Physical Effects-Numbers'!$B$1:$AU$172,$B18,FALSE)&lt;0,HLOOKUP(AA$4,'Physical Effects-Numbers'!$B$1:$AU$172,$B18,FALSE),""))</f>
        <v/>
      </c>
      <c r="AB18" s="488" t="str">
        <f>IF(AB$4="","",IF(HLOOKUP(AB$4,'Physical Effects-Numbers'!$B$1:$AU$172,$B18,FALSE)&lt;0,HLOOKUP(AB$4,'Physical Effects-Numbers'!$B$1:$AU$172,$B18,FALSE),""))</f>
        <v/>
      </c>
      <c r="AC18" s="488" t="str">
        <f>IF(AC$4="","",IF(HLOOKUP(AC$4,'Physical Effects-Numbers'!$B$1:$AU$172,$B18,FALSE)&lt;0,HLOOKUP(AC$4,'Physical Effects-Numbers'!$B$1:$AU$172,$B18,FALSE),""))</f>
        <v/>
      </c>
      <c r="AD18" s="488" t="str">
        <f>IF(AD$4="","",IF(HLOOKUP(AD$4,'Physical Effects-Numbers'!$B$1:$AU$172,$B18,FALSE)&lt;0,HLOOKUP(AD$4,'Physical Effects-Numbers'!$B$1:$AU$172,$B18,FALSE),""))</f>
        <v/>
      </c>
      <c r="AE18" s="488" t="str">
        <f>IF(AE$4="","",IF(HLOOKUP(AE$4,'Physical Effects-Numbers'!$B$1:$AU$172,$B18,FALSE)&lt;0,HLOOKUP(AE$4,'Physical Effects-Numbers'!$B$1:$AU$172,$B18,FALSE),""))</f>
        <v/>
      </c>
      <c r="AF18" s="488" t="str">
        <f>IF(AF$4="","",IF(HLOOKUP(AF$4,'Physical Effects-Numbers'!$B$1:$AU$172,$B18,FALSE)&lt;0,HLOOKUP(AF$4,'Physical Effects-Numbers'!$B$1:$AU$172,$B18,FALSE),""))</f>
        <v/>
      </c>
      <c r="AG18" s="488" t="str">
        <f>IF(AG$4="","",IF(HLOOKUP(AG$4,'Physical Effects-Numbers'!$B$1:$AU$172,$B18,FALSE)&lt;0,HLOOKUP(AG$4,'Physical Effects-Numbers'!$B$1:$AU$172,$B18,FALSE),""))</f>
        <v/>
      </c>
      <c r="AH18" s="488" t="str">
        <f>IF(AH$4="","",IF(HLOOKUP(AH$4,'Physical Effects-Numbers'!$B$1:$AU$172,$B18,FALSE)&lt;0,HLOOKUP(AH$4,'Physical Effects-Numbers'!$B$1:$AU$172,$B18,FALSE),""))</f>
        <v/>
      </c>
      <c r="AI18" s="488" t="str">
        <f>IF(AI$4="","",IF(HLOOKUP(AI$4,'Physical Effects-Numbers'!$B$1:$AU$172,$B18,FALSE)&lt;0,HLOOKUP(AI$4,'Physical Effects-Numbers'!$B$1:$AU$172,$B18,FALSE),""))</f>
        <v/>
      </c>
      <c r="AJ18" s="488" t="str">
        <f>IF(AJ$4="","",IF(HLOOKUP(AJ$4,'Physical Effects-Numbers'!$B$1:$AU$172,$B18,FALSE)&lt;0,HLOOKUP(AJ$4,'Physical Effects-Numbers'!$B$1:$AU$172,$B18,FALSE),""))</f>
        <v/>
      </c>
      <c r="AK18" s="488" t="str">
        <f>IF(AK$4="","",IF(HLOOKUP(AK$4,'Physical Effects-Numbers'!$B$1:$AU$172,$B18,FALSE)&lt;0,HLOOKUP(AK$4,'Physical Effects-Numbers'!$B$1:$AU$172,$B18,FALSE),""))</f>
        <v/>
      </c>
      <c r="AL18" s="488" t="str">
        <f>IF(AL$4="","",IF(HLOOKUP(AL$4,'Physical Effects-Numbers'!$B$1:$AU$172,$B18,FALSE)&lt;0,HLOOKUP(AL$4,'Physical Effects-Numbers'!$B$1:$AU$172,$B18,FALSE),""))</f>
        <v/>
      </c>
      <c r="AM18" s="488" t="str">
        <f>IF(AM$4="","",IF(HLOOKUP(AM$4,'Physical Effects-Numbers'!$B$1:$AU$172,$B18,FALSE)&lt;0,HLOOKUP(AM$4,'Physical Effects-Numbers'!$B$1:$AU$172,$B18,FALSE),""))</f>
        <v/>
      </c>
      <c r="AN18" s="488" t="str">
        <f>IF(AN$4="","",IF(HLOOKUP(AN$4,'Physical Effects-Numbers'!$B$1:$AU$172,$B18,FALSE)&lt;0,HLOOKUP(AN$4,'Physical Effects-Numbers'!$B$1:$AU$172,$B18,FALSE),""))</f>
        <v/>
      </c>
      <c r="AO18" s="488" t="str">
        <f>IF(AO$4="","",IF(HLOOKUP(AO$4,'Physical Effects-Numbers'!$B$1:$AU$172,$B18,FALSE)&lt;0,HLOOKUP(AO$4,'Physical Effects-Numbers'!$B$1:$AU$172,$B18,FALSE),""))</f>
        <v/>
      </c>
      <c r="AP18" s="488" t="str">
        <f>IF(AP$4="","",IF(HLOOKUP(AP$4,'Physical Effects-Numbers'!$B$1:$AU$172,$B18,FALSE)&lt;0,HLOOKUP(AP$4,'Physical Effects-Numbers'!$B$1:$AU$172,$B18,FALSE),""))</f>
        <v/>
      </c>
      <c r="AQ18" s="488" t="str">
        <f>IF(AQ$4="","",IF(HLOOKUP(AQ$4,'Physical Effects-Numbers'!$B$1:$AU$172,$B18,FALSE)&lt;0,HLOOKUP(AQ$4,'Physical Effects-Numbers'!$B$1:$AU$172,$B18,FALSE),""))</f>
        <v/>
      </c>
      <c r="AR18" s="488" t="str">
        <f>IF(AR$4="","",IF(HLOOKUP(AR$4,'Physical Effects-Numbers'!$B$1:$AU$172,$B18,FALSE)&lt;0,HLOOKUP(AR$4,'Physical Effects-Numbers'!$B$1:$AU$172,$B18,FALSE),""))</f>
        <v/>
      </c>
      <c r="AS18" s="488" t="str">
        <f>IF(AS$4="","",IF(HLOOKUP(AS$4,'Physical Effects-Numbers'!$B$1:$AU$172,$B18,FALSE)&lt;0,HLOOKUP(AS$4,'Physical Effects-Numbers'!$B$1:$AU$172,$B18,FALSE),""))</f>
        <v/>
      </c>
      <c r="AT18" s="488" t="str">
        <f>IF(AT$4="","",IF(HLOOKUP(AT$4,'Physical Effects-Numbers'!$B$1:$AU$172,$B18,FALSE)&lt;0,HLOOKUP(AT$4,'Physical Effects-Numbers'!$B$1:$AU$172,$B18,FALSE),""))</f>
        <v/>
      </c>
      <c r="AU18" s="488" t="str">
        <f>IF(AU$4="","",IF(HLOOKUP(AU$4,'Physical Effects-Numbers'!$B$1:$AU$172,$B18,FALSE)&lt;0,HLOOKUP(AU$4,'Physical Effects-Numbers'!$B$1:$AU$172,$B18,FALSE),""))</f>
        <v/>
      </c>
      <c r="AV18" s="488" t="str">
        <f>IF(AV$4="","",IF(HLOOKUP(AV$4,'Physical Effects-Numbers'!$B$1:$AU$167,$B18,FALSE)&lt;0,HLOOKUP(AV$4,'Physical Effects-Numbers'!$B$1:$AU$167,$B18,FALSE),""))</f>
        <v/>
      </c>
    </row>
    <row r="19" spans="2:48" x14ac:dyDescent="0.2">
      <c r="B19" s="487">
        <f t="shared" si="0"/>
        <v>16</v>
      </c>
      <c r="C19" s="486" t="str">
        <f>+'Physical Effects-Numbers'!B16</f>
        <v>Brush Management</v>
      </c>
      <c r="D19" s="488" t="str">
        <f>IF(D$4="","",IF(HLOOKUP(D$4,'Physical Effects-Numbers'!$B$1:$AU$172,$B19,FALSE)&lt;0,HLOOKUP(D$4,'Physical Effects-Numbers'!$B$1:$AU$172,$B19,FALSE),""))</f>
        <v/>
      </c>
      <c r="E19" s="488" t="str">
        <f>IF(E$4="","",IF(HLOOKUP(E$4,'Physical Effects-Numbers'!$B$1:$AU$172,$B19,FALSE)&lt;0,HLOOKUP(E$4,'Physical Effects-Numbers'!$B$1:$AU$172,$B19,FALSE),""))</f>
        <v/>
      </c>
      <c r="F19" s="488" t="str">
        <f>IF(F$4="","",IF(HLOOKUP(F$4,'Physical Effects-Numbers'!$B$1:$AU$172,$B19,FALSE)&lt;0,HLOOKUP(F$4,'Physical Effects-Numbers'!$B$1:$AU$172,$B19,FALSE),""))</f>
        <v/>
      </c>
      <c r="G19" s="488" t="str">
        <f>IF(G$4="","",IF(HLOOKUP(G$4,'Physical Effects-Numbers'!$B$1:$AU$172,$B19,FALSE)&lt;0,HLOOKUP(G$4,'Physical Effects-Numbers'!$B$1:$AU$172,$B19,FALSE),""))</f>
        <v/>
      </c>
      <c r="H19" s="488" t="str">
        <f>IF(H$4="","",IF(HLOOKUP(H$4,'Physical Effects-Numbers'!$B$1:$AU$172,$B19,FALSE)&lt;0,HLOOKUP(H$4,'Physical Effects-Numbers'!$B$1:$AU$172,$B19,FALSE),""))</f>
        <v/>
      </c>
      <c r="I19" s="488" t="str">
        <f>IF(I$4="","",IF(HLOOKUP(I$4,'Physical Effects-Numbers'!$B$1:$AU$172,$B19,FALSE)&lt;0,HLOOKUP(I$4,'Physical Effects-Numbers'!$B$1:$AU$172,$B19,FALSE),""))</f>
        <v/>
      </c>
      <c r="J19" s="488" t="str">
        <f>IF(J$4="","",IF(HLOOKUP(J$4,'Physical Effects-Numbers'!$B$1:$AU$172,$B19,FALSE)&lt;0,HLOOKUP(J$4,'Physical Effects-Numbers'!$B$1:$AU$172,$B19,FALSE),""))</f>
        <v/>
      </c>
      <c r="K19" s="488" t="str">
        <f>IF(K$4="","",IF(HLOOKUP(K$4,'Physical Effects-Numbers'!$B$1:$AU$172,$B19,FALSE)&lt;0,HLOOKUP(K$4,'Physical Effects-Numbers'!$B$1:$AU$172,$B19,FALSE),""))</f>
        <v/>
      </c>
      <c r="L19" s="488" t="str">
        <f>IF(L$4="","",IF(HLOOKUP(L$4,'Physical Effects-Numbers'!$B$1:$AU$172,$B19,FALSE)&lt;0,HLOOKUP(L$4,'Physical Effects-Numbers'!$B$1:$AU$172,$B19,FALSE),""))</f>
        <v/>
      </c>
      <c r="M19" s="488" t="str">
        <f>IF(M$4="","",IF(HLOOKUP(M$4,'Physical Effects-Numbers'!$B$1:$AU$172,$B19,FALSE)&lt;0,HLOOKUP(M$4,'Physical Effects-Numbers'!$B$1:$AU$172,$B19,FALSE),""))</f>
        <v/>
      </c>
      <c r="N19" s="488" t="str">
        <f>IF(N$4="","",IF(HLOOKUP(N$4,'Physical Effects-Numbers'!$B$1:$AU$172,$B19,FALSE)&lt;0,HLOOKUP(N$4,'Physical Effects-Numbers'!$B$1:$AU$172,$B19,FALSE),""))</f>
        <v/>
      </c>
      <c r="O19" s="488" t="str">
        <f>IF(O$4="","",IF(HLOOKUP(O$4,'Physical Effects-Numbers'!$B$1:$AU$172,$B19,FALSE)&lt;0,HLOOKUP(O$4,'Physical Effects-Numbers'!$B$1:$AU$172,$B19,FALSE),""))</f>
        <v/>
      </c>
      <c r="P19" s="488" t="str">
        <f>IF(P$4="","",IF(HLOOKUP(P$4,'Physical Effects-Numbers'!$B$1:$AU$172,$B19,FALSE)&lt;0,HLOOKUP(P$4,'Physical Effects-Numbers'!$B$1:$AU$172,$B19,FALSE),""))</f>
        <v/>
      </c>
      <c r="Q19" s="488" t="str">
        <f>IF(Q$4="","",IF(HLOOKUP(Q$4,'Physical Effects-Numbers'!$B$1:$AU$172,$B19,FALSE)&lt;0,HLOOKUP(Q$4,'Physical Effects-Numbers'!$B$1:$AU$172,$B19,FALSE),""))</f>
        <v/>
      </c>
      <c r="R19" s="488" t="str">
        <f>IF(R$4="","",IF(HLOOKUP(R$4,'Physical Effects-Numbers'!$B$1:$AU$172,$B19,FALSE)&lt;0,HLOOKUP(R$4,'Physical Effects-Numbers'!$B$1:$AU$172,$B19,FALSE),""))</f>
        <v/>
      </c>
      <c r="S19" s="488">
        <f>IF(S$4="","",IF(HLOOKUP(S$4,'Physical Effects-Numbers'!$B$1:$AU$172,$B19,FALSE)&lt;0,HLOOKUP(S$4,'Physical Effects-Numbers'!$B$1:$AU$172,$B19,FALSE),""))</f>
        <v>-1</v>
      </c>
      <c r="T19" s="488" t="str">
        <f>IF(T$4="","",IF(HLOOKUP(T$4,'Physical Effects-Numbers'!$B$1:$AU$172,$B19,FALSE)&lt;0,HLOOKUP(T$4,'Physical Effects-Numbers'!$B$1:$AU$172,$B19,FALSE),""))</f>
        <v/>
      </c>
      <c r="U19" s="488" t="str">
        <f>IF(U$4="","",IF(HLOOKUP(U$4,'Physical Effects-Numbers'!$B$1:$AU$172,$B19,FALSE)&lt;0,HLOOKUP(U$4,'Physical Effects-Numbers'!$B$1:$AU$172,$B19,FALSE),""))</f>
        <v/>
      </c>
      <c r="V19" s="488" t="str">
        <f>IF(V$4="","",IF(HLOOKUP(V$4,'Physical Effects-Numbers'!$B$1:$AU$172,$B19,FALSE)&lt;0,HLOOKUP(V$4,'Physical Effects-Numbers'!$B$1:$AU$172,$B19,FALSE),""))</f>
        <v/>
      </c>
      <c r="W19" s="488" t="str">
        <f>IF(W$4="","",IF(HLOOKUP(W$4,'Physical Effects-Numbers'!$B$1:$AU$172,$B19,FALSE)&lt;0,HLOOKUP(W$4,'Physical Effects-Numbers'!$B$1:$AU$172,$B19,FALSE),""))</f>
        <v/>
      </c>
      <c r="X19" s="488" t="str">
        <f>IF(X$4="","",IF(HLOOKUP(X$4,'Physical Effects-Numbers'!$B$1:$AU$172,$B19,FALSE)&lt;0,HLOOKUP(X$4,'Physical Effects-Numbers'!$B$1:$AU$172,$B19,FALSE),""))</f>
        <v/>
      </c>
      <c r="Y19" s="488" t="str">
        <f>IF(Y$4="","",IF(HLOOKUP(Y$4,'Physical Effects-Numbers'!$B$1:$AU$172,$B19,FALSE)&lt;0,HLOOKUP(Y$4,'Physical Effects-Numbers'!$B$1:$AU$172,$B19,FALSE),""))</f>
        <v/>
      </c>
      <c r="Z19" s="488" t="str">
        <f>IF(Z$4="","",IF(HLOOKUP(Z$4,'Physical Effects-Numbers'!$B$1:$AU$172,$B19,FALSE)&lt;0,HLOOKUP(Z$4,'Physical Effects-Numbers'!$B$1:$AU$172,$B19,FALSE),""))</f>
        <v/>
      </c>
      <c r="AA19" s="488" t="str">
        <f>IF(AA$4="","",IF(HLOOKUP(AA$4,'Physical Effects-Numbers'!$B$1:$AU$172,$B19,FALSE)&lt;0,HLOOKUP(AA$4,'Physical Effects-Numbers'!$B$1:$AU$172,$B19,FALSE),""))</f>
        <v/>
      </c>
      <c r="AB19" s="488" t="str">
        <f>IF(AB$4="","",IF(HLOOKUP(AB$4,'Physical Effects-Numbers'!$B$1:$AU$172,$B19,FALSE)&lt;0,HLOOKUP(AB$4,'Physical Effects-Numbers'!$B$1:$AU$172,$B19,FALSE),""))</f>
        <v/>
      </c>
      <c r="AC19" s="488" t="str">
        <f>IF(AC$4="","",IF(HLOOKUP(AC$4,'Physical Effects-Numbers'!$B$1:$AU$172,$B19,FALSE)&lt;0,HLOOKUP(AC$4,'Physical Effects-Numbers'!$B$1:$AU$172,$B19,FALSE),""))</f>
        <v/>
      </c>
      <c r="AD19" s="488" t="str">
        <f>IF(AD$4="","",IF(HLOOKUP(AD$4,'Physical Effects-Numbers'!$B$1:$AU$172,$B19,FALSE)&lt;0,HLOOKUP(AD$4,'Physical Effects-Numbers'!$B$1:$AU$172,$B19,FALSE),""))</f>
        <v/>
      </c>
      <c r="AE19" s="488" t="str">
        <f>IF(AE$4="","",IF(HLOOKUP(AE$4,'Physical Effects-Numbers'!$B$1:$AU$172,$B19,FALSE)&lt;0,HLOOKUP(AE$4,'Physical Effects-Numbers'!$B$1:$AU$172,$B19,FALSE),""))</f>
        <v/>
      </c>
      <c r="AF19" s="488" t="str">
        <f>IF(AF$4="","",IF(HLOOKUP(AF$4,'Physical Effects-Numbers'!$B$1:$AU$172,$B19,FALSE)&lt;0,HLOOKUP(AF$4,'Physical Effects-Numbers'!$B$1:$AU$172,$B19,FALSE),""))</f>
        <v/>
      </c>
      <c r="AG19" s="488" t="str">
        <f>IF(AG$4="","",IF(HLOOKUP(AG$4,'Physical Effects-Numbers'!$B$1:$AU$172,$B19,FALSE)&lt;0,HLOOKUP(AG$4,'Physical Effects-Numbers'!$B$1:$AU$172,$B19,FALSE),""))</f>
        <v/>
      </c>
      <c r="AH19" s="488" t="str">
        <f>IF(AH$4="","",IF(HLOOKUP(AH$4,'Physical Effects-Numbers'!$B$1:$AU$172,$B19,FALSE)&lt;0,HLOOKUP(AH$4,'Physical Effects-Numbers'!$B$1:$AU$172,$B19,FALSE),""))</f>
        <v/>
      </c>
      <c r="AI19" s="488" t="str">
        <f>IF(AI$4="","",IF(HLOOKUP(AI$4,'Physical Effects-Numbers'!$B$1:$AU$172,$B19,FALSE)&lt;0,HLOOKUP(AI$4,'Physical Effects-Numbers'!$B$1:$AU$172,$B19,FALSE),""))</f>
        <v/>
      </c>
      <c r="AJ19" s="488" t="str">
        <f>IF(AJ$4="","",IF(HLOOKUP(AJ$4,'Physical Effects-Numbers'!$B$1:$AU$172,$B19,FALSE)&lt;0,HLOOKUP(AJ$4,'Physical Effects-Numbers'!$B$1:$AU$172,$B19,FALSE),""))</f>
        <v/>
      </c>
      <c r="AK19" s="488" t="str">
        <f>IF(AK$4="","",IF(HLOOKUP(AK$4,'Physical Effects-Numbers'!$B$1:$AU$172,$B19,FALSE)&lt;0,HLOOKUP(AK$4,'Physical Effects-Numbers'!$B$1:$AU$172,$B19,FALSE),""))</f>
        <v/>
      </c>
      <c r="AL19" s="488" t="str">
        <f>IF(AL$4="","",IF(HLOOKUP(AL$4,'Physical Effects-Numbers'!$B$1:$AU$172,$B19,FALSE)&lt;0,HLOOKUP(AL$4,'Physical Effects-Numbers'!$B$1:$AU$172,$B19,FALSE),""))</f>
        <v/>
      </c>
      <c r="AM19" s="488" t="str">
        <f>IF(AM$4="","",IF(HLOOKUP(AM$4,'Physical Effects-Numbers'!$B$1:$AU$172,$B19,FALSE)&lt;0,HLOOKUP(AM$4,'Physical Effects-Numbers'!$B$1:$AU$172,$B19,FALSE),""))</f>
        <v/>
      </c>
      <c r="AN19" s="488" t="str">
        <f>IF(AN$4="","",IF(HLOOKUP(AN$4,'Physical Effects-Numbers'!$B$1:$AU$172,$B19,FALSE)&lt;0,HLOOKUP(AN$4,'Physical Effects-Numbers'!$B$1:$AU$172,$B19,FALSE),""))</f>
        <v/>
      </c>
      <c r="AO19" s="488" t="str">
        <f>IF(AO$4="","",IF(HLOOKUP(AO$4,'Physical Effects-Numbers'!$B$1:$AU$172,$B19,FALSE)&lt;0,HLOOKUP(AO$4,'Physical Effects-Numbers'!$B$1:$AU$172,$B19,FALSE),""))</f>
        <v/>
      </c>
      <c r="AP19" s="488" t="str">
        <f>IF(AP$4="","",IF(HLOOKUP(AP$4,'Physical Effects-Numbers'!$B$1:$AU$172,$B19,FALSE)&lt;0,HLOOKUP(AP$4,'Physical Effects-Numbers'!$B$1:$AU$172,$B19,FALSE),""))</f>
        <v/>
      </c>
      <c r="AQ19" s="488" t="str">
        <f>IF(AQ$4="","",IF(HLOOKUP(AQ$4,'Physical Effects-Numbers'!$B$1:$AU$172,$B19,FALSE)&lt;0,HLOOKUP(AQ$4,'Physical Effects-Numbers'!$B$1:$AU$172,$B19,FALSE),""))</f>
        <v/>
      </c>
      <c r="AR19" s="488" t="str">
        <f>IF(AR$4="","",IF(HLOOKUP(AR$4,'Physical Effects-Numbers'!$B$1:$AU$172,$B19,FALSE)&lt;0,HLOOKUP(AR$4,'Physical Effects-Numbers'!$B$1:$AU$172,$B19,FALSE),""))</f>
        <v/>
      </c>
      <c r="AS19" s="488" t="str">
        <f>IF(AS$4="","",IF(HLOOKUP(AS$4,'Physical Effects-Numbers'!$B$1:$AU$172,$B19,FALSE)&lt;0,HLOOKUP(AS$4,'Physical Effects-Numbers'!$B$1:$AU$172,$B19,FALSE),""))</f>
        <v/>
      </c>
      <c r="AT19" s="488" t="str">
        <f>IF(AT$4="","",IF(HLOOKUP(AT$4,'Physical Effects-Numbers'!$B$1:$AU$172,$B19,FALSE)&lt;0,HLOOKUP(AT$4,'Physical Effects-Numbers'!$B$1:$AU$172,$B19,FALSE),""))</f>
        <v/>
      </c>
      <c r="AU19" s="488" t="str">
        <f>IF(AU$4="","",IF(HLOOKUP(AU$4,'Physical Effects-Numbers'!$B$1:$AU$172,$B19,FALSE)&lt;0,HLOOKUP(AU$4,'Physical Effects-Numbers'!$B$1:$AU$172,$B19,FALSE),""))</f>
        <v/>
      </c>
      <c r="AV19" s="488" t="str">
        <f>IF(AV$4="","",IF(HLOOKUP(AV$4,'Physical Effects-Numbers'!$B$1:$AU$167,$B19,FALSE)&lt;0,HLOOKUP(AV$4,'Physical Effects-Numbers'!$B$1:$AU$167,$B19,FALSE),""))</f>
        <v/>
      </c>
    </row>
    <row r="20" spans="2:48" x14ac:dyDescent="0.2">
      <c r="B20" s="487">
        <f t="shared" si="0"/>
        <v>17</v>
      </c>
      <c r="C20" s="486" t="str">
        <f>+'Physical Effects-Numbers'!B17</f>
        <v>Building Envelope Improvement</v>
      </c>
      <c r="D20" s="488" t="str">
        <f>IF(D$4="","",IF(HLOOKUP(D$4,'Physical Effects-Numbers'!$B$1:$AU$172,$B20,FALSE)&lt;0,HLOOKUP(D$4,'Physical Effects-Numbers'!$B$1:$AU$172,$B20,FALSE),""))</f>
        <v/>
      </c>
      <c r="E20" s="488" t="str">
        <f>IF(E$4="","",IF(HLOOKUP(E$4,'Physical Effects-Numbers'!$B$1:$AU$172,$B20,FALSE)&lt;0,HLOOKUP(E$4,'Physical Effects-Numbers'!$B$1:$AU$172,$B20,FALSE),""))</f>
        <v/>
      </c>
      <c r="F20" s="488" t="str">
        <f>IF(F$4="","",IF(HLOOKUP(F$4,'Physical Effects-Numbers'!$B$1:$AU$172,$B20,FALSE)&lt;0,HLOOKUP(F$4,'Physical Effects-Numbers'!$B$1:$AU$172,$B20,FALSE),""))</f>
        <v/>
      </c>
      <c r="G20" s="488" t="str">
        <f>IF(G$4="","",IF(HLOOKUP(G$4,'Physical Effects-Numbers'!$B$1:$AU$172,$B20,FALSE)&lt;0,HLOOKUP(G$4,'Physical Effects-Numbers'!$B$1:$AU$172,$B20,FALSE),""))</f>
        <v/>
      </c>
      <c r="H20" s="488" t="str">
        <f>IF(H$4="","",IF(HLOOKUP(H$4,'Physical Effects-Numbers'!$B$1:$AU$172,$B20,FALSE)&lt;0,HLOOKUP(H$4,'Physical Effects-Numbers'!$B$1:$AU$172,$B20,FALSE),""))</f>
        <v/>
      </c>
      <c r="I20" s="488" t="str">
        <f>IF(I$4="","",IF(HLOOKUP(I$4,'Physical Effects-Numbers'!$B$1:$AU$172,$B20,FALSE)&lt;0,HLOOKUP(I$4,'Physical Effects-Numbers'!$B$1:$AU$172,$B20,FALSE),""))</f>
        <v/>
      </c>
      <c r="J20" s="488" t="str">
        <f>IF(J$4="","",IF(HLOOKUP(J$4,'Physical Effects-Numbers'!$B$1:$AU$172,$B20,FALSE)&lt;0,HLOOKUP(J$4,'Physical Effects-Numbers'!$B$1:$AU$172,$B20,FALSE),""))</f>
        <v/>
      </c>
      <c r="K20" s="488" t="str">
        <f>IF(K$4="","",IF(HLOOKUP(K$4,'Physical Effects-Numbers'!$B$1:$AU$172,$B20,FALSE)&lt;0,HLOOKUP(K$4,'Physical Effects-Numbers'!$B$1:$AU$172,$B20,FALSE),""))</f>
        <v/>
      </c>
      <c r="L20" s="488" t="str">
        <f>IF(L$4="","",IF(HLOOKUP(L$4,'Physical Effects-Numbers'!$B$1:$AU$172,$B20,FALSE)&lt;0,HLOOKUP(L$4,'Physical Effects-Numbers'!$B$1:$AU$172,$B20,FALSE),""))</f>
        <v/>
      </c>
      <c r="M20" s="488" t="str">
        <f>IF(M$4="","",IF(HLOOKUP(M$4,'Physical Effects-Numbers'!$B$1:$AU$172,$B20,FALSE)&lt;0,HLOOKUP(M$4,'Physical Effects-Numbers'!$B$1:$AU$172,$B20,FALSE),""))</f>
        <v/>
      </c>
      <c r="N20" s="488" t="str">
        <f>IF(N$4="","",IF(HLOOKUP(N$4,'Physical Effects-Numbers'!$B$1:$AU$172,$B20,FALSE)&lt;0,HLOOKUP(N$4,'Physical Effects-Numbers'!$B$1:$AU$172,$B20,FALSE),""))</f>
        <v/>
      </c>
      <c r="O20" s="488" t="str">
        <f>IF(O$4="","",IF(HLOOKUP(O$4,'Physical Effects-Numbers'!$B$1:$AU$172,$B20,FALSE)&lt;0,HLOOKUP(O$4,'Physical Effects-Numbers'!$B$1:$AU$172,$B20,FALSE),""))</f>
        <v/>
      </c>
      <c r="P20" s="488" t="str">
        <f>IF(P$4="","",IF(HLOOKUP(P$4,'Physical Effects-Numbers'!$B$1:$AU$172,$B20,FALSE)&lt;0,HLOOKUP(P$4,'Physical Effects-Numbers'!$B$1:$AU$172,$B20,FALSE),""))</f>
        <v/>
      </c>
      <c r="Q20" s="488" t="str">
        <f>IF(Q$4="","",IF(HLOOKUP(Q$4,'Physical Effects-Numbers'!$B$1:$AU$172,$B20,FALSE)&lt;0,HLOOKUP(Q$4,'Physical Effects-Numbers'!$B$1:$AU$172,$B20,FALSE),""))</f>
        <v/>
      </c>
      <c r="R20" s="488" t="str">
        <f>IF(R$4="","",IF(HLOOKUP(R$4,'Physical Effects-Numbers'!$B$1:$AU$172,$B20,FALSE)&lt;0,HLOOKUP(R$4,'Physical Effects-Numbers'!$B$1:$AU$172,$B20,FALSE),""))</f>
        <v/>
      </c>
      <c r="S20" s="488" t="str">
        <f>IF(S$4="","",IF(HLOOKUP(S$4,'Physical Effects-Numbers'!$B$1:$AU$172,$B20,FALSE)&lt;0,HLOOKUP(S$4,'Physical Effects-Numbers'!$B$1:$AU$172,$B20,FALSE),""))</f>
        <v/>
      </c>
      <c r="T20" s="488" t="str">
        <f>IF(T$4="","",IF(HLOOKUP(T$4,'Physical Effects-Numbers'!$B$1:$AU$172,$B20,FALSE)&lt;0,HLOOKUP(T$4,'Physical Effects-Numbers'!$B$1:$AU$172,$B20,FALSE),""))</f>
        <v/>
      </c>
      <c r="U20" s="488" t="str">
        <f>IF(U$4="","",IF(HLOOKUP(U$4,'Physical Effects-Numbers'!$B$1:$AU$172,$B20,FALSE)&lt;0,HLOOKUP(U$4,'Physical Effects-Numbers'!$B$1:$AU$172,$B20,FALSE),""))</f>
        <v/>
      </c>
      <c r="V20" s="488" t="str">
        <f>IF(V$4="","",IF(HLOOKUP(V$4,'Physical Effects-Numbers'!$B$1:$AU$172,$B20,FALSE)&lt;0,HLOOKUP(V$4,'Physical Effects-Numbers'!$B$1:$AU$172,$B20,FALSE),""))</f>
        <v/>
      </c>
      <c r="W20" s="488" t="str">
        <f>IF(W$4="","",IF(HLOOKUP(W$4,'Physical Effects-Numbers'!$B$1:$AU$172,$B20,FALSE)&lt;0,HLOOKUP(W$4,'Physical Effects-Numbers'!$B$1:$AU$172,$B20,FALSE),""))</f>
        <v/>
      </c>
      <c r="X20" s="488" t="str">
        <f>IF(X$4="","",IF(HLOOKUP(X$4,'Physical Effects-Numbers'!$B$1:$AU$172,$B20,FALSE)&lt;0,HLOOKUP(X$4,'Physical Effects-Numbers'!$B$1:$AU$172,$B20,FALSE),""))</f>
        <v/>
      </c>
      <c r="Y20" s="488" t="str">
        <f>IF(Y$4="","",IF(HLOOKUP(Y$4,'Physical Effects-Numbers'!$B$1:$AU$172,$B20,FALSE)&lt;0,HLOOKUP(Y$4,'Physical Effects-Numbers'!$B$1:$AU$172,$B20,FALSE),""))</f>
        <v/>
      </c>
      <c r="Z20" s="488" t="str">
        <f>IF(Z$4="","",IF(HLOOKUP(Z$4,'Physical Effects-Numbers'!$B$1:$AU$172,$B20,FALSE)&lt;0,HLOOKUP(Z$4,'Physical Effects-Numbers'!$B$1:$AU$172,$B20,FALSE),""))</f>
        <v/>
      </c>
      <c r="AA20" s="488" t="str">
        <f>IF(AA$4="","",IF(HLOOKUP(AA$4,'Physical Effects-Numbers'!$B$1:$AU$172,$B20,FALSE)&lt;0,HLOOKUP(AA$4,'Physical Effects-Numbers'!$B$1:$AU$172,$B20,FALSE),""))</f>
        <v/>
      </c>
      <c r="AB20" s="488" t="str">
        <f>IF(AB$4="","",IF(HLOOKUP(AB$4,'Physical Effects-Numbers'!$B$1:$AU$172,$B20,FALSE)&lt;0,HLOOKUP(AB$4,'Physical Effects-Numbers'!$B$1:$AU$172,$B20,FALSE),""))</f>
        <v/>
      </c>
      <c r="AC20" s="488" t="str">
        <f>IF(AC$4="","",IF(HLOOKUP(AC$4,'Physical Effects-Numbers'!$B$1:$AU$172,$B20,FALSE)&lt;0,HLOOKUP(AC$4,'Physical Effects-Numbers'!$B$1:$AU$172,$B20,FALSE),""))</f>
        <v/>
      </c>
      <c r="AD20" s="488" t="str">
        <f>IF(AD$4="","",IF(HLOOKUP(AD$4,'Physical Effects-Numbers'!$B$1:$AU$172,$B20,FALSE)&lt;0,HLOOKUP(AD$4,'Physical Effects-Numbers'!$B$1:$AU$172,$B20,FALSE),""))</f>
        <v/>
      </c>
      <c r="AE20" s="488" t="str">
        <f>IF(AE$4="","",IF(HLOOKUP(AE$4,'Physical Effects-Numbers'!$B$1:$AU$172,$B20,FALSE)&lt;0,HLOOKUP(AE$4,'Physical Effects-Numbers'!$B$1:$AU$172,$B20,FALSE),""))</f>
        <v/>
      </c>
      <c r="AF20" s="488" t="str">
        <f>IF(AF$4="","",IF(HLOOKUP(AF$4,'Physical Effects-Numbers'!$B$1:$AU$172,$B20,FALSE)&lt;0,HLOOKUP(AF$4,'Physical Effects-Numbers'!$B$1:$AU$172,$B20,FALSE),""))</f>
        <v/>
      </c>
      <c r="AG20" s="488" t="str">
        <f>IF(AG$4="","",IF(HLOOKUP(AG$4,'Physical Effects-Numbers'!$B$1:$AU$172,$B20,FALSE)&lt;0,HLOOKUP(AG$4,'Physical Effects-Numbers'!$B$1:$AU$172,$B20,FALSE),""))</f>
        <v/>
      </c>
      <c r="AH20" s="488" t="str">
        <f>IF(AH$4="","",IF(HLOOKUP(AH$4,'Physical Effects-Numbers'!$B$1:$AU$172,$B20,FALSE)&lt;0,HLOOKUP(AH$4,'Physical Effects-Numbers'!$B$1:$AU$172,$B20,FALSE),""))</f>
        <v/>
      </c>
      <c r="AI20" s="488" t="str">
        <f>IF(AI$4="","",IF(HLOOKUP(AI$4,'Physical Effects-Numbers'!$B$1:$AU$172,$B20,FALSE)&lt;0,HLOOKUP(AI$4,'Physical Effects-Numbers'!$B$1:$AU$172,$B20,FALSE),""))</f>
        <v/>
      </c>
      <c r="AJ20" s="488" t="str">
        <f>IF(AJ$4="","",IF(HLOOKUP(AJ$4,'Physical Effects-Numbers'!$B$1:$AU$172,$B20,FALSE)&lt;0,HLOOKUP(AJ$4,'Physical Effects-Numbers'!$B$1:$AU$172,$B20,FALSE),""))</f>
        <v/>
      </c>
      <c r="AK20" s="488" t="str">
        <f>IF(AK$4="","",IF(HLOOKUP(AK$4,'Physical Effects-Numbers'!$B$1:$AU$172,$B20,FALSE)&lt;0,HLOOKUP(AK$4,'Physical Effects-Numbers'!$B$1:$AU$172,$B20,FALSE),""))</f>
        <v/>
      </c>
      <c r="AL20" s="488" t="str">
        <f>IF(AL$4="","",IF(HLOOKUP(AL$4,'Physical Effects-Numbers'!$B$1:$AU$172,$B20,FALSE)&lt;0,HLOOKUP(AL$4,'Physical Effects-Numbers'!$B$1:$AU$172,$B20,FALSE),""))</f>
        <v/>
      </c>
      <c r="AM20" s="488" t="str">
        <f>IF(AM$4="","",IF(HLOOKUP(AM$4,'Physical Effects-Numbers'!$B$1:$AU$172,$B20,FALSE)&lt;0,HLOOKUP(AM$4,'Physical Effects-Numbers'!$B$1:$AU$172,$B20,FALSE),""))</f>
        <v/>
      </c>
      <c r="AN20" s="488" t="str">
        <f>IF(AN$4="","",IF(HLOOKUP(AN$4,'Physical Effects-Numbers'!$B$1:$AU$172,$B20,FALSE)&lt;0,HLOOKUP(AN$4,'Physical Effects-Numbers'!$B$1:$AU$172,$B20,FALSE),""))</f>
        <v/>
      </c>
      <c r="AO20" s="488" t="str">
        <f>IF(AO$4="","",IF(HLOOKUP(AO$4,'Physical Effects-Numbers'!$B$1:$AU$172,$B20,FALSE)&lt;0,HLOOKUP(AO$4,'Physical Effects-Numbers'!$B$1:$AU$172,$B20,FALSE),""))</f>
        <v/>
      </c>
      <c r="AP20" s="488" t="str">
        <f>IF(AP$4="","",IF(HLOOKUP(AP$4,'Physical Effects-Numbers'!$B$1:$AU$172,$B20,FALSE)&lt;0,HLOOKUP(AP$4,'Physical Effects-Numbers'!$B$1:$AU$172,$B20,FALSE),""))</f>
        <v/>
      </c>
      <c r="AQ20" s="488" t="str">
        <f>IF(AQ$4="","",IF(HLOOKUP(AQ$4,'Physical Effects-Numbers'!$B$1:$AU$172,$B20,FALSE)&lt;0,HLOOKUP(AQ$4,'Physical Effects-Numbers'!$B$1:$AU$172,$B20,FALSE),""))</f>
        <v/>
      </c>
      <c r="AR20" s="488" t="str">
        <f>IF(AR$4="","",IF(HLOOKUP(AR$4,'Physical Effects-Numbers'!$B$1:$AU$172,$B20,FALSE)&lt;0,HLOOKUP(AR$4,'Physical Effects-Numbers'!$B$1:$AU$172,$B20,FALSE),""))</f>
        <v/>
      </c>
      <c r="AS20" s="488" t="str">
        <f>IF(AS$4="","",IF(HLOOKUP(AS$4,'Physical Effects-Numbers'!$B$1:$AU$172,$B20,FALSE)&lt;0,HLOOKUP(AS$4,'Physical Effects-Numbers'!$B$1:$AU$172,$B20,FALSE),""))</f>
        <v/>
      </c>
      <c r="AT20" s="488" t="str">
        <f>IF(AT$4="","",IF(HLOOKUP(AT$4,'Physical Effects-Numbers'!$B$1:$AU$172,$B20,FALSE)&lt;0,HLOOKUP(AT$4,'Physical Effects-Numbers'!$B$1:$AU$172,$B20,FALSE),""))</f>
        <v/>
      </c>
      <c r="AU20" s="488" t="str">
        <f>IF(AU$4="","",IF(HLOOKUP(AU$4,'Physical Effects-Numbers'!$B$1:$AU$172,$B20,FALSE)&lt;0,HLOOKUP(AU$4,'Physical Effects-Numbers'!$B$1:$AU$172,$B20,FALSE),""))</f>
        <v/>
      </c>
      <c r="AV20" s="488" t="str">
        <f>IF(AV$4="","",IF(HLOOKUP(AV$4,'Physical Effects-Numbers'!$B$1:$AU$167,$B20,FALSE)&lt;0,HLOOKUP(AV$4,'Physical Effects-Numbers'!$B$1:$AU$167,$B20,FALSE),""))</f>
        <v/>
      </c>
    </row>
    <row r="21" spans="2:48" x14ac:dyDescent="0.2">
      <c r="B21" s="487">
        <f t="shared" si="0"/>
        <v>18</v>
      </c>
      <c r="C21" s="486" t="str">
        <f>+'Physical Effects-Numbers'!B18</f>
        <v>Channel Bed Stabilization</v>
      </c>
      <c r="D21" s="488" t="str">
        <f>IF(D$4="","",IF(HLOOKUP(D$4,'Physical Effects-Numbers'!$B$1:$AU$172,$B21,FALSE)&lt;0,HLOOKUP(D$4,'Physical Effects-Numbers'!$B$1:$AU$172,$B21,FALSE),""))</f>
        <v/>
      </c>
      <c r="E21" s="488" t="str">
        <f>IF(E$4="","",IF(HLOOKUP(E$4,'Physical Effects-Numbers'!$B$1:$AU$172,$B21,FALSE)&lt;0,HLOOKUP(E$4,'Physical Effects-Numbers'!$B$1:$AU$172,$B21,FALSE),""))</f>
        <v/>
      </c>
      <c r="F21" s="488" t="str">
        <f>IF(F$4="","",IF(HLOOKUP(F$4,'Physical Effects-Numbers'!$B$1:$AU$172,$B21,FALSE)&lt;0,HLOOKUP(F$4,'Physical Effects-Numbers'!$B$1:$AU$172,$B21,FALSE),""))</f>
        <v/>
      </c>
      <c r="G21" s="488" t="str">
        <f>IF(G$4="","",IF(HLOOKUP(G$4,'Physical Effects-Numbers'!$B$1:$AU$172,$B21,FALSE)&lt;0,HLOOKUP(G$4,'Physical Effects-Numbers'!$B$1:$AU$172,$B21,FALSE),""))</f>
        <v/>
      </c>
      <c r="H21" s="488" t="str">
        <f>IF(H$4="","",IF(HLOOKUP(H$4,'Physical Effects-Numbers'!$B$1:$AU$172,$B21,FALSE)&lt;0,HLOOKUP(H$4,'Physical Effects-Numbers'!$B$1:$AU$172,$B21,FALSE),""))</f>
        <v/>
      </c>
      <c r="I21" s="488" t="str">
        <f>IF(I$4="","",IF(HLOOKUP(I$4,'Physical Effects-Numbers'!$B$1:$AU$172,$B21,FALSE)&lt;0,HLOOKUP(I$4,'Physical Effects-Numbers'!$B$1:$AU$172,$B21,FALSE),""))</f>
        <v/>
      </c>
      <c r="J21" s="488" t="str">
        <f>IF(J$4="","",IF(HLOOKUP(J$4,'Physical Effects-Numbers'!$B$1:$AU$172,$B21,FALSE)&lt;0,HLOOKUP(J$4,'Physical Effects-Numbers'!$B$1:$AU$172,$B21,FALSE),""))</f>
        <v/>
      </c>
      <c r="K21" s="488" t="str">
        <f>IF(K$4="","",IF(HLOOKUP(K$4,'Physical Effects-Numbers'!$B$1:$AU$172,$B21,FALSE)&lt;0,HLOOKUP(K$4,'Physical Effects-Numbers'!$B$1:$AU$172,$B21,FALSE),""))</f>
        <v/>
      </c>
      <c r="L21" s="488" t="str">
        <f>IF(L$4="","",IF(HLOOKUP(L$4,'Physical Effects-Numbers'!$B$1:$AU$172,$B21,FALSE)&lt;0,HLOOKUP(L$4,'Physical Effects-Numbers'!$B$1:$AU$172,$B21,FALSE),""))</f>
        <v/>
      </c>
      <c r="M21" s="488" t="str">
        <f>IF(M$4="","",IF(HLOOKUP(M$4,'Physical Effects-Numbers'!$B$1:$AU$172,$B21,FALSE)&lt;0,HLOOKUP(M$4,'Physical Effects-Numbers'!$B$1:$AU$172,$B21,FALSE),""))</f>
        <v/>
      </c>
      <c r="N21" s="488" t="str">
        <f>IF(N$4="","",IF(HLOOKUP(N$4,'Physical Effects-Numbers'!$B$1:$AU$172,$B21,FALSE)&lt;0,HLOOKUP(N$4,'Physical Effects-Numbers'!$B$1:$AU$172,$B21,FALSE),""))</f>
        <v/>
      </c>
      <c r="O21" s="488" t="str">
        <f>IF(O$4="","",IF(HLOOKUP(O$4,'Physical Effects-Numbers'!$B$1:$AU$172,$B21,FALSE)&lt;0,HLOOKUP(O$4,'Physical Effects-Numbers'!$B$1:$AU$172,$B21,FALSE),""))</f>
        <v/>
      </c>
      <c r="P21" s="488" t="str">
        <f>IF(P$4="","",IF(HLOOKUP(P$4,'Physical Effects-Numbers'!$B$1:$AU$172,$B21,FALSE)&lt;0,HLOOKUP(P$4,'Physical Effects-Numbers'!$B$1:$AU$172,$B21,FALSE),""))</f>
        <v/>
      </c>
      <c r="Q21" s="488" t="str">
        <f>IF(Q$4="","",IF(HLOOKUP(Q$4,'Physical Effects-Numbers'!$B$1:$AU$172,$B21,FALSE)&lt;0,HLOOKUP(Q$4,'Physical Effects-Numbers'!$B$1:$AU$172,$B21,FALSE),""))</f>
        <v/>
      </c>
      <c r="R21" s="488" t="str">
        <f>IF(R$4="","",IF(HLOOKUP(R$4,'Physical Effects-Numbers'!$B$1:$AU$172,$B21,FALSE)&lt;0,HLOOKUP(R$4,'Physical Effects-Numbers'!$B$1:$AU$172,$B21,FALSE),""))</f>
        <v/>
      </c>
      <c r="S21" s="488" t="str">
        <f>IF(S$4="","",IF(HLOOKUP(S$4,'Physical Effects-Numbers'!$B$1:$AU$172,$B21,FALSE)&lt;0,HLOOKUP(S$4,'Physical Effects-Numbers'!$B$1:$AU$172,$B21,FALSE),""))</f>
        <v/>
      </c>
      <c r="T21" s="488" t="str">
        <f>IF(T$4="","",IF(HLOOKUP(T$4,'Physical Effects-Numbers'!$B$1:$AU$172,$B21,FALSE)&lt;0,HLOOKUP(T$4,'Physical Effects-Numbers'!$B$1:$AU$172,$B21,FALSE),""))</f>
        <v/>
      </c>
      <c r="U21" s="488" t="str">
        <f>IF(U$4="","",IF(HLOOKUP(U$4,'Physical Effects-Numbers'!$B$1:$AU$172,$B21,FALSE)&lt;0,HLOOKUP(U$4,'Physical Effects-Numbers'!$B$1:$AU$172,$B21,FALSE),""))</f>
        <v/>
      </c>
      <c r="V21" s="488" t="str">
        <f>IF(V$4="","",IF(HLOOKUP(V$4,'Physical Effects-Numbers'!$B$1:$AU$172,$B21,FALSE)&lt;0,HLOOKUP(V$4,'Physical Effects-Numbers'!$B$1:$AU$172,$B21,FALSE),""))</f>
        <v/>
      </c>
      <c r="W21" s="488" t="str">
        <f>IF(W$4="","",IF(HLOOKUP(W$4,'Physical Effects-Numbers'!$B$1:$AU$172,$B21,FALSE)&lt;0,HLOOKUP(W$4,'Physical Effects-Numbers'!$B$1:$AU$172,$B21,FALSE),""))</f>
        <v/>
      </c>
      <c r="X21" s="488" t="str">
        <f>IF(X$4="","",IF(HLOOKUP(X$4,'Physical Effects-Numbers'!$B$1:$AU$172,$B21,FALSE)&lt;0,HLOOKUP(X$4,'Physical Effects-Numbers'!$B$1:$AU$172,$B21,FALSE),""))</f>
        <v/>
      </c>
      <c r="Y21" s="488" t="str">
        <f>IF(Y$4="","",IF(HLOOKUP(Y$4,'Physical Effects-Numbers'!$B$1:$AU$172,$B21,FALSE)&lt;0,HLOOKUP(Y$4,'Physical Effects-Numbers'!$B$1:$AU$172,$B21,FALSE),""))</f>
        <v/>
      </c>
      <c r="Z21" s="488" t="str">
        <f>IF(Z$4="","",IF(HLOOKUP(Z$4,'Physical Effects-Numbers'!$B$1:$AU$172,$B21,FALSE)&lt;0,HLOOKUP(Z$4,'Physical Effects-Numbers'!$B$1:$AU$172,$B21,FALSE),""))</f>
        <v/>
      </c>
      <c r="AA21" s="488" t="str">
        <f>IF(AA$4="","",IF(HLOOKUP(AA$4,'Physical Effects-Numbers'!$B$1:$AU$172,$B21,FALSE)&lt;0,HLOOKUP(AA$4,'Physical Effects-Numbers'!$B$1:$AU$172,$B21,FALSE),""))</f>
        <v/>
      </c>
      <c r="AB21" s="488" t="str">
        <f>IF(AB$4="","",IF(HLOOKUP(AB$4,'Physical Effects-Numbers'!$B$1:$AU$172,$B21,FALSE)&lt;0,HLOOKUP(AB$4,'Physical Effects-Numbers'!$B$1:$AU$172,$B21,FALSE),""))</f>
        <v/>
      </c>
      <c r="AC21" s="488" t="str">
        <f>IF(AC$4="","",IF(HLOOKUP(AC$4,'Physical Effects-Numbers'!$B$1:$AU$172,$B21,FALSE)&lt;0,HLOOKUP(AC$4,'Physical Effects-Numbers'!$B$1:$AU$172,$B21,FALSE),""))</f>
        <v/>
      </c>
      <c r="AD21" s="488" t="str">
        <f>IF(AD$4="","",IF(HLOOKUP(AD$4,'Physical Effects-Numbers'!$B$1:$AU$172,$B21,FALSE)&lt;0,HLOOKUP(AD$4,'Physical Effects-Numbers'!$B$1:$AU$172,$B21,FALSE),""))</f>
        <v/>
      </c>
      <c r="AE21" s="488" t="str">
        <f>IF(AE$4="","",IF(HLOOKUP(AE$4,'Physical Effects-Numbers'!$B$1:$AU$172,$B21,FALSE)&lt;0,HLOOKUP(AE$4,'Physical Effects-Numbers'!$B$1:$AU$172,$B21,FALSE),""))</f>
        <v/>
      </c>
      <c r="AF21" s="488" t="str">
        <f>IF(AF$4="","",IF(HLOOKUP(AF$4,'Physical Effects-Numbers'!$B$1:$AU$172,$B21,FALSE)&lt;0,HLOOKUP(AF$4,'Physical Effects-Numbers'!$B$1:$AU$172,$B21,FALSE),""))</f>
        <v/>
      </c>
      <c r="AG21" s="488" t="str">
        <f>IF(AG$4="","",IF(HLOOKUP(AG$4,'Physical Effects-Numbers'!$B$1:$AU$172,$B21,FALSE)&lt;0,HLOOKUP(AG$4,'Physical Effects-Numbers'!$B$1:$AU$172,$B21,FALSE),""))</f>
        <v/>
      </c>
      <c r="AH21" s="488" t="str">
        <f>IF(AH$4="","",IF(HLOOKUP(AH$4,'Physical Effects-Numbers'!$B$1:$AU$172,$B21,FALSE)&lt;0,HLOOKUP(AH$4,'Physical Effects-Numbers'!$B$1:$AU$172,$B21,FALSE),""))</f>
        <v/>
      </c>
      <c r="AI21" s="488" t="str">
        <f>IF(AI$4="","",IF(HLOOKUP(AI$4,'Physical Effects-Numbers'!$B$1:$AU$172,$B21,FALSE)&lt;0,HLOOKUP(AI$4,'Physical Effects-Numbers'!$B$1:$AU$172,$B21,FALSE),""))</f>
        <v/>
      </c>
      <c r="AJ21" s="488" t="str">
        <f>IF(AJ$4="","",IF(HLOOKUP(AJ$4,'Physical Effects-Numbers'!$B$1:$AU$172,$B21,FALSE)&lt;0,HLOOKUP(AJ$4,'Physical Effects-Numbers'!$B$1:$AU$172,$B21,FALSE),""))</f>
        <v/>
      </c>
      <c r="AK21" s="488" t="str">
        <f>IF(AK$4="","",IF(HLOOKUP(AK$4,'Physical Effects-Numbers'!$B$1:$AU$172,$B21,FALSE)&lt;0,HLOOKUP(AK$4,'Physical Effects-Numbers'!$B$1:$AU$172,$B21,FALSE),""))</f>
        <v/>
      </c>
      <c r="AL21" s="488" t="str">
        <f>IF(AL$4="","",IF(HLOOKUP(AL$4,'Physical Effects-Numbers'!$B$1:$AU$172,$B21,FALSE)&lt;0,HLOOKUP(AL$4,'Physical Effects-Numbers'!$B$1:$AU$172,$B21,FALSE),""))</f>
        <v/>
      </c>
      <c r="AM21" s="488" t="str">
        <f>IF(AM$4="","",IF(HLOOKUP(AM$4,'Physical Effects-Numbers'!$B$1:$AU$172,$B21,FALSE)&lt;0,HLOOKUP(AM$4,'Physical Effects-Numbers'!$B$1:$AU$172,$B21,FALSE),""))</f>
        <v/>
      </c>
      <c r="AN21" s="488" t="str">
        <f>IF(AN$4="","",IF(HLOOKUP(AN$4,'Physical Effects-Numbers'!$B$1:$AU$172,$B21,FALSE)&lt;0,HLOOKUP(AN$4,'Physical Effects-Numbers'!$B$1:$AU$172,$B21,FALSE),""))</f>
        <v/>
      </c>
      <c r="AO21" s="488" t="str">
        <f>IF(AO$4="","",IF(HLOOKUP(AO$4,'Physical Effects-Numbers'!$B$1:$AU$172,$B21,FALSE)&lt;0,HLOOKUP(AO$4,'Physical Effects-Numbers'!$B$1:$AU$172,$B21,FALSE),""))</f>
        <v/>
      </c>
      <c r="AP21" s="488" t="str">
        <f>IF(AP$4="","",IF(HLOOKUP(AP$4,'Physical Effects-Numbers'!$B$1:$AU$172,$B21,FALSE)&lt;0,HLOOKUP(AP$4,'Physical Effects-Numbers'!$B$1:$AU$172,$B21,FALSE),""))</f>
        <v/>
      </c>
      <c r="AQ21" s="488" t="str">
        <f>IF(AQ$4="","",IF(HLOOKUP(AQ$4,'Physical Effects-Numbers'!$B$1:$AU$172,$B21,FALSE)&lt;0,HLOOKUP(AQ$4,'Physical Effects-Numbers'!$B$1:$AU$172,$B21,FALSE),""))</f>
        <v/>
      </c>
      <c r="AR21" s="488" t="str">
        <f>IF(AR$4="","",IF(HLOOKUP(AR$4,'Physical Effects-Numbers'!$B$1:$AU$172,$B21,FALSE)&lt;0,HLOOKUP(AR$4,'Physical Effects-Numbers'!$B$1:$AU$172,$B21,FALSE),""))</f>
        <v/>
      </c>
      <c r="AS21" s="488" t="str">
        <f>IF(AS$4="","",IF(HLOOKUP(AS$4,'Physical Effects-Numbers'!$B$1:$AU$172,$B21,FALSE)&lt;0,HLOOKUP(AS$4,'Physical Effects-Numbers'!$B$1:$AU$172,$B21,FALSE),""))</f>
        <v/>
      </c>
      <c r="AT21" s="488" t="str">
        <f>IF(AT$4="","",IF(HLOOKUP(AT$4,'Physical Effects-Numbers'!$B$1:$AU$172,$B21,FALSE)&lt;0,HLOOKUP(AT$4,'Physical Effects-Numbers'!$B$1:$AU$172,$B21,FALSE),""))</f>
        <v/>
      </c>
      <c r="AU21" s="488" t="str">
        <f>IF(AU$4="","",IF(HLOOKUP(AU$4,'Physical Effects-Numbers'!$B$1:$AU$172,$B21,FALSE)&lt;0,HLOOKUP(AU$4,'Physical Effects-Numbers'!$B$1:$AU$172,$B21,FALSE),""))</f>
        <v/>
      </c>
      <c r="AV21" s="488" t="str">
        <f>IF(AV$4="","",IF(HLOOKUP(AV$4,'Physical Effects-Numbers'!$B$1:$AU$167,$B21,FALSE)&lt;0,HLOOKUP(AV$4,'Physical Effects-Numbers'!$B$1:$AU$167,$B21,FALSE),""))</f>
        <v/>
      </c>
    </row>
    <row r="22" spans="2:48" x14ac:dyDescent="0.2">
      <c r="B22" s="487">
        <f t="shared" si="0"/>
        <v>19</v>
      </c>
      <c r="C22" s="486" t="str">
        <f>+'Physical Effects-Numbers'!B19</f>
        <v>Clearing &amp; Snagging</v>
      </c>
      <c r="D22" s="488" t="str">
        <f>IF(D$4="","",IF(HLOOKUP(D$4,'Physical Effects-Numbers'!$B$1:$AU$172,$B22,FALSE)&lt;0,HLOOKUP(D$4,'Physical Effects-Numbers'!$B$1:$AU$172,$B22,FALSE),""))</f>
        <v/>
      </c>
      <c r="E22" s="488" t="str">
        <f>IF(E$4="","",IF(HLOOKUP(E$4,'Physical Effects-Numbers'!$B$1:$AU$172,$B22,FALSE)&lt;0,HLOOKUP(E$4,'Physical Effects-Numbers'!$B$1:$AU$172,$B22,FALSE),""))</f>
        <v/>
      </c>
      <c r="F22" s="488" t="str">
        <f>IF(F$4="","",IF(HLOOKUP(F$4,'Physical Effects-Numbers'!$B$1:$AU$172,$B22,FALSE)&lt;0,HLOOKUP(F$4,'Physical Effects-Numbers'!$B$1:$AU$172,$B22,FALSE),""))</f>
        <v/>
      </c>
      <c r="G22" s="488" t="str">
        <f>IF(G$4="","",IF(HLOOKUP(G$4,'Physical Effects-Numbers'!$B$1:$AU$172,$B22,FALSE)&lt;0,HLOOKUP(G$4,'Physical Effects-Numbers'!$B$1:$AU$172,$B22,FALSE),""))</f>
        <v/>
      </c>
      <c r="H22" s="488" t="str">
        <f>IF(H$4="","",IF(HLOOKUP(H$4,'Physical Effects-Numbers'!$B$1:$AU$172,$B22,FALSE)&lt;0,HLOOKUP(H$4,'Physical Effects-Numbers'!$B$1:$AU$172,$B22,FALSE),""))</f>
        <v/>
      </c>
      <c r="I22" s="488" t="str">
        <f>IF(I$4="","",IF(HLOOKUP(I$4,'Physical Effects-Numbers'!$B$1:$AU$172,$B22,FALSE)&lt;0,HLOOKUP(I$4,'Physical Effects-Numbers'!$B$1:$AU$172,$B22,FALSE),""))</f>
        <v/>
      </c>
      <c r="J22" s="488" t="str">
        <f>IF(J$4="","",IF(HLOOKUP(J$4,'Physical Effects-Numbers'!$B$1:$AU$172,$B22,FALSE)&lt;0,HLOOKUP(J$4,'Physical Effects-Numbers'!$B$1:$AU$172,$B22,FALSE),""))</f>
        <v/>
      </c>
      <c r="K22" s="488" t="str">
        <f>IF(K$4="","",IF(HLOOKUP(K$4,'Physical Effects-Numbers'!$B$1:$AU$172,$B22,FALSE)&lt;0,HLOOKUP(K$4,'Physical Effects-Numbers'!$B$1:$AU$172,$B22,FALSE),""))</f>
        <v/>
      </c>
      <c r="L22" s="488" t="str">
        <f>IF(L$4="","",IF(HLOOKUP(L$4,'Physical Effects-Numbers'!$B$1:$AU$172,$B22,FALSE)&lt;0,HLOOKUP(L$4,'Physical Effects-Numbers'!$B$1:$AU$172,$B22,FALSE),""))</f>
        <v/>
      </c>
      <c r="M22" s="488" t="str">
        <f>IF(M$4="","",IF(HLOOKUP(M$4,'Physical Effects-Numbers'!$B$1:$AU$172,$B22,FALSE)&lt;0,HLOOKUP(M$4,'Physical Effects-Numbers'!$B$1:$AU$172,$B22,FALSE),""))</f>
        <v/>
      </c>
      <c r="N22" s="488" t="str">
        <f>IF(N$4="","",IF(HLOOKUP(N$4,'Physical Effects-Numbers'!$B$1:$AU$172,$B22,FALSE)&lt;0,HLOOKUP(N$4,'Physical Effects-Numbers'!$B$1:$AU$172,$B22,FALSE),""))</f>
        <v/>
      </c>
      <c r="O22" s="488" t="str">
        <f>IF(O$4="","",IF(HLOOKUP(O$4,'Physical Effects-Numbers'!$B$1:$AU$172,$B22,FALSE)&lt;0,HLOOKUP(O$4,'Physical Effects-Numbers'!$B$1:$AU$172,$B22,FALSE),""))</f>
        <v/>
      </c>
      <c r="P22" s="488" t="str">
        <f>IF(P$4="","",IF(HLOOKUP(P$4,'Physical Effects-Numbers'!$B$1:$AU$172,$B22,FALSE)&lt;0,HLOOKUP(P$4,'Physical Effects-Numbers'!$B$1:$AU$172,$B22,FALSE),""))</f>
        <v/>
      </c>
      <c r="Q22" s="488" t="str">
        <f>IF(Q$4="","",IF(HLOOKUP(Q$4,'Physical Effects-Numbers'!$B$1:$AU$172,$B22,FALSE)&lt;0,HLOOKUP(Q$4,'Physical Effects-Numbers'!$B$1:$AU$172,$B22,FALSE),""))</f>
        <v/>
      </c>
      <c r="R22" s="488" t="str">
        <f>IF(R$4="","",IF(HLOOKUP(R$4,'Physical Effects-Numbers'!$B$1:$AU$172,$B22,FALSE)&lt;0,HLOOKUP(R$4,'Physical Effects-Numbers'!$B$1:$AU$172,$B22,FALSE),""))</f>
        <v/>
      </c>
      <c r="S22" s="488" t="str">
        <f>IF(S$4="","",IF(HLOOKUP(S$4,'Physical Effects-Numbers'!$B$1:$AU$172,$B22,FALSE)&lt;0,HLOOKUP(S$4,'Physical Effects-Numbers'!$B$1:$AU$172,$B22,FALSE),""))</f>
        <v/>
      </c>
      <c r="T22" s="488" t="str">
        <f>IF(T$4="","",IF(HLOOKUP(T$4,'Physical Effects-Numbers'!$B$1:$AU$172,$B22,FALSE)&lt;0,HLOOKUP(T$4,'Physical Effects-Numbers'!$B$1:$AU$172,$B22,FALSE),""))</f>
        <v/>
      </c>
      <c r="U22" s="488" t="str">
        <f>IF(U$4="","",IF(HLOOKUP(U$4,'Physical Effects-Numbers'!$B$1:$AU$172,$B22,FALSE)&lt;0,HLOOKUP(U$4,'Physical Effects-Numbers'!$B$1:$AU$172,$B22,FALSE),""))</f>
        <v/>
      </c>
      <c r="V22" s="488" t="str">
        <f>IF(V$4="","",IF(HLOOKUP(V$4,'Physical Effects-Numbers'!$B$1:$AU$172,$B22,FALSE)&lt;0,HLOOKUP(V$4,'Physical Effects-Numbers'!$B$1:$AU$172,$B22,FALSE),""))</f>
        <v/>
      </c>
      <c r="W22" s="488" t="str">
        <f>IF(W$4="","",IF(HLOOKUP(W$4,'Physical Effects-Numbers'!$B$1:$AU$172,$B22,FALSE)&lt;0,HLOOKUP(W$4,'Physical Effects-Numbers'!$B$1:$AU$172,$B22,FALSE),""))</f>
        <v/>
      </c>
      <c r="X22" s="488" t="str">
        <f>IF(X$4="","",IF(HLOOKUP(X$4,'Physical Effects-Numbers'!$B$1:$AU$172,$B22,FALSE)&lt;0,HLOOKUP(X$4,'Physical Effects-Numbers'!$B$1:$AU$172,$B22,FALSE),""))</f>
        <v/>
      </c>
      <c r="Y22" s="488" t="str">
        <f>IF(Y$4="","",IF(HLOOKUP(Y$4,'Physical Effects-Numbers'!$B$1:$AU$172,$B22,FALSE)&lt;0,HLOOKUP(Y$4,'Physical Effects-Numbers'!$B$1:$AU$172,$B22,FALSE),""))</f>
        <v/>
      </c>
      <c r="Z22" s="488" t="str">
        <f>IF(Z$4="","",IF(HLOOKUP(Z$4,'Physical Effects-Numbers'!$B$1:$AU$172,$B22,FALSE)&lt;0,HLOOKUP(Z$4,'Physical Effects-Numbers'!$B$1:$AU$172,$B22,FALSE),""))</f>
        <v/>
      </c>
      <c r="AA22" s="488">
        <f>IF(AA$4="","",IF(HLOOKUP(AA$4,'Physical Effects-Numbers'!$B$1:$AU$172,$B22,FALSE)&lt;0,HLOOKUP(AA$4,'Physical Effects-Numbers'!$B$1:$AU$172,$B22,FALSE),""))</f>
        <v>-2</v>
      </c>
      <c r="AB22" s="488">
        <f>IF(AB$4="","",IF(HLOOKUP(AB$4,'Physical Effects-Numbers'!$B$1:$AU$172,$B22,FALSE)&lt;0,HLOOKUP(AB$4,'Physical Effects-Numbers'!$B$1:$AU$172,$B22,FALSE),""))</f>
        <v>-1</v>
      </c>
      <c r="AC22" s="488" t="str">
        <f>IF(AC$4="","",IF(HLOOKUP(AC$4,'Physical Effects-Numbers'!$B$1:$AU$172,$B22,FALSE)&lt;0,HLOOKUP(AC$4,'Physical Effects-Numbers'!$B$1:$AU$172,$B22,FALSE),""))</f>
        <v/>
      </c>
      <c r="AD22" s="488" t="str">
        <f>IF(AD$4="","",IF(HLOOKUP(AD$4,'Physical Effects-Numbers'!$B$1:$AU$172,$B22,FALSE)&lt;0,HLOOKUP(AD$4,'Physical Effects-Numbers'!$B$1:$AU$172,$B22,FALSE),""))</f>
        <v/>
      </c>
      <c r="AE22" s="488" t="str">
        <f>IF(AE$4="","",IF(HLOOKUP(AE$4,'Physical Effects-Numbers'!$B$1:$AU$172,$B22,FALSE)&lt;0,HLOOKUP(AE$4,'Physical Effects-Numbers'!$B$1:$AU$172,$B22,FALSE),""))</f>
        <v/>
      </c>
      <c r="AF22" s="488" t="str">
        <f>IF(AF$4="","",IF(HLOOKUP(AF$4,'Physical Effects-Numbers'!$B$1:$AU$172,$B22,FALSE)&lt;0,HLOOKUP(AF$4,'Physical Effects-Numbers'!$B$1:$AU$172,$B22,FALSE),""))</f>
        <v/>
      </c>
      <c r="AG22" s="488" t="str">
        <f>IF(AG$4="","",IF(HLOOKUP(AG$4,'Physical Effects-Numbers'!$B$1:$AU$172,$B22,FALSE)&lt;0,HLOOKUP(AG$4,'Physical Effects-Numbers'!$B$1:$AU$172,$B22,FALSE),""))</f>
        <v/>
      </c>
      <c r="AH22" s="488" t="str">
        <f>IF(AH$4="","",IF(HLOOKUP(AH$4,'Physical Effects-Numbers'!$B$1:$AU$172,$B22,FALSE)&lt;0,HLOOKUP(AH$4,'Physical Effects-Numbers'!$B$1:$AU$172,$B22,FALSE),""))</f>
        <v/>
      </c>
      <c r="AI22" s="488" t="str">
        <f>IF(AI$4="","",IF(HLOOKUP(AI$4,'Physical Effects-Numbers'!$B$1:$AU$172,$B22,FALSE)&lt;0,HLOOKUP(AI$4,'Physical Effects-Numbers'!$B$1:$AU$172,$B22,FALSE),""))</f>
        <v/>
      </c>
      <c r="AJ22" s="488" t="str">
        <f>IF(AJ$4="","",IF(HLOOKUP(AJ$4,'Physical Effects-Numbers'!$B$1:$AU$172,$B22,FALSE)&lt;0,HLOOKUP(AJ$4,'Physical Effects-Numbers'!$B$1:$AU$172,$B22,FALSE),""))</f>
        <v/>
      </c>
      <c r="AK22" s="488" t="str">
        <f>IF(AK$4="","",IF(HLOOKUP(AK$4,'Physical Effects-Numbers'!$B$1:$AU$172,$B22,FALSE)&lt;0,HLOOKUP(AK$4,'Physical Effects-Numbers'!$B$1:$AU$172,$B22,FALSE),""))</f>
        <v/>
      </c>
      <c r="AL22" s="488" t="str">
        <f>IF(AL$4="","",IF(HLOOKUP(AL$4,'Physical Effects-Numbers'!$B$1:$AU$172,$B22,FALSE)&lt;0,HLOOKUP(AL$4,'Physical Effects-Numbers'!$B$1:$AU$172,$B22,FALSE),""))</f>
        <v/>
      </c>
      <c r="AM22" s="488">
        <f>IF(AM$4="","",IF(HLOOKUP(AM$4,'Physical Effects-Numbers'!$B$1:$AU$172,$B22,FALSE)&lt;0,HLOOKUP(AM$4,'Physical Effects-Numbers'!$B$1:$AU$172,$B22,FALSE),""))</f>
        <v>-2</v>
      </c>
      <c r="AN22" s="488">
        <f>IF(AN$4="","",IF(HLOOKUP(AN$4,'Physical Effects-Numbers'!$B$1:$AU$172,$B22,FALSE)&lt;0,HLOOKUP(AN$4,'Physical Effects-Numbers'!$B$1:$AU$172,$B22,FALSE),""))</f>
        <v>-2</v>
      </c>
      <c r="AO22" s="488">
        <f>IF(AO$4="","",IF(HLOOKUP(AO$4,'Physical Effects-Numbers'!$B$1:$AU$172,$B22,FALSE)&lt;0,HLOOKUP(AO$4,'Physical Effects-Numbers'!$B$1:$AU$172,$B22,FALSE),""))</f>
        <v>-1</v>
      </c>
      <c r="AP22" s="488">
        <f>IF(AP$4="","",IF(HLOOKUP(AP$4,'Physical Effects-Numbers'!$B$1:$AU$172,$B22,FALSE)&lt;0,HLOOKUP(AP$4,'Physical Effects-Numbers'!$B$1:$AU$172,$B22,FALSE),""))</f>
        <v>-2</v>
      </c>
      <c r="AQ22" s="488" t="str">
        <f>IF(AQ$4="","",IF(HLOOKUP(AQ$4,'Physical Effects-Numbers'!$B$1:$AU$172,$B22,FALSE)&lt;0,HLOOKUP(AQ$4,'Physical Effects-Numbers'!$B$1:$AU$172,$B22,FALSE),""))</f>
        <v/>
      </c>
      <c r="AR22" s="488" t="str">
        <f>IF(AR$4="","",IF(HLOOKUP(AR$4,'Physical Effects-Numbers'!$B$1:$AU$172,$B22,FALSE)&lt;0,HLOOKUP(AR$4,'Physical Effects-Numbers'!$B$1:$AU$172,$B22,FALSE),""))</f>
        <v/>
      </c>
      <c r="AS22" s="488" t="str">
        <f>IF(AS$4="","",IF(HLOOKUP(AS$4,'Physical Effects-Numbers'!$B$1:$AU$172,$B22,FALSE)&lt;0,HLOOKUP(AS$4,'Physical Effects-Numbers'!$B$1:$AU$172,$B22,FALSE),""))</f>
        <v/>
      </c>
      <c r="AT22" s="488" t="str">
        <f>IF(AT$4="","",IF(HLOOKUP(AT$4,'Physical Effects-Numbers'!$B$1:$AU$172,$B22,FALSE)&lt;0,HLOOKUP(AT$4,'Physical Effects-Numbers'!$B$1:$AU$172,$B22,FALSE),""))</f>
        <v/>
      </c>
      <c r="AU22" s="488" t="str">
        <f>IF(AU$4="","",IF(HLOOKUP(AU$4,'Physical Effects-Numbers'!$B$1:$AU$172,$B22,FALSE)&lt;0,HLOOKUP(AU$4,'Physical Effects-Numbers'!$B$1:$AU$172,$B22,FALSE),""))</f>
        <v/>
      </c>
      <c r="AV22" s="488" t="str">
        <f>IF(AV$4="","",IF(HLOOKUP(AV$4,'Physical Effects-Numbers'!$B$1:$AU$167,$B22,FALSE)&lt;0,HLOOKUP(AV$4,'Physical Effects-Numbers'!$B$1:$AU$167,$B22,FALSE),""))</f>
        <v/>
      </c>
    </row>
    <row r="23" spans="2:48" x14ac:dyDescent="0.2">
      <c r="B23" s="487">
        <f t="shared" si="0"/>
        <v>20</v>
      </c>
      <c r="C23" s="486" t="str">
        <f>+'Physical Effects-Numbers'!B20</f>
        <v>Combustion System Improvement</v>
      </c>
      <c r="D23" s="488" t="str">
        <f>IF(D$4="","",IF(HLOOKUP(D$4,'Physical Effects-Numbers'!$B$1:$AU$172,$B23,FALSE)&lt;0,HLOOKUP(D$4,'Physical Effects-Numbers'!$B$1:$AU$172,$B23,FALSE),""))</f>
        <v/>
      </c>
      <c r="E23" s="488" t="str">
        <f>IF(E$4="","",IF(HLOOKUP(E$4,'Physical Effects-Numbers'!$B$1:$AU$172,$B23,FALSE)&lt;0,HLOOKUP(E$4,'Physical Effects-Numbers'!$B$1:$AU$172,$B23,FALSE),""))</f>
        <v/>
      </c>
      <c r="F23" s="488" t="str">
        <f>IF(F$4="","",IF(HLOOKUP(F$4,'Physical Effects-Numbers'!$B$1:$AU$172,$B23,FALSE)&lt;0,HLOOKUP(F$4,'Physical Effects-Numbers'!$B$1:$AU$172,$B23,FALSE),""))</f>
        <v/>
      </c>
      <c r="G23" s="488" t="str">
        <f>IF(G$4="","",IF(HLOOKUP(G$4,'Physical Effects-Numbers'!$B$1:$AU$172,$B23,FALSE)&lt;0,HLOOKUP(G$4,'Physical Effects-Numbers'!$B$1:$AU$172,$B23,FALSE),""))</f>
        <v/>
      </c>
      <c r="H23" s="488" t="str">
        <f>IF(H$4="","",IF(HLOOKUP(H$4,'Physical Effects-Numbers'!$B$1:$AU$172,$B23,FALSE)&lt;0,HLOOKUP(H$4,'Physical Effects-Numbers'!$B$1:$AU$172,$B23,FALSE),""))</f>
        <v/>
      </c>
      <c r="I23" s="488" t="str">
        <f>IF(I$4="","",IF(HLOOKUP(I$4,'Physical Effects-Numbers'!$B$1:$AU$172,$B23,FALSE)&lt;0,HLOOKUP(I$4,'Physical Effects-Numbers'!$B$1:$AU$172,$B23,FALSE),""))</f>
        <v/>
      </c>
      <c r="J23" s="488" t="str">
        <f>IF(J$4="","",IF(HLOOKUP(J$4,'Physical Effects-Numbers'!$B$1:$AU$172,$B23,FALSE)&lt;0,HLOOKUP(J$4,'Physical Effects-Numbers'!$B$1:$AU$172,$B23,FALSE),""))</f>
        <v/>
      </c>
      <c r="K23" s="488" t="str">
        <f>IF(K$4="","",IF(HLOOKUP(K$4,'Physical Effects-Numbers'!$B$1:$AU$172,$B23,FALSE)&lt;0,HLOOKUP(K$4,'Physical Effects-Numbers'!$B$1:$AU$172,$B23,FALSE),""))</f>
        <v/>
      </c>
      <c r="L23" s="488" t="str">
        <f>IF(L$4="","",IF(HLOOKUP(L$4,'Physical Effects-Numbers'!$B$1:$AU$172,$B23,FALSE)&lt;0,HLOOKUP(L$4,'Physical Effects-Numbers'!$B$1:$AU$172,$B23,FALSE),""))</f>
        <v/>
      </c>
      <c r="M23" s="488" t="str">
        <f>IF(M$4="","",IF(HLOOKUP(M$4,'Physical Effects-Numbers'!$B$1:$AU$172,$B23,FALSE)&lt;0,HLOOKUP(M$4,'Physical Effects-Numbers'!$B$1:$AU$172,$B23,FALSE),""))</f>
        <v/>
      </c>
      <c r="N23" s="488" t="str">
        <f>IF(N$4="","",IF(HLOOKUP(N$4,'Physical Effects-Numbers'!$B$1:$AU$172,$B23,FALSE)&lt;0,HLOOKUP(N$4,'Physical Effects-Numbers'!$B$1:$AU$172,$B23,FALSE),""))</f>
        <v/>
      </c>
      <c r="O23" s="488" t="str">
        <f>IF(O$4="","",IF(HLOOKUP(O$4,'Physical Effects-Numbers'!$B$1:$AU$172,$B23,FALSE)&lt;0,HLOOKUP(O$4,'Physical Effects-Numbers'!$B$1:$AU$172,$B23,FALSE),""))</f>
        <v/>
      </c>
      <c r="P23" s="488" t="str">
        <f>IF(P$4="","",IF(HLOOKUP(P$4,'Physical Effects-Numbers'!$B$1:$AU$172,$B23,FALSE)&lt;0,HLOOKUP(P$4,'Physical Effects-Numbers'!$B$1:$AU$172,$B23,FALSE),""))</f>
        <v/>
      </c>
      <c r="Q23" s="488" t="str">
        <f>IF(Q$4="","",IF(HLOOKUP(Q$4,'Physical Effects-Numbers'!$B$1:$AU$172,$B23,FALSE)&lt;0,HLOOKUP(Q$4,'Physical Effects-Numbers'!$B$1:$AU$172,$B23,FALSE),""))</f>
        <v/>
      </c>
      <c r="R23" s="488" t="str">
        <f>IF(R$4="","",IF(HLOOKUP(R$4,'Physical Effects-Numbers'!$B$1:$AU$172,$B23,FALSE)&lt;0,HLOOKUP(R$4,'Physical Effects-Numbers'!$B$1:$AU$172,$B23,FALSE),""))</f>
        <v/>
      </c>
      <c r="S23" s="488" t="str">
        <f>IF(S$4="","",IF(HLOOKUP(S$4,'Physical Effects-Numbers'!$B$1:$AU$172,$B23,FALSE)&lt;0,HLOOKUP(S$4,'Physical Effects-Numbers'!$B$1:$AU$172,$B23,FALSE),""))</f>
        <v/>
      </c>
      <c r="T23" s="488" t="str">
        <f>IF(T$4="","",IF(HLOOKUP(T$4,'Physical Effects-Numbers'!$B$1:$AU$172,$B23,FALSE)&lt;0,HLOOKUP(T$4,'Physical Effects-Numbers'!$B$1:$AU$172,$B23,FALSE),""))</f>
        <v/>
      </c>
      <c r="U23" s="488" t="str">
        <f>IF(U$4="","",IF(HLOOKUP(U$4,'Physical Effects-Numbers'!$B$1:$AU$172,$B23,FALSE)&lt;0,HLOOKUP(U$4,'Physical Effects-Numbers'!$B$1:$AU$172,$B23,FALSE),""))</f>
        <v/>
      </c>
      <c r="V23" s="488" t="str">
        <f>IF(V$4="","",IF(HLOOKUP(V$4,'Physical Effects-Numbers'!$B$1:$AU$172,$B23,FALSE)&lt;0,HLOOKUP(V$4,'Physical Effects-Numbers'!$B$1:$AU$172,$B23,FALSE),""))</f>
        <v/>
      </c>
      <c r="W23" s="488" t="str">
        <f>IF(W$4="","",IF(HLOOKUP(W$4,'Physical Effects-Numbers'!$B$1:$AU$172,$B23,FALSE)&lt;0,HLOOKUP(W$4,'Physical Effects-Numbers'!$B$1:$AU$172,$B23,FALSE),""))</f>
        <v/>
      </c>
      <c r="X23" s="488" t="str">
        <f>IF(X$4="","",IF(HLOOKUP(X$4,'Physical Effects-Numbers'!$B$1:$AU$172,$B23,FALSE)&lt;0,HLOOKUP(X$4,'Physical Effects-Numbers'!$B$1:$AU$172,$B23,FALSE),""))</f>
        <v/>
      </c>
      <c r="Y23" s="488" t="str">
        <f>IF(Y$4="","",IF(HLOOKUP(Y$4,'Physical Effects-Numbers'!$B$1:$AU$172,$B23,FALSE)&lt;0,HLOOKUP(Y$4,'Physical Effects-Numbers'!$B$1:$AU$172,$B23,FALSE),""))</f>
        <v/>
      </c>
      <c r="Z23" s="488" t="str">
        <f>IF(Z$4="","",IF(HLOOKUP(Z$4,'Physical Effects-Numbers'!$B$1:$AU$172,$B23,FALSE)&lt;0,HLOOKUP(Z$4,'Physical Effects-Numbers'!$B$1:$AU$172,$B23,FALSE),""))</f>
        <v/>
      </c>
      <c r="AA23" s="488" t="str">
        <f>IF(AA$4="","",IF(HLOOKUP(AA$4,'Physical Effects-Numbers'!$B$1:$AU$172,$B23,FALSE)&lt;0,HLOOKUP(AA$4,'Physical Effects-Numbers'!$B$1:$AU$172,$B23,FALSE),""))</f>
        <v/>
      </c>
      <c r="AB23" s="488" t="str">
        <f>IF(AB$4="","",IF(HLOOKUP(AB$4,'Physical Effects-Numbers'!$B$1:$AU$172,$B23,FALSE)&lt;0,HLOOKUP(AB$4,'Physical Effects-Numbers'!$B$1:$AU$172,$B23,FALSE),""))</f>
        <v/>
      </c>
      <c r="AC23" s="488" t="str">
        <f>IF(AC$4="","",IF(HLOOKUP(AC$4,'Physical Effects-Numbers'!$B$1:$AU$172,$B23,FALSE)&lt;0,HLOOKUP(AC$4,'Physical Effects-Numbers'!$B$1:$AU$172,$B23,FALSE),""))</f>
        <v/>
      </c>
      <c r="AD23" s="488" t="str">
        <f>IF(AD$4="","",IF(HLOOKUP(AD$4,'Physical Effects-Numbers'!$B$1:$AU$172,$B23,FALSE)&lt;0,HLOOKUP(AD$4,'Physical Effects-Numbers'!$B$1:$AU$172,$B23,FALSE),""))</f>
        <v/>
      </c>
      <c r="AE23" s="488" t="str">
        <f>IF(AE$4="","",IF(HLOOKUP(AE$4,'Physical Effects-Numbers'!$B$1:$AU$172,$B23,FALSE)&lt;0,HLOOKUP(AE$4,'Physical Effects-Numbers'!$B$1:$AU$172,$B23,FALSE),""))</f>
        <v/>
      </c>
      <c r="AF23" s="488" t="str">
        <f>IF(AF$4="","",IF(HLOOKUP(AF$4,'Physical Effects-Numbers'!$B$1:$AU$172,$B23,FALSE)&lt;0,HLOOKUP(AF$4,'Physical Effects-Numbers'!$B$1:$AU$172,$B23,FALSE),""))</f>
        <v/>
      </c>
      <c r="AG23" s="488" t="str">
        <f>IF(AG$4="","",IF(HLOOKUP(AG$4,'Physical Effects-Numbers'!$B$1:$AU$172,$B23,FALSE)&lt;0,HLOOKUP(AG$4,'Physical Effects-Numbers'!$B$1:$AU$172,$B23,FALSE),""))</f>
        <v/>
      </c>
      <c r="AH23" s="488" t="str">
        <f>IF(AH$4="","",IF(HLOOKUP(AH$4,'Physical Effects-Numbers'!$B$1:$AU$172,$B23,FALSE)&lt;0,HLOOKUP(AH$4,'Physical Effects-Numbers'!$B$1:$AU$172,$B23,FALSE),""))</f>
        <v/>
      </c>
      <c r="AI23" s="488" t="str">
        <f>IF(AI$4="","",IF(HLOOKUP(AI$4,'Physical Effects-Numbers'!$B$1:$AU$172,$B23,FALSE)&lt;0,HLOOKUP(AI$4,'Physical Effects-Numbers'!$B$1:$AU$172,$B23,FALSE),""))</f>
        <v/>
      </c>
      <c r="AJ23" s="488" t="str">
        <f>IF(AJ$4="","",IF(HLOOKUP(AJ$4,'Physical Effects-Numbers'!$B$1:$AU$172,$B23,FALSE)&lt;0,HLOOKUP(AJ$4,'Physical Effects-Numbers'!$B$1:$AU$172,$B23,FALSE),""))</f>
        <v/>
      </c>
      <c r="AK23" s="488" t="str">
        <f>IF(AK$4="","",IF(HLOOKUP(AK$4,'Physical Effects-Numbers'!$B$1:$AU$172,$B23,FALSE)&lt;0,HLOOKUP(AK$4,'Physical Effects-Numbers'!$B$1:$AU$172,$B23,FALSE),""))</f>
        <v/>
      </c>
      <c r="AL23" s="488" t="str">
        <f>IF(AL$4="","",IF(HLOOKUP(AL$4,'Physical Effects-Numbers'!$B$1:$AU$172,$B23,FALSE)&lt;0,HLOOKUP(AL$4,'Physical Effects-Numbers'!$B$1:$AU$172,$B23,FALSE),""))</f>
        <v/>
      </c>
      <c r="AM23" s="488" t="str">
        <f>IF(AM$4="","",IF(HLOOKUP(AM$4,'Physical Effects-Numbers'!$B$1:$AU$172,$B23,FALSE)&lt;0,HLOOKUP(AM$4,'Physical Effects-Numbers'!$B$1:$AU$172,$B23,FALSE),""))</f>
        <v/>
      </c>
      <c r="AN23" s="488" t="str">
        <f>IF(AN$4="","",IF(HLOOKUP(AN$4,'Physical Effects-Numbers'!$B$1:$AU$172,$B23,FALSE)&lt;0,HLOOKUP(AN$4,'Physical Effects-Numbers'!$B$1:$AU$172,$B23,FALSE),""))</f>
        <v/>
      </c>
      <c r="AO23" s="488" t="str">
        <f>IF(AO$4="","",IF(HLOOKUP(AO$4,'Physical Effects-Numbers'!$B$1:$AU$172,$B23,FALSE)&lt;0,HLOOKUP(AO$4,'Physical Effects-Numbers'!$B$1:$AU$172,$B23,FALSE),""))</f>
        <v/>
      </c>
      <c r="AP23" s="488" t="str">
        <f>IF(AP$4="","",IF(HLOOKUP(AP$4,'Physical Effects-Numbers'!$B$1:$AU$172,$B23,FALSE)&lt;0,HLOOKUP(AP$4,'Physical Effects-Numbers'!$B$1:$AU$172,$B23,FALSE),""))</f>
        <v/>
      </c>
      <c r="AQ23" s="488" t="str">
        <f>IF(AQ$4="","",IF(HLOOKUP(AQ$4,'Physical Effects-Numbers'!$B$1:$AU$172,$B23,FALSE)&lt;0,HLOOKUP(AQ$4,'Physical Effects-Numbers'!$B$1:$AU$172,$B23,FALSE),""))</f>
        <v/>
      </c>
      <c r="AR23" s="488" t="str">
        <f>IF(AR$4="","",IF(HLOOKUP(AR$4,'Physical Effects-Numbers'!$B$1:$AU$172,$B23,FALSE)&lt;0,HLOOKUP(AR$4,'Physical Effects-Numbers'!$B$1:$AU$172,$B23,FALSE),""))</f>
        <v/>
      </c>
      <c r="AS23" s="488" t="str">
        <f>IF(AS$4="","",IF(HLOOKUP(AS$4,'Physical Effects-Numbers'!$B$1:$AU$172,$B23,FALSE)&lt;0,HLOOKUP(AS$4,'Physical Effects-Numbers'!$B$1:$AU$172,$B23,FALSE),""))</f>
        <v/>
      </c>
      <c r="AT23" s="488" t="str">
        <f>IF(AT$4="","",IF(HLOOKUP(AT$4,'Physical Effects-Numbers'!$B$1:$AU$172,$B23,FALSE)&lt;0,HLOOKUP(AT$4,'Physical Effects-Numbers'!$B$1:$AU$172,$B23,FALSE),""))</f>
        <v/>
      </c>
      <c r="AU23" s="488" t="str">
        <f>IF(AU$4="","",IF(HLOOKUP(AU$4,'Physical Effects-Numbers'!$B$1:$AU$172,$B23,FALSE)&lt;0,HLOOKUP(AU$4,'Physical Effects-Numbers'!$B$1:$AU$172,$B23,FALSE),""))</f>
        <v/>
      </c>
      <c r="AV23" s="488" t="str">
        <f>IF(AV$4="","",IF(HLOOKUP(AV$4,'Physical Effects-Numbers'!$B$1:$AU$167,$B23,FALSE)&lt;0,HLOOKUP(AV$4,'Physical Effects-Numbers'!$B$1:$AU$167,$B23,FALSE),""))</f>
        <v/>
      </c>
    </row>
    <row r="24" spans="2:48" x14ac:dyDescent="0.2">
      <c r="B24" s="487">
        <f t="shared" si="0"/>
        <v>21</v>
      </c>
      <c r="C24" s="486" t="str">
        <f>+'Physical Effects-Numbers'!B21</f>
        <v>Composting Facility</v>
      </c>
      <c r="D24" s="488" t="str">
        <f>IF(D$4="","",IF(HLOOKUP(D$4,'Physical Effects-Numbers'!$B$1:$AU$172,$B24,FALSE)&lt;0,HLOOKUP(D$4,'Physical Effects-Numbers'!$B$1:$AU$172,$B24,FALSE),""))</f>
        <v/>
      </c>
      <c r="E24" s="488" t="str">
        <f>IF(E$4="","",IF(HLOOKUP(E$4,'Physical Effects-Numbers'!$B$1:$AU$172,$B24,FALSE)&lt;0,HLOOKUP(E$4,'Physical Effects-Numbers'!$B$1:$AU$172,$B24,FALSE),""))</f>
        <v/>
      </c>
      <c r="F24" s="488" t="str">
        <f>IF(F$4="","",IF(HLOOKUP(F$4,'Physical Effects-Numbers'!$B$1:$AU$172,$B24,FALSE)&lt;0,HLOOKUP(F$4,'Physical Effects-Numbers'!$B$1:$AU$172,$B24,FALSE),""))</f>
        <v/>
      </c>
      <c r="G24" s="488" t="str">
        <f>IF(G$4="","",IF(HLOOKUP(G$4,'Physical Effects-Numbers'!$B$1:$AU$172,$B24,FALSE)&lt;0,HLOOKUP(G$4,'Physical Effects-Numbers'!$B$1:$AU$172,$B24,FALSE),""))</f>
        <v/>
      </c>
      <c r="H24" s="488" t="str">
        <f>IF(H$4="","",IF(HLOOKUP(H$4,'Physical Effects-Numbers'!$B$1:$AU$172,$B24,FALSE)&lt;0,HLOOKUP(H$4,'Physical Effects-Numbers'!$B$1:$AU$172,$B24,FALSE),""))</f>
        <v/>
      </c>
      <c r="I24" s="488" t="str">
        <f>IF(I$4="","",IF(HLOOKUP(I$4,'Physical Effects-Numbers'!$B$1:$AU$172,$B24,FALSE)&lt;0,HLOOKUP(I$4,'Physical Effects-Numbers'!$B$1:$AU$172,$B24,FALSE),""))</f>
        <v/>
      </c>
      <c r="J24" s="488" t="str">
        <f>IF(J$4="","",IF(HLOOKUP(J$4,'Physical Effects-Numbers'!$B$1:$AU$172,$B24,FALSE)&lt;0,HLOOKUP(J$4,'Physical Effects-Numbers'!$B$1:$AU$172,$B24,FALSE),""))</f>
        <v/>
      </c>
      <c r="K24" s="488" t="str">
        <f>IF(K$4="","",IF(HLOOKUP(K$4,'Physical Effects-Numbers'!$B$1:$AU$172,$B24,FALSE)&lt;0,HLOOKUP(K$4,'Physical Effects-Numbers'!$B$1:$AU$172,$B24,FALSE),""))</f>
        <v/>
      </c>
      <c r="L24" s="488" t="str">
        <f>IF(L$4="","",IF(HLOOKUP(L$4,'Physical Effects-Numbers'!$B$1:$AU$172,$B24,FALSE)&lt;0,HLOOKUP(L$4,'Physical Effects-Numbers'!$B$1:$AU$172,$B24,FALSE),""))</f>
        <v/>
      </c>
      <c r="M24" s="488" t="str">
        <f>IF(M$4="","",IF(HLOOKUP(M$4,'Physical Effects-Numbers'!$B$1:$AU$172,$B24,FALSE)&lt;0,HLOOKUP(M$4,'Physical Effects-Numbers'!$B$1:$AU$172,$B24,FALSE),""))</f>
        <v/>
      </c>
      <c r="N24" s="488" t="str">
        <f>IF(N$4="","",IF(HLOOKUP(N$4,'Physical Effects-Numbers'!$B$1:$AU$172,$B24,FALSE)&lt;0,HLOOKUP(N$4,'Physical Effects-Numbers'!$B$1:$AU$172,$B24,FALSE),""))</f>
        <v/>
      </c>
      <c r="O24" s="488" t="str">
        <f>IF(O$4="","",IF(HLOOKUP(O$4,'Physical Effects-Numbers'!$B$1:$AU$172,$B24,FALSE)&lt;0,HLOOKUP(O$4,'Physical Effects-Numbers'!$B$1:$AU$172,$B24,FALSE),""))</f>
        <v/>
      </c>
      <c r="P24" s="488" t="str">
        <f>IF(P$4="","",IF(HLOOKUP(P$4,'Physical Effects-Numbers'!$B$1:$AU$172,$B24,FALSE)&lt;0,HLOOKUP(P$4,'Physical Effects-Numbers'!$B$1:$AU$172,$B24,FALSE),""))</f>
        <v/>
      </c>
      <c r="Q24" s="488" t="str">
        <f>IF(Q$4="","",IF(HLOOKUP(Q$4,'Physical Effects-Numbers'!$B$1:$AU$172,$B24,FALSE)&lt;0,HLOOKUP(Q$4,'Physical Effects-Numbers'!$B$1:$AU$172,$B24,FALSE),""))</f>
        <v/>
      </c>
      <c r="R24" s="488" t="str">
        <f>IF(R$4="","",IF(HLOOKUP(R$4,'Physical Effects-Numbers'!$B$1:$AU$172,$B24,FALSE)&lt;0,HLOOKUP(R$4,'Physical Effects-Numbers'!$B$1:$AU$172,$B24,FALSE),""))</f>
        <v/>
      </c>
      <c r="S24" s="488" t="str">
        <f>IF(S$4="","",IF(HLOOKUP(S$4,'Physical Effects-Numbers'!$B$1:$AU$172,$B24,FALSE)&lt;0,HLOOKUP(S$4,'Physical Effects-Numbers'!$B$1:$AU$172,$B24,FALSE),""))</f>
        <v/>
      </c>
      <c r="T24" s="488" t="str">
        <f>IF(T$4="","",IF(HLOOKUP(T$4,'Physical Effects-Numbers'!$B$1:$AU$172,$B24,FALSE)&lt;0,HLOOKUP(T$4,'Physical Effects-Numbers'!$B$1:$AU$172,$B24,FALSE),""))</f>
        <v/>
      </c>
      <c r="U24" s="488" t="str">
        <f>IF(U$4="","",IF(HLOOKUP(U$4,'Physical Effects-Numbers'!$B$1:$AU$172,$B24,FALSE)&lt;0,HLOOKUP(U$4,'Physical Effects-Numbers'!$B$1:$AU$172,$B24,FALSE),""))</f>
        <v/>
      </c>
      <c r="V24" s="488" t="str">
        <f>IF(V$4="","",IF(HLOOKUP(V$4,'Physical Effects-Numbers'!$B$1:$AU$172,$B24,FALSE)&lt;0,HLOOKUP(V$4,'Physical Effects-Numbers'!$B$1:$AU$172,$B24,FALSE),""))</f>
        <v/>
      </c>
      <c r="W24" s="488" t="str">
        <f>IF(W$4="","",IF(HLOOKUP(W$4,'Physical Effects-Numbers'!$B$1:$AU$172,$B24,FALSE)&lt;0,HLOOKUP(W$4,'Physical Effects-Numbers'!$B$1:$AU$172,$B24,FALSE),""))</f>
        <v/>
      </c>
      <c r="X24" s="488" t="str">
        <f>IF(X$4="","",IF(HLOOKUP(X$4,'Physical Effects-Numbers'!$B$1:$AU$172,$B24,FALSE)&lt;0,HLOOKUP(X$4,'Physical Effects-Numbers'!$B$1:$AU$172,$B24,FALSE),""))</f>
        <v/>
      </c>
      <c r="Y24" s="488" t="str">
        <f>IF(Y$4="","",IF(HLOOKUP(Y$4,'Physical Effects-Numbers'!$B$1:$AU$172,$B24,FALSE)&lt;0,HLOOKUP(Y$4,'Physical Effects-Numbers'!$B$1:$AU$172,$B24,FALSE),""))</f>
        <v/>
      </c>
      <c r="Z24" s="488" t="str">
        <f>IF(Z$4="","",IF(HLOOKUP(Z$4,'Physical Effects-Numbers'!$B$1:$AU$172,$B24,FALSE)&lt;0,HLOOKUP(Z$4,'Physical Effects-Numbers'!$B$1:$AU$172,$B24,FALSE),""))</f>
        <v/>
      </c>
      <c r="AA24" s="488" t="str">
        <f>IF(AA$4="","",IF(HLOOKUP(AA$4,'Physical Effects-Numbers'!$B$1:$AU$172,$B24,FALSE)&lt;0,HLOOKUP(AA$4,'Physical Effects-Numbers'!$B$1:$AU$172,$B24,FALSE),""))</f>
        <v/>
      </c>
      <c r="AB24" s="488" t="str">
        <f>IF(AB$4="","",IF(HLOOKUP(AB$4,'Physical Effects-Numbers'!$B$1:$AU$172,$B24,FALSE)&lt;0,HLOOKUP(AB$4,'Physical Effects-Numbers'!$B$1:$AU$172,$B24,FALSE),""))</f>
        <v/>
      </c>
      <c r="AC24" s="488" t="str">
        <f>IF(AC$4="","",IF(HLOOKUP(AC$4,'Physical Effects-Numbers'!$B$1:$AU$172,$B24,FALSE)&lt;0,HLOOKUP(AC$4,'Physical Effects-Numbers'!$B$1:$AU$172,$B24,FALSE),""))</f>
        <v/>
      </c>
      <c r="AD24" s="488" t="str">
        <f>IF(AD$4="","",IF(HLOOKUP(AD$4,'Physical Effects-Numbers'!$B$1:$AU$172,$B24,FALSE)&lt;0,HLOOKUP(AD$4,'Physical Effects-Numbers'!$B$1:$AU$172,$B24,FALSE),""))</f>
        <v/>
      </c>
      <c r="AE24" s="488" t="str">
        <f>IF(AE$4="","",IF(HLOOKUP(AE$4,'Physical Effects-Numbers'!$B$1:$AU$172,$B24,FALSE)&lt;0,HLOOKUP(AE$4,'Physical Effects-Numbers'!$B$1:$AU$172,$B24,FALSE),""))</f>
        <v/>
      </c>
      <c r="AF24" s="488" t="str">
        <f>IF(AF$4="","",IF(HLOOKUP(AF$4,'Physical Effects-Numbers'!$B$1:$AU$172,$B24,FALSE)&lt;0,HLOOKUP(AF$4,'Physical Effects-Numbers'!$B$1:$AU$172,$B24,FALSE),""))</f>
        <v/>
      </c>
      <c r="AG24" s="488" t="str">
        <f>IF(AG$4="","",IF(HLOOKUP(AG$4,'Physical Effects-Numbers'!$B$1:$AU$172,$B24,FALSE)&lt;0,HLOOKUP(AG$4,'Physical Effects-Numbers'!$B$1:$AU$172,$B24,FALSE),""))</f>
        <v/>
      </c>
      <c r="AH24" s="488" t="str">
        <f>IF(AH$4="","",IF(HLOOKUP(AH$4,'Physical Effects-Numbers'!$B$1:$AU$172,$B24,FALSE)&lt;0,HLOOKUP(AH$4,'Physical Effects-Numbers'!$B$1:$AU$172,$B24,FALSE),""))</f>
        <v/>
      </c>
      <c r="AI24" s="488" t="str">
        <f>IF(AI$4="","",IF(HLOOKUP(AI$4,'Physical Effects-Numbers'!$B$1:$AU$172,$B24,FALSE)&lt;0,HLOOKUP(AI$4,'Physical Effects-Numbers'!$B$1:$AU$172,$B24,FALSE),""))</f>
        <v/>
      </c>
      <c r="AJ24" s="488" t="str">
        <f>IF(AJ$4="","",IF(HLOOKUP(AJ$4,'Physical Effects-Numbers'!$B$1:$AU$172,$B24,FALSE)&lt;0,HLOOKUP(AJ$4,'Physical Effects-Numbers'!$B$1:$AU$172,$B24,FALSE),""))</f>
        <v/>
      </c>
      <c r="AK24" s="488" t="str">
        <f>IF(AK$4="","",IF(HLOOKUP(AK$4,'Physical Effects-Numbers'!$B$1:$AU$172,$B24,FALSE)&lt;0,HLOOKUP(AK$4,'Physical Effects-Numbers'!$B$1:$AU$172,$B24,FALSE),""))</f>
        <v/>
      </c>
      <c r="AL24" s="488" t="str">
        <f>IF(AL$4="","",IF(HLOOKUP(AL$4,'Physical Effects-Numbers'!$B$1:$AU$172,$B24,FALSE)&lt;0,HLOOKUP(AL$4,'Physical Effects-Numbers'!$B$1:$AU$172,$B24,FALSE),""))</f>
        <v/>
      </c>
      <c r="AM24" s="488" t="str">
        <f>IF(AM$4="","",IF(HLOOKUP(AM$4,'Physical Effects-Numbers'!$B$1:$AU$172,$B24,FALSE)&lt;0,HLOOKUP(AM$4,'Physical Effects-Numbers'!$B$1:$AU$172,$B24,FALSE),""))</f>
        <v/>
      </c>
      <c r="AN24" s="488" t="str">
        <f>IF(AN$4="","",IF(HLOOKUP(AN$4,'Physical Effects-Numbers'!$B$1:$AU$172,$B24,FALSE)&lt;0,HLOOKUP(AN$4,'Physical Effects-Numbers'!$B$1:$AU$172,$B24,FALSE),""))</f>
        <v/>
      </c>
      <c r="AO24" s="488" t="str">
        <f>IF(AO$4="","",IF(HLOOKUP(AO$4,'Physical Effects-Numbers'!$B$1:$AU$172,$B24,FALSE)&lt;0,HLOOKUP(AO$4,'Physical Effects-Numbers'!$B$1:$AU$172,$B24,FALSE),""))</f>
        <v/>
      </c>
      <c r="AP24" s="488" t="str">
        <f>IF(AP$4="","",IF(HLOOKUP(AP$4,'Physical Effects-Numbers'!$B$1:$AU$172,$B24,FALSE)&lt;0,HLOOKUP(AP$4,'Physical Effects-Numbers'!$B$1:$AU$172,$B24,FALSE),""))</f>
        <v/>
      </c>
      <c r="AQ24" s="488" t="str">
        <f>IF(AQ$4="","",IF(HLOOKUP(AQ$4,'Physical Effects-Numbers'!$B$1:$AU$172,$B24,FALSE)&lt;0,HLOOKUP(AQ$4,'Physical Effects-Numbers'!$B$1:$AU$172,$B24,FALSE),""))</f>
        <v/>
      </c>
      <c r="AR24" s="488" t="str">
        <f>IF(AR$4="","",IF(HLOOKUP(AR$4,'Physical Effects-Numbers'!$B$1:$AU$172,$B24,FALSE)&lt;0,HLOOKUP(AR$4,'Physical Effects-Numbers'!$B$1:$AU$172,$B24,FALSE),""))</f>
        <v/>
      </c>
      <c r="AS24" s="488" t="str">
        <f>IF(AS$4="","",IF(HLOOKUP(AS$4,'Physical Effects-Numbers'!$B$1:$AU$172,$B24,FALSE)&lt;0,HLOOKUP(AS$4,'Physical Effects-Numbers'!$B$1:$AU$172,$B24,FALSE),""))</f>
        <v/>
      </c>
      <c r="AT24" s="488" t="str">
        <f>IF(AT$4="","",IF(HLOOKUP(AT$4,'Physical Effects-Numbers'!$B$1:$AU$172,$B24,FALSE)&lt;0,HLOOKUP(AT$4,'Physical Effects-Numbers'!$B$1:$AU$172,$B24,FALSE),""))</f>
        <v/>
      </c>
      <c r="AU24" s="488" t="str">
        <f>IF(AU$4="","",IF(HLOOKUP(AU$4,'Physical Effects-Numbers'!$B$1:$AU$172,$B24,FALSE)&lt;0,HLOOKUP(AU$4,'Physical Effects-Numbers'!$B$1:$AU$172,$B24,FALSE),""))</f>
        <v/>
      </c>
      <c r="AV24" s="488" t="str">
        <f>IF(AV$4="","",IF(HLOOKUP(AV$4,'Physical Effects-Numbers'!$B$1:$AU$167,$B24,FALSE)&lt;0,HLOOKUP(AV$4,'Physical Effects-Numbers'!$B$1:$AU$167,$B24,FALSE),""))</f>
        <v/>
      </c>
    </row>
    <row r="25" spans="2:48" x14ac:dyDescent="0.2">
      <c r="B25" s="487">
        <f t="shared" si="0"/>
        <v>22</v>
      </c>
      <c r="C25" s="486" t="str">
        <f>+'Physical Effects-Numbers'!B22</f>
        <v>Conservation Cover</v>
      </c>
      <c r="D25" s="488" t="str">
        <f>IF(D$4="","",IF(HLOOKUP(D$4,'Physical Effects-Numbers'!$B$1:$AU$172,$B25,FALSE)&lt;0,HLOOKUP(D$4,'Physical Effects-Numbers'!$B$1:$AU$172,$B25,FALSE),""))</f>
        <v/>
      </c>
      <c r="E25" s="488" t="str">
        <f>IF(E$4="","",IF(HLOOKUP(E$4,'Physical Effects-Numbers'!$B$1:$AU$172,$B25,FALSE)&lt;0,HLOOKUP(E$4,'Physical Effects-Numbers'!$B$1:$AU$172,$B25,FALSE),""))</f>
        <v/>
      </c>
      <c r="F25" s="488" t="str">
        <f>IF(F$4="","",IF(HLOOKUP(F$4,'Physical Effects-Numbers'!$B$1:$AU$172,$B25,FALSE)&lt;0,HLOOKUP(F$4,'Physical Effects-Numbers'!$B$1:$AU$172,$B25,FALSE),""))</f>
        <v/>
      </c>
      <c r="G25" s="488" t="str">
        <f>IF(G$4="","",IF(HLOOKUP(G$4,'Physical Effects-Numbers'!$B$1:$AU$172,$B25,FALSE)&lt;0,HLOOKUP(G$4,'Physical Effects-Numbers'!$B$1:$AU$172,$B25,FALSE),""))</f>
        <v/>
      </c>
      <c r="H25" s="488" t="str">
        <f>IF(H$4="","",IF(HLOOKUP(H$4,'Physical Effects-Numbers'!$B$1:$AU$172,$B25,FALSE)&lt;0,HLOOKUP(H$4,'Physical Effects-Numbers'!$B$1:$AU$172,$B25,FALSE),""))</f>
        <v/>
      </c>
      <c r="I25" s="488" t="str">
        <f>IF(I$4="","",IF(HLOOKUP(I$4,'Physical Effects-Numbers'!$B$1:$AU$172,$B25,FALSE)&lt;0,HLOOKUP(I$4,'Physical Effects-Numbers'!$B$1:$AU$172,$B25,FALSE),""))</f>
        <v/>
      </c>
      <c r="J25" s="488" t="str">
        <f>IF(J$4="","",IF(HLOOKUP(J$4,'Physical Effects-Numbers'!$B$1:$AU$172,$B25,FALSE)&lt;0,HLOOKUP(J$4,'Physical Effects-Numbers'!$B$1:$AU$172,$B25,FALSE),""))</f>
        <v/>
      </c>
      <c r="K25" s="488" t="str">
        <f>IF(K$4="","",IF(HLOOKUP(K$4,'Physical Effects-Numbers'!$B$1:$AU$172,$B25,FALSE)&lt;0,HLOOKUP(K$4,'Physical Effects-Numbers'!$B$1:$AU$172,$B25,FALSE),""))</f>
        <v/>
      </c>
      <c r="L25" s="488" t="str">
        <f>IF(L$4="","",IF(HLOOKUP(L$4,'Physical Effects-Numbers'!$B$1:$AU$172,$B25,FALSE)&lt;0,HLOOKUP(L$4,'Physical Effects-Numbers'!$B$1:$AU$172,$B25,FALSE),""))</f>
        <v/>
      </c>
      <c r="M25" s="488" t="str">
        <f>IF(M$4="","",IF(HLOOKUP(M$4,'Physical Effects-Numbers'!$B$1:$AU$172,$B25,FALSE)&lt;0,HLOOKUP(M$4,'Physical Effects-Numbers'!$B$1:$AU$172,$B25,FALSE),""))</f>
        <v/>
      </c>
      <c r="N25" s="488" t="str">
        <f>IF(N$4="","",IF(HLOOKUP(N$4,'Physical Effects-Numbers'!$B$1:$AU$172,$B25,FALSE)&lt;0,HLOOKUP(N$4,'Physical Effects-Numbers'!$B$1:$AU$172,$B25,FALSE),""))</f>
        <v/>
      </c>
      <c r="O25" s="488" t="str">
        <f>IF(O$4="","",IF(HLOOKUP(O$4,'Physical Effects-Numbers'!$B$1:$AU$172,$B25,FALSE)&lt;0,HLOOKUP(O$4,'Physical Effects-Numbers'!$B$1:$AU$172,$B25,FALSE),""))</f>
        <v/>
      </c>
      <c r="P25" s="488" t="str">
        <f>IF(P$4="","",IF(HLOOKUP(P$4,'Physical Effects-Numbers'!$B$1:$AU$172,$B25,FALSE)&lt;0,HLOOKUP(P$4,'Physical Effects-Numbers'!$B$1:$AU$172,$B25,FALSE),""))</f>
        <v/>
      </c>
      <c r="Q25" s="488" t="str">
        <f>IF(Q$4="","",IF(HLOOKUP(Q$4,'Physical Effects-Numbers'!$B$1:$AU$172,$B25,FALSE)&lt;0,HLOOKUP(Q$4,'Physical Effects-Numbers'!$B$1:$AU$172,$B25,FALSE),""))</f>
        <v/>
      </c>
      <c r="R25" s="488" t="str">
        <f>IF(R$4="","",IF(HLOOKUP(R$4,'Physical Effects-Numbers'!$B$1:$AU$172,$B25,FALSE)&lt;0,HLOOKUP(R$4,'Physical Effects-Numbers'!$B$1:$AU$172,$B25,FALSE),""))</f>
        <v/>
      </c>
      <c r="S25" s="488" t="str">
        <f>IF(S$4="","",IF(HLOOKUP(S$4,'Physical Effects-Numbers'!$B$1:$AU$172,$B25,FALSE)&lt;0,HLOOKUP(S$4,'Physical Effects-Numbers'!$B$1:$AU$172,$B25,FALSE),""))</f>
        <v/>
      </c>
      <c r="T25" s="488" t="str">
        <f>IF(T$4="","",IF(HLOOKUP(T$4,'Physical Effects-Numbers'!$B$1:$AU$172,$B25,FALSE)&lt;0,HLOOKUP(T$4,'Physical Effects-Numbers'!$B$1:$AU$172,$B25,FALSE),""))</f>
        <v/>
      </c>
      <c r="U25" s="488" t="str">
        <f>IF(U$4="","",IF(HLOOKUP(U$4,'Physical Effects-Numbers'!$B$1:$AU$172,$B25,FALSE)&lt;0,HLOOKUP(U$4,'Physical Effects-Numbers'!$B$1:$AU$172,$B25,FALSE),""))</f>
        <v/>
      </c>
      <c r="V25" s="488" t="str">
        <f>IF(V$4="","",IF(HLOOKUP(V$4,'Physical Effects-Numbers'!$B$1:$AU$172,$B25,FALSE)&lt;0,HLOOKUP(V$4,'Physical Effects-Numbers'!$B$1:$AU$172,$B25,FALSE),""))</f>
        <v/>
      </c>
      <c r="W25" s="488" t="str">
        <f>IF(W$4="","",IF(HLOOKUP(W$4,'Physical Effects-Numbers'!$B$1:$AU$172,$B25,FALSE)&lt;0,HLOOKUP(W$4,'Physical Effects-Numbers'!$B$1:$AU$172,$B25,FALSE),""))</f>
        <v/>
      </c>
      <c r="X25" s="488" t="str">
        <f>IF(X$4="","",IF(HLOOKUP(X$4,'Physical Effects-Numbers'!$B$1:$AU$172,$B25,FALSE)&lt;0,HLOOKUP(X$4,'Physical Effects-Numbers'!$B$1:$AU$172,$B25,FALSE),""))</f>
        <v/>
      </c>
      <c r="Y25" s="488" t="str">
        <f>IF(Y$4="","",IF(HLOOKUP(Y$4,'Physical Effects-Numbers'!$B$1:$AU$172,$B25,FALSE)&lt;0,HLOOKUP(Y$4,'Physical Effects-Numbers'!$B$1:$AU$172,$B25,FALSE),""))</f>
        <v/>
      </c>
      <c r="Z25" s="488" t="str">
        <f>IF(Z$4="","",IF(HLOOKUP(Z$4,'Physical Effects-Numbers'!$B$1:$AU$172,$B25,FALSE)&lt;0,HLOOKUP(Z$4,'Physical Effects-Numbers'!$B$1:$AU$172,$B25,FALSE),""))</f>
        <v/>
      </c>
      <c r="AA25" s="488" t="str">
        <f>IF(AA$4="","",IF(HLOOKUP(AA$4,'Physical Effects-Numbers'!$B$1:$AU$172,$B25,FALSE)&lt;0,HLOOKUP(AA$4,'Physical Effects-Numbers'!$B$1:$AU$172,$B25,FALSE),""))</f>
        <v/>
      </c>
      <c r="AB25" s="488" t="str">
        <f>IF(AB$4="","",IF(HLOOKUP(AB$4,'Physical Effects-Numbers'!$B$1:$AU$172,$B25,FALSE)&lt;0,HLOOKUP(AB$4,'Physical Effects-Numbers'!$B$1:$AU$172,$B25,FALSE),""))</f>
        <v/>
      </c>
      <c r="AC25" s="488" t="str">
        <f>IF(AC$4="","",IF(HLOOKUP(AC$4,'Physical Effects-Numbers'!$B$1:$AU$172,$B25,FALSE)&lt;0,HLOOKUP(AC$4,'Physical Effects-Numbers'!$B$1:$AU$172,$B25,FALSE),""))</f>
        <v/>
      </c>
      <c r="AD25" s="488" t="str">
        <f>IF(AD$4="","",IF(HLOOKUP(AD$4,'Physical Effects-Numbers'!$B$1:$AU$172,$B25,FALSE)&lt;0,HLOOKUP(AD$4,'Physical Effects-Numbers'!$B$1:$AU$172,$B25,FALSE),""))</f>
        <v/>
      </c>
      <c r="AE25" s="488" t="str">
        <f>IF(AE$4="","",IF(HLOOKUP(AE$4,'Physical Effects-Numbers'!$B$1:$AU$172,$B25,FALSE)&lt;0,HLOOKUP(AE$4,'Physical Effects-Numbers'!$B$1:$AU$172,$B25,FALSE),""))</f>
        <v/>
      </c>
      <c r="AF25" s="488" t="str">
        <f>IF(AF$4="","",IF(HLOOKUP(AF$4,'Physical Effects-Numbers'!$B$1:$AU$172,$B25,FALSE)&lt;0,HLOOKUP(AF$4,'Physical Effects-Numbers'!$B$1:$AU$172,$B25,FALSE),""))</f>
        <v/>
      </c>
      <c r="AG25" s="488" t="str">
        <f>IF(AG$4="","",IF(HLOOKUP(AG$4,'Physical Effects-Numbers'!$B$1:$AU$172,$B25,FALSE)&lt;0,HLOOKUP(AG$4,'Physical Effects-Numbers'!$B$1:$AU$172,$B25,FALSE),""))</f>
        <v/>
      </c>
      <c r="AH25" s="488" t="str">
        <f>IF(AH$4="","",IF(HLOOKUP(AH$4,'Physical Effects-Numbers'!$B$1:$AU$172,$B25,FALSE)&lt;0,HLOOKUP(AH$4,'Physical Effects-Numbers'!$B$1:$AU$172,$B25,FALSE),""))</f>
        <v/>
      </c>
      <c r="AI25" s="488" t="str">
        <f>IF(AI$4="","",IF(HLOOKUP(AI$4,'Physical Effects-Numbers'!$B$1:$AU$172,$B25,FALSE)&lt;0,HLOOKUP(AI$4,'Physical Effects-Numbers'!$B$1:$AU$172,$B25,FALSE),""))</f>
        <v/>
      </c>
      <c r="AJ25" s="488" t="str">
        <f>IF(AJ$4="","",IF(HLOOKUP(AJ$4,'Physical Effects-Numbers'!$B$1:$AU$172,$B25,FALSE)&lt;0,HLOOKUP(AJ$4,'Physical Effects-Numbers'!$B$1:$AU$172,$B25,FALSE),""))</f>
        <v/>
      </c>
      <c r="AK25" s="488" t="str">
        <f>IF(AK$4="","",IF(HLOOKUP(AK$4,'Physical Effects-Numbers'!$B$1:$AU$172,$B25,FALSE)&lt;0,HLOOKUP(AK$4,'Physical Effects-Numbers'!$B$1:$AU$172,$B25,FALSE),""))</f>
        <v/>
      </c>
      <c r="AL25" s="488" t="str">
        <f>IF(AL$4="","",IF(HLOOKUP(AL$4,'Physical Effects-Numbers'!$B$1:$AU$172,$B25,FALSE)&lt;0,HLOOKUP(AL$4,'Physical Effects-Numbers'!$B$1:$AU$172,$B25,FALSE),""))</f>
        <v/>
      </c>
      <c r="AM25" s="488" t="str">
        <f>IF(AM$4="","",IF(HLOOKUP(AM$4,'Physical Effects-Numbers'!$B$1:$AU$172,$B25,FALSE)&lt;0,HLOOKUP(AM$4,'Physical Effects-Numbers'!$B$1:$AU$172,$B25,FALSE),""))</f>
        <v/>
      </c>
      <c r="AN25" s="488" t="str">
        <f>IF(AN$4="","",IF(HLOOKUP(AN$4,'Physical Effects-Numbers'!$B$1:$AU$172,$B25,FALSE)&lt;0,HLOOKUP(AN$4,'Physical Effects-Numbers'!$B$1:$AU$172,$B25,FALSE),""))</f>
        <v/>
      </c>
      <c r="AO25" s="488" t="str">
        <f>IF(AO$4="","",IF(HLOOKUP(AO$4,'Physical Effects-Numbers'!$B$1:$AU$172,$B25,FALSE)&lt;0,HLOOKUP(AO$4,'Physical Effects-Numbers'!$B$1:$AU$172,$B25,FALSE),""))</f>
        <v/>
      </c>
      <c r="AP25" s="488" t="str">
        <f>IF(AP$4="","",IF(HLOOKUP(AP$4,'Physical Effects-Numbers'!$B$1:$AU$172,$B25,FALSE)&lt;0,HLOOKUP(AP$4,'Physical Effects-Numbers'!$B$1:$AU$172,$B25,FALSE),""))</f>
        <v/>
      </c>
      <c r="AQ25" s="488" t="str">
        <f>IF(AQ$4="","",IF(HLOOKUP(AQ$4,'Physical Effects-Numbers'!$B$1:$AU$172,$B25,FALSE)&lt;0,HLOOKUP(AQ$4,'Physical Effects-Numbers'!$B$1:$AU$172,$B25,FALSE),""))</f>
        <v/>
      </c>
      <c r="AR25" s="488" t="str">
        <f>IF(AR$4="","",IF(HLOOKUP(AR$4,'Physical Effects-Numbers'!$B$1:$AU$172,$B25,FALSE)&lt;0,HLOOKUP(AR$4,'Physical Effects-Numbers'!$B$1:$AU$172,$B25,FALSE),""))</f>
        <v/>
      </c>
      <c r="AS25" s="488" t="str">
        <f>IF(AS$4="","",IF(HLOOKUP(AS$4,'Physical Effects-Numbers'!$B$1:$AU$172,$B25,FALSE)&lt;0,HLOOKUP(AS$4,'Physical Effects-Numbers'!$B$1:$AU$172,$B25,FALSE),""))</f>
        <v/>
      </c>
      <c r="AT25" s="488" t="str">
        <f>IF(AT$4="","",IF(HLOOKUP(AT$4,'Physical Effects-Numbers'!$B$1:$AU$172,$B25,FALSE)&lt;0,HLOOKUP(AT$4,'Physical Effects-Numbers'!$B$1:$AU$172,$B25,FALSE),""))</f>
        <v/>
      </c>
      <c r="AU25" s="488" t="str">
        <f>IF(AU$4="","",IF(HLOOKUP(AU$4,'Physical Effects-Numbers'!$B$1:$AU$172,$B25,FALSE)&lt;0,HLOOKUP(AU$4,'Physical Effects-Numbers'!$B$1:$AU$172,$B25,FALSE),""))</f>
        <v/>
      </c>
      <c r="AV25" s="488" t="str">
        <f>IF(AV$4="","",IF(HLOOKUP(AV$4,'Physical Effects-Numbers'!$B$1:$AU$167,$B25,FALSE)&lt;0,HLOOKUP(AV$4,'Physical Effects-Numbers'!$B$1:$AU$167,$B25,FALSE),""))</f>
        <v/>
      </c>
    </row>
    <row r="26" spans="2:48" x14ac:dyDescent="0.2">
      <c r="B26" s="487">
        <f t="shared" si="0"/>
        <v>23</v>
      </c>
      <c r="C26" s="486" t="str">
        <f>+'Physical Effects-Numbers'!B23</f>
        <v>Conservation Crop Rotation</v>
      </c>
      <c r="D26" s="488" t="str">
        <f>IF(D$4="","",IF(HLOOKUP(D$4,'Physical Effects-Numbers'!$B$1:$AU$172,$B26,FALSE)&lt;0,HLOOKUP(D$4,'Physical Effects-Numbers'!$B$1:$AU$172,$B26,FALSE),""))</f>
        <v/>
      </c>
      <c r="E26" s="488" t="str">
        <f>IF(E$4="","",IF(HLOOKUP(E$4,'Physical Effects-Numbers'!$B$1:$AU$172,$B26,FALSE)&lt;0,HLOOKUP(E$4,'Physical Effects-Numbers'!$B$1:$AU$172,$B26,FALSE),""))</f>
        <v/>
      </c>
      <c r="F26" s="488" t="str">
        <f>IF(F$4="","",IF(HLOOKUP(F$4,'Physical Effects-Numbers'!$B$1:$AU$172,$B26,FALSE)&lt;0,HLOOKUP(F$4,'Physical Effects-Numbers'!$B$1:$AU$172,$B26,FALSE),""))</f>
        <v/>
      </c>
      <c r="G26" s="488" t="str">
        <f>IF(G$4="","",IF(HLOOKUP(G$4,'Physical Effects-Numbers'!$B$1:$AU$172,$B26,FALSE)&lt;0,HLOOKUP(G$4,'Physical Effects-Numbers'!$B$1:$AU$172,$B26,FALSE),""))</f>
        <v/>
      </c>
      <c r="H26" s="488" t="str">
        <f>IF(H$4="","",IF(HLOOKUP(H$4,'Physical Effects-Numbers'!$B$1:$AU$172,$B26,FALSE)&lt;0,HLOOKUP(H$4,'Physical Effects-Numbers'!$B$1:$AU$172,$B26,FALSE),""))</f>
        <v/>
      </c>
      <c r="I26" s="488" t="str">
        <f>IF(I$4="","",IF(HLOOKUP(I$4,'Physical Effects-Numbers'!$B$1:$AU$172,$B26,FALSE)&lt;0,HLOOKUP(I$4,'Physical Effects-Numbers'!$B$1:$AU$172,$B26,FALSE),""))</f>
        <v/>
      </c>
      <c r="J26" s="488" t="str">
        <f>IF(J$4="","",IF(HLOOKUP(J$4,'Physical Effects-Numbers'!$B$1:$AU$172,$B26,FALSE)&lt;0,HLOOKUP(J$4,'Physical Effects-Numbers'!$B$1:$AU$172,$B26,FALSE),""))</f>
        <v/>
      </c>
      <c r="K26" s="488" t="str">
        <f>IF(K$4="","",IF(HLOOKUP(K$4,'Physical Effects-Numbers'!$B$1:$AU$172,$B26,FALSE)&lt;0,HLOOKUP(K$4,'Physical Effects-Numbers'!$B$1:$AU$172,$B26,FALSE),""))</f>
        <v/>
      </c>
      <c r="L26" s="488" t="str">
        <f>IF(L$4="","",IF(HLOOKUP(L$4,'Physical Effects-Numbers'!$B$1:$AU$172,$B26,FALSE)&lt;0,HLOOKUP(L$4,'Physical Effects-Numbers'!$B$1:$AU$172,$B26,FALSE),""))</f>
        <v/>
      </c>
      <c r="M26" s="488" t="str">
        <f>IF(M$4="","",IF(HLOOKUP(M$4,'Physical Effects-Numbers'!$B$1:$AU$172,$B26,FALSE)&lt;0,HLOOKUP(M$4,'Physical Effects-Numbers'!$B$1:$AU$172,$B26,FALSE),""))</f>
        <v/>
      </c>
      <c r="N26" s="488" t="str">
        <f>IF(N$4="","",IF(HLOOKUP(N$4,'Physical Effects-Numbers'!$B$1:$AU$172,$B26,FALSE)&lt;0,HLOOKUP(N$4,'Physical Effects-Numbers'!$B$1:$AU$172,$B26,FALSE),""))</f>
        <v/>
      </c>
      <c r="O26" s="488" t="str">
        <f>IF(O$4="","",IF(HLOOKUP(O$4,'Physical Effects-Numbers'!$B$1:$AU$172,$B26,FALSE)&lt;0,HLOOKUP(O$4,'Physical Effects-Numbers'!$B$1:$AU$172,$B26,FALSE),""))</f>
        <v/>
      </c>
      <c r="P26" s="488" t="str">
        <f>IF(P$4="","",IF(HLOOKUP(P$4,'Physical Effects-Numbers'!$B$1:$AU$172,$B26,FALSE)&lt;0,HLOOKUP(P$4,'Physical Effects-Numbers'!$B$1:$AU$172,$B26,FALSE),""))</f>
        <v/>
      </c>
      <c r="Q26" s="488" t="str">
        <f>IF(Q$4="","",IF(HLOOKUP(Q$4,'Physical Effects-Numbers'!$B$1:$AU$172,$B26,FALSE)&lt;0,HLOOKUP(Q$4,'Physical Effects-Numbers'!$B$1:$AU$172,$B26,FALSE),""))</f>
        <v/>
      </c>
      <c r="R26" s="488" t="str">
        <f>IF(R$4="","",IF(HLOOKUP(R$4,'Physical Effects-Numbers'!$B$1:$AU$172,$B26,FALSE)&lt;0,HLOOKUP(R$4,'Physical Effects-Numbers'!$B$1:$AU$172,$B26,FALSE),""))</f>
        <v/>
      </c>
      <c r="S26" s="488" t="str">
        <f>IF(S$4="","",IF(HLOOKUP(S$4,'Physical Effects-Numbers'!$B$1:$AU$172,$B26,FALSE)&lt;0,HLOOKUP(S$4,'Physical Effects-Numbers'!$B$1:$AU$172,$B26,FALSE),""))</f>
        <v/>
      </c>
      <c r="T26" s="488" t="str">
        <f>IF(T$4="","",IF(HLOOKUP(T$4,'Physical Effects-Numbers'!$B$1:$AU$172,$B26,FALSE)&lt;0,HLOOKUP(T$4,'Physical Effects-Numbers'!$B$1:$AU$172,$B26,FALSE),""))</f>
        <v/>
      </c>
      <c r="U26" s="488" t="str">
        <f>IF(U$4="","",IF(HLOOKUP(U$4,'Physical Effects-Numbers'!$B$1:$AU$172,$B26,FALSE)&lt;0,HLOOKUP(U$4,'Physical Effects-Numbers'!$B$1:$AU$172,$B26,FALSE),""))</f>
        <v/>
      </c>
      <c r="V26" s="488" t="str">
        <f>IF(V$4="","",IF(HLOOKUP(V$4,'Physical Effects-Numbers'!$B$1:$AU$172,$B26,FALSE)&lt;0,HLOOKUP(V$4,'Physical Effects-Numbers'!$B$1:$AU$172,$B26,FALSE),""))</f>
        <v/>
      </c>
      <c r="W26" s="488" t="str">
        <f>IF(W$4="","",IF(HLOOKUP(W$4,'Physical Effects-Numbers'!$B$1:$AU$172,$B26,FALSE)&lt;0,HLOOKUP(W$4,'Physical Effects-Numbers'!$B$1:$AU$172,$B26,FALSE),""))</f>
        <v/>
      </c>
      <c r="X26" s="488" t="str">
        <f>IF(X$4="","",IF(HLOOKUP(X$4,'Physical Effects-Numbers'!$B$1:$AU$172,$B26,FALSE)&lt;0,HLOOKUP(X$4,'Physical Effects-Numbers'!$B$1:$AU$172,$B26,FALSE),""))</f>
        <v/>
      </c>
      <c r="Y26" s="488" t="str">
        <f>IF(Y$4="","",IF(HLOOKUP(Y$4,'Physical Effects-Numbers'!$B$1:$AU$172,$B26,FALSE)&lt;0,HLOOKUP(Y$4,'Physical Effects-Numbers'!$B$1:$AU$172,$B26,FALSE),""))</f>
        <v/>
      </c>
      <c r="Z26" s="488" t="str">
        <f>IF(Z$4="","",IF(HLOOKUP(Z$4,'Physical Effects-Numbers'!$B$1:$AU$172,$B26,FALSE)&lt;0,HLOOKUP(Z$4,'Physical Effects-Numbers'!$B$1:$AU$172,$B26,FALSE),""))</f>
        <v/>
      </c>
      <c r="AA26" s="488" t="str">
        <f>IF(AA$4="","",IF(HLOOKUP(AA$4,'Physical Effects-Numbers'!$B$1:$AU$172,$B26,FALSE)&lt;0,HLOOKUP(AA$4,'Physical Effects-Numbers'!$B$1:$AU$172,$B26,FALSE),""))</f>
        <v/>
      </c>
      <c r="AB26" s="488" t="str">
        <f>IF(AB$4="","",IF(HLOOKUP(AB$4,'Physical Effects-Numbers'!$B$1:$AU$172,$B26,FALSE)&lt;0,HLOOKUP(AB$4,'Physical Effects-Numbers'!$B$1:$AU$172,$B26,FALSE),""))</f>
        <v/>
      </c>
      <c r="AC26" s="488" t="str">
        <f>IF(AC$4="","",IF(HLOOKUP(AC$4,'Physical Effects-Numbers'!$B$1:$AU$172,$B26,FALSE)&lt;0,HLOOKUP(AC$4,'Physical Effects-Numbers'!$B$1:$AU$172,$B26,FALSE),""))</f>
        <v/>
      </c>
      <c r="AD26" s="488" t="str">
        <f>IF(AD$4="","",IF(HLOOKUP(AD$4,'Physical Effects-Numbers'!$B$1:$AU$172,$B26,FALSE)&lt;0,HLOOKUP(AD$4,'Physical Effects-Numbers'!$B$1:$AU$172,$B26,FALSE),""))</f>
        <v/>
      </c>
      <c r="AE26" s="488" t="str">
        <f>IF(AE$4="","",IF(HLOOKUP(AE$4,'Physical Effects-Numbers'!$B$1:$AU$172,$B26,FALSE)&lt;0,HLOOKUP(AE$4,'Physical Effects-Numbers'!$B$1:$AU$172,$B26,FALSE),""))</f>
        <v/>
      </c>
      <c r="AF26" s="488" t="str">
        <f>IF(AF$4="","",IF(HLOOKUP(AF$4,'Physical Effects-Numbers'!$B$1:$AU$172,$B26,FALSE)&lt;0,HLOOKUP(AF$4,'Physical Effects-Numbers'!$B$1:$AU$172,$B26,FALSE),""))</f>
        <v/>
      </c>
      <c r="AG26" s="488" t="str">
        <f>IF(AG$4="","",IF(HLOOKUP(AG$4,'Physical Effects-Numbers'!$B$1:$AU$172,$B26,FALSE)&lt;0,HLOOKUP(AG$4,'Physical Effects-Numbers'!$B$1:$AU$172,$B26,FALSE),""))</f>
        <v/>
      </c>
      <c r="AH26" s="488" t="str">
        <f>IF(AH$4="","",IF(HLOOKUP(AH$4,'Physical Effects-Numbers'!$B$1:$AU$172,$B26,FALSE)&lt;0,HLOOKUP(AH$4,'Physical Effects-Numbers'!$B$1:$AU$172,$B26,FALSE),""))</f>
        <v/>
      </c>
      <c r="AI26" s="488" t="str">
        <f>IF(AI$4="","",IF(HLOOKUP(AI$4,'Physical Effects-Numbers'!$B$1:$AU$172,$B26,FALSE)&lt;0,HLOOKUP(AI$4,'Physical Effects-Numbers'!$B$1:$AU$172,$B26,FALSE),""))</f>
        <v/>
      </c>
      <c r="AJ26" s="488" t="str">
        <f>IF(AJ$4="","",IF(HLOOKUP(AJ$4,'Physical Effects-Numbers'!$B$1:$AU$172,$B26,FALSE)&lt;0,HLOOKUP(AJ$4,'Physical Effects-Numbers'!$B$1:$AU$172,$B26,FALSE),""))</f>
        <v/>
      </c>
      <c r="AK26" s="488" t="str">
        <f>IF(AK$4="","",IF(HLOOKUP(AK$4,'Physical Effects-Numbers'!$B$1:$AU$172,$B26,FALSE)&lt;0,HLOOKUP(AK$4,'Physical Effects-Numbers'!$B$1:$AU$172,$B26,FALSE),""))</f>
        <v/>
      </c>
      <c r="AL26" s="488" t="str">
        <f>IF(AL$4="","",IF(HLOOKUP(AL$4,'Physical Effects-Numbers'!$B$1:$AU$172,$B26,FALSE)&lt;0,HLOOKUP(AL$4,'Physical Effects-Numbers'!$B$1:$AU$172,$B26,FALSE),""))</f>
        <v/>
      </c>
      <c r="AM26" s="488" t="str">
        <f>IF(AM$4="","",IF(HLOOKUP(AM$4,'Physical Effects-Numbers'!$B$1:$AU$172,$B26,FALSE)&lt;0,HLOOKUP(AM$4,'Physical Effects-Numbers'!$B$1:$AU$172,$B26,FALSE),""))</f>
        <v/>
      </c>
      <c r="AN26" s="488" t="str">
        <f>IF(AN$4="","",IF(HLOOKUP(AN$4,'Physical Effects-Numbers'!$B$1:$AU$172,$B26,FALSE)&lt;0,HLOOKUP(AN$4,'Physical Effects-Numbers'!$B$1:$AU$172,$B26,FALSE),""))</f>
        <v/>
      </c>
      <c r="AO26" s="488" t="str">
        <f>IF(AO$4="","",IF(HLOOKUP(AO$4,'Physical Effects-Numbers'!$B$1:$AU$172,$B26,FALSE)&lt;0,HLOOKUP(AO$4,'Physical Effects-Numbers'!$B$1:$AU$172,$B26,FALSE),""))</f>
        <v/>
      </c>
      <c r="AP26" s="488" t="str">
        <f>IF(AP$4="","",IF(HLOOKUP(AP$4,'Physical Effects-Numbers'!$B$1:$AU$172,$B26,FALSE)&lt;0,HLOOKUP(AP$4,'Physical Effects-Numbers'!$B$1:$AU$172,$B26,FALSE),""))</f>
        <v/>
      </c>
      <c r="AQ26" s="488" t="str">
        <f>IF(AQ$4="","",IF(HLOOKUP(AQ$4,'Physical Effects-Numbers'!$B$1:$AU$172,$B26,FALSE)&lt;0,HLOOKUP(AQ$4,'Physical Effects-Numbers'!$B$1:$AU$172,$B26,FALSE),""))</f>
        <v/>
      </c>
      <c r="AR26" s="488" t="str">
        <f>IF(AR$4="","",IF(HLOOKUP(AR$4,'Physical Effects-Numbers'!$B$1:$AU$172,$B26,FALSE)&lt;0,HLOOKUP(AR$4,'Physical Effects-Numbers'!$B$1:$AU$172,$B26,FALSE),""))</f>
        <v/>
      </c>
      <c r="AS26" s="488" t="str">
        <f>IF(AS$4="","",IF(HLOOKUP(AS$4,'Physical Effects-Numbers'!$B$1:$AU$172,$B26,FALSE)&lt;0,HLOOKUP(AS$4,'Physical Effects-Numbers'!$B$1:$AU$172,$B26,FALSE),""))</f>
        <v/>
      </c>
      <c r="AT26" s="488" t="str">
        <f>IF(AT$4="","",IF(HLOOKUP(AT$4,'Physical Effects-Numbers'!$B$1:$AU$172,$B26,FALSE)&lt;0,HLOOKUP(AT$4,'Physical Effects-Numbers'!$B$1:$AU$172,$B26,FALSE),""))</f>
        <v/>
      </c>
      <c r="AU26" s="488" t="str">
        <f>IF(AU$4="","",IF(HLOOKUP(AU$4,'Physical Effects-Numbers'!$B$1:$AU$172,$B26,FALSE)&lt;0,HLOOKUP(AU$4,'Physical Effects-Numbers'!$B$1:$AU$172,$B26,FALSE),""))</f>
        <v/>
      </c>
      <c r="AV26" s="488" t="str">
        <f>IF(AV$4="","",IF(HLOOKUP(AV$4,'Physical Effects-Numbers'!$B$1:$AU$167,$B26,FALSE)&lt;0,HLOOKUP(AV$4,'Physical Effects-Numbers'!$B$1:$AU$167,$B26,FALSE),""))</f>
        <v/>
      </c>
    </row>
    <row r="27" spans="2:48" x14ac:dyDescent="0.2">
      <c r="B27" s="487">
        <f t="shared" si="0"/>
        <v>24</v>
      </c>
      <c r="C27" s="486" t="str">
        <f>+'Physical Effects-Numbers'!B24</f>
        <v>Constructed Wetland</v>
      </c>
      <c r="D27" s="488" t="str">
        <f>IF(D$4="","",IF(HLOOKUP(D$4,'Physical Effects-Numbers'!$B$1:$AU$172,$B27,FALSE)&lt;0,HLOOKUP(D$4,'Physical Effects-Numbers'!$B$1:$AU$172,$B27,FALSE),""))</f>
        <v/>
      </c>
      <c r="E27" s="488" t="str">
        <f>IF(E$4="","",IF(HLOOKUP(E$4,'Physical Effects-Numbers'!$B$1:$AU$172,$B27,FALSE)&lt;0,HLOOKUP(E$4,'Physical Effects-Numbers'!$B$1:$AU$172,$B27,FALSE),""))</f>
        <v/>
      </c>
      <c r="F27" s="488" t="str">
        <f>IF(F$4="","",IF(HLOOKUP(F$4,'Physical Effects-Numbers'!$B$1:$AU$172,$B27,FALSE)&lt;0,HLOOKUP(F$4,'Physical Effects-Numbers'!$B$1:$AU$172,$B27,FALSE),""))</f>
        <v/>
      </c>
      <c r="G27" s="488" t="str">
        <f>IF(G$4="","",IF(HLOOKUP(G$4,'Physical Effects-Numbers'!$B$1:$AU$172,$B27,FALSE)&lt;0,HLOOKUP(G$4,'Physical Effects-Numbers'!$B$1:$AU$172,$B27,FALSE),""))</f>
        <v/>
      </c>
      <c r="H27" s="488" t="str">
        <f>IF(H$4="","",IF(HLOOKUP(H$4,'Physical Effects-Numbers'!$B$1:$AU$172,$B27,FALSE)&lt;0,HLOOKUP(H$4,'Physical Effects-Numbers'!$B$1:$AU$172,$B27,FALSE),""))</f>
        <v/>
      </c>
      <c r="I27" s="488" t="str">
        <f>IF(I$4="","",IF(HLOOKUP(I$4,'Physical Effects-Numbers'!$B$1:$AU$172,$B27,FALSE)&lt;0,HLOOKUP(I$4,'Physical Effects-Numbers'!$B$1:$AU$172,$B27,FALSE),""))</f>
        <v/>
      </c>
      <c r="J27" s="488" t="str">
        <f>IF(J$4="","",IF(HLOOKUP(J$4,'Physical Effects-Numbers'!$B$1:$AU$172,$B27,FALSE)&lt;0,HLOOKUP(J$4,'Physical Effects-Numbers'!$B$1:$AU$172,$B27,FALSE),""))</f>
        <v/>
      </c>
      <c r="K27" s="488" t="str">
        <f>IF(K$4="","",IF(HLOOKUP(K$4,'Physical Effects-Numbers'!$B$1:$AU$172,$B27,FALSE)&lt;0,HLOOKUP(K$4,'Physical Effects-Numbers'!$B$1:$AU$172,$B27,FALSE),""))</f>
        <v/>
      </c>
      <c r="L27" s="488" t="str">
        <f>IF(L$4="","",IF(HLOOKUP(L$4,'Physical Effects-Numbers'!$B$1:$AU$172,$B27,FALSE)&lt;0,HLOOKUP(L$4,'Physical Effects-Numbers'!$B$1:$AU$172,$B27,FALSE),""))</f>
        <v/>
      </c>
      <c r="M27" s="488" t="str">
        <f>IF(M$4="","",IF(HLOOKUP(M$4,'Physical Effects-Numbers'!$B$1:$AU$172,$B27,FALSE)&lt;0,HLOOKUP(M$4,'Physical Effects-Numbers'!$B$1:$AU$172,$B27,FALSE),""))</f>
        <v/>
      </c>
      <c r="N27" s="488" t="str">
        <f>IF(N$4="","",IF(HLOOKUP(N$4,'Physical Effects-Numbers'!$B$1:$AU$172,$B27,FALSE)&lt;0,HLOOKUP(N$4,'Physical Effects-Numbers'!$B$1:$AU$172,$B27,FALSE),""))</f>
        <v/>
      </c>
      <c r="O27" s="488" t="str">
        <f>IF(O$4="","",IF(HLOOKUP(O$4,'Physical Effects-Numbers'!$B$1:$AU$172,$B27,FALSE)&lt;0,HLOOKUP(O$4,'Physical Effects-Numbers'!$B$1:$AU$172,$B27,FALSE),""))</f>
        <v/>
      </c>
      <c r="P27" s="488" t="str">
        <f>IF(P$4="","",IF(HLOOKUP(P$4,'Physical Effects-Numbers'!$B$1:$AU$172,$B27,FALSE)&lt;0,HLOOKUP(P$4,'Physical Effects-Numbers'!$B$1:$AU$172,$B27,FALSE),""))</f>
        <v/>
      </c>
      <c r="Q27" s="488" t="str">
        <f>IF(Q$4="","",IF(HLOOKUP(Q$4,'Physical Effects-Numbers'!$B$1:$AU$172,$B27,FALSE)&lt;0,HLOOKUP(Q$4,'Physical Effects-Numbers'!$B$1:$AU$172,$B27,FALSE),""))</f>
        <v/>
      </c>
      <c r="R27" s="488" t="str">
        <f>IF(R$4="","",IF(HLOOKUP(R$4,'Physical Effects-Numbers'!$B$1:$AU$172,$B27,FALSE)&lt;0,HLOOKUP(R$4,'Physical Effects-Numbers'!$B$1:$AU$172,$B27,FALSE),""))</f>
        <v/>
      </c>
      <c r="S27" s="488" t="str">
        <f>IF(S$4="","",IF(HLOOKUP(S$4,'Physical Effects-Numbers'!$B$1:$AU$172,$B27,FALSE)&lt;0,HLOOKUP(S$4,'Physical Effects-Numbers'!$B$1:$AU$172,$B27,FALSE),""))</f>
        <v/>
      </c>
      <c r="T27" s="488" t="str">
        <f>IF(T$4="","",IF(HLOOKUP(T$4,'Physical Effects-Numbers'!$B$1:$AU$172,$B27,FALSE)&lt;0,HLOOKUP(T$4,'Physical Effects-Numbers'!$B$1:$AU$172,$B27,FALSE),""))</f>
        <v/>
      </c>
      <c r="U27" s="488" t="str">
        <f>IF(U$4="","",IF(HLOOKUP(U$4,'Physical Effects-Numbers'!$B$1:$AU$172,$B27,FALSE)&lt;0,HLOOKUP(U$4,'Physical Effects-Numbers'!$B$1:$AU$172,$B27,FALSE),""))</f>
        <v/>
      </c>
      <c r="V27" s="488" t="str">
        <f>IF(V$4="","",IF(HLOOKUP(V$4,'Physical Effects-Numbers'!$B$1:$AU$172,$B27,FALSE)&lt;0,HLOOKUP(V$4,'Physical Effects-Numbers'!$B$1:$AU$172,$B27,FALSE),""))</f>
        <v/>
      </c>
      <c r="W27" s="488" t="str">
        <f>IF(W$4="","",IF(HLOOKUP(W$4,'Physical Effects-Numbers'!$B$1:$AU$172,$B27,FALSE)&lt;0,HLOOKUP(W$4,'Physical Effects-Numbers'!$B$1:$AU$172,$B27,FALSE),""))</f>
        <v/>
      </c>
      <c r="X27" s="488" t="str">
        <f>IF(X$4="","",IF(HLOOKUP(X$4,'Physical Effects-Numbers'!$B$1:$AU$172,$B27,FALSE)&lt;0,HLOOKUP(X$4,'Physical Effects-Numbers'!$B$1:$AU$172,$B27,FALSE),""))</f>
        <v/>
      </c>
      <c r="Y27" s="488" t="str">
        <f>IF(Y$4="","",IF(HLOOKUP(Y$4,'Physical Effects-Numbers'!$B$1:$AU$172,$B27,FALSE)&lt;0,HLOOKUP(Y$4,'Physical Effects-Numbers'!$B$1:$AU$172,$B27,FALSE),""))</f>
        <v/>
      </c>
      <c r="Z27" s="488" t="str">
        <f>IF(Z$4="","",IF(HLOOKUP(Z$4,'Physical Effects-Numbers'!$B$1:$AU$172,$B27,FALSE)&lt;0,HLOOKUP(Z$4,'Physical Effects-Numbers'!$B$1:$AU$172,$B27,FALSE),""))</f>
        <v/>
      </c>
      <c r="AA27" s="488" t="str">
        <f>IF(AA$4="","",IF(HLOOKUP(AA$4,'Physical Effects-Numbers'!$B$1:$AU$172,$B27,FALSE)&lt;0,HLOOKUP(AA$4,'Physical Effects-Numbers'!$B$1:$AU$172,$B27,FALSE),""))</f>
        <v/>
      </c>
      <c r="AB27" s="488" t="str">
        <f>IF(AB$4="","",IF(HLOOKUP(AB$4,'Physical Effects-Numbers'!$B$1:$AU$172,$B27,FALSE)&lt;0,HLOOKUP(AB$4,'Physical Effects-Numbers'!$B$1:$AU$172,$B27,FALSE),""))</f>
        <v/>
      </c>
      <c r="AC27" s="488" t="str">
        <f>IF(AC$4="","",IF(HLOOKUP(AC$4,'Physical Effects-Numbers'!$B$1:$AU$172,$B27,FALSE)&lt;0,HLOOKUP(AC$4,'Physical Effects-Numbers'!$B$1:$AU$172,$B27,FALSE),""))</f>
        <v/>
      </c>
      <c r="AD27" s="488" t="str">
        <f>IF(AD$4="","",IF(HLOOKUP(AD$4,'Physical Effects-Numbers'!$B$1:$AU$172,$B27,FALSE)&lt;0,HLOOKUP(AD$4,'Physical Effects-Numbers'!$B$1:$AU$172,$B27,FALSE),""))</f>
        <v/>
      </c>
      <c r="AE27" s="488" t="str">
        <f>IF(AE$4="","",IF(HLOOKUP(AE$4,'Physical Effects-Numbers'!$B$1:$AU$172,$B27,FALSE)&lt;0,HLOOKUP(AE$4,'Physical Effects-Numbers'!$B$1:$AU$172,$B27,FALSE),""))</f>
        <v/>
      </c>
      <c r="AF27" s="488" t="str">
        <f>IF(AF$4="","",IF(HLOOKUP(AF$4,'Physical Effects-Numbers'!$B$1:$AU$172,$B27,FALSE)&lt;0,HLOOKUP(AF$4,'Physical Effects-Numbers'!$B$1:$AU$172,$B27,FALSE),""))</f>
        <v/>
      </c>
      <c r="AG27" s="488" t="str">
        <f>IF(AG$4="","",IF(HLOOKUP(AG$4,'Physical Effects-Numbers'!$B$1:$AU$172,$B27,FALSE)&lt;0,HLOOKUP(AG$4,'Physical Effects-Numbers'!$B$1:$AU$172,$B27,FALSE),""))</f>
        <v/>
      </c>
      <c r="AH27" s="488">
        <f>IF(AH$4="","",IF(HLOOKUP(AH$4,'Physical Effects-Numbers'!$B$1:$AU$172,$B27,FALSE)&lt;0,HLOOKUP(AH$4,'Physical Effects-Numbers'!$B$1:$AU$172,$B27,FALSE),""))</f>
        <v>-1</v>
      </c>
      <c r="AI27" s="488" t="str">
        <f>IF(AI$4="","",IF(HLOOKUP(AI$4,'Physical Effects-Numbers'!$B$1:$AU$172,$B27,FALSE)&lt;0,HLOOKUP(AI$4,'Physical Effects-Numbers'!$B$1:$AU$172,$B27,FALSE),""))</f>
        <v/>
      </c>
      <c r="AJ27" s="488" t="str">
        <f>IF(AJ$4="","",IF(HLOOKUP(AJ$4,'Physical Effects-Numbers'!$B$1:$AU$172,$B27,FALSE)&lt;0,HLOOKUP(AJ$4,'Physical Effects-Numbers'!$B$1:$AU$172,$B27,FALSE),""))</f>
        <v/>
      </c>
      <c r="AK27" s="488">
        <f>IF(AK$4="","",IF(HLOOKUP(AK$4,'Physical Effects-Numbers'!$B$1:$AU$172,$B27,FALSE)&lt;0,HLOOKUP(AK$4,'Physical Effects-Numbers'!$B$1:$AU$172,$B27,FALSE),""))</f>
        <v>-2</v>
      </c>
      <c r="AL27" s="488" t="str">
        <f>IF(AL$4="","",IF(HLOOKUP(AL$4,'Physical Effects-Numbers'!$B$1:$AU$172,$B27,FALSE)&lt;0,HLOOKUP(AL$4,'Physical Effects-Numbers'!$B$1:$AU$172,$B27,FALSE),""))</f>
        <v/>
      </c>
      <c r="AM27" s="488" t="str">
        <f>IF(AM$4="","",IF(HLOOKUP(AM$4,'Physical Effects-Numbers'!$B$1:$AU$172,$B27,FALSE)&lt;0,HLOOKUP(AM$4,'Physical Effects-Numbers'!$B$1:$AU$172,$B27,FALSE),""))</f>
        <v/>
      </c>
      <c r="AN27" s="488" t="str">
        <f>IF(AN$4="","",IF(HLOOKUP(AN$4,'Physical Effects-Numbers'!$B$1:$AU$172,$B27,FALSE)&lt;0,HLOOKUP(AN$4,'Physical Effects-Numbers'!$B$1:$AU$172,$B27,FALSE),""))</f>
        <v/>
      </c>
      <c r="AO27" s="488" t="str">
        <f>IF(AO$4="","",IF(HLOOKUP(AO$4,'Physical Effects-Numbers'!$B$1:$AU$172,$B27,FALSE)&lt;0,HLOOKUP(AO$4,'Physical Effects-Numbers'!$B$1:$AU$172,$B27,FALSE),""))</f>
        <v/>
      </c>
      <c r="AP27" s="488" t="str">
        <f>IF(AP$4="","",IF(HLOOKUP(AP$4,'Physical Effects-Numbers'!$B$1:$AU$172,$B27,FALSE)&lt;0,HLOOKUP(AP$4,'Physical Effects-Numbers'!$B$1:$AU$172,$B27,FALSE),""))</f>
        <v/>
      </c>
      <c r="AQ27" s="488" t="str">
        <f>IF(AQ$4="","",IF(HLOOKUP(AQ$4,'Physical Effects-Numbers'!$B$1:$AU$172,$B27,FALSE)&lt;0,HLOOKUP(AQ$4,'Physical Effects-Numbers'!$B$1:$AU$172,$B27,FALSE),""))</f>
        <v/>
      </c>
      <c r="AR27" s="488" t="str">
        <f>IF(AR$4="","",IF(HLOOKUP(AR$4,'Physical Effects-Numbers'!$B$1:$AU$172,$B27,FALSE)&lt;0,HLOOKUP(AR$4,'Physical Effects-Numbers'!$B$1:$AU$172,$B27,FALSE),""))</f>
        <v/>
      </c>
      <c r="AS27" s="488" t="str">
        <f>IF(AS$4="","",IF(HLOOKUP(AS$4,'Physical Effects-Numbers'!$B$1:$AU$172,$B27,FALSE)&lt;0,HLOOKUP(AS$4,'Physical Effects-Numbers'!$B$1:$AU$172,$B27,FALSE),""))</f>
        <v/>
      </c>
      <c r="AT27" s="488" t="str">
        <f>IF(AT$4="","",IF(HLOOKUP(AT$4,'Physical Effects-Numbers'!$B$1:$AU$172,$B27,FALSE)&lt;0,HLOOKUP(AT$4,'Physical Effects-Numbers'!$B$1:$AU$172,$B27,FALSE),""))</f>
        <v/>
      </c>
      <c r="AU27" s="488" t="str">
        <f>IF(AU$4="","",IF(HLOOKUP(AU$4,'Physical Effects-Numbers'!$B$1:$AU$172,$B27,FALSE)&lt;0,HLOOKUP(AU$4,'Physical Effects-Numbers'!$B$1:$AU$172,$B27,FALSE),""))</f>
        <v/>
      </c>
      <c r="AV27" s="488" t="str">
        <f>IF(AV$4="","",IF(HLOOKUP(AV$4,'Physical Effects-Numbers'!$B$1:$AU$167,$B27,FALSE)&lt;0,HLOOKUP(AV$4,'Physical Effects-Numbers'!$B$1:$AU$167,$B27,FALSE),""))</f>
        <v/>
      </c>
    </row>
    <row r="28" spans="2:48" x14ac:dyDescent="0.2">
      <c r="B28" s="487">
        <f t="shared" si="0"/>
        <v>25</v>
      </c>
      <c r="C28" s="486" t="str">
        <f>+'Physical Effects-Numbers'!B25</f>
        <v>Contour Buffer Strips</v>
      </c>
      <c r="D28" s="488" t="str">
        <f>IF(D$4="","",IF(HLOOKUP(D$4,'Physical Effects-Numbers'!$B$1:$AU$172,$B28,FALSE)&lt;0,HLOOKUP(D$4,'Physical Effects-Numbers'!$B$1:$AU$172,$B28,FALSE),""))</f>
        <v/>
      </c>
      <c r="E28" s="488" t="str">
        <f>IF(E$4="","",IF(HLOOKUP(E$4,'Physical Effects-Numbers'!$B$1:$AU$172,$B28,FALSE)&lt;0,HLOOKUP(E$4,'Physical Effects-Numbers'!$B$1:$AU$172,$B28,FALSE),""))</f>
        <v/>
      </c>
      <c r="F28" s="488" t="str">
        <f>IF(F$4="","",IF(HLOOKUP(F$4,'Physical Effects-Numbers'!$B$1:$AU$172,$B28,FALSE)&lt;0,HLOOKUP(F$4,'Physical Effects-Numbers'!$B$1:$AU$172,$B28,FALSE),""))</f>
        <v/>
      </c>
      <c r="G28" s="488" t="str">
        <f>IF(G$4="","",IF(HLOOKUP(G$4,'Physical Effects-Numbers'!$B$1:$AU$172,$B28,FALSE)&lt;0,HLOOKUP(G$4,'Physical Effects-Numbers'!$B$1:$AU$172,$B28,FALSE),""))</f>
        <v/>
      </c>
      <c r="H28" s="488" t="str">
        <f>IF(H$4="","",IF(HLOOKUP(H$4,'Physical Effects-Numbers'!$B$1:$AU$172,$B28,FALSE)&lt;0,HLOOKUP(H$4,'Physical Effects-Numbers'!$B$1:$AU$172,$B28,FALSE),""))</f>
        <v/>
      </c>
      <c r="I28" s="488" t="str">
        <f>IF(I$4="","",IF(HLOOKUP(I$4,'Physical Effects-Numbers'!$B$1:$AU$172,$B28,FALSE)&lt;0,HLOOKUP(I$4,'Physical Effects-Numbers'!$B$1:$AU$172,$B28,FALSE),""))</f>
        <v/>
      </c>
      <c r="J28" s="488" t="str">
        <f>IF(J$4="","",IF(HLOOKUP(J$4,'Physical Effects-Numbers'!$B$1:$AU$172,$B28,FALSE)&lt;0,HLOOKUP(J$4,'Physical Effects-Numbers'!$B$1:$AU$172,$B28,FALSE),""))</f>
        <v/>
      </c>
      <c r="K28" s="488" t="str">
        <f>IF(K$4="","",IF(HLOOKUP(K$4,'Physical Effects-Numbers'!$B$1:$AU$172,$B28,FALSE)&lt;0,HLOOKUP(K$4,'Physical Effects-Numbers'!$B$1:$AU$172,$B28,FALSE),""))</f>
        <v/>
      </c>
      <c r="L28" s="488" t="str">
        <f>IF(L$4="","",IF(HLOOKUP(L$4,'Physical Effects-Numbers'!$B$1:$AU$172,$B28,FALSE)&lt;0,HLOOKUP(L$4,'Physical Effects-Numbers'!$B$1:$AU$172,$B28,FALSE),""))</f>
        <v/>
      </c>
      <c r="M28" s="488">
        <f>IF(M$4="","",IF(HLOOKUP(M$4,'Physical Effects-Numbers'!$B$1:$AU$172,$B28,FALSE)&lt;0,HLOOKUP(M$4,'Physical Effects-Numbers'!$B$1:$AU$172,$B28,FALSE),""))</f>
        <v>-2</v>
      </c>
      <c r="N28" s="488" t="str">
        <f>IF(N$4="","",IF(HLOOKUP(N$4,'Physical Effects-Numbers'!$B$1:$AU$172,$B28,FALSE)&lt;0,HLOOKUP(N$4,'Physical Effects-Numbers'!$B$1:$AU$172,$B28,FALSE),""))</f>
        <v/>
      </c>
      <c r="O28" s="488">
        <f>IF(O$4="","",IF(HLOOKUP(O$4,'Physical Effects-Numbers'!$B$1:$AU$172,$B28,FALSE)&lt;0,HLOOKUP(O$4,'Physical Effects-Numbers'!$B$1:$AU$172,$B28,FALSE),""))</f>
        <v>-1</v>
      </c>
      <c r="P28" s="488" t="str">
        <f>IF(P$4="","",IF(HLOOKUP(P$4,'Physical Effects-Numbers'!$B$1:$AU$172,$B28,FALSE)&lt;0,HLOOKUP(P$4,'Physical Effects-Numbers'!$B$1:$AU$172,$B28,FALSE),""))</f>
        <v/>
      </c>
      <c r="Q28" s="488" t="str">
        <f>IF(Q$4="","",IF(HLOOKUP(Q$4,'Physical Effects-Numbers'!$B$1:$AU$172,$B28,FALSE)&lt;0,HLOOKUP(Q$4,'Physical Effects-Numbers'!$B$1:$AU$172,$B28,FALSE),""))</f>
        <v/>
      </c>
      <c r="R28" s="488" t="str">
        <f>IF(R$4="","",IF(HLOOKUP(R$4,'Physical Effects-Numbers'!$B$1:$AU$172,$B28,FALSE)&lt;0,HLOOKUP(R$4,'Physical Effects-Numbers'!$B$1:$AU$172,$B28,FALSE),""))</f>
        <v/>
      </c>
      <c r="S28" s="488" t="str">
        <f>IF(S$4="","",IF(HLOOKUP(S$4,'Physical Effects-Numbers'!$B$1:$AU$172,$B28,FALSE)&lt;0,HLOOKUP(S$4,'Physical Effects-Numbers'!$B$1:$AU$172,$B28,FALSE),""))</f>
        <v/>
      </c>
      <c r="T28" s="488" t="str">
        <f>IF(T$4="","",IF(HLOOKUP(T$4,'Physical Effects-Numbers'!$B$1:$AU$172,$B28,FALSE)&lt;0,HLOOKUP(T$4,'Physical Effects-Numbers'!$B$1:$AU$172,$B28,FALSE),""))</f>
        <v/>
      </c>
      <c r="U28" s="488" t="str">
        <f>IF(U$4="","",IF(HLOOKUP(U$4,'Physical Effects-Numbers'!$B$1:$AU$172,$B28,FALSE)&lt;0,HLOOKUP(U$4,'Physical Effects-Numbers'!$B$1:$AU$172,$B28,FALSE),""))</f>
        <v/>
      </c>
      <c r="V28" s="488">
        <f>IF(V$4="","",IF(HLOOKUP(V$4,'Physical Effects-Numbers'!$B$1:$AU$172,$B28,FALSE)&lt;0,HLOOKUP(V$4,'Physical Effects-Numbers'!$B$1:$AU$172,$B28,FALSE),""))</f>
        <v>-1</v>
      </c>
      <c r="W28" s="488" t="str">
        <f>IF(W$4="","",IF(HLOOKUP(W$4,'Physical Effects-Numbers'!$B$1:$AU$172,$B28,FALSE)&lt;0,HLOOKUP(W$4,'Physical Effects-Numbers'!$B$1:$AU$172,$B28,FALSE),""))</f>
        <v/>
      </c>
      <c r="X28" s="488">
        <f>IF(X$4="","",IF(HLOOKUP(X$4,'Physical Effects-Numbers'!$B$1:$AU$172,$B28,FALSE)&lt;0,HLOOKUP(X$4,'Physical Effects-Numbers'!$B$1:$AU$172,$B28,FALSE),""))</f>
        <v>-1</v>
      </c>
      <c r="Y28" s="488" t="str">
        <f>IF(Y$4="","",IF(HLOOKUP(Y$4,'Physical Effects-Numbers'!$B$1:$AU$172,$B28,FALSE)&lt;0,HLOOKUP(Y$4,'Physical Effects-Numbers'!$B$1:$AU$172,$B28,FALSE),""))</f>
        <v/>
      </c>
      <c r="Z28" s="488">
        <f>IF(Z$4="","",IF(HLOOKUP(Z$4,'Physical Effects-Numbers'!$B$1:$AU$172,$B28,FALSE)&lt;0,HLOOKUP(Z$4,'Physical Effects-Numbers'!$B$1:$AU$172,$B28,FALSE),""))</f>
        <v>-1</v>
      </c>
      <c r="AA28" s="488" t="str">
        <f>IF(AA$4="","",IF(HLOOKUP(AA$4,'Physical Effects-Numbers'!$B$1:$AU$172,$B28,FALSE)&lt;0,HLOOKUP(AA$4,'Physical Effects-Numbers'!$B$1:$AU$172,$B28,FALSE),""))</f>
        <v/>
      </c>
      <c r="AB28" s="488" t="str">
        <f>IF(AB$4="","",IF(HLOOKUP(AB$4,'Physical Effects-Numbers'!$B$1:$AU$172,$B28,FALSE)&lt;0,HLOOKUP(AB$4,'Physical Effects-Numbers'!$B$1:$AU$172,$B28,FALSE),""))</f>
        <v/>
      </c>
      <c r="AC28" s="488" t="str">
        <f>IF(AC$4="","",IF(HLOOKUP(AC$4,'Physical Effects-Numbers'!$B$1:$AU$172,$B28,FALSE)&lt;0,HLOOKUP(AC$4,'Physical Effects-Numbers'!$B$1:$AU$172,$B28,FALSE),""))</f>
        <v/>
      </c>
      <c r="AD28" s="488" t="str">
        <f>IF(AD$4="","",IF(HLOOKUP(AD$4,'Physical Effects-Numbers'!$B$1:$AU$172,$B28,FALSE)&lt;0,HLOOKUP(AD$4,'Physical Effects-Numbers'!$B$1:$AU$172,$B28,FALSE),""))</f>
        <v/>
      </c>
      <c r="AE28" s="488" t="str">
        <f>IF(AE$4="","",IF(HLOOKUP(AE$4,'Physical Effects-Numbers'!$B$1:$AU$172,$B28,FALSE)&lt;0,HLOOKUP(AE$4,'Physical Effects-Numbers'!$B$1:$AU$172,$B28,FALSE),""))</f>
        <v/>
      </c>
      <c r="AF28" s="488" t="str">
        <f>IF(AF$4="","",IF(HLOOKUP(AF$4,'Physical Effects-Numbers'!$B$1:$AU$172,$B28,FALSE)&lt;0,HLOOKUP(AF$4,'Physical Effects-Numbers'!$B$1:$AU$172,$B28,FALSE),""))</f>
        <v/>
      </c>
      <c r="AG28" s="488" t="str">
        <f>IF(AG$4="","",IF(HLOOKUP(AG$4,'Physical Effects-Numbers'!$B$1:$AU$172,$B28,FALSE)&lt;0,HLOOKUP(AG$4,'Physical Effects-Numbers'!$B$1:$AU$172,$B28,FALSE),""))</f>
        <v/>
      </c>
      <c r="AH28" s="488" t="str">
        <f>IF(AH$4="","",IF(HLOOKUP(AH$4,'Physical Effects-Numbers'!$B$1:$AU$172,$B28,FALSE)&lt;0,HLOOKUP(AH$4,'Physical Effects-Numbers'!$B$1:$AU$172,$B28,FALSE),""))</f>
        <v/>
      </c>
      <c r="AI28" s="488" t="str">
        <f>IF(AI$4="","",IF(HLOOKUP(AI$4,'Physical Effects-Numbers'!$B$1:$AU$172,$B28,FALSE)&lt;0,HLOOKUP(AI$4,'Physical Effects-Numbers'!$B$1:$AU$172,$B28,FALSE),""))</f>
        <v/>
      </c>
      <c r="AJ28" s="488" t="str">
        <f>IF(AJ$4="","",IF(HLOOKUP(AJ$4,'Physical Effects-Numbers'!$B$1:$AU$172,$B28,FALSE)&lt;0,HLOOKUP(AJ$4,'Physical Effects-Numbers'!$B$1:$AU$172,$B28,FALSE),""))</f>
        <v/>
      </c>
      <c r="AK28" s="488" t="str">
        <f>IF(AK$4="","",IF(HLOOKUP(AK$4,'Physical Effects-Numbers'!$B$1:$AU$172,$B28,FALSE)&lt;0,HLOOKUP(AK$4,'Physical Effects-Numbers'!$B$1:$AU$172,$B28,FALSE),""))</f>
        <v/>
      </c>
      <c r="AL28" s="488" t="str">
        <f>IF(AL$4="","",IF(HLOOKUP(AL$4,'Physical Effects-Numbers'!$B$1:$AU$172,$B28,FALSE)&lt;0,HLOOKUP(AL$4,'Physical Effects-Numbers'!$B$1:$AU$172,$B28,FALSE),""))</f>
        <v/>
      </c>
      <c r="AM28" s="488" t="str">
        <f>IF(AM$4="","",IF(HLOOKUP(AM$4,'Physical Effects-Numbers'!$B$1:$AU$172,$B28,FALSE)&lt;0,HLOOKUP(AM$4,'Physical Effects-Numbers'!$B$1:$AU$172,$B28,FALSE),""))</f>
        <v/>
      </c>
      <c r="AN28" s="488" t="str">
        <f>IF(AN$4="","",IF(HLOOKUP(AN$4,'Physical Effects-Numbers'!$B$1:$AU$172,$B28,FALSE)&lt;0,HLOOKUP(AN$4,'Physical Effects-Numbers'!$B$1:$AU$172,$B28,FALSE),""))</f>
        <v/>
      </c>
      <c r="AO28" s="488" t="str">
        <f>IF(AO$4="","",IF(HLOOKUP(AO$4,'Physical Effects-Numbers'!$B$1:$AU$172,$B28,FALSE)&lt;0,HLOOKUP(AO$4,'Physical Effects-Numbers'!$B$1:$AU$172,$B28,FALSE),""))</f>
        <v/>
      </c>
      <c r="AP28" s="488" t="str">
        <f>IF(AP$4="","",IF(HLOOKUP(AP$4,'Physical Effects-Numbers'!$B$1:$AU$172,$B28,FALSE)&lt;0,HLOOKUP(AP$4,'Physical Effects-Numbers'!$B$1:$AU$172,$B28,FALSE),""))</f>
        <v/>
      </c>
      <c r="AQ28" s="488" t="str">
        <f>IF(AQ$4="","",IF(HLOOKUP(AQ$4,'Physical Effects-Numbers'!$B$1:$AU$172,$B28,FALSE)&lt;0,HLOOKUP(AQ$4,'Physical Effects-Numbers'!$B$1:$AU$172,$B28,FALSE),""))</f>
        <v/>
      </c>
      <c r="AR28" s="488" t="str">
        <f>IF(AR$4="","",IF(HLOOKUP(AR$4,'Physical Effects-Numbers'!$B$1:$AU$172,$B28,FALSE)&lt;0,HLOOKUP(AR$4,'Physical Effects-Numbers'!$B$1:$AU$172,$B28,FALSE),""))</f>
        <v/>
      </c>
      <c r="AS28" s="488" t="str">
        <f>IF(AS$4="","",IF(HLOOKUP(AS$4,'Physical Effects-Numbers'!$B$1:$AU$172,$B28,FALSE)&lt;0,HLOOKUP(AS$4,'Physical Effects-Numbers'!$B$1:$AU$172,$B28,FALSE),""))</f>
        <v/>
      </c>
      <c r="AT28" s="488" t="str">
        <f>IF(AT$4="","",IF(HLOOKUP(AT$4,'Physical Effects-Numbers'!$B$1:$AU$172,$B28,FALSE)&lt;0,HLOOKUP(AT$4,'Physical Effects-Numbers'!$B$1:$AU$172,$B28,FALSE),""))</f>
        <v/>
      </c>
      <c r="AU28" s="488" t="str">
        <f>IF(AU$4="","",IF(HLOOKUP(AU$4,'Physical Effects-Numbers'!$B$1:$AU$172,$B28,FALSE)&lt;0,HLOOKUP(AU$4,'Physical Effects-Numbers'!$B$1:$AU$172,$B28,FALSE),""))</f>
        <v/>
      </c>
      <c r="AV28" s="488" t="str">
        <f>IF(AV$4="","",IF(HLOOKUP(AV$4,'Physical Effects-Numbers'!$B$1:$AU$167,$B28,FALSE)&lt;0,HLOOKUP(AV$4,'Physical Effects-Numbers'!$B$1:$AU$167,$B28,FALSE),""))</f>
        <v/>
      </c>
    </row>
    <row r="29" spans="2:48" x14ac:dyDescent="0.2">
      <c r="B29" s="487">
        <f t="shared" si="0"/>
        <v>26</v>
      </c>
      <c r="C29" s="486" t="str">
        <f>+'Physical Effects-Numbers'!B26</f>
        <v>Contour Farming</v>
      </c>
      <c r="D29" s="488" t="str">
        <f>IF(D$4="","",IF(HLOOKUP(D$4,'Physical Effects-Numbers'!$B$1:$AU$172,$B29,FALSE)&lt;0,HLOOKUP(D$4,'Physical Effects-Numbers'!$B$1:$AU$172,$B29,FALSE),""))</f>
        <v/>
      </c>
      <c r="E29" s="488" t="str">
        <f>IF(E$4="","",IF(HLOOKUP(E$4,'Physical Effects-Numbers'!$B$1:$AU$172,$B29,FALSE)&lt;0,HLOOKUP(E$4,'Physical Effects-Numbers'!$B$1:$AU$172,$B29,FALSE),""))</f>
        <v/>
      </c>
      <c r="F29" s="488" t="str">
        <f>IF(F$4="","",IF(HLOOKUP(F$4,'Physical Effects-Numbers'!$B$1:$AU$172,$B29,FALSE)&lt;0,HLOOKUP(F$4,'Physical Effects-Numbers'!$B$1:$AU$172,$B29,FALSE),""))</f>
        <v/>
      </c>
      <c r="G29" s="488" t="str">
        <f>IF(G$4="","",IF(HLOOKUP(G$4,'Physical Effects-Numbers'!$B$1:$AU$172,$B29,FALSE)&lt;0,HLOOKUP(G$4,'Physical Effects-Numbers'!$B$1:$AU$172,$B29,FALSE),""))</f>
        <v/>
      </c>
      <c r="H29" s="488" t="str">
        <f>IF(H$4="","",IF(HLOOKUP(H$4,'Physical Effects-Numbers'!$B$1:$AU$172,$B29,FALSE)&lt;0,HLOOKUP(H$4,'Physical Effects-Numbers'!$B$1:$AU$172,$B29,FALSE),""))</f>
        <v/>
      </c>
      <c r="I29" s="488" t="str">
        <f>IF(I$4="","",IF(HLOOKUP(I$4,'Physical Effects-Numbers'!$B$1:$AU$172,$B29,FALSE)&lt;0,HLOOKUP(I$4,'Physical Effects-Numbers'!$B$1:$AU$172,$B29,FALSE),""))</f>
        <v/>
      </c>
      <c r="J29" s="488" t="str">
        <f>IF(J$4="","",IF(HLOOKUP(J$4,'Physical Effects-Numbers'!$B$1:$AU$172,$B29,FALSE)&lt;0,HLOOKUP(J$4,'Physical Effects-Numbers'!$B$1:$AU$172,$B29,FALSE),""))</f>
        <v/>
      </c>
      <c r="K29" s="488" t="str">
        <f>IF(K$4="","",IF(HLOOKUP(K$4,'Physical Effects-Numbers'!$B$1:$AU$172,$B29,FALSE)&lt;0,HLOOKUP(K$4,'Physical Effects-Numbers'!$B$1:$AU$172,$B29,FALSE),""))</f>
        <v/>
      </c>
      <c r="L29" s="488" t="str">
        <f>IF(L$4="","",IF(HLOOKUP(L$4,'Physical Effects-Numbers'!$B$1:$AU$172,$B29,FALSE)&lt;0,HLOOKUP(L$4,'Physical Effects-Numbers'!$B$1:$AU$172,$B29,FALSE),""))</f>
        <v/>
      </c>
      <c r="M29" s="488">
        <f>IF(M$4="","",IF(HLOOKUP(M$4,'Physical Effects-Numbers'!$B$1:$AU$172,$B29,FALSE)&lt;0,HLOOKUP(M$4,'Physical Effects-Numbers'!$B$1:$AU$172,$B29,FALSE),""))</f>
        <v>-2</v>
      </c>
      <c r="N29" s="488" t="str">
        <f>IF(N$4="","",IF(HLOOKUP(N$4,'Physical Effects-Numbers'!$B$1:$AU$172,$B29,FALSE)&lt;0,HLOOKUP(N$4,'Physical Effects-Numbers'!$B$1:$AU$172,$B29,FALSE),""))</f>
        <v/>
      </c>
      <c r="O29" s="488">
        <f>IF(O$4="","",IF(HLOOKUP(O$4,'Physical Effects-Numbers'!$B$1:$AU$172,$B29,FALSE)&lt;0,HLOOKUP(O$4,'Physical Effects-Numbers'!$B$1:$AU$172,$B29,FALSE),""))</f>
        <v>-1</v>
      </c>
      <c r="P29" s="488" t="str">
        <f>IF(P$4="","",IF(HLOOKUP(P$4,'Physical Effects-Numbers'!$B$1:$AU$172,$B29,FALSE)&lt;0,HLOOKUP(P$4,'Physical Effects-Numbers'!$B$1:$AU$172,$B29,FALSE),""))</f>
        <v/>
      </c>
      <c r="Q29" s="488" t="str">
        <f>IF(Q$4="","",IF(HLOOKUP(Q$4,'Physical Effects-Numbers'!$B$1:$AU$172,$B29,FALSE)&lt;0,HLOOKUP(Q$4,'Physical Effects-Numbers'!$B$1:$AU$172,$B29,FALSE),""))</f>
        <v/>
      </c>
      <c r="R29" s="488" t="str">
        <f>IF(R$4="","",IF(HLOOKUP(R$4,'Physical Effects-Numbers'!$B$1:$AU$172,$B29,FALSE)&lt;0,HLOOKUP(R$4,'Physical Effects-Numbers'!$B$1:$AU$172,$B29,FALSE),""))</f>
        <v/>
      </c>
      <c r="S29" s="488" t="str">
        <f>IF(S$4="","",IF(HLOOKUP(S$4,'Physical Effects-Numbers'!$B$1:$AU$172,$B29,FALSE)&lt;0,HLOOKUP(S$4,'Physical Effects-Numbers'!$B$1:$AU$172,$B29,FALSE),""))</f>
        <v/>
      </c>
      <c r="T29" s="488">
        <f>IF(T$4="","",IF(HLOOKUP(T$4,'Physical Effects-Numbers'!$B$1:$AU$172,$B29,FALSE)&lt;0,HLOOKUP(T$4,'Physical Effects-Numbers'!$B$1:$AU$172,$B29,FALSE),""))</f>
        <v>-1</v>
      </c>
      <c r="U29" s="488" t="str">
        <f>IF(U$4="","",IF(HLOOKUP(U$4,'Physical Effects-Numbers'!$B$1:$AU$172,$B29,FALSE)&lt;0,HLOOKUP(U$4,'Physical Effects-Numbers'!$B$1:$AU$172,$B29,FALSE),""))</f>
        <v/>
      </c>
      <c r="V29" s="488">
        <f>IF(V$4="","",IF(HLOOKUP(V$4,'Physical Effects-Numbers'!$B$1:$AU$172,$B29,FALSE)&lt;0,HLOOKUP(V$4,'Physical Effects-Numbers'!$B$1:$AU$172,$B29,FALSE),""))</f>
        <v>-1</v>
      </c>
      <c r="W29" s="488" t="str">
        <f>IF(W$4="","",IF(HLOOKUP(W$4,'Physical Effects-Numbers'!$B$1:$AU$172,$B29,FALSE)&lt;0,HLOOKUP(W$4,'Physical Effects-Numbers'!$B$1:$AU$172,$B29,FALSE),""))</f>
        <v/>
      </c>
      <c r="X29" s="488">
        <f>IF(X$4="","",IF(HLOOKUP(X$4,'Physical Effects-Numbers'!$B$1:$AU$172,$B29,FALSE)&lt;0,HLOOKUP(X$4,'Physical Effects-Numbers'!$B$1:$AU$172,$B29,FALSE),""))</f>
        <v>-1</v>
      </c>
      <c r="Y29" s="488" t="str">
        <f>IF(Y$4="","",IF(HLOOKUP(Y$4,'Physical Effects-Numbers'!$B$1:$AU$172,$B29,FALSE)&lt;0,HLOOKUP(Y$4,'Physical Effects-Numbers'!$B$1:$AU$172,$B29,FALSE),""))</f>
        <v/>
      </c>
      <c r="Z29" s="488" t="str">
        <f>IF(Z$4="","",IF(HLOOKUP(Z$4,'Physical Effects-Numbers'!$B$1:$AU$172,$B29,FALSE)&lt;0,HLOOKUP(Z$4,'Physical Effects-Numbers'!$B$1:$AU$172,$B29,FALSE),""))</f>
        <v/>
      </c>
      <c r="AA29" s="488" t="str">
        <f>IF(AA$4="","",IF(HLOOKUP(AA$4,'Physical Effects-Numbers'!$B$1:$AU$172,$B29,FALSE)&lt;0,HLOOKUP(AA$4,'Physical Effects-Numbers'!$B$1:$AU$172,$B29,FALSE),""))</f>
        <v/>
      </c>
      <c r="AB29" s="488" t="str">
        <f>IF(AB$4="","",IF(HLOOKUP(AB$4,'Physical Effects-Numbers'!$B$1:$AU$172,$B29,FALSE)&lt;0,HLOOKUP(AB$4,'Physical Effects-Numbers'!$B$1:$AU$172,$B29,FALSE),""))</f>
        <v/>
      </c>
      <c r="AC29" s="488" t="str">
        <f>IF(AC$4="","",IF(HLOOKUP(AC$4,'Physical Effects-Numbers'!$B$1:$AU$172,$B29,FALSE)&lt;0,HLOOKUP(AC$4,'Physical Effects-Numbers'!$B$1:$AU$172,$B29,FALSE),""))</f>
        <v/>
      </c>
      <c r="AD29" s="488" t="str">
        <f>IF(AD$4="","",IF(HLOOKUP(AD$4,'Physical Effects-Numbers'!$B$1:$AU$172,$B29,FALSE)&lt;0,HLOOKUP(AD$4,'Physical Effects-Numbers'!$B$1:$AU$172,$B29,FALSE),""))</f>
        <v/>
      </c>
      <c r="AE29" s="488" t="str">
        <f>IF(AE$4="","",IF(HLOOKUP(AE$4,'Physical Effects-Numbers'!$B$1:$AU$172,$B29,FALSE)&lt;0,HLOOKUP(AE$4,'Physical Effects-Numbers'!$B$1:$AU$172,$B29,FALSE),""))</f>
        <v/>
      </c>
      <c r="AF29" s="488" t="str">
        <f>IF(AF$4="","",IF(HLOOKUP(AF$4,'Physical Effects-Numbers'!$B$1:$AU$172,$B29,FALSE)&lt;0,HLOOKUP(AF$4,'Physical Effects-Numbers'!$B$1:$AU$172,$B29,FALSE),""))</f>
        <v/>
      </c>
      <c r="AG29" s="488" t="str">
        <f>IF(AG$4="","",IF(HLOOKUP(AG$4,'Physical Effects-Numbers'!$B$1:$AU$172,$B29,FALSE)&lt;0,HLOOKUP(AG$4,'Physical Effects-Numbers'!$B$1:$AU$172,$B29,FALSE),""))</f>
        <v/>
      </c>
      <c r="AH29" s="488" t="str">
        <f>IF(AH$4="","",IF(HLOOKUP(AH$4,'Physical Effects-Numbers'!$B$1:$AU$172,$B29,FALSE)&lt;0,HLOOKUP(AH$4,'Physical Effects-Numbers'!$B$1:$AU$172,$B29,FALSE),""))</f>
        <v/>
      </c>
      <c r="AI29" s="488" t="str">
        <f>IF(AI$4="","",IF(HLOOKUP(AI$4,'Physical Effects-Numbers'!$B$1:$AU$172,$B29,FALSE)&lt;0,HLOOKUP(AI$4,'Physical Effects-Numbers'!$B$1:$AU$172,$B29,FALSE),""))</f>
        <v/>
      </c>
      <c r="AJ29" s="488" t="str">
        <f>IF(AJ$4="","",IF(HLOOKUP(AJ$4,'Physical Effects-Numbers'!$B$1:$AU$172,$B29,FALSE)&lt;0,HLOOKUP(AJ$4,'Physical Effects-Numbers'!$B$1:$AU$172,$B29,FALSE),""))</f>
        <v/>
      </c>
      <c r="AK29" s="488" t="str">
        <f>IF(AK$4="","",IF(HLOOKUP(AK$4,'Physical Effects-Numbers'!$B$1:$AU$172,$B29,FALSE)&lt;0,HLOOKUP(AK$4,'Physical Effects-Numbers'!$B$1:$AU$172,$B29,FALSE),""))</f>
        <v/>
      </c>
      <c r="AL29" s="488" t="str">
        <f>IF(AL$4="","",IF(HLOOKUP(AL$4,'Physical Effects-Numbers'!$B$1:$AU$172,$B29,FALSE)&lt;0,HLOOKUP(AL$4,'Physical Effects-Numbers'!$B$1:$AU$172,$B29,FALSE),""))</f>
        <v/>
      </c>
      <c r="AM29" s="488" t="str">
        <f>IF(AM$4="","",IF(HLOOKUP(AM$4,'Physical Effects-Numbers'!$B$1:$AU$172,$B29,FALSE)&lt;0,HLOOKUP(AM$4,'Physical Effects-Numbers'!$B$1:$AU$172,$B29,FALSE),""))</f>
        <v/>
      </c>
      <c r="AN29" s="488" t="str">
        <f>IF(AN$4="","",IF(HLOOKUP(AN$4,'Physical Effects-Numbers'!$B$1:$AU$172,$B29,FALSE)&lt;0,HLOOKUP(AN$4,'Physical Effects-Numbers'!$B$1:$AU$172,$B29,FALSE),""))</f>
        <v/>
      </c>
      <c r="AO29" s="488" t="str">
        <f>IF(AO$4="","",IF(HLOOKUP(AO$4,'Physical Effects-Numbers'!$B$1:$AU$172,$B29,FALSE)&lt;0,HLOOKUP(AO$4,'Physical Effects-Numbers'!$B$1:$AU$172,$B29,FALSE),""))</f>
        <v/>
      </c>
      <c r="AP29" s="488" t="str">
        <f>IF(AP$4="","",IF(HLOOKUP(AP$4,'Physical Effects-Numbers'!$B$1:$AU$172,$B29,FALSE)&lt;0,HLOOKUP(AP$4,'Physical Effects-Numbers'!$B$1:$AU$172,$B29,FALSE),""))</f>
        <v/>
      </c>
      <c r="AQ29" s="488" t="str">
        <f>IF(AQ$4="","",IF(HLOOKUP(AQ$4,'Physical Effects-Numbers'!$B$1:$AU$172,$B29,FALSE)&lt;0,HLOOKUP(AQ$4,'Physical Effects-Numbers'!$B$1:$AU$172,$B29,FALSE),""))</f>
        <v/>
      </c>
      <c r="AR29" s="488" t="str">
        <f>IF(AR$4="","",IF(HLOOKUP(AR$4,'Physical Effects-Numbers'!$B$1:$AU$172,$B29,FALSE)&lt;0,HLOOKUP(AR$4,'Physical Effects-Numbers'!$B$1:$AU$172,$B29,FALSE),""))</f>
        <v/>
      </c>
      <c r="AS29" s="488" t="str">
        <f>IF(AS$4="","",IF(HLOOKUP(AS$4,'Physical Effects-Numbers'!$B$1:$AU$172,$B29,FALSE)&lt;0,HLOOKUP(AS$4,'Physical Effects-Numbers'!$B$1:$AU$172,$B29,FALSE),""))</f>
        <v/>
      </c>
      <c r="AT29" s="488" t="str">
        <f>IF(AT$4="","",IF(HLOOKUP(AT$4,'Physical Effects-Numbers'!$B$1:$AU$172,$B29,FALSE)&lt;0,HLOOKUP(AT$4,'Physical Effects-Numbers'!$B$1:$AU$172,$B29,FALSE),""))</f>
        <v/>
      </c>
      <c r="AU29" s="488" t="str">
        <f>IF(AU$4="","",IF(HLOOKUP(AU$4,'Physical Effects-Numbers'!$B$1:$AU$172,$B29,FALSE)&lt;0,HLOOKUP(AU$4,'Physical Effects-Numbers'!$B$1:$AU$172,$B29,FALSE),""))</f>
        <v/>
      </c>
      <c r="AV29" s="488" t="str">
        <f>IF(AV$4="","",IF(HLOOKUP(AV$4,'Physical Effects-Numbers'!$B$1:$AU$167,$B29,FALSE)&lt;0,HLOOKUP(AV$4,'Physical Effects-Numbers'!$B$1:$AU$167,$B29,FALSE),""))</f>
        <v/>
      </c>
    </row>
    <row r="30" spans="2:48" x14ac:dyDescent="0.2">
      <c r="B30" s="487">
        <f t="shared" si="0"/>
        <v>27</v>
      </c>
      <c r="C30" s="486" t="str">
        <f>+'Physical Effects-Numbers'!B27</f>
        <v>Contour Orchard and Other Perennial Crops</v>
      </c>
      <c r="D30" s="488" t="str">
        <f>IF(D$4="","",IF(HLOOKUP(D$4,'Physical Effects-Numbers'!$B$1:$AU$172,$B30,FALSE)&lt;0,HLOOKUP(D$4,'Physical Effects-Numbers'!$B$1:$AU$172,$B30,FALSE),""))</f>
        <v/>
      </c>
      <c r="E30" s="488" t="str">
        <f>IF(E$4="","",IF(HLOOKUP(E$4,'Physical Effects-Numbers'!$B$1:$AU$172,$B30,FALSE)&lt;0,HLOOKUP(E$4,'Physical Effects-Numbers'!$B$1:$AU$172,$B30,FALSE),""))</f>
        <v/>
      </c>
      <c r="F30" s="488" t="str">
        <f>IF(F$4="","",IF(HLOOKUP(F$4,'Physical Effects-Numbers'!$B$1:$AU$172,$B30,FALSE)&lt;0,HLOOKUP(F$4,'Physical Effects-Numbers'!$B$1:$AU$172,$B30,FALSE),""))</f>
        <v/>
      </c>
      <c r="G30" s="488" t="str">
        <f>IF(G$4="","",IF(HLOOKUP(G$4,'Physical Effects-Numbers'!$B$1:$AU$172,$B30,FALSE)&lt;0,HLOOKUP(G$4,'Physical Effects-Numbers'!$B$1:$AU$172,$B30,FALSE),""))</f>
        <v/>
      </c>
      <c r="H30" s="488" t="str">
        <f>IF(H$4="","",IF(HLOOKUP(H$4,'Physical Effects-Numbers'!$B$1:$AU$172,$B30,FALSE)&lt;0,HLOOKUP(H$4,'Physical Effects-Numbers'!$B$1:$AU$172,$B30,FALSE),""))</f>
        <v/>
      </c>
      <c r="I30" s="488" t="str">
        <f>IF(I$4="","",IF(HLOOKUP(I$4,'Physical Effects-Numbers'!$B$1:$AU$172,$B30,FALSE)&lt;0,HLOOKUP(I$4,'Physical Effects-Numbers'!$B$1:$AU$172,$B30,FALSE),""))</f>
        <v/>
      </c>
      <c r="J30" s="488" t="str">
        <f>IF(J$4="","",IF(HLOOKUP(J$4,'Physical Effects-Numbers'!$B$1:$AU$172,$B30,FALSE)&lt;0,HLOOKUP(J$4,'Physical Effects-Numbers'!$B$1:$AU$172,$B30,FALSE),""))</f>
        <v/>
      </c>
      <c r="K30" s="488" t="str">
        <f>IF(K$4="","",IF(HLOOKUP(K$4,'Physical Effects-Numbers'!$B$1:$AU$172,$B30,FALSE)&lt;0,HLOOKUP(K$4,'Physical Effects-Numbers'!$B$1:$AU$172,$B30,FALSE),""))</f>
        <v/>
      </c>
      <c r="L30" s="488" t="str">
        <f>IF(L$4="","",IF(HLOOKUP(L$4,'Physical Effects-Numbers'!$B$1:$AU$172,$B30,FALSE)&lt;0,HLOOKUP(L$4,'Physical Effects-Numbers'!$B$1:$AU$172,$B30,FALSE),""))</f>
        <v/>
      </c>
      <c r="M30" s="488">
        <f>IF(M$4="","",IF(HLOOKUP(M$4,'Physical Effects-Numbers'!$B$1:$AU$172,$B30,FALSE)&lt;0,HLOOKUP(M$4,'Physical Effects-Numbers'!$B$1:$AU$172,$B30,FALSE),""))</f>
        <v>-2</v>
      </c>
      <c r="N30" s="488" t="str">
        <f>IF(N$4="","",IF(HLOOKUP(N$4,'Physical Effects-Numbers'!$B$1:$AU$172,$B30,FALSE)&lt;0,HLOOKUP(N$4,'Physical Effects-Numbers'!$B$1:$AU$172,$B30,FALSE),""))</f>
        <v/>
      </c>
      <c r="O30" s="488">
        <f>IF(O$4="","",IF(HLOOKUP(O$4,'Physical Effects-Numbers'!$B$1:$AU$172,$B30,FALSE)&lt;0,HLOOKUP(O$4,'Physical Effects-Numbers'!$B$1:$AU$172,$B30,FALSE),""))</f>
        <v>-1</v>
      </c>
      <c r="P30" s="488" t="str">
        <f>IF(P$4="","",IF(HLOOKUP(P$4,'Physical Effects-Numbers'!$B$1:$AU$172,$B30,FALSE)&lt;0,HLOOKUP(P$4,'Physical Effects-Numbers'!$B$1:$AU$172,$B30,FALSE),""))</f>
        <v/>
      </c>
      <c r="Q30" s="488" t="str">
        <f>IF(Q$4="","",IF(HLOOKUP(Q$4,'Physical Effects-Numbers'!$B$1:$AU$172,$B30,FALSE)&lt;0,HLOOKUP(Q$4,'Physical Effects-Numbers'!$B$1:$AU$172,$B30,FALSE),""))</f>
        <v/>
      </c>
      <c r="R30" s="488" t="str">
        <f>IF(R$4="","",IF(HLOOKUP(R$4,'Physical Effects-Numbers'!$B$1:$AU$172,$B30,FALSE)&lt;0,HLOOKUP(R$4,'Physical Effects-Numbers'!$B$1:$AU$172,$B30,FALSE),""))</f>
        <v/>
      </c>
      <c r="S30" s="488" t="str">
        <f>IF(S$4="","",IF(HLOOKUP(S$4,'Physical Effects-Numbers'!$B$1:$AU$172,$B30,FALSE)&lt;0,HLOOKUP(S$4,'Physical Effects-Numbers'!$B$1:$AU$172,$B30,FALSE),""))</f>
        <v/>
      </c>
      <c r="T30" s="488">
        <f>IF(T$4="","",IF(HLOOKUP(T$4,'Physical Effects-Numbers'!$B$1:$AU$172,$B30,FALSE)&lt;0,HLOOKUP(T$4,'Physical Effects-Numbers'!$B$1:$AU$172,$B30,FALSE),""))</f>
        <v>-1</v>
      </c>
      <c r="U30" s="488" t="str">
        <f>IF(U$4="","",IF(HLOOKUP(U$4,'Physical Effects-Numbers'!$B$1:$AU$172,$B30,FALSE)&lt;0,HLOOKUP(U$4,'Physical Effects-Numbers'!$B$1:$AU$172,$B30,FALSE),""))</f>
        <v/>
      </c>
      <c r="V30" s="488">
        <f>IF(V$4="","",IF(HLOOKUP(V$4,'Physical Effects-Numbers'!$B$1:$AU$172,$B30,FALSE)&lt;0,HLOOKUP(V$4,'Physical Effects-Numbers'!$B$1:$AU$172,$B30,FALSE),""))</f>
        <v>-1</v>
      </c>
      <c r="W30" s="488" t="str">
        <f>IF(W$4="","",IF(HLOOKUP(W$4,'Physical Effects-Numbers'!$B$1:$AU$172,$B30,FALSE)&lt;0,HLOOKUP(W$4,'Physical Effects-Numbers'!$B$1:$AU$172,$B30,FALSE),""))</f>
        <v/>
      </c>
      <c r="X30" s="488">
        <f>IF(X$4="","",IF(HLOOKUP(X$4,'Physical Effects-Numbers'!$B$1:$AU$172,$B30,FALSE)&lt;0,HLOOKUP(X$4,'Physical Effects-Numbers'!$B$1:$AU$172,$B30,FALSE),""))</f>
        <v>-1</v>
      </c>
      <c r="Y30" s="488" t="str">
        <f>IF(Y$4="","",IF(HLOOKUP(Y$4,'Physical Effects-Numbers'!$B$1:$AU$172,$B30,FALSE)&lt;0,HLOOKUP(Y$4,'Physical Effects-Numbers'!$B$1:$AU$172,$B30,FALSE),""))</f>
        <v/>
      </c>
      <c r="Z30" s="488" t="str">
        <f>IF(Z$4="","",IF(HLOOKUP(Z$4,'Physical Effects-Numbers'!$B$1:$AU$172,$B30,FALSE)&lt;0,HLOOKUP(Z$4,'Physical Effects-Numbers'!$B$1:$AU$172,$B30,FALSE),""))</f>
        <v/>
      </c>
      <c r="AA30" s="488" t="str">
        <f>IF(AA$4="","",IF(HLOOKUP(AA$4,'Physical Effects-Numbers'!$B$1:$AU$172,$B30,FALSE)&lt;0,HLOOKUP(AA$4,'Physical Effects-Numbers'!$B$1:$AU$172,$B30,FALSE),""))</f>
        <v/>
      </c>
      <c r="AB30" s="488" t="str">
        <f>IF(AB$4="","",IF(HLOOKUP(AB$4,'Physical Effects-Numbers'!$B$1:$AU$172,$B30,FALSE)&lt;0,HLOOKUP(AB$4,'Physical Effects-Numbers'!$B$1:$AU$172,$B30,FALSE),""))</f>
        <v/>
      </c>
      <c r="AC30" s="488" t="str">
        <f>IF(AC$4="","",IF(HLOOKUP(AC$4,'Physical Effects-Numbers'!$B$1:$AU$172,$B30,FALSE)&lt;0,HLOOKUP(AC$4,'Physical Effects-Numbers'!$B$1:$AU$172,$B30,FALSE),""))</f>
        <v/>
      </c>
      <c r="AD30" s="488" t="str">
        <f>IF(AD$4="","",IF(HLOOKUP(AD$4,'Physical Effects-Numbers'!$B$1:$AU$172,$B30,FALSE)&lt;0,HLOOKUP(AD$4,'Physical Effects-Numbers'!$B$1:$AU$172,$B30,FALSE),""))</f>
        <v/>
      </c>
      <c r="AE30" s="488" t="str">
        <f>IF(AE$4="","",IF(HLOOKUP(AE$4,'Physical Effects-Numbers'!$B$1:$AU$172,$B30,FALSE)&lt;0,HLOOKUP(AE$4,'Physical Effects-Numbers'!$B$1:$AU$172,$B30,FALSE),""))</f>
        <v/>
      </c>
      <c r="AF30" s="488" t="str">
        <f>IF(AF$4="","",IF(HLOOKUP(AF$4,'Physical Effects-Numbers'!$B$1:$AU$172,$B30,FALSE)&lt;0,HLOOKUP(AF$4,'Physical Effects-Numbers'!$B$1:$AU$172,$B30,FALSE),""))</f>
        <v/>
      </c>
      <c r="AG30" s="488" t="str">
        <f>IF(AG$4="","",IF(HLOOKUP(AG$4,'Physical Effects-Numbers'!$B$1:$AU$172,$B30,FALSE)&lt;0,HLOOKUP(AG$4,'Physical Effects-Numbers'!$B$1:$AU$172,$B30,FALSE),""))</f>
        <v/>
      </c>
      <c r="AH30" s="488" t="str">
        <f>IF(AH$4="","",IF(HLOOKUP(AH$4,'Physical Effects-Numbers'!$B$1:$AU$172,$B30,FALSE)&lt;0,HLOOKUP(AH$4,'Physical Effects-Numbers'!$B$1:$AU$172,$B30,FALSE),""))</f>
        <v/>
      </c>
      <c r="AI30" s="488" t="str">
        <f>IF(AI$4="","",IF(HLOOKUP(AI$4,'Physical Effects-Numbers'!$B$1:$AU$172,$B30,FALSE)&lt;0,HLOOKUP(AI$4,'Physical Effects-Numbers'!$B$1:$AU$172,$B30,FALSE),""))</f>
        <v/>
      </c>
      <c r="AJ30" s="488" t="str">
        <f>IF(AJ$4="","",IF(HLOOKUP(AJ$4,'Physical Effects-Numbers'!$B$1:$AU$172,$B30,FALSE)&lt;0,HLOOKUP(AJ$4,'Physical Effects-Numbers'!$B$1:$AU$172,$B30,FALSE),""))</f>
        <v/>
      </c>
      <c r="AK30" s="488" t="str">
        <f>IF(AK$4="","",IF(HLOOKUP(AK$4,'Physical Effects-Numbers'!$B$1:$AU$172,$B30,FALSE)&lt;0,HLOOKUP(AK$4,'Physical Effects-Numbers'!$B$1:$AU$172,$B30,FALSE),""))</f>
        <v/>
      </c>
      <c r="AL30" s="488" t="str">
        <f>IF(AL$4="","",IF(HLOOKUP(AL$4,'Physical Effects-Numbers'!$B$1:$AU$172,$B30,FALSE)&lt;0,HLOOKUP(AL$4,'Physical Effects-Numbers'!$B$1:$AU$172,$B30,FALSE),""))</f>
        <v/>
      </c>
      <c r="AM30" s="488" t="str">
        <f>IF(AM$4="","",IF(HLOOKUP(AM$4,'Physical Effects-Numbers'!$B$1:$AU$172,$B30,FALSE)&lt;0,HLOOKUP(AM$4,'Physical Effects-Numbers'!$B$1:$AU$172,$B30,FALSE),""))</f>
        <v/>
      </c>
      <c r="AN30" s="488" t="str">
        <f>IF(AN$4="","",IF(HLOOKUP(AN$4,'Physical Effects-Numbers'!$B$1:$AU$172,$B30,FALSE)&lt;0,HLOOKUP(AN$4,'Physical Effects-Numbers'!$B$1:$AU$172,$B30,FALSE),""))</f>
        <v/>
      </c>
      <c r="AO30" s="488" t="str">
        <f>IF(AO$4="","",IF(HLOOKUP(AO$4,'Physical Effects-Numbers'!$B$1:$AU$172,$B30,FALSE)&lt;0,HLOOKUP(AO$4,'Physical Effects-Numbers'!$B$1:$AU$172,$B30,FALSE),""))</f>
        <v/>
      </c>
      <c r="AP30" s="488" t="str">
        <f>IF(AP$4="","",IF(HLOOKUP(AP$4,'Physical Effects-Numbers'!$B$1:$AU$172,$B30,FALSE)&lt;0,HLOOKUP(AP$4,'Physical Effects-Numbers'!$B$1:$AU$172,$B30,FALSE),""))</f>
        <v/>
      </c>
      <c r="AQ30" s="488" t="str">
        <f>IF(AQ$4="","",IF(HLOOKUP(AQ$4,'Physical Effects-Numbers'!$B$1:$AU$172,$B30,FALSE)&lt;0,HLOOKUP(AQ$4,'Physical Effects-Numbers'!$B$1:$AU$172,$B30,FALSE),""))</f>
        <v/>
      </c>
      <c r="AR30" s="488" t="str">
        <f>IF(AR$4="","",IF(HLOOKUP(AR$4,'Physical Effects-Numbers'!$B$1:$AU$172,$B30,FALSE)&lt;0,HLOOKUP(AR$4,'Physical Effects-Numbers'!$B$1:$AU$172,$B30,FALSE),""))</f>
        <v/>
      </c>
      <c r="AS30" s="488" t="str">
        <f>IF(AS$4="","",IF(HLOOKUP(AS$4,'Physical Effects-Numbers'!$B$1:$AU$172,$B30,FALSE)&lt;0,HLOOKUP(AS$4,'Physical Effects-Numbers'!$B$1:$AU$172,$B30,FALSE),""))</f>
        <v/>
      </c>
      <c r="AT30" s="488" t="str">
        <f>IF(AT$4="","",IF(HLOOKUP(AT$4,'Physical Effects-Numbers'!$B$1:$AU$172,$B30,FALSE)&lt;0,HLOOKUP(AT$4,'Physical Effects-Numbers'!$B$1:$AU$172,$B30,FALSE),""))</f>
        <v/>
      </c>
      <c r="AU30" s="488" t="str">
        <f>IF(AU$4="","",IF(HLOOKUP(AU$4,'Physical Effects-Numbers'!$B$1:$AU$172,$B30,FALSE)&lt;0,HLOOKUP(AU$4,'Physical Effects-Numbers'!$B$1:$AU$172,$B30,FALSE),""))</f>
        <v/>
      </c>
      <c r="AV30" s="488" t="str">
        <f>IF(AV$4="","",IF(HLOOKUP(AV$4,'Physical Effects-Numbers'!$B$1:$AU$167,$B30,FALSE)&lt;0,HLOOKUP(AV$4,'Physical Effects-Numbers'!$B$1:$AU$167,$B30,FALSE),""))</f>
        <v/>
      </c>
    </row>
    <row r="31" spans="2:48" x14ac:dyDescent="0.2">
      <c r="B31" s="487">
        <f t="shared" si="0"/>
        <v>28</v>
      </c>
      <c r="C31" s="486" t="str">
        <f>+'Physical Effects-Numbers'!B28</f>
        <v>Controlled Traffic Farming</v>
      </c>
      <c r="D31" s="488" t="str">
        <f>IF(D$4="","",IF(HLOOKUP(D$4,'Physical Effects-Numbers'!$B$1:$AU$172,$B31,FALSE)&lt;0,HLOOKUP(D$4,'Physical Effects-Numbers'!$B$1:$AU$172,$B31,FALSE),""))</f>
        <v/>
      </c>
      <c r="E31" s="488" t="str">
        <f>IF(E$4="","",IF(HLOOKUP(E$4,'Physical Effects-Numbers'!$B$1:$AU$172,$B31,FALSE)&lt;0,HLOOKUP(E$4,'Physical Effects-Numbers'!$B$1:$AU$172,$B31,FALSE),""))</f>
        <v/>
      </c>
      <c r="F31" s="488" t="str">
        <f>IF(F$4="","",IF(HLOOKUP(F$4,'Physical Effects-Numbers'!$B$1:$AU$172,$B31,FALSE)&lt;0,HLOOKUP(F$4,'Physical Effects-Numbers'!$B$1:$AU$172,$B31,FALSE),""))</f>
        <v/>
      </c>
      <c r="G31" s="488" t="str">
        <f>IF(G$4="","",IF(HLOOKUP(G$4,'Physical Effects-Numbers'!$B$1:$AU$172,$B31,FALSE)&lt;0,HLOOKUP(G$4,'Physical Effects-Numbers'!$B$1:$AU$172,$B31,FALSE),""))</f>
        <v/>
      </c>
      <c r="H31" s="488" t="str">
        <f>IF(H$4="","",IF(HLOOKUP(H$4,'Physical Effects-Numbers'!$B$1:$AU$172,$B31,FALSE)&lt;0,HLOOKUP(H$4,'Physical Effects-Numbers'!$B$1:$AU$172,$B31,FALSE),""))</f>
        <v/>
      </c>
      <c r="I31" s="488" t="str">
        <f>IF(I$4="","",IF(HLOOKUP(I$4,'Physical Effects-Numbers'!$B$1:$AU$172,$B31,FALSE)&lt;0,HLOOKUP(I$4,'Physical Effects-Numbers'!$B$1:$AU$172,$B31,FALSE),""))</f>
        <v/>
      </c>
      <c r="J31" s="488" t="str">
        <f>IF(J$4="","",IF(HLOOKUP(J$4,'Physical Effects-Numbers'!$B$1:$AU$172,$B31,FALSE)&lt;0,HLOOKUP(J$4,'Physical Effects-Numbers'!$B$1:$AU$172,$B31,FALSE),""))</f>
        <v/>
      </c>
      <c r="K31" s="488" t="str">
        <f>IF(K$4="","",IF(HLOOKUP(K$4,'Physical Effects-Numbers'!$B$1:$AU$172,$B31,FALSE)&lt;0,HLOOKUP(K$4,'Physical Effects-Numbers'!$B$1:$AU$172,$B31,FALSE),""))</f>
        <v/>
      </c>
      <c r="L31" s="488" t="str">
        <f>IF(L$4="","",IF(HLOOKUP(L$4,'Physical Effects-Numbers'!$B$1:$AU$172,$B31,FALSE)&lt;0,HLOOKUP(L$4,'Physical Effects-Numbers'!$B$1:$AU$172,$B31,FALSE),""))</f>
        <v/>
      </c>
      <c r="M31" s="488" t="str">
        <f>IF(M$4="","",IF(HLOOKUP(M$4,'Physical Effects-Numbers'!$B$1:$AU$172,$B31,FALSE)&lt;0,HLOOKUP(M$4,'Physical Effects-Numbers'!$B$1:$AU$172,$B31,FALSE),""))</f>
        <v/>
      </c>
      <c r="N31" s="488" t="str">
        <f>IF(N$4="","",IF(HLOOKUP(N$4,'Physical Effects-Numbers'!$B$1:$AU$172,$B31,FALSE)&lt;0,HLOOKUP(N$4,'Physical Effects-Numbers'!$B$1:$AU$172,$B31,FALSE),""))</f>
        <v/>
      </c>
      <c r="O31" s="488" t="str">
        <f>IF(O$4="","",IF(HLOOKUP(O$4,'Physical Effects-Numbers'!$B$1:$AU$172,$B31,FALSE)&lt;0,HLOOKUP(O$4,'Physical Effects-Numbers'!$B$1:$AU$172,$B31,FALSE),""))</f>
        <v/>
      </c>
      <c r="P31" s="488" t="str">
        <f>IF(P$4="","",IF(HLOOKUP(P$4,'Physical Effects-Numbers'!$B$1:$AU$172,$B31,FALSE)&lt;0,HLOOKUP(P$4,'Physical Effects-Numbers'!$B$1:$AU$172,$B31,FALSE),""))</f>
        <v/>
      </c>
      <c r="Q31" s="488" t="str">
        <f>IF(Q$4="","",IF(HLOOKUP(Q$4,'Physical Effects-Numbers'!$B$1:$AU$172,$B31,FALSE)&lt;0,HLOOKUP(Q$4,'Physical Effects-Numbers'!$B$1:$AU$172,$B31,FALSE),""))</f>
        <v/>
      </c>
      <c r="R31" s="488" t="str">
        <f>IF(R$4="","",IF(HLOOKUP(R$4,'Physical Effects-Numbers'!$B$1:$AU$172,$B31,FALSE)&lt;0,HLOOKUP(R$4,'Physical Effects-Numbers'!$B$1:$AU$172,$B31,FALSE),""))</f>
        <v/>
      </c>
      <c r="S31" s="488" t="str">
        <f>IF(S$4="","",IF(HLOOKUP(S$4,'Physical Effects-Numbers'!$B$1:$AU$172,$B31,FALSE)&lt;0,HLOOKUP(S$4,'Physical Effects-Numbers'!$B$1:$AU$172,$B31,FALSE),""))</f>
        <v/>
      </c>
      <c r="T31" s="488" t="str">
        <f>IF(T$4="","",IF(HLOOKUP(T$4,'Physical Effects-Numbers'!$B$1:$AU$172,$B31,FALSE)&lt;0,HLOOKUP(T$4,'Physical Effects-Numbers'!$B$1:$AU$172,$B31,FALSE),""))</f>
        <v/>
      </c>
      <c r="U31" s="488" t="str">
        <f>IF(U$4="","",IF(HLOOKUP(U$4,'Physical Effects-Numbers'!$B$1:$AU$172,$B31,FALSE)&lt;0,HLOOKUP(U$4,'Physical Effects-Numbers'!$B$1:$AU$172,$B31,FALSE),""))</f>
        <v/>
      </c>
      <c r="V31" s="488" t="str">
        <f>IF(V$4="","",IF(HLOOKUP(V$4,'Physical Effects-Numbers'!$B$1:$AU$172,$B31,FALSE)&lt;0,HLOOKUP(V$4,'Physical Effects-Numbers'!$B$1:$AU$172,$B31,FALSE),""))</f>
        <v/>
      </c>
      <c r="W31" s="488" t="str">
        <f>IF(W$4="","",IF(HLOOKUP(W$4,'Physical Effects-Numbers'!$B$1:$AU$172,$B31,FALSE)&lt;0,HLOOKUP(W$4,'Physical Effects-Numbers'!$B$1:$AU$172,$B31,FALSE),""))</f>
        <v/>
      </c>
      <c r="X31" s="488" t="str">
        <f>IF(X$4="","",IF(HLOOKUP(X$4,'Physical Effects-Numbers'!$B$1:$AU$172,$B31,FALSE)&lt;0,HLOOKUP(X$4,'Physical Effects-Numbers'!$B$1:$AU$172,$B31,FALSE),""))</f>
        <v/>
      </c>
      <c r="Y31" s="488" t="str">
        <f>IF(Y$4="","",IF(HLOOKUP(Y$4,'Physical Effects-Numbers'!$B$1:$AU$172,$B31,FALSE)&lt;0,HLOOKUP(Y$4,'Physical Effects-Numbers'!$B$1:$AU$172,$B31,FALSE),""))</f>
        <v/>
      </c>
      <c r="Z31" s="488" t="str">
        <f>IF(Z$4="","",IF(HLOOKUP(Z$4,'Physical Effects-Numbers'!$B$1:$AU$172,$B31,FALSE)&lt;0,HLOOKUP(Z$4,'Physical Effects-Numbers'!$B$1:$AU$172,$B31,FALSE),""))</f>
        <v/>
      </c>
      <c r="AA31" s="488" t="str">
        <f>IF(AA$4="","",IF(HLOOKUP(AA$4,'Physical Effects-Numbers'!$B$1:$AU$172,$B31,FALSE)&lt;0,HLOOKUP(AA$4,'Physical Effects-Numbers'!$B$1:$AU$172,$B31,FALSE),""))</f>
        <v/>
      </c>
      <c r="AB31" s="488" t="str">
        <f>IF(AB$4="","",IF(HLOOKUP(AB$4,'Physical Effects-Numbers'!$B$1:$AU$172,$B31,FALSE)&lt;0,HLOOKUP(AB$4,'Physical Effects-Numbers'!$B$1:$AU$172,$B31,FALSE),""))</f>
        <v/>
      </c>
      <c r="AC31" s="488" t="str">
        <f>IF(AC$4="","",IF(HLOOKUP(AC$4,'Physical Effects-Numbers'!$B$1:$AU$172,$B31,FALSE)&lt;0,HLOOKUP(AC$4,'Physical Effects-Numbers'!$B$1:$AU$172,$B31,FALSE),""))</f>
        <v/>
      </c>
      <c r="AD31" s="488" t="str">
        <f>IF(AD$4="","",IF(HLOOKUP(AD$4,'Physical Effects-Numbers'!$B$1:$AU$172,$B31,FALSE)&lt;0,HLOOKUP(AD$4,'Physical Effects-Numbers'!$B$1:$AU$172,$B31,FALSE),""))</f>
        <v/>
      </c>
      <c r="AE31" s="488" t="str">
        <f>IF(AE$4="","",IF(HLOOKUP(AE$4,'Physical Effects-Numbers'!$B$1:$AU$172,$B31,FALSE)&lt;0,HLOOKUP(AE$4,'Physical Effects-Numbers'!$B$1:$AU$172,$B31,FALSE),""))</f>
        <v/>
      </c>
      <c r="AF31" s="488" t="str">
        <f>IF(AF$4="","",IF(HLOOKUP(AF$4,'Physical Effects-Numbers'!$B$1:$AU$172,$B31,FALSE)&lt;0,HLOOKUP(AF$4,'Physical Effects-Numbers'!$B$1:$AU$172,$B31,FALSE),""))</f>
        <v/>
      </c>
      <c r="AG31" s="488" t="str">
        <f>IF(AG$4="","",IF(HLOOKUP(AG$4,'Physical Effects-Numbers'!$B$1:$AU$172,$B31,FALSE)&lt;0,HLOOKUP(AG$4,'Physical Effects-Numbers'!$B$1:$AU$172,$B31,FALSE),""))</f>
        <v/>
      </c>
      <c r="AH31" s="488" t="str">
        <f>IF(AH$4="","",IF(HLOOKUP(AH$4,'Physical Effects-Numbers'!$B$1:$AU$172,$B31,FALSE)&lt;0,HLOOKUP(AH$4,'Physical Effects-Numbers'!$B$1:$AU$172,$B31,FALSE),""))</f>
        <v/>
      </c>
      <c r="AI31" s="488" t="str">
        <f>IF(AI$4="","",IF(HLOOKUP(AI$4,'Physical Effects-Numbers'!$B$1:$AU$172,$B31,FALSE)&lt;0,HLOOKUP(AI$4,'Physical Effects-Numbers'!$B$1:$AU$172,$B31,FALSE),""))</f>
        <v/>
      </c>
      <c r="AJ31" s="488" t="str">
        <f>IF(AJ$4="","",IF(HLOOKUP(AJ$4,'Physical Effects-Numbers'!$B$1:$AU$172,$B31,FALSE)&lt;0,HLOOKUP(AJ$4,'Physical Effects-Numbers'!$B$1:$AU$172,$B31,FALSE),""))</f>
        <v/>
      </c>
      <c r="AK31" s="488" t="str">
        <f>IF(AK$4="","",IF(HLOOKUP(AK$4,'Physical Effects-Numbers'!$B$1:$AU$172,$B31,FALSE)&lt;0,HLOOKUP(AK$4,'Physical Effects-Numbers'!$B$1:$AU$172,$B31,FALSE),""))</f>
        <v/>
      </c>
      <c r="AL31" s="488" t="str">
        <f>IF(AL$4="","",IF(HLOOKUP(AL$4,'Physical Effects-Numbers'!$B$1:$AU$172,$B31,FALSE)&lt;0,HLOOKUP(AL$4,'Physical Effects-Numbers'!$B$1:$AU$172,$B31,FALSE),""))</f>
        <v/>
      </c>
      <c r="AM31" s="488" t="str">
        <f>IF(AM$4="","",IF(HLOOKUP(AM$4,'Physical Effects-Numbers'!$B$1:$AU$172,$B31,FALSE)&lt;0,HLOOKUP(AM$4,'Physical Effects-Numbers'!$B$1:$AU$172,$B31,FALSE),""))</f>
        <v/>
      </c>
      <c r="AN31" s="488" t="str">
        <f>IF(AN$4="","",IF(HLOOKUP(AN$4,'Physical Effects-Numbers'!$B$1:$AU$172,$B31,FALSE)&lt;0,HLOOKUP(AN$4,'Physical Effects-Numbers'!$B$1:$AU$172,$B31,FALSE),""))</f>
        <v/>
      </c>
      <c r="AO31" s="488" t="str">
        <f>IF(AO$4="","",IF(HLOOKUP(AO$4,'Physical Effects-Numbers'!$B$1:$AU$172,$B31,FALSE)&lt;0,HLOOKUP(AO$4,'Physical Effects-Numbers'!$B$1:$AU$172,$B31,FALSE),""))</f>
        <v/>
      </c>
      <c r="AP31" s="488" t="str">
        <f>IF(AP$4="","",IF(HLOOKUP(AP$4,'Physical Effects-Numbers'!$B$1:$AU$172,$B31,FALSE)&lt;0,HLOOKUP(AP$4,'Physical Effects-Numbers'!$B$1:$AU$172,$B31,FALSE),""))</f>
        <v/>
      </c>
      <c r="AQ31" s="488" t="str">
        <f>IF(AQ$4="","",IF(HLOOKUP(AQ$4,'Physical Effects-Numbers'!$B$1:$AU$172,$B31,FALSE)&lt;0,HLOOKUP(AQ$4,'Physical Effects-Numbers'!$B$1:$AU$172,$B31,FALSE),""))</f>
        <v/>
      </c>
      <c r="AR31" s="488" t="str">
        <f>IF(AR$4="","",IF(HLOOKUP(AR$4,'Physical Effects-Numbers'!$B$1:$AU$172,$B31,FALSE)&lt;0,HLOOKUP(AR$4,'Physical Effects-Numbers'!$B$1:$AU$172,$B31,FALSE),""))</f>
        <v/>
      </c>
      <c r="AS31" s="488" t="str">
        <f>IF(AS$4="","",IF(HLOOKUP(AS$4,'Physical Effects-Numbers'!$B$1:$AU$172,$B31,FALSE)&lt;0,HLOOKUP(AS$4,'Physical Effects-Numbers'!$B$1:$AU$172,$B31,FALSE),""))</f>
        <v/>
      </c>
      <c r="AT31" s="488" t="str">
        <f>IF(AT$4="","",IF(HLOOKUP(AT$4,'Physical Effects-Numbers'!$B$1:$AU$172,$B31,FALSE)&lt;0,HLOOKUP(AT$4,'Physical Effects-Numbers'!$B$1:$AU$172,$B31,FALSE),""))</f>
        <v/>
      </c>
      <c r="AU31" s="488" t="str">
        <f>IF(AU$4="","",IF(HLOOKUP(AU$4,'Physical Effects-Numbers'!$B$1:$AU$172,$B31,FALSE)&lt;0,HLOOKUP(AU$4,'Physical Effects-Numbers'!$B$1:$AU$172,$B31,FALSE),""))</f>
        <v/>
      </c>
      <c r="AV31" s="488" t="str">
        <f>IF(AV$4="","",IF(HLOOKUP(AV$4,'Physical Effects-Numbers'!$B$1:$AU$167,$B31,FALSE)&lt;0,HLOOKUP(AV$4,'Physical Effects-Numbers'!$B$1:$AU$167,$B31,FALSE),""))</f>
        <v/>
      </c>
    </row>
    <row r="32" spans="2:48" x14ac:dyDescent="0.2">
      <c r="B32" s="487">
        <f t="shared" si="0"/>
        <v>29</v>
      </c>
      <c r="C32" s="486" t="str">
        <f>+'Physical Effects-Numbers'!B29</f>
        <v>Cover Crop</v>
      </c>
      <c r="D32" s="488" t="str">
        <f>IF(D$4="","",IF(HLOOKUP(D$4,'Physical Effects-Numbers'!$B$1:$AU$172,$B32,FALSE)&lt;0,HLOOKUP(D$4,'Physical Effects-Numbers'!$B$1:$AU$172,$B32,FALSE),""))</f>
        <v/>
      </c>
      <c r="E32" s="488" t="str">
        <f>IF(E$4="","",IF(HLOOKUP(E$4,'Physical Effects-Numbers'!$B$1:$AU$172,$B32,FALSE)&lt;0,HLOOKUP(E$4,'Physical Effects-Numbers'!$B$1:$AU$172,$B32,FALSE),""))</f>
        <v/>
      </c>
      <c r="F32" s="488" t="str">
        <f>IF(F$4="","",IF(HLOOKUP(F$4,'Physical Effects-Numbers'!$B$1:$AU$172,$B32,FALSE)&lt;0,HLOOKUP(F$4,'Physical Effects-Numbers'!$B$1:$AU$172,$B32,FALSE),""))</f>
        <v/>
      </c>
      <c r="G32" s="488" t="str">
        <f>IF(G$4="","",IF(HLOOKUP(G$4,'Physical Effects-Numbers'!$B$1:$AU$172,$B32,FALSE)&lt;0,HLOOKUP(G$4,'Physical Effects-Numbers'!$B$1:$AU$172,$B32,FALSE),""))</f>
        <v/>
      </c>
      <c r="H32" s="488" t="str">
        <f>IF(H$4="","",IF(HLOOKUP(H$4,'Physical Effects-Numbers'!$B$1:$AU$172,$B32,FALSE)&lt;0,HLOOKUP(H$4,'Physical Effects-Numbers'!$B$1:$AU$172,$B32,FALSE),""))</f>
        <v/>
      </c>
      <c r="I32" s="488" t="str">
        <f>IF(I$4="","",IF(HLOOKUP(I$4,'Physical Effects-Numbers'!$B$1:$AU$172,$B32,FALSE)&lt;0,HLOOKUP(I$4,'Physical Effects-Numbers'!$B$1:$AU$172,$B32,FALSE),""))</f>
        <v/>
      </c>
      <c r="J32" s="488" t="str">
        <f>IF(J$4="","",IF(HLOOKUP(J$4,'Physical Effects-Numbers'!$B$1:$AU$172,$B32,FALSE)&lt;0,HLOOKUP(J$4,'Physical Effects-Numbers'!$B$1:$AU$172,$B32,FALSE),""))</f>
        <v/>
      </c>
      <c r="K32" s="488" t="str">
        <f>IF(K$4="","",IF(HLOOKUP(K$4,'Physical Effects-Numbers'!$B$1:$AU$172,$B32,FALSE)&lt;0,HLOOKUP(K$4,'Physical Effects-Numbers'!$B$1:$AU$172,$B32,FALSE),""))</f>
        <v/>
      </c>
      <c r="L32" s="488" t="str">
        <f>IF(L$4="","",IF(HLOOKUP(L$4,'Physical Effects-Numbers'!$B$1:$AU$172,$B32,FALSE)&lt;0,HLOOKUP(L$4,'Physical Effects-Numbers'!$B$1:$AU$172,$B32,FALSE),""))</f>
        <v/>
      </c>
      <c r="M32" s="488" t="str">
        <f>IF(M$4="","",IF(HLOOKUP(M$4,'Physical Effects-Numbers'!$B$1:$AU$172,$B32,FALSE)&lt;0,HLOOKUP(M$4,'Physical Effects-Numbers'!$B$1:$AU$172,$B32,FALSE),""))</f>
        <v/>
      </c>
      <c r="N32" s="488" t="str">
        <f>IF(N$4="","",IF(HLOOKUP(N$4,'Physical Effects-Numbers'!$B$1:$AU$172,$B32,FALSE)&lt;0,HLOOKUP(N$4,'Physical Effects-Numbers'!$B$1:$AU$172,$B32,FALSE),""))</f>
        <v/>
      </c>
      <c r="O32" s="488" t="str">
        <f>IF(O$4="","",IF(HLOOKUP(O$4,'Physical Effects-Numbers'!$B$1:$AU$172,$B32,FALSE)&lt;0,HLOOKUP(O$4,'Physical Effects-Numbers'!$B$1:$AU$172,$B32,FALSE),""))</f>
        <v/>
      </c>
      <c r="P32" s="488" t="str">
        <f>IF(P$4="","",IF(HLOOKUP(P$4,'Physical Effects-Numbers'!$B$1:$AU$172,$B32,FALSE)&lt;0,HLOOKUP(P$4,'Physical Effects-Numbers'!$B$1:$AU$172,$B32,FALSE),""))</f>
        <v/>
      </c>
      <c r="Q32" s="488" t="str">
        <f>IF(Q$4="","",IF(HLOOKUP(Q$4,'Physical Effects-Numbers'!$B$1:$AU$172,$B32,FALSE)&lt;0,HLOOKUP(Q$4,'Physical Effects-Numbers'!$B$1:$AU$172,$B32,FALSE),""))</f>
        <v/>
      </c>
      <c r="R32" s="488" t="str">
        <f>IF(R$4="","",IF(HLOOKUP(R$4,'Physical Effects-Numbers'!$B$1:$AU$172,$B32,FALSE)&lt;0,HLOOKUP(R$4,'Physical Effects-Numbers'!$B$1:$AU$172,$B32,FALSE),""))</f>
        <v/>
      </c>
      <c r="S32" s="488" t="str">
        <f>IF(S$4="","",IF(HLOOKUP(S$4,'Physical Effects-Numbers'!$B$1:$AU$172,$B32,FALSE)&lt;0,HLOOKUP(S$4,'Physical Effects-Numbers'!$B$1:$AU$172,$B32,FALSE),""))</f>
        <v/>
      </c>
      <c r="T32" s="488" t="str">
        <f>IF(T$4="","",IF(HLOOKUP(T$4,'Physical Effects-Numbers'!$B$1:$AU$172,$B32,FALSE)&lt;0,HLOOKUP(T$4,'Physical Effects-Numbers'!$B$1:$AU$172,$B32,FALSE),""))</f>
        <v/>
      </c>
      <c r="U32" s="488" t="str">
        <f>IF(U$4="","",IF(HLOOKUP(U$4,'Physical Effects-Numbers'!$B$1:$AU$172,$B32,FALSE)&lt;0,HLOOKUP(U$4,'Physical Effects-Numbers'!$B$1:$AU$172,$B32,FALSE),""))</f>
        <v/>
      </c>
      <c r="V32" s="488" t="str">
        <f>IF(V$4="","",IF(HLOOKUP(V$4,'Physical Effects-Numbers'!$B$1:$AU$172,$B32,FALSE)&lt;0,HLOOKUP(V$4,'Physical Effects-Numbers'!$B$1:$AU$172,$B32,FALSE),""))</f>
        <v/>
      </c>
      <c r="W32" s="488" t="str">
        <f>IF(W$4="","",IF(HLOOKUP(W$4,'Physical Effects-Numbers'!$B$1:$AU$172,$B32,FALSE)&lt;0,HLOOKUP(W$4,'Physical Effects-Numbers'!$B$1:$AU$172,$B32,FALSE),""))</f>
        <v/>
      </c>
      <c r="X32" s="488" t="str">
        <f>IF(X$4="","",IF(HLOOKUP(X$4,'Physical Effects-Numbers'!$B$1:$AU$172,$B32,FALSE)&lt;0,HLOOKUP(X$4,'Physical Effects-Numbers'!$B$1:$AU$172,$B32,FALSE),""))</f>
        <v/>
      </c>
      <c r="Y32" s="488" t="str">
        <f>IF(Y$4="","",IF(HLOOKUP(Y$4,'Physical Effects-Numbers'!$B$1:$AU$172,$B32,FALSE)&lt;0,HLOOKUP(Y$4,'Physical Effects-Numbers'!$B$1:$AU$172,$B32,FALSE),""))</f>
        <v/>
      </c>
      <c r="Z32" s="488" t="str">
        <f>IF(Z$4="","",IF(HLOOKUP(Z$4,'Physical Effects-Numbers'!$B$1:$AU$172,$B32,FALSE)&lt;0,HLOOKUP(Z$4,'Physical Effects-Numbers'!$B$1:$AU$172,$B32,FALSE),""))</f>
        <v/>
      </c>
      <c r="AA32" s="488" t="str">
        <f>IF(AA$4="","",IF(HLOOKUP(AA$4,'Physical Effects-Numbers'!$B$1:$AU$172,$B32,FALSE)&lt;0,HLOOKUP(AA$4,'Physical Effects-Numbers'!$B$1:$AU$172,$B32,FALSE),""))</f>
        <v/>
      </c>
      <c r="AB32" s="488" t="str">
        <f>IF(AB$4="","",IF(HLOOKUP(AB$4,'Physical Effects-Numbers'!$B$1:$AU$172,$B32,FALSE)&lt;0,HLOOKUP(AB$4,'Physical Effects-Numbers'!$B$1:$AU$172,$B32,FALSE),""))</f>
        <v/>
      </c>
      <c r="AC32" s="488" t="str">
        <f>IF(AC$4="","",IF(HLOOKUP(AC$4,'Physical Effects-Numbers'!$B$1:$AU$172,$B32,FALSE)&lt;0,HLOOKUP(AC$4,'Physical Effects-Numbers'!$B$1:$AU$172,$B32,FALSE),""))</f>
        <v/>
      </c>
      <c r="AD32" s="488" t="str">
        <f>IF(AD$4="","",IF(HLOOKUP(AD$4,'Physical Effects-Numbers'!$B$1:$AU$172,$B32,FALSE)&lt;0,HLOOKUP(AD$4,'Physical Effects-Numbers'!$B$1:$AU$172,$B32,FALSE),""))</f>
        <v/>
      </c>
      <c r="AE32" s="488" t="str">
        <f>IF(AE$4="","",IF(HLOOKUP(AE$4,'Physical Effects-Numbers'!$B$1:$AU$172,$B32,FALSE)&lt;0,HLOOKUP(AE$4,'Physical Effects-Numbers'!$B$1:$AU$172,$B32,FALSE),""))</f>
        <v/>
      </c>
      <c r="AF32" s="488" t="str">
        <f>IF(AF$4="","",IF(HLOOKUP(AF$4,'Physical Effects-Numbers'!$B$1:$AU$172,$B32,FALSE)&lt;0,HLOOKUP(AF$4,'Physical Effects-Numbers'!$B$1:$AU$172,$B32,FALSE),""))</f>
        <v/>
      </c>
      <c r="AG32" s="488" t="str">
        <f>IF(AG$4="","",IF(HLOOKUP(AG$4,'Physical Effects-Numbers'!$B$1:$AU$172,$B32,FALSE)&lt;0,HLOOKUP(AG$4,'Physical Effects-Numbers'!$B$1:$AU$172,$B32,FALSE),""))</f>
        <v/>
      </c>
      <c r="AH32" s="488" t="str">
        <f>IF(AH$4="","",IF(HLOOKUP(AH$4,'Physical Effects-Numbers'!$B$1:$AU$172,$B32,FALSE)&lt;0,HLOOKUP(AH$4,'Physical Effects-Numbers'!$B$1:$AU$172,$B32,FALSE),""))</f>
        <v/>
      </c>
      <c r="AI32" s="488" t="str">
        <f>IF(AI$4="","",IF(HLOOKUP(AI$4,'Physical Effects-Numbers'!$B$1:$AU$172,$B32,FALSE)&lt;0,HLOOKUP(AI$4,'Physical Effects-Numbers'!$B$1:$AU$172,$B32,FALSE),""))</f>
        <v/>
      </c>
      <c r="AJ32" s="488" t="str">
        <f>IF(AJ$4="","",IF(HLOOKUP(AJ$4,'Physical Effects-Numbers'!$B$1:$AU$172,$B32,FALSE)&lt;0,HLOOKUP(AJ$4,'Physical Effects-Numbers'!$B$1:$AU$172,$B32,FALSE),""))</f>
        <v/>
      </c>
      <c r="AK32" s="488" t="str">
        <f>IF(AK$4="","",IF(HLOOKUP(AK$4,'Physical Effects-Numbers'!$B$1:$AU$172,$B32,FALSE)&lt;0,HLOOKUP(AK$4,'Physical Effects-Numbers'!$B$1:$AU$172,$B32,FALSE),""))</f>
        <v/>
      </c>
      <c r="AL32" s="488" t="str">
        <f>IF(AL$4="","",IF(HLOOKUP(AL$4,'Physical Effects-Numbers'!$B$1:$AU$172,$B32,FALSE)&lt;0,HLOOKUP(AL$4,'Physical Effects-Numbers'!$B$1:$AU$172,$B32,FALSE),""))</f>
        <v/>
      </c>
      <c r="AM32" s="488" t="str">
        <f>IF(AM$4="","",IF(HLOOKUP(AM$4,'Physical Effects-Numbers'!$B$1:$AU$172,$B32,FALSE)&lt;0,HLOOKUP(AM$4,'Physical Effects-Numbers'!$B$1:$AU$172,$B32,FALSE),""))</f>
        <v/>
      </c>
      <c r="AN32" s="488" t="str">
        <f>IF(AN$4="","",IF(HLOOKUP(AN$4,'Physical Effects-Numbers'!$B$1:$AU$172,$B32,FALSE)&lt;0,HLOOKUP(AN$4,'Physical Effects-Numbers'!$B$1:$AU$172,$B32,FALSE),""))</f>
        <v/>
      </c>
      <c r="AO32" s="488" t="str">
        <f>IF(AO$4="","",IF(HLOOKUP(AO$4,'Physical Effects-Numbers'!$B$1:$AU$172,$B32,FALSE)&lt;0,HLOOKUP(AO$4,'Physical Effects-Numbers'!$B$1:$AU$172,$B32,FALSE),""))</f>
        <v/>
      </c>
      <c r="AP32" s="488" t="str">
        <f>IF(AP$4="","",IF(HLOOKUP(AP$4,'Physical Effects-Numbers'!$B$1:$AU$172,$B32,FALSE)&lt;0,HLOOKUP(AP$4,'Physical Effects-Numbers'!$B$1:$AU$172,$B32,FALSE),""))</f>
        <v/>
      </c>
      <c r="AQ32" s="488" t="str">
        <f>IF(AQ$4="","",IF(HLOOKUP(AQ$4,'Physical Effects-Numbers'!$B$1:$AU$172,$B32,FALSE)&lt;0,HLOOKUP(AQ$4,'Physical Effects-Numbers'!$B$1:$AU$172,$B32,FALSE),""))</f>
        <v/>
      </c>
      <c r="AR32" s="488" t="str">
        <f>IF(AR$4="","",IF(HLOOKUP(AR$4,'Physical Effects-Numbers'!$B$1:$AU$172,$B32,FALSE)&lt;0,HLOOKUP(AR$4,'Physical Effects-Numbers'!$B$1:$AU$172,$B32,FALSE),""))</f>
        <v/>
      </c>
      <c r="AS32" s="488" t="str">
        <f>IF(AS$4="","",IF(HLOOKUP(AS$4,'Physical Effects-Numbers'!$B$1:$AU$172,$B32,FALSE)&lt;0,HLOOKUP(AS$4,'Physical Effects-Numbers'!$B$1:$AU$172,$B32,FALSE),""))</f>
        <v/>
      </c>
      <c r="AT32" s="488" t="str">
        <f>IF(AT$4="","",IF(HLOOKUP(AT$4,'Physical Effects-Numbers'!$B$1:$AU$172,$B32,FALSE)&lt;0,HLOOKUP(AT$4,'Physical Effects-Numbers'!$B$1:$AU$172,$B32,FALSE),""))</f>
        <v/>
      </c>
      <c r="AU32" s="488" t="str">
        <f>IF(AU$4="","",IF(HLOOKUP(AU$4,'Physical Effects-Numbers'!$B$1:$AU$172,$B32,FALSE)&lt;0,HLOOKUP(AU$4,'Physical Effects-Numbers'!$B$1:$AU$172,$B32,FALSE),""))</f>
        <v/>
      </c>
      <c r="AV32" s="488" t="str">
        <f>IF(AV$4="","",IF(HLOOKUP(AV$4,'Physical Effects-Numbers'!$B$1:$AU$167,$B32,FALSE)&lt;0,HLOOKUP(AV$4,'Physical Effects-Numbers'!$B$1:$AU$167,$B32,FALSE),""))</f>
        <v/>
      </c>
    </row>
    <row r="33" spans="2:48" x14ac:dyDescent="0.2">
      <c r="B33" s="487">
        <f t="shared" si="0"/>
        <v>30</v>
      </c>
      <c r="C33" s="486" t="str">
        <f>+'Physical Effects-Numbers'!B30</f>
        <v>Critical Area Planting</v>
      </c>
      <c r="D33" s="488" t="str">
        <f>IF(D$4="","",IF(HLOOKUP(D$4,'Physical Effects-Numbers'!$B$1:$AU$172,$B33,FALSE)&lt;0,HLOOKUP(D$4,'Physical Effects-Numbers'!$B$1:$AU$172,$B33,FALSE),""))</f>
        <v/>
      </c>
      <c r="E33" s="488" t="str">
        <f>IF(E$4="","",IF(HLOOKUP(E$4,'Physical Effects-Numbers'!$B$1:$AU$172,$B33,FALSE)&lt;0,HLOOKUP(E$4,'Physical Effects-Numbers'!$B$1:$AU$172,$B33,FALSE),""))</f>
        <v/>
      </c>
      <c r="F33" s="488" t="str">
        <f>IF(F$4="","",IF(HLOOKUP(F$4,'Physical Effects-Numbers'!$B$1:$AU$172,$B33,FALSE)&lt;0,HLOOKUP(F$4,'Physical Effects-Numbers'!$B$1:$AU$172,$B33,FALSE),""))</f>
        <v/>
      </c>
      <c r="G33" s="488" t="str">
        <f>IF(G$4="","",IF(HLOOKUP(G$4,'Physical Effects-Numbers'!$B$1:$AU$172,$B33,FALSE)&lt;0,HLOOKUP(G$4,'Physical Effects-Numbers'!$B$1:$AU$172,$B33,FALSE),""))</f>
        <v/>
      </c>
      <c r="H33" s="488" t="str">
        <f>IF(H$4="","",IF(HLOOKUP(H$4,'Physical Effects-Numbers'!$B$1:$AU$172,$B33,FALSE)&lt;0,HLOOKUP(H$4,'Physical Effects-Numbers'!$B$1:$AU$172,$B33,FALSE),""))</f>
        <v/>
      </c>
      <c r="I33" s="488" t="str">
        <f>IF(I$4="","",IF(HLOOKUP(I$4,'Physical Effects-Numbers'!$B$1:$AU$172,$B33,FALSE)&lt;0,HLOOKUP(I$4,'Physical Effects-Numbers'!$B$1:$AU$172,$B33,FALSE),""))</f>
        <v/>
      </c>
      <c r="J33" s="488" t="str">
        <f>IF(J$4="","",IF(HLOOKUP(J$4,'Physical Effects-Numbers'!$B$1:$AU$172,$B33,FALSE)&lt;0,HLOOKUP(J$4,'Physical Effects-Numbers'!$B$1:$AU$172,$B33,FALSE),""))</f>
        <v/>
      </c>
      <c r="K33" s="488" t="str">
        <f>IF(K$4="","",IF(HLOOKUP(K$4,'Physical Effects-Numbers'!$B$1:$AU$172,$B33,FALSE)&lt;0,HLOOKUP(K$4,'Physical Effects-Numbers'!$B$1:$AU$172,$B33,FALSE),""))</f>
        <v/>
      </c>
      <c r="L33" s="488" t="str">
        <f>IF(L$4="","",IF(HLOOKUP(L$4,'Physical Effects-Numbers'!$B$1:$AU$172,$B33,FALSE)&lt;0,HLOOKUP(L$4,'Physical Effects-Numbers'!$B$1:$AU$172,$B33,FALSE),""))</f>
        <v/>
      </c>
      <c r="M33" s="488" t="str">
        <f>IF(M$4="","",IF(HLOOKUP(M$4,'Physical Effects-Numbers'!$B$1:$AU$172,$B33,FALSE)&lt;0,HLOOKUP(M$4,'Physical Effects-Numbers'!$B$1:$AU$172,$B33,FALSE),""))</f>
        <v/>
      </c>
      <c r="N33" s="488" t="str">
        <f>IF(N$4="","",IF(HLOOKUP(N$4,'Physical Effects-Numbers'!$B$1:$AU$172,$B33,FALSE)&lt;0,HLOOKUP(N$4,'Physical Effects-Numbers'!$B$1:$AU$172,$B33,FALSE),""))</f>
        <v/>
      </c>
      <c r="O33" s="488" t="str">
        <f>IF(O$4="","",IF(HLOOKUP(O$4,'Physical Effects-Numbers'!$B$1:$AU$172,$B33,FALSE)&lt;0,HLOOKUP(O$4,'Physical Effects-Numbers'!$B$1:$AU$172,$B33,FALSE),""))</f>
        <v/>
      </c>
      <c r="P33" s="488" t="str">
        <f>IF(P$4="","",IF(HLOOKUP(P$4,'Physical Effects-Numbers'!$B$1:$AU$172,$B33,FALSE)&lt;0,HLOOKUP(P$4,'Physical Effects-Numbers'!$B$1:$AU$172,$B33,FALSE),""))</f>
        <v/>
      </c>
      <c r="Q33" s="488" t="str">
        <f>IF(Q$4="","",IF(HLOOKUP(Q$4,'Physical Effects-Numbers'!$B$1:$AU$172,$B33,FALSE)&lt;0,HLOOKUP(Q$4,'Physical Effects-Numbers'!$B$1:$AU$172,$B33,FALSE),""))</f>
        <v/>
      </c>
      <c r="R33" s="488" t="str">
        <f>IF(R$4="","",IF(HLOOKUP(R$4,'Physical Effects-Numbers'!$B$1:$AU$172,$B33,FALSE)&lt;0,HLOOKUP(R$4,'Physical Effects-Numbers'!$B$1:$AU$172,$B33,FALSE),""))</f>
        <v/>
      </c>
      <c r="S33" s="488" t="str">
        <f>IF(S$4="","",IF(HLOOKUP(S$4,'Physical Effects-Numbers'!$B$1:$AU$172,$B33,FALSE)&lt;0,HLOOKUP(S$4,'Physical Effects-Numbers'!$B$1:$AU$172,$B33,FALSE),""))</f>
        <v/>
      </c>
      <c r="T33" s="488" t="str">
        <f>IF(T$4="","",IF(HLOOKUP(T$4,'Physical Effects-Numbers'!$B$1:$AU$172,$B33,FALSE)&lt;0,HLOOKUP(T$4,'Physical Effects-Numbers'!$B$1:$AU$172,$B33,FALSE),""))</f>
        <v/>
      </c>
      <c r="U33" s="488" t="str">
        <f>IF(U$4="","",IF(HLOOKUP(U$4,'Physical Effects-Numbers'!$B$1:$AU$172,$B33,FALSE)&lt;0,HLOOKUP(U$4,'Physical Effects-Numbers'!$B$1:$AU$172,$B33,FALSE),""))</f>
        <v/>
      </c>
      <c r="V33" s="488" t="str">
        <f>IF(V$4="","",IF(HLOOKUP(V$4,'Physical Effects-Numbers'!$B$1:$AU$172,$B33,FALSE)&lt;0,HLOOKUP(V$4,'Physical Effects-Numbers'!$B$1:$AU$172,$B33,FALSE),""))</f>
        <v/>
      </c>
      <c r="W33" s="488" t="str">
        <f>IF(W$4="","",IF(HLOOKUP(W$4,'Physical Effects-Numbers'!$B$1:$AU$172,$B33,FALSE)&lt;0,HLOOKUP(W$4,'Physical Effects-Numbers'!$B$1:$AU$172,$B33,FALSE),""))</f>
        <v/>
      </c>
      <c r="X33" s="488" t="str">
        <f>IF(X$4="","",IF(HLOOKUP(X$4,'Physical Effects-Numbers'!$B$1:$AU$172,$B33,FALSE)&lt;0,HLOOKUP(X$4,'Physical Effects-Numbers'!$B$1:$AU$172,$B33,FALSE),""))</f>
        <v/>
      </c>
      <c r="Y33" s="488" t="str">
        <f>IF(Y$4="","",IF(HLOOKUP(Y$4,'Physical Effects-Numbers'!$B$1:$AU$172,$B33,FALSE)&lt;0,HLOOKUP(Y$4,'Physical Effects-Numbers'!$B$1:$AU$172,$B33,FALSE),""))</f>
        <v/>
      </c>
      <c r="Z33" s="488" t="str">
        <f>IF(Z$4="","",IF(HLOOKUP(Z$4,'Physical Effects-Numbers'!$B$1:$AU$172,$B33,FALSE)&lt;0,HLOOKUP(Z$4,'Physical Effects-Numbers'!$B$1:$AU$172,$B33,FALSE),""))</f>
        <v/>
      </c>
      <c r="AA33" s="488" t="str">
        <f>IF(AA$4="","",IF(HLOOKUP(AA$4,'Physical Effects-Numbers'!$B$1:$AU$172,$B33,FALSE)&lt;0,HLOOKUP(AA$4,'Physical Effects-Numbers'!$B$1:$AU$172,$B33,FALSE),""))</f>
        <v/>
      </c>
      <c r="AB33" s="488" t="str">
        <f>IF(AB$4="","",IF(HLOOKUP(AB$4,'Physical Effects-Numbers'!$B$1:$AU$172,$B33,FALSE)&lt;0,HLOOKUP(AB$4,'Physical Effects-Numbers'!$B$1:$AU$172,$B33,FALSE),""))</f>
        <v/>
      </c>
      <c r="AC33" s="488" t="str">
        <f>IF(AC$4="","",IF(HLOOKUP(AC$4,'Physical Effects-Numbers'!$B$1:$AU$172,$B33,FALSE)&lt;0,HLOOKUP(AC$4,'Physical Effects-Numbers'!$B$1:$AU$172,$B33,FALSE),""))</f>
        <v/>
      </c>
      <c r="AD33" s="488" t="str">
        <f>IF(AD$4="","",IF(HLOOKUP(AD$4,'Physical Effects-Numbers'!$B$1:$AU$172,$B33,FALSE)&lt;0,HLOOKUP(AD$4,'Physical Effects-Numbers'!$B$1:$AU$172,$B33,FALSE),""))</f>
        <v/>
      </c>
      <c r="AE33" s="488" t="str">
        <f>IF(AE$4="","",IF(HLOOKUP(AE$4,'Physical Effects-Numbers'!$B$1:$AU$172,$B33,FALSE)&lt;0,HLOOKUP(AE$4,'Physical Effects-Numbers'!$B$1:$AU$172,$B33,FALSE),""))</f>
        <v/>
      </c>
      <c r="AF33" s="488" t="str">
        <f>IF(AF$4="","",IF(HLOOKUP(AF$4,'Physical Effects-Numbers'!$B$1:$AU$172,$B33,FALSE)&lt;0,HLOOKUP(AF$4,'Physical Effects-Numbers'!$B$1:$AU$172,$B33,FALSE),""))</f>
        <v/>
      </c>
      <c r="AG33" s="488" t="str">
        <f>IF(AG$4="","",IF(HLOOKUP(AG$4,'Physical Effects-Numbers'!$B$1:$AU$172,$B33,FALSE)&lt;0,HLOOKUP(AG$4,'Physical Effects-Numbers'!$B$1:$AU$172,$B33,FALSE),""))</f>
        <v/>
      </c>
      <c r="AH33" s="488" t="str">
        <f>IF(AH$4="","",IF(HLOOKUP(AH$4,'Physical Effects-Numbers'!$B$1:$AU$172,$B33,FALSE)&lt;0,HLOOKUP(AH$4,'Physical Effects-Numbers'!$B$1:$AU$172,$B33,FALSE),""))</f>
        <v/>
      </c>
      <c r="AI33" s="488" t="str">
        <f>IF(AI$4="","",IF(HLOOKUP(AI$4,'Physical Effects-Numbers'!$B$1:$AU$172,$B33,FALSE)&lt;0,HLOOKUP(AI$4,'Physical Effects-Numbers'!$B$1:$AU$172,$B33,FALSE),""))</f>
        <v/>
      </c>
      <c r="AJ33" s="488" t="str">
        <f>IF(AJ$4="","",IF(HLOOKUP(AJ$4,'Physical Effects-Numbers'!$B$1:$AU$172,$B33,FALSE)&lt;0,HLOOKUP(AJ$4,'Physical Effects-Numbers'!$B$1:$AU$172,$B33,FALSE),""))</f>
        <v/>
      </c>
      <c r="AK33" s="488" t="str">
        <f>IF(AK$4="","",IF(HLOOKUP(AK$4,'Physical Effects-Numbers'!$B$1:$AU$172,$B33,FALSE)&lt;0,HLOOKUP(AK$4,'Physical Effects-Numbers'!$B$1:$AU$172,$B33,FALSE),""))</f>
        <v/>
      </c>
      <c r="AL33" s="488" t="str">
        <f>IF(AL$4="","",IF(HLOOKUP(AL$4,'Physical Effects-Numbers'!$B$1:$AU$172,$B33,FALSE)&lt;0,HLOOKUP(AL$4,'Physical Effects-Numbers'!$B$1:$AU$172,$B33,FALSE),""))</f>
        <v/>
      </c>
      <c r="AM33" s="488" t="str">
        <f>IF(AM$4="","",IF(HLOOKUP(AM$4,'Physical Effects-Numbers'!$B$1:$AU$172,$B33,FALSE)&lt;0,HLOOKUP(AM$4,'Physical Effects-Numbers'!$B$1:$AU$172,$B33,FALSE),""))</f>
        <v/>
      </c>
      <c r="AN33" s="488" t="str">
        <f>IF(AN$4="","",IF(HLOOKUP(AN$4,'Physical Effects-Numbers'!$B$1:$AU$172,$B33,FALSE)&lt;0,HLOOKUP(AN$4,'Physical Effects-Numbers'!$B$1:$AU$172,$B33,FALSE),""))</f>
        <v/>
      </c>
      <c r="AO33" s="488" t="str">
        <f>IF(AO$4="","",IF(HLOOKUP(AO$4,'Physical Effects-Numbers'!$B$1:$AU$172,$B33,FALSE)&lt;0,HLOOKUP(AO$4,'Physical Effects-Numbers'!$B$1:$AU$172,$B33,FALSE),""))</f>
        <v/>
      </c>
      <c r="AP33" s="488" t="str">
        <f>IF(AP$4="","",IF(HLOOKUP(AP$4,'Physical Effects-Numbers'!$B$1:$AU$172,$B33,FALSE)&lt;0,HLOOKUP(AP$4,'Physical Effects-Numbers'!$B$1:$AU$172,$B33,FALSE),""))</f>
        <v/>
      </c>
      <c r="AQ33" s="488" t="str">
        <f>IF(AQ$4="","",IF(HLOOKUP(AQ$4,'Physical Effects-Numbers'!$B$1:$AU$172,$B33,FALSE)&lt;0,HLOOKUP(AQ$4,'Physical Effects-Numbers'!$B$1:$AU$172,$B33,FALSE),""))</f>
        <v/>
      </c>
      <c r="AR33" s="488" t="str">
        <f>IF(AR$4="","",IF(HLOOKUP(AR$4,'Physical Effects-Numbers'!$B$1:$AU$172,$B33,FALSE)&lt;0,HLOOKUP(AR$4,'Physical Effects-Numbers'!$B$1:$AU$172,$B33,FALSE),""))</f>
        <v/>
      </c>
      <c r="AS33" s="488" t="str">
        <f>IF(AS$4="","",IF(HLOOKUP(AS$4,'Physical Effects-Numbers'!$B$1:$AU$172,$B33,FALSE)&lt;0,HLOOKUP(AS$4,'Physical Effects-Numbers'!$B$1:$AU$172,$B33,FALSE),""))</f>
        <v/>
      </c>
      <c r="AT33" s="488" t="str">
        <f>IF(AT$4="","",IF(HLOOKUP(AT$4,'Physical Effects-Numbers'!$B$1:$AU$172,$B33,FALSE)&lt;0,HLOOKUP(AT$4,'Physical Effects-Numbers'!$B$1:$AU$172,$B33,FALSE),""))</f>
        <v/>
      </c>
      <c r="AU33" s="488" t="str">
        <f>IF(AU$4="","",IF(HLOOKUP(AU$4,'Physical Effects-Numbers'!$B$1:$AU$172,$B33,FALSE)&lt;0,HLOOKUP(AU$4,'Physical Effects-Numbers'!$B$1:$AU$172,$B33,FALSE),""))</f>
        <v/>
      </c>
      <c r="AV33" s="488" t="str">
        <f>IF(AV$4="","",IF(HLOOKUP(AV$4,'Physical Effects-Numbers'!$B$1:$AU$167,$B33,FALSE)&lt;0,HLOOKUP(AV$4,'Physical Effects-Numbers'!$B$1:$AU$167,$B33,FALSE),""))</f>
        <v/>
      </c>
    </row>
    <row r="34" spans="2:48" x14ac:dyDescent="0.2">
      <c r="B34" s="487">
        <f t="shared" si="0"/>
        <v>31</v>
      </c>
      <c r="C34" s="486" t="str">
        <f>+'Physical Effects-Numbers'!B31</f>
        <v>Cross Wind Ridges</v>
      </c>
      <c r="D34" s="488" t="str">
        <f>IF(D$4="","",IF(HLOOKUP(D$4,'Physical Effects-Numbers'!$B$1:$AU$172,$B34,FALSE)&lt;0,HLOOKUP(D$4,'Physical Effects-Numbers'!$B$1:$AU$172,$B34,FALSE),""))</f>
        <v/>
      </c>
      <c r="E34" s="488" t="str">
        <f>IF(E$4="","",IF(HLOOKUP(E$4,'Physical Effects-Numbers'!$B$1:$AU$172,$B34,FALSE)&lt;0,HLOOKUP(E$4,'Physical Effects-Numbers'!$B$1:$AU$172,$B34,FALSE),""))</f>
        <v/>
      </c>
      <c r="F34" s="488" t="str">
        <f>IF(F$4="","",IF(HLOOKUP(F$4,'Physical Effects-Numbers'!$B$1:$AU$172,$B34,FALSE)&lt;0,HLOOKUP(F$4,'Physical Effects-Numbers'!$B$1:$AU$172,$B34,FALSE),""))</f>
        <v/>
      </c>
      <c r="G34" s="488" t="str">
        <f>IF(G$4="","",IF(HLOOKUP(G$4,'Physical Effects-Numbers'!$B$1:$AU$172,$B34,FALSE)&lt;0,HLOOKUP(G$4,'Physical Effects-Numbers'!$B$1:$AU$172,$B34,FALSE),""))</f>
        <v/>
      </c>
      <c r="H34" s="488" t="str">
        <f>IF(H$4="","",IF(HLOOKUP(H$4,'Physical Effects-Numbers'!$B$1:$AU$172,$B34,FALSE)&lt;0,HLOOKUP(H$4,'Physical Effects-Numbers'!$B$1:$AU$172,$B34,FALSE),""))</f>
        <v/>
      </c>
      <c r="I34" s="488" t="str">
        <f>IF(I$4="","",IF(HLOOKUP(I$4,'Physical Effects-Numbers'!$B$1:$AU$172,$B34,FALSE)&lt;0,HLOOKUP(I$4,'Physical Effects-Numbers'!$B$1:$AU$172,$B34,FALSE),""))</f>
        <v/>
      </c>
      <c r="J34" s="488" t="str">
        <f>IF(J$4="","",IF(HLOOKUP(J$4,'Physical Effects-Numbers'!$B$1:$AU$172,$B34,FALSE)&lt;0,HLOOKUP(J$4,'Physical Effects-Numbers'!$B$1:$AU$172,$B34,FALSE),""))</f>
        <v/>
      </c>
      <c r="K34" s="488" t="str">
        <f>IF(K$4="","",IF(HLOOKUP(K$4,'Physical Effects-Numbers'!$B$1:$AU$172,$B34,FALSE)&lt;0,HLOOKUP(K$4,'Physical Effects-Numbers'!$B$1:$AU$172,$B34,FALSE),""))</f>
        <v/>
      </c>
      <c r="L34" s="488" t="str">
        <f>IF(L$4="","",IF(HLOOKUP(L$4,'Physical Effects-Numbers'!$B$1:$AU$172,$B34,FALSE)&lt;0,HLOOKUP(L$4,'Physical Effects-Numbers'!$B$1:$AU$172,$B34,FALSE),""))</f>
        <v/>
      </c>
      <c r="M34" s="488" t="str">
        <f>IF(M$4="","",IF(HLOOKUP(M$4,'Physical Effects-Numbers'!$B$1:$AU$172,$B34,FALSE)&lt;0,HLOOKUP(M$4,'Physical Effects-Numbers'!$B$1:$AU$172,$B34,FALSE),""))</f>
        <v/>
      </c>
      <c r="N34" s="488" t="str">
        <f>IF(N$4="","",IF(HLOOKUP(N$4,'Physical Effects-Numbers'!$B$1:$AU$172,$B34,FALSE)&lt;0,HLOOKUP(N$4,'Physical Effects-Numbers'!$B$1:$AU$172,$B34,FALSE),""))</f>
        <v/>
      </c>
      <c r="O34" s="488" t="str">
        <f>IF(O$4="","",IF(HLOOKUP(O$4,'Physical Effects-Numbers'!$B$1:$AU$172,$B34,FALSE)&lt;0,HLOOKUP(O$4,'Physical Effects-Numbers'!$B$1:$AU$172,$B34,FALSE),""))</f>
        <v/>
      </c>
      <c r="P34" s="488" t="str">
        <f>IF(P$4="","",IF(HLOOKUP(P$4,'Physical Effects-Numbers'!$B$1:$AU$172,$B34,FALSE)&lt;0,HLOOKUP(P$4,'Physical Effects-Numbers'!$B$1:$AU$172,$B34,FALSE),""))</f>
        <v/>
      </c>
      <c r="Q34" s="488" t="str">
        <f>IF(Q$4="","",IF(HLOOKUP(Q$4,'Physical Effects-Numbers'!$B$1:$AU$172,$B34,FALSE)&lt;0,HLOOKUP(Q$4,'Physical Effects-Numbers'!$B$1:$AU$172,$B34,FALSE),""))</f>
        <v/>
      </c>
      <c r="R34" s="488" t="str">
        <f>IF(R$4="","",IF(HLOOKUP(R$4,'Physical Effects-Numbers'!$B$1:$AU$172,$B34,FALSE)&lt;0,HLOOKUP(R$4,'Physical Effects-Numbers'!$B$1:$AU$172,$B34,FALSE),""))</f>
        <v/>
      </c>
      <c r="S34" s="488" t="str">
        <f>IF(S$4="","",IF(HLOOKUP(S$4,'Physical Effects-Numbers'!$B$1:$AU$172,$B34,FALSE)&lt;0,HLOOKUP(S$4,'Physical Effects-Numbers'!$B$1:$AU$172,$B34,FALSE),""))</f>
        <v/>
      </c>
      <c r="T34" s="488" t="str">
        <f>IF(T$4="","",IF(HLOOKUP(T$4,'Physical Effects-Numbers'!$B$1:$AU$172,$B34,FALSE)&lt;0,HLOOKUP(T$4,'Physical Effects-Numbers'!$B$1:$AU$172,$B34,FALSE),""))</f>
        <v/>
      </c>
      <c r="U34" s="488" t="str">
        <f>IF(U$4="","",IF(HLOOKUP(U$4,'Physical Effects-Numbers'!$B$1:$AU$172,$B34,FALSE)&lt;0,HLOOKUP(U$4,'Physical Effects-Numbers'!$B$1:$AU$172,$B34,FALSE),""))</f>
        <v/>
      </c>
      <c r="V34" s="488" t="str">
        <f>IF(V$4="","",IF(HLOOKUP(V$4,'Physical Effects-Numbers'!$B$1:$AU$172,$B34,FALSE)&lt;0,HLOOKUP(V$4,'Physical Effects-Numbers'!$B$1:$AU$172,$B34,FALSE),""))</f>
        <v/>
      </c>
      <c r="W34" s="488" t="str">
        <f>IF(W$4="","",IF(HLOOKUP(W$4,'Physical Effects-Numbers'!$B$1:$AU$172,$B34,FALSE)&lt;0,HLOOKUP(W$4,'Physical Effects-Numbers'!$B$1:$AU$172,$B34,FALSE),""))</f>
        <v/>
      </c>
      <c r="X34" s="488" t="str">
        <f>IF(X$4="","",IF(HLOOKUP(X$4,'Physical Effects-Numbers'!$B$1:$AU$172,$B34,FALSE)&lt;0,HLOOKUP(X$4,'Physical Effects-Numbers'!$B$1:$AU$172,$B34,FALSE),""))</f>
        <v/>
      </c>
      <c r="Y34" s="488" t="str">
        <f>IF(Y$4="","",IF(HLOOKUP(Y$4,'Physical Effects-Numbers'!$B$1:$AU$172,$B34,FALSE)&lt;0,HLOOKUP(Y$4,'Physical Effects-Numbers'!$B$1:$AU$172,$B34,FALSE),""))</f>
        <v/>
      </c>
      <c r="Z34" s="488" t="str">
        <f>IF(Z$4="","",IF(HLOOKUP(Z$4,'Physical Effects-Numbers'!$B$1:$AU$172,$B34,FALSE)&lt;0,HLOOKUP(Z$4,'Physical Effects-Numbers'!$B$1:$AU$172,$B34,FALSE),""))</f>
        <v/>
      </c>
      <c r="AA34" s="488" t="str">
        <f>IF(AA$4="","",IF(HLOOKUP(AA$4,'Physical Effects-Numbers'!$B$1:$AU$172,$B34,FALSE)&lt;0,HLOOKUP(AA$4,'Physical Effects-Numbers'!$B$1:$AU$172,$B34,FALSE),""))</f>
        <v/>
      </c>
      <c r="AB34" s="488" t="str">
        <f>IF(AB$4="","",IF(HLOOKUP(AB$4,'Physical Effects-Numbers'!$B$1:$AU$172,$B34,FALSE)&lt;0,HLOOKUP(AB$4,'Physical Effects-Numbers'!$B$1:$AU$172,$B34,FALSE),""))</f>
        <v/>
      </c>
      <c r="AC34" s="488" t="str">
        <f>IF(AC$4="","",IF(HLOOKUP(AC$4,'Physical Effects-Numbers'!$B$1:$AU$172,$B34,FALSE)&lt;0,HLOOKUP(AC$4,'Physical Effects-Numbers'!$B$1:$AU$172,$B34,FALSE),""))</f>
        <v/>
      </c>
      <c r="AD34" s="488" t="str">
        <f>IF(AD$4="","",IF(HLOOKUP(AD$4,'Physical Effects-Numbers'!$B$1:$AU$172,$B34,FALSE)&lt;0,HLOOKUP(AD$4,'Physical Effects-Numbers'!$B$1:$AU$172,$B34,FALSE),""))</f>
        <v/>
      </c>
      <c r="AE34" s="488" t="str">
        <f>IF(AE$4="","",IF(HLOOKUP(AE$4,'Physical Effects-Numbers'!$B$1:$AU$172,$B34,FALSE)&lt;0,HLOOKUP(AE$4,'Physical Effects-Numbers'!$B$1:$AU$172,$B34,FALSE),""))</f>
        <v/>
      </c>
      <c r="AF34" s="488" t="str">
        <f>IF(AF$4="","",IF(HLOOKUP(AF$4,'Physical Effects-Numbers'!$B$1:$AU$172,$B34,FALSE)&lt;0,HLOOKUP(AF$4,'Physical Effects-Numbers'!$B$1:$AU$172,$B34,FALSE),""))</f>
        <v/>
      </c>
      <c r="AG34" s="488" t="str">
        <f>IF(AG$4="","",IF(HLOOKUP(AG$4,'Physical Effects-Numbers'!$B$1:$AU$172,$B34,FALSE)&lt;0,HLOOKUP(AG$4,'Physical Effects-Numbers'!$B$1:$AU$172,$B34,FALSE),""))</f>
        <v/>
      </c>
      <c r="AH34" s="488" t="str">
        <f>IF(AH$4="","",IF(HLOOKUP(AH$4,'Physical Effects-Numbers'!$B$1:$AU$172,$B34,FALSE)&lt;0,HLOOKUP(AH$4,'Physical Effects-Numbers'!$B$1:$AU$172,$B34,FALSE),""))</f>
        <v/>
      </c>
      <c r="AI34" s="488" t="str">
        <f>IF(AI$4="","",IF(HLOOKUP(AI$4,'Physical Effects-Numbers'!$B$1:$AU$172,$B34,FALSE)&lt;0,HLOOKUP(AI$4,'Physical Effects-Numbers'!$B$1:$AU$172,$B34,FALSE),""))</f>
        <v/>
      </c>
      <c r="AJ34" s="488" t="str">
        <f>IF(AJ$4="","",IF(HLOOKUP(AJ$4,'Physical Effects-Numbers'!$B$1:$AU$172,$B34,FALSE)&lt;0,HLOOKUP(AJ$4,'Physical Effects-Numbers'!$B$1:$AU$172,$B34,FALSE),""))</f>
        <v/>
      </c>
      <c r="AK34" s="488" t="str">
        <f>IF(AK$4="","",IF(HLOOKUP(AK$4,'Physical Effects-Numbers'!$B$1:$AU$172,$B34,FALSE)&lt;0,HLOOKUP(AK$4,'Physical Effects-Numbers'!$B$1:$AU$172,$B34,FALSE),""))</f>
        <v/>
      </c>
      <c r="AL34" s="488" t="str">
        <f>IF(AL$4="","",IF(HLOOKUP(AL$4,'Physical Effects-Numbers'!$B$1:$AU$172,$B34,FALSE)&lt;0,HLOOKUP(AL$4,'Physical Effects-Numbers'!$B$1:$AU$172,$B34,FALSE),""))</f>
        <v/>
      </c>
      <c r="AM34" s="488" t="str">
        <f>IF(AM$4="","",IF(HLOOKUP(AM$4,'Physical Effects-Numbers'!$B$1:$AU$172,$B34,FALSE)&lt;0,HLOOKUP(AM$4,'Physical Effects-Numbers'!$B$1:$AU$172,$B34,FALSE),""))</f>
        <v/>
      </c>
      <c r="AN34" s="488" t="str">
        <f>IF(AN$4="","",IF(HLOOKUP(AN$4,'Physical Effects-Numbers'!$B$1:$AU$172,$B34,FALSE)&lt;0,HLOOKUP(AN$4,'Physical Effects-Numbers'!$B$1:$AU$172,$B34,FALSE),""))</f>
        <v/>
      </c>
      <c r="AO34" s="488" t="str">
        <f>IF(AO$4="","",IF(HLOOKUP(AO$4,'Physical Effects-Numbers'!$B$1:$AU$172,$B34,FALSE)&lt;0,HLOOKUP(AO$4,'Physical Effects-Numbers'!$B$1:$AU$172,$B34,FALSE),""))</f>
        <v/>
      </c>
      <c r="AP34" s="488" t="str">
        <f>IF(AP$4="","",IF(HLOOKUP(AP$4,'Physical Effects-Numbers'!$B$1:$AU$172,$B34,FALSE)&lt;0,HLOOKUP(AP$4,'Physical Effects-Numbers'!$B$1:$AU$172,$B34,FALSE),""))</f>
        <v/>
      </c>
      <c r="AQ34" s="488" t="str">
        <f>IF(AQ$4="","",IF(HLOOKUP(AQ$4,'Physical Effects-Numbers'!$B$1:$AU$172,$B34,FALSE)&lt;0,HLOOKUP(AQ$4,'Physical Effects-Numbers'!$B$1:$AU$172,$B34,FALSE),""))</f>
        <v/>
      </c>
      <c r="AR34" s="488" t="str">
        <f>IF(AR$4="","",IF(HLOOKUP(AR$4,'Physical Effects-Numbers'!$B$1:$AU$172,$B34,FALSE)&lt;0,HLOOKUP(AR$4,'Physical Effects-Numbers'!$B$1:$AU$172,$B34,FALSE),""))</f>
        <v/>
      </c>
      <c r="AS34" s="488" t="str">
        <f>IF(AS$4="","",IF(HLOOKUP(AS$4,'Physical Effects-Numbers'!$B$1:$AU$172,$B34,FALSE)&lt;0,HLOOKUP(AS$4,'Physical Effects-Numbers'!$B$1:$AU$172,$B34,FALSE),""))</f>
        <v/>
      </c>
      <c r="AT34" s="488" t="str">
        <f>IF(AT$4="","",IF(HLOOKUP(AT$4,'Physical Effects-Numbers'!$B$1:$AU$172,$B34,FALSE)&lt;0,HLOOKUP(AT$4,'Physical Effects-Numbers'!$B$1:$AU$172,$B34,FALSE),""))</f>
        <v/>
      </c>
      <c r="AU34" s="488" t="str">
        <f>IF(AU$4="","",IF(HLOOKUP(AU$4,'Physical Effects-Numbers'!$B$1:$AU$172,$B34,FALSE)&lt;0,HLOOKUP(AU$4,'Physical Effects-Numbers'!$B$1:$AU$172,$B34,FALSE),""))</f>
        <v/>
      </c>
      <c r="AV34" s="488" t="str">
        <f>IF(AV$4="","",IF(HLOOKUP(AV$4,'Physical Effects-Numbers'!$B$1:$AU$167,$B34,FALSE)&lt;0,HLOOKUP(AV$4,'Physical Effects-Numbers'!$B$1:$AU$167,$B34,FALSE),""))</f>
        <v/>
      </c>
    </row>
    <row r="35" spans="2:48" x14ac:dyDescent="0.2">
      <c r="B35" s="487">
        <f t="shared" si="0"/>
        <v>32</v>
      </c>
      <c r="C35" s="486" t="str">
        <f>+'Physical Effects-Numbers'!B32</f>
        <v>Cross Wind Trap Strips</v>
      </c>
      <c r="D35" s="488" t="str">
        <f>IF(D$4="","",IF(HLOOKUP(D$4,'Physical Effects-Numbers'!$B$1:$AU$172,$B35,FALSE)&lt;0,HLOOKUP(D$4,'Physical Effects-Numbers'!$B$1:$AU$172,$B35,FALSE),""))</f>
        <v/>
      </c>
      <c r="E35" s="488" t="str">
        <f>IF(E$4="","",IF(HLOOKUP(E$4,'Physical Effects-Numbers'!$B$1:$AU$172,$B35,FALSE)&lt;0,HLOOKUP(E$4,'Physical Effects-Numbers'!$B$1:$AU$172,$B35,FALSE),""))</f>
        <v/>
      </c>
      <c r="F35" s="488" t="str">
        <f>IF(F$4="","",IF(HLOOKUP(F$4,'Physical Effects-Numbers'!$B$1:$AU$172,$B35,FALSE)&lt;0,HLOOKUP(F$4,'Physical Effects-Numbers'!$B$1:$AU$172,$B35,FALSE),""))</f>
        <v/>
      </c>
      <c r="G35" s="488" t="str">
        <f>IF(G$4="","",IF(HLOOKUP(G$4,'Physical Effects-Numbers'!$B$1:$AU$172,$B35,FALSE)&lt;0,HLOOKUP(G$4,'Physical Effects-Numbers'!$B$1:$AU$172,$B35,FALSE),""))</f>
        <v/>
      </c>
      <c r="H35" s="488" t="str">
        <f>IF(H$4="","",IF(HLOOKUP(H$4,'Physical Effects-Numbers'!$B$1:$AU$172,$B35,FALSE)&lt;0,HLOOKUP(H$4,'Physical Effects-Numbers'!$B$1:$AU$172,$B35,FALSE),""))</f>
        <v/>
      </c>
      <c r="I35" s="488" t="str">
        <f>IF(I$4="","",IF(HLOOKUP(I$4,'Physical Effects-Numbers'!$B$1:$AU$172,$B35,FALSE)&lt;0,HLOOKUP(I$4,'Physical Effects-Numbers'!$B$1:$AU$172,$B35,FALSE),""))</f>
        <v/>
      </c>
      <c r="J35" s="488" t="str">
        <f>IF(J$4="","",IF(HLOOKUP(J$4,'Physical Effects-Numbers'!$B$1:$AU$172,$B35,FALSE)&lt;0,HLOOKUP(J$4,'Physical Effects-Numbers'!$B$1:$AU$172,$B35,FALSE),""))</f>
        <v/>
      </c>
      <c r="K35" s="488" t="str">
        <f>IF(K$4="","",IF(HLOOKUP(K$4,'Physical Effects-Numbers'!$B$1:$AU$172,$B35,FALSE)&lt;0,HLOOKUP(K$4,'Physical Effects-Numbers'!$B$1:$AU$172,$B35,FALSE),""))</f>
        <v/>
      </c>
      <c r="L35" s="488" t="str">
        <f>IF(L$4="","",IF(HLOOKUP(L$4,'Physical Effects-Numbers'!$B$1:$AU$172,$B35,FALSE)&lt;0,HLOOKUP(L$4,'Physical Effects-Numbers'!$B$1:$AU$172,$B35,FALSE),""))</f>
        <v/>
      </c>
      <c r="M35" s="488" t="str">
        <f>IF(M$4="","",IF(HLOOKUP(M$4,'Physical Effects-Numbers'!$B$1:$AU$172,$B35,FALSE)&lt;0,HLOOKUP(M$4,'Physical Effects-Numbers'!$B$1:$AU$172,$B35,FALSE),""))</f>
        <v/>
      </c>
      <c r="N35" s="488" t="str">
        <f>IF(N$4="","",IF(HLOOKUP(N$4,'Physical Effects-Numbers'!$B$1:$AU$172,$B35,FALSE)&lt;0,HLOOKUP(N$4,'Physical Effects-Numbers'!$B$1:$AU$172,$B35,FALSE),""))</f>
        <v/>
      </c>
      <c r="O35" s="488" t="str">
        <f>IF(O$4="","",IF(HLOOKUP(O$4,'Physical Effects-Numbers'!$B$1:$AU$172,$B35,FALSE)&lt;0,HLOOKUP(O$4,'Physical Effects-Numbers'!$B$1:$AU$172,$B35,FALSE),""))</f>
        <v/>
      </c>
      <c r="P35" s="488" t="str">
        <f>IF(P$4="","",IF(HLOOKUP(P$4,'Physical Effects-Numbers'!$B$1:$AU$172,$B35,FALSE)&lt;0,HLOOKUP(P$4,'Physical Effects-Numbers'!$B$1:$AU$172,$B35,FALSE),""))</f>
        <v/>
      </c>
      <c r="Q35" s="488" t="str">
        <f>IF(Q$4="","",IF(HLOOKUP(Q$4,'Physical Effects-Numbers'!$B$1:$AU$172,$B35,FALSE)&lt;0,HLOOKUP(Q$4,'Physical Effects-Numbers'!$B$1:$AU$172,$B35,FALSE),""))</f>
        <v/>
      </c>
      <c r="R35" s="488" t="str">
        <f>IF(R$4="","",IF(HLOOKUP(R$4,'Physical Effects-Numbers'!$B$1:$AU$172,$B35,FALSE)&lt;0,HLOOKUP(R$4,'Physical Effects-Numbers'!$B$1:$AU$172,$B35,FALSE),""))</f>
        <v/>
      </c>
      <c r="S35" s="488" t="str">
        <f>IF(S$4="","",IF(HLOOKUP(S$4,'Physical Effects-Numbers'!$B$1:$AU$172,$B35,FALSE)&lt;0,HLOOKUP(S$4,'Physical Effects-Numbers'!$B$1:$AU$172,$B35,FALSE),""))</f>
        <v/>
      </c>
      <c r="T35" s="488" t="str">
        <f>IF(T$4="","",IF(HLOOKUP(T$4,'Physical Effects-Numbers'!$B$1:$AU$172,$B35,FALSE)&lt;0,HLOOKUP(T$4,'Physical Effects-Numbers'!$B$1:$AU$172,$B35,FALSE),""))</f>
        <v/>
      </c>
      <c r="U35" s="488" t="str">
        <f>IF(U$4="","",IF(HLOOKUP(U$4,'Physical Effects-Numbers'!$B$1:$AU$172,$B35,FALSE)&lt;0,HLOOKUP(U$4,'Physical Effects-Numbers'!$B$1:$AU$172,$B35,FALSE),""))</f>
        <v/>
      </c>
      <c r="V35" s="488" t="str">
        <f>IF(V$4="","",IF(HLOOKUP(V$4,'Physical Effects-Numbers'!$B$1:$AU$172,$B35,FALSE)&lt;0,HLOOKUP(V$4,'Physical Effects-Numbers'!$B$1:$AU$172,$B35,FALSE),""))</f>
        <v/>
      </c>
      <c r="W35" s="488" t="str">
        <f>IF(W$4="","",IF(HLOOKUP(W$4,'Physical Effects-Numbers'!$B$1:$AU$172,$B35,FALSE)&lt;0,HLOOKUP(W$4,'Physical Effects-Numbers'!$B$1:$AU$172,$B35,FALSE),""))</f>
        <v/>
      </c>
      <c r="X35" s="488" t="str">
        <f>IF(X$4="","",IF(HLOOKUP(X$4,'Physical Effects-Numbers'!$B$1:$AU$172,$B35,FALSE)&lt;0,HLOOKUP(X$4,'Physical Effects-Numbers'!$B$1:$AU$172,$B35,FALSE),""))</f>
        <v/>
      </c>
      <c r="Y35" s="488" t="str">
        <f>IF(Y$4="","",IF(HLOOKUP(Y$4,'Physical Effects-Numbers'!$B$1:$AU$172,$B35,FALSE)&lt;0,HLOOKUP(Y$4,'Physical Effects-Numbers'!$B$1:$AU$172,$B35,FALSE),""))</f>
        <v/>
      </c>
      <c r="Z35" s="488" t="str">
        <f>IF(Z$4="","",IF(HLOOKUP(Z$4,'Physical Effects-Numbers'!$B$1:$AU$172,$B35,FALSE)&lt;0,HLOOKUP(Z$4,'Physical Effects-Numbers'!$B$1:$AU$172,$B35,FALSE),""))</f>
        <v/>
      </c>
      <c r="AA35" s="488" t="str">
        <f>IF(AA$4="","",IF(HLOOKUP(AA$4,'Physical Effects-Numbers'!$B$1:$AU$172,$B35,FALSE)&lt;0,HLOOKUP(AA$4,'Physical Effects-Numbers'!$B$1:$AU$172,$B35,FALSE),""))</f>
        <v/>
      </c>
      <c r="AB35" s="488" t="str">
        <f>IF(AB$4="","",IF(HLOOKUP(AB$4,'Physical Effects-Numbers'!$B$1:$AU$172,$B35,FALSE)&lt;0,HLOOKUP(AB$4,'Physical Effects-Numbers'!$B$1:$AU$172,$B35,FALSE),""))</f>
        <v/>
      </c>
      <c r="AC35" s="488" t="str">
        <f>IF(AC$4="","",IF(HLOOKUP(AC$4,'Physical Effects-Numbers'!$B$1:$AU$172,$B35,FALSE)&lt;0,HLOOKUP(AC$4,'Physical Effects-Numbers'!$B$1:$AU$172,$B35,FALSE),""))</f>
        <v/>
      </c>
      <c r="AD35" s="488" t="str">
        <f>IF(AD$4="","",IF(HLOOKUP(AD$4,'Physical Effects-Numbers'!$B$1:$AU$172,$B35,FALSE)&lt;0,HLOOKUP(AD$4,'Physical Effects-Numbers'!$B$1:$AU$172,$B35,FALSE),""))</f>
        <v/>
      </c>
      <c r="AE35" s="488" t="str">
        <f>IF(AE$4="","",IF(HLOOKUP(AE$4,'Physical Effects-Numbers'!$B$1:$AU$172,$B35,FALSE)&lt;0,HLOOKUP(AE$4,'Physical Effects-Numbers'!$B$1:$AU$172,$B35,FALSE),""))</f>
        <v/>
      </c>
      <c r="AF35" s="488" t="str">
        <f>IF(AF$4="","",IF(HLOOKUP(AF$4,'Physical Effects-Numbers'!$B$1:$AU$172,$B35,FALSE)&lt;0,HLOOKUP(AF$4,'Physical Effects-Numbers'!$B$1:$AU$172,$B35,FALSE),""))</f>
        <v/>
      </c>
      <c r="AG35" s="488" t="str">
        <f>IF(AG$4="","",IF(HLOOKUP(AG$4,'Physical Effects-Numbers'!$B$1:$AU$172,$B35,FALSE)&lt;0,HLOOKUP(AG$4,'Physical Effects-Numbers'!$B$1:$AU$172,$B35,FALSE),""))</f>
        <v/>
      </c>
      <c r="AH35" s="488" t="str">
        <f>IF(AH$4="","",IF(HLOOKUP(AH$4,'Physical Effects-Numbers'!$B$1:$AU$172,$B35,FALSE)&lt;0,HLOOKUP(AH$4,'Physical Effects-Numbers'!$B$1:$AU$172,$B35,FALSE),""))</f>
        <v/>
      </c>
      <c r="AI35" s="488" t="str">
        <f>IF(AI$4="","",IF(HLOOKUP(AI$4,'Physical Effects-Numbers'!$B$1:$AU$172,$B35,FALSE)&lt;0,HLOOKUP(AI$4,'Physical Effects-Numbers'!$B$1:$AU$172,$B35,FALSE),""))</f>
        <v/>
      </c>
      <c r="AJ35" s="488" t="str">
        <f>IF(AJ$4="","",IF(HLOOKUP(AJ$4,'Physical Effects-Numbers'!$B$1:$AU$172,$B35,FALSE)&lt;0,HLOOKUP(AJ$4,'Physical Effects-Numbers'!$B$1:$AU$172,$B35,FALSE),""))</f>
        <v/>
      </c>
      <c r="AK35" s="488" t="str">
        <f>IF(AK$4="","",IF(HLOOKUP(AK$4,'Physical Effects-Numbers'!$B$1:$AU$172,$B35,FALSE)&lt;0,HLOOKUP(AK$4,'Physical Effects-Numbers'!$B$1:$AU$172,$B35,FALSE),""))</f>
        <v/>
      </c>
      <c r="AL35" s="488" t="str">
        <f>IF(AL$4="","",IF(HLOOKUP(AL$4,'Physical Effects-Numbers'!$B$1:$AU$172,$B35,FALSE)&lt;0,HLOOKUP(AL$4,'Physical Effects-Numbers'!$B$1:$AU$172,$B35,FALSE),""))</f>
        <v/>
      </c>
      <c r="AM35" s="488" t="str">
        <f>IF(AM$4="","",IF(HLOOKUP(AM$4,'Physical Effects-Numbers'!$B$1:$AU$172,$B35,FALSE)&lt;0,HLOOKUP(AM$4,'Physical Effects-Numbers'!$B$1:$AU$172,$B35,FALSE),""))</f>
        <v/>
      </c>
      <c r="AN35" s="488" t="str">
        <f>IF(AN$4="","",IF(HLOOKUP(AN$4,'Physical Effects-Numbers'!$B$1:$AU$172,$B35,FALSE)&lt;0,HLOOKUP(AN$4,'Physical Effects-Numbers'!$B$1:$AU$172,$B35,FALSE),""))</f>
        <v/>
      </c>
      <c r="AO35" s="488" t="str">
        <f>IF(AO$4="","",IF(HLOOKUP(AO$4,'Physical Effects-Numbers'!$B$1:$AU$172,$B35,FALSE)&lt;0,HLOOKUP(AO$4,'Physical Effects-Numbers'!$B$1:$AU$172,$B35,FALSE),""))</f>
        <v/>
      </c>
      <c r="AP35" s="488" t="str">
        <f>IF(AP$4="","",IF(HLOOKUP(AP$4,'Physical Effects-Numbers'!$B$1:$AU$172,$B35,FALSE)&lt;0,HLOOKUP(AP$4,'Physical Effects-Numbers'!$B$1:$AU$172,$B35,FALSE),""))</f>
        <v/>
      </c>
      <c r="AQ35" s="488" t="str">
        <f>IF(AQ$4="","",IF(HLOOKUP(AQ$4,'Physical Effects-Numbers'!$B$1:$AU$172,$B35,FALSE)&lt;0,HLOOKUP(AQ$4,'Physical Effects-Numbers'!$B$1:$AU$172,$B35,FALSE),""))</f>
        <v/>
      </c>
      <c r="AR35" s="488" t="str">
        <f>IF(AR$4="","",IF(HLOOKUP(AR$4,'Physical Effects-Numbers'!$B$1:$AU$172,$B35,FALSE)&lt;0,HLOOKUP(AR$4,'Physical Effects-Numbers'!$B$1:$AU$172,$B35,FALSE),""))</f>
        <v/>
      </c>
      <c r="AS35" s="488" t="str">
        <f>IF(AS$4="","",IF(HLOOKUP(AS$4,'Physical Effects-Numbers'!$B$1:$AU$172,$B35,FALSE)&lt;0,HLOOKUP(AS$4,'Physical Effects-Numbers'!$B$1:$AU$172,$B35,FALSE),""))</f>
        <v/>
      </c>
      <c r="AT35" s="488" t="str">
        <f>IF(AT$4="","",IF(HLOOKUP(AT$4,'Physical Effects-Numbers'!$B$1:$AU$172,$B35,FALSE)&lt;0,HLOOKUP(AT$4,'Physical Effects-Numbers'!$B$1:$AU$172,$B35,FALSE),""))</f>
        <v/>
      </c>
      <c r="AU35" s="488" t="str">
        <f>IF(AU$4="","",IF(HLOOKUP(AU$4,'Physical Effects-Numbers'!$B$1:$AU$172,$B35,FALSE)&lt;0,HLOOKUP(AU$4,'Physical Effects-Numbers'!$B$1:$AU$172,$B35,FALSE),""))</f>
        <v/>
      </c>
      <c r="AV35" s="488" t="str">
        <f>IF(AV$4="","",IF(HLOOKUP(AV$4,'Physical Effects-Numbers'!$B$1:$AU$167,$B35,FALSE)&lt;0,HLOOKUP(AV$4,'Physical Effects-Numbers'!$B$1:$AU$167,$B35,FALSE),""))</f>
        <v/>
      </c>
    </row>
    <row r="36" spans="2:48" x14ac:dyDescent="0.2">
      <c r="B36" s="487">
        <f t="shared" si="0"/>
        <v>33</v>
      </c>
      <c r="C36" s="486" t="str">
        <f>+'Physical Effects-Numbers'!B33</f>
        <v>Dam</v>
      </c>
      <c r="D36" s="488" t="str">
        <f>IF(D$4="","",IF(HLOOKUP(D$4,'Physical Effects-Numbers'!$B$1:$AU$172,$B36,FALSE)&lt;0,HLOOKUP(D$4,'Physical Effects-Numbers'!$B$1:$AU$172,$B36,FALSE),""))</f>
        <v/>
      </c>
      <c r="E36" s="488" t="str">
        <f>IF(E$4="","",IF(HLOOKUP(E$4,'Physical Effects-Numbers'!$B$1:$AU$172,$B36,FALSE)&lt;0,HLOOKUP(E$4,'Physical Effects-Numbers'!$B$1:$AU$172,$B36,FALSE),""))</f>
        <v/>
      </c>
      <c r="F36" s="488" t="str">
        <f>IF(F$4="","",IF(HLOOKUP(F$4,'Physical Effects-Numbers'!$B$1:$AU$172,$B36,FALSE)&lt;0,HLOOKUP(F$4,'Physical Effects-Numbers'!$B$1:$AU$172,$B36,FALSE),""))</f>
        <v/>
      </c>
      <c r="G36" s="488" t="str">
        <f>IF(G$4="","",IF(HLOOKUP(G$4,'Physical Effects-Numbers'!$B$1:$AU$172,$B36,FALSE)&lt;0,HLOOKUP(G$4,'Physical Effects-Numbers'!$B$1:$AU$172,$B36,FALSE),""))</f>
        <v/>
      </c>
      <c r="H36" s="488" t="str">
        <f>IF(H$4="","",IF(HLOOKUP(H$4,'Physical Effects-Numbers'!$B$1:$AU$172,$B36,FALSE)&lt;0,HLOOKUP(H$4,'Physical Effects-Numbers'!$B$1:$AU$172,$B36,FALSE),""))</f>
        <v/>
      </c>
      <c r="I36" s="488" t="str">
        <f>IF(I$4="","",IF(HLOOKUP(I$4,'Physical Effects-Numbers'!$B$1:$AU$172,$B36,FALSE)&lt;0,HLOOKUP(I$4,'Physical Effects-Numbers'!$B$1:$AU$172,$B36,FALSE),""))</f>
        <v/>
      </c>
      <c r="J36" s="488" t="str">
        <f>IF(J$4="","",IF(HLOOKUP(J$4,'Physical Effects-Numbers'!$B$1:$AU$172,$B36,FALSE)&lt;0,HLOOKUP(J$4,'Physical Effects-Numbers'!$B$1:$AU$172,$B36,FALSE),""))</f>
        <v/>
      </c>
      <c r="K36" s="488" t="str">
        <f>IF(K$4="","",IF(HLOOKUP(K$4,'Physical Effects-Numbers'!$B$1:$AU$172,$B36,FALSE)&lt;0,HLOOKUP(K$4,'Physical Effects-Numbers'!$B$1:$AU$172,$B36,FALSE),""))</f>
        <v/>
      </c>
      <c r="L36" s="488">
        <f>IF(L$4="","",IF(HLOOKUP(L$4,'Physical Effects-Numbers'!$B$1:$AU$172,$B36,FALSE)&lt;0,HLOOKUP(L$4,'Physical Effects-Numbers'!$B$1:$AU$172,$B36,FALSE),""))</f>
        <v>-1</v>
      </c>
      <c r="M36" s="488">
        <f>IF(M$4="","",IF(HLOOKUP(M$4,'Physical Effects-Numbers'!$B$1:$AU$172,$B36,FALSE)&lt;0,HLOOKUP(M$4,'Physical Effects-Numbers'!$B$1:$AU$172,$B36,FALSE),""))</f>
        <v>-2</v>
      </c>
      <c r="N36" s="488" t="str">
        <f>IF(N$4="","",IF(HLOOKUP(N$4,'Physical Effects-Numbers'!$B$1:$AU$172,$B36,FALSE)&lt;0,HLOOKUP(N$4,'Physical Effects-Numbers'!$B$1:$AU$172,$B36,FALSE),""))</f>
        <v/>
      </c>
      <c r="O36" s="488">
        <f>IF(O$4="","",IF(HLOOKUP(O$4,'Physical Effects-Numbers'!$B$1:$AU$172,$B36,FALSE)&lt;0,HLOOKUP(O$4,'Physical Effects-Numbers'!$B$1:$AU$172,$B36,FALSE),""))</f>
        <v>-1</v>
      </c>
      <c r="P36" s="488" t="str">
        <f>IF(P$4="","",IF(HLOOKUP(P$4,'Physical Effects-Numbers'!$B$1:$AU$172,$B36,FALSE)&lt;0,HLOOKUP(P$4,'Physical Effects-Numbers'!$B$1:$AU$172,$B36,FALSE),""))</f>
        <v/>
      </c>
      <c r="Q36" s="488" t="str">
        <f>IF(Q$4="","",IF(HLOOKUP(Q$4,'Physical Effects-Numbers'!$B$1:$AU$172,$B36,FALSE)&lt;0,HLOOKUP(Q$4,'Physical Effects-Numbers'!$B$1:$AU$172,$B36,FALSE),""))</f>
        <v/>
      </c>
      <c r="R36" s="488" t="str">
        <f>IF(R$4="","",IF(HLOOKUP(R$4,'Physical Effects-Numbers'!$B$1:$AU$172,$B36,FALSE)&lt;0,HLOOKUP(R$4,'Physical Effects-Numbers'!$B$1:$AU$172,$B36,FALSE),""))</f>
        <v/>
      </c>
      <c r="S36" s="488" t="str">
        <f>IF(S$4="","",IF(HLOOKUP(S$4,'Physical Effects-Numbers'!$B$1:$AU$172,$B36,FALSE)&lt;0,HLOOKUP(S$4,'Physical Effects-Numbers'!$B$1:$AU$172,$B36,FALSE),""))</f>
        <v/>
      </c>
      <c r="T36" s="488" t="str">
        <f>IF(T$4="","",IF(HLOOKUP(T$4,'Physical Effects-Numbers'!$B$1:$AU$172,$B36,FALSE)&lt;0,HLOOKUP(T$4,'Physical Effects-Numbers'!$B$1:$AU$172,$B36,FALSE),""))</f>
        <v/>
      </c>
      <c r="U36" s="488" t="str">
        <f>IF(U$4="","",IF(HLOOKUP(U$4,'Physical Effects-Numbers'!$B$1:$AU$172,$B36,FALSE)&lt;0,HLOOKUP(U$4,'Physical Effects-Numbers'!$B$1:$AU$172,$B36,FALSE),""))</f>
        <v/>
      </c>
      <c r="V36" s="488">
        <f>IF(V$4="","",IF(HLOOKUP(V$4,'Physical Effects-Numbers'!$B$1:$AU$172,$B36,FALSE)&lt;0,HLOOKUP(V$4,'Physical Effects-Numbers'!$B$1:$AU$172,$B36,FALSE),""))</f>
        <v>-1</v>
      </c>
      <c r="W36" s="488" t="str">
        <f>IF(W$4="","",IF(HLOOKUP(W$4,'Physical Effects-Numbers'!$B$1:$AU$172,$B36,FALSE)&lt;0,HLOOKUP(W$4,'Physical Effects-Numbers'!$B$1:$AU$172,$B36,FALSE),""))</f>
        <v/>
      </c>
      <c r="X36" s="488" t="str">
        <f>IF(X$4="","",IF(HLOOKUP(X$4,'Physical Effects-Numbers'!$B$1:$AU$172,$B36,FALSE)&lt;0,HLOOKUP(X$4,'Physical Effects-Numbers'!$B$1:$AU$172,$B36,FALSE),""))</f>
        <v/>
      </c>
      <c r="Y36" s="488">
        <f>IF(Y$4="","",IF(HLOOKUP(Y$4,'Physical Effects-Numbers'!$B$1:$AU$172,$B36,FALSE)&lt;0,HLOOKUP(Y$4,'Physical Effects-Numbers'!$B$1:$AU$172,$B36,FALSE),""))</f>
        <v>-2</v>
      </c>
      <c r="Z36" s="488" t="str">
        <f>IF(Z$4="","",IF(HLOOKUP(Z$4,'Physical Effects-Numbers'!$B$1:$AU$172,$B36,FALSE)&lt;0,HLOOKUP(Z$4,'Physical Effects-Numbers'!$B$1:$AU$172,$B36,FALSE),""))</f>
        <v/>
      </c>
      <c r="AA36" s="488" t="str">
        <f>IF(AA$4="","",IF(HLOOKUP(AA$4,'Physical Effects-Numbers'!$B$1:$AU$172,$B36,FALSE)&lt;0,HLOOKUP(AA$4,'Physical Effects-Numbers'!$B$1:$AU$172,$B36,FALSE),""))</f>
        <v/>
      </c>
      <c r="AB36" s="488" t="str">
        <f>IF(AB$4="","",IF(HLOOKUP(AB$4,'Physical Effects-Numbers'!$B$1:$AU$172,$B36,FALSE)&lt;0,HLOOKUP(AB$4,'Physical Effects-Numbers'!$B$1:$AU$172,$B36,FALSE),""))</f>
        <v/>
      </c>
      <c r="AC36" s="488" t="str">
        <f>IF(AC$4="","",IF(HLOOKUP(AC$4,'Physical Effects-Numbers'!$B$1:$AU$172,$B36,FALSE)&lt;0,HLOOKUP(AC$4,'Physical Effects-Numbers'!$B$1:$AU$172,$B36,FALSE),""))</f>
        <v/>
      </c>
      <c r="AD36" s="488" t="str">
        <f>IF(AD$4="","",IF(HLOOKUP(AD$4,'Physical Effects-Numbers'!$B$1:$AU$172,$B36,FALSE)&lt;0,HLOOKUP(AD$4,'Physical Effects-Numbers'!$B$1:$AU$172,$B36,FALSE),""))</f>
        <v/>
      </c>
      <c r="AE36" s="488" t="str">
        <f>IF(AE$4="","",IF(HLOOKUP(AE$4,'Physical Effects-Numbers'!$B$1:$AU$172,$B36,FALSE)&lt;0,HLOOKUP(AE$4,'Physical Effects-Numbers'!$B$1:$AU$172,$B36,FALSE),""))</f>
        <v/>
      </c>
      <c r="AF36" s="488" t="str">
        <f>IF(AF$4="","",IF(HLOOKUP(AF$4,'Physical Effects-Numbers'!$B$1:$AU$172,$B36,FALSE)&lt;0,HLOOKUP(AF$4,'Physical Effects-Numbers'!$B$1:$AU$172,$B36,FALSE),""))</f>
        <v/>
      </c>
      <c r="AG36" s="488" t="str">
        <f>IF(AG$4="","",IF(HLOOKUP(AG$4,'Physical Effects-Numbers'!$B$1:$AU$172,$B36,FALSE)&lt;0,HLOOKUP(AG$4,'Physical Effects-Numbers'!$B$1:$AU$172,$B36,FALSE),""))</f>
        <v/>
      </c>
      <c r="AH36" s="488" t="str">
        <f>IF(AH$4="","",IF(HLOOKUP(AH$4,'Physical Effects-Numbers'!$B$1:$AU$172,$B36,FALSE)&lt;0,HLOOKUP(AH$4,'Physical Effects-Numbers'!$B$1:$AU$172,$B36,FALSE),""))</f>
        <v/>
      </c>
      <c r="AI36" s="488" t="str">
        <f>IF(AI$4="","",IF(HLOOKUP(AI$4,'Physical Effects-Numbers'!$B$1:$AU$172,$B36,FALSE)&lt;0,HLOOKUP(AI$4,'Physical Effects-Numbers'!$B$1:$AU$172,$B36,FALSE),""))</f>
        <v/>
      </c>
      <c r="AJ36" s="488" t="str">
        <f>IF(AJ$4="","",IF(HLOOKUP(AJ$4,'Physical Effects-Numbers'!$B$1:$AU$172,$B36,FALSE)&lt;0,HLOOKUP(AJ$4,'Physical Effects-Numbers'!$B$1:$AU$172,$B36,FALSE),""))</f>
        <v/>
      </c>
      <c r="AK36" s="488" t="str">
        <f>IF(AK$4="","",IF(HLOOKUP(AK$4,'Physical Effects-Numbers'!$B$1:$AU$172,$B36,FALSE)&lt;0,HLOOKUP(AK$4,'Physical Effects-Numbers'!$B$1:$AU$172,$B36,FALSE),""))</f>
        <v/>
      </c>
      <c r="AL36" s="488" t="str">
        <f>IF(AL$4="","",IF(HLOOKUP(AL$4,'Physical Effects-Numbers'!$B$1:$AU$172,$B36,FALSE)&lt;0,HLOOKUP(AL$4,'Physical Effects-Numbers'!$B$1:$AU$172,$B36,FALSE),""))</f>
        <v/>
      </c>
      <c r="AM36" s="488" t="str">
        <f>IF(AM$4="","",IF(HLOOKUP(AM$4,'Physical Effects-Numbers'!$B$1:$AU$172,$B36,FALSE)&lt;0,HLOOKUP(AM$4,'Physical Effects-Numbers'!$B$1:$AU$172,$B36,FALSE),""))</f>
        <v/>
      </c>
      <c r="AN36" s="488" t="str">
        <f>IF(AN$4="","",IF(HLOOKUP(AN$4,'Physical Effects-Numbers'!$B$1:$AU$172,$B36,FALSE)&lt;0,HLOOKUP(AN$4,'Physical Effects-Numbers'!$B$1:$AU$172,$B36,FALSE),""))</f>
        <v/>
      </c>
      <c r="AO36" s="488" t="str">
        <f>IF(AO$4="","",IF(HLOOKUP(AO$4,'Physical Effects-Numbers'!$B$1:$AU$172,$B36,FALSE)&lt;0,HLOOKUP(AO$4,'Physical Effects-Numbers'!$B$1:$AU$172,$B36,FALSE),""))</f>
        <v/>
      </c>
      <c r="AP36" s="488" t="str">
        <f>IF(AP$4="","",IF(HLOOKUP(AP$4,'Physical Effects-Numbers'!$B$1:$AU$172,$B36,FALSE)&lt;0,HLOOKUP(AP$4,'Physical Effects-Numbers'!$B$1:$AU$172,$B36,FALSE),""))</f>
        <v/>
      </c>
      <c r="AQ36" s="488" t="str">
        <f>IF(AQ$4="","",IF(HLOOKUP(AQ$4,'Physical Effects-Numbers'!$B$1:$AU$172,$B36,FALSE)&lt;0,HLOOKUP(AQ$4,'Physical Effects-Numbers'!$B$1:$AU$172,$B36,FALSE),""))</f>
        <v/>
      </c>
      <c r="AR36" s="488" t="str">
        <f>IF(AR$4="","",IF(HLOOKUP(AR$4,'Physical Effects-Numbers'!$B$1:$AU$172,$B36,FALSE)&lt;0,HLOOKUP(AR$4,'Physical Effects-Numbers'!$B$1:$AU$172,$B36,FALSE),""))</f>
        <v/>
      </c>
      <c r="AS36" s="488" t="str">
        <f>IF(AS$4="","",IF(HLOOKUP(AS$4,'Physical Effects-Numbers'!$B$1:$AU$172,$B36,FALSE)&lt;0,HLOOKUP(AS$4,'Physical Effects-Numbers'!$B$1:$AU$172,$B36,FALSE),""))</f>
        <v/>
      </c>
      <c r="AT36" s="488" t="str">
        <f>IF(AT$4="","",IF(HLOOKUP(AT$4,'Physical Effects-Numbers'!$B$1:$AU$172,$B36,FALSE)&lt;0,HLOOKUP(AT$4,'Physical Effects-Numbers'!$B$1:$AU$172,$B36,FALSE),""))</f>
        <v/>
      </c>
      <c r="AU36" s="488" t="str">
        <f>IF(AU$4="","",IF(HLOOKUP(AU$4,'Physical Effects-Numbers'!$B$1:$AU$172,$B36,FALSE)&lt;0,HLOOKUP(AU$4,'Physical Effects-Numbers'!$B$1:$AU$172,$B36,FALSE),""))</f>
        <v/>
      </c>
      <c r="AV36" s="488" t="str">
        <f>IF(AV$4="","",IF(HLOOKUP(AV$4,'Physical Effects-Numbers'!$B$1:$AU$167,$B36,FALSE)&lt;0,HLOOKUP(AV$4,'Physical Effects-Numbers'!$B$1:$AU$167,$B36,FALSE),""))</f>
        <v/>
      </c>
    </row>
    <row r="37" spans="2:48" x14ac:dyDescent="0.2">
      <c r="B37" s="487">
        <f t="shared" si="0"/>
        <v>34</v>
      </c>
      <c r="C37" s="486" t="str">
        <f>+'Physical Effects-Numbers'!B34</f>
        <v>Dam, Diversion</v>
      </c>
      <c r="D37" s="488" t="str">
        <f>IF(D$4="","",IF(HLOOKUP(D$4,'Physical Effects-Numbers'!$B$1:$AU$172,$B37,FALSE)&lt;0,HLOOKUP(D$4,'Physical Effects-Numbers'!$B$1:$AU$172,$B37,FALSE),""))</f>
        <v/>
      </c>
      <c r="E37" s="488" t="str">
        <f>IF(E$4="","",IF(HLOOKUP(E$4,'Physical Effects-Numbers'!$B$1:$AU$172,$B37,FALSE)&lt;0,HLOOKUP(E$4,'Physical Effects-Numbers'!$B$1:$AU$172,$B37,FALSE),""))</f>
        <v/>
      </c>
      <c r="F37" s="488" t="str">
        <f>IF(F$4="","",IF(HLOOKUP(F$4,'Physical Effects-Numbers'!$B$1:$AU$172,$B37,FALSE)&lt;0,HLOOKUP(F$4,'Physical Effects-Numbers'!$B$1:$AU$172,$B37,FALSE),""))</f>
        <v/>
      </c>
      <c r="G37" s="488" t="str">
        <f>IF(G$4="","",IF(HLOOKUP(G$4,'Physical Effects-Numbers'!$B$1:$AU$172,$B37,FALSE)&lt;0,HLOOKUP(G$4,'Physical Effects-Numbers'!$B$1:$AU$172,$B37,FALSE),""))</f>
        <v/>
      </c>
      <c r="H37" s="488">
        <f>IF(H$4="","",IF(HLOOKUP(H$4,'Physical Effects-Numbers'!$B$1:$AU$172,$B37,FALSE)&lt;0,HLOOKUP(H$4,'Physical Effects-Numbers'!$B$1:$AU$172,$B37,FALSE),""))</f>
        <v>-1</v>
      </c>
      <c r="I37" s="488" t="str">
        <f>IF(I$4="","",IF(HLOOKUP(I$4,'Physical Effects-Numbers'!$B$1:$AU$172,$B37,FALSE)&lt;0,HLOOKUP(I$4,'Physical Effects-Numbers'!$B$1:$AU$172,$B37,FALSE),""))</f>
        <v/>
      </c>
      <c r="J37" s="488" t="str">
        <f>IF(J$4="","",IF(HLOOKUP(J$4,'Physical Effects-Numbers'!$B$1:$AU$172,$B37,FALSE)&lt;0,HLOOKUP(J$4,'Physical Effects-Numbers'!$B$1:$AU$172,$B37,FALSE),""))</f>
        <v/>
      </c>
      <c r="K37" s="488" t="str">
        <f>IF(K$4="","",IF(HLOOKUP(K$4,'Physical Effects-Numbers'!$B$1:$AU$172,$B37,FALSE)&lt;0,HLOOKUP(K$4,'Physical Effects-Numbers'!$B$1:$AU$172,$B37,FALSE),""))</f>
        <v/>
      </c>
      <c r="L37" s="488" t="str">
        <f>IF(L$4="","",IF(HLOOKUP(L$4,'Physical Effects-Numbers'!$B$1:$AU$172,$B37,FALSE)&lt;0,HLOOKUP(L$4,'Physical Effects-Numbers'!$B$1:$AU$172,$B37,FALSE),""))</f>
        <v/>
      </c>
      <c r="M37" s="488" t="str">
        <f>IF(M$4="","",IF(HLOOKUP(M$4,'Physical Effects-Numbers'!$B$1:$AU$172,$B37,FALSE)&lt;0,HLOOKUP(M$4,'Physical Effects-Numbers'!$B$1:$AU$172,$B37,FALSE),""))</f>
        <v/>
      </c>
      <c r="N37" s="488" t="str">
        <f>IF(N$4="","",IF(HLOOKUP(N$4,'Physical Effects-Numbers'!$B$1:$AU$172,$B37,FALSE)&lt;0,HLOOKUP(N$4,'Physical Effects-Numbers'!$B$1:$AU$172,$B37,FALSE),""))</f>
        <v/>
      </c>
      <c r="O37" s="488" t="str">
        <f>IF(O$4="","",IF(HLOOKUP(O$4,'Physical Effects-Numbers'!$B$1:$AU$172,$B37,FALSE)&lt;0,HLOOKUP(O$4,'Physical Effects-Numbers'!$B$1:$AU$172,$B37,FALSE),""))</f>
        <v/>
      </c>
      <c r="P37" s="488" t="str">
        <f>IF(P$4="","",IF(HLOOKUP(P$4,'Physical Effects-Numbers'!$B$1:$AU$172,$B37,FALSE)&lt;0,HLOOKUP(P$4,'Physical Effects-Numbers'!$B$1:$AU$172,$B37,FALSE),""))</f>
        <v/>
      </c>
      <c r="Q37" s="488" t="str">
        <f>IF(Q$4="","",IF(HLOOKUP(Q$4,'Physical Effects-Numbers'!$B$1:$AU$172,$B37,FALSE)&lt;0,HLOOKUP(Q$4,'Physical Effects-Numbers'!$B$1:$AU$172,$B37,FALSE),""))</f>
        <v/>
      </c>
      <c r="R37" s="488" t="str">
        <f>IF(R$4="","",IF(HLOOKUP(R$4,'Physical Effects-Numbers'!$B$1:$AU$172,$B37,FALSE)&lt;0,HLOOKUP(R$4,'Physical Effects-Numbers'!$B$1:$AU$172,$B37,FALSE),""))</f>
        <v/>
      </c>
      <c r="S37" s="488" t="str">
        <f>IF(S$4="","",IF(HLOOKUP(S$4,'Physical Effects-Numbers'!$B$1:$AU$172,$B37,FALSE)&lt;0,HLOOKUP(S$4,'Physical Effects-Numbers'!$B$1:$AU$172,$B37,FALSE),""))</f>
        <v/>
      </c>
      <c r="T37" s="488" t="str">
        <f>IF(T$4="","",IF(HLOOKUP(T$4,'Physical Effects-Numbers'!$B$1:$AU$172,$B37,FALSE)&lt;0,HLOOKUP(T$4,'Physical Effects-Numbers'!$B$1:$AU$172,$B37,FALSE),""))</f>
        <v/>
      </c>
      <c r="U37" s="488" t="str">
        <f>IF(U$4="","",IF(HLOOKUP(U$4,'Physical Effects-Numbers'!$B$1:$AU$172,$B37,FALSE)&lt;0,HLOOKUP(U$4,'Physical Effects-Numbers'!$B$1:$AU$172,$B37,FALSE),""))</f>
        <v/>
      </c>
      <c r="V37" s="488" t="str">
        <f>IF(V$4="","",IF(HLOOKUP(V$4,'Physical Effects-Numbers'!$B$1:$AU$172,$B37,FALSE)&lt;0,HLOOKUP(V$4,'Physical Effects-Numbers'!$B$1:$AU$172,$B37,FALSE),""))</f>
        <v/>
      </c>
      <c r="W37" s="488" t="str">
        <f>IF(W$4="","",IF(HLOOKUP(W$4,'Physical Effects-Numbers'!$B$1:$AU$172,$B37,FALSE)&lt;0,HLOOKUP(W$4,'Physical Effects-Numbers'!$B$1:$AU$172,$B37,FALSE),""))</f>
        <v/>
      </c>
      <c r="X37" s="488" t="str">
        <f>IF(X$4="","",IF(HLOOKUP(X$4,'Physical Effects-Numbers'!$B$1:$AU$172,$B37,FALSE)&lt;0,HLOOKUP(X$4,'Physical Effects-Numbers'!$B$1:$AU$172,$B37,FALSE),""))</f>
        <v/>
      </c>
      <c r="Y37" s="488" t="str">
        <f>IF(Y$4="","",IF(HLOOKUP(Y$4,'Physical Effects-Numbers'!$B$1:$AU$172,$B37,FALSE)&lt;0,HLOOKUP(Y$4,'Physical Effects-Numbers'!$B$1:$AU$172,$B37,FALSE),""))</f>
        <v/>
      </c>
      <c r="Z37" s="488" t="str">
        <f>IF(Z$4="","",IF(HLOOKUP(Z$4,'Physical Effects-Numbers'!$B$1:$AU$172,$B37,FALSE)&lt;0,HLOOKUP(Z$4,'Physical Effects-Numbers'!$B$1:$AU$172,$B37,FALSE),""))</f>
        <v/>
      </c>
      <c r="AA37" s="488" t="str">
        <f>IF(AA$4="","",IF(HLOOKUP(AA$4,'Physical Effects-Numbers'!$B$1:$AU$172,$B37,FALSE)&lt;0,HLOOKUP(AA$4,'Physical Effects-Numbers'!$B$1:$AU$172,$B37,FALSE),""))</f>
        <v/>
      </c>
      <c r="AB37" s="488">
        <f>IF(AB$4="","",IF(HLOOKUP(AB$4,'Physical Effects-Numbers'!$B$1:$AU$172,$B37,FALSE)&lt;0,HLOOKUP(AB$4,'Physical Effects-Numbers'!$B$1:$AU$172,$B37,FALSE),""))</f>
        <v>-2</v>
      </c>
      <c r="AC37" s="488" t="str">
        <f>IF(AC$4="","",IF(HLOOKUP(AC$4,'Physical Effects-Numbers'!$B$1:$AU$172,$B37,FALSE)&lt;0,HLOOKUP(AC$4,'Physical Effects-Numbers'!$B$1:$AU$172,$B37,FALSE),""))</f>
        <v/>
      </c>
      <c r="AD37" s="488" t="str">
        <f>IF(AD$4="","",IF(HLOOKUP(AD$4,'Physical Effects-Numbers'!$B$1:$AU$172,$B37,FALSE)&lt;0,HLOOKUP(AD$4,'Physical Effects-Numbers'!$B$1:$AU$172,$B37,FALSE),""))</f>
        <v/>
      </c>
      <c r="AE37" s="488" t="str">
        <f>IF(AE$4="","",IF(HLOOKUP(AE$4,'Physical Effects-Numbers'!$B$1:$AU$172,$B37,FALSE)&lt;0,HLOOKUP(AE$4,'Physical Effects-Numbers'!$B$1:$AU$172,$B37,FALSE),""))</f>
        <v/>
      </c>
      <c r="AF37" s="488" t="str">
        <f>IF(AF$4="","",IF(HLOOKUP(AF$4,'Physical Effects-Numbers'!$B$1:$AU$172,$B37,FALSE)&lt;0,HLOOKUP(AF$4,'Physical Effects-Numbers'!$B$1:$AU$172,$B37,FALSE),""))</f>
        <v/>
      </c>
      <c r="AG37" s="488" t="str">
        <f>IF(AG$4="","",IF(HLOOKUP(AG$4,'Physical Effects-Numbers'!$B$1:$AU$172,$B37,FALSE)&lt;0,HLOOKUP(AG$4,'Physical Effects-Numbers'!$B$1:$AU$172,$B37,FALSE),""))</f>
        <v/>
      </c>
      <c r="AH37" s="488" t="str">
        <f>IF(AH$4="","",IF(HLOOKUP(AH$4,'Physical Effects-Numbers'!$B$1:$AU$172,$B37,FALSE)&lt;0,HLOOKUP(AH$4,'Physical Effects-Numbers'!$B$1:$AU$172,$B37,FALSE),""))</f>
        <v/>
      </c>
      <c r="AI37" s="488" t="str">
        <f>IF(AI$4="","",IF(HLOOKUP(AI$4,'Physical Effects-Numbers'!$B$1:$AU$172,$B37,FALSE)&lt;0,HLOOKUP(AI$4,'Physical Effects-Numbers'!$B$1:$AU$172,$B37,FALSE),""))</f>
        <v/>
      </c>
      <c r="AJ37" s="488" t="str">
        <f>IF(AJ$4="","",IF(HLOOKUP(AJ$4,'Physical Effects-Numbers'!$B$1:$AU$172,$B37,FALSE)&lt;0,HLOOKUP(AJ$4,'Physical Effects-Numbers'!$B$1:$AU$172,$B37,FALSE),""))</f>
        <v/>
      </c>
      <c r="AK37" s="488" t="str">
        <f>IF(AK$4="","",IF(HLOOKUP(AK$4,'Physical Effects-Numbers'!$B$1:$AU$172,$B37,FALSE)&lt;0,HLOOKUP(AK$4,'Physical Effects-Numbers'!$B$1:$AU$172,$B37,FALSE),""))</f>
        <v/>
      </c>
      <c r="AL37" s="488" t="str">
        <f>IF(AL$4="","",IF(HLOOKUP(AL$4,'Physical Effects-Numbers'!$B$1:$AU$172,$B37,FALSE)&lt;0,HLOOKUP(AL$4,'Physical Effects-Numbers'!$B$1:$AU$172,$B37,FALSE),""))</f>
        <v/>
      </c>
      <c r="AM37" s="488">
        <f>IF(AM$4="","",IF(HLOOKUP(AM$4,'Physical Effects-Numbers'!$B$1:$AU$172,$B37,FALSE)&lt;0,HLOOKUP(AM$4,'Physical Effects-Numbers'!$B$1:$AU$172,$B37,FALSE),""))</f>
        <v>-2</v>
      </c>
      <c r="AN37" s="488">
        <f>IF(AN$4="","",IF(HLOOKUP(AN$4,'Physical Effects-Numbers'!$B$1:$AU$172,$B37,FALSE)&lt;0,HLOOKUP(AN$4,'Physical Effects-Numbers'!$B$1:$AU$172,$B37,FALSE),""))</f>
        <v>-2</v>
      </c>
      <c r="AO37" s="488">
        <f>IF(AO$4="","",IF(HLOOKUP(AO$4,'Physical Effects-Numbers'!$B$1:$AU$172,$B37,FALSE)&lt;0,HLOOKUP(AO$4,'Physical Effects-Numbers'!$B$1:$AU$172,$B37,FALSE),""))</f>
        <v>-2</v>
      </c>
      <c r="AP37" s="488">
        <f>IF(AP$4="","",IF(HLOOKUP(AP$4,'Physical Effects-Numbers'!$B$1:$AU$172,$B37,FALSE)&lt;0,HLOOKUP(AP$4,'Physical Effects-Numbers'!$B$1:$AU$172,$B37,FALSE),""))</f>
        <v>-2</v>
      </c>
      <c r="AQ37" s="488" t="str">
        <f>IF(AQ$4="","",IF(HLOOKUP(AQ$4,'Physical Effects-Numbers'!$B$1:$AU$172,$B37,FALSE)&lt;0,HLOOKUP(AQ$4,'Physical Effects-Numbers'!$B$1:$AU$172,$B37,FALSE),""))</f>
        <v/>
      </c>
      <c r="AR37" s="488" t="str">
        <f>IF(AR$4="","",IF(HLOOKUP(AR$4,'Physical Effects-Numbers'!$B$1:$AU$172,$B37,FALSE)&lt;0,HLOOKUP(AR$4,'Physical Effects-Numbers'!$B$1:$AU$172,$B37,FALSE),""))</f>
        <v/>
      </c>
      <c r="AS37" s="488" t="str">
        <f>IF(AS$4="","",IF(HLOOKUP(AS$4,'Physical Effects-Numbers'!$B$1:$AU$172,$B37,FALSE)&lt;0,HLOOKUP(AS$4,'Physical Effects-Numbers'!$B$1:$AU$172,$B37,FALSE),""))</f>
        <v/>
      </c>
      <c r="AT37" s="488" t="str">
        <f>IF(AT$4="","",IF(HLOOKUP(AT$4,'Physical Effects-Numbers'!$B$1:$AU$172,$B37,FALSE)&lt;0,HLOOKUP(AT$4,'Physical Effects-Numbers'!$B$1:$AU$172,$B37,FALSE),""))</f>
        <v/>
      </c>
      <c r="AU37" s="488" t="str">
        <f>IF(AU$4="","",IF(HLOOKUP(AU$4,'Physical Effects-Numbers'!$B$1:$AU$172,$B37,FALSE)&lt;0,HLOOKUP(AU$4,'Physical Effects-Numbers'!$B$1:$AU$172,$B37,FALSE),""))</f>
        <v/>
      </c>
      <c r="AV37" s="488" t="str">
        <f>IF(AV$4="","",IF(HLOOKUP(AV$4,'Physical Effects-Numbers'!$B$1:$AU$167,$B37,FALSE)&lt;0,HLOOKUP(AV$4,'Physical Effects-Numbers'!$B$1:$AU$167,$B37,FALSE),""))</f>
        <v/>
      </c>
    </row>
    <row r="38" spans="2:48" x14ac:dyDescent="0.2">
      <c r="B38" s="487">
        <f t="shared" si="0"/>
        <v>35</v>
      </c>
      <c r="C38" s="486" t="str">
        <f>+'Physical Effects-Numbers'!B35</f>
        <v>Deep Tillage</v>
      </c>
      <c r="D38" s="488" t="str">
        <f>IF(D$4="","",IF(HLOOKUP(D$4,'Physical Effects-Numbers'!$B$1:$AU$172,$B38,FALSE)&lt;0,HLOOKUP(D$4,'Physical Effects-Numbers'!$B$1:$AU$172,$B38,FALSE),""))</f>
        <v/>
      </c>
      <c r="E38" s="488" t="str">
        <f>IF(E$4="","",IF(HLOOKUP(E$4,'Physical Effects-Numbers'!$B$1:$AU$172,$B38,FALSE)&lt;0,HLOOKUP(E$4,'Physical Effects-Numbers'!$B$1:$AU$172,$B38,FALSE),""))</f>
        <v/>
      </c>
      <c r="F38" s="488" t="str">
        <f>IF(F$4="","",IF(HLOOKUP(F$4,'Physical Effects-Numbers'!$B$1:$AU$172,$B38,FALSE)&lt;0,HLOOKUP(F$4,'Physical Effects-Numbers'!$B$1:$AU$172,$B38,FALSE),""))</f>
        <v/>
      </c>
      <c r="G38" s="488" t="str">
        <f>IF(G$4="","",IF(HLOOKUP(G$4,'Physical Effects-Numbers'!$B$1:$AU$172,$B38,FALSE)&lt;0,HLOOKUP(G$4,'Physical Effects-Numbers'!$B$1:$AU$172,$B38,FALSE),""))</f>
        <v/>
      </c>
      <c r="H38" s="488" t="str">
        <f>IF(H$4="","",IF(HLOOKUP(H$4,'Physical Effects-Numbers'!$B$1:$AU$172,$B38,FALSE)&lt;0,HLOOKUP(H$4,'Physical Effects-Numbers'!$B$1:$AU$172,$B38,FALSE),""))</f>
        <v/>
      </c>
      <c r="I38" s="488">
        <f>IF(I$4="","",IF(HLOOKUP(I$4,'Physical Effects-Numbers'!$B$1:$AU$172,$B38,FALSE)&lt;0,HLOOKUP(I$4,'Physical Effects-Numbers'!$B$1:$AU$172,$B38,FALSE),""))</f>
        <v>-4</v>
      </c>
      <c r="J38" s="488" t="str">
        <f>IF(J$4="","",IF(HLOOKUP(J$4,'Physical Effects-Numbers'!$B$1:$AU$172,$B38,FALSE)&lt;0,HLOOKUP(J$4,'Physical Effects-Numbers'!$B$1:$AU$172,$B38,FALSE),""))</f>
        <v/>
      </c>
      <c r="K38" s="488">
        <f>IF(K$4="","",IF(HLOOKUP(K$4,'Physical Effects-Numbers'!$B$1:$AU$172,$B38,FALSE)&lt;0,HLOOKUP(K$4,'Physical Effects-Numbers'!$B$1:$AU$172,$B38,FALSE),""))</f>
        <v>-1</v>
      </c>
      <c r="L38" s="488" t="str">
        <f>IF(L$4="","",IF(HLOOKUP(L$4,'Physical Effects-Numbers'!$B$1:$AU$172,$B38,FALSE)&lt;0,HLOOKUP(L$4,'Physical Effects-Numbers'!$B$1:$AU$172,$B38,FALSE),""))</f>
        <v/>
      </c>
      <c r="M38" s="488">
        <f>IF(M$4="","",IF(HLOOKUP(M$4,'Physical Effects-Numbers'!$B$1:$AU$172,$B38,FALSE)&lt;0,HLOOKUP(M$4,'Physical Effects-Numbers'!$B$1:$AU$172,$B38,FALSE),""))</f>
        <v>-2</v>
      </c>
      <c r="N38" s="488" t="str">
        <f>IF(N$4="","",IF(HLOOKUP(N$4,'Physical Effects-Numbers'!$B$1:$AU$172,$B38,FALSE)&lt;0,HLOOKUP(N$4,'Physical Effects-Numbers'!$B$1:$AU$172,$B38,FALSE),""))</f>
        <v/>
      </c>
      <c r="O38" s="488" t="str">
        <f>IF(O$4="","",IF(HLOOKUP(O$4,'Physical Effects-Numbers'!$B$1:$AU$172,$B38,FALSE)&lt;0,HLOOKUP(O$4,'Physical Effects-Numbers'!$B$1:$AU$172,$B38,FALSE),""))</f>
        <v/>
      </c>
      <c r="P38" s="488" t="str">
        <f>IF(P$4="","",IF(HLOOKUP(P$4,'Physical Effects-Numbers'!$B$1:$AU$172,$B38,FALSE)&lt;0,HLOOKUP(P$4,'Physical Effects-Numbers'!$B$1:$AU$172,$B38,FALSE),""))</f>
        <v/>
      </c>
      <c r="Q38" s="488" t="str">
        <f>IF(Q$4="","",IF(HLOOKUP(Q$4,'Physical Effects-Numbers'!$B$1:$AU$172,$B38,FALSE)&lt;0,HLOOKUP(Q$4,'Physical Effects-Numbers'!$B$1:$AU$172,$B38,FALSE),""))</f>
        <v/>
      </c>
      <c r="R38" s="488" t="str">
        <f>IF(R$4="","",IF(HLOOKUP(R$4,'Physical Effects-Numbers'!$B$1:$AU$172,$B38,FALSE)&lt;0,HLOOKUP(R$4,'Physical Effects-Numbers'!$B$1:$AU$172,$B38,FALSE),""))</f>
        <v/>
      </c>
      <c r="S38" s="488" t="str">
        <f>IF(S$4="","",IF(HLOOKUP(S$4,'Physical Effects-Numbers'!$B$1:$AU$172,$B38,FALSE)&lt;0,HLOOKUP(S$4,'Physical Effects-Numbers'!$B$1:$AU$172,$B38,FALSE),""))</f>
        <v/>
      </c>
      <c r="T38" s="488" t="str">
        <f>IF(T$4="","",IF(HLOOKUP(T$4,'Physical Effects-Numbers'!$B$1:$AU$172,$B38,FALSE)&lt;0,HLOOKUP(T$4,'Physical Effects-Numbers'!$B$1:$AU$172,$B38,FALSE),""))</f>
        <v/>
      </c>
      <c r="U38" s="488" t="str">
        <f>IF(U$4="","",IF(HLOOKUP(U$4,'Physical Effects-Numbers'!$B$1:$AU$172,$B38,FALSE)&lt;0,HLOOKUP(U$4,'Physical Effects-Numbers'!$B$1:$AU$172,$B38,FALSE),""))</f>
        <v/>
      </c>
      <c r="V38" s="488">
        <f>IF(V$4="","",IF(HLOOKUP(V$4,'Physical Effects-Numbers'!$B$1:$AU$172,$B38,FALSE)&lt;0,HLOOKUP(V$4,'Physical Effects-Numbers'!$B$1:$AU$172,$B38,FALSE),""))</f>
        <v>-2</v>
      </c>
      <c r="W38" s="488" t="str">
        <f>IF(W$4="","",IF(HLOOKUP(W$4,'Physical Effects-Numbers'!$B$1:$AU$172,$B38,FALSE)&lt;0,HLOOKUP(W$4,'Physical Effects-Numbers'!$B$1:$AU$172,$B38,FALSE),""))</f>
        <v/>
      </c>
      <c r="X38" s="488" t="str">
        <f>IF(X$4="","",IF(HLOOKUP(X$4,'Physical Effects-Numbers'!$B$1:$AU$172,$B38,FALSE)&lt;0,HLOOKUP(X$4,'Physical Effects-Numbers'!$B$1:$AU$172,$B38,FALSE),""))</f>
        <v/>
      </c>
      <c r="Y38" s="488" t="str">
        <f>IF(Y$4="","",IF(HLOOKUP(Y$4,'Physical Effects-Numbers'!$B$1:$AU$172,$B38,FALSE)&lt;0,HLOOKUP(Y$4,'Physical Effects-Numbers'!$B$1:$AU$172,$B38,FALSE),""))</f>
        <v/>
      </c>
      <c r="Z38" s="488" t="str">
        <f>IF(Z$4="","",IF(HLOOKUP(Z$4,'Physical Effects-Numbers'!$B$1:$AU$172,$B38,FALSE)&lt;0,HLOOKUP(Z$4,'Physical Effects-Numbers'!$B$1:$AU$172,$B38,FALSE),""))</f>
        <v/>
      </c>
      <c r="AA38" s="488" t="str">
        <f>IF(AA$4="","",IF(HLOOKUP(AA$4,'Physical Effects-Numbers'!$B$1:$AU$172,$B38,FALSE)&lt;0,HLOOKUP(AA$4,'Physical Effects-Numbers'!$B$1:$AU$172,$B38,FALSE),""))</f>
        <v/>
      </c>
      <c r="AB38" s="488" t="str">
        <f>IF(AB$4="","",IF(HLOOKUP(AB$4,'Physical Effects-Numbers'!$B$1:$AU$172,$B38,FALSE)&lt;0,HLOOKUP(AB$4,'Physical Effects-Numbers'!$B$1:$AU$172,$B38,FALSE),""))</f>
        <v/>
      </c>
      <c r="AC38" s="488" t="str">
        <f>IF(AC$4="","",IF(HLOOKUP(AC$4,'Physical Effects-Numbers'!$B$1:$AU$172,$B38,FALSE)&lt;0,HLOOKUP(AC$4,'Physical Effects-Numbers'!$B$1:$AU$172,$B38,FALSE),""))</f>
        <v/>
      </c>
      <c r="AD38" s="488" t="str">
        <f>IF(AD$4="","",IF(HLOOKUP(AD$4,'Physical Effects-Numbers'!$B$1:$AU$172,$B38,FALSE)&lt;0,HLOOKUP(AD$4,'Physical Effects-Numbers'!$B$1:$AU$172,$B38,FALSE),""))</f>
        <v/>
      </c>
      <c r="AE38" s="488">
        <f>IF(AE$4="","",IF(HLOOKUP(AE$4,'Physical Effects-Numbers'!$B$1:$AU$172,$B38,FALSE)&lt;0,HLOOKUP(AE$4,'Physical Effects-Numbers'!$B$1:$AU$172,$B38,FALSE),""))</f>
        <v>-2</v>
      </c>
      <c r="AF38" s="488">
        <f>IF(AF$4="","",IF(HLOOKUP(AF$4,'Physical Effects-Numbers'!$B$1:$AU$172,$B38,FALSE)&lt;0,HLOOKUP(AF$4,'Physical Effects-Numbers'!$B$1:$AU$172,$B38,FALSE),""))</f>
        <v>-1</v>
      </c>
      <c r="AG38" s="488">
        <f>IF(AG$4="","",IF(HLOOKUP(AG$4,'Physical Effects-Numbers'!$B$1:$AU$172,$B38,FALSE)&lt;0,HLOOKUP(AG$4,'Physical Effects-Numbers'!$B$1:$AU$172,$B38,FALSE),""))</f>
        <v>-1</v>
      </c>
      <c r="AH38" s="488" t="str">
        <f>IF(AH$4="","",IF(HLOOKUP(AH$4,'Physical Effects-Numbers'!$B$1:$AU$172,$B38,FALSE)&lt;0,HLOOKUP(AH$4,'Physical Effects-Numbers'!$B$1:$AU$172,$B38,FALSE),""))</f>
        <v/>
      </c>
      <c r="AI38" s="488" t="str">
        <f>IF(AI$4="","",IF(HLOOKUP(AI$4,'Physical Effects-Numbers'!$B$1:$AU$172,$B38,FALSE)&lt;0,HLOOKUP(AI$4,'Physical Effects-Numbers'!$B$1:$AU$172,$B38,FALSE),""))</f>
        <v/>
      </c>
      <c r="AJ38" s="488" t="str">
        <f>IF(AJ$4="","",IF(HLOOKUP(AJ$4,'Physical Effects-Numbers'!$B$1:$AU$172,$B38,FALSE)&lt;0,HLOOKUP(AJ$4,'Physical Effects-Numbers'!$B$1:$AU$172,$B38,FALSE),""))</f>
        <v/>
      </c>
      <c r="AK38" s="488" t="str">
        <f>IF(AK$4="","",IF(HLOOKUP(AK$4,'Physical Effects-Numbers'!$B$1:$AU$172,$B38,FALSE)&lt;0,HLOOKUP(AK$4,'Physical Effects-Numbers'!$B$1:$AU$172,$B38,FALSE),""))</f>
        <v/>
      </c>
      <c r="AL38" s="488" t="str">
        <f>IF(AL$4="","",IF(HLOOKUP(AL$4,'Physical Effects-Numbers'!$B$1:$AU$172,$B38,FALSE)&lt;0,HLOOKUP(AL$4,'Physical Effects-Numbers'!$B$1:$AU$172,$B38,FALSE),""))</f>
        <v/>
      </c>
      <c r="AM38" s="488" t="str">
        <f>IF(AM$4="","",IF(HLOOKUP(AM$4,'Physical Effects-Numbers'!$B$1:$AU$172,$B38,FALSE)&lt;0,HLOOKUP(AM$4,'Physical Effects-Numbers'!$B$1:$AU$172,$B38,FALSE),""))</f>
        <v/>
      </c>
      <c r="AN38" s="488" t="str">
        <f>IF(AN$4="","",IF(HLOOKUP(AN$4,'Physical Effects-Numbers'!$B$1:$AU$172,$B38,FALSE)&lt;0,HLOOKUP(AN$4,'Physical Effects-Numbers'!$B$1:$AU$172,$B38,FALSE),""))</f>
        <v/>
      </c>
      <c r="AO38" s="488" t="str">
        <f>IF(AO$4="","",IF(HLOOKUP(AO$4,'Physical Effects-Numbers'!$B$1:$AU$172,$B38,FALSE)&lt;0,HLOOKUP(AO$4,'Physical Effects-Numbers'!$B$1:$AU$172,$B38,FALSE),""))</f>
        <v/>
      </c>
      <c r="AP38" s="488" t="str">
        <f>IF(AP$4="","",IF(HLOOKUP(AP$4,'Physical Effects-Numbers'!$B$1:$AU$172,$B38,FALSE)&lt;0,HLOOKUP(AP$4,'Physical Effects-Numbers'!$B$1:$AU$172,$B38,FALSE),""))</f>
        <v/>
      </c>
      <c r="AQ38" s="488" t="str">
        <f>IF(AQ$4="","",IF(HLOOKUP(AQ$4,'Physical Effects-Numbers'!$B$1:$AU$172,$B38,FALSE)&lt;0,HLOOKUP(AQ$4,'Physical Effects-Numbers'!$B$1:$AU$172,$B38,FALSE),""))</f>
        <v/>
      </c>
      <c r="AR38" s="488" t="str">
        <f>IF(AR$4="","",IF(HLOOKUP(AR$4,'Physical Effects-Numbers'!$B$1:$AU$172,$B38,FALSE)&lt;0,HLOOKUP(AR$4,'Physical Effects-Numbers'!$B$1:$AU$172,$B38,FALSE),""))</f>
        <v/>
      </c>
      <c r="AS38" s="488" t="str">
        <f>IF(AS$4="","",IF(HLOOKUP(AS$4,'Physical Effects-Numbers'!$B$1:$AU$172,$B38,FALSE)&lt;0,HLOOKUP(AS$4,'Physical Effects-Numbers'!$B$1:$AU$172,$B38,FALSE),""))</f>
        <v/>
      </c>
      <c r="AT38" s="488" t="str">
        <f>IF(AT$4="","",IF(HLOOKUP(AT$4,'Physical Effects-Numbers'!$B$1:$AU$172,$B38,FALSE)&lt;0,HLOOKUP(AT$4,'Physical Effects-Numbers'!$B$1:$AU$172,$B38,FALSE),""))</f>
        <v/>
      </c>
      <c r="AU38" s="488" t="str">
        <f>IF(AU$4="","",IF(HLOOKUP(AU$4,'Physical Effects-Numbers'!$B$1:$AU$172,$B38,FALSE)&lt;0,HLOOKUP(AU$4,'Physical Effects-Numbers'!$B$1:$AU$172,$B38,FALSE),""))</f>
        <v/>
      </c>
      <c r="AV38" s="488" t="str">
        <f>IF(AV$4="","",IF(HLOOKUP(AV$4,'Physical Effects-Numbers'!$B$1:$AU$167,$B38,FALSE)&lt;0,HLOOKUP(AV$4,'Physical Effects-Numbers'!$B$1:$AU$167,$B38,FALSE),""))</f>
        <v/>
      </c>
    </row>
    <row r="39" spans="2:48" x14ac:dyDescent="0.2">
      <c r="B39" s="487">
        <f t="shared" si="0"/>
        <v>36</v>
      </c>
      <c r="C39" s="486" t="str">
        <f>+'Physical Effects-Numbers'!B36</f>
        <v>Denitrifying Bioreactor</v>
      </c>
      <c r="D39" s="488" t="str">
        <f>IF(D$4="","",IF(HLOOKUP(D$4,'Physical Effects-Numbers'!$B$1:$AU$172,$B39,FALSE)&lt;0,HLOOKUP(D$4,'Physical Effects-Numbers'!$B$1:$AU$172,$B39,FALSE),""))</f>
        <v/>
      </c>
      <c r="E39" s="488" t="str">
        <f>IF(E$4="","",IF(HLOOKUP(E$4,'Physical Effects-Numbers'!$B$1:$AU$172,$B39,FALSE)&lt;0,HLOOKUP(E$4,'Physical Effects-Numbers'!$B$1:$AU$172,$B39,FALSE),""))</f>
        <v/>
      </c>
      <c r="F39" s="488" t="str">
        <f>IF(F$4="","",IF(HLOOKUP(F$4,'Physical Effects-Numbers'!$B$1:$AU$172,$B39,FALSE)&lt;0,HLOOKUP(F$4,'Physical Effects-Numbers'!$B$1:$AU$172,$B39,FALSE),""))</f>
        <v/>
      </c>
      <c r="G39" s="488" t="str">
        <f>IF(G$4="","",IF(HLOOKUP(G$4,'Physical Effects-Numbers'!$B$1:$AU$172,$B39,FALSE)&lt;0,HLOOKUP(G$4,'Physical Effects-Numbers'!$B$1:$AU$172,$B39,FALSE),""))</f>
        <v/>
      </c>
      <c r="H39" s="488" t="str">
        <f>IF(H$4="","",IF(HLOOKUP(H$4,'Physical Effects-Numbers'!$B$1:$AU$172,$B39,FALSE)&lt;0,HLOOKUP(H$4,'Physical Effects-Numbers'!$B$1:$AU$172,$B39,FALSE),""))</f>
        <v/>
      </c>
      <c r="I39" s="488" t="str">
        <f>IF(I$4="","",IF(HLOOKUP(I$4,'Physical Effects-Numbers'!$B$1:$AU$172,$B39,FALSE)&lt;0,HLOOKUP(I$4,'Physical Effects-Numbers'!$B$1:$AU$172,$B39,FALSE),""))</f>
        <v/>
      </c>
      <c r="J39" s="488" t="str">
        <f>IF(J$4="","",IF(HLOOKUP(J$4,'Physical Effects-Numbers'!$B$1:$AU$172,$B39,FALSE)&lt;0,HLOOKUP(J$4,'Physical Effects-Numbers'!$B$1:$AU$172,$B39,FALSE),""))</f>
        <v/>
      </c>
      <c r="K39" s="488" t="str">
        <f>IF(K$4="","",IF(HLOOKUP(K$4,'Physical Effects-Numbers'!$B$1:$AU$172,$B39,FALSE)&lt;0,HLOOKUP(K$4,'Physical Effects-Numbers'!$B$1:$AU$172,$B39,FALSE),""))</f>
        <v/>
      </c>
      <c r="L39" s="488" t="str">
        <f>IF(L$4="","",IF(HLOOKUP(L$4,'Physical Effects-Numbers'!$B$1:$AU$172,$B39,FALSE)&lt;0,HLOOKUP(L$4,'Physical Effects-Numbers'!$B$1:$AU$172,$B39,FALSE),""))</f>
        <v/>
      </c>
      <c r="M39" s="488" t="str">
        <f>IF(M$4="","",IF(HLOOKUP(M$4,'Physical Effects-Numbers'!$B$1:$AU$172,$B39,FALSE)&lt;0,HLOOKUP(M$4,'Physical Effects-Numbers'!$B$1:$AU$172,$B39,FALSE),""))</f>
        <v/>
      </c>
      <c r="N39" s="488" t="str">
        <f>IF(N$4="","",IF(HLOOKUP(N$4,'Physical Effects-Numbers'!$B$1:$AU$172,$B39,FALSE)&lt;0,HLOOKUP(N$4,'Physical Effects-Numbers'!$B$1:$AU$172,$B39,FALSE),""))</f>
        <v/>
      </c>
      <c r="O39" s="488" t="str">
        <f>IF(O$4="","",IF(HLOOKUP(O$4,'Physical Effects-Numbers'!$B$1:$AU$172,$B39,FALSE)&lt;0,HLOOKUP(O$4,'Physical Effects-Numbers'!$B$1:$AU$172,$B39,FALSE),""))</f>
        <v/>
      </c>
      <c r="P39" s="488" t="str">
        <f>IF(P$4="","",IF(HLOOKUP(P$4,'Physical Effects-Numbers'!$B$1:$AU$172,$B39,FALSE)&lt;0,HLOOKUP(P$4,'Physical Effects-Numbers'!$B$1:$AU$172,$B39,FALSE),""))</f>
        <v/>
      </c>
      <c r="Q39" s="488" t="str">
        <f>IF(Q$4="","",IF(HLOOKUP(Q$4,'Physical Effects-Numbers'!$B$1:$AU$172,$B39,FALSE)&lt;0,HLOOKUP(Q$4,'Physical Effects-Numbers'!$B$1:$AU$172,$B39,FALSE),""))</f>
        <v/>
      </c>
      <c r="R39" s="488" t="str">
        <f>IF(R$4="","",IF(HLOOKUP(R$4,'Physical Effects-Numbers'!$B$1:$AU$172,$B39,FALSE)&lt;0,HLOOKUP(R$4,'Physical Effects-Numbers'!$B$1:$AU$172,$B39,FALSE),""))</f>
        <v/>
      </c>
      <c r="S39" s="488" t="str">
        <f>IF(S$4="","",IF(HLOOKUP(S$4,'Physical Effects-Numbers'!$B$1:$AU$172,$B39,FALSE)&lt;0,HLOOKUP(S$4,'Physical Effects-Numbers'!$B$1:$AU$172,$B39,FALSE),""))</f>
        <v/>
      </c>
      <c r="T39" s="488" t="str">
        <f>IF(T$4="","",IF(HLOOKUP(T$4,'Physical Effects-Numbers'!$B$1:$AU$172,$B39,FALSE)&lt;0,HLOOKUP(T$4,'Physical Effects-Numbers'!$B$1:$AU$172,$B39,FALSE),""))</f>
        <v/>
      </c>
      <c r="U39" s="488" t="str">
        <f>IF(U$4="","",IF(HLOOKUP(U$4,'Physical Effects-Numbers'!$B$1:$AU$172,$B39,FALSE)&lt;0,HLOOKUP(U$4,'Physical Effects-Numbers'!$B$1:$AU$172,$B39,FALSE),""))</f>
        <v/>
      </c>
      <c r="V39" s="488" t="str">
        <f>IF(V$4="","",IF(HLOOKUP(V$4,'Physical Effects-Numbers'!$B$1:$AU$172,$B39,FALSE)&lt;0,HLOOKUP(V$4,'Physical Effects-Numbers'!$B$1:$AU$172,$B39,FALSE),""))</f>
        <v/>
      </c>
      <c r="W39" s="488" t="str">
        <f>IF(W$4="","",IF(HLOOKUP(W$4,'Physical Effects-Numbers'!$B$1:$AU$172,$B39,FALSE)&lt;0,HLOOKUP(W$4,'Physical Effects-Numbers'!$B$1:$AU$172,$B39,FALSE),""))</f>
        <v/>
      </c>
      <c r="X39" s="488" t="str">
        <f>IF(X$4="","",IF(HLOOKUP(X$4,'Physical Effects-Numbers'!$B$1:$AU$172,$B39,FALSE)&lt;0,HLOOKUP(X$4,'Physical Effects-Numbers'!$B$1:$AU$172,$B39,FALSE),""))</f>
        <v/>
      </c>
      <c r="Y39" s="488" t="str">
        <f>IF(Y$4="","",IF(HLOOKUP(Y$4,'Physical Effects-Numbers'!$B$1:$AU$172,$B39,FALSE)&lt;0,HLOOKUP(Y$4,'Physical Effects-Numbers'!$B$1:$AU$172,$B39,FALSE),""))</f>
        <v/>
      </c>
      <c r="Z39" s="488" t="str">
        <f>IF(Z$4="","",IF(HLOOKUP(Z$4,'Physical Effects-Numbers'!$B$1:$AU$172,$B39,FALSE)&lt;0,HLOOKUP(Z$4,'Physical Effects-Numbers'!$B$1:$AU$172,$B39,FALSE),""))</f>
        <v/>
      </c>
      <c r="AA39" s="488" t="str">
        <f>IF(AA$4="","",IF(HLOOKUP(AA$4,'Physical Effects-Numbers'!$B$1:$AU$172,$B39,FALSE)&lt;0,HLOOKUP(AA$4,'Physical Effects-Numbers'!$B$1:$AU$172,$B39,FALSE),""))</f>
        <v/>
      </c>
      <c r="AB39" s="488" t="str">
        <f>IF(AB$4="","",IF(HLOOKUP(AB$4,'Physical Effects-Numbers'!$B$1:$AU$172,$B39,FALSE)&lt;0,HLOOKUP(AB$4,'Physical Effects-Numbers'!$B$1:$AU$172,$B39,FALSE),""))</f>
        <v/>
      </c>
      <c r="AC39" s="488" t="str">
        <f>IF(AC$4="","",IF(HLOOKUP(AC$4,'Physical Effects-Numbers'!$B$1:$AU$172,$B39,FALSE)&lt;0,HLOOKUP(AC$4,'Physical Effects-Numbers'!$B$1:$AU$172,$B39,FALSE),""))</f>
        <v/>
      </c>
      <c r="AD39" s="488" t="str">
        <f>IF(AD$4="","",IF(HLOOKUP(AD$4,'Physical Effects-Numbers'!$B$1:$AU$172,$B39,FALSE)&lt;0,HLOOKUP(AD$4,'Physical Effects-Numbers'!$B$1:$AU$172,$B39,FALSE),""))</f>
        <v/>
      </c>
      <c r="AE39" s="488" t="str">
        <f>IF(AE$4="","",IF(HLOOKUP(AE$4,'Physical Effects-Numbers'!$B$1:$AU$172,$B39,FALSE)&lt;0,HLOOKUP(AE$4,'Physical Effects-Numbers'!$B$1:$AU$172,$B39,FALSE),""))</f>
        <v/>
      </c>
      <c r="AF39" s="488" t="str">
        <f>IF(AF$4="","",IF(HLOOKUP(AF$4,'Physical Effects-Numbers'!$B$1:$AU$172,$B39,FALSE)&lt;0,HLOOKUP(AF$4,'Physical Effects-Numbers'!$B$1:$AU$172,$B39,FALSE),""))</f>
        <v/>
      </c>
      <c r="AG39" s="488">
        <f>IF(AG$4="","",IF(HLOOKUP(AG$4,'Physical Effects-Numbers'!$B$1:$AU$172,$B39,FALSE)&lt;0,HLOOKUP(AG$4,'Physical Effects-Numbers'!$B$1:$AU$172,$B39,FALSE),""))</f>
        <v>-1</v>
      </c>
      <c r="AH39" s="488" t="str">
        <f>IF(AH$4="","",IF(HLOOKUP(AH$4,'Physical Effects-Numbers'!$B$1:$AU$172,$B39,FALSE)&lt;0,HLOOKUP(AH$4,'Physical Effects-Numbers'!$B$1:$AU$172,$B39,FALSE),""))</f>
        <v/>
      </c>
      <c r="AI39" s="488" t="str">
        <f>IF(AI$4="","",IF(HLOOKUP(AI$4,'Physical Effects-Numbers'!$B$1:$AU$172,$B39,FALSE)&lt;0,HLOOKUP(AI$4,'Physical Effects-Numbers'!$B$1:$AU$172,$B39,FALSE),""))</f>
        <v/>
      </c>
      <c r="AJ39" s="488" t="str">
        <f>IF(AJ$4="","",IF(HLOOKUP(AJ$4,'Physical Effects-Numbers'!$B$1:$AU$172,$B39,FALSE)&lt;0,HLOOKUP(AJ$4,'Physical Effects-Numbers'!$B$1:$AU$172,$B39,FALSE),""))</f>
        <v/>
      </c>
      <c r="AK39" s="488" t="str">
        <f>IF(AK$4="","",IF(HLOOKUP(AK$4,'Physical Effects-Numbers'!$B$1:$AU$172,$B39,FALSE)&lt;0,HLOOKUP(AK$4,'Physical Effects-Numbers'!$B$1:$AU$172,$B39,FALSE),""))</f>
        <v/>
      </c>
      <c r="AL39" s="488" t="str">
        <f>IF(AL$4="","",IF(HLOOKUP(AL$4,'Physical Effects-Numbers'!$B$1:$AU$172,$B39,FALSE)&lt;0,HLOOKUP(AL$4,'Physical Effects-Numbers'!$B$1:$AU$172,$B39,FALSE),""))</f>
        <v/>
      </c>
      <c r="AM39" s="488" t="str">
        <f>IF(AM$4="","",IF(HLOOKUP(AM$4,'Physical Effects-Numbers'!$B$1:$AU$172,$B39,FALSE)&lt;0,HLOOKUP(AM$4,'Physical Effects-Numbers'!$B$1:$AU$172,$B39,FALSE),""))</f>
        <v/>
      </c>
      <c r="AN39" s="488" t="str">
        <f>IF(AN$4="","",IF(HLOOKUP(AN$4,'Physical Effects-Numbers'!$B$1:$AU$172,$B39,FALSE)&lt;0,HLOOKUP(AN$4,'Physical Effects-Numbers'!$B$1:$AU$172,$B39,FALSE),""))</f>
        <v/>
      </c>
      <c r="AO39" s="488" t="str">
        <f>IF(AO$4="","",IF(HLOOKUP(AO$4,'Physical Effects-Numbers'!$B$1:$AU$172,$B39,FALSE)&lt;0,HLOOKUP(AO$4,'Physical Effects-Numbers'!$B$1:$AU$172,$B39,FALSE),""))</f>
        <v/>
      </c>
      <c r="AP39" s="488" t="str">
        <f>IF(AP$4="","",IF(HLOOKUP(AP$4,'Physical Effects-Numbers'!$B$1:$AU$172,$B39,FALSE)&lt;0,HLOOKUP(AP$4,'Physical Effects-Numbers'!$B$1:$AU$172,$B39,FALSE),""))</f>
        <v/>
      </c>
      <c r="AQ39" s="488" t="str">
        <f>IF(AQ$4="","",IF(HLOOKUP(AQ$4,'Physical Effects-Numbers'!$B$1:$AU$172,$B39,FALSE)&lt;0,HLOOKUP(AQ$4,'Physical Effects-Numbers'!$B$1:$AU$172,$B39,FALSE),""))</f>
        <v/>
      </c>
      <c r="AR39" s="488" t="str">
        <f>IF(AR$4="","",IF(HLOOKUP(AR$4,'Physical Effects-Numbers'!$B$1:$AU$172,$B39,FALSE)&lt;0,HLOOKUP(AR$4,'Physical Effects-Numbers'!$B$1:$AU$172,$B39,FALSE),""))</f>
        <v/>
      </c>
      <c r="AS39" s="488" t="str">
        <f>IF(AS$4="","",IF(HLOOKUP(AS$4,'Physical Effects-Numbers'!$B$1:$AU$172,$B39,FALSE)&lt;0,HLOOKUP(AS$4,'Physical Effects-Numbers'!$B$1:$AU$172,$B39,FALSE),""))</f>
        <v/>
      </c>
      <c r="AT39" s="488" t="str">
        <f>IF(AT$4="","",IF(HLOOKUP(AT$4,'Physical Effects-Numbers'!$B$1:$AU$172,$B39,FALSE)&lt;0,HLOOKUP(AT$4,'Physical Effects-Numbers'!$B$1:$AU$172,$B39,FALSE),""))</f>
        <v/>
      </c>
      <c r="AU39" s="488" t="str">
        <f>IF(AU$4="","",IF(HLOOKUP(AU$4,'Physical Effects-Numbers'!$B$1:$AU$172,$B39,FALSE)&lt;0,HLOOKUP(AU$4,'Physical Effects-Numbers'!$B$1:$AU$172,$B39,FALSE),""))</f>
        <v/>
      </c>
      <c r="AV39" s="488" t="str">
        <f>IF(AV$4="","",IF(HLOOKUP(AV$4,'Physical Effects-Numbers'!$B$1:$AU$167,$B39,FALSE)&lt;0,HLOOKUP(AV$4,'Physical Effects-Numbers'!$B$1:$AU$167,$B39,FALSE),""))</f>
        <v/>
      </c>
    </row>
    <row r="40" spans="2:48" x14ac:dyDescent="0.2">
      <c r="B40" s="487">
        <f t="shared" si="0"/>
        <v>37</v>
      </c>
      <c r="C40" s="486" t="str">
        <f>+'Physical Effects-Numbers'!B37</f>
        <v>Dike</v>
      </c>
      <c r="D40" s="488" t="str">
        <f>IF(D$4="","",IF(HLOOKUP(D$4,'Physical Effects-Numbers'!$B$1:$AU$172,$B40,FALSE)&lt;0,HLOOKUP(D$4,'Physical Effects-Numbers'!$B$1:$AU$172,$B40,FALSE),""))</f>
        <v/>
      </c>
      <c r="E40" s="488" t="str">
        <f>IF(E$4="","",IF(HLOOKUP(E$4,'Physical Effects-Numbers'!$B$1:$AU$172,$B40,FALSE)&lt;0,HLOOKUP(E$4,'Physical Effects-Numbers'!$B$1:$AU$172,$B40,FALSE),""))</f>
        <v/>
      </c>
      <c r="F40" s="488" t="str">
        <f>IF(F$4="","",IF(HLOOKUP(F$4,'Physical Effects-Numbers'!$B$1:$AU$172,$B40,FALSE)&lt;0,HLOOKUP(F$4,'Physical Effects-Numbers'!$B$1:$AU$172,$B40,FALSE),""))</f>
        <v/>
      </c>
      <c r="G40" s="488" t="str">
        <f>IF(G$4="","",IF(HLOOKUP(G$4,'Physical Effects-Numbers'!$B$1:$AU$172,$B40,FALSE)&lt;0,HLOOKUP(G$4,'Physical Effects-Numbers'!$B$1:$AU$172,$B40,FALSE),""))</f>
        <v/>
      </c>
      <c r="H40" s="488">
        <f>IF(H$4="","",IF(HLOOKUP(H$4,'Physical Effects-Numbers'!$B$1:$AU$172,$B40,FALSE)&lt;0,HLOOKUP(H$4,'Physical Effects-Numbers'!$B$1:$AU$172,$B40,FALSE),""))</f>
        <v>-2</v>
      </c>
      <c r="I40" s="488" t="str">
        <f>IF(I$4="","",IF(HLOOKUP(I$4,'Physical Effects-Numbers'!$B$1:$AU$172,$B40,FALSE)&lt;0,HLOOKUP(I$4,'Physical Effects-Numbers'!$B$1:$AU$172,$B40,FALSE),""))</f>
        <v/>
      </c>
      <c r="J40" s="488" t="str">
        <f>IF(J$4="","",IF(HLOOKUP(J$4,'Physical Effects-Numbers'!$B$1:$AU$172,$B40,FALSE)&lt;0,HLOOKUP(J$4,'Physical Effects-Numbers'!$B$1:$AU$172,$B40,FALSE),""))</f>
        <v/>
      </c>
      <c r="K40" s="488" t="str">
        <f>IF(K$4="","",IF(HLOOKUP(K$4,'Physical Effects-Numbers'!$B$1:$AU$172,$B40,FALSE)&lt;0,HLOOKUP(K$4,'Physical Effects-Numbers'!$B$1:$AU$172,$B40,FALSE),""))</f>
        <v/>
      </c>
      <c r="L40" s="488" t="str">
        <f>IF(L$4="","",IF(HLOOKUP(L$4,'Physical Effects-Numbers'!$B$1:$AU$172,$B40,FALSE)&lt;0,HLOOKUP(L$4,'Physical Effects-Numbers'!$B$1:$AU$172,$B40,FALSE),""))</f>
        <v/>
      </c>
      <c r="M40" s="488">
        <f>IF(M$4="","",IF(HLOOKUP(M$4,'Physical Effects-Numbers'!$B$1:$AU$172,$B40,FALSE)&lt;0,HLOOKUP(M$4,'Physical Effects-Numbers'!$B$1:$AU$172,$B40,FALSE),""))</f>
        <v>-1</v>
      </c>
      <c r="N40" s="488" t="str">
        <f>IF(N$4="","",IF(HLOOKUP(N$4,'Physical Effects-Numbers'!$B$1:$AU$172,$B40,FALSE)&lt;0,HLOOKUP(N$4,'Physical Effects-Numbers'!$B$1:$AU$172,$B40,FALSE),""))</f>
        <v/>
      </c>
      <c r="O40" s="488">
        <f>IF(O$4="","",IF(HLOOKUP(O$4,'Physical Effects-Numbers'!$B$1:$AU$172,$B40,FALSE)&lt;0,HLOOKUP(O$4,'Physical Effects-Numbers'!$B$1:$AU$172,$B40,FALSE),""))</f>
        <v>-1</v>
      </c>
      <c r="P40" s="488" t="str">
        <f>IF(P$4="","",IF(HLOOKUP(P$4,'Physical Effects-Numbers'!$B$1:$AU$172,$B40,FALSE)&lt;0,HLOOKUP(P$4,'Physical Effects-Numbers'!$B$1:$AU$172,$B40,FALSE),""))</f>
        <v/>
      </c>
      <c r="Q40" s="488" t="str">
        <f>IF(Q$4="","",IF(HLOOKUP(Q$4,'Physical Effects-Numbers'!$B$1:$AU$172,$B40,FALSE)&lt;0,HLOOKUP(Q$4,'Physical Effects-Numbers'!$B$1:$AU$172,$B40,FALSE),""))</f>
        <v/>
      </c>
      <c r="R40" s="488" t="str">
        <f>IF(R$4="","",IF(HLOOKUP(R$4,'Physical Effects-Numbers'!$B$1:$AU$172,$B40,FALSE)&lt;0,HLOOKUP(R$4,'Physical Effects-Numbers'!$B$1:$AU$172,$B40,FALSE),""))</f>
        <v/>
      </c>
      <c r="S40" s="488" t="str">
        <f>IF(S$4="","",IF(HLOOKUP(S$4,'Physical Effects-Numbers'!$B$1:$AU$172,$B40,FALSE)&lt;0,HLOOKUP(S$4,'Physical Effects-Numbers'!$B$1:$AU$172,$B40,FALSE),""))</f>
        <v/>
      </c>
      <c r="T40" s="488" t="str">
        <f>IF(T$4="","",IF(HLOOKUP(T$4,'Physical Effects-Numbers'!$B$1:$AU$172,$B40,FALSE)&lt;0,HLOOKUP(T$4,'Physical Effects-Numbers'!$B$1:$AU$172,$B40,FALSE),""))</f>
        <v/>
      </c>
      <c r="U40" s="488" t="str">
        <f>IF(U$4="","",IF(HLOOKUP(U$4,'Physical Effects-Numbers'!$B$1:$AU$172,$B40,FALSE)&lt;0,HLOOKUP(U$4,'Physical Effects-Numbers'!$B$1:$AU$172,$B40,FALSE),""))</f>
        <v/>
      </c>
      <c r="V40" s="488" t="str">
        <f>IF(V$4="","",IF(HLOOKUP(V$4,'Physical Effects-Numbers'!$B$1:$AU$172,$B40,FALSE)&lt;0,HLOOKUP(V$4,'Physical Effects-Numbers'!$B$1:$AU$172,$B40,FALSE),""))</f>
        <v/>
      </c>
      <c r="W40" s="488" t="str">
        <f>IF(W$4="","",IF(HLOOKUP(W$4,'Physical Effects-Numbers'!$B$1:$AU$172,$B40,FALSE)&lt;0,HLOOKUP(W$4,'Physical Effects-Numbers'!$B$1:$AU$172,$B40,FALSE),""))</f>
        <v/>
      </c>
      <c r="X40" s="488" t="str">
        <f>IF(X$4="","",IF(HLOOKUP(X$4,'Physical Effects-Numbers'!$B$1:$AU$172,$B40,FALSE)&lt;0,HLOOKUP(X$4,'Physical Effects-Numbers'!$B$1:$AU$172,$B40,FALSE),""))</f>
        <v/>
      </c>
      <c r="Y40" s="488" t="str">
        <f>IF(Y$4="","",IF(HLOOKUP(Y$4,'Physical Effects-Numbers'!$B$1:$AU$172,$B40,FALSE)&lt;0,HLOOKUP(Y$4,'Physical Effects-Numbers'!$B$1:$AU$172,$B40,FALSE),""))</f>
        <v/>
      </c>
      <c r="Z40" s="488" t="str">
        <f>IF(Z$4="","",IF(HLOOKUP(Z$4,'Physical Effects-Numbers'!$B$1:$AU$172,$B40,FALSE)&lt;0,HLOOKUP(Z$4,'Physical Effects-Numbers'!$B$1:$AU$172,$B40,FALSE),""))</f>
        <v/>
      </c>
      <c r="AA40" s="488" t="str">
        <f>IF(AA$4="","",IF(HLOOKUP(AA$4,'Physical Effects-Numbers'!$B$1:$AU$172,$B40,FALSE)&lt;0,HLOOKUP(AA$4,'Physical Effects-Numbers'!$B$1:$AU$172,$B40,FALSE),""))</f>
        <v/>
      </c>
      <c r="AB40" s="488" t="str">
        <f>IF(AB$4="","",IF(HLOOKUP(AB$4,'Physical Effects-Numbers'!$B$1:$AU$172,$B40,FALSE)&lt;0,HLOOKUP(AB$4,'Physical Effects-Numbers'!$B$1:$AU$172,$B40,FALSE),""))</f>
        <v/>
      </c>
      <c r="AC40" s="488" t="str">
        <f>IF(AC$4="","",IF(HLOOKUP(AC$4,'Physical Effects-Numbers'!$B$1:$AU$172,$B40,FALSE)&lt;0,HLOOKUP(AC$4,'Physical Effects-Numbers'!$B$1:$AU$172,$B40,FALSE),""))</f>
        <v/>
      </c>
      <c r="AD40" s="488" t="str">
        <f>IF(AD$4="","",IF(HLOOKUP(AD$4,'Physical Effects-Numbers'!$B$1:$AU$172,$B40,FALSE)&lt;0,HLOOKUP(AD$4,'Physical Effects-Numbers'!$B$1:$AU$172,$B40,FALSE),""))</f>
        <v/>
      </c>
      <c r="AE40" s="488" t="str">
        <f>IF(AE$4="","",IF(HLOOKUP(AE$4,'Physical Effects-Numbers'!$B$1:$AU$172,$B40,FALSE)&lt;0,HLOOKUP(AE$4,'Physical Effects-Numbers'!$B$1:$AU$172,$B40,FALSE),""))</f>
        <v/>
      </c>
      <c r="AF40" s="488" t="str">
        <f>IF(AF$4="","",IF(HLOOKUP(AF$4,'Physical Effects-Numbers'!$B$1:$AU$172,$B40,FALSE)&lt;0,HLOOKUP(AF$4,'Physical Effects-Numbers'!$B$1:$AU$172,$B40,FALSE),""))</f>
        <v/>
      </c>
      <c r="AG40" s="488" t="str">
        <f>IF(AG$4="","",IF(HLOOKUP(AG$4,'Physical Effects-Numbers'!$B$1:$AU$172,$B40,FALSE)&lt;0,HLOOKUP(AG$4,'Physical Effects-Numbers'!$B$1:$AU$172,$B40,FALSE),""))</f>
        <v/>
      </c>
      <c r="AH40" s="488" t="str">
        <f>IF(AH$4="","",IF(HLOOKUP(AH$4,'Physical Effects-Numbers'!$B$1:$AU$172,$B40,FALSE)&lt;0,HLOOKUP(AH$4,'Physical Effects-Numbers'!$B$1:$AU$172,$B40,FALSE),""))</f>
        <v/>
      </c>
      <c r="AI40" s="488" t="str">
        <f>IF(AI$4="","",IF(HLOOKUP(AI$4,'Physical Effects-Numbers'!$B$1:$AU$172,$B40,FALSE)&lt;0,HLOOKUP(AI$4,'Physical Effects-Numbers'!$B$1:$AU$172,$B40,FALSE),""))</f>
        <v/>
      </c>
      <c r="AJ40" s="488" t="str">
        <f>IF(AJ$4="","",IF(HLOOKUP(AJ$4,'Physical Effects-Numbers'!$B$1:$AU$172,$B40,FALSE)&lt;0,HLOOKUP(AJ$4,'Physical Effects-Numbers'!$B$1:$AU$172,$B40,FALSE),""))</f>
        <v/>
      </c>
      <c r="AK40" s="488" t="str">
        <f>IF(AK$4="","",IF(HLOOKUP(AK$4,'Physical Effects-Numbers'!$B$1:$AU$172,$B40,FALSE)&lt;0,HLOOKUP(AK$4,'Physical Effects-Numbers'!$B$1:$AU$172,$B40,FALSE),""))</f>
        <v/>
      </c>
      <c r="AL40" s="488" t="str">
        <f>IF(AL$4="","",IF(HLOOKUP(AL$4,'Physical Effects-Numbers'!$B$1:$AU$172,$B40,FALSE)&lt;0,HLOOKUP(AL$4,'Physical Effects-Numbers'!$B$1:$AU$172,$B40,FALSE),""))</f>
        <v/>
      </c>
      <c r="AM40" s="488">
        <f>IF(AM$4="","",IF(HLOOKUP(AM$4,'Physical Effects-Numbers'!$B$1:$AU$172,$B40,FALSE)&lt;0,HLOOKUP(AM$4,'Physical Effects-Numbers'!$B$1:$AU$172,$B40,FALSE),""))</f>
        <v>-2</v>
      </c>
      <c r="AN40" s="488">
        <f>IF(AN$4="","",IF(HLOOKUP(AN$4,'Physical Effects-Numbers'!$B$1:$AU$172,$B40,FALSE)&lt;0,HLOOKUP(AN$4,'Physical Effects-Numbers'!$B$1:$AU$172,$B40,FALSE),""))</f>
        <v>-2</v>
      </c>
      <c r="AO40" s="488" t="str">
        <f>IF(AO$4="","",IF(HLOOKUP(AO$4,'Physical Effects-Numbers'!$B$1:$AU$172,$B40,FALSE)&lt;0,HLOOKUP(AO$4,'Physical Effects-Numbers'!$B$1:$AU$172,$B40,FALSE),""))</f>
        <v/>
      </c>
      <c r="AP40" s="488" t="str">
        <f>IF(AP$4="","",IF(HLOOKUP(AP$4,'Physical Effects-Numbers'!$B$1:$AU$172,$B40,FALSE)&lt;0,HLOOKUP(AP$4,'Physical Effects-Numbers'!$B$1:$AU$172,$B40,FALSE),""))</f>
        <v/>
      </c>
      <c r="AQ40" s="488" t="str">
        <f>IF(AQ$4="","",IF(HLOOKUP(AQ$4,'Physical Effects-Numbers'!$B$1:$AU$172,$B40,FALSE)&lt;0,HLOOKUP(AQ$4,'Physical Effects-Numbers'!$B$1:$AU$172,$B40,FALSE),""))</f>
        <v/>
      </c>
      <c r="AR40" s="488" t="str">
        <f>IF(AR$4="","",IF(HLOOKUP(AR$4,'Physical Effects-Numbers'!$B$1:$AU$172,$B40,FALSE)&lt;0,HLOOKUP(AR$4,'Physical Effects-Numbers'!$B$1:$AU$172,$B40,FALSE),""))</f>
        <v/>
      </c>
      <c r="AS40" s="488" t="str">
        <f>IF(AS$4="","",IF(HLOOKUP(AS$4,'Physical Effects-Numbers'!$B$1:$AU$172,$B40,FALSE)&lt;0,HLOOKUP(AS$4,'Physical Effects-Numbers'!$B$1:$AU$172,$B40,FALSE),""))</f>
        <v/>
      </c>
      <c r="AT40" s="488" t="str">
        <f>IF(AT$4="","",IF(HLOOKUP(AT$4,'Physical Effects-Numbers'!$B$1:$AU$172,$B40,FALSE)&lt;0,HLOOKUP(AT$4,'Physical Effects-Numbers'!$B$1:$AU$172,$B40,FALSE),""))</f>
        <v/>
      </c>
      <c r="AU40" s="488" t="str">
        <f>IF(AU$4="","",IF(HLOOKUP(AU$4,'Physical Effects-Numbers'!$B$1:$AU$172,$B40,FALSE)&lt;0,HLOOKUP(AU$4,'Physical Effects-Numbers'!$B$1:$AU$172,$B40,FALSE),""))</f>
        <v/>
      </c>
      <c r="AV40" s="488" t="str">
        <f>IF(AV$4="","",IF(HLOOKUP(AV$4,'Physical Effects-Numbers'!$B$1:$AU$167,$B40,FALSE)&lt;0,HLOOKUP(AV$4,'Physical Effects-Numbers'!$B$1:$AU$167,$B40,FALSE),""))</f>
        <v/>
      </c>
    </row>
    <row r="41" spans="2:48" x14ac:dyDescent="0.2">
      <c r="B41" s="487">
        <f t="shared" si="0"/>
        <v>38</v>
      </c>
      <c r="C41" s="486" t="str">
        <f>+'Physical Effects-Numbers'!B38</f>
        <v>Diversion</v>
      </c>
      <c r="D41" s="488" t="str">
        <f>IF(D$4="","",IF(HLOOKUP(D$4,'Physical Effects-Numbers'!$B$1:$AU$172,$B41,FALSE)&lt;0,HLOOKUP(D$4,'Physical Effects-Numbers'!$B$1:$AU$172,$B41,FALSE),""))</f>
        <v/>
      </c>
      <c r="E41" s="488" t="str">
        <f>IF(E$4="","",IF(HLOOKUP(E$4,'Physical Effects-Numbers'!$B$1:$AU$172,$B41,FALSE)&lt;0,HLOOKUP(E$4,'Physical Effects-Numbers'!$B$1:$AU$172,$B41,FALSE),""))</f>
        <v/>
      </c>
      <c r="F41" s="488" t="str">
        <f>IF(F$4="","",IF(HLOOKUP(F$4,'Physical Effects-Numbers'!$B$1:$AU$172,$B41,FALSE)&lt;0,HLOOKUP(F$4,'Physical Effects-Numbers'!$B$1:$AU$172,$B41,FALSE),""))</f>
        <v/>
      </c>
      <c r="G41" s="488" t="str">
        <f>IF(G$4="","",IF(HLOOKUP(G$4,'Physical Effects-Numbers'!$B$1:$AU$172,$B41,FALSE)&lt;0,HLOOKUP(G$4,'Physical Effects-Numbers'!$B$1:$AU$172,$B41,FALSE),""))</f>
        <v/>
      </c>
      <c r="H41" s="488" t="str">
        <f>IF(H$4="","",IF(HLOOKUP(H$4,'Physical Effects-Numbers'!$B$1:$AU$172,$B41,FALSE)&lt;0,HLOOKUP(H$4,'Physical Effects-Numbers'!$B$1:$AU$172,$B41,FALSE),""))</f>
        <v/>
      </c>
      <c r="I41" s="488" t="str">
        <f>IF(I$4="","",IF(HLOOKUP(I$4,'Physical Effects-Numbers'!$B$1:$AU$172,$B41,FALSE)&lt;0,HLOOKUP(I$4,'Physical Effects-Numbers'!$B$1:$AU$172,$B41,FALSE),""))</f>
        <v/>
      </c>
      <c r="J41" s="488" t="str">
        <f>IF(J$4="","",IF(HLOOKUP(J$4,'Physical Effects-Numbers'!$B$1:$AU$172,$B41,FALSE)&lt;0,HLOOKUP(J$4,'Physical Effects-Numbers'!$B$1:$AU$172,$B41,FALSE),""))</f>
        <v/>
      </c>
      <c r="K41" s="488" t="str">
        <f>IF(K$4="","",IF(HLOOKUP(K$4,'Physical Effects-Numbers'!$B$1:$AU$172,$B41,FALSE)&lt;0,HLOOKUP(K$4,'Physical Effects-Numbers'!$B$1:$AU$172,$B41,FALSE),""))</f>
        <v/>
      </c>
      <c r="L41" s="488" t="str">
        <f>IF(L$4="","",IF(HLOOKUP(L$4,'Physical Effects-Numbers'!$B$1:$AU$172,$B41,FALSE)&lt;0,HLOOKUP(L$4,'Physical Effects-Numbers'!$B$1:$AU$172,$B41,FALSE),""))</f>
        <v/>
      </c>
      <c r="M41" s="488">
        <f>IF(M$4="","",IF(HLOOKUP(M$4,'Physical Effects-Numbers'!$B$1:$AU$172,$B41,FALSE)&lt;0,HLOOKUP(M$4,'Physical Effects-Numbers'!$B$1:$AU$172,$B41,FALSE),""))</f>
        <v>-1</v>
      </c>
      <c r="N41" s="488" t="str">
        <f>IF(N$4="","",IF(HLOOKUP(N$4,'Physical Effects-Numbers'!$B$1:$AU$172,$B41,FALSE)&lt;0,HLOOKUP(N$4,'Physical Effects-Numbers'!$B$1:$AU$172,$B41,FALSE),""))</f>
        <v/>
      </c>
      <c r="O41" s="488" t="str">
        <f>IF(O$4="","",IF(HLOOKUP(O$4,'Physical Effects-Numbers'!$B$1:$AU$172,$B41,FALSE)&lt;0,HLOOKUP(O$4,'Physical Effects-Numbers'!$B$1:$AU$172,$B41,FALSE),""))</f>
        <v/>
      </c>
      <c r="P41" s="488" t="str">
        <f>IF(P$4="","",IF(HLOOKUP(P$4,'Physical Effects-Numbers'!$B$1:$AU$172,$B41,FALSE)&lt;0,HLOOKUP(P$4,'Physical Effects-Numbers'!$B$1:$AU$172,$B41,FALSE),""))</f>
        <v/>
      </c>
      <c r="Q41" s="488" t="str">
        <f>IF(Q$4="","",IF(HLOOKUP(Q$4,'Physical Effects-Numbers'!$B$1:$AU$172,$B41,FALSE)&lt;0,HLOOKUP(Q$4,'Physical Effects-Numbers'!$B$1:$AU$172,$B41,FALSE),""))</f>
        <v/>
      </c>
      <c r="R41" s="488" t="str">
        <f>IF(R$4="","",IF(HLOOKUP(R$4,'Physical Effects-Numbers'!$B$1:$AU$172,$B41,FALSE)&lt;0,HLOOKUP(R$4,'Physical Effects-Numbers'!$B$1:$AU$172,$B41,FALSE),""))</f>
        <v/>
      </c>
      <c r="S41" s="488" t="str">
        <f>IF(S$4="","",IF(HLOOKUP(S$4,'Physical Effects-Numbers'!$B$1:$AU$172,$B41,FALSE)&lt;0,HLOOKUP(S$4,'Physical Effects-Numbers'!$B$1:$AU$172,$B41,FALSE),""))</f>
        <v/>
      </c>
      <c r="T41" s="488" t="str">
        <f>IF(T$4="","",IF(HLOOKUP(T$4,'Physical Effects-Numbers'!$B$1:$AU$172,$B41,FALSE)&lt;0,HLOOKUP(T$4,'Physical Effects-Numbers'!$B$1:$AU$172,$B41,FALSE),""))</f>
        <v/>
      </c>
      <c r="U41" s="488" t="str">
        <f>IF(U$4="","",IF(HLOOKUP(U$4,'Physical Effects-Numbers'!$B$1:$AU$172,$B41,FALSE)&lt;0,HLOOKUP(U$4,'Physical Effects-Numbers'!$B$1:$AU$172,$B41,FALSE),""))</f>
        <v/>
      </c>
      <c r="V41" s="488">
        <f>IF(V$4="","",IF(HLOOKUP(V$4,'Physical Effects-Numbers'!$B$1:$AU$172,$B41,FALSE)&lt;0,HLOOKUP(V$4,'Physical Effects-Numbers'!$B$1:$AU$172,$B41,FALSE),""))</f>
        <v>-1</v>
      </c>
      <c r="W41" s="488" t="str">
        <f>IF(W$4="","",IF(HLOOKUP(W$4,'Physical Effects-Numbers'!$B$1:$AU$172,$B41,FALSE)&lt;0,HLOOKUP(W$4,'Physical Effects-Numbers'!$B$1:$AU$172,$B41,FALSE),""))</f>
        <v/>
      </c>
      <c r="X41" s="488" t="str">
        <f>IF(X$4="","",IF(HLOOKUP(X$4,'Physical Effects-Numbers'!$B$1:$AU$172,$B41,FALSE)&lt;0,HLOOKUP(X$4,'Physical Effects-Numbers'!$B$1:$AU$172,$B41,FALSE),""))</f>
        <v/>
      </c>
      <c r="Y41" s="488" t="str">
        <f>IF(Y$4="","",IF(HLOOKUP(Y$4,'Physical Effects-Numbers'!$B$1:$AU$172,$B41,FALSE)&lt;0,HLOOKUP(Y$4,'Physical Effects-Numbers'!$B$1:$AU$172,$B41,FALSE),""))</f>
        <v/>
      </c>
      <c r="Z41" s="488" t="str">
        <f>IF(Z$4="","",IF(HLOOKUP(Z$4,'Physical Effects-Numbers'!$B$1:$AU$172,$B41,FALSE)&lt;0,HLOOKUP(Z$4,'Physical Effects-Numbers'!$B$1:$AU$172,$B41,FALSE),""))</f>
        <v/>
      </c>
      <c r="AA41" s="488" t="str">
        <f>IF(AA$4="","",IF(HLOOKUP(AA$4,'Physical Effects-Numbers'!$B$1:$AU$172,$B41,FALSE)&lt;0,HLOOKUP(AA$4,'Physical Effects-Numbers'!$B$1:$AU$172,$B41,FALSE),""))</f>
        <v/>
      </c>
      <c r="AB41" s="488" t="str">
        <f>IF(AB$4="","",IF(HLOOKUP(AB$4,'Physical Effects-Numbers'!$B$1:$AU$172,$B41,FALSE)&lt;0,HLOOKUP(AB$4,'Physical Effects-Numbers'!$B$1:$AU$172,$B41,FALSE),""))</f>
        <v/>
      </c>
      <c r="AC41" s="488" t="str">
        <f>IF(AC$4="","",IF(HLOOKUP(AC$4,'Physical Effects-Numbers'!$B$1:$AU$172,$B41,FALSE)&lt;0,HLOOKUP(AC$4,'Physical Effects-Numbers'!$B$1:$AU$172,$B41,FALSE),""))</f>
        <v/>
      </c>
      <c r="AD41" s="488" t="str">
        <f>IF(AD$4="","",IF(HLOOKUP(AD$4,'Physical Effects-Numbers'!$B$1:$AU$172,$B41,FALSE)&lt;0,HLOOKUP(AD$4,'Physical Effects-Numbers'!$B$1:$AU$172,$B41,FALSE),""))</f>
        <v/>
      </c>
      <c r="AE41" s="488" t="str">
        <f>IF(AE$4="","",IF(HLOOKUP(AE$4,'Physical Effects-Numbers'!$B$1:$AU$172,$B41,FALSE)&lt;0,HLOOKUP(AE$4,'Physical Effects-Numbers'!$B$1:$AU$172,$B41,FALSE),""))</f>
        <v/>
      </c>
      <c r="AF41" s="488" t="str">
        <f>IF(AF$4="","",IF(HLOOKUP(AF$4,'Physical Effects-Numbers'!$B$1:$AU$172,$B41,FALSE)&lt;0,HLOOKUP(AF$4,'Physical Effects-Numbers'!$B$1:$AU$172,$B41,FALSE),""))</f>
        <v/>
      </c>
      <c r="AG41" s="488" t="str">
        <f>IF(AG$4="","",IF(HLOOKUP(AG$4,'Physical Effects-Numbers'!$B$1:$AU$172,$B41,FALSE)&lt;0,HLOOKUP(AG$4,'Physical Effects-Numbers'!$B$1:$AU$172,$B41,FALSE),""))</f>
        <v/>
      </c>
      <c r="AH41" s="488" t="str">
        <f>IF(AH$4="","",IF(HLOOKUP(AH$4,'Physical Effects-Numbers'!$B$1:$AU$172,$B41,FALSE)&lt;0,HLOOKUP(AH$4,'Physical Effects-Numbers'!$B$1:$AU$172,$B41,FALSE),""))</f>
        <v/>
      </c>
      <c r="AI41" s="488" t="str">
        <f>IF(AI$4="","",IF(HLOOKUP(AI$4,'Physical Effects-Numbers'!$B$1:$AU$172,$B41,FALSE)&lt;0,HLOOKUP(AI$4,'Physical Effects-Numbers'!$B$1:$AU$172,$B41,FALSE),""))</f>
        <v/>
      </c>
      <c r="AJ41" s="488" t="str">
        <f>IF(AJ$4="","",IF(HLOOKUP(AJ$4,'Physical Effects-Numbers'!$B$1:$AU$172,$B41,FALSE)&lt;0,HLOOKUP(AJ$4,'Physical Effects-Numbers'!$B$1:$AU$172,$B41,FALSE),""))</f>
        <v/>
      </c>
      <c r="AK41" s="488" t="str">
        <f>IF(AK$4="","",IF(HLOOKUP(AK$4,'Physical Effects-Numbers'!$B$1:$AU$172,$B41,FALSE)&lt;0,HLOOKUP(AK$4,'Physical Effects-Numbers'!$B$1:$AU$172,$B41,FALSE),""))</f>
        <v/>
      </c>
      <c r="AL41" s="488" t="str">
        <f>IF(AL$4="","",IF(HLOOKUP(AL$4,'Physical Effects-Numbers'!$B$1:$AU$172,$B41,FALSE)&lt;0,HLOOKUP(AL$4,'Physical Effects-Numbers'!$B$1:$AU$172,$B41,FALSE),""))</f>
        <v/>
      </c>
      <c r="AM41" s="488" t="str">
        <f>IF(AM$4="","",IF(HLOOKUP(AM$4,'Physical Effects-Numbers'!$B$1:$AU$172,$B41,FALSE)&lt;0,HLOOKUP(AM$4,'Physical Effects-Numbers'!$B$1:$AU$172,$B41,FALSE),""))</f>
        <v/>
      </c>
      <c r="AN41" s="488" t="str">
        <f>IF(AN$4="","",IF(HLOOKUP(AN$4,'Physical Effects-Numbers'!$B$1:$AU$172,$B41,FALSE)&lt;0,HLOOKUP(AN$4,'Physical Effects-Numbers'!$B$1:$AU$172,$B41,FALSE),""))</f>
        <v/>
      </c>
      <c r="AO41" s="488" t="str">
        <f>IF(AO$4="","",IF(HLOOKUP(AO$4,'Physical Effects-Numbers'!$B$1:$AU$172,$B41,FALSE)&lt;0,HLOOKUP(AO$4,'Physical Effects-Numbers'!$B$1:$AU$172,$B41,FALSE),""))</f>
        <v/>
      </c>
      <c r="AP41" s="488" t="str">
        <f>IF(AP$4="","",IF(HLOOKUP(AP$4,'Physical Effects-Numbers'!$B$1:$AU$172,$B41,FALSE)&lt;0,HLOOKUP(AP$4,'Physical Effects-Numbers'!$B$1:$AU$172,$B41,FALSE),""))</f>
        <v/>
      </c>
      <c r="AQ41" s="488" t="str">
        <f>IF(AQ$4="","",IF(HLOOKUP(AQ$4,'Physical Effects-Numbers'!$B$1:$AU$172,$B41,FALSE)&lt;0,HLOOKUP(AQ$4,'Physical Effects-Numbers'!$B$1:$AU$172,$B41,FALSE),""))</f>
        <v/>
      </c>
      <c r="AR41" s="488" t="str">
        <f>IF(AR$4="","",IF(HLOOKUP(AR$4,'Physical Effects-Numbers'!$B$1:$AU$172,$B41,FALSE)&lt;0,HLOOKUP(AR$4,'Physical Effects-Numbers'!$B$1:$AU$172,$B41,FALSE),""))</f>
        <v/>
      </c>
      <c r="AS41" s="488" t="str">
        <f>IF(AS$4="","",IF(HLOOKUP(AS$4,'Physical Effects-Numbers'!$B$1:$AU$172,$B41,FALSE)&lt;0,HLOOKUP(AS$4,'Physical Effects-Numbers'!$B$1:$AU$172,$B41,FALSE),""))</f>
        <v/>
      </c>
      <c r="AT41" s="488" t="str">
        <f>IF(AT$4="","",IF(HLOOKUP(AT$4,'Physical Effects-Numbers'!$B$1:$AU$172,$B41,FALSE)&lt;0,HLOOKUP(AT$4,'Physical Effects-Numbers'!$B$1:$AU$172,$B41,FALSE),""))</f>
        <v/>
      </c>
      <c r="AU41" s="488" t="str">
        <f>IF(AU$4="","",IF(HLOOKUP(AU$4,'Physical Effects-Numbers'!$B$1:$AU$172,$B41,FALSE)&lt;0,HLOOKUP(AU$4,'Physical Effects-Numbers'!$B$1:$AU$172,$B41,FALSE),""))</f>
        <v/>
      </c>
      <c r="AV41" s="488" t="str">
        <f>IF(AV$4="","",IF(HLOOKUP(AV$4,'Physical Effects-Numbers'!$B$1:$AU$167,$B41,FALSE)&lt;0,HLOOKUP(AV$4,'Physical Effects-Numbers'!$B$1:$AU$167,$B41,FALSE),""))</f>
        <v/>
      </c>
    </row>
    <row r="42" spans="2:48" x14ac:dyDescent="0.2">
      <c r="B42" s="487">
        <f t="shared" si="0"/>
        <v>39</v>
      </c>
      <c r="C42" s="486" t="str">
        <f>+'Physical Effects-Numbers'!B39</f>
        <v>Drainage Water Management</v>
      </c>
      <c r="D42" s="488" t="str">
        <f>IF(D$4="","",IF(HLOOKUP(D$4,'Physical Effects-Numbers'!$B$1:$AU$172,$B42,FALSE)&lt;0,HLOOKUP(D$4,'Physical Effects-Numbers'!$B$1:$AU$172,$B42,FALSE),""))</f>
        <v/>
      </c>
      <c r="E42" s="488" t="str">
        <f>IF(E$4="","",IF(HLOOKUP(E$4,'Physical Effects-Numbers'!$B$1:$AU$172,$B42,FALSE)&lt;0,HLOOKUP(E$4,'Physical Effects-Numbers'!$B$1:$AU$172,$B42,FALSE),""))</f>
        <v/>
      </c>
      <c r="F42" s="488" t="str">
        <f>IF(F$4="","",IF(HLOOKUP(F$4,'Physical Effects-Numbers'!$B$1:$AU$172,$B42,FALSE)&lt;0,HLOOKUP(F$4,'Physical Effects-Numbers'!$B$1:$AU$172,$B42,FALSE),""))</f>
        <v/>
      </c>
      <c r="G42" s="488" t="str">
        <f>IF(G$4="","",IF(HLOOKUP(G$4,'Physical Effects-Numbers'!$B$1:$AU$172,$B42,FALSE)&lt;0,HLOOKUP(G$4,'Physical Effects-Numbers'!$B$1:$AU$172,$B42,FALSE),""))</f>
        <v/>
      </c>
      <c r="H42" s="488" t="str">
        <f>IF(H$4="","",IF(HLOOKUP(H$4,'Physical Effects-Numbers'!$B$1:$AU$172,$B42,FALSE)&lt;0,HLOOKUP(H$4,'Physical Effects-Numbers'!$B$1:$AU$172,$B42,FALSE),""))</f>
        <v/>
      </c>
      <c r="I42" s="488" t="str">
        <f>IF(I$4="","",IF(HLOOKUP(I$4,'Physical Effects-Numbers'!$B$1:$AU$172,$B42,FALSE)&lt;0,HLOOKUP(I$4,'Physical Effects-Numbers'!$B$1:$AU$172,$B42,FALSE),""))</f>
        <v/>
      </c>
      <c r="J42" s="488">
        <f>IF(J$4="","",IF(HLOOKUP(J$4,'Physical Effects-Numbers'!$B$1:$AU$172,$B42,FALSE)&lt;0,HLOOKUP(J$4,'Physical Effects-Numbers'!$B$1:$AU$172,$B42,FALSE),""))</f>
        <v>-1</v>
      </c>
      <c r="K42" s="488" t="str">
        <f>IF(K$4="","",IF(HLOOKUP(K$4,'Physical Effects-Numbers'!$B$1:$AU$172,$B42,FALSE)&lt;0,HLOOKUP(K$4,'Physical Effects-Numbers'!$B$1:$AU$172,$B42,FALSE),""))</f>
        <v/>
      </c>
      <c r="L42" s="488" t="str">
        <f>IF(L$4="","",IF(HLOOKUP(L$4,'Physical Effects-Numbers'!$B$1:$AU$172,$B42,FALSE)&lt;0,HLOOKUP(L$4,'Physical Effects-Numbers'!$B$1:$AU$172,$B42,FALSE),""))</f>
        <v/>
      </c>
      <c r="M42" s="488" t="str">
        <f>IF(M$4="","",IF(HLOOKUP(M$4,'Physical Effects-Numbers'!$B$1:$AU$172,$B42,FALSE)&lt;0,HLOOKUP(M$4,'Physical Effects-Numbers'!$B$1:$AU$172,$B42,FALSE),""))</f>
        <v/>
      </c>
      <c r="N42" s="488">
        <f>IF(N$4="","",IF(HLOOKUP(N$4,'Physical Effects-Numbers'!$B$1:$AU$172,$B42,FALSE)&lt;0,HLOOKUP(N$4,'Physical Effects-Numbers'!$B$1:$AU$172,$B42,FALSE),""))</f>
        <v>-2</v>
      </c>
      <c r="O42" s="488" t="str">
        <f>IF(O$4="","",IF(HLOOKUP(O$4,'Physical Effects-Numbers'!$B$1:$AU$172,$B42,FALSE)&lt;0,HLOOKUP(O$4,'Physical Effects-Numbers'!$B$1:$AU$172,$B42,FALSE),""))</f>
        <v/>
      </c>
      <c r="P42" s="488" t="str">
        <f>IF(P$4="","",IF(HLOOKUP(P$4,'Physical Effects-Numbers'!$B$1:$AU$172,$B42,FALSE)&lt;0,HLOOKUP(P$4,'Physical Effects-Numbers'!$B$1:$AU$172,$B42,FALSE),""))</f>
        <v/>
      </c>
      <c r="Q42" s="488" t="str">
        <f>IF(Q$4="","",IF(HLOOKUP(Q$4,'Physical Effects-Numbers'!$B$1:$AU$172,$B42,FALSE)&lt;0,HLOOKUP(Q$4,'Physical Effects-Numbers'!$B$1:$AU$172,$B42,FALSE),""))</f>
        <v/>
      </c>
      <c r="R42" s="488" t="str">
        <f>IF(R$4="","",IF(HLOOKUP(R$4,'Physical Effects-Numbers'!$B$1:$AU$172,$B42,FALSE)&lt;0,HLOOKUP(R$4,'Physical Effects-Numbers'!$B$1:$AU$172,$B42,FALSE),""))</f>
        <v/>
      </c>
      <c r="S42" s="488" t="str">
        <f>IF(S$4="","",IF(HLOOKUP(S$4,'Physical Effects-Numbers'!$B$1:$AU$172,$B42,FALSE)&lt;0,HLOOKUP(S$4,'Physical Effects-Numbers'!$B$1:$AU$172,$B42,FALSE),""))</f>
        <v/>
      </c>
      <c r="T42" s="488" t="str">
        <f>IF(T$4="","",IF(HLOOKUP(T$4,'Physical Effects-Numbers'!$B$1:$AU$172,$B42,FALSE)&lt;0,HLOOKUP(T$4,'Physical Effects-Numbers'!$B$1:$AU$172,$B42,FALSE),""))</f>
        <v/>
      </c>
      <c r="U42" s="488" t="str">
        <f>IF(U$4="","",IF(HLOOKUP(U$4,'Physical Effects-Numbers'!$B$1:$AU$172,$B42,FALSE)&lt;0,HLOOKUP(U$4,'Physical Effects-Numbers'!$B$1:$AU$172,$B42,FALSE),""))</f>
        <v/>
      </c>
      <c r="V42" s="488">
        <f>IF(V$4="","",IF(HLOOKUP(V$4,'Physical Effects-Numbers'!$B$1:$AU$172,$B42,FALSE)&lt;0,HLOOKUP(V$4,'Physical Effects-Numbers'!$B$1:$AU$172,$B42,FALSE),""))</f>
        <v>-1</v>
      </c>
      <c r="W42" s="488" t="str">
        <f>IF(W$4="","",IF(HLOOKUP(W$4,'Physical Effects-Numbers'!$B$1:$AU$172,$B42,FALSE)&lt;0,HLOOKUP(W$4,'Physical Effects-Numbers'!$B$1:$AU$172,$B42,FALSE),""))</f>
        <v/>
      </c>
      <c r="X42" s="488" t="str">
        <f>IF(X$4="","",IF(HLOOKUP(X$4,'Physical Effects-Numbers'!$B$1:$AU$172,$B42,FALSE)&lt;0,HLOOKUP(X$4,'Physical Effects-Numbers'!$B$1:$AU$172,$B42,FALSE),""))</f>
        <v/>
      </c>
      <c r="Y42" s="488" t="str">
        <f>IF(Y$4="","",IF(HLOOKUP(Y$4,'Physical Effects-Numbers'!$B$1:$AU$172,$B42,FALSE)&lt;0,HLOOKUP(Y$4,'Physical Effects-Numbers'!$B$1:$AU$172,$B42,FALSE),""))</f>
        <v/>
      </c>
      <c r="Z42" s="488" t="str">
        <f>IF(Z$4="","",IF(HLOOKUP(Z$4,'Physical Effects-Numbers'!$B$1:$AU$172,$B42,FALSE)&lt;0,HLOOKUP(Z$4,'Physical Effects-Numbers'!$B$1:$AU$172,$B42,FALSE),""))</f>
        <v/>
      </c>
      <c r="AA42" s="488" t="str">
        <f>IF(AA$4="","",IF(HLOOKUP(AA$4,'Physical Effects-Numbers'!$B$1:$AU$172,$B42,FALSE)&lt;0,HLOOKUP(AA$4,'Physical Effects-Numbers'!$B$1:$AU$172,$B42,FALSE),""))</f>
        <v/>
      </c>
      <c r="AB42" s="488" t="str">
        <f>IF(AB$4="","",IF(HLOOKUP(AB$4,'Physical Effects-Numbers'!$B$1:$AU$172,$B42,FALSE)&lt;0,HLOOKUP(AB$4,'Physical Effects-Numbers'!$B$1:$AU$172,$B42,FALSE),""))</f>
        <v/>
      </c>
      <c r="AC42" s="488" t="str">
        <f>IF(AC$4="","",IF(HLOOKUP(AC$4,'Physical Effects-Numbers'!$B$1:$AU$172,$B42,FALSE)&lt;0,HLOOKUP(AC$4,'Physical Effects-Numbers'!$B$1:$AU$172,$B42,FALSE),""))</f>
        <v/>
      </c>
      <c r="AD42" s="488" t="str">
        <f>IF(AD$4="","",IF(HLOOKUP(AD$4,'Physical Effects-Numbers'!$B$1:$AU$172,$B42,FALSE)&lt;0,HLOOKUP(AD$4,'Physical Effects-Numbers'!$B$1:$AU$172,$B42,FALSE),""))</f>
        <v/>
      </c>
      <c r="AE42" s="488" t="str">
        <f>IF(AE$4="","",IF(HLOOKUP(AE$4,'Physical Effects-Numbers'!$B$1:$AU$172,$B42,FALSE)&lt;0,HLOOKUP(AE$4,'Physical Effects-Numbers'!$B$1:$AU$172,$B42,FALSE),""))</f>
        <v/>
      </c>
      <c r="AF42" s="488" t="str">
        <f>IF(AF$4="","",IF(HLOOKUP(AF$4,'Physical Effects-Numbers'!$B$1:$AU$172,$B42,FALSE)&lt;0,HLOOKUP(AF$4,'Physical Effects-Numbers'!$B$1:$AU$172,$B42,FALSE),""))</f>
        <v/>
      </c>
      <c r="AG42" s="488" t="str">
        <f>IF(AG$4="","",IF(HLOOKUP(AG$4,'Physical Effects-Numbers'!$B$1:$AU$172,$B42,FALSE)&lt;0,HLOOKUP(AG$4,'Physical Effects-Numbers'!$B$1:$AU$172,$B42,FALSE),""))</f>
        <v/>
      </c>
      <c r="AH42" s="488" t="str">
        <f>IF(AH$4="","",IF(HLOOKUP(AH$4,'Physical Effects-Numbers'!$B$1:$AU$172,$B42,FALSE)&lt;0,HLOOKUP(AH$4,'Physical Effects-Numbers'!$B$1:$AU$172,$B42,FALSE),""))</f>
        <v/>
      </c>
      <c r="AI42" s="488" t="str">
        <f>IF(AI$4="","",IF(HLOOKUP(AI$4,'Physical Effects-Numbers'!$B$1:$AU$172,$B42,FALSE)&lt;0,HLOOKUP(AI$4,'Physical Effects-Numbers'!$B$1:$AU$172,$B42,FALSE),""))</f>
        <v/>
      </c>
      <c r="AJ42" s="488" t="str">
        <f>IF(AJ$4="","",IF(HLOOKUP(AJ$4,'Physical Effects-Numbers'!$B$1:$AU$172,$B42,FALSE)&lt;0,HLOOKUP(AJ$4,'Physical Effects-Numbers'!$B$1:$AU$172,$B42,FALSE),""))</f>
        <v/>
      </c>
      <c r="AK42" s="488" t="str">
        <f>IF(AK$4="","",IF(HLOOKUP(AK$4,'Physical Effects-Numbers'!$B$1:$AU$172,$B42,FALSE)&lt;0,HLOOKUP(AK$4,'Physical Effects-Numbers'!$B$1:$AU$172,$B42,FALSE),""))</f>
        <v/>
      </c>
      <c r="AL42" s="488" t="str">
        <f>IF(AL$4="","",IF(HLOOKUP(AL$4,'Physical Effects-Numbers'!$B$1:$AU$172,$B42,FALSE)&lt;0,HLOOKUP(AL$4,'Physical Effects-Numbers'!$B$1:$AU$172,$B42,FALSE),""))</f>
        <v/>
      </c>
      <c r="AM42" s="488" t="str">
        <f>IF(AM$4="","",IF(HLOOKUP(AM$4,'Physical Effects-Numbers'!$B$1:$AU$172,$B42,FALSE)&lt;0,HLOOKUP(AM$4,'Physical Effects-Numbers'!$B$1:$AU$172,$B42,FALSE),""))</f>
        <v/>
      </c>
      <c r="AN42" s="488" t="str">
        <f>IF(AN$4="","",IF(HLOOKUP(AN$4,'Physical Effects-Numbers'!$B$1:$AU$172,$B42,FALSE)&lt;0,HLOOKUP(AN$4,'Physical Effects-Numbers'!$B$1:$AU$172,$B42,FALSE),""))</f>
        <v/>
      </c>
      <c r="AO42" s="488" t="str">
        <f>IF(AO$4="","",IF(HLOOKUP(AO$4,'Physical Effects-Numbers'!$B$1:$AU$172,$B42,FALSE)&lt;0,HLOOKUP(AO$4,'Physical Effects-Numbers'!$B$1:$AU$172,$B42,FALSE),""))</f>
        <v/>
      </c>
      <c r="AP42" s="488" t="str">
        <f>IF(AP$4="","",IF(HLOOKUP(AP$4,'Physical Effects-Numbers'!$B$1:$AU$172,$B42,FALSE)&lt;0,HLOOKUP(AP$4,'Physical Effects-Numbers'!$B$1:$AU$172,$B42,FALSE),""))</f>
        <v/>
      </c>
      <c r="AQ42" s="488" t="str">
        <f>IF(AQ$4="","",IF(HLOOKUP(AQ$4,'Physical Effects-Numbers'!$B$1:$AU$172,$B42,FALSE)&lt;0,HLOOKUP(AQ$4,'Physical Effects-Numbers'!$B$1:$AU$172,$B42,FALSE),""))</f>
        <v/>
      </c>
      <c r="AR42" s="488" t="str">
        <f>IF(AR$4="","",IF(HLOOKUP(AR$4,'Physical Effects-Numbers'!$B$1:$AU$172,$B42,FALSE)&lt;0,HLOOKUP(AR$4,'Physical Effects-Numbers'!$B$1:$AU$172,$B42,FALSE),""))</f>
        <v/>
      </c>
      <c r="AS42" s="488" t="str">
        <f>IF(AS$4="","",IF(HLOOKUP(AS$4,'Physical Effects-Numbers'!$B$1:$AU$172,$B42,FALSE)&lt;0,HLOOKUP(AS$4,'Physical Effects-Numbers'!$B$1:$AU$172,$B42,FALSE),""))</f>
        <v/>
      </c>
      <c r="AT42" s="488" t="str">
        <f>IF(AT$4="","",IF(HLOOKUP(AT$4,'Physical Effects-Numbers'!$B$1:$AU$172,$B42,FALSE)&lt;0,HLOOKUP(AT$4,'Physical Effects-Numbers'!$B$1:$AU$172,$B42,FALSE),""))</f>
        <v/>
      </c>
      <c r="AU42" s="488" t="str">
        <f>IF(AU$4="","",IF(HLOOKUP(AU$4,'Physical Effects-Numbers'!$B$1:$AU$172,$B42,FALSE)&lt;0,HLOOKUP(AU$4,'Physical Effects-Numbers'!$B$1:$AU$172,$B42,FALSE),""))</f>
        <v/>
      </c>
      <c r="AV42" s="488" t="str">
        <f>IF(AV$4="","",IF(HLOOKUP(AV$4,'Physical Effects-Numbers'!$B$1:$AU$167,$B42,FALSE)&lt;0,HLOOKUP(AV$4,'Physical Effects-Numbers'!$B$1:$AU$167,$B42,FALSE),""))</f>
        <v/>
      </c>
    </row>
    <row r="43" spans="2:48" x14ac:dyDescent="0.2">
      <c r="B43" s="487">
        <f t="shared" si="0"/>
        <v>40</v>
      </c>
      <c r="C43" s="486" t="str">
        <f>+'Physical Effects-Numbers'!B40</f>
        <v>Dry Hydrant</v>
      </c>
      <c r="D43" s="488" t="str">
        <f>IF(D$4="","",IF(HLOOKUP(D$4,'Physical Effects-Numbers'!$B$1:$AU$172,$B43,FALSE)&lt;0,HLOOKUP(D$4,'Physical Effects-Numbers'!$B$1:$AU$172,$B43,FALSE),""))</f>
        <v/>
      </c>
      <c r="E43" s="488" t="str">
        <f>IF(E$4="","",IF(HLOOKUP(E$4,'Physical Effects-Numbers'!$B$1:$AU$172,$B43,FALSE)&lt;0,HLOOKUP(E$4,'Physical Effects-Numbers'!$B$1:$AU$172,$B43,FALSE),""))</f>
        <v/>
      </c>
      <c r="F43" s="488" t="str">
        <f>IF(F$4="","",IF(HLOOKUP(F$4,'Physical Effects-Numbers'!$B$1:$AU$172,$B43,FALSE)&lt;0,HLOOKUP(F$4,'Physical Effects-Numbers'!$B$1:$AU$172,$B43,FALSE),""))</f>
        <v/>
      </c>
      <c r="G43" s="488" t="str">
        <f>IF(G$4="","",IF(HLOOKUP(G$4,'Physical Effects-Numbers'!$B$1:$AU$172,$B43,FALSE)&lt;0,HLOOKUP(G$4,'Physical Effects-Numbers'!$B$1:$AU$172,$B43,FALSE),""))</f>
        <v/>
      </c>
      <c r="H43" s="488" t="str">
        <f>IF(H$4="","",IF(HLOOKUP(H$4,'Physical Effects-Numbers'!$B$1:$AU$172,$B43,FALSE)&lt;0,HLOOKUP(H$4,'Physical Effects-Numbers'!$B$1:$AU$172,$B43,FALSE),""))</f>
        <v/>
      </c>
      <c r="I43" s="488" t="str">
        <f>IF(I$4="","",IF(HLOOKUP(I$4,'Physical Effects-Numbers'!$B$1:$AU$172,$B43,FALSE)&lt;0,HLOOKUP(I$4,'Physical Effects-Numbers'!$B$1:$AU$172,$B43,FALSE),""))</f>
        <v/>
      </c>
      <c r="J43" s="488" t="str">
        <f>IF(J$4="","",IF(HLOOKUP(J$4,'Physical Effects-Numbers'!$B$1:$AU$172,$B43,FALSE)&lt;0,HLOOKUP(J$4,'Physical Effects-Numbers'!$B$1:$AU$172,$B43,FALSE),""))</f>
        <v/>
      </c>
      <c r="K43" s="488" t="str">
        <f>IF(K$4="","",IF(HLOOKUP(K$4,'Physical Effects-Numbers'!$B$1:$AU$172,$B43,FALSE)&lt;0,HLOOKUP(K$4,'Physical Effects-Numbers'!$B$1:$AU$172,$B43,FALSE),""))</f>
        <v/>
      </c>
      <c r="L43" s="488" t="str">
        <f>IF(L$4="","",IF(HLOOKUP(L$4,'Physical Effects-Numbers'!$B$1:$AU$172,$B43,FALSE)&lt;0,HLOOKUP(L$4,'Physical Effects-Numbers'!$B$1:$AU$172,$B43,FALSE),""))</f>
        <v/>
      </c>
      <c r="M43" s="488" t="str">
        <f>IF(M$4="","",IF(HLOOKUP(M$4,'Physical Effects-Numbers'!$B$1:$AU$172,$B43,FALSE)&lt;0,HLOOKUP(M$4,'Physical Effects-Numbers'!$B$1:$AU$172,$B43,FALSE),""))</f>
        <v/>
      </c>
      <c r="N43" s="488" t="str">
        <f>IF(N$4="","",IF(HLOOKUP(N$4,'Physical Effects-Numbers'!$B$1:$AU$172,$B43,FALSE)&lt;0,HLOOKUP(N$4,'Physical Effects-Numbers'!$B$1:$AU$172,$B43,FALSE),""))</f>
        <v/>
      </c>
      <c r="O43" s="488" t="str">
        <f>IF(O$4="","",IF(HLOOKUP(O$4,'Physical Effects-Numbers'!$B$1:$AU$172,$B43,FALSE)&lt;0,HLOOKUP(O$4,'Physical Effects-Numbers'!$B$1:$AU$172,$B43,FALSE),""))</f>
        <v/>
      </c>
      <c r="P43" s="488" t="str">
        <f>IF(P$4="","",IF(HLOOKUP(P$4,'Physical Effects-Numbers'!$B$1:$AU$172,$B43,FALSE)&lt;0,HLOOKUP(P$4,'Physical Effects-Numbers'!$B$1:$AU$172,$B43,FALSE),""))</f>
        <v/>
      </c>
      <c r="Q43" s="488">
        <f>IF(Q$4="","",IF(HLOOKUP(Q$4,'Physical Effects-Numbers'!$B$1:$AU$172,$B43,FALSE)&lt;0,HLOOKUP(Q$4,'Physical Effects-Numbers'!$B$1:$AU$172,$B43,FALSE),""))</f>
        <v>-1</v>
      </c>
      <c r="R43" s="488">
        <f>IF(R$4="","",IF(HLOOKUP(R$4,'Physical Effects-Numbers'!$B$1:$AU$172,$B43,FALSE)&lt;0,HLOOKUP(R$4,'Physical Effects-Numbers'!$B$1:$AU$172,$B43,FALSE),""))</f>
        <v>-1</v>
      </c>
      <c r="S43" s="488" t="str">
        <f>IF(S$4="","",IF(HLOOKUP(S$4,'Physical Effects-Numbers'!$B$1:$AU$172,$B43,FALSE)&lt;0,HLOOKUP(S$4,'Physical Effects-Numbers'!$B$1:$AU$172,$B43,FALSE),""))</f>
        <v/>
      </c>
      <c r="T43" s="488" t="str">
        <f>IF(T$4="","",IF(HLOOKUP(T$4,'Physical Effects-Numbers'!$B$1:$AU$172,$B43,FALSE)&lt;0,HLOOKUP(T$4,'Physical Effects-Numbers'!$B$1:$AU$172,$B43,FALSE),""))</f>
        <v/>
      </c>
      <c r="U43" s="488" t="str">
        <f>IF(U$4="","",IF(HLOOKUP(U$4,'Physical Effects-Numbers'!$B$1:$AU$172,$B43,FALSE)&lt;0,HLOOKUP(U$4,'Physical Effects-Numbers'!$B$1:$AU$172,$B43,FALSE),""))</f>
        <v/>
      </c>
      <c r="V43" s="488" t="str">
        <f>IF(V$4="","",IF(HLOOKUP(V$4,'Physical Effects-Numbers'!$B$1:$AU$172,$B43,FALSE)&lt;0,HLOOKUP(V$4,'Physical Effects-Numbers'!$B$1:$AU$172,$B43,FALSE),""))</f>
        <v/>
      </c>
      <c r="W43" s="488" t="str">
        <f>IF(W$4="","",IF(HLOOKUP(W$4,'Physical Effects-Numbers'!$B$1:$AU$172,$B43,FALSE)&lt;0,HLOOKUP(W$4,'Physical Effects-Numbers'!$B$1:$AU$172,$B43,FALSE),""))</f>
        <v/>
      </c>
      <c r="X43" s="488" t="str">
        <f>IF(X$4="","",IF(HLOOKUP(X$4,'Physical Effects-Numbers'!$B$1:$AU$172,$B43,FALSE)&lt;0,HLOOKUP(X$4,'Physical Effects-Numbers'!$B$1:$AU$172,$B43,FALSE),""))</f>
        <v/>
      </c>
      <c r="Y43" s="488" t="str">
        <f>IF(Y$4="","",IF(HLOOKUP(Y$4,'Physical Effects-Numbers'!$B$1:$AU$172,$B43,FALSE)&lt;0,HLOOKUP(Y$4,'Physical Effects-Numbers'!$B$1:$AU$172,$B43,FALSE),""))</f>
        <v/>
      </c>
      <c r="Z43" s="488" t="str">
        <f>IF(Z$4="","",IF(HLOOKUP(Z$4,'Physical Effects-Numbers'!$B$1:$AU$172,$B43,FALSE)&lt;0,HLOOKUP(Z$4,'Physical Effects-Numbers'!$B$1:$AU$172,$B43,FALSE),""))</f>
        <v/>
      </c>
      <c r="AA43" s="488" t="str">
        <f>IF(AA$4="","",IF(HLOOKUP(AA$4,'Physical Effects-Numbers'!$B$1:$AU$172,$B43,FALSE)&lt;0,HLOOKUP(AA$4,'Physical Effects-Numbers'!$B$1:$AU$172,$B43,FALSE),""))</f>
        <v/>
      </c>
      <c r="AB43" s="488" t="str">
        <f>IF(AB$4="","",IF(HLOOKUP(AB$4,'Physical Effects-Numbers'!$B$1:$AU$172,$B43,FALSE)&lt;0,HLOOKUP(AB$4,'Physical Effects-Numbers'!$B$1:$AU$172,$B43,FALSE),""))</f>
        <v/>
      </c>
      <c r="AC43" s="488" t="str">
        <f>IF(AC$4="","",IF(HLOOKUP(AC$4,'Physical Effects-Numbers'!$B$1:$AU$172,$B43,FALSE)&lt;0,HLOOKUP(AC$4,'Physical Effects-Numbers'!$B$1:$AU$172,$B43,FALSE),""))</f>
        <v/>
      </c>
      <c r="AD43" s="488" t="str">
        <f>IF(AD$4="","",IF(HLOOKUP(AD$4,'Physical Effects-Numbers'!$B$1:$AU$172,$B43,FALSE)&lt;0,HLOOKUP(AD$4,'Physical Effects-Numbers'!$B$1:$AU$172,$B43,FALSE),""))</f>
        <v/>
      </c>
      <c r="AE43" s="488" t="str">
        <f>IF(AE$4="","",IF(HLOOKUP(AE$4,'Physical Effects-Numbers'!$B$1:$AU$172,$B43,FALSE)&lt;0,HLOOKUP(AE$4,'Physical Effects-Numbers'!$B$1:$AU$172,$B43,FALSE),""))</f>
        <v/>
      </c>
      <c r="AF43" s="488" t="str">
        <f>IF(AF$4="","",IF(HLOOKUP(AF$4,'Physical Effects-Numbers'!$B$1:$AU$172,$B43,FALSE)&lt;0,HLOOKUP(AF$4,'Physical Effects-Numbers'!$B$1:$AU$172,$B43,FALSE),""))</f>
        <v/>
      </c>
      <c r="AG43" s="488" t="str">
        <f>IF(AG$4="","",IF(HLOOKUP(AG$4,'Physical Effects-Numbers'!$B$1:$AU$172,$B43,FALSE)&lt;0,HLOOKUP(AG$4,'Physical Effects-Numbers'!$B$1:$AU$172,$B43,FALSE),""))</f>
        <v/>
      </c>
      <c r="AH43" s="488" t="str">
        <f>IF(AH$4="","",IF(HLOOKUP(AH$4,'Physical Effects-Numbers'!$B$1:$AU$172,$B43,FALSE)&lt;0,HLOOKUP(AH$4,'Physical Effects-Numbers'!$B$1:$AU$172,$B43,FALSE),""))</f>
        <v/>
      </c>
      <c r="AI43" s="488" t="str">
        <f>IF(AI$4="","",IF(HLOOKUP(AI$4,'Physical Effects-Numbers'!$B$1:$AU$172,$B43,FALSE)&lt;0,HLOOKUP(AI$4,'Physical Effects-Numbers'!$B$1:$AU$172,$B43,FALSE),""))</f>
        <v/>
      </c>
      <c r="AJ43" s="488" t="str">
        <f>IF(AJ$4="","",IF(HLOOKUP(AJ$4,'Physical Effects-Numbers'!$B$1:$AU$172,$B43,FALSE)&lt;0,HLOOKUP(AJ$4,'Physical Effects-Numbers'!$B$1:$AU$172,$B43,FALSE),""))</f>
        <v/>
      </c>
      <c r="AK43" s="488" t="str">
        <f>IF(AK$4="","",IF(HLOOKUP(AK$4,'Physical Effects-Numbers'!$B$1:$AU$172,$B43,FALSE)&lt;0,HLOOKUP(AK$4,'Physical Effects-Numbers'!$B$1:$AU$172,$B43,FALSE),""))</f>
        <v/>
      </c>
      <c r="AL43" s="488" t="str">
        <f>IF(AL$4="","",IF(HLOOKUP(AL$4,'Physical Effects-Numbers'!$B$1:$AU$172,$B43,FALSE)&lt;0,HLOOKUP(AL$4,'Physical Effects-Numbers'!$B$1:$AU$172,$B43,FALSE),""))</f>
        <v/>
      </c>
      <c r="AM43" s="488" t="str">
        <f>IF(AM$4="","",IF(HLOOKUP(AM$4,'Physical Effects-Numbers'!$B$1:$AU$172,$B43,FALSE)&lt;0,HLOOKUP(AM$4,'Physical Effects-Numbers'!$B$1:$AU$172,$B43,FALSE),""))</f>
        <v/>
      </c>
      <c r="AN43" s="488" t="str">
        <f>IF(AN$4="","",IF(HLOOKUP(AN$4,'Physical Effects-Numbers'!$B$1:$AU$172,$B43,FALSE)&lt;0,HLOOKUP(AN$4,'Physical Effects-Numbers'!$B$1:$AU$172,$B43,FALSE),""))</f>
        <v/>
      </c>
      <c r="AO43" s="488" t="str">
        <f>IF(AO$4="","",IF(HLOOKUP(AO$4,'Physical Effects-Numbers'!$B$1:$AU$172,$B43,FALSE)&lt;0,HLOOKUP(AO$4,'Physical Effects-Numbers'!$B$1:$AU$172,$B43,FALSE),""))</f>
        <v/>
      </c>
      <c r="AP43" s="488" t="str">
        <f>IF(AP$4="","",IF(HLOOKUP(AP$4,'Physical Effects-Numbers'!$B$1:$AU$172,$B43,FALSE)&lt;0,HLOOKUP(AP$4,'Physical Effects-Numbers'!$B$1:$AU$172,$B43,FALSE),""))</f>
        <v/>
      </c>
      <c r="AQ43" s="488" t="str">
        <f>IF(AQ$4="","",IF(HLOOKUP(AQ$4,'Physical Effects-Numbers'!$B$1:$AU$172,$B43,FALSE)&lt;0,HLOOKUP(AQ$4,'Physical Effects-Numbers'!$B$1:$AU$172,$B43,FALSE),""))</f>
        <v/>
      </c>
      <c r="AR43" s="488" t="str">
        <f>IF(AR$4="","",IF(HLOOKUP(AR$4,'Physical Effects-Numbers'!$B$1:$AU$172,$B43,FALSE)&lt;0,HLOOKUP(AR$4,'Physical Effects-Numbers'!$B$1:$AU$172,$B43,FALSE),""))</f>
        <v/>
      </c>
      <c r="AS43" s="488" t="str">
        <f>IF(AS$4="","",IF(HLOOKUP(AS$4,'Physical Effects-Numbers'!$B$1:$AU$172,$B43,FALSE)&lt;0,HLOOKUP(AS$4,'Physical Effects-Numbers'!$B$1:$AU$172,$B43,FALSE),""))</f>
        <v/>
      </c>
      <c r="AT43" s="488" t="str">
        <f>IF(AT$4="","",IF(HLOOKUP(AT$4,'Physical Effects-Numbers'!$B$1:$AU$172,$B43,FALSE)&lt;0,HLOOKUP(AT$4,'Physical Effects-Numbers'!$B$1:$AU$172,$B43,FALSE),""))</f>
        <v/>
      </c>
      <c r="AU43" s="488" t="str">
        <f>IF(AU$4="","",IF(HLOOKUP(AU$4,'Physical Effects-Numbers'!$B$1:$AU$172,$B43,FALSE)&lt;0,HLOOKUP(AU$4,'Physical Effects-Numbers'!$B$1:$AU$172,$B43,FALSE),""))</f>
        <v/>
      </c>
      <c r="AV43" s="488" t="str">
        <f>IF(AV$4="","",IF(HLOOKUP(AV$4,'Physical Effects-Numbers'!$B$1:$AU$167,$B43,FALSE)&lt;0,HLOOKUP(AV$4,'Physical Effects-Numbers'!$B$1:$AU$167,$B43,FALSE),""))</f>
        <v/>
      </c>
    </row>
    <row r="44" spans="2:48" x14ac:dyDescent="0.2">
      <c r="B44" s="487">
        <f t="shared" si="0"/>
        <v>41</v>
      </c>
      <c r="C44" s="486" t="str">
        <f>+'Physical Effects-Numbers'!B41</f>
        <v>Dust Control from Animal Activity on Open Lot Surfaces</v>
      </c>
      <c r="D44" s="488" t="str">
        <f>IF(D$4="","",IF(HLOOKUP(D$4,'Physical Effects-Numbers'!$B$1:$AU$172,$B44,FALSE)&lt;0,HLOOKUP(D$4,'Physical Effects-Numbers'!$B$1:$AU$172,$B44,FALSE),""))</f>
        <v/>
      </c>
      <c r="E44" s="488" t="str">
        <f>IF(E$4="","",IF(HLOOKUP(E$4,'Physical Effects-Numbers'!$B$1:$AU$172,$B44,FALSE)&lt;0,HLOOKUP(E$4,'Physical Effects-Numbers'!$B$1:$AU$172,$B44,FALSE),""))</f>
        <v/>
      </c>
      <c r="F44" s="488" t="str">
        <f>IF(F$4="","",IF(HLOOKUP(F$4,'Physical Effects-Numbers'!$B$1:$AU$172,$B44,FALSE)&lt;0,HLOOKUP(F$4,'Physical Effects-Numbers'!$B$1:$AU$172,$B44,FALSE),""))</f>
        <v/>
      </c>
      <c r="G44" s="488" t="str">
        <f>IF(G$4="","",IF(HLOOKUP(G$4,'Physical Effects-Numbers'!$B$1:$AU$172,$B44,FALSE)&lt;0,HLOOKUP(G$4,'Physical Effects-Numbers'!$B$1:$AU$172,$B44,FALSE),""))</f>
        <v/>
      </c>
      <c r="H44" s="488" t="str">
        <f>IF(H$4="","",IF(HLOOKUP(H$4,'Physical Effects-Numbers'!$B$1:$AU$172,$B44,FALSE)&lt;0,HLOOKUP(H$4,'Physical Effects-Numbers'!$B$1:$AU$172,$B44,FALSE),""))</f>
        <v/>
      </c>
      <c r="I44" s="488" t="str">
        <f>IF(I$4="","",IF(HLOOKUP(I$4,'Physical Effects-Numbers'!$B$1:$AU$172,$B44,FALSE)&lt;0,HLOOKUP(I$4,'Physical Effects-Numbers'!$B$1:$AU$172,$B44,FALSE),""))</f>
        <v/>
      </c>
      <c r="J44" s="488" t="str">
        <f>IF(J$4="","",IF(HLOOKUP(J$4,'Physical Effects-Numbers'!$B$1:$AU$172,$B44,FALSE)&lt;0,HLOOKUP(J$4,'Physical Effects-Numbers'!$B$1:$AU$172,$B44,FALSE),""))</f>
        <v/>
      </c>
      <c r="K44" s="488" t="str">
        <f>IF(K$4="","",IF(HLOOKUP(K$4,'Physical Effects-Numbers'!$B$1:$AU$172,$B44,FALSE)&lt;0,HLOOKUP(K$4,'Physical Effects-Numbers'!$B$1:$AU$172,$B44,FALSE),""))</f>
        <v/>
      </c>
      <c r="L44" s="488" t="str">
        <f>IF(L$4="","",IF(HLOOKUP(L$4,'Physical Effects-Numbers'!$B$1:$AU$172,$B44,FALSE)&lt;0,HLOOKUP(L$4,'Physical Effects-Numbers'!$B$1:$AU$172,$B44,FALSE),""))</f>
        <v/>
      </c>
      <c r="M44" s="488" t="str">
        <f>IF(M$4="","",IF(HLOOKUP(M$4,'Physical Effects-Numbers'!$B$1:$AU$172,$B44,FALSE)&lt;0,HLOOKUP(M$4,'Physical Effects-Numbers'!$B$1:$AU$172,$B44,FALSE),""))</f>
        <v/>
      </c>
      <c r="N44" s="488" t="str">
        <f>IF(N$4="","",IF(HLOOKUP(N$4,'Physical Effects-Numbers'!$B$1:$AU$172,$B44,FALSE)&lt;0,HLOOKUP(N$4,'Physical Effects-Numbers'!$B$1:$AU$172,$B44,FALSE),""))</f>
        <v/>
      </c>
      <c r="O44" s="488" t="str">
        <f>IF(O$4="","",IF(HLOOKUP(O$4,'Physical Effects-Numbers'!$B$1:$AU$172,$B44,FALSE)&lt;0,HLOOKUP(O$4,'Physical Effects-Numbers'!$B$1:$AU$172,$B44,FALSE),""))</f>
        <v/>
      </c>
      <c r="P44" s="488" t="str">
        <f>IF(P$4="","",IF(HLOOKUP(P$4,'Physical Effects-Numbers'!$B$1:$AU$172,$B44,FALSE)&lt;0,HLOOKUP(P$4,'Physical Effects-Numbers'!$B$1:$AU$172,$B44,FALSE),""))</f>
        <v/>
      </c>
      <c r="Q44" s="488" t="str">
        <f>IF(Q$4="","",IF(HLOOKUP(Q$4,'Physical Effects-Numbers'!$B$1:$AU$172,$B44,FALSE)&lt;0,HLOOKUP(Q$4,'Physical Effects-Numbers'!$B$1:$AU$172,$B44,FALSE),""))</f>
        <v/>
      </c>
      <c r="R44" s="488" t="str">
        <f>IF(R$4="","",IF(HLOOKUP(R$4,'Physical Effects-Numbers'!$B$1:$AU$172,$B44,FALSE)&lt;0,HLOOKUP(R$4,'Physical Effects-Numbers'!$B$1:$AU$172,$B44,FALSE),""))</f>
        <v/>
      </c>
      <c r="S44" s="488" t="str">
        <f>IF(S$4="","",IF(HLOOKUP(S$4,'Physical Effects-Numbers'!$B$1:$AU$172,$B44,FALSE)&lt;0,HLOOKUP(S$4,'Physical Effects-Numbers'!$B$1:$AU$172,$B44,FALSE),""))</f>
        <v/>
      </c>
      <c r="T44" s="488" t="str">
        <f>IF(T$4="","",IF(HLOOKUP(T$4,'Physical Effects-Numbers'!$B$1:$AU$172,$B44,FALSE)&lt;0,HLOOKUP(T$4,'Physical Effects-Numbers'!$B$1:$AU$172,$B44,FALSE),""))</f>
        <v/>
      </c>
      <c r="U44" s="488" t="str">
        <f>IF(U$4="","",IF(HLOOKUP(U$4,'Physical Effects-Numbers'!$B$1:$AU$172,$B44,FALSE)&lt;0,HLOOKUP(U$4,'Physical Effects-Numbers'!$B$1:$AU$172,$B44,FALSE),""))</f>
        <v/>
      </c>
      <c r="V44" s="488" t="str">
        <f>IF(V$4="","",IF(HLOOKUP(V$4,'Physical Effects-Numbers'!$B$1:$AU$172,$B44,FALSE)&lt;0,HLOOKUP(V$4,'Physical Effects-Numbers'!$B$1:$AU$172,$B44,FALSE),""))</f>
        <v/>
      </c>
      <c r="W44" s="488" t="str">
        <f>IF(W$4="","",IF(HLOOKUP(W$4,'Physical Effects-Numbers'!$B$1:$AU$172,$B44,FALSE)&lt;0,HLOOKUP(W$4,'Physical Effects-Numbers'!$B$1:$AU$172,$B44,FALSE),""))</f>
        <v/>
      </c>
      <c r="X44" s="488" t="str">
        <f>IF(X$4="","",IF(HLOOKUP(X$4,'Physical Effects-Numbers'!$B$1:$AU$172,$B44,FALSE)&lt;0,HLOOKUP(X$4,'Physical Effects-Numbers'!$B$1:$AU$172,$B44,FALSE),""))</f>
        <v/>
      </c>
      <c r="Y44" s="488" t="str">
        <f>IF(Y$4="","",IF(HLOOKUP(Y$4,'Physical Effects-Numbers'!$B$1:$AU$172,$B44,FALSE)&lt;0,HLOOKUP(Y$4,'Physical Effects-Numbers'!$B$1:$AU$172,$B44,FALSE),""))</f>
        <v/>
      </c>
      <c r="Z44" s="488" t="str">
        <f>IF(Z$4="","",IF(HLOOKUP(Z$4,'Physical Effects-Numbers'!$B$1:$AU$172,$B44,FALSE)&lt;0,HLOOKUP(Z$4,'Physical Effects-Numbers'!$B$1:$AU$172,$B44,FALSE),""))</f>
        <v/>
      </c>
      <c r="AA44" s="488" t="str">
        <f>IF(AA$4="","",IF(HLOOKUP(AA$4,'Physical Effects-Numbers'!$B$1:$AU$172,$B44,FALSE)&lt;0,HLOOKUP(AA$4,'Physical Effects-Numbers'!$B$1:$AU$172,$B44,FALSE),""))</f>
        <v/>
      </c>
      <c r="AB44" s="488" t="str">
        <f>IF(AB$4="","",IF(HLOOKUP(AB$4,'Physical Effects-Numbers'!$B$1:$AU$172,$B44,FALSE)&lt;0,HLOOKUP(AB$4,'Physical Effects-Numbers'!$B$1:$AU$172,$B44,FALSE),""))</f>
        <v/>
      </c>
      <c r="AC44" s="488" t="str">
        <f>IF(AC$4="","",IF(HLOOKUP(AC$4,'Physical Effects-Numbers'!$B$1:$AU$172,$B44,FALSE)&lt;0,HLOOKUP(AC$4,'Physical Effects-Numbers'!$B$1:$AU$172,$B44,FALSE),""))</f>
        <v/>
      </c>
      <c r="AD44" s="488" t="str">
        <f>IF(AD$4="","",IF(HLOOKUP(AD$4,'Physical Effects-Numbers'!$B$1:$AU$172,$B44,FALSE)&lt;0,HLOOKUP(AD$4,'Physical Effects-Numbers'!$B$1:$AU$172,$B44,FALSE),""))</f>
        <v/>
      </c>
      <c r="AE44" s="488" t="str">
        <f>IF(AE$4="","",IF(HLOOKUP(AE$4,'Physical Effects-Numbers'!$B$1:$AU$172,$B44,FALSE)&lt;0,HLOOKUP(AE$4,'Physical Effects-Numbers'!$B$1:$AU$172,$B44,FALSE),""))</f>
        <v/>
      </c>
      <c r="AF44" s="488" t="str">
        <f>IF(AF$4="","",IF(HLOOKUP(AF$4,'Physical Effects-Numbers'!$B$1:$AU$172,$B44,FALSE)&lt;0,HLOOKUP(AF$4,'Physical Effects-Numbers'!$B$1:$AU$172,$B44,FALSE),""))</f>
        <v/>
      </c>
      <c r="AG44" s="488" t="str">
        <f>IF(AG$4="","",IF(HLOOKUP(AG$4,'Physical Effects-Numbers'!$B$1:$AU$172,$B44,FALSE)&lt;0,HLOOKUP(AG$4,'Physical Effects-Numbers'!$B$1:$AU$172,$B44,FALSE),""))</f>
        <v/>
      </c>
      <c r="AH44" s="488" t="str">
        <f>IF(AH$4="","",IF(HLOOKUP(AH$4,'Physical Effects-Numbers'!$B$1:$AU$172,$B44,FALSE)&lt;0,HLOOKUP(AH$4,'Physical Effects-Numbers'!$B$1:$AU$172,$B44,FALSE),""))</f>
        <v/>
      </c>
      <c r="AI44" s="488" t="str">
        <f>IF(AI$4="","",IF(HLOOKUP(AI$4,'Physical Effects-Numbers'!$B$1:$AU$172,$B44,FALSE)&lt;0,HLOOKUP(AI$4,'Physical Effects-Numbers'!$B$1:$AU$172,$B44,FALSE),""))</f>
        <v/>
      </c>
      <c r="AJ44" s="488" t="str">
        <f>IF(AJ$4="","",IF(HLOOKUP(AJ$4,'Physical Effects-Numbers'!$B$1:$AU$172,$B44,FALSE)&lt;0,HLOOKUP(AJ$4,'Physical Effects-Numbers'!$B$1:$AU$172,$B44,FALSE),""))</f>
        <v/>
      </c>
      <c r="AK44" s="488" t="str">
        <f>IF(AK$4="","",IF(HLOOKUP(AK$4,'Physical Effects-Numbers'!$B$1:$AU$172,$B44,FALSE)&lt;0,HLOOKUP(AK$4,'Physical Effects-Numbers'!$B$1:$AU$172,$B44,FALSE),""))</f>
        <v/>
      </c>
      <c r="AL44" s="488" t="str">
        <f>IF(AL$4="","",IF(HLOOKUP(AL$4,'Physical Effects-Numbers'!$B$1:$AU$172,$B44,FALSE)&lt;0,HLOOKUP(AL$4,'Physical Effects-Numbers'!$B$1:$AU$172,$B44,FALSE),""))</f>
        <v/>
      </c>
      <c r="AM44" s="488" t="str">
        <f>IF(AM$4="","",IF(HLOOKUP(AM$4,'Physical Effects-Numbers'!$B$1:$AU$172,$B44,FALSE)&lt;0,HLOOKUP(AM$4,'Physical Effects-Numbers'!$B$1:$AU$172,$B44,FALSE),""))</f>
        <v/>
      </c>
      <c r="AN44" s="488" t="str">
        <f>IF(AN$4="","",IF(HLOOKUP(AN$4,'Physical Effects-Numbers'!$B$1:$AU$172,$B44,FALSE)&lt;0,HLOOKUP(AN$4,'Physical Effects-Numbers'!$B$1:$AU$172,$B44,FALSE),""))</f>
        <v/>
      </c>
      <c r="AO44" s="488" t="str">
        <f>IF(AO$4="","",IF(HLOOKUP(AO$4,'Physical Effects-Numbers'!$B$1:$AU$172,$B44,FALSE)&lt;0,HLOOKUP(AO$4,'Physical Effects-Numbers'!$B$1:$AU$172,$B44,FALSE),""))</f>
        <v/>
      </c>
      <c r="AP44" s="488" t="str">
        <f>IF(AP$4="","",IF(HLOOKUP(AP$4,'Physical Effects-Numbers'!$B$1:$AU$172,$B44,FALSE)&lt;0,HLOOKUP(AP$4,'Physical Effects-Numbers'!$B$1:$AU$172,$B44,FALSE),""))</f>
        <v/>
      </c>
      <c r="AQ44" s="488" t="str">
        <f>IF(AQ$4="","",IF(HLOOKUP(AQ$4,'Physical Effects-Numbers'!$B$1:$AU$172,$B44,FALSE)&lt;0,HLOOKUP(AQ$4,'Physical Effects-Numbers'!$B$1:$AU$172,$B44,FALSE),""))</f>
        <v/>
      </c>
      <c r="AR44" s="488" t="str">
        <f>IF(AR$4="","",IF(HLOOKUP(AR$4,'Physical Effects-Numbers'!$B$1:$AU$172,$B44,FALSE)&lt;0,HLOOKUP(AR$4,'Physical Effects-Numbers'!$B$1:$AU$172,$B44,FALSE),""))</f>
        <v/>
      </c>
      <c r="AS44" s="488" t="str">
        <f>IF(AS$4="","",IF(HLOOKUP(AS$4,'Physical Effects-Numbers'!$B$1:$AU$172,$B44,FALSE)&lt;0,HLOOKUP(AS$4,'Physical Effects-Numbers'!$B$1:$AU$172,$B44,FALSE),""))</f>
        <v/>
      </c>
      <c r="AT44" s="488" t="str">
        <f>IF(AT$4="","",IF(HLOOKUP(AT$4,'Physical Effects-Numbers'!$B$1:$AU$172,$B44,FALSE)&lt;0,HLOOKUP(AT$4,'Physical Effects-Numbers'!$B$1:$AU$172,$B44,FALSE),""))</f>
        <v/>
      </c>
      <c r="AU44" s="488" t="str">
        <f>IF(AU$4="","",IF(HLOOKUP(AU$4,'Physical Effects-Numbers'!$B$1:$AU$172,$B44,FALSE)&lt;0,HLOOKUP(AU$4,'Physical Effects-Numbers'!$B$1:$AU$172,$B44,FALSE),""))</f>
        <v/>
      </c>
      <c r="AV44" s="488" t="str">
        <f>IF(AV$4="","",IF(HLOOKUP(AV$4,'Physical Effects-Numbers'!$B$1:$AU$167,$B44,FALSE)&lt;0,HLOOKUP(AV$4,'Physical Effects-Numbers'!$B$1:$AU$167,$B44,FALSE),""))</f>
        <v/>
      </c>
    </row>
    <row r="45" spans="2:48" x14ac:dyDescent="0.2">
      <c r="B45" s="487">
        <f t="shared" si="0"/>
        <v>42</v>
      </c>
      <c r="C45" s="486" t="str">
        <f>+'Physical Effects-Numbers'!B42</f>
        <v>Dust Control on Unpaved Roads and Surfaces</v>
      </c>
      <c r="D45" s="488" t="str">
        <f>IF(D$4="","",IF(HLOOKUP(D$4,'Physical Effects-Numbers'!$B$1:$AU$172,$B45,FALSE)&lt;0,HLOOKUP(D$4,'Physical Effects-Numbers'!$B$1:$AU$172,$B45,FALSE),""))</f>
        <v/>
      </c>
      <c r="E45" s="488" t="str">
        <f>IF(E$4="","",IF(HLOOKUP(E$4,'Physical Effects-Numbers'!$B$1:$AU$172,$B45,FALSE)&lt;0,HLOOKUP(E$4,'Physical Effects-Numbers'!$B$1:$AU$172,$B45,FALSE),""))</f>
        <v/>
      </c>
      <c r="F45" s="488" t="str">
        <f>IF(F$4="","",IF(HLOOKUP(F$4,'Physical Effects-Numbers'!$B$1:$AU$172,$B45,FALSE)&lt;0,HLOOKUP(F$4,'Physical Effects-Numbers'!$B$1:$AU$172,$B45,FALSE),""))</f>
        <v/>
      </c>
      <c r="G45" s="488" t="str">
        <f>IF(G$4="","",IF(HLOOKUP(G$4,'Physical Effects-Numbers'!$B$1:$AU$172,$B45,FALSE)&lt;0,HLOOKUP(G$4,'Physical Effects-Numbers'!$B$1:$AU$172,$B45,FALSE),""))</f>
        <v/>
      </c>
      <c r="H45" s="488" t="str">
        <f>IF(H$4="","",IF(HLOOKUP(H$4,'Physical Effects-Numbers'!$B$1:$AU$172,$B45,FALSE)&lt;0,HLOOKUP(H$4,'Physical Effects-Numbers'!$B$1:$AU$172,$B45,FALSE),""))</f>
        <v/>
      </c>
      <c r="I45" s="488" t="str">
        <f>IF(I$4="","",IF(HLOOKUP(I$4,'Physical Effects-Numbers'!$B$1:$AU$172,$B45,FALSE)&lt;0,HLOOKUP(I$4,'Physical Effects-Numbers'!$B$1:$AU$172,$B45,FALSE),""))</f>
        <v/>
      </c>
      <c r="J45" s="488" t="str">
        <f>IF(J$4="","",IF(HLOOKUP(J$4,'Physical Effects-Numbers'!$B$1:$AU$172,$B45,FALSE)&lt;0,HLOOKUP(J$4,'Physical Effects-Numbers'!$B$1:$AU$172,$B45,FALSE),""))</f>
        <v/>
      </c>
      <c r="K45" s="488" t="str">
        <f>IF(K$4="","",IF(HLOOKUP(K$4,'Physical Effects-Numbers'!$B$1:$AU$172,$B45,FALSE)&lt;0,HLOOKUP(K$4,'Physical Effects-Numbers'!$B$1:$AU$172,$B45,FALSE),""))</f>
        <v/>
      </c>
      <c r="L45" s="488">
        <f>IF(L$4="","",IF(HLOOKUP(L$4,'Physical Effects-Numbers'!$B$1:$AU$172,$B45,FALSE)&lt;0,HLOOKUP(L$4,'Physical Effects-Numbers'!$B$1:$AU$172,$B45,FALSE),""))</f>
        <v>-1</v>
      </c>
      <c r="M45" s="488" t="str">
        <f>IF(M$4="","",IF(HLOOKUP(M$4,'Physical Effects-Numbers'!$B$1:$AU$172,$B45,FALSE)&lt;0,HLOOKUP(M$4,'Physical Effects-Numbers'!$B$1:$AU$172,$B45,FALSE),""))</f>
        <v/>
      </c>
      <c r="N45" s="488" t="str">
        <f>IF(N$4="","",IF(HLOOKUP(N$4,'Physical Effects-Numbers'!$B$1:$AU$172,$B45,FALSE)&lt;0,HLOOKUP(N$4,'Physical Effects-Numbers'!$B$1:$AU$172,$B45,FALSE),""))</f>
        <v/>
      </c>
      <c r="O45" s="488" t="str">
        <f>IF(O$4="","",IF(HLOOKUP(O$4,'Physical Effects-Numbers'!$B$1:$AU$172,$B45,FALSE)&lt;0,HLOOKUP(O$4,'Physical Effects-Numbers'!$B$1:$AU$172,$B45,FALSE),""))</f>
        <v/>
      </c>
      <c r="P45" s="488" t="str">
        <f>IF(P$4="","",IF(HLOOKUP(P$4,'Physical Effects-Numbers'!$B$1:$AU$172,$B45,FALSE)&lt;0,HLOOKUP(P$4,'Physical Effects-Numbers'!$B$1:$AU$172,$B45,FALSE),""))</f>
        <v/>
      </c>
      <c r="Q45" s="488" t="str">
        <f>IF(Q$4="","",IF(HLOOKUP(Q$4,'Physical Effects-Numbers'!$B$1:$AU$172,$B45,FALSE)&lt;0,HLOOKUP(Q$4,'Physical Effects-Numbers'!$B$1:$AU$172,$B45,FALSE),""))</f>
        <v/>
      </c>
      <c r="R45" s="488" t="str">
        <f>IF(R$4="","",IF(HLOOKUP(R$4,'Physical Effects-Numbers'!$B$1:$AU$172,$B45,FALSE)&lt;0,HLOOKUP(R$4,'Physical Effects-Numbers'!$B$1:$AU$172,$B45,FALSE),""))</f>
        <v/>
      </c>
      <c r="S45" s="488" t="str">
        <f>IF(S$4="","",IF(HLOOKUP(S$4,'Physical Effects-Numbers'!$B$1:$AU$172,$B45,FALSE)&lt;0,HLOOKUP(S$4,'Physical Effects-Numbers'!$B$1:$AU$172,$B45,FALSE),""))</f>
        <v/>
      </c>
      <c r="T45" s="488" t="str">
        <f>IF(T$4="","",IF(HLOOKUP(T$4,'Physical Effects-Numbers'!$B$1:$AU$172,$B45,FALSE)&lt;0,HLOOKUP(T$4,'Physical Effects-Numbers'!$B$1:$AU$172,$B45,FALSE),""))</f>
        <v/>
      </c>
      <c r="U45" s="488">
        <f>IF(U$4="","",IF(HLOOKUP(U$4,'Physical Effects-Numbers'!$B$1:$AU$172,$B45,FALSE)&lt;0,HLOOKUP(U$4,'Physical Effects-Numbers'!$B$1:$AU$172,$B45,FALSE),""))</f>
        <v>-1</v>
      </c>
      <c r="V45" s="488" t="str">
        <f>IF(V$4="","",IF(HLOOKUP(V$4,'Physical Effects-Numbers'!$B$1:$AU$172,$B45,FALSE)&lt;0,HLOOKUP(V$4,'Physical Effects-Numbers'!$B$1:$AU$172,$B45,FALSE),""))</f>
        <v/>
      </c>
      <c r="W45" s="488">
        <f>IF(W$4="","",IF(HLOOKUP(W$4,'Physical Effects-Numbers'!$B$1:$AU$172,$B45,FALSE)&lt;0,HLOOKUP(W$4,'Physical Effects-Numbers'!$B$1:$AU$172,$B45,FALSE),""))</f>
        <v>-1</v>
      </c>
      <c r="X45" s="488" t="str">
        <f>IF(X$4="","",IF(HLOOKUP(X$4,'Physical Effects-Numbers'!$B$1:$AU$172,$B45,FALSE)&lt;0,HLOOKUP(X$4,'Physical Effects-Numbers'!$B$1:$AU$172,$B45,FALSE),""))</f>
        <v/>
      </c>
      <c r="Y45" s="488" t="str">
        <f>IF(Y$4="","",IF(HLOOKUP(Y$4,'Physical Effects-Numbers'!$B$1:$AU$172,$B45,FALSE)&lt;0,HLOOKUP(Y$4,'Physical Effects-Numbers'!$B$1:$AU$172,$B45,FALSE),""))</f>
        <v/>
      </c>
      <c r="Z45" s="488" t="str">
        <f>IF(Z$4="","",IF(HLOOKUP(Z$4,'Physical Effects-Numbers'!$B$1:$AU$172,$B45,FALSE)&lt;0,HLOOKUP(Z$4,'Physical Effects-Numbers'!$B$1:$AU$172,$B45,FALSE),""))</f>
        <v/>
      </c>
      <c r="AA45" s="488" t="str">
        <f>IF(AA$4="","",IF(HLOOKUP(AA$4,'Physical Effects-Numbers'!$B$1:$AU$172,$B45,FALSE)&lt;0,HLOOKUP(AA$4,'Physical Effects-Numbers'!$B$1:$AU$172,$B45,FALSE),""))</f>
        <v/>
      </c>
      <c r="AB45" s="488" t="str">
        <f>IF(AB$4="","",IF(HLOOKUP(AB$4,'Physical Effects-Numbers'!$B$1:$AU$172,$B45,FALSE)&lt;0,HLOOKUP(AB$4,'Physical Effects-Numbers'!$B$1:$AU$172,$B45,FALSE),""))</f>
        <v/>
      </c>
      <c r="AC45" s="488">
        <f>IF(AC$4="","",IF(HLOOKUP(AC$4,'Physical Effects-Numbers'!$B$1:$AU$172,$B45,FALSE)&lt;0,HLOOKUP(AC$4,'Physical Effects-Numbers'!$B$1:$AU$172,$B45,FALSE),""))</f>
        <v>-1</v>
      </c>
      <c r="AD45" s="488" t="str">
        <f>IF(AD$4="","",IF(HLOOKUP(AD$4,'Physical Effects-Numbers'!$B$1:$AU$172,$B45,FALSE)&lt;0,HLOOKUP(AD$4,'Physical Effects-Numbers'!$B$1:$AU$172,$B45,FALSE),""))</f>
        <v/>
      </c>
      <c r="AE45" s="488" t="str">
        <f>IF(AE$4="","",IF(HLOOKUP(AE$4,'Physical Effects-Numbers'!$B$1:$AU$172,$B45,FALSE)&lt;0,HLOOKUP(AE$4,'Physical Effects-Numbers'!$B$1:$AU$172,$B45,FALSE),""))</f>
        <v/>
      </c>
      <c r="AF45" s="488" t="str">
        <f>IF(AF$4="","",IF(HLOOKUP(AF$4,'Physical Effects-Numbers'!$B$1:$AU$172,$B45,FALSE)&lt;0,HLOOKUP(AF$4,'Physical Effects-Numbers'!$B$1:$AU$172,$B45,FALSE),""))</f>
        <v/>
      </c>
      <c r="AG45" s="488" t="str">
        <f>IF(AG$4="","",IF(HLOOKUP(AG$4,'Physical Effects-Numbers'!$B$1:$AU$172,$B45,FALSE)&lt;0,HLOOKUP(AG$4,'Physical Effects-Numbers'!$B$1:$AU$172,$B45,FALSE),""))</f>
        <v/>
      </c>
      <c r="AH45" s="488" t="str">
        <f>IF(AH$4="","",IF(HLOOKUP(AH$4,'Physical Effects-Numbers'!$B$1:$AU$172,$B45,FALSE)&lt;0,HLOOKUP(AH$4,'Physical Effects-Numbers'!$B$1:$AU$172,$B45,FALSE),""))</f>
        <v/>
      </c>
      <c r="AI45" s="488" t="str">
        <f>IF(AI$4="","",IF(HLOOKUP(AI$4,'Physical Effects-Numbers'!$B$1:$AU$172,$B45,FALSE)&lt;0,HLOOKUP(AI$4,'Physical Effects-Numbers'!$B$1:$AU$172,$B45,FALSE),""))</f>
        <v/>
      </c>
      <c r="AJ45" s="488" t="str">
        <f>IF(AJ$4="","",IF(HLOOKUP(AJ$4,'Physical Effects-Numbers'!$B$1:$AU$172,$B45,FALSE)&lt;0,HLOOKUP(AJ$4,'Physical Effects-Numbers'!$B$1:$AU$172,$B45,FALSE),""))</f>
        <v/>
      </c>
      <c r="AK45" s="488" t="str">
        <f>IF(AK$4="","",IF(HLOOKUP(AK$4,'Physical Effects-Numbers'!$B$1:$AU$172,$B45,FALSE)&lt;0,HLOOKUP(AK$4,'Physical Effects-Numbers'!$B$1:$AU$172,$B45,FALSE),""))</f>
        <v/>
      </c>
      <c r="AL45" s="488" t="str">
        <f>IF(AL$4="","",IF(HLOOKUP(AL$4,'Physical Effects-Numbers'!$B$1:$AU$172,$B45,FALSE)&lt;0,HLOOKUP(AL$4,'Physical Effects-Numbers'!$B$1:$AU$172,$B45,FALSE),""))</f>
        <v/>
      </c>
      <c r="AM45" s="488" t="str">
        <f>IF(AM$4="","",IF(HLOOKUP(AM$4,'Physical Effects-Numbers'!$B$1:$AU$172,$B45,FALSE)&lt;0,HLOOKUP(AM$4,'Physical Effects-Numbers'!$B$1:$AU$172,$B45,FALSE),""))</f>
        <v/>
      </c>
      <c r="AN45" s="488" t="str">
        <f>IF(AN$4="","",IF(HLOOKUP(AN$4,'Physical Effects-Numbers'!$B$1:$AU$172,$B45,FALSE)&lt;0,HLOOKUP(AN$4,'Physical Effects-Numbers'!$B$1:$AU$172,$B45,FALSE),""))</f>
        <v/>
      </c>
      <c r="AO45" s="488" t="str">
        <f>IF(AO$4="","",IF(HLOOKUP(AO$4,'Physical Effects-Numbers'!$B$1:$AU$172,$B45,FALSE)&lt;0,HLOOKUP(AO$4,'Physical Effects-Numbers'!$B$1:$AU$172,$B45,FALSE),""))</f>
        <v/>
      </c>
      <c r="AP45" s="488" t="str">
        <f>IF(AP$4="","",IF(HLOOKUP(AP$4,'Physical Effects-Numbers'!$B$1:$AU$172,$B45,FALSE)&lt;0,HLOOKUP(AP$4,'Physical Effects-Numbers'!$B$1:$AU$172,$B45,FALSE),""))</f>
        <v/>
      </c>
      <c r="AQ45" s="488" t="str">
        <f>IF(AQ$4="","",IF(HLOOKUP(AQ$4,'Physical Effects-Numbers'!$B$1:$AU$172,$B45,FALSE)&lt;0,HLOOKUP(AQ$4,'Physical Effects-Numbers'!$B$1:$AU$172,$B45,FALSE),""))</f>
        <v/>
      </c>
      <c r="AR45" s="488" t="str">
        <f>IF(AR$4="","",IF(HLOOKUP(AR$4,'Physical Effects-Numbers'!$B$1:$AU$172,$B45,FALSE)&lt;0,HLOOKUP(AR$4,'Physical Effects-Numbers'!$B$1:$AU$172,$B45,FALSE),""))</f>
        <v/>
      </c>
      <c r="AS45" s="488" t="str">
        <f>IF(AS$4="","",IF(HLOOKUP(AS$4,'Physical Effects-Numbers'!$B$1:$AU$172,$B45,FALSE)&lt;0,HLOOKUP(AS$4,'Physical Effects-Numbers'!$B$1:$AU$172,$B45,FALSE),""))</f>
        <v/>
      </c>
      <c r="AT45" s="488" t="str">
        <f>IF(AT$4="","",IF(HLOOKUP(AT$4,'Physical Effects-Numbers'!$B$1:$AU$172,$B45,FALSE)&lt;0,HLOOKUP(AT$4,'Physical Effects-Numbers'!$B$1:$AU$172,$B45,FALSE),""))</f>
        <v/>
      </c>
      <c r="AU45" s="488" t="str">
        <f>IF(AU$4="","",IF(HLOOKUP(AU$4,'Physical Effects-Numbers'!$B$1:$AU$172,$B45,FALSE)&lt;0,HLOOKUP(AU$4,'Physical Effects-Numbers'!$B$1:$AU$172,$B45,FALSE),""))</f>
        <v/>
      </c>
      <c r="AV45" s="488" t="str">
        <f>IF(AV$4="","",IF(HLOOKUP(AV$4,'Physical Effects-Numbers'!$B$1:$AU$167,$B45,FALSE)&lt;0,HLOOKUP(AV$4,'Physical Effects-Numbers'!$B$1:$AU$167,$B45,FALSE),""))</f>
        <v/>
      </c>
    </row>
    <row r="46" spans="2:48" x14ac:dyDescent="0.2">
      <c r="B46" s="487">
        <f t="shared" si="0"/>
        <v>43</v>
      </c>
      <c r="C46" s="486" t="str">
        <f>+'Physical Effects-Numbers'!B43</f>
        <v>Early Successional Habitat Development/Mgt.</v>
      </c>
      <c r="D46" s="488" t="str">
        <f>IF(D$4="","",IF(HLOOKUP(D$4,'Physical Effects-Numbers'!$B$1:$AU$172,$B46,FALSE)&lt;0,HLOOKUP(D$4,'Physical Effects-Numbers'!$B$1:$AU$172,$B46,FALSE),""))</f>
        <v/>
      </c>
      <c r="E46" s="488" t="str">
        <f>IF(E$4="","",IF(HLOOKUP(E$4,'Physical Effects-Numbers'!$B$1:$AU$172,$B46,FALSE)&lt;0,HLOOKUP(E$4,'Physical Effects-Numbers'!$B$1:$AU$172,$B46,FALSE),""))</f>
        <v/>
      </c>
      <c r="F46" s="488" t="str">
        <f>IF(F$4="","",IF(HLOOKUP(F$4,'Physical Effects-Numbers'!$B$1:$AU$172,$B46,FALSE)&lt;0,HLOOKUP(F$4,'Physical Effects-Numbers'!$B$1:$AU$172,$B46,FALSE),""))</f>
        <v/>
      </c>
      <c r="G46" s="488" t="str">
        <f>IF(G$4="","",IF(HLOOKUP(G$4,'Physical Effects-Numbers'!$B$1:$AU$172,$B46,FALSE)&lt;0,HLOOKUP(G$4,'Physical Effects-Numbers'!$B$1:$AU$172,$B46,FALSE),""))</f>
        <v/>
      </c>
      <c r="H46" s="488" t="str">
        <f>IF(H$4="","",IF(HLOOKUP(H$4,'Physical Effects-Numbers'!$B$1:$AU$172,$B46,FALSE)&lt;0,HLOOKUP(H$4,'Physical Effects-Numbers'!$B$1:$AU$172,$B46,FALSE),""))</f>
        <v/>
      </c>
      <c r="I46" s="488" t="str">
        <f>IF(I$4="","",IF(HLOOKUP(I$4,'Physical Effects-Numbers'!$B$1:$AU$172,$B46,FALSE)&lt;0,HLOOKUP(I$4,'Physical Effects-Numbers'!$B$1:$AU$172,$B46,FALSE),""))</f>
        <v/>
      </c>
      <c r="J46" s="488" t="str">
        <f>IF(J$4="","",IF(HLOOKUP(J$4,'Physical Effects-Numbers'!$B$1:$AU$172,$B46,FALSE)&lt;0,HLOOKUP(J$4,'Physical Effects-Numbers'!$B$1:$AU$172,$B46,FALSE),""))</f>
        <v/>
      </c>
      <c r="K46" s="488" t="str">
        <f>IF(K$4="","",IF(HLOOKUP(K$4,'Physical Effects-Numbers'!$B$1:$AU$172,$B46,FALSE)&lt;0,HLOOKUP(K$4,'Physical Effects-Numbers'!$B$1:$AU$172,$B46,FALSE),""))</f>
        <v/>
      </c>
      <c r="L46" s="488" t="str">
        <f>IF(L$4="","",IF(HLOOKUP(L$4,'Physical Effects-Numbers'!$B$1:$AU$172,$B46,FALSE)&lt;0,HLOOKUP(L$4,'Physical Effects-Numbers'!$B$1:$AU$172,$B46,FALSE),""))</f>
        <v/>
      </c>
      <c r="M46" s="488" t="str">
        <f>IF(M$4="","",IF(HLOOKUP(M$4,'Physical Effects-Numbers'!$B$1:$AU$172,$B46,FALSE)&lt;0,HLOOKUP(M$4,'Physical Effects-Numbers'!$B$1:$AU$172,$B46,FALSE),""))</f>
        <v/>
      </c>
      <c r="N46" s="488" t="str">
        <f>IF(N$4="","",IF(HLOOKUP(N$4,'Physical Effects-Numbers'!$B$1:$AU$172,$B46,FALSE)&lt;0,HLOOKUP(N$4,'Physical Effects-Numbers'!$B$1:$AU$172,$B46,FALSE),""))</f>
        <v/>
      </c>
      <c r="O46" s="488" t="str">
        <f>IF(O$4="","",IF(HLOOKUP(O$4,'Physical Effects-Numbers'!$B$1:$AU$172,$B46,FALSE)&lt;0,HLOOKUP(O$4,'Physical Effects-Numbers'!$B$1:$AU$172,$B46,FALSE),""))</f>
        <v/>
      </c>
      <c r="P46" s="488" t="str">
        <f>IF(P$4="","",IF(HLOOKUP(P$4,'Physical Effects-Numbers'!$B$1:$AU$172,$B46,FALSE)&lt;0,HLOOKUP(P$4,'Physical Effects-Numbers'!$B$1:$AU$172,$B46,FALSE),""))</f>
        <v/>
      </c>
      <c r="Q46" s="488" t="str">
        <f>IF(Q$4="","",IF(HLOOKUP(Q$4,'Physical Effects-Numbers'!$B$1:$AU$172,$B46,FALSE)&lt;0,HLOOKUP(Q$4,'Physical Effects-Numbers'!$B$1:$AU$172,$B46,FALSE),""))</f>
        <v/>
      </c>
      <c r="R46" s="488" t="str">
        <f>IF(R$4="","",IF(HLOOKUP(R$4,'Physical Effects-Numbers'!$B$1:$AU$172,$B46,FALSE)&lt;0,HLOOKUP(R$4,'Physical Effects-Numbers'!$B$1:$AU$172,$B46,FALSE),""))</f>
        <v/>
      </c>
      <c r="S46" s="488" t="str">
        <f>IF(S$4="","",IF(HLOOKUP(S$4,'Physical Effects-Numbers'!$B$1:$AU$172,$B46,FALSE)&lt;0,HLOOKUP(S$4,'Physical Effects-Numbers'!$B$1:$AU$172,$B46,FALSE),""))</f>
        <v/>
      </c>
      <c r="T46" s="488" t="str">
        <f>IF(T$4="","",IF(HLOOKUP(T$4,'Physical Effects-Numbers'!$B$1:$AU$172,$B46,FALSE)&lt;0,HLOOKUP(T$4,'Physical Effects-Numbers'!$B$1:$AU$172,$B46,FALSE),""))</f>
        <v/>
      </c>
      <c r="U46" s="488" t="str">
        <f>IF(U$4="","",IF(HLOOKUP(U$4,'Physical Effects-Numbers'!$B$1:$AU$172,$B46,FALSE)&lt;0,HLOOKUP(U$4,'Physical Effects-Numbers'!$B$1:$AU$172,$B46,FALSE),""))</f>
        <v/>
      </c>
      <c r="V46" s="488" t="str">
        <f>IF(V$4="","",IF(HLOOKUP(V$4,'Physical Effects-Numbers'!$B$1:$AU$172,$B46,FALSE)&lt;0,HLOOKUP(V$4,'Physical Effects-Numbers'!$B$1:$AU$172,$B46,FALSE),""))</f>
        <v/>
      </c>
      <c r="W46" s="488" t="str">
        <f>IF(W$4="","",IF(HLOOKUP(W$4,'Physical Effects-Numbers'!$B$1:$AU$172,$B46,FALSE)&lt;0,HLOOKUP(W$4,'Physical Effects-Numbers'!$B$1:$AU$172,$B46,FALSE),""))</f>
        <v/>
      </c>
      <c r="X46" s="488" t="str">
        <f>IF(X$4="","",IF(HLOOKUP(X$4,'Physical Effects-Numbers'!$B$1:$AU$172,$B46,FALSE)&lt;0,HLOOKUP(X$4,'Physical Effects-Numbers'!$B$1:$AU$172,$B46,FALSE),""))</f>
        <v/>
      </c>
      <c r="Y46" s="488" t="str">
        <f>IF(Y$4="","",IF(HLOOKUP(Y$4,'Physical Effects-Numbers'!$B$1:$AU$172,$B46,FALSE)&lt;0,HLOOKUP(Y$4,'Physical Effects-Numbers'!$B$1:$AU$172,$B46,FALSE),""))</f>
        <v/>
      </c>
      <c r="Z46" s="488" t="str">
        <f>IF(Z$4="","",IF(HLOOKUP(Z$4,'Physical Effects-Numbers'!$B$1:$AU$172,$B46,FALSE)&lt;0,HLOOKUP(Z$4,'Physical Effects-Numbers'!$B$1:$AU$172,$B46,FALSE),""))</f>
        <v/>
      </c>
      <c r="AA46" s="488" t="str">
        <f>IF(AA$4="","",IF(HLOOKUP(AA$4,'Physical Effects-Numbers'!$B$1:$AU$172,$B46,FALSE)&lt;0,HLOOKUP(AA$4,'Physical Effects-Numbers'!$B$1:$AU$172,$B46,FALSE),""))</f>
        <v/>
      </c>
      <c r="AB46" s="488">
        <f>IF(AB$4="","",IF(HLOOKUP(AB$4,'Physical Effects-Numbers'!$B$1:$AU$172,$B46,FALSE)&lt;0,HLOOKUP(AB$4,'Physical Effects-Numbers'!$B$1:$AU$172,$B46,FALSE),""))</f>
        <v>-2</v>
      </c>
      <c r="AC46" s="488" t="str">
        <f>IF(AC$4="","",IF(HLOOKUP(AC$4,'Physical Effects-Numbers'!$B$1:$AU$172,$B46,FALSE)&lt;0,HLOOKUP(AC$4,'Physical Effects-Numbers'!$B$1:$AU$172,$B46,FALSE),""))</f>
        <v/>
      </c>
      <c r="AD46" s="488" t="str">
        <f>IF(AD$4="","",IF(HLOOKUP(AD$4,'Physical Effects-Numbers'!$B$1:$AU$172,$B46,FALSE)&lt;0,HLOOKUP(AD$4,'Physical Effects-Numbers'!$B$1:$AU$172,$B46,FALSE),""))</f>
        <v/>
      </c>
      <c r="AE46" s="488" t="str">
        <f>IF(AE$4="","",IF(HLOOKUP(AE$4,'Physical Effects-Numbers'!$B$1:$AU$172,$B46,FALSE)&lt;0,HLOOKUP(AE$4,'Physical Effects-Numbers'!$B$1:$AU$172,$B46,FALSE),""))</f>
        <v/>
      </c>
      <c r="AF46" s="488" t="str">
        <f>IF(AF$4="","",IF(HLOOKUP(AF$4,'Physical Effects-Numbers'!$B$1:$AU$172,$B46,FALSE)&lt;0,HLOOKUP(AF$4,'Physical Effects-Numbers'!$B$1:$AU$172,$B46,FALSE),""))</f>
        <v/>
      </c>
      <c r="AG46" s="488" t="str">
        <f>IF(AG$4="","",IF(HLOOKUP(AG$4,'Physical Effects-Numbers'!$B$1:$AU$172,$B46,FALSE)&lt;0,HLOOKUP(AG$4,'Physical Effects-Numbers'!$B$1:$AU$172,$B46,FALSE),""))</f>
        <v/>
      </c>
      <c r="AH46" s="488" t="str">
        <f>IF(AH$4="","",IF(HLOOKUP(AH$4,'Physical Effects-Numbers'!$B$1:$AU$172,$B46,FALSE)&lt;0,HLOOKUP(AH$4,'Physical Effects-Numbers'!$B$1:$AU$172,$B46,FALSE),""))</f>
        <v/>
      </c>
      <c r="AI46" s="488" t="str">
        <f>IF(AI$4="","",IF(HLOOKUP(AI$4,'Physical Effects-Numbers'!$B$1:$AU$172,$B46,FALSE)&lt;0,HLOOKUP(AI$4,'Physical Effects-Numbers'!$B$1:$AU$172,$B46,FALSE),""))</f>
        <v/>
      </c>
      <c r="AJ46" s="488" t="str">
        <f>IF(AJ$4="","",IF(HLOOKUP(AJ$4,'Physical Effects-Numbers'!$B$1:$AU$172,$B46,FALSE)&lt;0,HLOOKUP(AJ$4,'Physical Effects-Numbers'!$B$1:$AU$172,$B46,FALSE),""))</f>
        <v/>
      </c>
      <c r="AK46" s="488" t="str">
        <f>IF(AK$4="","",IF(HLOOKUP(AK$4,'Physical Effects-Numbers'!$B$1:$AU$172,$B46,FALSE)&lt;0,HLOOKUP(AK$4,'Physical Effects-Numbers'!$B$1:$AU$172,$B46,FALSE),""))</f>
        <v/>
      </c>
      <c r="AL46" s="488" t="str">
        <f>IF(AL$4="","",IF(HLOOKUP(AL$4,'Physical Effects-Numbers'!$B$1:$AU$172,$B46,FALSE)&lt;0,HLOOKUP(AL$4,'Physical Effects-Numbers'!$B$1:$AU$172,$B46,FALSE),""))</f>
        <v/>
      </c>
      <c r="AM46" s="488" t="str">
        <f>IF(AM$4="","",IF(HLOOKUP(AM$4,'Physical Effects-Numbers'!$B$1:$AU$172,$B46,FALSE)&lt;0,HLOOKUP(AM$4,'Physical Effects-Numbers'!$B$1:$AU$172,$B46,FALSE),""))</f>
        <v/>
      </c>
      <c r="AN46" s="488" t="str">
        <f>IF(AN$4="","",IF(HLOOKUP(AN$4,'Physical Effects-Numbers'!$B$1:$AU$172,$B46,FALSE)&lt;0,HLOOKUP(AN$4,'Physical Effects-Numbers'!$B$1:$AU$172,$B46,FALSE),""))</f>
        <v/>
      </c>
      <c r="AO46" s="488" t="str">
        <f>IF(AO$4="","",IF(HLOOKUP(AO$4,'Physical Effects-Numbers'!$B$1:$AU$172,$B46,FALSE)&lt;0,HLOOKUP(AO$4,'Physical Effects-Numbers'!$B$1:$AU$172,$B46,FALSE),""))</f>
        <v/>
      </c>
      <c r="AP46" s="488" t="str">
        <f>IF(AP$4="","",IF(HLOOKUP(AP$4,'Physical Effects-Numbers'!$B$1:$AU$172,$B46,FALSE)&lt;0,HLOOKUP(AP$4,'Physical Effects-Numbers'!$B$1:$AU$172,$B46,FALSE),""))</f>
        <v/>
      </c>
      <c r="AQ46" s="488" t="str">
        <f>IF(AQ$4="","",IF(HLOOKUP(AQ$4,'Physical Effects-Numbers'!$B$1:$AU$172,$B46,FALSE)&lt;0,HLOOKUP(AQ$4,'Physical Effects-Numbers'!$B$1:$AU$172,$B46,FALSE),""))</f>
        <v/>
      </c>
      <c r="AR46" s="488" t="str">
        <f>IF(AR$4="","",IF(HLOOKUP(AR$4,'Physical Effects-Numbers'!$B$1:$AU$172,$B46,FALSE)&lt;0,HLOOKUP(AR$4,'Physical Effects-Numbers'!$B$1:$AU$172,$B46,FALSE),""))</f>
        <v/>
      </c>
      <c r="AS46" s="488" t="str">
        <f>IF(AS$4="","",IF(HLOOKUP(AS$4,'Physical Effects-Numbers'!$B$1:$AU$172,$B46,FALSE)&lt;0,HLOOKUP(AS$4,'Physical Effects-Numbers'!$B$1:$AU$172,$B46,FALSE),""))</f>
        <v/>
      </c>
      <c r="AT46" s="488" t="str">
        <f>IF(AT$4="","",IF(HLOOKUP(AT$4,'Physical Effects-Numbers'!$B$1:$AU$172,$B46,FALSE)&lt;0,HLOOKUP(AT$4,'Physical Effects-Numbers'!$B$1:$AU$172,$B46,FALSE),""))</f>
        <v/>
      </c>
      <c r="AU46" s="488" t="str">
        <f>IF(AU$4="","",IF(HLOOKUP(AU$4,'Physical Effects-Numbers'!$B$1:$AU$172,$B46,FALSE)&lt;0,HLOOKUP(AU$4,'Physical Effects-Numbers'!$B$1:$AU$172,$B46,FALSE),""))</f>
        <v/>
      </c>
      <c r="AV46" s="488" t="str">
        <f>IF(AV$4="","",IF(HLOOKUP(AV$4,'Physical Effects-Numbers'!$B$1:$AU$167,$B46,FALSE)&lt;0,HLOOKUP(AV$4,'Physical Effects-Numbers'!$B$1:$AU$167,$B46,FALSE),""))</f>
        <v/>
      </c>
    </row>
    <row r="47" spans="2:48" x14ac:dyDescent="0.2">
      <c r="B47" s="487">
        <f t="shared" si="0"/>
        <v>44</v>
      </c>
      <c r="C47" s="486" t="str">
        <f>+'Physical Effects-Numbers'!B44</f>
        <v>Emergency Animal Mortality Management</v>
      </c>
      <c r="D47" s="488" t="str">
        <f>IF(D$4="","",IF(HLOOKUP(D$4,'Physical Effects-Numbers'!$B$1:$AU$172,$B47,FALSE)&lt;0,HLOOKUP(D$4,'Physical Effects-Numbers'!$B$1:$AU$172,$B47,FALSE),""))</f>
        <v/>
      </c>
      <c r="E47" s="488" t="str">
        <f>IF(E$4="","",IF(HLOOKUP(E$4,'Physical Effects-Numbers'!$B$1:$AU$172,$B47,FALSE)&lt;0,HLOOKUP(E$4,'Physical Effects-Numbers'!$B$1:$AU$172,$B47,FALSE),""))</f>
        <v/>
      </c>
      <c r="F47" s="488" t="str">
        <f>IF(F$4="","",IF(HLOOKUP(F$4,'Physical Effects-Numbers'!$B$1:$AU$172,$B47,FALSE)&lt;0,HLOOKUP(F$4,'Physical Effects-Numbers'!$B$1:$AU$172,$B47,FALSE),""))</f>
        <v/>
      </c>
      <c r="G47" s="488" t="str">
        <f>IF(G$4="","",IF(HLOOKUP(G$4,'Physical Effects-Numbers'!$B$1:$AU$172,$B47,FALSE)&lt;0,HLOOKUP(G$4,'Physical Effects-Numbers'!$B$1:$AU$172,$B47,FALSE),""))</f>
        <v/>
      </c>
      <c r="H47" s="488" t="str">
        <f>IF(H$4="","",IF(HLOOKUP(H$4,'Physical Effects-Numbers'!$B$1:$AU$172,$B47,FALSE)&lt;0,HLOOKUP(H$4,'Physical Effects-Numbers'!$B$1:$AU$172,$B47,FALSE),""))</f>
        <v/>
      </c>
      <c r="I47" s="488" t="str">
        <f>IF(I$4="","",IF(HLOOKUP(I$4,'Physical Effects-Numbers'!$B$1:$AU$172,$B47,FALSE)&lt;0,HLOOKUP(I$4,'Physical Effects-Numbers'!$B$1:$AU$172,$B47,FALSE),""))</f>
        <v/>
      </c>
      <c r="J47" s="488" t="str">
        <f>IF(J$4="","",IF(HLOOKUP(J$4,'Physical Effects-Numbers'!$B$1:$AU$172,$B47,FALSE)&lt;0,HLOOKUP(J$4,'Physical Effects-Numbers'!$B$1:$AU$172,$B47,FALSE),""))</f>
        <v/>
      </c>
      <c r="K47" s="488" t="str">
        <f>IF(K$4="","",IF(HLOOKUP(K$4,'Physical Effects-Numbers'!$B$1:$AU$172,$B47,FALSE)&lt;0,HLOOKUP(K$4,'Physical Effects-Numbers'!$B$1:$AU$172,$B47,FALSE),""))</f>
        <v/>
      </c>
      <c r="L47" s="488" t="str">
        <f>IF(L$4="","",IF(HLOOKUP(L$4,'Physical Effects-Numbers'!$B$1:$AU$172,$B47,FALSE)&lt;0,HLOOKUP(L$4,'Physical Effects-Numbers'!$B$1:$AU$172,$B47,FALSE),""))</f>
        <v/>
      </c>
      <c r="M47" s="488" t="str">
        <f>IF(M$4="","",IF(HLOOKUP(M$4,'Physical Effects-Numbers'!$B$1:$AU$172,$B47,FALSE)&lt;0,HLOOKUP(M$4,'Physical Effects-Numbers'!$B$1:$AU$172,$B47,FALSE),""))</f>
        <v/>
      </c>
      <c r="N47" s="488" t="str">
        <f>IF(N$4="","",IF(HLOOKUP(N$4,'Physical Effects-Numbers'!$B$1:$AU$172,$B47,FALSE)&lt;0,HLOOKUP(N$4,'Physical Effects-Numbers'!$B$1:$AU$172,$B47,FALSE),""))</f>
        <v/>
      </c>
      <c r="O47" s="488" t="str">
        <f>IF(O$4="","",IF(HLOOKUP(O$4,'Physical Effects-Numbers'!$B$1:$AU$172,$B47,FALSE)&lt;0,HLOOKUP(O$4,'Physical Effects-Numbers'!$B$1:$AU$172,$B47,FALSE),""))</f>
        <v/>
      </c>
      <c r="P47" s="488" t="str">
        <f>IF(P$4="","",IF(HLOOKUP(P$4,'Physical Effects-Numbers'!$B$1:$AU$172,$B47,FALSE)&lt;0,HLOOKUP(P$4,'Physical Effects-Numbers'!$B$1:$AU$172,$B47,FALSE),""))</f>
        <v/>
      </c>
      <c r="Q47" s="488" t="str">
        <f>IF(Q$4="","",IF(HLOOKUP(Q$4,'Physical Effects-Numbers'!$B$1:$AU$172,$B47,FALSE)&lt;0,HLOOKUP(Q$4,'Physical Effects-Numbers'!$B$1:$AU$172,$B47,FALSE),""))</f>
        <v/>
      </c>
      <c r="R47" s="488" t="str">
        <f>IF(R$4="","",IF(HLOOKUP(R$4,'Physical Effects-Numbers'!$B$1:$AU$172,$B47,FALSE)&lt;0,HLOOKUP(R$4,'Physical Effects-Numbers'!$B$1:$AU$172,$B47,FALSE),""))</f>
        <v/>
      </c>
      <c r="S47" s="488" t="str">
        <f>IF(S$4="","",IF(HLOOKUP(S$4,'Physical Effects-Numbers'!$B$1:$AU$172,$B47,FALSE)&lt;0,HLOOKUP(S$4,'Physical Effects-Numbers'!$B$1:$AU$172,$B47,FALSE),""))</f>
        <v/>
      </c>
      <c r="T47" s="488" t="str">
        <f>IF(T$4="","",IF(HLOOKUP(T$4,'Physical Effects-Numbers'!$B$1:$AU$172,$B47,FALSE)&lt;0,HLOOKUP(T$4,'Physical Effects-Numbers'!$B$1:$AU$172,$B47,FALSE),""))</f>
        <v/>
      </c>
      <c r="U47" s="488" t="str">
        <f>IF(U$4="","",IF(HLOOKUP(U$4,'Physical Effects-Numbers'!$B$1:$AU$172,$B47,FALSE)&lt;0,HLOOKUP(U$4,'Physical Effects-Numbers'!$B$1:$AU$172,$B47,FALSE),""))</f>
        <v/>
      </c>
      <c r="V47" s="488" t="str">
        <f>IF(V$4="","",IF(HLOOKUP(V$4,'Physical Effects-Numbers'!$B$1:$AU$172,$B47,FALSE)&lt;0,HLOOKUP(V$4,'Physical Effects-Numbers'!$B$1:$AU$172,$B47,FALSE),""))</f>
        <v/>
      </c>
      <c r="W47" s="488" t="str">
        <f>IF(W$4="","",IF(HLOOKUP(W$4,'Physical Effects-Numbers'!$B$1:$AU$172,$B47,FALSE)&lt;0,HLOOKUP(W$4,'Physical Effects-Numbers'!$B$1:$AU$172,$B47,FALSE),""))</f>
        <v/>
      </c>
      <c r="X47" s="488" t="str">
        <f>IF(X$4="","",IF(HLOOKUP(X$4,'Physical Effects-Numbers'!$B$1:$AU$172,$B47,FALSE)&lt;0,HLOOKUP(X$4,'Physical Effects-Numbers'!$B$1:$AU$172,$B47,FALSE),""))</f>
        <v/>
      </c>
      <c r="Y47" s="488" t="str">
        <f>IF(Y$4="","",IF(HLOOKUP(Y$4,'Physical Effects-Numbers'!$B$1:$AU$172,$B47,FALSE)&lt;0,HLOOKUP(Y$4,'Physical Effects-Numbers'!$B$1:$AU$172,$B47,FALSE),""))</f>
        <v/>
      </c>
      <c r="Z47" s="488" t="str">
        <f>IF(Z$4="","",IF(HLOOKUP(Z$4,'Physical Effects-Numbers'!$B$1:$AU$172,$B47,FALSE)&lt;0,HLOOKUP(Z$4,'Physical Effects-Numbers'!$B$1:$AU$172,$B47,FALSE),""))</f>
        <v/>
      </c>
      <c r="AA47" s="488" t="str">
        <f>IF(AA$4="","",IF(HLOOKUP(AA$4,'Physical Effects-Numbers'!$B$1:$AU$172,$B47,FALSE)&lt;0,HLOOKUP(AA$4,'Physical Effects-Numbers'!$B$1:$AU$172,$B47,FALSE),""))</f>
        <v/>
      </c>
      <c r="AB47" s="488" t="str">
        <f>IF(AB$4="","",IF(HLOOKUP(AB$4,'Physical Effects-Numbers'!$B$1:$AU$172,$B47,FALSE)&lt;0,HLOOKUP(AB$4,'Physical Effects-Numbers'!$B$1:$AU$172,$B47,FALSE),""))</f>
        <v/>
      </c>
      <c r="AC47" s="488" t="str">
        <f>IF(AC$4="","",IF(HLOOKUP(AC$4,'Physical Effects-Numbers'!$B$1:$AU$172,$B47,FALSE)&lt;0,HLOOKUP(AC$4,'Physical Effects-Numbers'!$B$1:$AU$172,$B47,FALSE),""))</f>
        <v/>
      </c>
      <c r="AD47" s="488" t="str">
        <f>IF(AD$4="","",IF(HLOOKUP(AD$4,'Physical Effects-Numbers'!$B$1:$AU$172,$B47,FALSE)&lt;0,HLOOKUP(AD$4,'Physical Effects-Numbers'!$B$1:$AU$172,$B47,FALSE),""))</f>
        <v/>
      </c>
      <c r="AE47" s="488" t="str">
        <f>IF(AE$4="","",IF(HLOOKUP(AE$4,'Physical Effects-Numbers'!$B$1:$AU$172,$B47,FALSE)&lt;0,HLOOKUP(AE$4,'Physical Effects-Numbers'!$B$1:$AU$172,$B47,FALSE),""))</f>
        <v/>
      </c>
      <c r="AF47" s="488">
        <f>IF(AF$4="","",IF(HLOOKUP(AF$4,'Physical Effects-Numbers'!$B$1:$AU$172,$B47,FALSE)&lt;0,HLOOKUP(AF$4,'Physical Effects-Numbers'!$B$1:$AU$172,$B47,FALSE),""))</f>
        <v>-1</v>
      </c>
      <c r="AG47" s="488" t="str">
        <f>IF(AG$4="","",IF(HLOOKUP(AG$4,'Physical Effects-Numbers'!$B$1:$AU$172,$B47,FALSE)&lt;0,HLOOKUP(AG$4,'Physical Effects-Numbers'!$B$1:$AU$172,$B47,FALSE),""))</f>
        <v/>
      </c>
      <c r="AH47" s="488" t="str">
        <f>IF(AH$4="","",IF(HLOOKUP(AH$4,'Physical Effects-Numbers'!$B$1:$AU$172,$B47,FALSE)&lt;0,HLOOKUP(AH$4,'Physical Effects-Numbers'!$B$1:$AU$172,$B47,FALSE),""))</f>
        <v/>
      </c>
      <c r="AI47" s="488" t="str">
        <f>IF(AI$4="","",IF(HLOOKUP(AI$4,'Physical Effects-Numbers'!$B$1:$AU$172,$B47,FALSE)&lt;0,HLOOKUP(AI$4,'Physical Effects-Numbers'!$B$1:$AU$172,$B47,FALSE),""))</f>
        <v/>
      </c>
      <c r="AJ47" s="488" t="str">
        <f>IF(AJ$4="","",IF(HLOOKUP(AJ$4,'Physical Effects-Numbers'!$B$1:$AU$172,$B47,FALSE)&lt;0,HLOOKUP(AJ$4,'Physical Effects-Numbers'!$B$1:$AU$172,$B47,FALSE),""))</f>
        <v/>
      </c>
      <c r="AK47" s="488" t="str">
        <f>IF(AK$4="","",IF(HLOOKUP(AK$4,'Physical Effects-Numbers'!$B$1:$AU$172,$B47,FALSE)&lt;0,HLOOKUP(AK$4,'Physical Effects-Numbers'!$B$1:$AU$172,$B47,FALSE),""))</f>
        <v/>
      </c>
      <c r="AL47" s="488" t="str">
        <f>IF(AL$4="","",IF(HLOOKUP(AL$4,'Physical Effects-Numbers'!$B$1:$AU$172,$B47,FALSE)&lt;0,HLOOKUP(AL$4,'Physical Effects-Numbers'!$B$1:$AU$172,$B47,FALSE),""))</f>
        <v/>
      </c>
      <c r="AM47" s="488" t="str">
        <f>IF(AM$4="","",IF(HLOOKUP(AM$4,'Physical Effects-Numbers'!$B$1:$AU$172,$B47,FALSE)&lt;0,HLOOKUP(AM$4,'Physical Effects-Numbers'!$B$1:$AU$172,$B47,FALSE),""))</f>
        <v/>
      </c>
      <c r="AN47" s="488" t="str">
        <f>IF(AN$4="","",IF(HLOOKUP(AN$4,'Physical Effects-Numbers'!$B$1:$AU$172,$B47,FALSE)&lt;0,HLOOKUP(AN$4,'Physical Effects-Numbers'!$B$1:$AU$172,$B47,FALSE),""))</f>
        <v/>
      </c>
      <c r="AO47" s="488" t="str">
        <f>IF(AO$4="","",IF(HLOOKUP(AO$4,'Physical Effects-Numbers'!$B$1:$AU$172,$B47,FALSE)&lt;0,HLOOKUP(AO$4,'Physical Effects-Numbers'!$B$1:$AU$172,$B47,FALSE),""))</f>
        <v/>
      </c>
      <c r="AP47" s="488" t="str">
        <f>IF(AP$4="","",IF(HLOOKUP(AP$4,'Physical Effects-Numbers'!$B$1:$AU$172,$B47,FALSE)&lt;0,HLOOKUP(AP$4,'Physical Effects-Numbers'!$B$1:$AU$172,$B47,FALSE),""))</f>
        <v/>
      </c>
      <c r="AQ47" s="488" t="str">
        <f>IF(AQ$4="","",IF(HLOOKUP(AQ$4,'Physical Effects-Numbers'!$B$1:$AU$172,$B47,FALSE)&lt;0,HLOOKUP(AQ$4,'Physical Effects-Numbers'!$B$1:$AU$172,$B47,FALSE),""))</f>
        <v/>
      </c>
      <c r="AR47" s="488" t="str">
        <f>IF(AR$4="","",IF(HLOOKUP(AR$4,'Physical Effects-Numbers'!$B$1:$AU$172,$B47,FALSE)&lt;0,HLOOKUP(AR$4,'Physical Effects-Numbers'!$B$1:$AU$172,$B47,FALSE),""))</f>
        <v/>
      </c>
      <c r="AS47" s="488" t="str">
        <f>IF(AS$4="","",IF(HLOOKUP(AS$4,'Physical Effects-Numbers'!$B$1:$AU$172,$B47,FALSE)&lt;0,HLOOKUP(AS$4,'Physical Effects-Numbers'!$B$1:$AU$172,$B47,FALSE),""))</f>
        <v/>
      </c>
      <c r="AT47" s="488" t="str">
        <f>IF(AT$4="","",IF(HLOOKUP(AT$4,'Physical Effects-Numbers'!$B$1:$AU$172,$B47,FALSE)&lt;0,HLOOKUP(AT$4,'Physical Effects-Numbers'!$B$1:$AU$172,$B47,FALSE),""))</f>
        <v/>
      </c>
      <c r="AU47" s="488" t="str">
        <f>IF(AU$4="","",IF(HLOOKUP(AU$4,'Physical Effects-Numbers'!$B$1:$AU$172,$B47,FALSE)&lt;0,HLOOKUP(AU$4,'Physical Effects-Numbers'!$B$1:$AU$172,$B47,FALSE),""))</f>
        <v/>
      </c>
      <c r="AV47" s="488" t="str">
        <f>IF(AV$4="","",IF(HLOOKUP(AV$4,'Physical Effects-Numbers'!$B$1:$AU$167,$B47,FALSE)&lt;0,HLOOKUP(AV$4,'Physical Effects-Numbers'!$B$1:$AU$167,$B47,FALSE),""))</f>
        <v/>
      </c>
    </row>
    <row r="48" spans="2:48" x14ac:dyDescent="0.2">
      <c r="B48" s="487">
        <f t="shared" si="0"/>
        <v>45</v>
      </c>
      <c r="C48" s="486" t="str">
        <f>+'Physical Effects-Numbers'!B45</f>
        <v>Farmstead Energy Improvement</v>
      </c>
      <c r="D48" s="488" t="str">
        <f>IF(D$4="","",IF(HLOOKUP(D$4,'Physical Effects-Numbers'!$B$1:$AU$172,$B48,FALSE)&lt;0,HLOOKUP(D$4,'Physical Effects-Numbers'!$B$1:$AU$172,$B48,FALSE),""))</f>
        <v/>
      </c>
      <c r="E48" s="488" t="str">
        <f>IF(E$4="","",IF(HLOOKUP(E$4,'Physical Effects-Numbers'!$B$1:$AU$172,$B48,FALSE)&lt;0,HLOOKUP(E$4,'Physical Effects-Numbers'!$B$1:$AU$172,$B48,FALSE),""))</f>
        <v/>
      </c>
      <c r="F48" s="488" t="str">
        <f>IF(F$4="","",IF(HLOOKUP(F$4,'Physical Effects-Numbers'!$B$1:$AU$172,$B48,FALSE)&lt;0,HLOOKUP(F$4,'Physical Effects-Numbers'!$B$1:$AU$172,$B48,FALSE),""))</f>
        <v/>
      </c>
      <c r="G48" s="488" t="str">
        <f>IF(G$4="","",IF(HLOOKUP(G$4,'Physical Effects-Numbers'!$B$1:$AU$172,$B48,FALSE)&lt;0,HLOOKUP(G$4,'Physical Effects-Numbers'!$B$1:$AU$172,$B48,FALSE),""))</f>
        <v/>
      </c>
      <c r="H48" s="488" t="str">
        <f>IF(H$4="","",IF(HLOOKUP(H$4,'Physical Effects-Numbers'!$B$1:$AU$172,$B48,FALSE)&lt;0,HLOOKUP(H$4,'Physical Effects-Numbers'!$B$1:$AU$172,$B48,FALSE),""))</f>
        <v/>
      </c>
      <c r="I48" s="488" t="str">
        <f>IF(I$4="","",IF(HLOOKUP(I$4,'Physical Effects-Numbers'!$B$1:$AU$172,$B48,FALSE)&lt;0,HLOOKUP(I$4,'Physical Effects-Numbers'!$B$1:$AU$172,$B48,FALSE),""))</f>
        <v/>
      </c>
      <c r="J48" s="488" t="str">
        <f>IF(J$4="","",IF(HLOOKUP(J$4,'Physical Effects-Numbers'!$B$1:$AU$172,$B48,FALSE)&lt;0,HLOOKUP(J$4,'Physical Effects-Numbers'!$B$1:$AU$172,$B48,FALSE),""))</f>
        <v/>
      </c>
      <c r="K48" s="488" t="str">
        <f>IF(K$4="","",IF(HLOOKUP(K$4,'Physical Effects-Numbers'!$B$1:$AU$172,$B48,FALSE)&lt;0,HLOOKUP(K$4,'Physical Effects-Numbers'!$B$1:$AU$172,$B48,FALSE),""))</f>
        <v/>
      </c>
      <c r="L48" s="488" t="str">
        <f>IF(L$4="","",IF(HLOOKUP(L$4,'Physical Effects-Numbers'!$B$1:$AU$172,$B48,FALSE)&lt;0,HLOOKUP(L$4,'Physical Effects-Numbers'!$B$1:$AU$172,$B48,FALSE),""))</f>
        <v/>
      </c>
      <c r="M48" s="488" t="str">
        <f>IF(M$4="","",IF(HLOOKUP(M$4,'Physical Effects-Numbers'!$B$1:$AU$172,$B48,FALSE)&lt;0,HLOOKUP(M$4,'Physical Effects-Numbers'!$B$1:$AU$172,$B48,FALSE),""))</f>
        <v/>
      </c>
      <c r="N48" s="488" t="str">
        <f>IF(N$4="","",IF(HLOOKUP(N$4,'Physical Effects-Numbers'!$B$1:$AU$172,$B48,FALSE)&lt;0,HLOOKUP(N$4,'Physical Effects-Numbers'!$B$1:$AU$172,$B48,FALSE),""))</f>
        <v/>
      </c>
      <c r="O48" s="488" t="str">
        <f>IF(O$4="","",IF(HLOOKUP(O$4,'Physical Effects-Numbers'!$B$1:$AU$172,$B48,FALSE)&lt;0,HLOOKUP(O$4,'Physical Effects-Numbers'!$B$1:$AU$172,$B48,FALSE),""))</f>
        <v/>
      </c>
      <c r="P48" s="488" t="str">
        <f>IF(P$4="","",IF(HLOOKUP(P$4,'Physical Effects-Numbers'!$B$1:$AU$172,$B48,FALSE)&lt;0,HLOOKUP(P$4,'Physical Effects-Numbers'!$B$1:$AU$172,$B48,FALSE),""))</f>
        <v/>
      </c>
      <c r="Q48" s="488" t="str">
        <f>IF(Q$4="","",IF(HLOOKUP(Q$4,'Physical Effects-Numbers'!$B$1:$AU$172,$B48,FALSE)&lt;0,HLOOKUP(Q$4,'Physical Effects-Numbers'!$B$1:$AU$172,$B48,FALSE),""))</f>
        <v/>
      </c>
      <c r="R48" s="488" t="str">
        <f>IF(R$4="","",IF(HLOOKUP(R$4,'Physical Effects-Numbers'!$B$1:$AU$172,$B48,FALSE)&lt;0,HLOOKUP(R$4,'Physical Effects-Numbers'!$B$1:$AU$172,$B48,FALSE),""))</f>
        <v/>
      </c>
      <c r="S48" s="488" t="str">
        <f>IF(S$4="","",IF(HLOOKUP(S$4,'Physical Effects-Numbers'!$B$1:$AU$172,$B48,FALSE)&lt;0,HLOOKUP(S$4,'Physical Effects-Numbers'!$B$1:$AU$172,$B48,FALSE),""))</f>
        <v/>
      </c>
      <c r="T48" s="488" t="str">
        <f>IF(T$4="","",IF(HLOOKUP(T$4,'Physical Effects-Numbers'!$B$1:$AU$172,$B48,FALSE)&lt;0,HLOOKUP(T$4,'Physical Effects-Numbers'!$B$1:$AU$172,$B48,FALSE),""))</f>
        <v/>
      </c>
      <c r="U48" s="488" t="str">
        <f>IF(U$4="","",IF(HLOOKUP(U$4,'Physical Effects-Numbers'!$B$1:$AU$172,$B48,FALSE)&lt;0,HLOOKUP(U$4,'Physical Effects-Numbers'!$B$1:$AU$172,$B48,FALSE),""))</f>
        <v/>
      </c>
      <c r="V48" s="488" t="str">
        <f>IF(V$4="","",IF(HLOOKUP(V$4,'Physical Effects-Numbers'!$B$1:$AU$172,$B48,FALSE)&lt;0,HLOOKUP(V$4,'Physical Effects-Numbers'!$B$1:$AU$172,$B48,FALSE),""))</f>
        <v/>
      </c>
      <c r="W48" s="488" t="str">
        <f>IF(W$4="","",IF(HLOOKUP(W$4,'Physical Effects-Numbers'!$B$1:$AU$172,$B48,FALSE)&lt;0,HLOOKUP(W$4,'Physical Effects-Numbers'!$B$1:$AU$172,$B48,FALSE),""))</f>
        <v/>
      </c>
      <c r="X48" s="488" t="str">
        <f>IF(X$4="","",IF(HLOOKUP(X$4,'Physical Effects-Numbers'!$B$1:$AU$172,$B48,FALSE)&lt;0,HLOOKUP(X$4,'Physical Effects-Numbers'!$B$1:$AU$172,$B48,FALSE),""))</f>
        <v/>
      </c>
      <c r="Y48" s="488" t="str">
        <f>IF(Y$4="","",IF(HLOOKUP(Y$4,'Physical Effects-Numbers'!$B$1:$AU$172,$B48,FALSE)&lt;0,HLOOKUP(Y$4,'Physical Effects-Numbers'!$B$1:$AU$172,$B48,FALSE),""))</f>
        <v/>
      </c>
      <c r="Z48" s="488" t="str">
        <f>IF(Z$4="","",IF(HLOOKUP(Z$4,'Physical Effects-Numbers'!$B$1:$AU$172,$B48,FALSE)&lt;0,HLOOKUP(Z$4,'Physical Effects-Numbers'!$B$1:$AU$172,$B48,FALSE),""))</f>
        <v/>
      </c>
      <c r="AA48" s="488" t="str">
        <f>IF(AA$4="","",IF(HLOOKUP(AA$4,'Physical Effects-Numbers'!$B$1:$AU$172,$B48,FALSE)&lt;0,HLOOKUP(AA$4,'Physical Effects-Numbers'!$B$1:$AU$172,$B48,FALSE),""))</f>
        <v/>
      </c>
      <c r="AB48" s="488">
        <f>IF(AB$4="","",IF(HLOOKUP(AB$4,'Physical Effects-Numbers'!$B$1:$AU$172,$B48,FALSE)&lt;0,HLOOKUP(AB$4,'Physical Effects-Numbers'!$B$1:$AU$172,$B48,FALSE),""))</f>
        <v>-2</v>
      </c>
      <c r="AC48" s="488" t="str">
        <f>IF(AC$4="","",IF(HLOOKUP(AC$4,'Physical Effects-Numbers'!$B$1:$AU$172,$B48,FALSE)&lt;0,HLOOKUP(AC$4,'Physical Effects-Numbers'!$B$1:$AU$172,$B48,FALSE),""))</f>
        <v/>
      </c>
      <c r="AD48" s="488" t="str">
        <f>IF(AD$4="","",IF(HLOOKUP(AD$4,'Physical Effects-Numbers'!$B$1:$AU$172,$B48,FALSE)&lt;0,HLOOKUP(AD$4,'Physical Effects-Numbers'!$B$1:$AU$172,$B48,FALSE),""))</f>
        <v/>
      </c>
      <c r="AE48" s="488" t="str">
        <f>IF(AE$4="","",IF(HLOOKUP(AE$4,'Physical Effects-Numbers'!$B$1:$AU$172,$B48,FALSE)&lt;0,HLOOKUP(AE$4,'Physical Effects-Numbers'!$B$1:$AU$172,$B48,FALSE),""))</f>
        <v/>
      </c>
      <c r="AF48" s="488" t="str">
        <f>IF(AF$4="","",IF(HLOOKUP(AF$4,'Physical Effects-Numbers'!$B$1:$AU$172,$B48,FALSE)&lt;0,HLOOKUP(AF$4,'Physical Effects-Numbers'!$B$1:$AU$172,$B48,FALSE),""))</f>
        <v/>
      </c>
      <c r="AG48" s="488" t="str">
        <f>IF(AG$4="","",IF(HLOOKUP(AG$4,'Physical Effects-Numbers'!$B$1:$AU$172,$B48,FALSE)&lt;0,HLOOKUP(AG$4,'Physical Effects-Numbers'!$B$1:$AU$172,$B48,FALSE),""))</f>
        <v/>
      </c>
      <c r="AH48" s="488" t="str">
        <f>IF(AH$4="","",IF(HLOOKUP(AH$4,'Physical Effects-Numbers'!$B$1:$AU$172,$B48,FALSE)&lt;0,HLOOKUP(AH$4,'Physical Effects-Numbers'!$B$1:$AU$172,$B48,FALSE),""))</f>
        <v/>
      </c>
      <c r="AI48" s="488" t="str">
        <f>IF(AI$4="","",IF(HLOOKUP(AI$4,'Physical Effects-Numbers'!$B$1:$AU$172,$B48,FALSE)&lt;0,HLOOKUP(AI$4,'Physical Effects-Numbers'!$B$1:$AU$172,$B48,FALSE),""))</f>
        <v/>
      </c>
      <c r="AJ48" s="488" t="str">
        <f>IF(AJ$4="","",IF(HLOOKUP(AJ$4,'Physical Effects-Numbers'!$B$1:$AU$172,$B48,FALSE)&lt;0,HLOOKUP(AJ$4,'Physical Effects-Numbers'!$B$1:$AU$172,$B48,FALSE),""))</f>
        <v/>
      </c>
      <c r="AK48" s="488" t="str">
        <f>IF(AK$4="","",IF(HLOOKUP(AK$4,'Physical Effects-Numbers'!$B$1:$AU$172,$B48,FALSE)&lt;0,HLOOKUP(AK$4,'Physical Effects-Numbers'!$B$1:$AU$172,$B48,FALSE),""))</f>
        <v/>
      </c>
      <c r="AL48" s="488" t="str">
        <f>IF(AL$4="","",IF(HLOOKUP(AL$4,'Physical Effects-Numbers'!$B$1:$AU$172,$B48,FALSE)&lt;0,HLOOKUP(AL$4,'Physical Effects-Numbers'!$B$1:$AU$172,$B48,FALSE),""))</f>
        <v/>
      </c>
      <c r="AM48" s="488" t="str">
        <f>IF(AM$4="","",IF(HLOOKUP(AM$4,'Physical Effects-Numbers'!$B$1:$AU$172,$B48,FALSE)&lt;0,HLOOKUP(AM$4,'Physical Effects-Numbers'!$B$1:$AU$172,$B48,FALSE),""))</f>
        <v/>
      </c>
      <c r="AN48" s="488" t="str">
        <f>IF(AN$4="","",IF(HLOOKUP(AN$4,'Physical Effects-Numbers'!$B$1:$AU$172,$B48,FALSE)&lt;0,HLOOKUP(AN$4,'Physical Effects-Numbers'!$B$1:$AU$172,$B48,FALSE),""))</f>
        <v/>
      </c>
      <c r="AO48" s="488" t="str">
        <f>IF(AO$4="","",IF(HLOOKUP(AO$4,'Physical Effects-Numbers'!$B$1:$AU$172,$B48,FALSE)&lt;0,HLOOKUP(AO$4,'Physical Effects-Numbers'!$B$1:$AU$172,$B48,FALSE),""))</f>
        <v/>
      </c>
      <c r="AP48" s="488" t="str">
        <f>IF(AP$4="","",IF(HLOOKUP(AP$4,'Physical Effects-Numbers'!$B$1:$AU$172,$B48,FALSE)&lt;0,HLOOKUP(AP$4,'Physical Effects-Numbers'!$B$1:$AU$172,$B48,FALSE),""))</f>
        <v/>
      </c>
      <c r="AQ48" s="488" t="str">
        <f>IF(AQ$4="","",IF(HLOOKUP(AQ$4,'Physical Effects-Numbers'!$B$1:$AU$172,$B48,FALSE)&lt;0,HLOOKUP(AQ$4,'Physical Effects-Numbers'!$B$1:$AU$172,$B48,FALSE),""))</f>
        <v/>
      </c>
      <c r="AR48" s="488" t="str">
        <f>IF(AR$4="","",IF(HLOOKUP(AR$4,'Physical Effects-Numbers'!$B$1:$AU$172,$B48,FALSE)&lt;0,HLOOKUP(AR$4,'Physical Effects-Numbers'!$B$1:$AU$172,$B48,FALSE),""))</f>
        <v/>
      </c>
      <c r="AS48" s="488" t="str">
        <f>IF(AS$4="","",IF(HLOOKUP(AS$4,'Physical Effects-Numbers'!$B$1:$AU$172,$B48,FALSE)&lt;0,HLOOKUP(AS$4,'Physical Effects-Numbers'!$B$1:$AU$172,$B48,FALSE),""))</f>
        <v/>
      </c>
      <c r="AT48" s="488" t="str">
        <f>IF(AT$4="","",IF(HLOOKUP(AT$4,'Physical Effects-Numbers'!$B$1:$AU$172,$B48,FALSE)&lt;0,HLOOKUP(AT$4,'Physical Effects-Numbers'!$B$1:$AU$172,$B48,FALSE),""))</f>
        <v/>
      </c>
      <c r="AU48" s="488" t="str">
        <f>IF(AU$4="","",IF(HLOOKUP(AU$4,'Physical Effects-Numbers'!$B$1:$AU$172,$B48,FALSE)&lt;0,HLOOKUP(AU$4,'Physical Effects-Numbers'!$B$1:$AU$172,$B48,FALSE),""))</f>
        <v/>
      </c>
      <c r="AV48" s="488" t="str">
        <f>IF(AV$4="","",IF(HLOOKUP(AV$4,'Physical Effects-Numbers'!$B$1:$AU$167,$B48,FALSE)&lt;0,HLOOKUP(AV$4,'Physical Effects-Numbers'!$B$1:$AU$167,$B48,FALSE),""))</f>
        <v/>
      </c>
    </row>
    <row r="49" spans="2:48" x14ac:dyDescent="0.2">
      <c r="B49" s="487">
        <f t="shared" si="0"/>
        <v>46</v>
      </c>
      <c r="C49" s="486" t="str">
        <f>+'Physical Effects-Numbers'!B46</f>
        <v>Feed Management</v>
      </c>
      <c r="D49" s="488" t="str">
        <f>IF(D$4="","",IF(HLOOKUP(D$4,'Physical Effects-Numbers'!$B$1:$AU$172,$B49,FALSE)&lt;0,HLOOKUP(D$4,'Physical Effects-Numbers'!$B$1:$AU$172,$B49,FALSE),""))</f>
        <v/>
      </c>
      <c r="E49" s="488" t="str">
        <f>IF(E$4="","",IF(HLOOKUP(E$4,'Physical Effects-Numbers'!$B$1:$AU$172,$B49,FALSE)&lt;0,HLOOKUP(E$4,'Physical Effects-Numbers'!$B$1:$AU$172,$B49,FALSE),""))</f>
        <v/>
      </c>
      <c r="F49" s="488" t="str">
        <f>IF(F$4="","",IF(HLOOKUP(F$4,'Physical Effects-Numbers'!$B$1:$AU$172,$B49,FALSE)&lt;0,HLOOKUP(F$4,'Physical Effects-Numbers'!$B$1:$AU$172,$B49,FALSE),""))</f>
        <v/>
      </c>
      <c r="G49" s="488" t="str">
        <f>IF(G$4="","",IF(HLOOKUP(G$4,'Physical Effects-Numbers'!$B$1:$AU$172,$B49,FALSE)&lt;0,HLOOKUP(G$4,'Physical Effects-Numbers'!$B$1:$AU$172,$B49,FALSE),""))</f>
        <v/>
      </c>
      <c r="H49" s="488" t="str">
        <f>IF(H$4="","",IF(HLOOKUP(H$4,'Physical Effects-Numbers'!$B$1:$AU$172,$B49,FALSE)&lt;0,HLOOKUP(H$4,'Physical Effects-Numbers'!$B$1:$AU$172,$B49,FALSE),""))</f>
        <v/>
      </c>
      <c r="I49" s="488" t="str">
        <f>IF(I$4="","",IF(HLOOKUP(I$4,'Physical Effects-Numbers'!$B$1:$AU$172,$B49,FALSE)&lt;0,HLOOKUP(I$4,'Physical Effects-Numbers'!$B$1:$AU$172,$B49,FALSE),""))</f>
        <v/>
      </c>
      <c r="J49" s="488" t="str">
        <f>IF(J$4="","",IF(HLOOKUP(J$4,'Physical Effects-Numbers'!$B$1:$AU$172,$B49,FALSE)&lt;0,HLOOKUP(J$4,'Physical Effects-Numbers'!$B$1:$AU$172,$B49,FALSE),""))</f>
        <v/>
      </c>
      <c r="K49" s="488" t="str">
        <f>IF(K$4="","",IF(HLOOKUP(K$4,'Physical Effects-Numbers'!$B$1:$AU$172,$B49,FALSE)&lt;0,HLOOKUP(K$4,'Physical Effects-Numbers'!$B$1:$AU$172,$B49,FALSE),""))</f>
        <v/>
      </c>
      <c r="L49" s="488" t="str">
        <f>IF(L$4="","",IF(HLOOKUP(L$4,'Physical Effects-Numbers'!$B$1:$AU$172,$B49,FALSE)&lt;0,HLOOKUP(L$4,'Physical Effects-Numbers'!$B$1:$AU$172,$B49,FALSE),""))</f>
        <v/>
      </c>
      <c r="M49" s="488" t="str">
        <f>IF(M$4="","",IF(HLOOKUP(M$4,'Physical Effects-Numbers'!$B$1:$AU$172,$B49,FALSE)&lt;0,HLOOKUP(M$4,'Physical Effects-Numbers'!$B$1:$AU$172,$B49,FALSE),""))</f>
        <v/>
      </c>
      <c r="N49" s="488" t="str">
        <f>IF(N$4="","",IF(HLOOKUP(N$4,'Physical Effects-Numbers'!$B$1:$AU$172,$B49,FALSE)&lt;0,HLOOKUP(N$4,'Physical Effects-Numbers'!$B$1:$AU$172,$B49,FALSE),""))</f>
        <v/>
      </c>
      <c r="O49" s="488" t="str">
        <f>IF(O$4="","",IF(HLOOKUP(O$4,'Physical Effects-Numbers'!$B$1:$AU$172,$B49,FALSE)&lt;0,HLOOKUP(O$4,'Physical Effects-Numbers'!$B$1:$AU$172,$B49,FALSE),""))</f>
        <v/>
      </c>
      <c r="P49" s="488" t="str">
        <f>IF(P$4="","",IF(HLOOKUP(P$4,'Physical Effects-Numbers'!$B$1:$AU$172,$B49,FALSE)&lt;0,HLOOKUP(P$4,'Physical Effects-Numbers'!$B$1:$AU$172,$B49,FALSE),""))</f>
        <v/>
      </c>
      <c r="Q49" s="488" t="str">
        <f>IF(Q$4="","",IF(HLOOKUP(Q$4,'Physical Effects-Numbers'!$B$1:$AU$172,$B49,FALSE)&lt;0,HLOOKUP(Q$4,'Physical Effects-Numbers'!$B$1:$AU$172,$B49,FALSE),""))</f>
        <v/>
      </c>
      <c r="R49" s="488" t="str">
        <f>IF(R$4="","",IF(HLOOKUP(R$4,'Physical Effects-Numbers'!$B$1:$AU$172,$B49,FALSE)&lt;0,HLOOKUP(R$4,'Physical Effects-Numbers'!$B$1:$AU$172,$B49,FALSE),""))</f>
        <v/>
      </c>
      <c r="S49" s="488" t="str">
        <f>IF(S$4="","",IF(HLOOKUP(S$4,'Physical Effects-Numbers'!$B$1:$AU$172,$B49,FALSE)&lt;0,HLOOKUP(S$4,'Physical Effects-Numbers'!$B$1:$AU$172,$B49,FALSE),""))</f>
        <v/>
      </c>
      <c r="T49" s="488" t="str">
        <f>IF(T$4="","",IF(HLOOKUP(T$4,'Physical Effects-Numbers'!$B$1:$AU$172,$B49,FALSE)&lt;0,HLOOKUP(T$4,'Physical Effects-Numbers'!$B$1:$AU$172,$B49,FALSE),""))</f>
        <v/>
      </c>
      <c r="U49" s="488" t="str">
        <f>IF(U$4="","",IF(HLOOKUP(U$4,'Physical Effects-Numbers'!$B$1:$AU$172,$B49,FALSE)&lt;0,HLOOKUP(U$4,'Physical Effects-Numbers'!$B$1:$AU$172,$B49,FALSE),""))</f>
        <v/>
      </c>
      <c r="V49" s="488" t="str">
        <f>IF(V$4="","",IF(HLOOKUP(V$4,'Physical Effects-Numbers'!$B$1:$AU$172,$B49,FALSE)&lt;0,HLOOKUP(V$4,'Physical Effects-Numbers'!$B$1:$AU$172,$B49,FALSE),""))</f>
        <v/>
      </c>
      <c r="W49" s="488" t="str">
        <f>IF(W$4="","",IF(HLOOKUP(W$4,'Physical Effects-Numbers'!$B$1:$AU$172,$B49,FALSE)&lt;0,HLOOKUP(W$4,'Physical Effects-Numbers'!$B$1:$AU$172,$B49,FALSE),""))</f>
        <v/>
      </c>
      <c r="X49" s="488" t="str">
        <f>IF(X$4="","",IF(HLOOKUP(X$4,'Physical Effects-Numbers'!$B$1:$AU$172,$B49,FALSE)&lt;0,HLOOKUP(X$4,'Physical Effects-Numbers'!$B$1:$AU$172,$B49,FALSE),""))</f>
        <v/>
      </c>
      <c r="Y49" s="488" t="str">
        <f>IF(Y$4="","",IF(HLOOKUP(Y$4,'Physical Effects-Numbers'!$B$1:$AU$172,$B49,FALSE)&lt;0,HLOOKUP(Y$4,'Physical Effects-Numbers'!$B$1:$AU$172,$B49,FALSE),""))</f>
        <v/>
      </c>
      <c r="Z49" s="488" t="str">
        <f>IF(Z$4="","",IF(HLOOKUP(Z$4,'Physical Effects-Numbers'!$B$1:$AU$172,$B49,FALSE)&lt;0,HLOOKUP(Z$4,'Physical Effects-Numbers'!$B$1:$AU$172,$B49,FALSE),""))</f>
        <v/>
      </c>
      <c r="AA49" s="488" t="str">
        <f>IF(AA$4="","",IF(HLOOKUP(AA$4,'Physical Effects-Numbers'!$B$1:$AU$172,$B49,FALSE)&lt;0,HLOOKUP(AA$4,'Physical Effects-Numbers'!$B$1:$AU$172,$B49,FALSE),""))</f>
        <v/>
      </c>
      <c r="AB49" s="488" t="str">
        <f>IF(AB$4="","",IF(HLOOKUP(AB$4,'Physical Effects-Numbers'!$B$1:$AU$172,$B49,FALSE)&lt;0,HLOOKUP(AB$4,'Physical Effects-Numbers'!$B$1:$AU$172,$B49,FALSE),""))</f>
        <v/>
      </c>
      <c r="AC49" s="488" t="str">
        <f>IF(AC$4="","",IF(HLOOKUP(AC$4,'Physical Effects-Numbers'!$B$1:$AU$172,$B49,FALSE)&lt;0,HLOOKUP(AC$4,'Physical Effects-Numbers'!$B$1:$AU$172,$B49,FALSE),""))</f>
        <v/>
      </c>
      <c r="AD49" s="488" t="str">
        <f>IF(AD$4="","",IF(HLOOKUP(AD$4,'Physical Effects-Numbers'!$B$1:$AU$172,$B49,FALSE)&lt;0,HLOOKUP(AD$4,'Physical Effects-Numbers'!$B$1:$AU$172,$B49,FALSE),""))</f>
        <v/>
      </c>
      <c r="AE49" s="488" t="str">
        <f>IF(AE$4="","",IF(HLOOKUP(AE$4,'Physical Effects-Numbers'!$B$1:$AU$172,$B49,FALSE)&lt;0,HLOOKUP(AE$4,'Physical Effects-Numbers'!$B$1:$AU$172,$B49,FALSE),""))</f>
        <v/>
      </c>
      <c r="AF49" s="488" t="str">
        <f>IF(AF$4="","",IF(HLOOKUP(AF$4,'Physical Effects-Numbers'!$B$1:$AU$172,$B49,FALSE)&lt;0,HLOOKUP(AF$4,'Physical Effects-Numbers'!$B$1:$AU$172,$B49,FALSE),""))</f>
        <v/>
      </c>
      <c r="AG49" s="488" t="str">
        <f>IF(AG$4="","",IF(HLOOKUP(AG$4,'Physical Effects-Numbers'!$B$1:$AU$172,$B49,FALSE)&lt;0,HLOOKUP(AG$4,'Physical Effects-Numbers'!$B$1:$AU$172,$B49,FALSE),""))</f>
        <v/>
      </c>
      <c r="AH49" s="488" t="str">
        <f>IF(AH$4="","",IF(HLOOKUP(AH$4,'Physical Effects-Numbers'!$B$1:$AU$172,$B49,FALSE)&lt;0,HLOOKUP(AH$4,'Physical Effects-Numbers'!$B$1:$AU$172,$B49,FALSE),""))</f>
        <v/>
      </c>
      <c r="AI49" s="488" t="str">
        <f>IF(AI$4="","",IF(HLOOKUP(AI$4,'Physical Effects-Numbers'!$B$1:$AU$172,$B49,FALSE)&lt;0,HLOOKUP(AI$4,'Physical Effects-Numbers'!$B$1:$AU$172,$B49,FALSE),""))</f>
        <v/>
      </c>
      <c r="AJ49" s="488" t="str">
        <f>IF(AJ$4="","",IF(HLOOKUP(AJ$4,'Physical Effects-Numbers'!$B$1:$AU$172,$B49,FALSE)&lt;0,HLOOKUP(AJ$4,'Physical Effects-Numbers'!$B$1:$AU$172,$B49,FALSE),""))</f>
        <v/>
      </c>
      <c r="AK49" s="488" t="str">
        <f>IF(AK$4="","",IF(HLOOKUP(AK$4,'Physical Effects-Numbers'!$B$1:$AU$172,$B49,FALSE)&lt;0,HLOOKUP(AK$4,'Physical Effects-Numbers'!$B$1:$AU$172,$B49,FALSE),""))</f>
        <v/>
      </c>
      <c r="AL49" s="488" t="str">
        <f>IF(AL$4="","",IF(HLOOKUP(AL$4,'Physical Effects-Numbers'!$B$1:$AU$172,$B49,FALSE)&lt;0,HLOOKUP(AL$4,'Physical Effects-Numbers'!$B$1:$AU$172,$B49,FALSE),""))</f>
        <v/>
      </c>
      <c r="AM49" s="488" t="str">
        <f>IF(AM$4="","",IF(HLOOKUP(AM$4,'Physical Effects-Numbers'!$B$1:$AU$172,$B49,FALSE)&lt;0,HLOOKUP(AM$4,'Physical Effects-Numbers'!$B$1:$AU$172,$B49,FALSE),""))</f>
        <v/>
      </c>
      <c r="AN49" s="488" t="str">
        <f>IF(AN$4="","",IF(HLOOKUP(AN$4,'Physical Effects-Numbers'!$B$1:$AU$172,$B49,FALSE)&lt;0,HLOOKUP(AN$4,'Physical Effects-Numbers'!$B$1:$AU$172,$B49,FALSE),""))</f>
        <v/>
      </c>
      <c r="AO49" s="488" t="str">
        <f>IF(AO$4="","",IF(HLOOKUP(AO$4,'Physical Effects-Numbers'!$B$1:$AU$172,$B49,FALSE)&lt;0,HLOOKUP(AO$4,'Physical Effects-Numbers'!$B$1:$AU$172,$B49,FALSE),""))</f>
        <v/>
      </c>
      <c r="AP49" s="488" t="str">
        <f>IF(AP$4="","",IF(HLOOKUP(AP$4,'Physical Effects-Numbers'!$B$1:$AU$172,$B49,FALSE)&lt;0,HLOOKUP(AP$4,'Physical Effects-Numbers'!$B$1:$AU$172,$B49,FALSE),""))</f>
        <v/>
      </c>
      <c r="AQ49" s="488" t="str">
        <f>IF(AQ$4="","",IF(HLOOKUP(AQ$4,'Physical Effects-Numbers'!$B$1:$AU$172,$B49,FALSE)&lt;0,HLOOKUP(AQ$4,'Physical Effects-Numbers'!$B$1:$AU$172,$B49,FALSE),""))</f>
        <v/>
      </c>
      <c r="AR49" s="488" t="str">
        <f>IF(AR$4="","",IF(HLOOKUP(AR$4,'Physical Effects-Numbers'!$B$1:$AU$172,$B49,FALSE)&lt;0,HLOOKUP(AR$4,'Physical Effects-Numbers'!$B$1:$AU$172,$B49,FALSE),""))</f>
        <v/>
      </c>
      <c r="AS49" s="488" t="str">
        <f>IF(AS$4="","",IF(HLOOKUP(AS$4,'Physical Effects-Numbers'!$B$1:$AU$172,$B49,FALSE)&lt;0,HLOOKUP(AS$4,'Physical Effects-Numbers'!$B$1:$AU$172,$B49,FALSE),""))</f>
        <v/>
      </c>
      <c r="AT49" s="488" t="str">
        <f>IF(AT$4="","",IF(HLOOKUP(AT$4,'Physical Effects-Numbers'!$B$1:$AU$172,$B49,FALSE)&lt;0,HLOOKUP(AT$4,'Physical Effects-Numbers'!$B$1:$AU$172,$B49,FALSE),""))</f>
        <v/>
      </c>
      <c r="AU49" s="488" t="str">
        <f>IF(AU$4="","",IF(HLOOKUP(AU$4,'Physical Effects-Numbers'!$B$1:$AU$172,$B49,FALSE)&lt;0,HLOOKUP(AU$4,'Physical Effects-Numbers'!$B$1:$AU$172,$B49,FALSE),""))</f>
        <v/>
      </c>
      <c r="AV49" s="488" t="str">
        <f>IF(AV$4="","",IF(HLOOKUP(AV$4,'Physical Effects-Numbers'!$B$1:$AU$167,$B49,FALSE)&lt;0,HLOOKUP(AV$4,'Physical Effects-Numbers'!$B$1:$AU$167,$B49,FALSE),""))</f>
        <v/>
      </c>
    </row>
    <row r="50" spans="2:48" x14ac:dyDescent="0.2">
      <c r="B50" s="487">
        <f t="shared" si="0"/>
        <v>47</v>
      </c>
      <c r="C50" s="486" t="str">
        <f>+'Physical Effects-Numbers'!B47</f>
        <v>Fence</v>
      </c>
      <c r="D50" s="488" t="str">
        <f>IF(D$4="","",IF(HLOOKUP(D$4,'Physical Effects-Numbers'!$B$1:$AU$172,$B50,FALSE)&lt;0,HLOOKUP(D$4,'Physical Effects-Numbers'!$B$1:$AU$172,$B50,FALSE),""))</f>
        <v/>
      </c>
      <c r="E50" s="488" t="str">
        <f>IF(E$4="","",IF(HLOOKUP(E$4,'Physical Effects-Numbers'!$B$1:$AU$172,$B50,FALSE)&lt;0,HLOOKUP(E$4,'Physical Effects-Numbers'!$B$1:$AU$172,$B50,FALSE),""))</f>
        <v/>
      </c>
      <c r="F50" s="488" t="str">
        <f>IF(F$4="","",IF(HLOOKUP(F$4,'Physical Effects-Numbers'!$B$1:$AU$172,$B50,FALSE)&lt;0,HLOOKUP(F$4,'Physical Effects-Numbers'!$B$1:$AU$172,$B50,FALSE),""))</f>
        <v/>
      </c>
      <c r="G50" s="488" t="str">
        <f>IF(G$4="","",IF(HLOOKUP(G$4,'Physical Effects-Numbers'!$B$1:$AU$172,$B50,FALSE)&lt;0,HLOOKUP(G$4,'Physical Effects-Numbers'!$B$1:$AU$172,$B50,FALSE),""))</f>
        <v/>
      </c>
      <c r="H50" s="488" t="str">
        <f>IF(H$4="","",IF(HLOOKUP(H$4,'Physical Effects-Numbers'!$B$1:$AU$172,$B50,FALSE)&lt;0,HLOOKUP(H$4,'Physical Effects-Numbers'!$B$1:$AU$172,$B50,FALSE),""))</f>
        <v/>
      </c>
      <c r="I50" s="488" t="str">
        <f>IF(I$4="","",IF(HLOOKUP(I$4,'Physical Effects-Numbers'!$B$1:$AU$172,$B50,FALSE)&lt;0,HLOOKUP(I$4,'Physical Effects-Numbers'!$B$1:$AU$172,$B50,FALSE),""))</f>
        <v/>
      </c>
      <c r="J50" s="488" t="str">
        <f>IF(J$4="","",IF(HLOOKUP(J$4,'Physical Effects-Numbers'!$B$1:$AU$172,$B50,FALSE)&lt;0,HLOOKUP(J$4,'Physical Effects-Numbers'!$B$1:$AU$172,$B50,FALSE),""))</f>
        <v/>
      </c>
      <c r="K50" s="488" t="str">
        <f>IF(K$4="","",IF(HLOOKUP(K$4,'Physical Effects-Numbers'!$B$1:$AU$172,$B50,FALSE)&lt;0,HLOOKUP(K$4,'Physical Effects-Numbers'!$B$1:$AU$172,$B50,FALSE),""))</f>
        <v/>
      </c>
      <c r="L50" s="488" t="str">
        <f>IF(L$4="","",IF(HLOOKUP(L$4,'Physical Effects-Numbers'!$B$1:$AU$172,$B50,FALSE)&lt;0,HLOOKUP(L$4,'Physical Effects-Numbers'!$B$1:$AU$172,$B50,FALSE),""))</f>
        <v/>
      </c>
      <c r="M50" s="488" t="str">
        <f>IF(M$4="","",IF(HLOOKUP(M$4,'Physical Effects-Numbers'!$B$1:$AU$172,$B50,FALSE)&lt;0,HLOOKUP(M$4,'Physical Effects-Numbers'!$B$1:$AU$172,$B50,FALSE),""))</f>
        <v/>
      </c>
      <c r="N50" s="488" t="str">
        <f>IF(N$4="","",IF(HLOOKUP(N$4,'Physical Effects-Numbers'!$B$1:$AU$172,$B50,FALSE)&lt;0,HLOOKUP(N$4,'Physical Effects-Numbers'!$B$1:$AU$172,$B50,FALSE),""))</f>
        <v/>
      </c>
      <c r="O50" s="488" t="str">
        <f>IF(O$4="","",IF(HLOOKUP(O$4,'Physical Effects-Numbers'!$B$1:$AU$172,$B50,FALSE)&lt;0,HLOOKUP(O$4,'Physical Effects-Numbers'!$B$1:$AU$172,$B50,FALSE),""))</f>
        <v/>
      </c>
      <c r="P50" s="488" t="str">
        <f>IF(P$4="","",IF(HLOOKUP(P$4,'Physical Effects-Numbers'!$B$1:$AU$172,$B50,FALSE)&lt;0,HLOOKUP(P$4,'Physical Effects-Numbers'!$B$1:$AU$172,$B50,FALSE),""))</f>
        <v/>
      </c>
      <c r="Q50" s="488" t="str">
        <f>IF(Q$4="","",IF(HLOOKUP(Q$4,'Physical Effects-Numbers'!$B$1:$AU$172,$B50,FALSE)&lt;0,HLOOKUP(Q$4,'Physical Effects-Numbers'!$B$1:$AU$172,$B50,FALSE),""))</f>
        <v/>
      </c>
      <c r="R50" s="488" t="str">
        <f>IF(R$4="","",IF(HLOOKUP(R$4,'Physical Effects-Numbers'!$B$1:$AU$172,$B50,FALSE)&lt;0,HLOOKUP(R$4,'Physical Effects-Numbers'!$B$1:$AU$172,$B50,FALSE),""))</f>
        <v/>
      </c>
      <c r="S50" s="488" t="str">
        <f>IF(S$4="","",IF(HLOOKUP(S$4,'Physical Effects-Numbers'!$B$1:$AU$172,$B50,FALSE)&lt;0,HLOOKUP(S$4,'Physical Effects-Numbers'!$B$1:$AU$172,$B50,FALSE),""))</f>
        <v/>
      </c>
      <c r="T50" s="488" t="str">
        <f>IF(T$4="","",IF(HLOOKUP(T$4,'Physical Effects-Numbers'!$B$1:$AU$172,$B50,FALSE)&lt;0,HLOOKUP(T$4,'Physical Effects-Numbers'!$B$1:$AU$172,$B50,FALSE),""))</f>
        <v/>
      </c>
      <c r="U50" s="488" t="str">
        <f>IF(U$4="","",IF(HLOOKUP(U$4,'Physical Effects-Numbers'!$B$1:$AU$172,$B50,FALSE)&lt;0,HLOOKUP(U$4,'Physical Effects-Numbers'!$B$1:$AU$172,$B50,FALSE),""))</f>
        <v/>
      </c>
      <c r="V50" s="488" t="str">
        <f>IF(V$4="","",IF(HLOOKUP(V$4,'Physical Effects-Numbers'!$B$1:$AU$172,$B50,FALSE)&lt;0,HLOOKUP(V$4,'Physical Effects-Numbers'!$B$1:$AU$172,$B50,FALSE),""))</f>
        <v/>
      </c>
      <c r="W50" s="488" t="str">
        <f>IF(W$4="","",IF(HLOOKUP(W$4,'Physical Effects-Numbers'!$B$1:$AU$172,$B50,FALSE)&lt;0,HLOOKUP(W$4,'Physical Effects-Numbers'!$B$1:$AU$172,$B50,FALSE),""))</f>
        <v/>
      </c>
      <c r="X50" s="488" t="str">
        <f>IF(X$4="","",IF(HLOOKUP(X$4,'Physical Effects-Numbers'!$B$1:$AU$172,$B50,FALSE)&lt;0,HLOOKUP(X$4,'Physical Effects-Numbers'!$B$1:$AU$172,$B50,FALSE),""))</f>
        <v/>
      </c>
      <c r="Y50" s="488" t="str">
        <f>IF(Y$4="","",IF(HLOOKUP(Y$4,'Physical Effects-Numbers'!$B$1:$AU$172,$B50,FALSE)&lt;0,HLOOKUP(Y$4,'Physical Effects-Numbers'!$B$1:$AU$172,$B50,FALSE),""))</f>
        <v/>
      </c>
      <c r="Z50" s="488" t="str">
        <f>IF(Z$4="","",IF(HLOOKUP(Z$4,'Physical Effects-Numbers'!$B$1:$AU$172,$B50,FALSE)&lt;0,HLOOKUP(Z$4,'Physical Effects-Numbers'!$B$1:$AU$172,$B50,FALSE),""))</f>
        <v/>
      </c>
      <c r="AA50" s="488" t="str">
        <f>IF(AA$4="","",IF(HLOOKUP(AA$4,'Physical Effects-Numbers'!$B$1:$AU$172,$B50,FALSE)&lt;0,HLOOKUP(AA$4,'Physical Effects-Numbers'!$B$1:$AU$172,$B50,FALSE),""))</f>
        <v/>
      </c>
      <c r="AB50" s="488" t="str">
        <f>IF(AB$4="","",IF(HLOOKUP(AB$4,'Physical Effects-Numbers'!$B$1:$AU$172,$B50,FALSE)&lt;0,HLOOKUP(AB$4,'Physical Effects-Numbers'!$B$1:$AU$172,$B50,FALSE),""))</f>
        <v/>
      </c>
      <c r="AC50" s="488" t="str">
        <f>IF(AC$4="","",IF(HLOOKUP(AC$4,'Physical Effects-Numbers'!$B$1:$AU$172,$B50,FALSE)&lt;0,HLOOKUP(AC$4,'Physical Effects-Numbers'!$B$1:$AU$172,$B50,FALSE),""))</f>
        <v/>
      </c>
      <c r="AD50" s="488" t="str">
        <f>IF(AD$4="","",IF(HLOOKUP(AD$4,'Physical Effects-Numbers'!$B$1:$AU$172,$B50,FALSE)&lt;0,HLOOKUP(AD$4,'Physical Effects-Numbers'!$B$1:$AU$172,$B50,FALSE),""))</f>
        <v/>
      </c>
      <c r="AE50" s="488" t="str">
        <f>IF(AE$4="","",IF(HLOOKUP(AE$4,'Physical Effects-Numbers'!$B$1:$AU$172,$B50,FALSE)&lt;0,HLOOKUP(AE$4,'Physical Effects-Numbers'!$B$1:$AU$172,$B50,FALSE),""))</f>
        <v/>
      </c>
      <c r="AF50" s="488" t="str">
        <f>IF(AF$4="","",IF(HLOOKUP(AF$4,'Physical Effects-Numbers'!$B$1:$AU$172,$B50,FALSE)&lt;0,HLOOKUP(AF$4,'Physical Effects-Numbers'!$B$1:$AU$172,$B50,FALSE),""))</f>
        <v/>
      </c>
      <c r="AG50" s="488" t="str">
        <f>IF(AG$4="","",IF(HLOOKUP(AG$4,'Physical Effects-Numbers'!$B$1:$AU$172,$B50,FALSE)&lt;0,HLOOKUP(AG$4,'Physical Effects-Numbers'!$B$1:$AU$172,$B50,FALSE),""))</f>
        <v/>
      </c>
      <c r="AH50" s="488" t="str">
        <f>IF(AH$4="","",IF(HLOOKUP(AH$4,'Physical Effects-Numbers'!$B$1:$AU$172,$B50,FALSE)&lt;0,HLOOKUP(AH$4,'Physical Effects-Numbers'!$B$1:$AU$172,$B50,FALSE),""))</f>
        <v/>
      </c>
      <c r="AI50" s="488" t="str">
        <f>IF(AI$4="","",IF(HLOOKUP(AI$4,'Physical Effects-Numbers'!$B$1:$AU$172,$B50,FALSE)&lt;0,HLOOKUP(AI$4,'Physical Effects-Numbers'!$B$1:$AU$172,$B50,FALSE),""))</f>
        <v/>
      </c>
      <c r="AJ50" s="488" t="str">
        <f>IF(AJ$4="","",IF(HLOOKUP(AJ$4,'Physical Effects-Numbers'!$B$1:$AU$172,$B50,FALSE)&lt;0,HLOOKUP(AJ$4,'Physical Effects-Numbers'!$B$1:$AU$172,$B50,FALSE),""))</f>
        <v/>
      </c>
      <c r="AK50" s="488" t="str">
        <f>IF(AK$4="","",IF(HLOOKUP(AK$4,'Physical Effects-Numbers'!$B$1:$AU$172,$B50,FALSE)&lt;0,HLOOKUP(AK$4,'Physical Effects-Numbers'!$B$1:$AU$172,$B50,FALSE),""))</f>
        <v/>
      </c>
      <c r="AL50" s="488" t="str">
        <f>IF(AL$4="","",IF(HLOOKUP(AL$4,'Physical Effects-Numbers'!$B$1:$AU$172,$B50,FALSE)&lt;0,HLOOKUP(AL$4,'Physical Effects-Numbers'!$B$1:$AU$172,$B50,FALSE),""))</f>
        <v/>
      </c>
      <c r="AM50" s="488" t="str">
        <f>IF(AM$4="","",IF(HLOOKUP(AM$4,'Physical Effects-Numbers'!$B$1:$AU$172,$B50,FALSE)&lt;0,HLOOKUP(AM$4,'Physical Effects-Numbers'!$B$1:$AU$172,$B50,FALSE),""))</f>
        <v/>
      </c>
      <c r="AN50" s="488" t="str">
        <f>IF(AN$4="","",IF(HLOOKUP(AN$4,'Physical Effects-Numbers'!$B$1:$AU$172,$B50,FALSE)&lt;0,HLOOKUP(AN$4,'Physical Effects-Numbers'!$B$1:$AU$172,$B50,FALSE),""))</f>
        <v/>
      </c>
      <c r="AO50" s="488" t="str">
        <f>IF(AO$4="","",IF(HLOOKUP(AO$4,'Physical Effects-Numbers'!$B$1:$AU$172,$B50,FALSE)&lt;0,HLOOKUP(AO$4,'Physical Effects-Numbers'!$B$1:$AU$172,$B50,FALSE),""))</f>
        <v/>
      </c>
      <c r="AP50" s="488" t="str">
        <f>IF(AP$4="","",IF(HLOOKUP(AP$4,'Physical Effects-Numbers'!$B$1:$AU$172,$B50,FALSE)&lt;0,HLOOKUP(AP$4,'Physical Effects-Numbers'!$B$1:$AU$172,$B50,FALSE),""))</f>
        <v/>
      </c>
      <c r="AQ50" s="488" t="str">
        <f>IF(AQ$4="","",IF(HLOOKUP(AQ$4,'Physical Effects-Numbers'!$B$1:$AU$172,$B50,FALSE)&lt;0,HLOOKUP(AQ$4,'Physical Effects-Numbers'!$B$1:$AU$172,$B50,FALSE),""))</f>
        <v/>
      </c>
      <c r="AR50" s="488" t="str">
        <f>IF(AR$4="","",IF(HLOOKUP(AR$4,'Physical Effects-Numbers'!$B$1:$AU$172,$B50,FALSE)&lt;0,HLOOKUP(AR$4,'Physical Effects-Numbers'!$B$1:$AU$172,$B50,FALSE),""))</f>
        <v/>
      </c>
      <c r="AS50" s="488" t="str">
        <f>IF(AS$4="","",IF(HLOOKUP(AS$4,'Physical Effects-Numbers'!$B$1:$AU$172,$B50,FALSE)&lt;0,HLOOKUP(AS$4,'Physical Effects-Numbers'!$B$1:$AU$172,$B50,FALSE),""))</f>
        <v/>
      </c>
      <c r="AT50" s="488" t="str">
        <f>IF(AT$4="","",IF(HLOOKUP(AT$4,'Physical Effects-Numbers'!$B$1:$AU$172,$B50,FALSE)&lt;0,HLOOKUP(AT$4,'Physical Effects-Numbers'!$B$1:$AU$172,$B50,FALSE),""))</f>
        <v/>
      </c>
      <c r="AU50" s="488" t="str">
        <f>IF(AU$4="","",IF(HLOOKUP(AU$4,'Physical Effects-Numbers'!$B$1:$AU$172,$B50,FALSE)&lt;0,HLOOKUP(AU$4,'Physical Effects-Numbers'!$B$1:$AU$172,$B50,FALSE),""))</f>
        <v/>
      </c>
      <c r="AV50" s="488" t="str">
        <f>IF(AV$4="","",IF(HLOOKUP(AV$4,'Physical Effects-Numbers'!$B$1:$AU$167,$B50,FALSE)&lt;0,HLOOKUP(AV$4,'Physical Effects-Numbers'!$B$1:$AU$167,$B50,FALSE),""))</f>
        <v/>
      </c>
    </row>
    <row r="51" spans="2:48" x14ac:dyDescent="0.2">
      <c r="B51" s="487">
        <f t="shared" si="0"/>
        <v>48</v>
      </c>
      <c r="C51" s="486" t="str">
        <f>+'Physical Effects-Numbers'!B48</f>
        <v>Field Border</v>
      </c>
      <c r="D51" s="488" t="str">
        <f>IF(D$4="","",IF(HLOOKUP(D$4,'Physical Effects-Numbers'!$B$1:$AU$172,$B51,FALSE)&lt;0,HLOOKUP(D$4,'Physical Effects-Numbers'!$B$1:$AU$172,$B51,FALSE),""))</f>
        <v/>
      </c>
      <c r="E51" s="488" t="str">
        <f>IF(E$4="","",IF(HLOOKUP(E$4,'Physical Effects-Numbers'!$B$1:$AU$172,$B51,FALSE)&lt;0,HLOOKUP(E$4,'Physical Effects-Numbers'!$B$1:$AU$172,$B51,FALSE),""))</f>
        <v/>
      </c>
      <c r="F51" s="488" t="str">
        <f>IF(F$4="","",IF(HLOOKUP(F$4,'Physical Effects-Numbers'!$B$1:$AU$172,$B51,FALSE)&lt;0,HLOOKUP(F$4,'Physical Effects-Numbers'!$B$1:$AU$172,$B51,FALSE),""))</f>
        <v/>
      </c>
      <c r="G51" s="488" t="str">
        <f>IF(G$4="","",IF(HLOOKUP(G$4,'Physical Effects-Numbers'!$B$1:$AU$172,$B51,FALSE)&lt;0,HLOOKUP(G$4,'Physical Effects-Numbers'!$B$1:$AU$172,$B51,FALSE),""))</f>
        <v/>
      </c>
      <c r="H51" s="488" t="str">
        <f>IF(H$4="","",IF(HLOOKUP(H$4,'Physical Effects-Numbers'!$B$1:$AU$172,$B51,FALSE)&lt;0,HLOOKUP(H$4,'Physical Effects-Numbers'!$B$1:$AU$172,$B51,FALSE),""))</f>
        <v/>
      </c>
      <c r="I51" s="488" t="str">
        <f>IF(I$4="","",IF(HLOOKUP(I$4,'Physical Effects-Numbers'!$B$1:$AU$172,$B51,FALSE)&lt;0,HLOOKUP(I$4,'Physical Effects-Numbers'!$B$1:$AU$172,$B51,FALSE),""))</f>
        <v/>
      </c>
      <c r="J51" s="488" t="str">
        <f>IF(J$4="","",IF(HLOOKUP(J$4,'Physical Effects-Numbers'!$B$1:$AU$172,$B51,FALSE)&lt;0,HLOOKUP(J$4,'Physical Effects-Numbers'!$B$1:$AU$172,$B51,FALSE),""))</f>
        <v/>
      </c>
      <c r="K51" s="488" t="str">
        <f>IF(K$4="","",IF(HLOOKUP(K$4,'Physical Effects-Numbers'!$B$1:$AU$172,$B51,FALSE)&lt;0,HLOOKUP(K$4,'Physical Effects-Numbers'!$B$1:$AU$172,$B51,FALSE),""))</f>
        <v/>
      </c>
      <c r="L51" s="488" t="str">
        <f>IF(L$4="","",IF(HLOOKUP(L$4,'Physical Effects-Numbers'!$B$1:$AU$172,$B51,FALSE)&lt;0,HLOOKUP(L$4,'Physical Effects-Numbers'!$B$1:$AU$172,$B51,FALSE),""))</f>
        <v/>
      </c>
      <c r="M51" s="488" t="str">
        <f>IF(M$4="","",IF(HLOOKUP(M$4,'Physical Effects-Numbers'!$B$1:$AU$172,$B51,FALSE)&lt;0,HLOOKUP(M$4,'Physical Effects-Numbers'!$B$1:$AU$172,$B51,FALSE),""))</f>
        <v/>
      </c>
      <c r="N51" s="488" t="str">
        <f>IF(N$4="","",IF(HLOOKUP(N$4,'Physical Effects-Numbers'!$B$1:$AU$172,$B51,FALSE)&lt;0,HLOOKUP(N$4,'Physical Effects-Numbers'!$B$1:$AU$172,$B51,FALSE),""))</f>
        <v/>
      </c>
      <c r="O51" s="488" t="str">
        <f>IF(O$4="","",IF(HLOOKUP(O$4,'Physical Effects-Numbers'!$B$1:$AU$172,$B51,FALSE)&lt;0,HLOOKUP(O$4,'Physical Effects-Numbers'!$B$1:$AU$172,$B51,FALSE),""))</f>
        <v/>
      </c>
      <c r="P51" s="488" t="str">
        <f>IF(P$4="","",IF(HLOOKUP(P$4,'Physical Effects-Numbers'!$B$1:$AU$172,$B51,FALSE)&lt;0,HLOOKUP(P$4,'Physical Effects-Numbers'!$B$1:$AU$172,$B51,FALSE),""))</f>
        <v/>
      </c>
      <c r="Q51" s="488" t="str">
        <f>IF(Q$4="","",IF(HLOOKUP(Q$4,'Physical Effects-Numbers'!$B$1:$AU$172,$B51,FALSE)&lt;0,HLOOKUP(Q$4,'Physical Effects-Numbers'!$B$1:$AU$172,$B51,FALSE),""))</f>
        <v/>
      </c>
      <c r="R51" s="488" t="str">
        <f>IF(R$4="","",IF(HLOOKUP(R$4,'Physical Effects-Numbers'!$B$1:$AU$172,$B51,FALSE)&lt;0,HLOOKUP(R$4,'Physical Effects-Numbers'!$B$1:$AU$172,$B51,FALSE),""))</f>
        <v/>
      </c>
      <c r="S51" s="488" t="str">
        <f>IF(S$4="","",IF(HLOOKUP(S$4,'Physical Effects-Numbers'!$B$1:$AU$172,$B51,FALSE)&lt;0,HLOOKUP(S$4,'Physical Effects-Numbers'!$B$1:$AU$172,$B51,FALSE),""))</f>
        <v/>
      </c>
      <c r="T51" s="488" t="str">
        <f>IF(T$4="","",IF(HLOOKUP(T$4,'Physical Effects-Numbers'!$B$1:$AU$172,$B51,FALSE)&lt;0,HLOOKUP(T$4,'Physical Effects-Numbers'!$B$1:$AU$172,$B51,FALSE),""))</f>
        <v/>
      </c>
      <c r="U51" s="488" t="str">
        <f>IF(U$4="","",IF(HLOOKUP(U$4,'Physical Effects-Numbers'!$B$1:$AU$172,$B51,FALSE)&lt;0,HLOOKUP(U$4,'Physical Effects-Numbers'!$B$1:$AU$172,$B51,FALSE),""))</f>
        <v/>
      </c>
      <c r="V51" s="488" t="str">
        <f>IF(V$4="","",IF(HLOOKUP(V$4,'Physical Effects-Numbers'!$B$1:$AU$172,$B51,FALSE)&lt;0,HLOOKUP(V$4,'Physical Effects-Numbers'!$B$1:$AU$172,$B51,FALSE),""))</f>
        <v/>
      </c>
      <c r="W51" s="488" t="str">
        <f>IF(W$4="","",IF(HLOOKUP(W$4,'Physical Effects-Numbers'!$B$1:$AU$172,$B51,FALSE)&lt;0,HLOOKUP(W$4,'Physical Effects-Numbers'!$B$1:$AU$172,$B51,FALSE),""))</f>
        <v/>
      </c>
      <c r="X51" s="488" t="str">
        <f>IF(X$4="","",IF(HLOOKUP(X$4,'Physical Effects-Numbers'!$B$1:$AU$172,$B51,FALSE)&lt;0,HLOOKUP(X$4,'Physical Effects-Numbers'!$B$1:$AU$172,$B51,FALSE),""))</f>
        <v/>
      </c>
      <c r="Y51" s="488" t="str">
        <f>IF(Y$4="","",IF(HLOOKUP(Y$4,'Physical Effects-Numbers'!$B$1:$AU$172,$B51,FALSE)&lt;0,HLOOKUP(Y$4,'Physical Effects-Numbers'!$B$1:$AU$172,$B51,FALSE),""))</f>
        <v/>
      </c>
      <c r="Z51" s="488" t="str">
        <f>IF(Z$4="","",IF(HLOOKUP(Z$4,'Physical Effects-Numbers'!$B$1:$AU$172,$B51,FALSE)&lt;0,HLOOKUP(Z$4,'Physical Effects-Numbers'!$B$1:$AU$172,$B51,FALSE),""))</f>
        <v/>
      </c>
      <c r="AA51" s="488" t="str">
        <f>IF(AA$4="","",IF(HLOOKUP(AA$4,'Physical Effects-Numbers'!$B$1:$AU$172,$B51,FALSE)&lt;0,HLOOKUP(AA$4,'Physical Effects-Numbers'!$B$1:$AU$172,$B51,FALSE),""))</f>
        <v/>
      </c>
      <c r="AB51" s="488" t="str">
        <f>IF(AB$4="","",IF(HLOOKUP(AB$4,'Physical Effects-Numbers'!$B$1:$AU$172,$B51,FALSE)&lt;0,HLOOKUP(AB$4,'Physical Effects-Numbers'!$B$1:$AU$172,$B51,FALSE),""))</f>
        <v/>
      </c>
      <c r="AC51" s="488" t="str">
        <f>IF(AC$4="","",IF(HLOOKUP(AC$4,'Physical Effects-Numbers'!$B$1:$AU$172,$B51,FALSE)&lt;0,HLOOKUP(AC$4,'Physical Effects-Numbers'!$B$1:$AU$172,$B51,FALSE),""))</f>
        <v/>
      </c>
      <c r="AD51" s="488" t="str">
        <f>IF(AD$4="","",IF(HLOOKUP(AD$4,'Physical Effects-Numbers'!$B$1:$AU$172,$B51,FALSE)&lt;0,HLOOKUP(AD$4,'Physical Effects-Numbers'!$B$1:$AU$172,$B51,FALSE),""))</f>
        <v/>
      </c>
      <c r="AE51" s="488" t="str">
        <f>IF(AE$4="","",IF(HLOOKUP(AE$4,'Physical Effects-Numbers'!$B$1:$AU$172,$B51,FALSE)&lt;0,HLOOKUP(AE$4,'Physical Effects-Numbers'!$B$1:$AU$172,$B51,FALSE),""))</f>
        <v/>
      </c>
      <c r="AF51" s="488" t="str">
        <f>IF(AF$4="","",IF(HLOOKUP(AF$4,'Physical Effects-Numbers'!$B$1:$AU$172,$B51,FALSE)&lt;0,HLOOKUP(AF$4,'Physical Effects-Numbers'!$B$1:$AU$172,$B51,FALSE),""))</f>
        <v/>
      </c>
      <c r="AG51" s="488" t="str">
        <f>IF(AG$4="","",IF(HLOOKUP(AG$4,'Physical Effects-Numbers'!$B$1:$AU$172,$B51,FALSE)&lt;0,HLOOKUP(AG$4,'Physical Effects-Numbers'!$B$1:$AU$172,$B51,FALSE),""))</f>
        <v/>
      </c>
      <c r="AH51" s="488" t="str">
        <f>IF(AH$4="","",IF(HLOOKUP(AH$4,'Physical Effects-Numbers'!$B$1:$AU$172,$B51,FALSE)&lt;0,HLOOKUP(AH$4,'Physical Effects-Numbers'!$B$1:$AU$172,$B51,FALSE),""))</f>
        <v/>
      </c>
      <c r="AI51" s="488" t="str">
        <f>IF(AI$4="","",IF(HLOOKUP(AI$4,'Physical Effects-Numbers'!$B$1:$AU$172,$B51,FALSE)&lt;0,HLOOKUP(AI$4,'Physical Effects-Numbers'!$B$1:$AU$172,$B51,FALSE),""))</f>
        <v/>
      </c>
      <c r="AJ51" s="488" t="str">
        <f>IF(AJ$4="","",IF(HLOOKUP(AJ$4,'Physical Effects-Numbers'!$B$1:$AU$172,$B51,FALSE)&lt;0,HLOOKUP(AJ$4,'Physical Effects-Numbers'!$B$1:$AU$172,$B51,FALSE),""))</f>
        <v/>
      </c>
      <c r="AK51" s="488" t="str">
        <f>IF(AK$4="","",IF(HLOOKUP(AK$4,'Physical Effects-Numbers'!$B$1:$AU$172,$B51,FALSE)&lt;0,HLOOKUP(AK$4,'Physical Effects-Numbers'!$B$1:$AU$172,$B51,FALSE),""))</f>
        <v/>
      </c>
      <c r="AL51" s="488" t="str">
        <f>IF(AL$4="","",IF(HLOOKUP(AL$4,'Physical Effects-Numbers'!$B$1:$AU$172,$B51,FALSE)&lt;0,HLOOKUP(AL$4,'Physical Effects-Numbers'!$B$1:$AU$172,$B51,FALSE),""))</f>
        <v/>
      </c>
      <c r="AM51" s="488" t="str">
        <f>IF(AM$4="","",IF(HLOOKUP(AM$4,'Physical Effects-Numbers'!$B$1:$AU$172,$B51,FALSE)&lt;0,HLOOKUP(AM$4,'Physical Effects-Numbers'!$B$1:$AU$172,$B51,FALSE),""))</f>
        <v/>
      </c>
      <c r="AN51" s="488" t="str">
        <f>IF(AN$4="","",IF(HLOOKUP(AN$4,'Physical Effects-Numbers'!$B$1:$AU$172,$B51,FALSE)&lt;0,HLOOKUP(AN$4,'Physical Effects-Numbers'!$B$1:$AU$172,$B51,FALSE),""))</f>
        <v/>
      </c>
      <c r="AO51" s="488" t="str">
        <f>IF(AO$4="","",IF(HLOOKUP(AO$4,'Physical Effects-Numbers'!$B$1:$AU$172,$B51,FALSE)&lt;0,HLOOKUP(AO$4,'Physical Effects-Numbers'!$B$1:$AU$172,$B51,FALSE),""))</f>
        <v/>
      </c>
      <c r="AP51" s="488" t="str">
        <f>IF(AP$4="","",IF(HLOOKUP(AP$4,'Physical Effects-Numbers'!$B$1:$AU$172,$B51,FALSE)&lt;0,HLOOKUP(AP$4,'Physical Effects-Numbers'!$B$1:$AU$172,$B51,FALSE),""))</f>
        <v/>
      </c>
      <c r="AQ51" s="488" t="str">
        <f>IF(AQ$4="","",IF(HLOOKUP(AQ$4,'Physical Effects-Numbers'!$B$1:$AU$172,$B51,FALSE)&lt;0,HLOOKUP(AQ$4,'Physical Effects-Numbers'!$B$1:$AU$172,$B51,FALSE),""))</f>
        <v/>
      </c>
      <c r="AR51" s="488" t="str">
        <f>IF(AR$4="","",IF(HLOOKUP(AR$4,'Physical Effects-Numbers'!$B$1:$AU$172,$B51,FALSE)&lt;0,HLOOKUP(AR$4,'Physical Effects-Numbers'!$B$1:$AU$172,$B51,FALSE),""))</f>
        <v/>
      </c>
      <c r="AS51" s="488" t="str">
        <f>IF(AS$4="","",IF(HLOOKUP(AS$4,'Physical Effects-Numbers'!$B$1:$AU$172,$B51,FALSE)&lt;0,HLOOKUP(AS$4,'Physical Effects-Numbers'!$B$1:$AU$172,$B51,FALSE),""))</f>
        <v/>
      </c>
      <c r="AT51" s="488" t="str">
        <f>IF(AT$4="","",IF(HLOOKUP(AT$4,'Physical Effects-Numbers'!$B$1:$AU$172,$B51,FALSE)&lt;0,HLOOKUP(AT$4,'Physical Effects-Numbers'!$B$1:$AU$172,$B51,FALSE),""))</f>
        <v/>
      </c>
      <c r="AU51" s="488" t="str">
        <f>IF(AU$4="","",IF(HLOOKUP(AU$4,'Physical Effects-Numbers'!$B$1:$AU$172,$B51,FALSE)&lt;0,HLOOKUP(AU$4,'Physical Effects-Numbers'!$B$1:$AU$172,$B51,FALSE),""))</f>
        <v/>
      </c>
      <c r="AV51" s="488" t="str">
        <f>IF(AV$4="","",IF(HLOOKUP(AV$4,'Physical Effects-Numbers'!$B$1:$AU$167,$B51,FALSE)&lt;0,HLOOKUP(AV$4,'Physical Effects-Numbers'!$B$1:$AU$167,$B51,FALSE),""))</f>
        <v/>
      </c>
    </row>
    <row r="52" spans="2:48" x14ac:dyDescent="0.2">
      <c r="B52" s="487">
        <f t="shared" si="0"/>
        <v>49</v>
      </c>
      <c r="C52" s="486" t="str">
        <f>+'Physical Effects-Numbers'!B49</f>
        <v>Field Operations Emissions Reduction</v>
      </c>
      <c r="D52" s="488" t="str">
        <f>IF(D$4="","",IF(HLOOKUP(D$4,'Physical Effects-Numbers'!$B$1:$AU$172,$B52,FALSE)&lt;0,HLOOKUP(D$4,'Physical Effects-Numbers'!$B$1:$AU$172,$B52,FALSE),""))</f>
        <v/>
      </c>
      <c r="E52" s="488" t="str">
        <f>IF(E$4="","",IF(HLOOKUP(E$4,'Physical Effects-Numbers'!$B$1:$AU$172,$B52,FALSE)&lt;0,HLOOKUP(E$4,'Physical Effects-Numbers'!$B$1:$AU$172,$B52,FALSE),""))</f>
        <v/>
      </c>
      <c r="F52" s="488" t="str">
        <f>IF(F$4="","",IF(HLOOKUP(F$4,'Physical Effects-Numbers'!$B$1:$AU$172,$B52,FALSE)&lt;0,HLOOKUP(F$4,'Physical Effects-Numbers'!$B$1:$AU$172,$B52,FALSE),""))</f>
        <v/>
      </c>
      <c r="G52" s="488" t="str">
        <f>IF(G$4="","",IF(HLOOKUP(G$4,'Physical Effects-Numbers'!$B$1:$AU$172,$B52,FALSE)&lt;0,HLOOKUP(G$4,'Physical Effects-Numbers'!$B$1:$AU$172,$B52,FALSE),""))</f>
        <v/>
      </c>
      <c r="H52" s="488" t="str">
        <f>IF(H$4="","",IF(HLOOKUP(H$4,'Physical Effects-Numbers'!$B$1:$AU$172,$B52,FALSE)&lt;0,HLOOKUP(H$4,'Physical Effects-Numbers'!$B$1:$AU$172,$B52,FALSE),""))</f>
        <v/>
      </c>
      <c r="I52" s="488" t="str">
        <f>IF(I$4="","",IF(HLOOKUP(I$4,'Physical Effects-Numbers'!$B$1:$AU$172,$B52,FALSE)&lt;0,HLOOKUP(I$4,'Physical Effects-Numbers'!$B$1:$AU$172,$B52,FALSE),""))</f>
        <v/>
      </c>
      <c r="J52" s="488" t="str">
        <f>IF(J$4="","",IF(HLOOKUP(J$4,'Physical Effects-Numbers'!$B$1:$AU$172,$B52,FALSE)&lt;0,HLOOKUP(J$4,'Physical Effects-Numbers'!$B$1:$AU$172,$B52,FALSE),""))</f>
        <v/>
      </c>
      <c r="K52" s="488" t="str">
        <f>IF(K$4="","",IF(HLOOKUP(K$4,'Physical Effects-Numbers'!$B$1:$AU$172,$B52,FALSE)&lt;0,HLOOKUP(K$4,'Physical Effects-Numbers'!$B$1:$AU$172,$B52,FALSE),""))</f>
        <v/>
      </c>
      <c r="L52" s="488" t="str">
        <f>IF(L$4="","",IF(HLOOKUP(L$4,'Physical Effects-Numbers'!$B$1:$AU$172,$B52,FALSE)&lt;0,HLOOKUP(L$4,'Physical Effects-Numbers'!$B$1:$AU$172,$B52,FALSE),""))</f>
        <v/>
      </c>
      <c r="M52" s="488" t="str">
        <f>IF(M$4="","",IF(HLOOKUP(M$4,'Physical Effects-Numbers'!$B$1:$AU$172,$B52,FALSE)&lt;0,HLOOKUP(M$4,'Physical Effects-Numbers'!$B$1:$AU$172,$B52,FALSE),""))</f>
        <v/>
      </c>
      <c r="N52" s="488" t="str">
        <f>IF(N$4="","",IF(HLOOKUP(N$4,'Physical Effects-Numbers'!$B$1:$AU$172,$B52,FALSE)&lt;0,HLOOKUP(N$4,'Physical Effects-Numbers'!$B$1:$AU$172,$B52,FALSE),""))</f>
        <v/>
      </c>
      <c r="O52" s="488" t="str">
        <f>IF(O$4="","",IF(HLOOKUP(O$4,'Physical Effects-Numbers'!$B$1:$AU$172,$B52,FALSE)&lt;0,HLOOKUP(O$4,'Physical Effects-Numbers'!$B$1:$AU$172,$B52,FALSE),""))</f>
        <v/>
      </c>
      <c r="P52" s="488" t="str">
        <f>IF(P$4="","",IF(HLOOKUP(P$4,'Physical Effects-Numbers'!$B$1:$AU$172,$B52,FALSE)&lt;0,HLOOKUP(P$4,'Physical Effects-Numbers'!$B$1:$AU$172,$B52,FALSE),""))</f>
        <v/>
      </c>
      <c r="Q52" s="488" t="str">
        <f>IF(Q$4="","",IF(HLOOKUP(Q$4,'Physical Effects-Numbers'!$B$1:$AU$172,$B52,FALSE)&lt;0,HLOOKUP(Q$4,'Physical Effects-Numbers'!$B$1:$AU$172,$B52,FALSE),""))</f>
        <v/>
      </c>
      <c r="R52" s="488" t="str">
        <f>IF(R$4="","",IF(HLOOKUP(R$4,'Physical Effects-Numbers'!$B$1:$AU$172,$B52,FALSE)&lt;0,HLOOKUP(R$4,'Physical Effects-Numbers'!$B$1:$AU$172,$B52,FALSE),""))</f>
        <v/>
      </c>
      <c r="S52" s="488" t="str">
        <f>IF(S$4="","",IF(HLOOKUP(S$4,'Physical Effects-Numbers'!$B$1:$AU$172,$B52,FALSE)&lt;0,HLOOKUP(S$4,'Physical Effects-Numbers'!$B$1:$AU$172,$B52,FALSE),""))</f>
        <v/>
      </c>
      <c r="T52" s="488" t="str">
        <f>IF(T$4="","",IF(HLOOKUP(T$4,'Physical Effects-Numbers'!$B$1:$AU$172,$B52,FALSE)&lt;0,HLOOKUP(T$4,'Physical Effects-Numbers'!$B$1:$AU$172,$B52,FALSE),""))</f>
        <v/>
      </c>
      <c r="U52" s="488" t="str">
        <f>IF(U$4="","",IF(HLOOKUP(U$4,'Physical Effects-Numbers'!$B$1:$AU$172,$B52,FALSE)&lt;0,HLOOKUP(U$4,'Physical Effects-Numbers'!$B$1:$AU$172,$B52,FALSE),""))</f>
        <v/>
      </c>
      <c r="V52" s="488" t="str">
        <f>IF(V$4="","",IF(HLOOKUP(V$4,'Physical Effects-Numbers'!$B$1:$AU$172,$B52,FALSE)&lt;0,HLOOKUP(V$4,'Physical Effects-Numbers'!$B$1:$AU$172,$B52,FALSE),""))</f>
        <v/>
      </c>
      <c r="W52" s="488" t="str">
        <f>IF(W$4="","",IF(HLOOKUP(W$4,'Physical Effects-Numbers'!$B$1:$AU$172,$B52,FALSE)&lt;0,HLOOKUP(W$4,'Physical Effects-Numbers'!$B$1:$AU$172,$B52,FALSE),""))</f>
        <v/>
      </c>
      <c r="X52" s="488" t="str">
        <f>IF(X$4="","",IF(HLOOKUP(X$4,'Physical Effects-Numbers'!$B$1:$AU$172,$B52,FALSE)&lt;0,HLOOKUP(X$4,'Physical Effects-Numbers'!$B$1:$AU$172,$B52,FALSE),""))</f>
        <v/>
      </c>
      <c r="Y52" s="488" t="str">
        <f>IF(Y$4="","",IF(HLOOKUP(Y$4,'Physical Effects-Numbers'!$B$1:$AU$172,$B52,FALSE)&lt;0,HLOOKUP(Y$4,'Physical Effects-Numbers'!$B$1:$AU$172,$B52,FALSE),""))</f>
        <v/>
      </c>
      <c r="Z52" s="488" t="str">
        <f>IF(Z$4="","",IF(HLOOKUP(Z$4,'Physical Effects-Numbers'!$B$1:$AU$172,$B52,FALSE)&lt;0,HLOOKUP(Z$4,'Physical Effects-Numbers'!$B$1:$AU$172,$B52,FALSE),""))</f>
        <v/>
      </c>
      <c r="AA52" s="488" t="str">
        <f>IF(AA$4="","",IF(HLOOKUP(AA$4,'Physical Effects-Numbers'!$B$1:$AU$172,$B52,FALSE)&lt;0,HLOOKUP(AA$4,'Physical Effects-Numbers'!$B$1:$AU$172,$B52,FALSE),""))</f>
        <v/>
      </c>
      <c r="AB52" s="488" t="str">
        <f>IF(AB$4="","",IF(HLOOKUP(AB$4,'Physical Effects-Numbers'!$B$1:$AU$172,$B52,FALSE)&lt;0,HLOOKUP(AB$4,'Physical Effects-Numbers'!$B$1:$AU$172,$B52,FALSE),""))</f>
        <v/>
      </c>
      <c r="AC52" s="488" t="str">
        <f>IF(AC$4="","",IF(HLOOKUP(AC$4,'Physical Effects-Numbers'!$B$1:$AU$172,$B52,FALSE)&lt;0,HLOOKUP(AC$4,'Physical Effects-Numbers'!$B$1:$AU$172,$B52,FALSE),""))</f>
        <v/>
      </c>
      <c r="AD52" s="488" t="str">
        <f>IF(AD$4="","",IF(HLOOKUP(AD$4,'Physical Effects-Numbers'!$B$1:$AU$172,$B52,FALSE)&lt;0,HLOOKUP(AD$4,'Physical Effects-Numbers'!$B$1:$AU$172,$B52,FALSE),""))</f>
        <v/>
      </c>
      <c r="AE52" s="488" t="str">
        <f>IF(AE$4="","",IF(HLOOKUP(AE$4,'Physical Effects-Numbers'!$B$1:$AU$172,$B52,FALSE)&lt;0,HLOOKUP(AE$4,'Physical Effects-Numbers'!$B$1:$AU$172,$B52,FALSE),""))</f>
        <v/>
      </c>
      <c r="AF52" s="488" t="str">
        <f>IF(AF$4="","",IF(HLOOKUP(AF$4,'Physical Effects-Numbers'!$B$1:$AU$172,$B52,FALSE)&lt;0,HLOOKUP(AF$4,'Physical Effects-Numbers'!$B$1:$AU$172,$B52,FALSE),""))</f>
        <v/>
      </c>
      <c r="AG52" s="488" t="str">
        <f>IF(AG$4="","",IF(HLOOKUP(AG$4,'Physical Effects-Numbers'!$B$1:$AU$172,$B52,FALSE)&lt;0,HLOOKUP(AG$4,'Physical Effects-Numbers'!$B$1:$AU$172,$B52,FALSE),""))</f>
        <v/>
      </c>
      <c r="AH52" s="488" t="str">
        <f>IF(AH$4="","",IF(HLOOKUP(AH$4,'Physical Effects-Numbers'!$B$1:$AU$172,$B52,FALSE)&lt;0,HLOOKUP(AH$4,'Physical Effects-Numbers'!$B$1:$AU$172,$B52,FALSE),""))</f>
        <v/>
      </c>
      <c r="AI52" s="488" t="str">
        <f>IF(AI$4="","",IF(HLOOKUP(AI$4,'Physical Effects-Numbers'!$B$1:$AU$172,$B52,FALSE)&lt;0,HLOOKUP(AI$4,'Physical Effects-Numbers'!$B$1:$AU$172,$B52,FALSE),""))</f>
        <v/>
      </c>
      <c r="AJ52" s="488" t="str">
        <f>IF(AJ$4="","",IF(HLOOKUP(AJ$4,'Physical Effects-Numbers'!$B$1:$AU$172,$B52,FALSE)&lt;0,HLOOKUP(AJ$4,'Physical Effects-Numbers'!$B$1:$AU$172,$B52,FALSE),""))</f>
        <v/>
      </c>
      <c r="AK52" s="488" t="str">
        <f>IF(AK$4="","",IF(HLOOKUP(AK$4,'Physical Effects-Numbers'!$B$1:$AU$172,$B52,FALSE)&lt;0,HLOOKUP(AK$4,'Physical Effects-Numbers'!$B$1:$AU$172,$B52,FALSE),""))</f>
        <v/>
      </c>
      <c r="AL52" s="488" t="str">
        <f>IF(AL$4="","",IF(HLOOKUP(AL$4,'Physical Effects-Numbers'!$B$1:$AU$172,$B52,FALSE)&lt;0,HLOOKUP(AL$4,'Physical Effects-Numbers'!$B$1:$AU$172,$B52,FALSE),""))</f>
        <v/>
      </c>
      <c r="AM52" s="488" t="str">
        <f>IF(AM$4="","",IF(HLOOKUP(AM$4,'Physical Effects-Numbers'!$B$1:$AU$172,$B52,FALSE)&lt;0,HLOOKUP(AM$4,'Physical Effects-Numbers'!$B$1:$AU$172,$B52,FALSE),""))</f>
        <v/>
      </c>
      <c r="AN52" s="488" t="str">
        <f>IF(AN$4="","",IF(HLOOKUP(AN$4,'Physical Effects-Numbers'!$B$1:$AU$172,$B52,FALSE)&lt;0,HLOOKUP(AN$4,'Physical Effects-Numbers'!$B$1:$AU$172,$B52,FALSE),""))</f>
        <v/>
      </c>
      <c r="AO52" s="488" t="str">
        <f>IF(AO$4="","",IF(HLOOKUP(AO$4,'Physical Effects-Numbers'!$B$1:$AU$172,$B52,FALSE)&lt;0,HLOOKUP(AO$4,'Physical Effects-Numbers'!$B$1:$AU$172,$B52,FALSE),""))</f>
        <v/>
      </c>
      <c r="AP52" s="488" t="str">
        <f>IF(AP$4="","",IF(HLOOKUP(AP$4,'Physical Effects-Numbers'!$B$1:$AU$172,$B52,FALSE)&lt;0,HLOOKUP(AP$4,'Physical Effects-Numbers'!$B$1:$AU$172,$B52,FALSE),""))</f>
        <v/>
      </c>
      <c r="AQ52" s="488" t="str">
        <f>IF(AQ$4="","",IF(HLOOKUP(AQ$4,'Physical Effects-Numbers'!$B$1:$AU$172,$B52,FALSE)&lt;0,HLOOKUP(AQ$4,'Physical Effects-Numbers'!$B$1:$AU$172,$B52,FALSE),""))</f>
        <v/>
      </c>
      <c r="AR52" s="488" t="str">
        <f>IF(AR$4="","",IF(HLOOKUP(AR$4,'Physical Effects-Numbers'!$B$1:$AU$172,$B52,FALSE)&lt;0,HLOOKUP(AR$4,'Physical Effects-Numbers'!$B$1:$AU$172,$B52,FALSE),""))</f>
        <v/>
      </c>
      <c r="AS52" s="488" t="str">
        <f>IF(AS$4="","",IF(HLOOKUP(AS$4,'Physical Effects-Numbers'!$B$1:$AU$172,$B52,FALSE)&lt;0,HLOOKUP(AS$4,'Physical Effects-Numbers'!$B$1:$AU$172,$B52,FALSE),""))</f>
        <v/>
      </c>
      <c r="AT52" s="488" t="str">
        <f>IF(AT$4="","",IF(HLOOKUP(AT$4,'Physical Effects-Numbers'!$B$1:$AU$172,$B52,FALSE)&lt;0,HLOOKUP(AT$4,'Physical Effects-Numbers'!$B$1:$AU$172,$B52,FALSE),""))</f>
        <v/>
      </c>
      <c r="AU52" s="488" t="str">
        <f>IF(AU$4="","",IF(HLOOKUP(AU$4,'Physical Effects-Numbers'!$B$1:$AU$172,$B52,FALSE)&lt;0,HLOOKUP(AU$4,'Physical Effects-Numbers'!$B$1:$AU$172,$B52,FALSE),""))</f>
        <v/>
      </c>
      <c r="AV52" s="488" t="str">
        <f>IF(AV$4="","",IF(HLOOKUP(AV$4,'Physical Effects-Numbers'!$B$1:$AU$167,$B52,FALSE)&lt;0,HLOOKUP(AV$4,'Physical Effects-Numbers'!$B$1:$AU$167,$B52,FALSE),""))</f>
        <v/>
      </c>
    </row>
    <row r="53" spans="2:48" x14ac:dyDescent="0.2">
      <c r="B53" s="487">
        <f t="shared" si="0"/>
        <v>50</v>
      </c>
      <c r="C53" s="486" t="str">
        <f>+'Physical Effects-Numbers'!B50</f>
        <v>Filter Strip</v>
      </c>
      <c r="D53" s="488" t="str">
        <f>IF(D$4="","",IF(HLOOKUP(D$4,'Physical Effects-Numbers'!$B$1:$AU$172,$B53,FALSE)&lt;0,HLOOKUP(D$4,'Physical Effects-Numbers'!$B$1:$AU$172,$B53,FALSE),""))</f>
        <v/>
      </c>
      <c r="E53" s="488" t="str">
        <f>IF(E$4="","",IF(HLOOKUP(E$4,'Physical Effects-Numbers'!$B$1:$AU$172,$B53,FALSE)&lt;0,HLOOKUP(E$4,'Physical Effects-Numbers'!$B$1:$AU$172,$B53,FALSE),""))</f>
        <v/>
      </c>
      <c r="F53" s="488" t="str">
        <f>IF(F$4="","",IF(HLOOKUP(F$4,'Physical Effects-Numbers'!$B$1:$AU$172,$B53,FALSE)&lt;0,HLOOKUP(F$4,'Physical Effects-Numbers'!$B$1:$AU$172,$B53,FALSE),""))</f>
        <v/>
      </c>
      <c r="G53" s="488" t="str">
        <f>IF(G$4="","",IF(HLOOKUP(G$4,'Physical Effects-Numbers'!$B$1:$AU$172,$B53,FALSE)&lt;0,HLOOKUP(G$4,'Physical Effects-Numbers'!$B$1:$AU$172,$B53,FALSE),""))</f>
        <v/>
      </c>
      <c r="H53" s="488" t="str">
        <f>IF(H$4="","",IF(HLOOKUP(H$4,'Physical Effects-Numbers'!$B$1:$AU$172,$B53,FALSE)&lt;0,HLOOKUP(H$4,'Physical Effects-Numbers'!$B$1:$AU$172,$B53,FALSE),""))</f>
        <v/>
      </c>
      <c r="I53" s="488" t="str">
        <f>IF(I$4="","",IF(HLOOKUP(I$4,'Physical Effects-Numbers'!$B$1:$AU$172,$B53,FALSE)&lt;0,HLOOKUP(I$4,'Physical Effects-Numbers'!$B$1:$AU$172,$B53,FALSE),""))</f>
        <v/>
      </c>
      <c r="J53" s="488" t="str">
        <f>IF(J$4="","",IF(HLOOKUP(J$4,'Physical Effects-Numbers'!$B$1:$AU$172,$B53,FALSE)&lt;0,HLOOKUP(J$4,'Physical Effects-Numbers'!$B$1:$AU$172,$B53,FALSE),""))</f>
        <v/>
      </c>
      <c r="K53" s="488" t="str">
        <f>IF(K$4="","",IF(HLOOKUP(K$4,'Physical Effects-Numbers'!$B$1:$AU$172,$B53,FALSE)&lt;0,HLOOKUP(K$4,'Physical Effects-Numbers'!$B$1:$AU$172,$B53,FALSE),""))</f>
        <v/>
      </c>
      <c r="L53" s="488" t="str">
        <f>IF(L$4="","",IF(HLOOKUP(L$4,'Physical Effects-Numbers'!$B$1:$AU$172,$B53,FALSE)&lt;0,HLOOKUP(L$4,'Physical Effects-Numbers'!$B$1:$AU$172,$B53,FALSE),""))</f>
        <v/>
      </c>
      <c r="M53" s="488" t="str">
        <f>IF(M$4="","",IF(HLOOKUP(M$4,'Physical Effects-Numbers'!$B$1:$AU$172,$B53,FALSE)&lt;0,HLOOKUP(M$4,'Physical Effects-Numbers'!$B$1:$AU$172,$B53,FALSE),""))</f>
        <v/>
      </c>
      <c r="N53" s="488" t="str">
        <f>IF(N$4="","",IF(HLOOKUP(N$4,'Physical Effects-Numbers'!$B$1:$AU$172,$B53,FALSE)&lt;0,HLOOKUP(N$4,'Physical Effects-Numbers'!$B$1:$AU$172,$B53,FALSE),""))</f>
        <v/>
      </c>
      <c r="O53" s="488" t="str">
        <f>IF(O$4="","",IF(HLOOKUP(O$4,'Physical Effects-Numbers'!$B$1:$AU$172,$B53,FALSE)&lt;0,HLOOKUP(O$4,'Physical Effects-Numbers'!$B$1:$AU$172,$B53,FALSE),""))</f>
        <v/>
      </c>
      <c r="P53" s="488" t="str">
        <f>IF(P$4="","",IF(HLOOKUP(P$4,'Physical Effects-Numbers'!$B$1:$AU$172,$B53,FALSE)&lt;0,HLOOKUP(P$4,'Physical Effects-Numbers'!$B$1:$AU$172,$B53,FALSE),""))</f>
        <v/>
      </c>
      <c r="Q53" s="488" t="str">
        <f>IF(Q$4="","",IF(HLOOKUP(Q$4,'Physical Effects-Numbers'!$B$1:$AU$172,$B53,FALSE)&lt;0,HLOOKUP(Q$4,'Physical Effects-Numbers'!$B$1:$AU$172,$B53,FALSE),""))</f>
        <v/>
      </c>
      <c r="R53" s="488" t="str">
        <f>IF(R$4="","",IF(HLOOKUP(R$4,'Physical Effects-Numbers'!$B$1:$AU$172,$B53,FALSE)&lt;0,HLOOKUP(R$4,'Physical Effects-Numbers'!$B$1:$AU$172,$B53,FALSE),""))</f>
        <v/>
      </c>
      <c r="S53" s="488" t="str">
        <f>IF(S$4="","",IF(HLOOKUP(S$4,'Physical Effects-Numbers'!$B$1:$AU$172,$B53,FALSE)&lt;0,HLOOKUP(S$4,'Physical Effects-Numbers'!$B$1:$AU$172,$B53,FALSE),""))</f>
        <v/>
      </c>
      <c r="T53" s="488" t="str">
        <f>IF(T$4="","",IF(HLOOKUP(T$4,'Physical Effects-Numbers'!$B$1:$AU$172,$B53,FALSE)&lt;0,HLOOKUP(T$4,'Physical Effects-Numbers'!$B$1:$AU$172,$B53,FALSE),""))</f>
        <v/>
      </c>
      <c r="U53" s="488" t="str">
        <f>IF(U$4="","",IF(HLOOKUP(U$4,'Physical Effects-Numbers'!$B$1:$AU$172,$B53,FALSE)&lt;0,HLOOKUP(U$4,'Physical Effects-Numbers'!$B$1:$AU$172,$B53,FALSE),""))</f>
        <v/>
      </c>
      <c r="V53" s="488" t="str">
        <f>IF(V$4="","",IF(HLOOKUP(V$4,'Physical Effects-Numbers'!$B$1:$AU$172,$B53,FALSE)&lt;0,HLOOKUP(V$4,'Physical Effects-Numbers'!$B$1:$AU$172,$B53,FALSE),""))</f>
        <v/>
      </c>
      <c r="W53" s="488" t="str">
        <f>IF(W$4="","",IF(HLOOKUP(W$4,'Physical Effects-Numbers'!$B$1:$AU$172,$B53,FALSE)&lt;0,HLOOKUP(W$4,'Physical Effects-Numbers'!$B$1:$AU$172,$B53,FALSE),""))</f>
        <v/>
      </c>
      <c r="X53" s="488" t="str">
        <f>IF(X$4="","",IF(HLOOKUP(X$4,'Physical Effects-Numbers'!$B$1:$AU$172,$B53,FALSE)&lt;0,HLOOKUP(X$4,'Physical Effects-Numbers'!$B$1:$AU$172,$B53,FALSE),""))</f>
        <v/>
      </c>
      <c r="Y53" s="488" t="str">
        <f>IF(Y$4="","",IF(HLOOKUP(Y$4,'Physical Effects-Numbers'!$B$1:$AU$172,$B53,FALSE)&lt;0,HLOOKUP(Y$4,'Physical Effects-Numbers'!$B$1:$AU$172,$B53,FALSE),""))</f>
        <v/>
      </c>
      <c r="Z53" s="488" t="str">
        <f>IF(Z$4="","",IF(HLOOKUP(Z$4,'Physical Effects-Numbers'!$B$1:$AU$172,$B53,FALSE)&lt;0,HLOOKUP(Z$4,'Physical Effects-Numbers'!$B$1:$AU$172,$B53,FALSE),""))</f>
        <v/>
      </c>
      <c r="AA53" s="488" t="str">
        <f>IF(AA$4="","",IF(HLOOKUP(AA$4,'Physical Effects-Numbers'!$B$1:$AU$172,$B53,FALSE)&lt;0,HLOOKUP(AA$4,'Physical Effects-Numbers'!$B$1:$AU$172,$B53,FALSE),""))</f>
        <v/>
      </c>
      <c r="AB53" s="488" t="str">
        <f>IF(AB$4="","",IF(HLOOKUP(AB$4,'Physical Effects-Numbers'!$B$1:$AU$172,$B53,FALSE)&lt;0,HLOOKUP(AB$4,'Physical Effects-Numbers'!$B$1:$AU$172,$B53,FALSE),""))</f>
        <v/>
      </c>
      <c r="AC53" s="488" t="str">
        <f>IF(AC$4="","",IF(HLOOKUP(AC$4,'Physical Effects-Numbers'!$B$1:$AU$172,$B53,FALSE)&lt;0,HLOOKUP(AC$4,'Physical Effects-Numbers'!$B$1:$AU$172,$B53,FALSE),""))</f>
        <v/>
      </c>
      <c r="AD53" s="488" t="str">
        <f>IF(AD$4="","",IF(HLOOKUP(AD$4,'Physical Effects-Numbers'!$B$1:$AU$172,$B53,FALSE)&lt;0,HLOOKUP(AD$4,'Physical Effects-Numbers'!$B$1:$AU$172,$B53,FALSE),""))</f>
        <v/>
      </c>
      <c r="AE53" s="488" t="str">
        <f>IF(AE$4="","",IF(HLOOKUP(AE$4,'Physical Effects-Numbers'!$B$1:$AU$172,$B53,FALSE)&lt;0,HLOOKUP(AE$4,'Physical Effects-Numbers'!$B$1:$AU$172,$B53,FALSE),""))</f>
        <v/>
      </c>
      <c r="AF53" s="488" t="str">
        <f>IF(AF$4="","",IF(HLOOKUP(AF$4,'Physical Effects-Numbers'!$B$1:$AU$172,$B53,FALSE)&lt;0,HLOOKUP(AF$4,'Physical Effects-Numbers'!$B$1:$AU$172,$B53,FALSE),""))</f>
        <v/>
      </c>
      <c r="AG53" s="488" t="str">
        <f>IF(AG$4="","",IF(HLOOKUP(AG$4,'Physical Effects-Numbers'!$B$1:$AU$172,$B53,FALSE)&lt;0,HLOOKUP(AG$4,'Physical Effects-Numbers'!$B$1:$AU$172,$B53,FALSE),""))</f>
        <v/>
      </c>
      <c r="AH53" s="488" t="str">
        <f>IF(AH$4="","",IF(HLOOKUP(AH$4,'Physical Effects-Numbers'!$B$1:$AU$172,$B53,FALSE)&lt;0,HLOOKUP(AH$4,'Physical Effects-Numbers'!$B$1:$AU$172,$B53,FALSE),""))</f>
        <v/>
      </c>
      <c r="AI53" s="488" t="str">
        <f>IF(AI$4="","",IF(HLOOKUP(AI$4,'Physical Effects-Numbers'!$B$1:$AU$172,$B53,FALSE)&lt;0,HLOOKUP(AI$4,'Physical Effects-Numbers'!$B$1:$AU$172,$B53,FALSE),""))</f>
        <v/>
      </c>
      <c r="AJ53" s="488" t="str">
        <f>IF(AJ$4="","",IF(HLOOKUP(AJ$4,'Physical Effects-Numbers'!$B$1:$AU$172,$B53,FALSE)&lt;0,HLOOKUP(AJ$4,'Physical Effects-Numbers'!$B$1:$AU$172,$B53,FALSE),""))</f>
        <v/>
      </c>
      <c r="AK53" s="488" t="str">
        <f>IF(AK$4="","",IF(HLOOKUP(AK$4,'Physical Effects-Numbers'!$B$1:$AU$172,$B53,FALSE)&lt;0,HLOOKUP(AK$4,'Physical Effects-Numbers'!$B$1:$AU$172,$B53,FALSE),""))</f>
        <v/>
      </c>
      <c r="AL53" s="488" t="str">
        <f>IF(AL$4="","",IF(HLOOKUP(AL$4,'Physical Effects-Numbers'!$B$1:$AU$172,$B53,FALSE)&lt;0,HLOOKUP(AL$4,'Physical Effects-Numbers'!$B$1:$AU$172,$B53,FALSE),""))</f>
        <v/>
      </c>
      <c r="AM53" s="488" t="str">
        <f>IF(AM$4="","",IF(HLOOKUP(AM$4,'Physical Effects-Numbers'!$B$1:$AU$172,$B53,FALSE)&lt;0,HLOOKUP(AM$4,'Physical Effects-Numbers'!$B$1:$AU$172,$B53,FALSE),""))</f>
        <v/>
      </c>
      <c r="AN53" s="488" t="str">
        <f>IF(AN$4="","",IF(HLOOKUP(AN$4,'Physical Effects-Numbers'!$B$1:$AU$172,$B53,FALSE)&lt;0,HLOOKUP(AN$4,'Physical Effects-Numbers'!$B$1:$AU$172,$B53,FALSE),""))</f>
        <v/>
      </c>
      <c r="AO53" s="488" t="str">
        <f>IF(AO$4="","",IF(HLOOKUP(AO$4,'Physical Effects-Numbers'!$B$1:$AU$172,$B53,FALSE)&lt;0,HLOOKUP(AO$4,'Physical Effects-Numbers'!$B$1:$AU$172,$B53,FALSE),""))</f>
        <v/>
      </c>
      <c r="AP53" s="488" t="str">
        <f>IF(AP$4="","",IF(HLOOKUP(AP$4,'Physical Effects-Numbers'!$B$1:$AU$172,$B53,FALSE)&lt;0,HLOOKUP(AP$4,'Physical Effects-Numbers'!$B$1:$AU$172,$B53,FALSE),""))</f>
        <v/>
      </c>
      <c r="AQ53" s="488" t="str">
        <f>IF(AQ$4="","",IF(HLOOKUP(AQ$4,'Physical Effects-Numbers'!$B$1:$AU$172,$B53,FALSE)&lt;0,HLOOKUP(AQ$4,'Physical Effects-Numbers'!$B$1:$AU$172,$B53,FALSE),""))</f>
        <v/>
      </c>
      <c r="AR53" s="488" t="str">
        <f>IF(AR$4="","",IF(HLOOKUP(AR$4,'Physical Effects-Numbers'!$B$1:$AU$172,$B53,FALSE)&lt;0,HLOOKUP(AR$4,'Physical Effects-Numbers'!$B$1:$AU$172,$B53,FALSE),""))</f>
        <v/>
      </c>
      <c r="AS53" s="488" t="str">
        <f>IF(AS$4="","",IF(HLOOKUP(AS$4,'Physical Effects-Numbers'!$B$1:$AU$172,$B53,FALSE)&lt;0,HLOOKUP(AS$4,'Physical Effects-Numbers'!$B$1:$AU$172,$B53,FALSE),""))</f>
        <v/>
      </c>
      <c r="AT53" s="488" t="str">
        <f>IF(AT$4="","",IF(HLOOKUP(AT$4,'Physical Effects-Numbers'!$B$1:$AU$172,$B53,FALSE)&lt;0,HLOOKUP(AT$4,'Physical Effects-Numbers'!$B$1:$AU$172,$B53,FALSE),""))</f>
        <v/>
      </c>
      <c r="AU53" s="488" t="str">
        <f>IF(AU$4="","",IF(HLOOKUP(AU$4,'Physical Effects-Numbers'!$B$1:$AU$172,$B53,FALSE)&lt;0,HLOOKUP(AU$4,'Physical Effects-Numbers'!$B$1:$AU$172,$B53,FALSE),""))</f>
        <v/>
      </c>
      <c r="AV53" s="488" t="str">
        <f>IF(AV$4="","",IF(HLOOKUP(AV$4,'Physical Effects-Numbers'!$B$1:$AU$167,$B53,FALSE)&lt;0,HLOOKUP(AV$4,'Physical Effects-Numbers'!$B$1:$AU$167,$B53,FALSE),""))</f>
        <v/>
      </c>
    </row>
    <row r="54" spans="2:48" x14ac:dyDescent="0.2">
      <c r="B54" s="487">
        <f t="shared" si="0"/>
        <v>51</v>
      </c>
      <c r="C54" s="486" t="str">
        <f>+'Physical Effects-Numbers'!B51</f>
        <v>Firebreak</v>
      </c>
      <c r="D54" s="488">
        <f>IF(D$4="","",IF(HLOOKUP(D$4,'Physical Effects-Numbers'!$B$1:$AU$172,$B54,FALSE)&lt;0,HLOOKUP(D$4,'Physical Effects-Numbers'!$B$1:$AU$172,$B54,FALSE),""))</f>
        <v>-1</v>
      </c>
      <c r="E54" s="488">
        <f>IF(E$4="","",IF(HLOOKUP(E$4,'Physical Effects-Numbers'!$B$1:$AU$172,$B54,FALSE)&lt;0,HLOOKUP(E$4,'Physical Effects-Numbers'!$B$1:$AU$172,$B54,FALSE),""))</f>
        <v>-1</v>
      </c>
      <c r="F54" s="488">
        <f>IF(F$4="","",IF(HLOOKUP(F$4,'Physical Effects-Numbers'!$B$1:$AU$172,$B54,FALSE)&lt;0,HLOOKUP(F$4,'Physical Effects-Numbers'!$B$1:$AU$172,$B54,FALSE),""))</f>
        <v>-1</v>
      </c>
      <c r="G54" s="488">
        <f>IF(G$4="","",IF(HLOOKUP(G$4,'Physical Effects-Numbers'!$B$1:$AU$172,$B54,FALSE)&lt;0,HLOOKUP(G$4,'Physical Effects-Numbers'!$B$1:$AU$172,$B54,FALSE),""))</f>
        <v>-1</v>
      </c>
      <c r="H54" s="488" t="str">
        <f>IF(H$4="","",IF(HLOOKUP(H$4,'Physical Effects-Numbers'!$B$1:$AU$172,$B54,FALSE)&lt;0,HLOOKUP(H$4,'Physical Effects-Numbers'!$B$1:$AU$172,$B54,FALSE),""))</f>
        <v/>
      </c>
      <c r="I54" s="488">
        <f>IF(I$4="","",IF(HLOOKUP(I$4,'Physical Effects-Numbers'!$B$1:$AU$172,$B54,FALSE)&lt;0,HLOOKUP(I$4,'Physical Effects-Numbers'!$B$1:$AU$172,$B54,FALSE),""))</f>
        <v>-2</v>
      </c>
      <c r="J54" s="488">
        <f>IF(J$4="","",IF(HLOOKUP(J$4,'Physical Effects-Numbers'!$B$1:$AU$172,$B54,FALSE)&lt;0,HLOOKUP(J$4,'Physical Effects-Numbers'!$B$1:$AU$172,$B54,FALSE),""))</f>
        <v>-2</v>
      </c>
      <c r="K54" s="488" t="str">
        <f>IF(K$4="","",IF(HLOOKUP(K$4,'Physical Effects-Numbers'!$B$1:$AU$172,$B54,FALSE)&lt;0,HLOOKUP(K$4,'Physical Effects-Numbers'!$B$1:$AU$172,$B54,FALSE),""))</f>
        <v/>
      </c>
      <c r="L54" s="488" t="str">
        <f>IF(L$4="","",IF(HLOOKUP(L$4,'Physical Effects-Numbers'!$B$1:$AU$172,$B54,FALSE)&lt;0,HLOOKUP(L$4,'Physical Effects-Numbers'!$B$1:$AU$172,$B54,FALSE),""))</f>
        <v/>
      </c>
      <c r="M54" s="488" t="str">
        <f>IF(M$4="","",IF(HLOOKUP(M$4,'Physical Effects-Numbers'!$B$1:$AU$172,$B54,FALSE)&lt;0,HLOOKUP(M$4,'Physical Effects-Numbers'!$B$1:$AU$172,$B54,FALSE),""))</f>
        <v/>
      </c>
      <c r="N54" s="488" t="str">
        <f>IF(N$4="","",IF(HLOOKUP(N$4,'Physical Effects-Numbers'!$B$1:$AU$172,$B54,FALSE)&lt;0,HLOOKUP(N$4,'Physical Effects-Numbers'!$B$1:$AU$172,$B54,FALSE),""))</f>
        <v/>
      </c>
      <c r="O54" s="488" t="str">
        <f>IF(O$4="","",IF(HLOOKUP(O$4,'Physical Effects-Numbers'!$B$1:$AU$172,$B54,FALSE)&lt;0,HLOOKUP(O$4,'Physical Effects-Numbers'!$B$1:$AU$172,$B54,FALSE),""))</f>
        <v/>
      </c>
      <c r="P54" s="488" t="str">
        <f>IF(P$4="","",IF(HLOOKUP(P$4,'Physical Effects-Numbers'!$B$1:$AU$172,$B54,FALSE)&lt;0,HLOOKUP(P$4,'Physical Effects-Numbers'!$B$1:$AU$172,$B54,FALSE),""))</f>
        <v/>
      </c>
      <c r="Q54" s="488" t="str">
        <f>IF(Q$4="","",IF(HLOOKUP(Q$4,'Physical Effects-Numbers'!$B$1:$AU$172,$B54,FALSE)&lt;0,HLOOKUP(Q$4,'Physical Effects-Numbers'!$B$1:$AU$172,$B54,FALSE),""))</f>
        <v/>
      </c>
      <c r="R54" s="488" t="str">
        <f>IF(R$4="","",IF(HLOOKUP(R$4,'Physical Effects-Numbers'!$B$1:$AU$172,$B54,FALSE)&lt;0,HLOOKUP(R$4,'Physical Effects-Numbers'!$B$1:$AU$172,$B54,FALSE),""))</f>
        <v/>
      </c>
      <c r="S54" s="488" t="str">
        <f>IF(S$4="","",IF(HLOOKUP(S$4,'Physical Effects-Numbers'!$B$1:$AU$172,$B54,FALSE)&lt;0,HLOOKUP(S$4,'Physical Effects-Numbers'!$B$1:$AU$172,$B54,FALSE),""))</f>
        <v/>
      </c>
      <c r="T54" s="488" t="str">
        <f>IF(T$4="","",IF(HLOOKUP(T$4,'Physical Effects-Numbers'!$B$1:$AU$172,$B54,FALSE)&lt;0,HLOOKUP(T$4,'Physical Effects-Numbers'!$B$1:$AU$172,$B54,FALSE),""))</f>
        <v/>
      </c>
      <c r="U54" s="488" t="str">
        <f>IF(U$4="","",IF(HLOOKUP(U$4,'Physical Effects-Numbers'!$B$1:$AU$172,$B54,FALSE)&lt;0,HLOOKUP(U$4,'Physical Effects-Numbers'!$B$1:$AU$172,$B54,FALSE),""))</f>
        <v/>
      </c>
      <c r="V54" s="488" t="str">
        <f>IF(V$4="","",IF(HLOOKUP(V$4,'Physical Effects-Numbers'!$B$1:$AU$172,$B54,FALSE)&lt;0,HLOOKUP(V$4,'Physical Effects-Numbers'!$B$1:$AU$172,$B54,FALSE),""))</f>
        <v/>
      </c>
      <c r="W54" s="488" t="str">
        <f>IF(W$4="","",IF(HLOOKUP(W$4,'Physical Effects-Numbers'!$B$1:$AU$172,$B54,FALSE)&lt;0,HLOOKUP(W$4,'Physical Effects-Numbers'!$B$1:$AU$172,$B54,FALSE),""))</f>
        <v/>
      </c>
      <c r="X54" s="488" t="str">
        <f>IF(X$4="","",IF(HLOOKUP(X$4,'Physical Effects-Numbers'!$B$1:$AU$172,$B54,FALSE)&lt;0,HLOOKUP(X$4,'Physical Effects-Numbers'!$B$1:$AU$172,$B54,FALSE),""))</f>
        <v/>
      </c>
      <c r="Y54" s="488" t="str">
        <f>IF(Y$4="","",IF(HLOOKUP(Y$4,'Physical Effects-Numbers'!$B$1:$AU$172,$B54,FALSE)&lt;0,HLOOKUP(Y$4,'Physical Effects-Numbers'!$B$1:$AU$172,$B54,FALSE),""))</f>
        <v/>
      </c>
      <c r="Z54" s="488" t="str">
        <f>IF(Z$4="","",IF(HLOOKUP(Z$4,'Physical Effects-Numbers'!$B$1:$AU$172,$B54,FALSE)&lt;0,HLOOKUP(Z$4,'Physical Effects-Numbers'!$B$1:$AU$172,$B54,FALSE),""))</f>
        <v/>
      </c>
      <c r="AA54" s="488">
        <f>IF(AA$4="","",IF(HLOOKUP(AA$4,'Physical Effects-Numbers'!$B$1:$AU$172,$B54,FALSE)&lt;0,HLOOKUP(AA$4,'Physical Effects-Numbers'!$B$1:$AU$172,$B54,FALSE),""))</f>
        <v>-1</v>
      </c>
      <c r="AB54" s="488" t="str">
        <f>IF(AB$4="","",IF(HLOOKUP(AB$4,'Physical Effects-Numbers'!$B$1:$AU$172,$B54,FALSE)&lt;0,HLOOKUP(AB$4,'Physical Effects-Numbers'!$B$1:$AU$172,$B54,FALSE),""))</f>
        <v/>
      </c>
      <c r="AC54" s="488" t="str">
        <f>IF(AC$4="","",IF(HLOOKUP(AC$4,'Physical Effects-Numbers'!$B$1:$AU$172,$B54,FALSE)&lt;0,HLOOKUP(AC$4,'Physical Effects-Numbers'!$B$1:$AU$172,$B54,FALSE),""))</f>
        <v/>
      </c>
      <c r="AD54" s="488" t="str">
        <f>IF(AD$4="","",IF(HLOOKUP(AD$4,'Physical Effects-Numbers'!$B$1:$AU$172,$B54,FALSE)&lt;0,HLOOKUP(AD$4,'Physical Effects-Numbers'!$B$1:$AU$172,$B54,FALSE),""))</f>
        <v/>
      </c>
      <c r="AE54" s="488" t="str">
        <f>IF(AE$4="","",IF(HLOOKUP(AE$4,'Physical Effects-Numbers'!$B$1:$AU$172,$B54,FALSE)&lt;0,HLOOKUP(AE$4,'Physical Effects-Numbers'!$B$1:$AU$172,$B54,FALSE),""))</f>
        <v/>
      </c>
      <c r="AF54" s="488" t="str">
        <f>IF(AF$4="","",IF(HLOOKUP(AF$4,'Physical Effects-Numbers'!$B$1:$AU$172,$B54,FALSE)&lt;0,HLOOKUP(AF$4,'Physical Effects-Numbers'!$B$1:$AU$172,$B54,FALSE),""))</f>
        <v/>
      </c>
      <c r="AG54" s="488" t="str">
        <f>IF(AG$4="","",IF(HLOOKUP(AG$4,'Physical Effects-Numbers'!$B$1:$AU$172,$B54,FALSE)&lt;0,HLOOKUP(AG$4,'Physical Effects-Numbers'!$B$1:$AU$172,$B54,FALSE),""))</f>
        <v/>
      </c>
      <c r="AH54" s="488" t="str">
        <f>IF(AH$4="","",IF(HLOOKUP(AH$4,'Physical Effects-Numbers'!$B$1:$AU$172,$B54,FALSE)&lt;0,HLOOKUP(AH$4,'Physical Effects-Numbers'!$B$1:$AU$172,$B54,FALSE),""))</f>
        <v/>
      </c>
      <c r="AI54" s="488" t="str">
        <f>IF(AI$4="","",IF(HLOOKUP(AI$4,'Physical Effects-Numbers'!$B$1:$AU$172,$B54,FALSE)&lt;0,HLOOKUP(AI$4,'Physical Effects-Numbers'!$B$1:$AU$172,$B54,FALSE),""))</f>
        <v/>
      </c>
      <c r="AJ54" s="488" t="str">
        <f>IF(AJ$4="","",IF(HLOOKUP(AJ$4,'Physical Effects-Numbers'!$B$1:$AU$172,$B54,FALSE)&lt;0,HLOOKUP(AJ$4,'Physical Effects-Numbers'!$B$1:$AU$172,$B54,FALSE),""))</f>
        <v/>
      </c>
      <c r="AK54" s="488">
        <f>IF(AK$4="","",IF(HLOOKUP(AK$4,'Physical Effects-Numbers'!$B$1:$AU$172,$B54,FALSE)&lt;0,HLOOKUP(AK$4,'Physical Effects-Numbers'!$B$1:$AU$172,$B54,FALSE),""))</f>
        <v>-1</v>
      </c>
      <c r="AL54" s="488" t="str">
        <f>IF(AL$4="","",IF(HLOOKUP(AL$4,'Physical Effects-Numbers'!$B$1:$AU$172,$B54,FALSE)&lt;0,HLOOKUP(AL$4,'Physical Effects-Numbers'!$B$1:$AU$172,$B54,FALSE),""))</f>
        <v/>
      </c>
      <c r="AM54" s="488" t="str">
        <f>IF(AM$4="","",IF(HLOOKUP(AM$4,'Physical Effects-Numbers'!$B$1:$AU$172,$B54,FALSE)&lt;0,HLOOKUP(AM$4,'Physical Effects-Numbers'!$B$1:$AU$172,$B54,FALSE),""))</f>
        <v/>
      </c>
      <c r="AN54" s="488" t="str">
        <f>IF(AN$4="","",IF(HLOOKUP(AN$4,'Physical Effects-Numbers'!$B$1:$AU$172,$B54,FALSE)&lt;0,HLOOKUP(AN$4,'Physical Effects-Numbers'!$B$1:$AU$172,$B54,FALSE),""))</f>
        <v/>
      </c>
      <c r="AO54" s="488" t="str">
        <f>IF(AO$4="","",IF(HLOOKUP(AO$4,'Physical Effects-Numbers'!$B$1:$AU$172,$B54,FALSE)&lt;0,HLOOKUP(AO$4,'Physical Effects-Numbers'!$B$1:$AU$172,$B54,FALSE),""))</f>
        <v/>
      </c>
      <c r="AP54" s="488">
        <f>IF(AP$4="","",IF(HLOOKUP(AP$4,'Physical Effects-Numbers'!$B$1:$AU$172,$B54,FALSE)&lt;0,HLOOKUP(AP$4,'Physical Effects-Numbers'!$B$1:$AU$172,$B54,FALSE),""))</f>
        <v>-1</v>
      </c>
      <c r="AQ54" s="488" t="str">
        <f>IF(AQ$4="","",IF(HLOOKUP(AQ$4,'Physical Effects-Numbers'!$B$1:$AU$172,$B54,FALSE)&lt;0,HLOOKUP(AQ$4,'Physical Effects-Numbers'!$B$1:$AU$172,$B54,FALSE),""))</f>
        <v/>
      </c>
      <c r="AR54" s="488" t="str">
        <f>IF(AR$4="","",IF(HLOOKUP(AR$4,'Physical Effects-Numbers'!$B$1:$AU$172,$B54,FALSE)&lt;0,HLOOKUP(AR$4,'Physical Effects-Numbers'!$B$1:$AU$172,$B54,FALSE),""))</f>
        <v/>
      </c>
      <c r="AS54" s="488" t="str">
        <f>IF(AS$4="","",IF(HLOOKUP(AS$4,'Physical Effects-Numbers'!$B$1:$AU$172,$B54,FALSE)&lt;0,HLOOKUP(AS$4,'Physical Effects-Numbers'!$B$1:$AU$172,$B54,FALSE),""))</f>
        <v/>
      </c>
      <c r="AT54" s="488" t="str">
        <f>IF(AT$4="","",IF(HLOOKUP(AT$4,'Physical Effects-Numbers'!$B$1:$AU$172,$B54,FALSE)&lt;0,HLOOKUP(AT$4,'Physical Effects-Numbers'!$B$1:$AU$172,$B54,FALSE),""))</f>
        <v/>
      </c>
      <c r="AU54" s="488" t="str">
        <f>IF(AU$4="","",IF(HLOOKUP(AU$4,'Physical Effects-Numbers'!$B$1:$AU$172,$B54,FALSE)&lt;0,HLOOKUP(AU$4,'Physical Effects-Numbers'!$B$1:$AU$172,$B54,FALSE),""))</f>
        <v/>
      </c>
      <c r="AV54" s="488" t="str">
        <f>IF(AV$4="","",IF(HLOOKUP(AV$4,'Physical Effects-Numbers'!$B$1:$AU$167,$B54,FALSE)&lt;0,HLOOKUP(AV$4,'Physical Effects-Numbers'!$B$1:$AU$167,$B54,FALSE),""))</f>
        <v/>
      </c>
    </row>
    <row r="55" spans="2:48" x14ac:dyDescent="0.2">
      <c r="B55" s="487">
        <f t="shared" si="0"/>
        <v>52</v>
      </c>
      <c r="C55" s="486" t="str">
        <f>+'Physical Effects-Numbers'!B52</f>
        <v>Fish Raceway or Tank</v>
      </c>
      <c r="D55" s="488" t="str">
        <f>IF(D$4="","",IF(HLOOKUP(D$4,'Physical Effects-Numbers'!$B$1:$AU$172,$B55,FALSE)&lt;0,HLOOKUP(D$4,'Physical Effects-Numbers'!$B$1:$AU$172,$B55,FALSE),""))</f>
        <v/>
      </c>
      <c r="E55" s="488" t="str">
        <f>IF(E$4="","",IF(HLOOKUP(E$4,'Physical Effects-Numbers'!$B$1:$AU$172,$B55,FALSE)&lt;0,HLOOKUP(E$4,'Physical Effects-Numbers'!$B$1:$AU$172,$B55,FALSE),""))</f>
        <v/>
      </c>
      <c r="F55" s="488" t="str">
        <f>IF(F$4="","",IF(HLOOKUP(F$4,'Physical Effects-Numbers'!$B$1:$AU$172,$B55,FALSE)&lt;0,HLOOKUP(F$4,'Physical Effects-Numbers'!$B$1:$AU$172,$B55,FALSE),""))</f>
        <v/>
      </c>
      <c r="G55" s="488" t="str">
        <f>IF(G$4="","",IF(HLOOKUP(G$4,'Physical Effects-Numbers'!$B$1:$AU$172,$B55,FALSE)&lt;0,HLOOKUP(G$4,'Physical Effects-Numbers'!$B$1:$AU$172,$B55,FALSE),""))</f>
        <v/>
      </c>
      <c r="H55" s="488" t="str">
        <f>IF(H$4="","",IF(HLOOKUP(H$4,'Physical Effects-Numbers'!$B$1:$AU$172,$B55,FALSE)&lt;0,HLOOKUP(H$4,'Physical Effects-Numbers'!$B$1:$AU$172,$B55,FALSE),""))</f>
        <v/>
      </c>
      <c r="I55" s="488" t="str">
        <f>IF(I$4="","",IF(HLOOKUP(I$4,'Physical Effects-Numbers'!$B$1:$AU$172,$B55,FALSE)&lt;0,HLOOKUP(I$4,'Physical Effects-Numbers'!$B$1:$AU$172,$B55,FALSE),""))</f>
        <v/>
      </c>
      <c r="J55" s="488" t="str">
        <f>IF(J$4="","",IF(HLOOKUP(J$4,'Physical Effects-Numbers'!$B$1:$AU$172,$B55,FALSE)&lt;0,HLOOKUP(J$4,'Physical Effects-Numbers'!$B$1:$AU$172,$B55,FALSE),""))</f>
        <v/>
      </c>
      <c r="K55" s="488" t="str">
        <f>IF(K$4="","",IF(HLOOKUP(K$4,'Physical Effects-Numbers'!$B$1:$AU$172,$B55,FALSE)&lt;0,HLOOKUP(K$4,'Physical Effects-Numbers'!$B$1:$AU$172,$B55,FALSE),""))</f>
        <v/>
      </c>
      <c r="L55" s="488" t="str">
        <f>IF(L$4="","",IF(HLOOKUP(L$4,'Physical Effects-Numbers'!$B$1:$AU$172,$B55,FALSE)&lt;0,HLOOKUP(L$4,'Physical Effects-Numbers'!$B$1:$AU$172,$B55,FALSE),""))</f>
        <v/>
      </c>
      <c r="M55" s="488" t="str">
        <f>IF(M$4="","",IF(HLOOKUP(M$4,'Physical Effects-Numbers'!$B$1:$AU$172,$B55,FALSE)&lt;0,HLOOKUP(M$4,'Physical Effects-Numbers'!$B$1:$AU$172,$B55,FALSE),""))</f>
        <v/>
      </c>
      <c r="N55" s="488" t="str">
        <f>IF(N$4="","",IF(HLOOKUP(N$4,'Physical Effects-Numbers'!$B$1:$AU$172,$B55,FALSE)&lt;0,HLOOKUP(N$4,'Physical Effects-Numbers'!$B$1:$AU$172,$B55,FALSE),""))</f>
        <v/>
      </c>
      <c r="O55" s="488" t="str">
        <f>IF(O$4="","",IF(HLOOKUP(O$4,'Physical Effects-Numbers'!$B$1:$AU$172,$B55,FALSE)&lt;0,HLOOKUP(O$4,'Physical Effects-Numbers'!$B$1:$AU$172,$B55,FALSE),""))</f>
        <v/>
      </c>
      <c r="P55" s="488" t="str">
        <f>IF(P$4="","",IF(HLOOKUP(P$4,'Physical Effects-Numbers'!$B$1:$AU$172,$B55,FALSE)&lt;0,HLOOKUP(P$4,'Physical Effects-Numbers'!$B$1:$AU$172,$B55,FALSE),""))</f>
        <v/>
      </c>
      <c r="Q55" s="488" t="str">
        <f>IF(Q$4="","",IF(HLOOKUP(Q$4,'Physical Effects-Numbers'!$B$1:$AU$172,$B55,FALSE)&lt;0,HLOOKUP(Q$4,'Physical Effects-Numbers'!$B$1:$AU$172,$B55,FALSE),""))</f>
        <v/>
      </c>
      <c r="R55" s="488" t="str">
        <f>IF(R$4="","",IF(HLOOKUP(R$4,'Physical Effects-Numbers'!$B$1:$AU$172,$B55,FALSE)&lt;0,HLOOKUP(R$4,'Physical Effects-Numbers'!$B$1:$AU$172,$B55,FALSE),""))</f>
        <v/>
      </c>
      <c r="S55" s="488" t="str">
        <f>IF(S$4="","",IF(HLOOKUP(S$4,'Physical Effects-Numbers'!$B$1:$AU$172,$B55,FALSE)&lt;0,HLOOKUP(S$4,'Physical Effects-Numbers'!$B$1:$AU$172,$B55,FALSE),""))</f>
        <v/>
      </c>
      <c r="T55" s="488" t="str">
        <f>IF(T$4="","",IF(HLOOKUP(T$4,'Physical Effects-Numbers'!$B$1:$AU$172,$B55,FALSE)&lt;0,HLOOKUP(T$4,'Physical Effects-Numbers'!$B$1:$AU$172,$B55,FALSE),""))</f>
        <v/>
      </c>
      <c r="U55" s="488">
        <f>IF(U$4="","",IF(HLOOKUP(U$4,'Physical Effects-Numbers'!$B$1:$AU$172,$B55,FALSE)&lt;0,HLOOKUP(U$4,'Physical Effects-Numbers'!$B$1:$AU$172,$B55,FALSE),""))</f>
        <v>-1</v>
      </c>
      <c r="V55" s="488">
        <f>IF(V$4="","",IF(HLOOKUP(V$4,'Physical Effects-Numbers'!$B$1:$AU$172,$B55,FALSE)&lt;0,HLOOKUP(V$4,'Physical Effects-Numbers'!$B$1:$AU$172,$B55,FALSE),""))</f>
        <v>-1</v>
      </c>
      <c r="W55" s="488">
        <f>IF(W$4="","",IF(HLOOKUP(W$4,'Physical Effects-Numbers'!$B$1:$AU$172,$B55,FALSE)&lt;0,HLOOKUP(W$4,'Physical Effects-Numbers'!$B$1:$AU$172,$B55,FALSE),""))</f>
        <v>-1</v>
      </c>
      <c r="X55" s="488" t="str">
        <f>IF(X$4="","",IF(HLOOKUP(X$4,'Physical Effects-Numbers'!$B$1:$AU$172,$B55,FALSE)&lt;0,HLOOKUP(X$4,'Physical Effects-Numbers'!$B$1:$AU$172,$B55,FALSE),""))</f>
        <v/>
      </c>
      <c r="Y55" s="488">
        <f>IF(Y$4="","",IF(HLOOKUP(Y$4,'Physical Effects-Numbers'!$B$1:$AU$172,$B55,FALSE)&lt;0,HLOOKUP(Y$4,'Physical Effects-Numbers'!$B$1:$AU$172,$B55,FALSE),""))</f>
        <v>-1</v>
      </c>
      <c r="Z55" s="488">
        <f>IF(Z$4="","",IF(HLOOKUP(Z$4,'Physical Effects-Numbers'!$B$1:$AU$172,$B55,FALSE)&lt;0,HLOOKUP(Z$4,'Physical Effects-Numbers'!$B$1:$AU$172,$B55,FALSE),""))</f>
        <v>-1</v>
      </c>
      <c r="AA55" s="488" t="str">
        <f>IF(AA$4="","",IF(HLOOKUP(AA$4,'Physical Effects-Numbers'!$B$1:$AU$172,$B55,FALSE)&lt;0,HLOOKUP(AA$4,'Physical Effects-Numbers'!$B$1:$AU$172,$B55,FALSE),""))</f>
        <v/>
      </c>
      <c r="AB55" s="488">
        <f>IF(AB$4="","",IF(HLOOKUP(AB$4,'Physical Effects-Numbers'!$B$1:$AU$172,$B55,FALSE)&lt;0,HLOOKUP(AB$4,'Physical Effects-Numbers'!$B$1:$AU$172,$B55,FALSE),""))</f>
        <v>-1</v>
      </c>
      <c r="AC55" s="488" t="str">
        <f>IF(AC$4="","",IF(HLOOKUP(AC$4,'Physical Effects-Numbers'!$B$1:$AU$172,$B55,FALSE)&lt;0,HLOOKUP(AC$4,'Physical Effects-Numbers'!$B$1:$AU$172,$B55,FALSE),""))</f>
        <v/>
      </c>
      <c r="AD55" s="488" t="str">
        <f>IF(AD$4="","",IF(HLOOKUP(AD$4,'Physical Effects-Numbers'!$B$1:$AU$172,$B55,FALSE)&lt;0,HLOOKUP(AD$4,'Physical Effects-Numbers'!$B$1:$AU$172,$B55,FALSE),""))</f>
        <v/>
      </c>
      <c r="AE55" s="488" t="str">
        <f>IF(AE$4="","",IF(HLOOKUP(AE$4,'Physical Effects-Numbers'!$B$1:$AU$172,$B55,FALSE)&lt;0,HLOOKUP(AE$4,'Physical Effects-Numbers'!$B$1:$AU$172,$B55,FALSE),""))</f>
        <v/>
      </c>
      <c r="AF55" s="488" t="str">
        <f>IF(AF$4="","",IF(HLOOKUP(AF$4,'Physical Effects-Numbers'!$B$1:$AU$172,$B55,FALSE)&lt;0,HLOOKUP(AF$4,'Physical Effects-Numbers'!$B$1:$AU$172,$B55,FALSE),""))</f>
        <v/>
      </c>
      <c r="AG55" s="488" t="str">
        <f>IF(AG$4="","",IF(HLOOKUP(AG$4,'Physical Effects-Numbers'!$B$1:$AU$172,$B55,FALSE)&lt;0,HLOOKUP(AG$4,'Physical Effects-Numbers'!$B$1:$AU$172,$B55,FALSE),""))</f>
        <v/>
      </c>
      <c r="AH55" s="488" t="str">
        <f>IF(AH$4="","",IF(HLOOKUP(AH$4,'Physical Effects-Numbers'!$B$1:$AU$172,$B55,FALSE)&lt;0,HLOOKUP(AH$4,'Physical Effects-Numbers'!$B$1:$AU$172,$B55,FALSE),""))</f>
        <v/>
      </c>
      <c r="AI55" s="488" t="str">
        <f>IF(AI$4="","",IF(HLOOKUP(AI$4,'Physical Effects-Numbers'!$B$1:$AU$172,$B55,FALSE)&lt;0,HLOOKUP(AI$4,'Physical Effects-Numbers'!$B$1:$AU$172,$B55,FALSE),""))</f>
        <v/>
      </c>
      <c r="AJ55" s="488" t="str">
        <f>IF(AJ$4="","",IF(HLOOKUP(AJ$4,'Physical Effects-Numbers'!$B$1:$AU$172,$B55,FALSE)&lt;0,HLOOKUP(AJ$4,'Physical Effects-Numbers'!$B$1:$AU$172,$B55,FALSE),""))</f>
        <v/>
      </c>
      <c r="AK55" s="488" t="str">
        <f>IF(AK$4="","",IF(HLOOKUP(AK$4,'Physical Effects-Numbers'!$B$1:$AU$172,$B55,FALSE)&lt;0,HLOOKUP(AK$4,'Physical Effects-Numbers'!$B$1:$AU$172,$B55,FALSE),""))</f>
        <v/>
      </c>
      <c r="AL55" s="488" t="str">
        <f>IF(AL$4="","",IF(HLOOKUP(AL$4,'Physical Effects-Numbers'!$B$1:$AU$172,$B55,FALSE)&lt;0,HLOOKUP(AL$4,'Physical Effects-Numbers'!$B$1:$AU$172,$B55,FALSE),""))</f>
        <v/>
      </c>
      <c r="AM55" s="488" t="str">
        <f>IF(AM$4="","",IF(HLOOKUP(AM$4,'Physical Effects-Numbers'!$B$1:$AU$172,$B55,FALSE)&lt;0,HLOOKUP(AM$4,'Physical Effects-Numbers'!$B$1:$AU$172,$B55,FALSE),""))</f>
        <v/>
      </c>
      <c r="AN55" s="488" t="str">
        <f>IF(AN$4="","",IF(HLOOKUP(AN$4,'Physical Effects-Numbers'!$B$1:$AU$172,$B55,FALSE)&lt;0,HLOOKUP(AN$4,'Physical Effects-Numbers'!$B$1:$AU$172,$B55,FALSE),""))</f>
        <v/>
      </c>
      <c r="AO55" s="488" t="str">
        <f>IF(AO$4="","",IF(HLOOKUP(AO$4,'Physical Effects-Numbers'!$B$1:$AU$172,$B55,FALSE)&lt;0,HLOOKUP(AO$4,'Physical Effects-Numbers'!$B$1:$AU$172,$B55,FALSE),""))</f>
        <v/>
      </c>
      <c r="AP55" s="488" t="str">
        <f>IF(AP$4="","",IF(HLOOKUP(AP$4,'Physical Effects-Numbers'!$B$1:$AU$172,$B55,FALSE)&lt;0,HLOOKUP(AP$4,'Physical Effects-Numbers'!$B$1:$AU$172,$B55,FALSE),""))</f>
        <v/>
      </c>
      <c r="AQ55" s="488" t="str">
        <f>IF(AQ$4="","",IF(HLOOKUP(AQ$4,'Physical Effects-Numbers'!$B$1:$AU$172,$B55,FALSE)&lt;0,HLOOKUP(AQ$4,'Physical Effects-Numbers'!$B$1:$AU$172,$B55,FALSE),""))</f>
        <v/>
      </c>
      <c r="AR55" s="488" t="str">
        <f>IF(AR$4="","",IF(HLOOKUP(AR$4,'Physical Effects-Numbers'!$B$1:$AU$172,$B55,FALSE)&lt;0,HLOOKUP(AR$4,'Physical Effects-Numbers'!$B$1:$AU$172,$B55,FALSE),""))</f>
        <v/>
      </c>
      <c r="AS55" s="488" t="str">
        <f>IF(AS$4="","",IF(HLOOKUP(AS$4,'Physical Effects-Numbers'!$B$1:$AU$172,$B55,FALSE)&lt;0,HLOOKUP(AS$4,'Physical Effects-Numbers'!$B$1:$AU$172,$B55,FALSE),""))</f>
        <v/>
      </c>
      <c r="AT55" s="488" t="str">
        <f>IF(AT$4="","",IF(HLOOKUP(AT$4,'Physical Effects-Numbers'!$B$1:$AU$172,$B55,FALSE)&lt;0,HLOOKUP(AT$4,'Physical Effects-Numbers'!$B$1:$AU$172,$B55,FALSE),""))</f>
        <v/>
      </c>
      <c r="AU55" s="488" t="str">
        <f>IF(AU$4="","",IF(HLOOKUP(AU$4,'Physical Effects-Numbers'!$B$1:$AU$172,$B55,FALSE)&lt;0,HLOOKUP(AU$4,'Physical Effects-Numbers'!$B$1:$AU$172,$B55,FALSE),""))</f>
        <v/>
      </c>
      <c r="AV55" s="488" t="str">
        <f>IF(AV$4="","",IF(HLOOKUP(AV$4,'Physical Effects-Numbers'!$B$1:$AU$167,$B55,FALSE)&lt;0,HLOOKUP(AV$4,'Physical Effects-Numbers'!$B$1:$AU$167,$B55,FALSE),""))</f>
        <v/>
      </c>
    </row>
    <row r="56" spans="2:48" x14ac:dyDescent="0.2">
      <c r="B56" s="487">
        <f t="shared" si="0"/>
        <v>53</v>
      </c>
      <c r="C56" s="486" t="str">
        <f>+'Physical Effects-Numbers'!B53</f>
        <v>Fishpond Management</v>
      </c>
      <c r="D56" s="488" t="str">
        <f>IF(D$4="","",IF(HLOOKUP(D$4,'Physical Effects-Numbers'!$B$1:$AU$172,$B56,FALSE)&lt;0,HLOOKUP(D$4,'Physical Effects-Numbers'!$B$1:$AU$172,$B56,FALSE),""))</f>
        <v/>
      </c>
      <c r="E56" s="488" t="str">
        <f>IF(E$4="","",IF(HLOOKUP(E$4,'Physical Effects-Numbers'!$B$1:$AU$172,$B56,FALSE)&lt;0,HLOOKUP(E$4,'Physical Effects-Numbers'!$B$1:$AU$172,$B56,FALSE),""))</f>
        <v/>
      </c>
      <c r="F56" s="488" t="str">
        <f>IF(F$4="","",IF(HLOOKUP(F$4,'Physical Effects-Numbers'!$B$1:$AU$172,$B56,FALSE)&lt;0,HLOOKUP(F$4,'Physical Effects-Numbers'!$B$1:$AU$172,$B56,FALSE),""))</f>
        <v/>
      </c>
      <c r="G56" s="488" t="str">
        <f>IF(G$4="","",IF(HLOOKUP(G$4,'Physical Effects-Numbers'!$B$1:$AU$172,$B56,FALSE)&lt;0,HLOOKUP(G$4,'Physical Effects-Numbers'!$B$1:$AU$172,$B56,FALSE),""))</f>
        <v/>
      </c>
      <c r="H56" s="488" t="str">
        <f>IF(H$4="","",IF(HLOOKUP(H$4,'Physical Effects-Numbers'!$B$1:$AU$172,$B56,FALSE)&lt;0,HLOOKUP(H$4,'Physical Effects-Numbers'!$B$1:$AU$172,$B56,FALSE),""))</f>
        <v/>
      </c>
      <c r="I56" s="488" t="str">
        <f>IF(I$4="","",IF(HLOOKUP(I$4,'Physical Effects-Numbers'!$B$1:$AU$172,$B56,FALSE)&lt;0,HLOOKUP(I$4,'Physical Effects-Numbers'!$B$1:$AU$172,$B56,FALSE),""))</f>
        <v/>
      </c>
      <c r="J56" s="488" t="str">
        <f>IF(J$4="","",IF(HLOOKUP(J$4,'Physical Effects-Numbers'!$B$1:$AU$172,$B56,FALSE)&lt;0,HLOOKUP(J$4,'Physical Effects-Numbers'!$B$1:$AU$172,$B56,FALSE),""))</f>
        <v/>
      </c>
      <c r="K56" s="488" t="str">
        <f>IF(K$4="","",IF(HLOOKUP(K$4,'Physical Effects-Numbers'!$B$1:$AU$172,$B56,FALSE)&lt;0,HLOOKUP(K$4,'Physical Effects-Numbers'!$B$1:$AU$172,$B56,FALSE),""))</f>
        <v/>
      </c>
      <c r="L56" s="488" t="str">
        <f>IF(L$4="","",IF(HLOOKUP(L$4,'Physical Effects-Numbers'!$B$1:$AU$172,$B56,FALSE)&lt;0,HLOOKUP(L$4,'Physical Effects-Numbers'!$B$1:$AU$172,$B56,FALSE),""))</f>
        <v/>
      </c>
      <c r="M56" s="488" t="str">
        <f>IF(M$4="","",IF(HLOOKUP(M$4,'Physical Effects-Numbers'!$B$1:$AU$172,$B56,FALSE)&lt;0,HLOOKUP(M$4,'Physical Effects-Numbers'!$B$1:$AU$172,$B56,FALSE),""))</f>
        <v/>
      </c>
      <c r="N56" s="488" t="str">
        <f>IF(N$4="","",IF(HLOOKUP(N$4,'Physical Effects-Numbers'!$B$1:$AU$172,$B56,FALSE)&lt;0,HLOOKUP(N$4,'Physical Effects-Numbers'!$B$1:$AU$172,$B56,FALSE),""))</f>
        <v/>
      </c>
      <c r="O56" s="488" t="str">
        <f>IF(O$4="","",IF(HLOOKUP(O$4,'Physical Effects-Numbers'!$B$1:$AU$172,$B56,FALSE)&lt;0,HLOOKUP(O$4,'Physical Effects-Numbers'!$B$1:$AU$172,$B56,FALSE),""))</f>
        <v/>
      </c>
      <c r="P56" s="488" t="str">
        <f>IF(P$4="","",IF(HLOOKUP(P$4,'Physical Effects-Numbers'!$B$1:$AU$172,$B56,FALSE)&lt;0,HLOOKUP(P$4,'Physical Effects-Numbers'!$B$1:$AU$172,$B56,FALSE),""))</f>
        <v/>
      </c>
      <c r="Q56" s="488" t="str">
        <f>IF(Q$4="","",IF(HLOOKUP(Q$4,'Physical Effects-Numbers'!$B$1:$AU$172,$B56,FALSE)&lt;0,HLOOKUP(Q$4,'Physical Effects-Numbers'!$B$1:$AU$172,$B56,FALSE),""))</f>
        <v/>
      </c>
      <c r="R56" s="488" t="str">
        <f>IF(R$4="","",IF(HLOOKUP(R$4,'Physical Effects-Numbers'!$B$1:$AU$172,$B56,FALSE)&lt;0,HLOOKUP(R$4,'Physical Effects-Numbers'!$B$1:$AU$172,$B56,FALSE),""))</f>
        <v/>
      </c>
      <c r="S56" s="488" t="str">
        <f>IF(S$4="","",IF(HLOOKUP(S$4,'Physical Effects-Numbers'!$B$1:$AU$172,$B56,FALSE)&lt;0,HLOOKUP(S$4,'Physical Effects-Numbers'!$B$1:$AU$172,$B56,FALSE),""))</f>
        <v/>
      </c>
      <c r="T56" s="488" t="str">
        <f>IF(T$4="","",IF(HLOOKUP(T$4,'Physical Effects-Numbers'!$B$1:$AU$172,$B56,FALSE)&lt;0,HLOOKUP(T$4,'Physical Effects-Numbers'!$B$1:$AU$172,$B56,FALSE),""))</f>
        <v/>
      </c>
      <c r="U56" s="488" t="str">
        <f>IF(U$4="","",IF(HLOOKUP(U$4,'Physical Effects-Numbers'!$B$1:$AU$172,$B56,FALSE)&lt;0,HLOOKUP(U$4,'Physical Effects-Numbers'!$B$1:$AU$172,$B56,FALSE),""))</f>
        <v/>
      </c>
      <c r="V56" s="488">
        <f>IF(V$4="","",IF(HLOOKUP(V$4,'Physical Effects-Numbers'!$B$1:$AU$172,$B56,FALSE)&lt;0,HLOOKUP(V$4,'Physical Effects-Numbers'!$B$1:$AU$172,$B56,FALSE),""))</f>
        <v>-2</v>
      </c>
      <c r="W56" s="488" t="str">
        <f>IF(W$4="","",IF(HLOOKUP(W$4,'Physical Effects-Numbers'!$B$1:$AU$172,$B56,FALSE)&lt;0,HLOOKUP(W$4,'Physical Effects-Numbers'!$B$1:$AU$172,$B56,FALSE),""))</f>
        <v/>
      </c>
      <c r="X56" s="488" t="str">
        <f>IF(X$4="","",IF(HLOOKUP(X$4,'Physical Effects-Numbers'!$B$1:$AU$172,$B56,FALSE)&lt;0,HLOOKUP(X$4,'Physical Effects-Numbers'!$B$1:$AU$172,$B56,FALSE),""))</f>
        <v/>
      </c>
      <c r="Y56" s="488" t="str">
        <f>IF(Y$4="","",IF(HLOOKUP(Y$4,'Physical Effects-Numbers'!$B$1:$AU$172,$B56,FALSE)&lt;0,HLOOKUP(Y$4,'Physical Effects-Numbers'!$B$1:$AU$172,$B56,FALSE),""))</f>
        <v/>
      </c>
      <c r="Z56" s="488" t="str">
        <f>IF(Z$4="","",IF(HLOOKUP(Z$4,'Physical Effects-Numbers'!$B$1:$AU$172,$B56,FALSE)&lt;0,HLOOKUP(Z$4,'Physical Effects-Numbers'!$B$1:$AU$172,$B56,FALSE),""))</f>
        <v/>
      </c>
      <c r="AA56" s="488" t="str">
        <f>IF(AA$4="","",IF(HLOOKUP(AA$4,'Physical Effects-Numbers'!$B$1:$AU$172,$B56,FALSE)&lt;0,HLOOKUP(AA$4,'Physical Effects-Numbers'!$B$1:$AU$172,$B56,FALSE),""))</f>
        <v/>
      </c>
      <c r="AB56" s="488" t="str">
        <f>IF(AB$4="","",IF(HLOOKUP(AB$4,'Physical Effects-Numbers'!$B$1:$AU$172,$B56,FALSE)&lt;0,HLOOKUP(AB$4,'Physical Effects-Numbers'!$B$1:$AU$172,$B56,FALSE),""))</f>
        <v/>
      </c>
      <c r="AC56" s="488" t="str">
        <f>IF(AC$4="","",IF(HLOOKUP(AC$4,'Physical Effects-Numbers'!$B$1:$AU$172,$B56,FALSE)&lt;0,HLOOKUP(AC$4,'Physical Effects-Numbers'!$B$1:$AU$172,$B56,FALSE),""))</f>
        <v/>
      </c>
      <c r="AD56" s="488" t="str">
        <f>IF(AD$4="","",IF(HLOOKUP(AD$4,'Physical Effects-Numbers'!$B$1:$AU$172,$B56,FALSE)&lt;0,HLOOKUP(AD$4,'Physical Effects-Numbers'!$B$1:$AU$172,$B56,FALSE),""))</f>
        <v/>
      </c>
      <c r="AE56" s="488" t="str">
        <f>IF(AE$4="","",IF(HLOOKUP(AE$4,'Physical Effects-Numbers'!$B$1:$AU$172,$B56,FALSE)&lt;0,HLOOKUP(AE$4,'Physical Effects-Numbers'!$B$1:$AU$172,$B56,FALSE),""))</f>
        <v/>
      </c>
      <c r="AF56" s="488" t="str">
        <f>IF(AF$4="","",IF(HLOOKUP(AF$4,'Physical Effects-Numbers'!$B$1:$AU$172,$B56,FALSE)&lt;0,HLOOKUP(AF$4,'Physical Effects-Numbers'!$B$1:$AU$172,$B56,FALSE),""))</f>
        <v/>
      </c>
      <c r="AG56" s="488" t="str">
        <f>IF(AG$4="","",IF(HLOOKUP(AG$4,'Physical Effects-Numbers'!$B$1:$AU$172,$B56,FALSE)&lt;0,HLOOKUP(AG$4,'Physical Effects-Numbers'!$B$1:$AU$172,$B56,FALSE),""))</f>
        <v/>
      </c>
      <c r="AH56" s="488" t="str">
        <f>IF(AH$4="","",IF(HLOOKUP(AH$4,'Physical Effects-Numbers'!$B$1:$AU$172,$B56,FALSE)&lt;0,HLOOKUP(AH$4,'Physical Effects-Numbers'!$B$1:$AU$172,$B56,FALSE),""))</f>
        <v/>
      </c>
      <c r="AI56" s="488" t="str">
        <f>IF(AI$4="","",IF(HLOOKUP(AI$4,'Physical Effects-Numbers'!$B$1:$AU$172,$B56,FALSE)&lt;0,HLOOKUP(AI$4,'Physical Effects-Numbers'!$B$1:$AU$172,$B56,FALSE),""))</f>
        <v/>
      </c>
      <c r="AJ56" s="488" t="str">
        <f>IF(AJ$4="","",IF(HLOOKUP(AJ$4,'Physical Effects-Numbers'!$B$1:$AU$172,$B56,FALSE)&lt;0,HLOOKUP(AJ$4,'Physical Effects-Numbers'!$B$1:$AU$172,$B56,FALSE),""))</f>
        <v/>
      </c>
      <c r="AK56" s="488" t="str">
        <f>IF(AK$4="","",IF(HLOOKUP(AK$4,'Physical Effects-Numbers'!$B$1:$AU$172,$B56,FALSE)&lt;0,HLOOKUP(AK$4,'Physical Effects-Numbers'!$B$1:$AU$172,$B56,FALSE),""))</f>
        <v/>
      </c>
      <c r="AL56" s="488" t="str">
        <f>IF(AL$4="","",IF(HLOOKUP(AL$4,'Physical Effects-Numbers'!$B$1:$AU$172,$B56,FALSE)&lt;0,HLOOKUP(AL$4,'Physical Effects-Numbers'!$B$1:$AU$172,$B56,FALSE),""))</f>
        <v/>
      </c>
      <c r="AM56" s="488" t="str">
        <f>IF(AM$4="","",IF(HLOOKUP(AM$4,'Physical Effects-Numbers'!$B$1:$AU$172,$B56,FALSE)&lt;0,HLOOKUP(AM$4,'Physical Effects-Numbers'!$B$1:$AU$172,$B56,FALSE),""))</f>
        <v/>
      </c>
      <c r="AN56" s="488" t="str">
        <f>IF(AN$4="","",IF(HLOOKUP(AN$4,'Physical Effects-Numbers'!$B$1:$AU$172,$B56,FALSE)&lt;0,HLOOKUP(AN$4,'Physical Effects-Numbers'!$B$1:$AU$172,$B56,FALSE),""))</f>
        <v/>
      </c>
      <c r="AO56" s="488" t="str">
        <f>IF(AO$4="","",IF(HLOOKUP(AO$4,'Physical Effects-Numbers'!$B$1:$AU$172,$B56,FALSE)&lt;0,HLOOKUP(AO$4,'Physical Effects-Numbers'!$B$1:$AU$172,$B56,FALSE),""))</f>
        <v/>
      </c>
      <c r="AP56" s="488" t="str">
        <f>IF(AP$4="","",IF(HLOOKUP(AP$4,'Physical Effects-Numbers'!$B$1:$AU$172,$B56,FALSE)&lt;0,HLOOKUP(AP$4,'Physical Effects-Numbers'!$B$1:$AU$172,$B56,FALSE),""))</f>
        <v/>
      </c>
      <c r="AQ56" s="488" t="str">
        <f>IF(AQ$4="","",IF(HLOOKUP(AQ$4,'Physical Effects-Numbers'!$B$1:$AU$172,$B56,FALSE)&lt;0,HLOOKUP(AQ$4,'Physical Effects-Numbers'!$B$1:$AU$172,$B56,FALSE),""))</f>
        <v/>
      </c>
      <c r="AR56" s="488" t="str">
        <f>IF(AR$4="","",IF(HLOOKUP(AR$4,'Physical Effects-Numbers'!$B$1:$AU$172,$B56,FALSE)&lt;0,HLOOKUP(AR$4,'Physical Effects-Numbers'!$B$1:$AU$172,$B56,FALSE),""))</f>
        <v/>
      </c>
      <c r="AS56" s="488" t="str">
        <f>IF(AS$4="","",IF(HLOOKUP(AS$4,'Physical Effects-Numbers'!$B$1:$AU$172,$B56,FALSE)&lt;0,HLOOKUP(AS$4,'Physical Effects-Numbers'!$B$1:$AU$172,$B56,FALSE),""))</f>
        <v/>
      </c>
      <c r="AT56" s="488" t="str">
        <f>IF(AT$4="","",IF(HLOOKUP(AT$4,'Physical Effects-Numbers'!$B$1:$AU$172,$B56,FALSE)&lt;0,HLOOKUP(AT$4,'Physical Effects-Numbers'!$B$1:$AU$172,$B56,FALSE),""))</f>
        <v/>
      </c>
      <c r="AU56" s="488" t="str">
        <f>IF(AU$4="","",IF(HLOOKUP(AU$4,'Physical Effects-Numbers'!$B$1:$AU$172,$B56,FALSE)&lt;0,HLOOKUP(AU$4,'Physical Effects-Numbers'!$B$1:$AU$172,$B56,FALSE),""))</f>
        <v/>
      </c>
      <c r="AV56" s="488" t="str">
        <f>IF(AV$4="","",IF(HLOOKUP(AV$4,'Physical Effects-Numbers'!$B$1:$AU$167,$B56,FALSE)&lt;0,HLOOKUP(AV$4,'Physical Effects-Numbers'!$B$1:$AU$167,$B56,FALSE),""))</f>
        <v/>
      </c>
    </row>
    <row r="57" spans="2:48" x14ac:dyDescent="0.2">
      <c r="B57" s="487">
        <f t="shared" si="0"/>
        <v>54</v>
      </c>
      <c r="C57" s="486" t="str">
        <f>+'Physical Effects-Numbers'!B54</f>
        <v>Forage and Biomass Planting</v>
      </c>
      <c r="D57" s="488" t="str">
        <f>IF(D$4="","",IF(HLOOKUP(D$4,'Physical Effects-Numbers'!$B$1:$AU$172,$B57,FALSE)&lt;0,HLOOKUP(D$4,'Physical Effects-Numbers'!$B$1:$AU$172,$B57,FALSE),""))</f>
        <v/>
      </c>
      <c r="E57" s="488" t="str">
        <f>IF(E$4="","",IF(HLOOKUP(E$4,'Physical Effects-Numbers'!$B$1:$AU$172,$B57,FALSE)&lt;0,HLOOKUP(E$4,'Physical Effects-Numbers'!$B$1:$AU$172,$B57,FALSE),""))</f>
        <v/>
      </c>
      <c r="F57" s="488" t="str">
        <f>IF(F$4="","",IF(HLOOKUP(F$4,'Physical Effects-Numbers'!$B$1:$AU$172,$B57,FALSE)&lt;0,HLOOKUP(F$4,'Physical Effects-Numbers'!$B$1:$AU$172,$B57,FALSE),""))</f>
        <v/>
      </c>
      <c r="G57" s="488" t="str">
        <f>IF(G$4="","",IF(HLOOKUP(G$4,'Physical Effects-Numbers'!$B$1:$AU$172,$B57,FALSE)&lt;0,HLOOKUP(G$4,'Physical Effects-Numbers'!$B$1:$AU$172,$B57,FALSE),""))</f>
        <v/>
      </c>
      <c r="H57" s="488" t="str">
        <f>IF(H$4="","",IF(HLOOKUP(H$4,'Physical Effects-Numbers'!$B$1:$AU$172,$B57,FALSE)&lt;0,HLOOKUP(H$4,'Physical Effects-Numbers'!$B$1:$AU$172,$B57,FALSE),""))</f>
        <v/>
      </c>
      <c r="I57" s="488" t="str">
        <f>IF(I$4="","",IF(HLOOKUP(I$4,'Physical Effects-Numbers'!$B$1:$AU$172,$B57,FALSE)&lt;0,HLOOKUP(I$4,'Physical Effects-Numbers'!$B$1:$AU$172,$B57,FALSE),""))</f>
        <v/>
      </c>
      <c r="J57" s="488" t="str">
        <f>IF(J$4="","",IF(HLOOKUP(J$4,'Physical Effects-Numbers'!$B$1:$AU$172,$B57,FALSE)&lt;0,HLOOKUP(J$4,'Physical Effects-Numbers'!$B$1:$AU$172,$B57,FALSE),""))</f>
        <v/>
      </c>
      <c r="K57" s="488" t="str">
        <f>IF(K$4="","",IF(HLOOKUP(K$4,'Physical Effects-Numbers'!$B$1:$AU$172,$B57,FALSE)&lt;0,HLOOKUP(K$4,'Physical Effects-Numbers'!$B$1:$AU$172,$B57,FALSE),""))</f>
        <v/>
      </c>
      <c r="L57" s="488" t="str">
        <f>IF(L$4="","",IF(HLOOKUP(L$4,'Physical Effects-Numbers'!$B$1:$AU$172,$B57,FALSE)&lt;0,HLOOKUP(L$4,'Physical Effects-Numbers'!$B$1:$AU$172,$B57,FALSE),""))</f>
        <v/>
      </c>
      <c r="M57" s="488" t="str">
        <f>IF(M$4="","",IF(HLOOKUP(M$4,'Physical Effects-Numbers'!$B$1:$AU$172,$B57,FALSE)&lt;0,HLOOKUP(M$4,'Physical Effects-Numbers'!$B$1:$AU$172,$B57,FALSE),""))</f>
        <v/>
      </c>
      <c r="N57" s="488" t="str">
        <f>IF(N$4="","",IF(HLOOKUP(N$4,'Physical Effects-Numbers'!$B$1:$AU$172,$B57,FALSE)&lt;0,HLOOKUP(N$4,'Physical Effects-Numbers'!$B$1:$AU$172,$B57,FALSE),""))</f>
        <v/>
      </c>
      <c r="O57" s="488" t="str">
        <f>IF(O$4="","",IF(HLOOKUP(O$4,'Physical Effects-Numbers'!$B$1:$AU$172,$B57,FALSE)&lt;0,HLOOKUP(O$4,'Physical Effects-Numbers'!$B$1:$AU$172,$B57,FALSE),""))</f>
        <v/>
      </c>
      <c r="P57" s="488" t="str">
        <f>IF(P$4="","",IF(HLOOKUP(P$4,'Physical Effects-Numbers'!$B$1:$AU$172,$B57,FALSE)&lt;0,HLOOKUP(P$4,'Physical Effects-Numbers'!$B$1:$AU$172,$B57,FALSE),""))</f>
        <v/>
      </c>
      <c r="Q57" s="488" t="str">
        <f>IF(Q$4="","",IF(HLOOKUP(Q$4,'Physical Effects-Numbers'!$B$1:$AU$172,$B57,FALSE)&lt;0,HLOOKUP(Q$4,'Physical Effects-Numbers'!$B$1:$AU$172,$B57,FALSE),""))</f>
        <v/>
      </c>
      <c r="R57" s="488" t="str">
        <f>IF(R$4="","",IF(HLOOKUP(R$4,'Physical Effects-Numbers'!$B$1:$AU$172,$B57,FALSE)&lt;0,HLOOKUP(R$4,'Physical Effects-Numbers'!$B$1:$AU$172,$B57,FALSE),""))</f>
        <v/>
      </c>
      <c r="S57" s="488" t="str">
        <f>IF(S$4="","",IF(HLOOKUP(S$4,'Physical Effects-Numbers'!$B$1:$AU$172,$B57,FALSE)&lt;0,HLOOKUP(S$4,'Physical Effects-Numbers'!$B$1:$AU$172,$B57,FALSE),""))</f>
        <v/>
      </c>
      <c r="T57" s="488" t="str">
        <f>IF(T$4="","",IF(HLOOKUP(T$4,'Physical Effects-Numbers'!$B$1:$AU$172,$B57,FALSE)&lt;0,HLOOKUP(T$4,'Physical Effects-Numbers'!$B$1:$AU$172,$B57,FALSE),""))</f>
        <v/>
      </c>
      <c r="U57" s="488" t="str">
        <f>IF(U$4="","",IF(HLOOKUP(U$4,'Physical Effects-Numbers'!$B$1:$AU$172,$B57,FALSE)&lt;0,HLOOKUP(U$4,'Physical Effects-Numbers'!$B$1:$AU$172,$B57,FALSE),""))</f>
        <v/>
      </c>
      <c r="V57" s="488" t="str">
        <f>IF(V$4="","",IF(HLOOKUP(V$4,'Physical Effects-Numbers'!$B$1:$AU$172,$B57,FALSE)&lt;0,HLOOKUP(V$4,'Physical Effects-Numbers'!$B$1:$AU$172,$B57,FALSE),""))</f>
        <v/>
      </c>
      <c r="W57" s="488" t="str">
        <f>IF(W$4="","",IF(HLOOKUP(W$4,'Physical Effects-Numbers'!$B$1:$AU$172,$B57,FALSE)&lt;0,HLOOKUP(W$4,'Physical Effects-Numbers'!$B$1:$AU$172,$B57,FALSE),""))</f>
        <v/>
      </c>
      <c r="X57" s="488" t="str">
        <f>IF(X$4="","",IF(HLOOKUP(X$4,'Physical Effects-Numbers'!$B$1:$AU$172,$B57,FALSE)&lt;0,HLOOKUP(X$4,'Physical Effects-Numbers'!$B$1:$AU$172,$B57,FALSE),""))</f>
        <v/>
      </c>
      <c r="Y57" s="488" t="str">
        <f>IF(Y$4="","",IF(HLOOKUP(Y$4,'Physical Effects-Numbers'!$B$1:$AU$172,$B57,FALSE)&lt;0,HLOOKUP(Y$4,'Physical Effects-Numbers'!$B$1:$AU$172,$B57,FALSE),""))</f>
        <v/>
      </c>
      <c r="Z57" s="488" t="str">
        <f>IF(Z$4="","",IF(HLOOKUP(Z$4,'Physical Effects-Numbers'!$B$1:$AU$172,$B57,FALSE)&lt;0,HLOOKUP(Z$4,'Physical Effects-Numbers'!$B$1:$AU$172,$B57,FALSE),""))</f>
        <v/>
      </c>
      <c r="AA57" s="488" t="str">
        <f>IF(AA$4="","",IF(HLOOKUP(AA$4,'Physical Effects-Numbers'!$B$1:$AU$172,$B57,FALSE)&lt;0,HLOOKUP(AA$4,'Physical Effects-Numbers'!$B$1:$AU$172,$B57,FALSE),""))</f>
        <v/>
      </c>
      <c r="AB57" s="488" t="str">
        <f>IF(AB$4="","",IF(HLOOKUP(AB$4,'Physical Effects-Numbers'!$B$1:$AU$172,$B57,FALSE)&lt;0,HLOOKUP(AB$4,'Physical Effects-Numbers'!$B$1:$AU$172,$B57,FALSE),""))</f>
        <v/>
      </c>
      <c r="AC57" s="488" t="str">
        <f>IF(AC$4="","",IF(HLOOKUP(AC$4,'Physical Effects-Numbers'!$B$1:$AU$172,$B57,FALSE)&lt;0,HLOOKUP(AC$4,'Physical Effects-Numbers'!$B$1:$AU$172,$B57,FALSE),""))</f>
        <v/>
      </c>
      <c r="AD57" s="488" t="str">
        <f>IF(AD$4="","",IF(HLOOKUP(AD$4,'Physical Effects-Numbers'!$B$1:$AU$172,$B57,FALSE)&lt;0,HLOOKUP(AD$4,'Physical Effects-Numbers'!$B$1:$AU$172,$B57,FALSE),""))</f>
        <v/>
      </c>
      <c r="AE57" s="488" t="str">
        <f>IF(AE$4="","",IF(HLOOKUP(AE$4,'Physical Effects-Numbers'!$B$1:$AU$172,$B57,FALSE)&lt;0,HLOOKUP(AE$4,'Physical Effects-Numbers'!$B$1:$AU$172,$B57,FALSE),""))</f>
        <v/>
      </c>
      <c r="AF57" s="488" t="str">
        <f>IF(AF$4="","",IF(HLOOKUP(AF$4,'Physical Effects-Numbers'!$B$1:$AU$172,$B57,FALSE)&lt;0,HLOOKUP(AF$4,'Physical Effects-Numbers'!$B$1:$AU$172,$B57,FALSE),""))</f>
        <v/>
      </c>
      <c r="AG57" s="488" t="str">
        <f>IF(AG$4="","",IF(HLOOKUP(AG$4,'Physical Effects-Numbers'!$B$1:$AU$172,$B57,FALSE)&lt;0,HLOOKUP(AG$4,'Physical Effects-Numbers'!$B$1:$AU$172,$B57,FALSE),""))</f>
        <v/>
      </c>
      <c r="AH57" s="488" t="str">
        <f>IF(AH$4="","",IF(HLOOKUP(AH$4,'Physical Effects-Numbers'!$B$1:$AU$172,$B57,FALSE)&lt;0,HLOOKUP(AH$4,'Physical Effects-Numbers'!$B$1:$AU$172,$B57,FALSE),""))</f>
        <v/>
      </c>
      <c r="AI57" s="488" t="str">
        <f>IF(AI$4="","",IF(HLOOKUP(AI$4,'Physical Effects-Numbers'!$B$1:$AU$172,$B57,FALSE)&lt;0,HLOOKUP(AI$4,'Physical Effects-Numbers'!$B$1:$AU$172,$B57,FALSE),""))</f>
        <v/>
      </c>
      <c r="AJ57" s="488" t="str">
        <f>IF(AJ$4="","",IF(HLOOKUP(AJ$4,'Physical Effects-Numbers'!$B$1:$AU$172,$B57,FALSE)&lt;0,HLOOKUP(AJ$4,'Physical Effects-Numbers'!$B$1:$AU$172,$B57,FALSE),""))</f>
        <v/>
      </c>
      <c r="AK57" s="488" t="str">
        <f>IF(AK$4="","",IF(HLOOKUP(AK$4,'Physical Effects-Numbers'!$B$1:$AU$172,$B57,FALSE)&lt;0,HLOOKUP(AK$4,'Physical Effects-Numbers'!$B$1:$AU$172,$B57,FALSE),""))</f>
        <v/>
      </c>
      <c r="AL57" s="488" t="str">
        <f>IF(AL$4="","",IF(HLOOKUP(AL$4,'Physical Effects-Numbers'!$B$1:$AU$172,$B57,FALSE)&lt;0,HLOOKUP(AL$4,'Physical Effects-Numbers'!$B$1:$AU$172,$B57,FALSE),""))</f>
        <v/>
      </c>
      <c r="AM57" s="488" t="str">
        <f>IF(AM$4="","",IF(HLOOKUP(AM$4,'Physical Effects-Numbers'!$B$1:$AU$172,$B57,FALSE)&lt;0,HLOOKUP(AM$4,'Physical Effects-Numbers'!$B$1:$AU$172,$B57,FALSE),""))</f>
        <v/>
      </c>
      <c r="AN57" s="488" t="str">
        <f>IF(AN$4="","",IF(HLOOKUP(AN$4,'Physical Effects-Numbers'!$B$1:$AU$172,$B57,FALSE)&lt;0,HLOOKUP(AN$4,'Physical Effects-Numbers'!$B$1:$AU$172,$B57,FALSE),""))</f>
        <v/>
      </c>
      <c r="AO57" s="488" t="str">
        <f>IF(AO$4="","",IF(HLOOKUP(AO$4,'Physical Effects-Numbers'!$B$1:$AU$172,$B57,FALSE)&lt;0,HLOOKUP(AO$4,'Physical Effects-Numbers'!$B$1:$AU$172,$B57,FALSE),""))</f>
        <v/>
      </c>
      <c r="AP57" s="488" t="str">
        <f>IF(AP$4="","",IF(HLOOKUP(AP$4,'Physical Effects-Numbers'!$B$1:$AU$172,$B57,FALSE)&lt;0,HLOOKUP(AP$4,'Physical Effects-Numbers'!$B$1:$AU$172,$B57,FALSE),""))</f>
        <v/>
      </c>
      <c r="AQ57" s="488" t="str">
        <f>IF(AQ$4="","",IF(HLOOKUP(AQ$4,'Physical Effects-Numbers'!$B$1:$AU$172,$B57,FALSE)&lt;0,HLOOKUP(AQ$4,'Physical Effects-Numbers'!$B$1:$AU$172,$B57,FALSE),""))</f>
        <v/>
      </c>
      <c r="AR57" s="488" t="str">
        <f>IF(AR$4="","",IF(HLOOKUP(AR$4,'Physical Effects-Numbers'!$B$1:$AU$172,$B57,FALSE)&lt;0,HLOOKUP(AR$4,'Physical Effects-Numbers'!$B$1:$AU$172,$B57,FALSE),""))</f>
        <v/>
      </c>
      <c r="AS57" s="488" t="str">
        <f>IF(AS$4="","",IF(HLOOKUP(AS$4,'Physical Effects-Numbers'!$B$1:$AU$172,$B57,FALSE)&lt;0,HLOOKUP(AS$4,'Physical Effects-Numbers'!$B$1:$AU$172,$B57,FALSE),""))</f>
        <v/>
      </c>
      <c r="AT57" s="488" t="str">
        <f>IF(AT$4="","",IF(HLOOKUP(AT$4,'Physical Effects-Numbers'!$B$1:$AU$172,$B57,FALSE)&lt;0,HLOOKUP(AT$4,'Physical Effects-Numbers'!$B$1:$AU$172,$B57,FALSE),""))</f>
        <v/>
      </c>
      <c r="AU57" s="488" t="str">
        <f>IF(AU$4="","",IF(HLOOKUP(AU$4,'Physical Effects-Numbers'!$B$1:$AU$172,$B57,FALSE)&lt;0,HLOOKUP(AU$4,'Physical Effects-Numbers'!$B$1:$AU$172,$B57,FALSE),""))</f>
        <v/>
      </c>
      <c r="AV57" s="488" t="str">
        <f>IF(AV$4="","",IF(HLOOKUP(AV$4,'Physical Effects-Numbers'!$B$1:$AU$167,$B57,FALSE)&lt;0,HLOOKUP(AV$4,'Physical Effects-Numbers'!$B$1:$AU$167,$B57,FALSE),""))</f>
        <v/>
      </c>
    </row>
    <row r="58" spans="2:48" x14ac:dyDescent="0.2">
      <c r="B58" s="487">
        <f t="shared" si="0"/>
        <v>55</v>
      </c>
      <c r="C58" s="486" t="str">
        <f>+'Physical Effects-Numbers'!B55</f>
        <v>Forage Harvest Management</v>
      </c>
      <c r="D58" s="488" t="str">
        <f>IF(D$4="","",IF(HLOOKUP(D$4,'Physical Effects-Numbers'!$B$1:$AU$172,$B58,FALSE)&lt;0,HLOOKUP(D$4,'Physical Effects-Numbers'!$B$1:$AU$172,$B58,FALSE),""))</f>
        <v/>
      </c>
      <c r="E58" s="488" t="str">
        <f>IF(E$4="","",IF(HLOOKUP(E$4,'Physical Effects-Numbers'!$B$1:$AU$172,$B58,FALSE)&lt;0,HLOOKUP(E$4,'Physical Effects-Numbers'!$B$1:$AU$172,$B58,FALSE),""))</f>
        <v/>
      </c>
      <c r="F58" s="488" t="str">
        <f>IF(F$4="","",IF(HLOOKUP(F$4,'Physical Effects-Numbers'!$B$1:$AU$172,$B58,FALSE)&lt;0,HLOOKUP(F$4,'Physical Effects-Numbers'!$B$1:$AU$172,$B58,FALSE),""))</f>
        <v/>
      </c>
      <c r="G58" s="488" t="str">
        <f>IF(G$4="","",IF(HLOOKUP(G$4,'Physical Effects-Numbers'!$B$1:$AU$172,$B58,FALSE)&lt;0,HLOOKUP(G$4,'Physical Effects-Numbers'!$B$1:$AU$172,$B58,FALSE),""))</f>
        <v/>
      </c>
      <c r="H58" s="488" t="str">
        <f>IF(H$4="","",IF(HLOOKUP(H$4,'Physical Effects-Numbers'!$B$1:$AU$172,$B58,FALSE)&lt;0,HLOOKUP(H$4,'Physical Effects-Numbers'!$B$1:$AU$172,$B58,FALSE),""))</f>
        <v/>
      </c>
      <c r="I58" s="488" t="str">
        <f>IF(I$4="","",IF(HLOOKUP(I$4,'Physical Effects-Numbers'!$B$1:$AU$172,$B58,FALSE)&lt;0,HLOOKUP(I$4,'Physical Effects-Numbers'!$B$1:$AU$172,$B58,FALSE),""))</f>
        <v/>
      </c>
      <c r="J58" s="488" t="str">
        <f>IF(J$4="","",IF(HLOOKUP(J$4,'Physical Effects-Numbers'!$B$1:$AU$172,$B58,FALSE)&lt;0,HLOOKUP(J$4,'Physical Effects-Numbers'!$B$1:$AU$172,$B58,FALSE),""))</f>
        <v/>
      </c>
      <c r="K58" s="488" t="str">
        <f>IF(K$4="","",IF(HLOOKUP(K$4,'Physical Effects-Numbers'!$B$1:$AU$172,$B58,FALSE)&lt;0,HLOOKUP(K$4,'Physical Effects-Numbers'!$B$1:$AU$172,$B58,FALSE),""))</f>
        <v/>
      </c>
      <c r="L58" s="488" t="str">
        <f>IF(L$4="","",IF(HLOOKUP(L$4,'Physical Effects-Numbers'!$B$1:$AU$172,$B58,FALSE)&lt;0,HLOOKUP(L$4,'Physical Effects-Numbers'!$B$1:$AU$172,$B58,FALSE),""))</f>
        <v/>
      </c>
      <c r="M58" s="488" t="str">
        <f>IF(M$4="","",IF(HLOOKUP(M$4,'Physical Effects-Numbers'!$B$1:$AU$172,$B58,FALSE)&lt;0,HLOOKUP(M$4,'Physical Effects-Numbers'!$B$1:$AU$172,$B58,FALSE),""))</f>
        <v/>
      </c>
      <c r="N58" s="488" t="str">
        <f>IF(N$4="","",IF(HLOOKUP(N$4,'Physical Effects-Numbers'!$B$1:$AU$172,$B58,FALSE)&lt;0,HLOOKUP(N$4,'Physical Effects-Numbers'!$B$1:$AU$172,$B58,FALSE),""))</f>
        <v/>
      </c>
      <c r="O58" s="488" t="str">
        <f>IF(O$4="","",IF(HLOOKUP(O$4,'Physical Effects-Numbers'!$B$1:$AU$172,$B58,FALSE)&lt;0,HLOOKUP(O$4,'Physical Effects-Numbers'!$B$1:$AU$172,$B58,FALSE),""))</f>
        <v/>
      </c>
      <c r="P58" s="488" t="str">
        <f>IF(P$4="","",IF(HLOOKUP(P$4,'Physical Effects-Numbers'!$B$1:$AU$172,$B58,FALSE)&lt;0,HLOOKUP(P$4,'Physical Effects-Numbers'!$B$1:$AU$172,$B58,FALSE),""))</f>
        <v/>
      </c>
      <c r="Q58" s="488" t="str">
        <f>IF(Q$4="","",IF(HLOOKUP(Q$4,'Physical Effects-Numbers'!$B$1:$AU$172,$B58,FALSE)&lt;0,HLOOKUP(Q$4,'Physical Effects-Numbers'!$B$1:$AU$172,$B58,FALSE),""))</f>
        <v/>
      </c>
      <c r="R58" s="488" t="str">
        <f>IF(R$4="","",IF(HLOOKUP(R$4,'Physical Effects-Numbers'!$B$1:$AU$172,$B58,FALSE)&lt;0,HLOOKUP(R$4,'Physical Effects-Numbers'!$B$1:$AU$172,$B58,FALSE),""))</f>
        <v/>
      </c>
      <c r="S58" s="488" t="str">
        <f>IF(S$4="","",IF(HLOOKUP(S$4,'Physical Effects-Numbers'!$B$1:$AU$172,$B58,FALSE)&lt;0,HLOOKUP(S$4,'Physical Effects-Numbers'!$B$1:$AU$172,$B58,FALSE),""))</f>
        <v/>
      </c>
      <c r="T58" s="488" t="str">
        <f>IF(T$4="","",IF(HLOOKUP(T$4,'Physical Effects-Numbers'!$B$1:$AU$172,$B58,FALSE)&lt;0,HLOOKUP(T$4,'Physical Effects-Numbers'!$B$1:$AU$172,$B58,FALSE),""))</f>
        <v/>
      </c>
      <c r="U58" s="488" t="str">
        <f>IF(U$4="","",IF(HLOOKUP(U$4,'Physical Effects-Numbers'!$B$1:$AU$172,$B58,FALSE)&lt;0,HLOOKUP(U$4,'Physical Effects-Numbers'!$B$1:$AU$172,$B58,FALSE),""))</f>
        <v/>
      </c>
      <c r="V58" s="488" t="str">
        <f>IF(V$4="","",IF(HLOOKUP(V$4,'Physical Effects-Numbers'!$B$1:$AU$172,$B58,FALSE)&lt;0,HLOOKUP(V$4,'Physical Effects-Numbers'!$B$1:$AU$172,$B58,FALSE),""))</f>
        <v/>
      </c>
      <c r="W58" s="488" t="str">
        <f>IF(W$4="","",IF(HLOOKUP(W$4,'Physical Effects-Numbers'!$B$1:$AU$172,$B58,FALSE)&lt;0,HLOOKUP(W$4,'Physical Effects-Numbers'!$B$1:$AU$172,$B58,FALSE),""))</f>
        <v/>
      </c>
      <c r="X58" s="488" t="str">
        <f>IF(X$4="","",IF(HLOOKUP(X$4,'Physical Effects-Numbers'!$B$1:$AU$172,$B58,FALSE)&lt;0,HLOOKUP(X$4,'Physical Effects-Numbers'!$B$1:$AU$172,$B58,FALSE),""))</f>
        <v/>
      </c>
      <c r="Y58" s="488" t="str">
        <f>IF(Y$4="","",IF(HLOOKUP(Y$4,'Physical Effects-Numbers'!$B$1:$AU$172,$B58,FALSE)&lt;0,HLOOKUP(Y$4,'Physical Effects-Numbers'!$B$1:$AU$172,$B58,FALSE),""))</f>
        <v/>
      </c>
      <c r="Z58" s="488" t="str">
        <f>IF(Z$4="","",IF(HLOOKUP(Z$4,'Physical Effects-Numbers'!$B$1:$AU$172,$B58,FALSE)&lt;0,HLOOKUP(Z$4,'Physical Effects-Numbers'!$B$1:$AU$172,$B58,FALSE),""))</f>
        <v/>
      </c>
      <c r="AA58" s="488" t="str">
        <f>IF(AA$4="","",IF(HLOOKUP(AA$4,'Physical Effects-Numbers'!$B$1:$AU$172,$B58,FALSE)&lt;0,HLOOKUP(AA$4,'Physical Effects-Numbers'!$B$1:$AU$172,$B58,FALSE),""))</f>
        <v/>
      </c>
      <c r="AB58" s="488" t="str">
        <f>IF(AB$4="","",IF(HLOOKUP(AB$4,'Physical Effects-Numbers'!$B$1:$AU$172,$B58,FALSE)&lt;0,HLOOKUP(AB$4,'Physical Effects-Numbers'!$B$1:$AU$172,$B58,FALSE),""))</f>
        <v/>
      </c>
      <c r="AC58" s="488" t="str">
        <f>IF(AC$4="","",IF(HLOOKUP(AC$4,'Physical Effects-Numbers'!$B$1:$AU$172,$B58,FALSE)&lt;0,HLOOKUP(AC$4,'Physical Effects-Numbers'!$B$1:$AU$172,$B58,FALSE),""))</f>
        <v/>
      </c>
      <c r="AD58" s="488" t="str">
        <f>IF(AD$4="","",IF(HLOOKUP(AD$4,'Physical Effects-Numbers'!$B$1:$AU$172,$B58,FALSE)&lt;0,HLOOKUP(AD$4,'Physical Effects-Numbers'!$B$1:$AU$172,$B58,FALSE),""))</f>
        <v/>
      </c>
      <c r="AE58" s="488" t="str">
        <f>IF(AE$4="","",IF(HLOOKUP(AE$4,'Physical Effects-Numbers'!$B$1:$AU$172,$B58,FALSE)&lt;0,HLOOKUP(AE$4,'Physical Effects-Numbers'!$B$1:$AU$172,$B58,FALSE),""))</f>
        <v/>
      </c>
      <c r="AF58" s="488" t="str">
        <f>IF(AF$4="","",IF(HLOOKUP(AF$4,'Physical Effects-Numbers'!$B$1:$AU$172,$B58,FALSE)&lt;0,HLOOKUP(AF$4,'Physical Effects-Numbers'!$B$1:$AU$172,$B58,FALSE),""))</f>
        <v/>
      </c>
      <c r="AG58" s="488" t="str">
        <f>IF(AG$4="","",IF(HLOOKUP(AG$4,'Physical Effects-Numbers'!$B$1:$AU$172,$B58,FALSE)&lt;0,HLOOKUP(AG$4,'Physical Effects-Numbers'!$B$1:$AU$172,$B58,FALSE),""))</f>
        <v/>
      </c>
      <c r="AH58" s="488" t="str">
        <f>IF(AH$4="","",IF(HLOOKUP(AH$4,'Physical Effects-Numbers'!$B$1:$AU$172,$B58,FALSE)&lt;0,HLOOKUP(AH$4,'Physical Effects-Numbers'!$B$1:$AU$172,$B58,FALSE),""))</f>
        <v/>
      </c>
      <c r="AI58" s="488" t="str">
        <f>IF(AI$4="","",IF(HLOOKUP(AI$4,'Physical Effects-Numbers'!$B$1:$AU$172,$B58,FALSE)&lt;0,HLOOKUP(AI$4,'Physical Effects-Numbers'!$B$1:$AU$172,$B58,FALSE),""))</f>
        <v/>
      </c>
      <c r="AJ58" s="488" t="str">
        <f>IF(AJ$4="","",IF(HLOOKUP(AJ$4,'Physical Effects-Numbers'!$B$1:$AU$172,$B58,FALSE)&lt;0,HLOOKUP(AJ$4,'Physical Effects-Numbers'!$B$1:$AU$172,$B58,FALSE),""))</f>
        <v/>
      </c>
      <c r="AK58" s="488" t="str">
        <f>IF(AK$4="","",IF(HLOOKUP(AK$4,'Physical Effects-Numbers'!$B$1:$AU$172,$B58,FALSE)&lt;0,HLOOKUP(AK$4,'Physical Effects-Numbers'!$B$1:$AU$172,$B58,FALSE),""))</f>
        <v/>
      </c>
      <c r="AL58" s="488" t="str">
        <f>IF(AL$4="","",IF(HLOOKUP(AL$4,'Physical Effects-Numbers'!$B$1:$AU$172,$B58,FALSE)&lt;0,HLOOKUP(AL$4,'Physical Effects-Numbers'!$B$1:$AU$172,$B58,FALSE),""))</f>
        <v/>
      </c>
      <c r="AM58" s="488" t="str">
        <f>IF(AM$4="","",IF(HLOOKUP(AM$4,'Physical Effects-Numbers'!$B$1:$AU$172,$B58,FALSE)&lt;0,HLOOKUP(AM$4,'Physical Effects-Numbers'!$B$1:$AU$172,$B58,FALSE),""))</f>
        <v/>
      </c>
      <c r="AN58" s="488" t="str">
        <f>IF(AN$4="","",IF(HLOOKUP(AN$4,'Physical Effects-Numbers'!$B$1:$AU$172,$B58,FALSE)&lt;0,HLOOKUP(AN$4,'Physical Effects-Numbers'!$B$1:$AU$172,$B58,FALSE),""))</f>
        <v/>
      </c>
      <c r="AO58" s="488" t="str">
        <f>IF(AO$4="","",IF(HLOOKUP(AO$4,'Physical Effects-Numbers'!$B$1:$AU$172,$B58,FALSE)&lt;0,HLOOKUP(AO$4,'Physical Effects-Numbers'!$B$1:$AU$172,$B58,FALSE),""))</f>
        <v/>
      </c>
      <c r="AP58" s="488" t="str">
        <f>IF(AP$4="","",IF(HLOOKUP(AP$4,'Physical Effects-Numbers'!$B$1:$AU$172,$B58,FALSE)&lt;0,HLOOKUP(AP$4,'Physical Effects-Numbers'!$B$1:$AU$172,$B58,FALSE),""))</f>
        <v/>
      </c>
      <c r="AQ58" s="488" t="str">
        <f>IF(AQ$4="","",IF(HLOOKUP(AQ$4,'Physical Effects-Numbers'!$B$1:$AU$172,$B58,FALSE)&lt;0,HLOOKUP(AQ$4,'Physical Effects-Numbers'!$B$1:$AU$172,$B58,FALSE),""))</f>
        <v/>
      </c>
      <c r="AR58" s="488" t="str">
        <f>IF(AR$4="","",IF(HLOOKUP(AR$4,'Physical Effects-Numbers'!$B$1:$AU$172,$B58,FALSE)&lt;0,HLOOKUP(AR$4,'Physical Effects-Numbers'!$B$1:$AU$172,$B58,FALSE),""))</f>
        <v/>
      </c>
      <c r="AS58" s="488" t="str">
        <f>IF(AS$4="","",IF(HLOOKUP(AS$4,'Physical Effects-Numbers'!$B$1:$AU$172,$B58,FALSE)&lt;0,HLOOKUP(AS$4,'Physical Effects-Numbers'!$B$1:$AU$172,$B58,FALSE),""))</f>
        <v/>
      </c>
      <c r="AT58" s="488" t="str">
        <f>IF(AT$4="","",IF(HLOOKUP(AT$4,'Physical Effects-Numbers'!$B$1:$AU$172,$B58,FALSE)&lt;0,HLOOKUP(AT$4,'Physical Effects-Numbers'!$B$1:$AU$172,$B58,FALSE),""))</f>
        <v/>
      </c>
      <c r="AU58" s="488" t="str">
        <f>IF(AU$4="","",IF(HLOOKUP(AU$4,'Physical Effects-Numbers'!$B$1:$AU$172,$B58,FALSE)&lt;0,HLOOKUP(AU$4,'Physical Effects-Numbers'!$B$1:$AU$172,$B58,FALSE),""))</f>
        <v/>
      </c>
      <c r="AV58" s="488" t="str">
        <f>IF(AV$4="","",IF(HLOOKUP(AV$4,'Physical Effects-Numbers'!$B$1:$AU$167,$B58,FALSE)&lt;0,HLOOKUP(AV$4,'Physical Effects-Numbers'!$B$1:$AU$167,$B58,FALSE),""))</f>
        <v/>
      </c>
    </row>
    <row r="59" spans="2:48" x14ac:dyDescent="0.2">
      <c r="B59" s="487">
        <f t="shared" si="0"/>
        <v>56</v>
      </c>
      <c r="C59" s="486" t="str">
        <f>+'Physical Effects-Numbers'!B56</f>
        <v>Forest Stand Improvement</v>
      </c>
      <c r="D59" s="488" t="str">
        <f>IF(D$4="","",IF(HLOOKUP(D$4,'Physical Effects-Numbers'!$B$1:$AU$172,$B59,FALSE)&lt;0,HLOOKUP(D$4,'Physical Effects-Numbers'!$B$1:$AU$172,$B59,FALSE),""))</f>
        <v/>
      </c>
      <c r="E59" s="488" t="str">
        <f>IF(E$4="","",IF(HLOOKUP(E$4,'Physical Effects-Numbers'!$B$1:$AU$172,$B59,FALSE)&lt;0,HLOOKUP(E$4,'Physical Effects-Numbers'!$B$1:$AU$172,$B59,FALSE),""))</f>
        <v/>
      </c>
      <c r="F59" s="488" t="str">
        <f>IF(F$4="","",IF(HLOOKUP(F$4,'Physical Effects-Numbers'!$B$1:$AU$172,$B59,FALSE)&lt;0,HLOOKUP(F$4,'Physical Effects-Numbers'!$B$1:$AU$172,$B59,FALSE),""))</f>
        <v/>
      </c>
      <c r="G59" s="488" t="str">
        <f>IF(G$4="","",IF(HLOOKUP(G$4,'Physical Effects-Numbers'!$B$1:$AU$172,$B59,FALSE)&lt;0,HLOOKUP(G$4,'Physical Effects-Numbers'!$B$1:$AU$172,$B59,FALSE),""))</f>
        <v/>
      </c>
      <c r="H59" s="488" t="str">
        <f>IF(H$4="","",IF(HLOOKUP(H$4,'Physical Effects-Numbers'!$B$1:$AU$172,$B59,FALSE)&lt;0,HLOOKUP(H$4,'Physical Effects-Numbers'!$B$1:$AU$172,$B59,FALSE),""))</f>
        <v/>
      </c>
      <c r="I59" s="488" t="str">
        <f>IF(I$4="","",IF(HLOOKUP(I$4,'Physical Effects-Numbers'!$B$1:$AU$172,$B59,FALSE)&lt;0,HLOOKUP(I$4,'Physical Effects-Numbers'!$B$1:$AU$172,$B59,FALSE),""))</f>
        <v/>
      </c>
      <c r="J59" s="488">
        <f>IF(J$4="","",IF(HLOOKUP(J$4,'Physical Effects-Numbers'!$B$1:$AU$172,$B59,FALSE)&lt;0,HLOOKUP(J$4,'Physical Effects-Numbers'!$B$1:$AU$172,$B59,FALSE),""))</f>
        <v>-1</v>
      </c>
      <c r="K59" s="488" t="str">
        <f>IF(K$4="","",IF(HLOOKUP(K$4,'Physical Effects-Numbers'!$B$1:$AU$172,$B59,FALSE)&lt;0,HLOOKUP(K$4,'Physical Effects-Numbers'!$B$1:$AU$172,$B59,FALSE),""))</f>
        <v/>
      </c>
      <c r="L59" s="488" t="str">
        <f>IF(L$4="","",IF(HLOOKUP(L$4,'Physical Effects-Numbers'!$B$1:$AU$172,$B59,FALSE)&lt;0,HLOOKUP(L$4,'Physical Effects-Numbers'!$B$1:$AU$172,$B59,FALSE),""))</f>
        <v/>
      </c>
      <c r="M59" s="488" t="str">
        <f>IF(M$4="","",IF(HLOOKUP(M$4,'Physical Effects-Numbers'!$B$1:$AU$172,$B59,FALSE)&lt;0,HLOOKUP(M$4,'Physical Effects-Numbers'!$B$1:$AU$172,$B59,FALSE),""))</f>
        <v/>
      </c>
      <c r="N59" s="488" t="str">
        <f>IF(N$4="","",IF(HLOOKUP(N$4,'Physical Effects-Numbers'!$B$1:$AU$172,$B59,FALSE)&lt;0,HLOOKUP(N$4,'Physical Effects-Numbers'!$B$1:$AU$172,$B59,FALSE),""))</f>
        <v/>
      </c>
      <c r="O59" s="488" t="str">
        <f>IF(O$4="","",IF(HLOOKUP(O$4,'Physical Effects-Numbers'!$B$1:$AU$172,$B59,FALSE)&lt;0,HLOOKUP(O$4,'Physical Effects-Numbers'!$B$1:$AU$172,$B59,FALSE),""))</f>
        <v/>
      </c>
      <c r="P59" s="488" t="str">
        <f>IF(P$4="","",IF(HLOOKUP(P$4,'Physical Effects-Numbers'!$B$1:$AU$172,$B59,FALSE)&lt;0,HLOOKUP(P$4,'Physical Effects-Numbers'!$B$1:$AU$172,$B59,FALSE),""))</f>
        <v/>
      </c>
      <c r="Q59" s="488" t="str">
        <f>IF(Q$4="","",IF(HLOOKUP(Q$4,'Physical Effects-Numbers'!$B$1:$AU$172,$B59,FALSE)&lt;0,HLOOKUP(Q$4,'Physical Effects-Numbers'!$B$1:$AU$172,$B59,FALSE),""))</f>
        <v/>
      </c>
      <c r="R59" s="488" t="str">
        <f>IF(R$4="","",IF(HLOOKUP(R$4,'Physical Effects-Numbers'!$B$1:$AU$172,$B59,FALSE)&lt;0,HLOOKUP(R$4,'Physical Effects-Numbers'!$B$1:$AU$172,$B59,FALSE),""))</f>
        <v/>
      </c>
      <c r="S59" s="488" t="str">
        <f>IF(S$4="","",IF(HLOOKUP(S$4,'Physical Effects-Numbers'!$B$1:$AU$172,$B59,FALSE)&lt;0,HLOOKUP(S$4,'Physical Effects-Numbers'!$B$1:$AU$172,$B59,FALSE),""))</f>
        <v/>
      </c>
      <c r="T59" s="488" t="str">
        <f>IF(T$4="","",IF(HLOOKUP(T$4,'Physical Effects-Numbers'!$B$1:$AU$172,$B59,FALSE)&lt;0,HLOOKUP(T$4,'Physical Effects-Numbers'!$B$1:$AU$172,$B59,FALSE),""))</f>
        <v/>
      </c>
      <c r="U59" s="488" t="str">
        <f>IF(U$4="","",IF(HLOOKUP(U$4,'Physical Effects-Numbers'!$B$1:$AU$172,$B59,FALSE)&lt;0,HLOOKUP(U$4,'Physical Effects-Numbers'!$B$1:$AU$172,$B59,FALSE),""))</f>
        <v/>
      </c>
      <c r="V59" s="488" t="str">
        <f>IF(V$4="","",IF(HLOOKUP(V$4,'Physical Effects-Numbers'!$B$1:$AU$172,$B59,FALSE)&lt;0,HLOOKUP(V$4,'Physical Effects-Numbers'!$B$1:$AU$172,$B59,FALSE),""))</f>
        <v/>
      </c>
      <c r="W59" s="488" t="str">
        <f>IF(W$4="","",IF(HLOOKUP(W$4,'Physical Effects-Numbers'!$B$1:$AU$172,$B59,FALSE)&lt;0,HLOOKUP(W$4,'Physical Effects-Numbers'!$B$1:$AU$172,$B59,FALSE),""))</f>
        <v/>
      </c>
      <c r="X59" s="488" t="str">
        <f>IF(X$4="","",IF(HLOOKUP(X$4,'Physical Effects-Numbers'!$B$1:$AU$172,$B59,FALSE)&lt;0,HLOOKUP(X$4,'Physical Effects-Numbers'!$B$1:$AU$172,$B59,FALSE),""))</f>
        <v/>
      </c>
      <c r="Y59" s="488" t="str">
        <f>IF(Y$4="","",IF(HLOOKUP(Y$4,'Physical Effects-Numbers'!$B$1:$AU$172,$B59,FALSE)&lt;0,HLOOKUP(Y$4,'Physical Effects-Numbers'!$B$1:$AU$172,$B59,FALSE),""))</f>
        <v/>
      </c>
      <c r="Z59" s="488" t="str">
        <f>IF(Z$4="","",IF(HLOOKUP(Z$4,'Physical Effects-Numbers'!$B$1:$AU$172,$B59,FALSE)&lt;0,HLOOKUP(Z$4,'Physical Effects-Numbers'!$B$1:$AU$172,$B59,FALSE),""))</f>
        <v/>
      </c>
      <c r="AA59" s="488" t="str">
        <f>IF(AA$4="","",IF(HLOOKUP(AA$4,'Physical Effects-Numbers'!$B$1:$AU$172,$B59,FALSE)&lt;0,HLOOKUP(AA$4,'Physical Effects-Numbers'!$B$1:$AU$172,$B59,FALSE),""))</f>
        <v/>
      </c>
      <c r="AB59" s="488" t="str">
        <f>IF(AB$4="","",IF(HLOOKUP(AB$4,'Physical Effects-Numbers'!$B$1:$AU$172,$B59,FALSE)&lt;0,HLOOKUP(AB$4,'Physical Effects-Numbers'!$B$1:$AU$172,$B59,FALSE),""))</f>
        <v/>
      </c>
      <c r="AC59" s="488" t="str">
        <f>IF(AC$4="","",IF(HLOOKUP(AC$4,'Physical Effects-Numbers'!$B$1:$AU$172,$B59,FALSE)&lt;0,HLOOKUP(AC$4,'Physical Effects-Numbers'!$B$1:$AU$172,$B59,FALSE),""))</f>
        <v/>
      </c>
      <c r="AD59" s="488" t="str">
        <f>IF(AD$4="","",IF(HLOOKUP(AD$4,'Physical Effects-Numbers'!$B$1:$AU$172,$B59,FALSE)&lt;0,HLOOKUP(AD$4,'Physical Effects-Numbers'!$B$1:$AU$172,$B59,FALSE),""))</f>
        <v/>
      </c>
      <c r="AE59" s="488" t="str">
        <f>IF(AE$4="","",IF(HLOOKUP(AE$4,'Physical Effects-Numbers'!$B$1:$AU$172,$B59,FALSE)&lt;0,HLOOKUP(AE$4,'Physical Effects-Numbers'!$B$1:$AU$172,$B59,FALSE),""))</f>
        <v/>
      </c>
      <c r="AF59" s="488" t="str">
        <f>IF(AF$4="","",IF(HLOOKUP(AF$4,'Physical Effects-Numbers'!$B$1:$AU$172,$B59,FALSE)&lt;0,HLOOKUP(AF$4,'Physical Effects-Numbers'!$B$1:$AU$172,$B59,FALSE),""))</f>
        <v/>
      </c>
      <c r="AG59" s="488" t="str">
        <f>IF(AG$4="","",IF(HLOOKUP(AG$4,'Physical Effects-Numbers'!$B$1:$AU$172,$B59,FALSE)&lt;0,HLOOKUP(AG$4,'Physical Effects-Numbers'!$B$1:$AU$172,$B59,FALSE),""))</f>
        <v/>
      </c>
      <c r="AH59" s="488" t="str">
        <f>IF(AH$4="","",IF(HLOOKUP(AH$4,'Physical Effects-Numbers'!$B$1:$AU$172,$B59,FALSE)&lt;0,HLOOKUP(AH$4,'Physical Effects-Numbers'!$B$1:$AU$172,$B59,FALSE),""))</f>
        <v/>
      </c>
      <c r="AI59" s="488" t="str">
        <f>IF(AI$4="","",IF(HLOOKUP(AI$4,'Physical Effects-Numbers'!$B$1:$AU$172,$B59,FALSE)&lt;0,HLOOKUP(AI$4,'Physical Effects-Numbers'!$B$1:$AU$172,$B59,FALSE),""))</f>
        <v/>
      </c>
      <c r="AJ59" s="488" t="str">
        <f>IF(AJ$4="","",IF(HLOOKUP(AJ$4,'Physical Effects-Numbers'!$B$1:$AU$172,$B59,FALSE)&lt;0,HLOOKUP(AJ$4,'Physical Effects-Numbers'!$B$1:$AU$172,$B59,FALSE),""))</f>
        <v/>
      </c>
      <c r="AK59" s="488" t="str">
        <f>IF(AK$4="","",IF(HLOOKUP(AK$4,'Physical Effects-Numbers'!$B$1:$AU$172,$B59,FALSE)&lt;0,HLOOKUP(AK$4,'Physical Effects-Numbers'!$B$1:$AU$172,$B59,FALSE),""))</f>
        <v/>
      </c>
      <c r="AL59" s="488" t="str">
        <f>IF(AL$4="","",IF(HLOOKUP(AL$4,'Physical Effects-Numbers'!$B$1:$AU$172,$B59,FALSE)&lt;0,HLOOKUP(AL$4,'Physical Effects-Numbers'!$B$1:$AU$172,$B59,FALSE),""))</f>
        <v/>
      </c>
      <c r="AM59" s="488" t="str">
        <f>IF(AM$4="","",IF(HLOOKUP(AM$4,'Physical Effects-Numbers'!$B$1:$AU$172,$B59,FALSE)&lt;0,HLOOKUP(AM$4,'Physical Effects-Numbers'!$B$1:$AU$172,$B59,FALSE),""))</f>
        <v/>
      </c>
      <c r="AN59" s="488" t="str">
        <f>IF(AN$4="","",IF(HLOOKUP(AN$4,'Physical Effects-Numbers'!$B$1:$AU$172,$B59,FALSE)&lt;0,HLOOKUP(AN$4,'Physical Effects-Numbers'!$B$1:$AU$172,$B59,FALSE),""))</f>
        <v/>
      </c>
      <c r="AO59" s="488" t="str">
        <f>IF(AO$4="","",IF(HLOOKUP(AO$4,'Physical Effects-Numbers'!$B$1:$AU$172,$B59,FALSE)&lt;0,HLOOKUP(AO$4,'Physical Effects-Numbers'!$B$1:$AU$172,$B59,FALSE),""))</f>
        <v/>
      </c>
      <c r="AP59" s="488" t="str">
        <f>IF(AP$4="","",IF(HLOOKUP(AP$4,'Physical Effects-Numbers'!$B$1:$AU$172,$B59,FALSE)&lt;0,HLOOKUP(AP$4,'Physical Effects-Numbers'!$B$1:$AU$172,$B59,FALSE),""))</f>
        <v/>
      </c>
      <c r="AQ59" s="488" t="str">
        <f>IF(AQ$4="","",IF(HLOOKUP(AQ$4,'Physical Effects-Numbers'!$B$1:$AU$172,$B59,FALSE)&lt;0,HLOOKUP(AQ$4,'Physical Effects-Numbers'!$B$1:$AU$172,$B59,FALSE),""))</f>
        <v/>
      </c>
      <c r="AR59" s="488" t="str">
        <f>IF(AR$4="","",IF(HLOOKUP(AR$4,'Physical Effects-Numbers'!$B$1:$AU$172,$B59,FALSE)&lt;0,HLOOKUP(AR$4,'Physical Effects-Numbers'!$B$1:$AU$172,$B59,FALSE),""))</f>
        <v/>
      </c>
      <c r="AS59" s="488" t="str">
        <f>IF(AS$4="","",IF(HLOOKUP(AS$4,'Physical Effects-Numbers'!$B$1:$AU$172,$B59,FALSE)&lt;0,HLOOKUP(AS$4,'Physical Effects-Numbers'!$B$1:$AU$172,$B59,FALSE),""))</f>
        <v/>
      </c>
      <c r="AT59" s="488" t="str">
        <f>IF(AT$4="","",IF(HLOOKUP(AT$4,'Physical Effects-Numbers'!$B$1:$AU$172,$B59,FALSE)&lt;0,HLOOKUP(AT$4,'Physical Effects-Numbers'!$B$1:$AU$172,$B59,FALSE),""))</f>
        <v/>
      </c>
      <c r="AU59" s="488" t="str">
        <f>IF(AU$4="","",IF(HLOOKUP(AU$4,'Physical Effects-Numbers'!$B$1:$AU$172,$B59,FALSE)&lt;0,HLOOKUP(AU$4,'Physical Effects-Numbers'!$B$1:$AU$172,$B59,FALSE),""))</f>
        <v/>
      </c>
      <c r="AV59" s="488" t="str">
        <f>IF(AV$4="","",IF(HLOOKUP(AV$4,'Physical Effects-Numbers'!$B$1:$AU$167,$B59,FALSE)&lt;0,HLOOKUP(AV$4,'Physical Effects-Numbers'!$B$1:$AU$167,$B59,FALSE),""))</f>
        <v/>
      </c>
    </row>
    <row r="60" spans="2:48" x14ac:dyDescent="0.2">
      <c r="B60" s="487">
        <f t="shared" si="0"/>
        <v>57</v>
      </c>
      <c r="C60" s="486" t="str">
        <f>+'Physical Effects-Numbers'!B57</f>
        <v>Forest Trails and Landings</v>
      </c>
      <c r="D60" s="488">
        <f>IF(D$4="","",IF(HLOOKUP(D$4,'Physical Effects-Numbers'!$B$1:$AU$172,$B60,FALSE)&lt;0,HLOOKUP(D$4,'Physical Effects-Numbers'!$B$1:$AU$172,$B60,FALSE),""))</f>
        <v>-1</v>
      </c>
      <c r="E60" s="488" t="str">
        <f>IF(E$4="","",IF(HLOOKUP(E$4,'Physical Effects-Numbers'!$B$1:$AU$172,$B60,FALSE)&lt;0,HLOOKUP(E$4,'Physical Effects-Numbers'!$B$1:$AU$172,$B60,FALSE),""))</f>
        <v/>
      </c>
      <c r="F60" s="488">
        <f>IF(F$4="","",IF(HLOOKUP(F$4,'Physical Effects-Numbers'!$B$1:$AU$172,$B60,FALSE)&lt;0,HLOOKUP(F$4,'Physical Effects-Numbers'!$B$1:$AU$172,$B60,FALSE),""))</f>
        <v>-1</v>
      </c>
      <c r="G60" s="488">
        <f>IF(G$4="","",IF(HLOOKUP(G$4,'Physical Effects-Numbers'!$B$1:$AU$172,$B60,FALSE)&lt;0,HLOOKUP(G$4,'Physical Effects-Numbers'!$B$1:$AU$172,$B60,FALSE),""))</f>
        <v>-1</v>
      </c>
      <c r="H60" s="488" t="str">
        <f>IF(H$4="","",IF(HLOOKUP(H$4,'Physical Effects-Numbers'!$B$1:$AU$172,$B60,FALSE)&lt;0,HLOOKUP(H$4,'Physical Effects-Numbers'!$B$1:$AU$172,$B60,FALSE),""))</f>
        <v/>
      </c>
      <c r="I60" s="488">
        <f>IF(I$4="","",IF(HLOOKUP(I$4,'Physical Effects-Numbers'!$B$1:$AU$172,$B60,FALSE)&lt;0,HLOOKUP(I$4,'Physical Effects-Numbers'!$B$1:$AU$172,$B60,FALSE),""))</f>
        <v>-1</v>
      </c>
      <c r="J60" s="488" t="str">
        <f>IF(J$4="","",IF(HLOOKUP(J$4,'Physical Effects-Numbers'!$B$1:$AU$172,$B60,FALSE)&lt;0,HLOOKUP(J$4,'Physical Effects-Numbers'!$B$1:$AU$172,$B60,FALSE),""))</f>
        <v/>
      </c>
      <c r="K60" s="488" t="str">
        <f>IF(K$4="","",IF(HLOOKUP(K$4,'Physical Effects-Numbers'!$B$1:$AU$172,$B60,FALSE)&lt;0,HLOOKUP(K$4,'Physical Effects-Numbers'!$B$1:$AU$172,$B60,FALSE),""))</f>
        <v/>
      </c>
      <c r="L60" s="488" t="str">
        <f>IF(L$4="","",IF(HLOOKUP(L$4,'Physical Effects-Numbers'!$B$1:$AU$172,$B60,FALSE)&lt;0,HLOOKUP(L$4,'Physical Effects-Numbers'!$B$1:$AU$172,$B60,FALSE),""))</f>
        <v/>
      </c>
      <c r="M60" s="488" t="str">
        <f>IF(M$4="","",IF(HLOOKUP(M$4,'Physical Effects-Numbers'!$B$1:$AU$172,$B60,FALSE)&lt;0,HLOOKUP(M$4,'Physical Effects-Numbers'!$B$1:$AU$172,$B60,FALSE),""))</f>
        <v/>
      </c>
      <c r="N60" s="488" t="str">
        <f>IF(N$4="","",IF(HLOOKUP(N$4,'Physical Effects-Numbers'!$B$1:$AU$172,$B60,FALSE)&lt;0,HLOOKUP(N$4,'Physical Effects-Numbers'!$B$1:$AU$172,$B60,FALSE),""))</f>
        <v/>
      </c>
      <c r="O60" s="488" t="str">
        <f>IF(O$4="","",IF(HLOOKUP(O$4,'Physical Effects-Numbers'!$B$1:$AU$172,$B60,FALSE)&lt;0,HLOOKUP(O$4,'Physical Effects-Numbers'!$B$1:$AU$172,$B60,FALSE),""))</f>
        <v/>
      </c>
      <c r="P60" s="488" t="str">
        <f>IF(P$4="","",IF(HLOOKUP(P$4,'Physical Effects-Numbers'!$B$1:$AU$172,$B60,FALSE)&lt;0,HLOOKUP(P$4,'Physical Effects-Numbers'!$B$1:$AU$172,$B60,FALSE),""))</f>
        <v/>
      </c>
      <c r="Q60" s="488" t="str">
        <f>IF(Q$4="","",IF(HLOOKUP(Q$4,'Physical Effects-Numbers'!$B$1:$AU$172,$B60,FALSE)&lt;0,HLOOKUP(Q$4,'Physical Effects-Numbers'!$B$1:$AU$172,$B60,FALSE),""))</f>
        <v/>
      </c>
      <c r="R60" s="488" t="str">
        <f>IF(R$4="","",IF(HLOOKUP(R$4,'Physical Effects-Numbers'!$B$1:$AU$172,$B60,FALSE)&lt;0,HLOOKUP(R$4,'Physical Effects-Numbers'!$B$1:$AU$172,$B60,FALSE),""))</f>
        <v/>
      </c>
      <c r="S60" s="488" t="str">
        <f>IF(S$4="","",IF(HLOOKUP(S$4,'Physical Effects-Numbers'!$B$1:$AU$172,$B60,FALSE)&lt;0,HLOOKUP(S$4,'Physical Effects-Numbers'!$B$1:$AU$172,$B60,FALSE),""))</f>
        <v/>
      </c>
      <c r="T60" s="488" t="str">
        <f>IF(T$4="","",IF(HLOOKUP(T$4,'Physical Effects-Numbers'!$B$1:$AU$172,$B60,FALSE)&lt;0,HLOOKUP(T$4,'Physical Effects-Numbers'!$B$1:$AU$172,$B60,FALSE),""))</f>
        <v/>
      </c>
      <c r="U60" s="488" t="str">
        <f>IF(U$4="","",IF(HLOOKUP(U$4,'Physical Effects-Numbers'!$B$1:$AU$172,$B60,FALSE)&lt;0,HLOOKUP(U$4,'Physical Effects-Numbers'!$B$1:$AU$172,$B60,FALSE),""))</f>
        <v/>
      </c>
      <c r="V60" s="488" t="str">
        <f>IF(V$4="","",IF(HLOOKUP(V$4,'Physical Effects-Numbers'!$B$1:$AU$172,$B60,FALSE)&lt;0,HLOOKUP(V$4,'Physical Effects-Numbers'!$B$1:$AU$172,$B60,FALSE),""))</f>
        <v/>
      </c>
      <c r="W60" s="488" t="str">
        <f>IF(W$4="","",IF(HLOOKUP(W$4,'Physical Effects-Numbers'!$B$1:$AU$172,$B60,FALSE)&lt;0,HLOOKUP(W$4,'Physical Effects-Numbers'!$B$1:$AU$172,$B60,FALSE),""))</f>
        <v/>
      </c>
      <c r="X60" s="488" t="str">
        <f>IF(X$4="","",IF(HLOOKUP(X$4,'Physical Effects-Numbers'!$B$1:$AU$172,$B60,FALSE)&lt;0,HLOOKUP(X$4,'Physical Effects-Numbers'!$B$1:$AU$172,$B60,FALSE),""))</f>
        <v/>
      </c>
      <c r="Y60" s="488" t="str">
        <f>IF(Y$4="","",IF(HLOOKUP(Y$4,'Physical Effects-Numbers'!$B$1:$AU$172,$B60,FALSE)&lt;0,HLOOKUP(Y$4,'Physical Effects-Numbers'!$B$1:$AU$172,$B60,FALSE),""))</f>
        <v/>
      </c>
      <c r="Z60" s="488" t="str">
        <f>IF(Z$4="","",IF(HLOOKUP(Z$4,'Physical Effects-Numbers'!$B$1:$AU$172,$B60,FALSE)&lt;0,HLOOKUP(Z$4,'Physical Effects-Numbers'!$B$1:$AU$172,$B60,FALSE),""))</f>
        <v/>
      </c>
      <c r="AA60" s="488" t="str">
        <f>IF(AA$4="","",IF(HLOOKUP(AA$4,'Physical Effects-Numbers'!$B$1:$AU$172,$B60,FALSE)&lt;0,HLOOKUP(AA$4,'Physical Effects-Numbers'!$B$1:$AU$172,$B60,FALSE),""))</f>
        <v/>
      </c>
      <c r="AB60" s="488" t="str">
        <f>IF(AB$4="","",IF(HLOOKUP(AB$4,'Physical Effects-Numbers'!$B$1:$AU$172,$B60,FALSE)&lt;0,HLOOKUP(AB$4,'Physical Effects-Numbers'!$B$1:$AU$172,$B60,FALSE),""))</f>
        <v/>
      </c>
      <c r="AC60" s="488" t="str">
        <f>IF(AC$4="","",IF(HLOOKUP(AC$4,'Physical Effects-Numbers'!$B$1:$AU$172,$B60,FALSE)&lt;0,HLOOKUP(AC$4,'Physical Effects-Numbers'!$B$1:$AU$172,$B60,FALSE),""))</f>
        <v/>
      </c>
      <c r="AD60" s="488" t="str">
        <f>IF(AD$4="","",IF(HLOOKUP(AD$4,'Physical Effects-Numbers'!$B$1:$AU$172,$B60,FALSE)&lt;0,HLOOKUP(AD$4,'Physical Effects-Numbers'!$B$1:$AU$172,$B60,FALSE),""))</f>
        <v/>
      </c>
      <c r="AE60" s="488" t="str">
        <f>IF(AE$4="","",IF(HLOOKUP(AE$4,'Physical Effects-Numbers'!$B$1:$AU$172,$B60,FALSE)&lt;0,HLOOKUP(AE$4,'Physical Effects-Numbers'!$B$1:$AU$172,$B60,FALSE),""))</f>
        <v/>
      </c>
      <c r="AF60" s="488" t="str">
        <f>IF(AF$4="","",IF(HLOOKUP(AF$4,'Physical Effects-Numbers'!$B$1:$AU$172,$B60,FALSE)&lt;0,HLOOKUP(AF$4,'Physical Effects-Numbers'!$B$1:$AU$172,$B60,FALSE),""))</f>
        <v/>
      </c>
      <c r="AG60" s="488" t="str">
        <f>IF(AG$4="","",IF(HLOOKUP(AG$4,'Physical Effects-Numbers'!$B$1:$AU$172,$B60,FALSE)&lt;0,HLOOKUP(AG$4,'Physical Effects-Numbers'!$B$1:$AU$172,$B60,FALSE),""))</f>
        <v/>
      </c>
      <c r="AH60" s="488" t="str">
        <f>IF(AH$4="","",IF(HLOOKUP(AH$4,'Physical Effects-Numbers'!$B$1:$AU$172,$B60,FALSE)&lt;0,HLOOKUP(AH$4,'Physical Effects-Numbers'!$B$1:$AU$172,$B60,FALSE),""))</f>
        <v/>
      </c>
      <c r="AI60" s="488" t="str">
        <f>IF(AI$4="","",IF(HLOOKUP(AI$4,'Physical Effects-Numbers'!$B$1:$AU$172,$B60,FALSE)&lt;0,HLOOKUP(AI$4,'Physical Effects-Numbers'!$B$1:$AU$172,$B60,FALSE),""))</f>
        <v/>
      </c>
      <c r="AJ60" s="488" t="str">
        <f>IF(AJ$4="","",IF(HLOOKUP(AJ$4,'Physical Effects-Numbers'!$B$1:$AU$172,$B60,FALSE)&lt;0,HLOOKUP(AJ$4,'Physical Effects-Numbers'!$B$1:$AU$172,$B60,FALSE),""))</f>
        <v/>
      </c>
      <c r="AK60" s="488" t="str">
        <f>IF(AK$4="","",IF(HLOOKUP(AK$4,'Physical Effects-Numbers'!$B$1:$AU$172,$B60,FALSE)&lt;0,HLOOKUP(AK$4,'Physical Effects-Numbers'!$B$1:$AU$172,$B60,FALSE),""))</f>
        <v/>
      </c>
      <c r="AL60" s="488" t="str">
        <f>IF(AL$4="","",IF(HLOOKUP(AL$4,'Physical Effects-Numbers'!$B$1:$AU$172,$B60,FALSE)&lt;0,HLOOKUP(AL$4,'Physical Effects-Numbers'!$B$1:$AU$172,$B60,FALSE),""))</f>
        <v/>
      </c>
      <c r="AM60" s="488" t="str">
        <f>IF(AM$4="","",IF(HLOOKUP(AM$4,'Physical Effects-Numbers'!$B$1:$AU$172,$B60,FALSE)&lt;0,HLOOKUP(AM$4,'Physical Effects-Numbers'!$B$1:$AU$172,$B60,FALSE),""))</f>
        <v/>
      </c>
      <c r="AN60" s="488" t="str">
        <f>IF(AN$4="","",IF(HLOOKUP(AN$4,'Physical Effects-Numbers'!$B$1:$AU$172,$B60,FALSE)&lt;0,HLOOKUP(AN$4,'Physical Effects-Numbers'!$B$1:$AU$172,$B60,FALSE),""))</f>
        <v/>
      </c>
      <c r="AO60" s="488" t="str">
        <f>IF(AO$4="","",IF(HLOOKUP(AO$4,'Physical Effects-Numbers'!$B$1:$AU$172,$B60,FALSE)&lt;0,HLOOKUP(AO$4,'Physical Effects-Numbers'!$B$1:$AU$172,$B60,FALSE),""))</f>
        <v/>
      </c>
      <c r="AP60" s="488">
        <f>IF(AP$4="","",IF(HLOOKUP(AP$4,'Physical Effects-Numbers'!$B$1:$AU$172,$B60,FALSE)&lt;0,HLOOKUP(AP$4,'Physical Effects-Numbers'!$B$1:$AU$172,$B60,FALSE),""))</f>
        <v>-1</v>
      </c>
      <c r="AQ60" s="488" t="str">
        <f>IF(AQ$4="","",IF(HLOOKUP(AQ$4,'Physical Effects-Numbers'!$B$1:$AU$172,$B60,FALSE)&lt;0,HLOOKUP(AQ$4,'Physical Effects-Numbers'!$B$1:$AU$172,$B60,FALSE),""))</f>
        <v/>
      </c>
      <c r="AR60" s="488" t="str">
        <f>IF(AR$4="","",IF(HLOOKUP(AR$4,'Physical Effects-Numbers'!$B$1:$AU$172,$B60,FALSE)&lt;0,HLOOKUP(AR$4,'Physical Effects-Numbers'!$B$1:$AU$172,$B60,FALSE),""))</f>
        <v/>
      </c>
      <c r="AS60" s="488" t="str">
        <f>IF(AS$4="","",IF(HLOOKUP(AS$4,'Physical Effects-Numbers'!$B$1:$AU$172,$B60,FALSE)&lt;0,HLOOKUP(AS$4,'Physical Effects-Numbers'!$B$1:$AU$172,$B60,FALSE),""))</f>
        <v/>
      </c>
      <c r="AT60" s="488" t="str">
        <f>IF(AT$4="","",IF(HLOOKUP(AT$4,'Physical Effects-Numbers'!$B$1:$AU$172,$B60,FALSE)&lt;0,HLOOKUP(AT$4,'Physical Effects-Numbers'!$B$1:$AU$172,$B60,FALSE),""))</f>
        <v/>
      </c>
      <c r="AU60" s="488" t="str">
        <f>IF(AU$4="","",IF(HLOOKUP(AU$4,'Physical Effects-Numbers'!$B$1:$AU$172,$B60,FALSE)&lt;0,HLOOKUP(AU$4,'Physical Effects-Numbers'!$B$1:$AU$172,$B60,FALSE),""))</f>
        <v/>
      </c>
      <c r="AV60" s="488" t="str">
        <f>IF(AV$4="","",IF(HLOOKUP(AV$4,'Physical Effects-Numbers'!$B$1:$AU$167,$B60,FALSE)&lt;0,HLOOKUP(AV$4,'Physical Effects-Numbers'!$B$1:$AU$167,$B60,FALSE),""))</f>
        <v/>
      </c>
    </row>
    <row r="61" spans="2:48" x14ac:dyDescent="0.2">
      <c r="B61" s="487">
        <f t="shared" si="0"/>
        <v>58</v>
      </c>
      <c r="C61" s="486" t="str">
        <f>+'Physical Effects-Numbers'!B58</f>
        <v>Fuel Break</v>
      </c>
      <c r="D61" s="488">
        <f>IF(D$4="","",IF(HLOOKUP(D$4,'Physical Effects-Numbers'!$B$1:$AU$172,$B61,FALSE)&lt;0,HLOOKUP(D$4,'Physical Effects-Numbers'!$B$1:$AU$172,$B61,FALSE),""))</f>
        <v>-1</v>
      </c>
      <c r="E61" s="488">
        <f>IF(E$4="","",IF(HLOOKUP(E$4,'Physical Effects-Numbers'!$B$1:$AU$172,$B61,FALSE)&lt;0,HLOOKUP(E$4,'Physical Effects-Numbers'!$B$1:$AU$172,$B61,FALSE),""))</f>
        <v>-1</v>
      </c>
      <c r="F61" s="488">
        <f>IF(F$4="","",IF(HLOOKUP(F$4,'Physical Effects-Numbers'!$B$1:$AU$172,$B61,FALSE)&lt;0,HLOOKUP(F$4,'Physical Effects-Numbers'!$B$1:$AU$172,$B61,FALSE),""))</f>
        <v>-1</v>
      </c>
      <c r="G61" s="488">
        <f>IF(G$4="","",IF(HLOOKUP(G$4,'Physical Effects-Numbers'!$B$1:$AU$172,$B61,FALSE)&lt;0,HLOOKUP(G$4,'Physical Effects-Numbers'!$B$1:$AU$172,$B61,FALSE),""))</f>
        <v>-1</v>
      </c>
      <c r="H61" s="488" t="str">
        <f>IF(H$4="","",IF(HLOOKUP(H$4,'Physical Effects-Numbers'!$B$1:$AU$172,$B61,FALSE)&lt;0,HLOOKUP(H$4,'Physical Effects-Numbers'!$B$1:$AU$172,$B61,FALSE),""))</f>
        <v/>
      </c>
      <c r="I61" s="488">
        <f>IF(I$4="","",IF(HLOOKUP(I$4,'Physical Effects-Numbers'!$B$1:$AU$172,$B61,FALSE)&lt;0,HLOOKUP(I$4,'Physical Effects-Numbers'!$B$1:$AU$172,$B61,FALSE),""))</f>
        <v>-3</v>
      </c>
      <c r="J61" s="488">
        <f>IF(J$4="","",IF(HLOOKUP(J$4,'Physical Effects-Numbers'!$B$1:$AU$172,$B61,FALSE)&lt;0,HLOOKUP(J$4,'Physical Effects-Numbers'!$B$1:$AU$172,$B61,FALSE),""))</f>
        <v>-1</v>
      </c>
      <c r="K61" s="488" t="str">
        <f>IF(K$4="","",IF(HLOOKUP(K$4,'Physical Effects-Numbers'!$B$1:$AU$172,$B61,FALSE)&lt;0,HLOOKUP(K$4,'Physical Effects-Numbers'!$B$1:$AU$172,$B61,FALSE),""))</f>
        <v/>
      </c>
      <c r="L61" s="488" t="str">
        <f>IF(L$4="","",IF(HLOOKUP(L$4,'Physical Effects-Numbers'!$B$1:$AU$172,$B61,FALSE)&lt;0,HLOOKUP(L$4,'Physical Effects-Numbers'!$B$1:$AU$172,$B61,FALSE),""))</f>
        <v/>
      </c>
      <c r="M61" s="488" t="str">
        <f>IF(M$4="","",IF(HLOOKUP(M$4,'Physical Effects-Numbers'!$B$1:$AU$172,$B61,FALSE)&lt;0,HLOOKUP(M$4,'Physical Effects-Numbers'!$B$1:$AU$172,$B61,FALSE),""))</f>
        <v/>
      </c>
      <c r="N61" s="488" t="str">
        <f>IF(N$4="","",IF(HLOOKUP(N$4,'Physical Effects-Numbers'!$B$1:$AU$172,$B61,FALSE)&lt;0,HLOOKUP(N$4,'Physical Effects-Numbers'!$B$1:$AU$172,$B61,FALSE),""))</f>
        <v/>
      </c>
      <c r="O61" s="488">
        <f>IF(O$4="","",IF(HLOOKUP(O$4,'Physical Effects-Numbers'!$B$1:$AU$172,$B61,FALSE)&lt;0,HLOOKUP(O$4,'Physical Effects-Numbers'!$B$1:$AU$172,$B61,FALSE),""))</f>
        <v>-1</v>
      </c>
      <c r="P61" s="488" t="str">
        <f>IF(P$4="","",IF(HLOOKUP(P$4,'Physical Effects-Numbers'!$B$1:$AU$172,$B61,FALSE)&lt;0,HLOOKUP(P$4,'Physical Effects-Numbers'!$B$1:$AU$172,$B61,FALSE),""))</f>
        <v/>
      </c>
      <c r="Q61" s="488" t="str">
        <f>IF(Q$4="","",IF(HLOOKUP(Q$4,'Physical Effects-Numbers'!$B$1:$AU$172,$B61,FALSE)&lt;0,HLOOKUP(Q$4,'Physical Effects-Numbers'!$B$1:$AU$172,$B61,FALSE),""))</f>
        <v/>
      </c>
      <c r="R61" s="488" t="str">
        <f>IF(R$4="","",IF(HLOOKUP(R$4,'Physical Effects-Numbers'!$B$1:$AU$172,$B61,FALSE)&lt;0,HLOOKUP(R$4,'Physical Effects-Numbers'!$B$1:$AU$172,$B61,FALSE),""))</f>
        <v/>
      </c>
      <c r="S61" s="488">
        <f>IF(S$4="","",IF(HLOOKUP(S$4,'Physical Effects-Numbers'!$B$1:$AU$172,$B61,FALSE)&lt;0,HLOOKUP(S$4,'Physical Effects-Numbers'!$B$1:$AU$172,$B61,FALSE),""))</f>
        <v>-1</v>
      </c>
      <c r="T61" s="488">
        <f>IF(T$4="","",IF(HLOOKUP(T$4,'Physical Effects-Numbers'!$B$1:$AU$172,$B61,FALSE)&lt;0,HLOOKUP(T$4,'Physical Effects-Numbers'!$B$1:$AU$172,$B61,FALSE),""))</f>
        <v>-1</v>
      </c>
      <c r="U61" s="488" t="str">
        <f>IF(U$4="","",IF(HLOOKUP(U$4,'Physical Effects-Numbers'!$B$1:$AU$172,$B61,FALSE)&lt;0,HLOOKUP(U$4,'Physical Effects-Numbers'!$B$1:$AU$172,$B61,FALSE),""))</f>
        <v/>
      </c>
      <c r="V61" s="488" t="str">
        <f>IF(V$4="","",IF(HLOOKUP(V$4,'Physical Effects-Numbers'!$B$1:$AU$172,$B61,FALSE)&lt;0,HLOOKUP(V$4,'Physical Effects-Numbers'!$B$1:$AU$172,$B61,FALSE),""))</f>
        <v/>
      </c>
      <c r="W61" s="488" t="str">
        <f>IF(W$4="","",IF(HLOOKUP(W$4,'Physical Effects-Numbers'!$B$1:$AU$172,$B61,FALSE)&lt;0,HLOOKUP(W$4,'Physical Effects-Numbers'!$B$1:$AU$172,$B61,FALSE),""))</f>
        <v/>
      </c>
      <c r="X61" s="488" t="str">
        <f>IF(X$4="","",IF(HLOOKUP(X$4,'Physical Effects-Numbers'!$B$1:$AU$172,$B61,FALSE)&lt;0,HLOOKUP(X$4,'Physical Effects-Numbers'!$B$1:$AU$172,$B61,FALSE),""))</f>
        <v/>
      </c>
      <c r="Y61" s="488" t="str">
        <f>IF(Y$4="","",IF(HLOOKUP(Y$4,'Physical Effects-Numbers'!$B$1:$AU$172,$B61,FALSE)&lt;0,HLOOKUP(Y$4,'Physical Effects-Numbers'!$B$1:$AU$172,$B61,FALSE),""))</f>
        <v/>
      </c>
      <c r="Z61" s="488" t="str">
        <f>IF(Z$4="","",IF(HLOOKUP(Z$4,'Physical Effects-Numbers'!$B$1:$AU$172,$B61,FALSE)&lt;0,HLOOKUP(Z$4,'Physical Effects-Numbers'!$B$1:$AU$172,$B61,FALSE),""))</f>
        <v/>
      </c>
      <c r="AA61" s="488">
        <f>IF(AA$4="","",IF(HLOOKUP(AA$4,'Physical Effects-Numbers'!$B$1:$AU$172,$B61,FALSE)&lt;0,HLOOKUP(AA$4,'Physical Effects-Numbers'!$B$1:$AU$172,$B61,FALSE),""))</f>
        <v>-1</v>
      </c>
      <c r="AB61" s="488" t="str">
        <f>IF(AB$4="","",IF(HLOOKUP(AB$4,'Physical Effects-Numbers'!$B$1:$AU$172,$B61,FALSE)&lt;0,HLOOKUP(AB$4,'Physical Effects-Numbers'!$B$1:$AU$172,$B61,FALSE),""))</f>
        <v/>
      </c>
      <c r="AC61" s="488" t="str">
        <f>IF(AC$4="","",IF(HLOOKUP(AC$4,'Physical Effects-Numbers'!$B$1:$AU$172,$B61,FALSE)&lt;0,HLOOKUP(AC$4,'Physical Effects-Numbers'!$B$1:$AU$172,$B61,FALSE),""))</f>
        <v/>
      </c>
      <c r="AD61" s="488" t="str">
        <f>IF(AD$4="","",IF(HLOOKUP(AD$4,'Physical Effects-Numbers'!$B$1:$AU$172,$B61,FALSE)&lt;0,HLOOKUP(AD$4,'Physical Effects-Numbers'!$B$1:$AU$172,$B61,FALSE),""))</f>
        <v/>
      </c>
      <c r="AE61" s="488" t="str">
        <f>IF(AE$4="","",IF(HLOOKUP(AE$4,'Physical Effects-Numbers'!$B$1:$AU$172,$B61,FALSE)&lt;0,HLOOKUP(AE$4,'Physical Effects-Numbers'!$B$1:$AU$172,$B61,FALSE),""))</f>
        <v/>
      </c>
      <c r="AF61" s="488" t="str">
        <f>IF(AF$4="","",IF(HLOOKUP(AF$4,'Physical Effects-Numbers'!$B$1:$AU$172,$B61,FALSE)&lt;0,HLOOKUP(AF$4,'Physical Effects-Numbers'!$B$1:$AU$172,$B61,FALSE),""))</f>
        <v/>
      </c>
      <c r="AG61" s="488" t="str">
        <f>IF(AG$4="","",IF(HLOOKUP(AG$4,'Physical Effects-Numbers'!$B$1:$AU$172,$B61,FALSE)&lt;0,HLOOKUP(AG$4,'Physical Effects-Numbers'!$B$1:$AU$172,$B61,FALSE),""))</f>
        <v/>
      </c>
      <c r="AH61" s="488" t="str">
        <f>IF(AH$4="","",IF(HLOOKUP(AH$4,'Physical Effects-Numbers'!$B$1:$AU$172,$B61,FALSE)&lt;0,HLOOKUP(AH$4,'Physical Effects-Numbers'!$B$1:$AU$172,$B61,FALSE),""))</f>
        <v/>
      </c>
      <c r="AI61" s="488" t="str">
        <f>IF(AI$4="","",IF(HLOOKUP(AI$4,'Physical Effects-Numbers'!$B$1:$AU$172,$B61,FALSE)&lt;0,HLOOKUP(AI$4,'Physical Effects-Numbers'!$B$1:$AU$172,$B61,FALSE),""))</f>
        <v/>
      </c>
      <c r="AJ61" s="488" t="str">
        <f>IF(AJ$4="","",IF(HLOOKUP(AJ$4,'Physical Effects-Numbers'!$B$1:$AU$172,$B61,FALSE)&lt;0,HLOOKUP(AJ$4,'Physical Effects-Numbers'!$B$1:$AU$172,$B61,FALSE),""))</f>
        <v/>
      </c>
      <c r="AK61" s="488">
        <f>IF(AK$4="","",IF(HLOOKUP(AK$4,'Physical Effects-Numbers'!$B$1:$AU$172,$B61,FALSE)&lt;0,HLOOKUP(AK$4,'Physical Effects-Numbers'!$B$1:$AU$172,$B61,FALSE),""))</f>
        <v>-1</v>
      </c>
      <c r="AL61" s="488" t="str">
        <f>IF(AL$4="","",IF(HLOOKUP(AL$4,'Physical Effects-Numbers'!$B$1:$AU$172,$B61,FALSE)&lt;0,HLOOKUP(AL$4,'Physical Effects-Numbers'!$B$1:$AU$172,$B61,FALSE),""))</f>
        <v/>
      </c>
      <c r="AM61" s="488" t="str">
        <f>IF(AM$4="","",IF(HLOOKUP(AM$4,'Physical Effects-Numbers'!$B$1:$AU$172,$B61,FALSE)&lt;0,HLOOKUP(AM$4,'Physical Effects-Numbers'!$B$1:$AU$172,$B61,FALSE),""))</f>
        <v/>
      </c>
      <c r="AN61" s="488">
        <f>IF(AN$4="","",IF(HLOOKUP(AN$4,'Physical Effects-Numbers'!$B$1:$AU$172,$B61,FALSE)&lt;0,HLOOKUP(AN$4,'Physical Effects-Numbers'!$B$1:$AU$172,$B61,FALSE),""))</f>
        <v>-1</v>
      </c>
      <c r="AO61" s="488" t="str">
        <f>IF(AO$4="","",IF(HLOOKUP(AO$4,'Physical Effects-Numbers'!$B$1:$AU$172,$B61,FALSE)&lt;0,HLOOKUP(AO$4,'Physical Effects-Numbers'!$B$1:$AU$172,$B61,FALSE),""))</f>
        <v/>
      </c>
      <c r="AP61" s="488" t="str">
        <f>IF(AP$4="","",IF(HLOOKUP(AP$4,'Physical Effects-Numbers'!$B$1:$AU$172,$B61,FALSE)&lt;0,HLOOKUP(AP$4,'Physical Effects-Numbers'!$B$1:$AU$172,$B61,FALSE),""))</f>
        <v/>
      </c>
      <c r="AQ61" s="488" t="str">
        <f>IF(AQ$4="","",IF(HLOOKUP(AQ$4,'Physical Effects-Numbers'!$B$1:$AU$172,$B61,FALSE)&lt;0,HLOOKUP(AQ$4,'Physical Effects-Numbers'!$B$1:$AU$172,$B61,FALSE),""))</f>
        <v/>
      </c>
      <c r="AR61" s="488">
        <f>IF(AR$4="","",IF(HLOOKUP(AR$4,'Physical Effects-Numbers'!$B$1:$AU$172,$B61,FALSE)&lt;0,HLOOKUP(AR$4,'Physical Effects-Numbers'!$B$1:$AU$172,$B61,FALSE),""))</f>
        <v>-1</v>
      </c>
      <c r="AS61" s="488" t="str">
        <f>IF(AS$4="","",IF(HLOOKUP(AS$4,'Physical Effects-Numbers'!$B$1:$AU$172,$B61,FALSE)&lt;0,HLOOKUP(AS$4,'Physical Effects-Numbers'!$B$1:$AU$172,$B61,FALSE),""))</f>
        <v/>
      </c>
      <c r="AT61" s="488" t="str">
        <f>IF(AT$4="","",IF(HLOOKUP(AT$4,'Physical Effects-Numbers'!$B$1:$AU$172,$B61,FALSE)&lt;0,HLOOKUP(AT$4,'Physical Effects-Numbers'!$B$1:$AU$172,$B61,FALSE),""))</f>
        <v/>
      </c>
      <c r="AU61" s="488" t="str">
        <f>IF(AU$4="","",IF(HLOOKUP(AU$4,'Physical Effects-Numbers'!$B$1:$AU$172,$B61,FALSE)&lt;0,HLOOKUP(AU$4,'Physical Effects-Numbers'!$B$1:$AU$172,$B61,FALSE),""))</f>
        <v/>
      </c>
      <c r="AV61" s="488" t="str">
        <f>IF(AV$4="","",IF(HLOOKUP(AV$4,'Physical Effects-Numbers'!$B$1:$AU$167,$B61,FALSE)&lt;0,HLOOKUP(AV$4,'Physical Effects-Numbers'!$B$1:$AU$167,$B61,FALSE),""))</f>
        <v/>
      </c>
    </row>
    <row r="62" spans="2:48" x14ac:dyDescent="0.2">
      <c r="B62" s="487">
        <f t="shared" si="0"/>
        <v>59</v>
      </c>
      <c r="C62" s="486" t="str">
        <f>+'Physical Effects-Numbers'!B59</f>
        <v>Grade Stabilization Structure</v>
      </c>
      <c r="D62" s="488" t="str">
        <f>IF(D$4="","",IF(HLOOKUP(D$4,'Physical Effects-Numbers'!$B$1:$AU$172,$B62,FALSE)&lt;0,HLOOKUP(D$4,'Physical Effects-Numbers'!$B$1:$AU$172,$B62,FALSE),""))</f>
        <v/>
      </c>
      <c r="E62" s="488" t="str">
        <f>IF(E$4="","",IF(HLOOKUP(E$4,'Physical Effects-Numbers'!$B$1:$AU$172,$B62,FALSE)&lt;0,HLOOKUP(E$4,'Physical Effects-Numbers'!$B$1:$AU$172,$B62,FALSE),""))</f>
        <v/>
      </c>
      <c r="F62" s="488" t="str">
        <f>IF(F$4="","",IF(HLOOKUP(F$4,'Physical Effects-Numbers'!$B$1:$AU$172,$B62,FALSE)&lt;0,HLOOKUP(F$4,'Physical Effects-Numbers'!$B$1:$AU$172,$B62,FALSE),""))</f>
        <v/>
      </c>
      <c r="G62" s="488" t="str">
        <f>IF(G$4="","",IF(HLOOKUP(G$4,'Physical Effects-Numbers'!$B$1:$AU$172,$B62,FALSE)&lt;0,HLOOKUP(G$4,'Physical Effects-Numbers'!$B$1:$AU$172,$B62,FALSE),""))</f>
        <v/>
      </c>
      <c r="H62" s="488" t="str">
        <f>IF(H$4="","",IF(HLOOKUP(H$4,'Physical Effects-Numbers'!$B$1:$AU$172,$B62,FALSE)&lt;0,HLOOKUP(H$4,'Physical Effects-Numbers'!$B$1:$AU$172,$B62,FALSE),""))</f>
        <v/>
      </c>
      <c r="I62" s="488" t="str">
        <f>IF(I$4="","",IF(HLOOKUP(I$4,'Physical Effects-Numbers'!$B$1:$AU$172,$B62,FALSE)&lt;0,HLOOKUP(I$4,'Physical Effects-Numbers'!$B$1:$AU$172,$B62,FALSE),""))</f>
        <v/>
      </c>
      <c r="J62" s="488" t="str">
        <f>IF(J$4="","",IF(HLOOKUP(J$4,'Physical Effects-Numbers'!$B$1:$AU$172,$B62,FALSE)&lt;0,HLOOKUP(J$4,'Physical Effects-Numbers'!$B$1:$AU$172,$B62,FALSE),""))</f>
        <v/>
      </c>
      <c r="K62" s="488" t="str">
        <f>IF(K$4="","",IF(HLOOKUP(K$4,'Physical Effects-Numbers'!$B$1:$AU$172,$B62,FALSE)&lt;0,HLOOKUP(K$4,'Physical Effects-Numbers'!$B$1:$AU$172,$B62,FALSE),""))</f>
        <v/>
      </c>
      <c r="L62" s="488" t="str">
        <f>IF(L$4="","",IF(HLOOKUP(L$4,'Physical Effects-Numbers'!$B$1:$AU$172,$B62,FALSE)&lt;0,HLOOKUP(L$4,'Physical Effects-Numbers'!$B$1:$AU$172,$B62,FALSE),""))</f>
        <v/>
      </c>
      <c r="M62" s="488" t="str">
        <f>IF(M$4="","",IF(HLOOKUP(M$4,'Physical Effects-Numbers'!$B$1:$AU$172,$B62,FALSE)&lt;0,HLOOKUP(M$4,'Physical Effects-Numbers'!$B$1:$AU$172,$B62,FALSE),""))</f>
        <v/>
      </c>
      <c r="N62" s="488" t="str">
        <f>IF(N$4="","",IF(HLOOKUP(N$4,'Physical Effects-Numbers'!$B$1:$AU$172,$B62,FALSE)&lt;0,HLOOKUP(N$4,'Physical Effects-Numbers'!$B$1:$AU$172,$B62,FALSE),""))</f>
        <v/>
      </c>
      <c r="O62" s="488" t="str">
        <f>IF(O$4="","",IF(HLOOKUP(O$4,'Physical Effects-Numbers'!$B$1:$AU$172,$B62,FALSE)&lt;0,HLOOKUP(O$4,'Physical Effects-Numbers'!$B$1:$AU$172,$B62,FALSE),""))</f>
        <v/>
      </c>
      <c r="P62" s="488" t="str">
        <f>IF(P$4="","",IF(HLOOKUP(P$4,'Physical Effects-Numbers'!$B$1:$AU$172,$B62,FALSE)&lt;0,HLOOKUP(P$4,'Physical Effects-Numbers'!$B$1:$AU$172,$B62,FALSE),""))</f>
        <v/>
      </c>
      <c r="Q62" s="488" t="str">
        <f>IF(Q$4="","",IF(HLOOKUP(Q$4,'Physical Effects-Numbers'!$B$1:$AU$172,$B62,FALSE)&lt;0,HLOOKUP(Q$4,'Physical Effects-Numbers'!$B$1:$AU$172,$B62,FALSE),""))</f>
        <v/>
      </c>
      <c r="R62" s="488" t="str">
        <f>IF(R$4="","",IF(HLOOKUP(R$4,'Physical Effects-Numbers'!$B$1:$AU$172,$B62,FALSE)&lt;0,HLOOKUP(R$4,'Physical Effects-Numbers'!$B$1:$AU$172,$B62,FALSE),""))</f>
        <v/>
      </c>
      <c r="S62" s="488" t="str">
        <f>IF(S$4="","",IF(HLOOKUP(S$4,'Physical Effects-Numbers'!$B$1:$AU$172,$B62,FALSE)&lt;0,HLOOKUP(S$4,'Physical Effects-Numbers'!$B$1:$AU$172,$B62,FALSE),""))</f>
        <v/>
      </c>
      <c r="T62" s="488" t="str">
        <f>IF(T$4="","",IF(HLOOKUP(T$4,'Physical Effects-Numbers'!$B$1:$AU$172,$B62,FALSE)&lt;0,HLOOKUP(T$4,'Physical Effects-Numbers'!$B$1:$AU$172,$B62,FALSE),""))</f>
        <v/>
      </c>
      <c r="U62" s="488" t="str">
        <f>IF(U$4="","",IF(HLOOKUP(U$4,'Physical Effects-Numbers'!$B$1:$AU$172,$B62,FALSE)&lt;0,HLOOKUP(U$4,'Physical Effects-Numbers'!$B$1:$AU$172,$B62,FALSE),""))</f>
        <v/>
      </c>
      <c r="V62" s="488" t="str">
        <f>IF(V$4="","",IF(HLOOKUP(V$4,'Physical Effects-Numbers'!$B$1:$AU$172,$B62,FALSE)&lt;0,HLOOKUP(V$4,'Physical Effects-Numbers'!$B$1:$AU$172,$B62,FALSE),""))</f>
        <v/>
      </c>
      <c r="W62" s="488" t="str">
        <f>IF(W$4="","",IF(HLOOKUP(W$4,'Physical Effects-Numbers'!$B$1:$AU$172,$B62,FALSE)&lt;0,HLOOKUP(W$4,'Physical Effects-Numbers'!$B$1:$AU$172,$B62,FALSE),""))</f>
        <v/>
      </c>
      <c r="X62" s="488" t="str">
        <f>IF(X$4="","",IF(HLOOKUP(X$4,'Physical Effects-Numbers'!$B$1:$AU$172,$B62,FALSE)&lt;0,HLOOKUP(X$4,'Physical Effects-Numbers'!$B$1:$AU$172,$B62,FALSE),""))</f>
        <v/>
      </c>
      <c r="Y62" s="488" t="str">
        <f>IF(Y$4="","",IF(HLOOKUP(Y$4,'Physical Effects-Numbers'!$B$1:$AU$172,$B62,FALSE)&lt;0,HLOOKUP(Y$4,'Physical Effects-Numbers'!$B$1:$AU$172,$B62,FALSE),""))</f>
        <v/>
      </c>
      <c r="Z62" s="488" t="str">
        <f>IF(Z$4="","",IF(HLOOKUP(Z$4,'Physical Effects-Numbers'!$B$1:$AU$172,$B62,FALSE)&lt;0,HLOOKUP(Z$4,'Physical Effects-Numbers'!$B$1:$AU$172,$B62,FALSE),""))</f>
        <v/>
      </c>
      <c r="AA62" s="488" t="str">
        <f>IF(AA$4="","",IF(HLOOKUP(AA$4,'Physical Effects-Numbers'!$B$1:$AU$172,$B62,FALSE)&lt;0,HLOOKUP(AA$4,'Physical Effects-Numbers'!$B$1:$AU$172,$B62,FALSE),""))</f>
        <v/>
      </c>
      <c r="AB62" s="488" t="str">
        <f>IF(AB$4="","",IF(HLOOKUP(AB$4,'Physical Effects-Numbers'!$B$1:$AU$172,$B62,FALSE)&lt;0,HLOOKUP(AB$4,'Physical Effects-Numbers'!$B$1:$AU$172,$B62,FALSE),""))</f>
        <v/>
      </c>
      <c r="AC62" s="488" t="str">
        <f>IF(AC$4="","",IF(HLOOKUP(AC$4,'Physical Effects-Numbers'!$B$1:$AU$172,$B62,FALSE)&lt;0,HLOOKUP(AC$4,'Physical Effects-Numbers'!$B$1:$AU$172,$B62,FALSE),""))</f>
        <v/>
      </c>
      <c r="AD62" s="488" t="str">
        <f>IF(AD$4="","",IF(HLOOKUP(AD$4,'Physical Effects-Numbers'!$B$1:$AU$172,$B62,FALSE)&lt;0,HLOOKUP(AD$4,'Physical Effects-Numbers'!$B$1:$AU$172,$B62,FALSE),""))</f>
        <v/>
      </c>
      <c r="AE62" s="488" t="str">
        <f>IF(AE$4="","",IF(HLOOKUP(AE$4,'Physical Effects-Numbers'!$B$1:$AU$172,$B62,FALSE)&lt;0,HLOOKUP(AE$4,'Physical Effects-Numbers'!$B$1:$AU$172,$B62,FALSE),""))</f>
        <v/>
      </c>
      <c r="AF62" s="488" t="str">
        <f>IF(AF$4="","",IF(HLOOKUP(AF$4,'Physical Effects-Numbers'!$B$1:$AU$172,$B62,FALSE)&lt;0,HLOOKUP(AF$4,'Physical Effects-Numbers'!$B$1:$AU$172,$B62,FALSE),""))</f>
        <v/>
      </c>
      <c r="AG62" s="488" t="str">
        <f>IF(AG$4="","",IF(HLOOKUP(AG$4,'Physical Effects-Numbers'!$B$1:$AU$172,$B62,FALSE)&lt;0,HLOOKUP(AG$4,'Physical Effects-Numbers'!$B$1:$AU$172,$B62,FALSE),""))</f>
        <v/>
      </c>
      <c r="AH62" s="488" t="str">
        <f>IF(AH$4="","",IF(HLOOKUP(AH$4,'Physical Effects-Numbers'!$B$1:$AU$172,$B62,FALSE)&lt;0,HLOOKUP(AH$4,'Physical Effects-Numbers'!$B$1:$AU$172,$B62,FALSE),""))</f>
        <v/>
      </c>
      <c r="AI62" s="488" t="str">
        <f>IF(AI$4="","",IF(HLOOKUP(AI$4,'Physical Effects-Numbers'!$B$1:$AU$172,$B62,FALSE)&lt;0,HLOOKUP(AI$4,'Physical Effects-Numbers'!$B$1:$AU$172,$B62,FALSE),""))</f>
        <v/>
      </c>
      <c r="AJ62" s="488" t="str">
        <f>IF(AJ$4="","",IF(HLOOKUP(AJ$4,'Physical Effects-Numbers'!$B$1:$AU$172,$B62,FALSE)&lt;0,HLOOKUP(AJ$4,'Physical Effects-Numbers'!$B$1:$AU$172,$B62,FALSE),""))</f>
        <v/>
      </c>
      <c r="AK62" s="488" t="str">
        <f>IF(AK$4="","",IF(HLOOKUP(AK$4,'Physical Effects-Numbers'!$B$1:$AU$172,$B62,FALSE)&lt;0,HLOOKUP(AK$4,'Physical Effects-Numbers'!$B$1:$AU$172,$B62,FALSE),""))</f>
        <v/>
      </c>
      <c r="AL62" s="488" t="str">
        <f>IF(AL$4="","",IF(HLOOKUP(AL$4,'Physical Effects-Numbers'!$B$1:$AU$172,$B62,FALSE)&lt;0,HLOOKUP(AL$4,'Physical Effects-Numbers'!$B$1:$AU$172,$B62,FALSE),""))</f>
        <v/>
      </c>
      <c r="AM62" s="488" t="str">
        <f>IF(AM$4="","",IF(HLOOKUP(AM$4,'Physical Effects-Numbers'!$B$1:$AU$172,$B62,FALSE)&lt;0,HLOOKUP(AM$4,'Physical Effects-Numbers'!$B$1:$AU$172,$B62,FALSE),""))</f>
        <v/>
      </c>
      <c r="AN62" s="488" t="str">
        <f>IF(AN$4="","",IF(HLOOKUP(AN$4,'Physical Effects-Numbers'!$B$1:$AU$172,$B62,FALSE)&lt;0,HLOOKUP(AN$4,'Physical Effects-Numbers'!$B$1:$AU$172,$B62,FALSE),""))</f>
        <v/>
      </c>
      <c r="AO62" s="488" t="str">
        <f>IF(AO$4="","",IF(HLOOKUP(AO$4,'Physical Effects-Numbers'!$B$1:$AU$172,$B62,FALSE)&lt;0,HLOOKUP(AO$4,'Physical Effects-Numbers'!$B$1:$AU$172,$B62,FALSE),""))</f>
        <v/>
      </c>
      <c r="AP62" s="488" t="str">
        <f>IF(AP$4="","",IF(HLOOKUP(AP$4,'Physical Effects-Numbers'!$B$1:$AU$172,$B62,FALSE)&lt;0,HLOOKUP(AP$4,'Physical Effects-Numbers'!$B$1:$AU$172,$B62,FALSE),""))</f>
        <v/>
      </c>
      <c r="AQ62" s="488" t="str">
        <f>IF(AQ$4="","",IF(HLOOKUP(AQ$4,'Physical Effects-Numbers'!$B$1:$AU$172,$B62,FALSE)&lt;0,HLOOKUP(AQ$4,'Physical Effects-Numbers'!$B$1:$AU$172,$B62,FALSE),""))</f>
        <v/>
      </c>
      <c r="AR62" s="488" t="str">
        <f>IF(AR$4="","",IF(HLOOKUP(AR$4,'Physical Effects-Numbers'!$B$1:$AU$172,$B62,FALSE)&lt;0,HLOOKUP(AR$4,'Physical Effects-Numbers'!$B$1:$AU$172,$B62,FALSE),""))</f>
        <v/>
      </c>
      <c r="AS62" s="488" t="str">
        <f>IF(AS$4="","",IF(HLOOKUP(AS$4,'Physical Effects-Numbers'!$B$1:$AU$172,$B62,FALSE)&lt;0,HLOOKUP(AS$4,'Physical Effects-Numbers'!$B$1:$AU$172,$B62,FALSE),""))</f>
        <v/>
      </c>
      <c r="AT62" s="488" t="str">
        <f>IF(AT$4="","",IF(HLOOKUP(AT$4,'Physical Effects-Numbers'!$B$1:$AU$172,$B62,FALSE)&lt;0,HLOOKUP(AT$4,'Physical Effects-Numbers'!$B$1:$AU$172,$B62,FALSE),""))</f>
        <v/>
      </c>
      <c r="AU62" s="488" t="str">
        <f>IF(AU$4="","",IF(HLOOKUP(AU$4,'Physical Effects-Numbers'!$B$1:$AU$172,$B62,FALSE)&lt;0,HLOOKUP(AU$4,'Physical Effects-Numbers'!$B$1:$AU$172,$B62,FALSE),""))</f>
        <v/>
      </c>
      <c r="AV62" s="488" t="str">
        <f>IF(AV$4="","",IF(HLOOKUP(AV$4,'Physical Effects-Numbers'!$B$1:$AU$167,$B62,FALSE)&lt;0,HLOOKUP(AV$4,'Physical Effects-Numbers'!$B$1:$AU$167,$B62,FALSE),""))</f>
        <v/>
      </c>
    </row>
    <row r="63" spans="2:48" x14ac:dyDescent="0.2">
      <c r="B63" s="487">
        <f t="shared" si="0"/>
        <v>60</v>
      </c>
      <c r="C63" s="486" t="str">
        <f>+'Physical Effects-Numbers'!B60</f>
        <v>Grassed Waterway</v>
      </c>
      <c r="D63" s="488" t="str">
        <f>IF(D$4="","",IF(HLOOKUP(D$4,'Physical Effects-Numbers'!$B$1:$AU$172,$B63,FALSE)&lt;0,HLOOKUP(D$4,'Physical Effects-Numbers'!$B$1:$AU$172,$B63,FALSE),""))</f>
        <v/>
      </c>
      <c r="E63" s="488" t="str">
        <f>IF(E$4="","",IF(HLOOKUP(E$4,'Physical Effects-Numbers'!$B$1:$AU$172,$B63,FALSE)&lt;0,HLOOKUP(E$4,'Physical Effects-Numbers'!$B$1:$AU$172,$B63,FALSE),""))</f>
        <v/>
      </c>
      <c r="F63" s="488" t="str">
        <f>IF(F$4="","",IF(HLOOKUP(F$4,'Physical Effects-Numbers'!$B$1:$AU$172,$B63,FALSE)&lt;0,HLOOKUP(F$4,'Physical Effects-Numbers'!$B$1:$AU$172,$B63,FALSE),""))</f>
        <v/>
      </c>
      <c r="G63" s="488" t="str">
        <f>IF(G$4="","",IF(HLOOKUP(G$4,'Physical Effects-Numbers'!$B$1:$AU$172,$B63,FALSE)&lt;0,HLOOKUP(G$4,'Physical Effects-Numbers'!$B$1:$AU$172,$B63,FALSE),""))</f>
        <v/>
      </c>
      <c r="H63" s="488" t="str">
        <f>IF(H$4="","",IF(HLOOKUP(H$4,'Physical Effects-Numbers'!$B$1:$AU$172,$B63,FALSE)&lt;0,HLOOKUP(H$4,'Physical Effects-Numbers'!$B$1:$AU$172,$B63,FALSE),""))</f>
        <v/>
      </c>
      <c r="I63" s="488" t="str">
        <f>IF(I$4="","",IF(HLOOKUP(I$4,'Physical Effects-Numbers'!$B$1:$AU$172,$B63,FALSE)&lt;0,HLOOKUP(I$4,'Physical Effects-Numbers'!$B$1:$AU$172,$B63,FALSE),""))</f>
        <v/>
      </c>
      <c r="J63" s="488" t="str">
        <f>IF(J$4="","",IF(HLOOKUP(J$4,'Physical Effects-Numbers'!$B$1:$AU$172,$B63,FALSE)&lt;0,HLOOKUP(J$4,'Physical Effects-Numbers'!$B$1:$AU$172,$B63,FALSE),""))</f>
        <v/>
      </c>
      <c r="K63" s="488" t="str">
        <f>IF(K$4="","",IF(HLOOKUP(K$4,'Physical Effects-Numbers'!$B$1:$AU$172,$B63,FALSE)&lt;0,HLOOKUP(K$4,'Physical Effects-Numbers'!$B$1:$AU$172,$B63,FALSE),""))</f>
        <v/>
      </c>
      <c r="L63" s="488">
        <f>IF(L$4="","",IF(HLOOKUP(L$4,'Physical Effects-Numbers'!$B$1:$AU$172,$B63,FALSE)&lt;0,HLOOKUP(L$4,'Physical Effects-Numbers'!$B$1:$AU$172,$B63,FALSE),""))</f>
        <v>-1</v>
      </c>
      <c r="M63" s="488" t="str">
        <f>IF(M$4="","",IF(HLOOKUP(M$4,'Physical Effects-Numbers'!$B$1:$AU$172,$B63,FALSE)&lt;0,HLOOKUP(M$4,'Physical Effects-Numbers'!$B$1:$AU$172,$B63,FALSE),""))</f>
        <v/>
      </c>
      <c r="N63" s="488" t="str">
        <f>IF(N$4="","",IF(HLOOKUP(N$4,'Physical Effects-Numbers'!$B$1:$AU$172,$B63,FALSE)&lt;0,HLOOKUP(N$4,'Physical Effects-Numbers'!$B$1:$AU$172,$B63,FALSE),""))</f>
        <v/>
      </c>
      <c r="O63" s="488" t="str">
        <f>IF(O$4="","",IF(HLOOKUP(O$4,'Physical Effects-Numbers'!$B$1:$AU$172,$B63,FALSE)&lt;0,HLOOKUP(O$4,'Physical Effects-Numbers'!$B$1:$AU$172,$B63,FALSE),""))</f>
        <v/>
      </c>
      <c r="P63" s="488" t="str">
        <f>IF(P$4="","",IF(HLOOKUP(P$4,'Physical Effects-Numbers'!$B$1:$AU$172,$B63,FALSE)&lt;0,HLOOKUP(P$4,'Physical Effects-Numbers'!$B$1:$AU$172,$B63,FALSE),""))</f>
        <v/>
      </c>
      <c r="Q63" s="488" t="str">
        <f>IF(Q$4="","",IF(HLOOKUP(Q$4,'Physical Effects-Numbers'!$B$1:$AU$172,$B63,FALSE)&lt;0,HLOOKUP(Q$4,'Physical Effects-Numbers'!$B$1:$AU$172,$B63,FALSE),""))</f>
        <v/>
      </c>
      <c r="R63" s="488" t="str">
        <f>IF(R$4="","",IF(HLOOKUP(R$4,'Physical Effects-Numbers'!$B$1:$AU$172,$B63,FALSE)&lt;0,HLOOKUP(R$4,'Physical Effects-Numbers'!$B$1:$AU$172,$B63,FALSE),""))</f>
        <v/>
      </c>
      <c r="S63" s="488" t="str">
        <f>IF(S$4="","",IF(HLOOKUP(S$4,'Physical Effects-Numbers'!$B$1:$AU$172,$B63,FALSE)&lt;0,HLOOKUP(S$4,'Physical Effects-Numbers'!$B$1:$AU$172,$B63,FALSE),""))</f>
        <v/>
      </c>
      <c r="T63" s="488" t="str">
        <f>IF(T$4="","",IF(HLOOKUP(T$4,'Physical Effects-Numbers'!$B$1:$AU$172,$B63,FALSE)&lt;0,HLOOKUP(T$4,'Physical Effects-Numbers'!$B$1:$AU$172,$B63,FALSE),""))</f>
        <v/>
      </c>
      <c r="U63" s="488" t="str">
        <f>IF(U$4="","",IF(HLOOKUP(U$4,'Physical Effects-Numbers'!$B$1:$AU$172,$B63,FALSE)&lt;0,HLOOKUP(U$4,'Physical Effects-Numbers'!$B$1:$AU$172,$B63,FALSE),""))</f>
        <v/>
      </c>
      <c r="V63" s="488" t="str">
        <f>IF(V$4="","",IF(HLOOKUP(V$4,'Physical Effects-Numbers'!$B$1:$AU$172,$B63,FALSE)&lt;0,HLOOKUP(V$4,'Physical Effects-Numbers'!$B$1:$AU$172,$B63,FALSE),""))</f>
        <v/>
      </c>
      <c r="W63" s="488" t="str">
        <f>IF(W$4="","",IF(HLOOKUP(W$4,'Physical Effects-Numbers'!$B$1:$AU$172,$B63,FALSE)&lt;0,HLOOKUP(W$4,'Physical Effects-Numbers'!$B$1:$AU$172,$B63,FALSE),""))</f>
        <v/>
      </c>
      <c r="X63" s="488" t="str">
        <f>IF(X$4="","",IF(HLOOKUP(X$4,'Physical Effects-Numbers'!$B$1:$AU$172,$B63,FALSE)&lt;0,HLOOKUP(X$4,'Physical Effects-Numbers'!$B$1:$AU$172,$B63,FALSE),""))</f>
        <v/>
      </c>
      <c r="Y63" s="488" t="str">
        <f>IF(Y$4="","",IF(HLOOKUP(Y$4,'Physical Effects-Numbers'!$B$1:$AU$172,$B63,FALSE)&lt;0,HLOOKUP(Y$4,'Physical Effects-Numbers'!$B$1:$AU$172,$B63,FALSE),""))</f>
        <v/>
      </c>
      <c r="Z63" s="488" t="str">
        <f>IF(Z$4="","",IF(HLOOKUP(Z$4,'Physical Effects-Numbers'!$B$1:$AU$172,$B63,FALSE)&lt;0,HLOOKUP(Z$4,'Physical Effects-Numbers'!$B$1:$AU$172,$B63,FALSE),""))</f>
        <v/>
      </c>
      <c r="AA63" s="488" t="str">
        <f>IF(AA$4="","",IF(HLOOKUP(AA$4,'Physical Effects-Numbers'!$B$1:$AU$172,$B63,FALSE)&lt;0,HLOOKUP(AA$4,'Physical Effects-Numbers'!$B$1:$AU$172,$B63,FALSE),""))</f>
        <v/>
      </c>
      <c r="AB63" s="488" t="str">
        <f>IF(AB$4="","",IF(HLOOKUP(AB$4,'Physical Effects-Numbers'!$B$1:$AU$172,$B63,FALSE)&lt;0,HLOOKUP(AB$4,'Physical Effects-Numbers'!$B$1:$AU$172,$B63,FALSE),""))</f>
        <v/>
      </c>
      <c r="AC63" s="488" t="str">
        <f>IF(AC$4="","",IF(HLOOKUP(AC$4,'Physical Effects-Numbers'!$B$1:$AU$172,$B63,FALSE)&lt;0,HLOOKUP(AC$4,'Physical Effects-Numbers'!$B$1:$AU$172,$B63,FALSE),""))</f>
        <v/>
      </c>
      <c r="AD63" s="488" t="str">
        <f>IF(AD$4="","",IF(HLOOKUP(AD$4,'Physical Effects-Numbers'!$B$1:$AU$172,$B63,FALSE)&lt;0,HLOOKUP(AD$4,'Physical Effects-Numbers'!$B$1:$AU$172,$B63,FALSE),""))</f>
        <v/>
      </c>
      <c r="AE63" s="488" t="str">
        <f>IF(AE$4="","",IF(HLOOKUP(AE$4,'Physical Effects-Numbers'!$B$1:$AU$172,$B63,FALSE)&lt;0,HLOOKUP(AE$4,'Physical Effects-Numbers'!$B$1:$AU$172,$B63,FALSE),""))</f>
        <v/>
      </c>
      <c r="AF63" s="488" t="str">
        <f>IF(AF$4="","",IF(HLOOKUP(AF$4,'Physical Effects-Numbers'!$B$1:$AU$172,$B63,FALSE)&lt;0,HLOOKUP(AF$4,'Physical Effects-Numbers'!$B$1:$AU$172,$B63,FALSE),""))</f>
        <v/>
      </c>
      <c r="AG63" s="488" t="str">
        <f>IF(AG$4="","",IF(HLOOKUP(AG$4,'Physical Effects-Numbers'!$B$1:$AU$172,$B63,FALSE)&lt;0,HLOOKUP(AG$4,'Physical Effects-Numbers'!$B$1:$AU$172,$B63,FALSE),""))</f>
        <v/>
      </c>
      <c r="AH63" s="488" t="str">
        <f>IF(AH$4="","",IF(HLOOKUP(AH$4,'Physical Effects-Numbers'!$B$1:$AU$172,$B63,FALSE)&lt;0,HLOOKUP(AH$4,'Physical Effects-Numbers'!$B$1:$AU$172,$B63,FALSE),""))</f>
        <v/>
      </c>
      <c r="AI63" s="488" t="str">
        <f>IF(AI$4="","",IF(HLOOKUP(AI$4,'Physical Effects-Numbers'!$B$1:$AU$172,$B63,FALSE)&lt;0,HLOOKUP(AI$4,'Physical Effects-Numbers'!$B$1:$AU$172,$B63,FALSE),""))</f>
        <v/>
      </c>
      <c r="AJ63" s="488" t="str">
        <f>IF(AJ$4="","",IF(HLOOKUP(AJ$4,'Physical Effects-Numbers'!$B$1:$AU$172,$B63,FALSE)&lt;0,HLOOKUP(AJ$4,'Physical Effects-Numbers'!$B$1:$AU$172,$B63,FALSE),""))</f>
        <v/>
      </c>
      <c r="AK63" s="488" t="str">
        <f>IF(AK$4="","",IF(HLOOKUP(AK$4,'Physical Effects-Numbers'!$B$1:$AU$172,$B63,FALSE)&lt;0,HLOOKUP(AK$4,'Physical Effects-Numbers'!$B$1:$AU$172,$B63,FALSE),""))</f>
        <v/>
      </c>
      <c r="AL63" s="488" t="str">
        <f>IF(AL$4="","",IF(HLOOKUP(AL$4,'Physical Effects-Numbers'!$B$1:$AU$172,$B63,FALSE)&lt;0,HLOOKUP(AL$4,'Physical Effects-Numbers'!$B$1:$AU$172,$B63,FALSE),""))</f>
        <v/>
      </c>
      <c r="AM63" s="488" t="str">
        <f>IF(AM$4="","",IF(HLOOKUP(AM$4,'Physical Effects-Numbers'!$B$1:$AU$172,$B63,FALSE)&lt;0,HLOOKUP(AM$4,'Physical Effects-Numbers'!$B$1:$AU$172,$B63,FALSE),""))</f>
        <v/>
      </c>
      <c r="AN63" s="488" t="str">
        <f>IF(AN$4="","",IF(HLOOKUP(AN$4,'Physical Effects-Numbers'!$B$1:$AU$172,$B63,FALSE)&lt;0,HLOOKUP(AN$4,'Physical Effects-Numbers'!$B$1:$AU$172,$B63,FALSE),""))</f>
        <v/>
      </c>
      <c r="AO63" s="488" t="str">
        <f>IF(AO$4="","",IF(HLOOKUP(AO$4,'Physical Effects-Numbers'!$B$1:$AU$172,$B63,FALSE)&lt;0,HLOOKUP(AO$4,'Physical Effects-Numbers'!$B$1:$AU$172,$B63,FALSE),""))</f>
        <v/>
      </c>
      <c r="AP63" s="488" t="str">
        <f>IF(AP$4="","",IF(HLOOKUP(AP$4,'Physical Effects-Numbers'!$B$1:$AU$172,$B63,FALSE)&lt;0,HLOOKUP(AP$4,'Physical Effects-Numbers'!$B$1:$AU$172,$B63,FALSE),""))</f>
        <v/>
      </c>
      <c r="AQ63" s="488" t="str">
        <f>IF(AQ$4="","",IF(HLOOKUP(AQ$4,'Physical Effects-Numbers'!$B$1:$AU$172,$B63,FALSE)&lt;0,HLOOKUP(AQ$4,'Physical Effects-Numbers'!$B$1:$AU$172,$B63,FALSE),""))</f>
        <v/>
      </c>
      <c r="AR63" s="488" t="str">
        <f>IF(AR$4="","",IF(HLOOKUP(AR$4,'Physical Effects-Numbers'!$B$1:$AU$172,$B63,FALSE)&lt;0,HLOOKUP(AR$4,'Physical Effects-Numbers'!$B$1:$AU$172,$B63,FALSE),""))</f>
        <v/>
      </c>
      <c r="AS63" s="488" t="str">
        <f>IF(AS$4="","",IF(HLOOKUP(AS$4,'Physical Effects-Numbers'!$B$1:$AU$172,$B63,FALSE)&lt;0,HLOOKUP(AS$4,'Physical Effects-Numbers'!$B$1:$AU$172,$B63,FALSE),""))</f>
        <v/>
      </c>
      <c r="AT63" s="488" t="str">
        <f>IF(AT$4="","",IF(HLOOKUP(AT$4,'Physical Effects-Numbers'!$B$1:$AU$172,$B63,FALSE)&lt;0,HLOOKUP(AT$4,'Physical Effects-Numbers'!$B$1:$AU$172,$B63,FALSE),""))</f>
        <v/>
      </c>
      <c r="AU63" s="488" t="str">
        <f>IF(AU$4="","",IF(HLOOKUP(AU$4,'Physical Effects-Numbers'!$B$1:$AU$172,$B63,FALSE)&lt;0,HLOOKUP(AU$4,'Physical Effects-Numbers'!$B$1:$AU$172,$B63,FALSE),""))</f>
        <v/>
      </c>
      <c r="AV63" s="488" t="str">
        <f>IF(AV$4="","",IF(HLOOKUP(AV$4,'Physical Effects-Numbers'!$B$1:$AU$167,$B63,FALSE)&lt;0,HLOOKUP(AV$4,'Physical Effects-Numbers'!$B$1:$AU$167,$B63,FALSE),""))</f>
        <v/>
      </c>
    </row>
    <row r="64" spans="2:48" x14ac:dyDescent="0.2">
      <c r="B64" s="487">
        <f t="shared" si="0"/>
        <v>61</v>
      </c>
      <c r="C64" s="486" t="str">
        <f>+'Physical Effects-Numbers'!B61</f>
        <v>Grazing Land Mechanical Treatment</v>
      </c>
      <c r="D64" s="488" t="str">
        <f>IF(D$4="","",IF(HLOOKUP(D$4,'Physical Effects-Numbers'!$B$1:$AU$172,$B64,FALSE)&lt;0,HLOOKUP(D$4,'Physical Effects-Numbers'!$B$1:$AU$172,$B64,FALSE),""))</f>
        <v/>
      </c>
      <c r="E64" s="488" t="str">
        <f>IF(E$4="","",IF(HLOOKUP(E$4,'Physical Effects-Numbers'!$B$1:$AU$172,$B64,FALSE)&lt;0,HLOOKUP(E$4,'Physical Effects-Numbers'!$B$1:$AU$172,$B64,FALSE),""))</f>
        <v/>
      </c>
      <c r="F64" s="488" t="str">
        <f>IF(F$4="","",IF(HLOOKUP(F$4,'Physical Effects-Numbers'!$B$1:$AU$172,$B64,FALSE)&lt;0,HLOOKUP(F$4,'Physical Effects-Numbers'!$B$1:$AU$172,$B64,FALSE),""))</f>
        <v/>
      </c>
      <c r="G64" s="488" t="str">
        <f>IF(G$4="","",IF(HLOOKUP(G$4,'Physical Effects-Numbers'!$B$1:$AU$172,$B64,FALSE)&lt;0,HLOOKUP(G$4,'Physical Effects-Numbers'!$B$1:$AU$172,$B64,FALSE),""))</f>
        <v/>
      </c>
      <c r="H64" s="488" t="str">
        <f>IF(H$4="","",IF(HLOOKUP(H$4,'Physical Effects-Numbers'!$B$1:$AU$172,$B64,FALSE)&lt;0,HLOOKUP(H$4,'Physical Effects-Numbers'!$B$1:$AU$172,$B64,FALSE),""))</f>
        <v/>
      </c>
      <c r="I64" s="488" t="str">
        <f>IF(I$4="","",IF(HLOOKUP(I$4,'Physical Effects-Numbers'!$B$1:$AU$172,$B64,FALSE)&lt;0,HLOOKUP(I$4,'Physical Effects-Numbers'!$B$1:$AU$172,$B64,FALSE),""))</f>
        <v/>
      </c>
      <c r="J64" s="488" t="str">
        <f>IF(J$4="","",IF(HLOOKUP(J$4,'Physical Effects-Numbers'!$B$1:$AU$172,$B64,FALSE)&lt;0,HLOOKUP(J$4,'Physical Effects-Numbers'!$B$1:$AU$172,$B64,FALSE),""))</f>
        <v/>
      </c>
      <c r="K64" s="488" t="str">
        <f>IF(K$4="","",IF(HLOOKUP(K$4,'Physical Effects-Numbers'!$B$1:$AU$172,$B64,FALSE)&lt;0,HLOOKUP(K$4,'Physical Effects-Numbers'!$B$1:$AU$172,$B64,FALSE),""))</f>
        <v/>
      </c>
      <c r="L64" s="488" t="str">
        <f>IF(L$4="","",IF(HLOOKUP(L$4,'Physical Effects-Numbers'!$B$1:$AU$172,$B64,FALSE)&lt;0,HLOOKUP(L$4,'Physical Effects-Numbers'!$B$1:$AU$172,$B64,FALSE),""))</f>
        <v/>
      </c>
      <c r="M64" s="488" t="str">
        <f>IF(M$4="","",IF(HLOOKUP(M$4,'Physical Effects-Numbers'!$B$1:$AU$172,$B64,FALSE)&lt;0,HLOOKUP(M$4,'Physical Effects-Numbers'!$B$1:$AU$172,$B64,FALSE),""))</f>
        <v/>
      </c>
      <c r="N64" s="488" t="str">
        <f>IF(N$4="","",IF(HLOOKUP(N$4,'Physical Effects-Numbers'!$B$1:$AU$172,$B64,FALSE)&lt;0,HLOOKUP(N$4,'Physical Effects-Numbers'!$B$1:$AU$172,$B64,FALSE),""))</f>
        <v/>
      </c>
      <c r="O64" s="488" t="str">
        <f>IF(O$4="","",IF(HLOOKUP(O$4,'Physical Effects-Numbers'!$B$1:$AU$172,$B64,FALSE)&lt;0,HLOOKUP(O$4,'Physical Effects-Numbers'!$B$1:$AU$172,$B64,FALSE),""))</f>
        <v/>
      </c>
      <c r="P64" s="488" t="str">
        <f>IF(P$4="","",IF(HLOOKUP(P$4,'Physical Effects-Numbers'!$B$1:$AU$172,$B64,FALSE)&lt;0,HLOOKUP(P$4,'Physical Effects-Numbers'!$B$1:$AU$172,$B64,FALSE),""))</f>
        <v/>
      </c>
      <c r="Q64" s="488" t="str">
        <f>IF(Q$4="","",IF(HLOOKUP(Q$4,'Physical Effects-Numbers'!$B$1:$AU$172,$B64,FALSE)&lt;0,HLOOKUP(Q$4,'Physical Effects-Numbers'!$B$1:$AU$172,$B64,FALSE),""))</f>
        <v/>
      </c>
      <c r="R64" s="488" t="str">
        <f>IF(R$4="","",IF(HLOOKUP(R$4,'Physical Effects-Numbers'!$B$1:$AU$172,$B64,FALSE)&lt;0,HLOOKUP(R$4,'Physical Effects-Numbers'!$B$1:$AU$172,$B64,FALSE),""))</f>
        <v/>
      </c>
      <c r="S64" s="488" t="str">
        <f>IF(S$4="","",IF(HLOOKUP(S$4,'Physical Effects-Numbers'!$B$1:$AU$172,$B64,FALSE)&lt;0,HLOOKUP(S$4,'Physical Effects-Numbers'!$B$1:$AU$172,$B64,FALSE),""))</f>
        <v/>
      </c>
      <c r="T64" s="488" t="str">
        <f>IF(T$4="","",IF(HLOOKUP(T$4,'Physical Effects-Numbers'!$B$1:$AU$172,$B64,FALSE)&lt;0,HLOOKUP(T$4,'Physical Effects-Numbers'!$B$1:$AU$172,$B64,FALSE),""))</f>
        <v/>
      </c>
      <c r="U64" s="488" t="str">
        <f>IF(U$4="","",IF(HLOOKUP(U$4,'Physical Effects-Numbers'!$B$1:$AU$172,$B64,FALSE)&lt;0,HLOOKUP(U$4,'Physical Effects-Numbers'!$B$1:$AU$172,$B64,FALSE),""))</f>
        <v/>
      </c>
      <c r="V64" s="488" t="str">
        <f>IF(V$4="","",IF(HLOOKUP(V$4,'Physical Effects-Numbers'!$B$1:$AU$172,$B64,FALSE)&lt;0,HLOOKUP(V$4,'Physical Effects-Numbers'!$B$1:$AU$172,$B64,FALSE),""))</f>
        <v/>
      </c>
      <c r="W64" s="488" t="str">
        <f>IF(W$4="","",IF(HLOOKUP(W$4,'Physical Effects-Numbers'!$B$1:$AU$172,$B64,FALSE)&lt;0,HLOOKUP(W$4,'Physical Effects-Numbers'!$B$1:$AU$172,$B64,FALSE),""))</f>
        <v/>
      </c>
      <c r="X64" s="488" t="str">
        <f>IF(X$4="","",IF(HLOOKUP(X$4,'Physical Effects-Numbers'!$B$1:$AU$172,$B64,FALSE)&lt;0,HLOOKUP(X$4,'Physical Effects-Numbers'!$B$1:$AU$172,$B64,FALSE),""))</f>
        <v/>
      </c>
      <c r="Y64" s="488" t="str">
        <f>IF(Y$4="","",IF(HLOOKUP(Y$4,'Physical Effects-Numbers'!$B$1:$AU$172,$B64,FALSE)&lt;0,HLOOKUP(Y$4,'Physical Effects-Numbers'!$B$1:$AU$172,$B64,FALSE),""))</f>
        <v/>
      </c>
      <c r="Z64" s="488" t="str">
        <f>IF(Z$4="","",IF(HLOOKUP(Z$4,'Physical Effects-Numbers'!$B$1:$AU$172,$B64,FALSE)&lt;0,HLOOKUP(Z$4,'Physical Effects-Numbers'!$B$1:$AU$172,$B64,FALSE),""))</f>
        <v/>
      </c>
      <c r="AA64" s="488" t="str">
        <f>IF(AA$4="","",IF(HLOOKUP(AA$4,'Physical Effects-Numbers'!$B$1:$AU$172,$B64,FALSE)&lt;0,HLOOKUP(AA$4,'Physical Effects-Numbers'!$B$1:$AU$172,$B64,FALSE),""))</f>
        <v/>
      </c>
      <c r="AB64" s="488" t="str">
        <f>IF(AB$4="","",IF(HLOOKUP(AB$4,'Physical Effects-Numbers'!$B$1:$AU$172,$B64,FALSE)&lt;0,HLOOKUP(AB$4,'Physical Effects-Numbers'!$B$1:$AU$172,$B64,FALSE),""))</f>
        <v/>
      </c>
      <c r="AC64" s="488" t="str">
        <f>IF(AC$4="","",IF(HLOOKUP(AC$4,'Physical Effects-Numbers'!$B$1:$AU$172,$B64,FALSE)&lt;0,HLOOKUP(AC$4,'Physical Effects-Numbers'!$B$1:$AU$172,$B64,FALSE),""))</f>
        <v/>
      </c>
      <c r="AD64" s="488" t="str">
        <f>IF(AD$4="","",IF(HLOOKUP(AD$4,'Physical Effects-Numbers'!$B$1:$AU$172,$B64,FALSE)&lt;0,HLOOKUP(AD$4,'Physical Effects-Numbers'!$B$1:$AU$172,$B64,FALSE),""))</f>
        <v/>
      </c>
      <c r="AE64" s="488" t="str">
        <f>IF(AE$4="","",IF(HLOOKUP(AE$4,'Physical Effects-Numbers'!$B$1:$AU$172,$B64,FALSE)&lt;0,HLOOKUP(AE$4,'Physical Effects-Numbers'!$B$1:$AU$172,$B64,FALSE),""))</f>
        <v/>
      </c>
      <c r="AF64" s="488" t="str">
        <f>IF(AF$4="","",IF(HLOOKUP(AF$4,'Physical Effects-Numbers'!$B$1:$AU$172,$B64,FALSE)&lt;0,HLOOKUP(AF$4,'Physical Effects-Numbers'!$B$1:$AU$172,$B64,FALSE),""))</f>
        <v/>
      </c>
      <c r="AG64" s="488" t="str">
        <f>IF(AG$4="","",IF(HLOOKUP(AG$4,'Physical Effects-Numbers'!$B$1:$AU$172,$B64,FALSE)&lt;0,HLOOKUP(AG$4,'Physical Effects-Numbers'!$B$1:$AU$172,$B64,FALSE),""))</f>
        <v/>
      </c>
      <c r="AH64" s="488" t="str">
        <f>IF(AH$4="","",IF(HLOOKUP(AH$4,'Physical Effects-Numbers'!$B$1:$AU$172,$B64,FALSE)&lt;0,HLOOKUP(AH$4,'Physical Effects-Numbers'!$B$1:$AU$172,$B64,FALSE),""))</f>
        <v/>
      </c>
      <c r="AI64" s="488" t="str">
        <f>IF(AI$4="","",IF(HLOOKUP(AI$4,'Physical Effects-Numbers'!$B$1:$AU$172,$B64,FALSE)&lt;0,HLOOKUP(AI$4,'Physical Effects-Numbers'!$B$1:$AU$172,$B64,FALSE),""))</f>
        <v/>
      </c>
      <c r="AJ64" s="488" t="str">
        <f>IF(AJ$4="","",IF(HLOOKUP(AJ$4,'Physical Effects-Numbers'!$B$1:$AU$172,$B64,FALSE)&lt;0,HLOOKUP(AJ$4,'Physical Effects-Numbers'!$B$1:$AU$172,$B64,FALSE),""))</f>
        <v/>
      </c>
      <c r="AK64" s="488">
        <f>IF(AK$4="","",IF(HLOOKUP(AK$4,'Physical Effects-Numbers'!$B$1:$AU$172,$B64,FALSE)&lt;0,HLOOKUP(AK$4,'Physical Effects-Numbers'!$B$1:$AU$172,$B64,FALSE),""))</f>
        <v>-1</v>
      </c>
      <c r="AL64" s="488" t="str">
        <f>IF(AL$4="","",IF(HLOOKUP(AL$4,'Physical Effects-Numbers'!$B$1:$AU$172,$B64,FALSE)&lt;0,HLOOKUP(AL$4,'Physical Effects-Numbers'!$B$1:$AU$172,$B64,FALSE),""))</f>
        <v/>
      </c>
      <c r="AM64" s="488" t="str">
        <f>IF(AM$4="","",IF(HLOOKUP(AM$4,'Physical Effects-Numbers'!$B$1:$AU$172,$B64,FALSE)&lt;0,HLOOKUP(AM$4,'Physical Effects-Numbers'!$B$1:$AU$172,$B64,FALSE),""))</f>
        <v/>
      </c>
      <c r="AN64" s="488" t="str">
        <f>IF(AN$4="","",IF(HLOOKUP(AN$4,'Physical Effects-Numbers'!$B$1:$AU$172,$B64,FALSE)&lt;0,HLOOKUP(AN$4,'Physical Effects-Numbers'!$B$1:$AU$172,$B64,FALSE),""))</f>
        <v/>
      </c>
      <c r="AO64" s="488" t="str">
        <f>IF(AO$4="","",IF(HLOOKUP(AO$4,'Physical Effects-Numbers'!$B$1:$AU$172,$B64,FALSE)&lt;0,HLOOKUP(AO$4,'Physical Effects-Numbers'!$B$1:$AU$172,$B64,FALSE),""))</f>
        <v/>
      </c>
      <c r="AP64" s="488" t="str">
        <f>IF(AP$4="","",IF(HLOOKUP(AP$4,'Physical Effects-Numbers'!$B$1:$AU$172,$B64,FALSE)&lt;0,HLOOKUP(AP$4,'Physical Effects-Numbers'!$B$1:$AU$172,$B64,FALSE),""))</f>
        <v/>
      </c>
      <c r="AQ64" s="488" t="str">
        <f>IF(AQ$4="","",IF(HLOOKUP(AQ$4,'Physical Effects-Numbers'!$B$1:$AU$172,$B64,FALSE)&lt;0,HLOOKUP(AQ$4,'Physical Effects-Numbers'!$B$1:$AU$172,$B64,FALSE),""))</f>
        <v/>
      </c>
      <c r="AR64" s="488" t="str">
        <f>IF(AR$4="","",IF(HLOOKUP(AR$4,'Physical Effects-Numbers'!$B$1:$AU$172,$B64,FALSE)&lt;0,HLOOKUP(AR$4,'Physical Effects-Numbers'!$B$1:$AU$172,$B64,FALSE),""))</f>
        <v/>
      </c>
      <c r="AS64" s="488" t="str">
        <f>IF(AS$4="","",IF(HLOOKUP(AS$4,'Physical Effects-Numbers'!$B$1:$AU$172,$B64,FALSE)&lt;0,HLOOKUP(AS$4,'Physical Effects-Numbers'!$B$1:$AU$172,$B64,FALSE),""))</f>
        <v/>
      </c>
      <c r="AT64" s="488" t="str">
        <f>IF(AT$4="","",IF(HLOOKUP(AT$4,'Physical Effects-Numbers'!$B$1:$AU$172,$B64,FALSE)&lt;0,HLOOKUP(AT$4,'Physical Effects-Numbers'!$B$1:$AU$172,$B64,FALSE),""))</f>
        <v/>
      </c>
      <c r="AU64" s="488" t="str">
        <f>IF(AU$4="","",IF(HLOOKUP(AU$4,'Physical Effects-Numbers'!$B$1:$AU$172,$B64,FALSE)&lt;0,HLOOKUP(AU$4,'Physical Effects-Numbers'!$B$1:$AU$172,$B64,FALSE),""))</f>
        <v/>
      </c>
      <c r="AV64" s="488" t="str">
        <f>IF(AV$4="","",IF(HLOOKUP(AV$4,'Physical Effects-Numbers'!$B$1:$AU$167,$B64,FALSE)&lt;0,HLOOKUP(AV$4,'Physical Effects-Numbers'!$B$1:$AU$167,$B64,FALSE),""))</f>
        <v/>
      </c>
    </row>
    <row r="65" spans="2:48" x14ac:dyDescent="0.2">
      <c r="B65" s="487">
        <f t="shared" si="0"/>
        <v>62</v>
      </c>
      <c r="C65" s="486" t="str">
        <f>+'Physical Effects-Numbers'!B62</f>
        <v>Groundwater Testing</v>
      </c>
      <c r="D65" s="488" t="str">
        <f>IF(D$4="","",IF(HLOOKUP(D$4,'Physical Effects-Numbers'!$B$1:$AU$172,$B65,FALSE)&lt;0,HLOOKUP(D$4,'Physical Effects-Numbers'!$B$1:$AU$172,$B65,FALSE),""))</f>
        <v/>
      </c>
      <c r="E65" s="488" t="str">
        <f>IF(E$4="","",IF(HLOOKUP(E$4,'Physical Effects-Numbers'!$B$1:$AU$172,$B65,FALSE)&lt;0,HLOOKUP(E$4,'Physical Effects-Numbers'!$B$1:$AU$172,$B65,FALSE),""))</f>
        <v/>
      </c>
      <c r="F65" s="488" t="str">
        <f>IF(F$4="","",IF(HLOOKUP(F$4,'Physical Effects-Numbers'!$B$1:$AU$172,$B65,FALSE)&lt;0,HLOOKUP(F$4,'Physical Effects-Numbers'!$B$1:$AU$172,$B65,FALSE),""))</f>
        <v/>
      </c>
      <c r="G65" s="488" t="str">
        <f>IF(G$4="","",IF(HLOOKUP(G$4,'Physical Effects-Numbers'!$B$1:$AU$172,$B65,FALSE)&lt;0,HLOOKUP(G$4,'Physical Effects-Numbers'!$B$1:$AU$172,$B65,FALSE),""))</f>
        <v/>
      </c>
      <c r="H65" s="488" t="str">
        <f>IF(H$4="","",IF(HLOOKUP(H$4,'Physical Effects-Numbers'!$B$1:$AU$172,$B65,FALSE)&lt;0,HLOOKUP(H$4,'Physical Effects-Numbers'!$B$1:$AU$172,$B65,FALSE),""))</f>
        <v/>
      </c>
      <c r="I65" s="488" t="str">
        <f>IF(I$4="","",IF(HLOOKUP(I$4,'Physical Effects-Numbers'!$B$1:$AU$172,$B65,FALSE)&lt;0,HLOOKUP(I$4,'Physical Effects-Numbers'!$B$1:$AU$172,$B65,FALSE),""))</f>
        <v/>
      </c>
      <c r="J65" s="488" t="str">
        <f>IF(J$4="","",IF(HLOOKUP(J$4,'Physical Effects-Numbers'!$B$1:$AU$172,$B65,FALSE)&lt;0,HLOOKUP(J$4,'Physical Effects-Numbers'!$B$1:$AU$172,$B65,FALSE),""))</f>
        <v/>
      </c>
      <c r="K65" s="488" t="str">
        <f>IF(K$4="","",IF(HLOOKUP(K$4,'Physical Effects-Numbers'!$B$1:$AU$172,$B65,FALSE)&lt;0,HLOOKUP(K$4,'Physical Effects-Numbers'!$B$1:$AU$172,$B65,FALSE),""))</f>
        <v/>
      </c>
      <c r="L65" s="488" t="str">
        <f>IF(L$4="","",IF(HLOOKUP(L$4,'Physical Effects-Numbers'!$B$1:$AU$172,$B65,FALSE)&lt;0,HLOOKUP(L$4,'Physical Effects-Numbers'!$B$1:$AU$172,$B65,FALSE),""))</f>
        <v/>
      </c>
      <c r="M65" s="488" t="str">
        <f>IF(M$4="","",IF(HLOOKUP(M$4,'Physical Effects-Numbers'!$B$1:$AU$172,$B65,FALSE)&lt;0,HLOOKUP(M$4,'Physical Effects-Numbers'!$B$1:$AU$172,$B65,FALSE),""))</f>
        <v/>
      </c>
      <c r="N65" s="488" t="str">
        <f>IF(N$4="","",IF(HLOOKUP(N$4,'Physical Effects-Numbers'!$B$1:$AU$172,$B65,FALSE)&lt;0,HLOOKUP(N$4,'Physical Effects-Numbers'!$B$1:$AU$172,$B65,FALSE),""))</f>
        <v/>
      </c>
      <c r="O65" s="488" t="str">
        <f>IF(O$4="","",IF(HLOOKUP(O$4,'Physical Effects-Numbers'!$B$1:$AU$172,$B65,FALSE)&lt;0,HLOOKUP(O$4,'Physical Effects-Numbers'!$B$1:$AU$172,$B65,FALSE),""))</f>
        <v/>
      </c>
      <c r="P65" s="488" t="str">
        <f>IF(P$4="","",IF(HLOOKUP(P$4,'Physical Effects-Numbers'!$B$1:$AU$172,$B65,FALSE)&lt;0,HLOOKUP(P$4,'Physical Effects-Numbers'!$B$1:$AU$172,$B65,FALSE),""))</f>
        <v/>
      </c>
      <c r="Q65" s="488" t="str">
        <f>IF(Q$4="","",IF(HLOOKUP(Q$4,'Physical Effects-Numbers'!$B$1:$AU$172,$B65,FALSE)&lt;0,HLOOKUP(Q$4,'Physical Effects-Numbers'!$B$1:$AU$172,$B65,FALSE),""))</f>
        <v/>
      </c>
      <c r="R65" s="488" t="str">
        <f>IF(R$4="","",IF(HLOOKUP(R$4,'Physical Effects-Numbers'!$B$1:$AU$172,$B65,FALSE)&lt;0,HLOOKUP(R$4,'Physical Effects-Numbers'!$B$1:$AU$172,$B65,FALSE),""))</f>
        <v/>
      </c>
      <c r="S65" s="488" t="str">
        <f>IF(S$4="","",IF(HLOOKUP(S$4,'Physical Effects-Numbers'!$B$1:$AU$172,$B65,FALSE)&lt;0,HLOOKUP(S$4,'Physical Effects-Numbers'!$B$1:$AU$172,$B65,FALSE),""))</f>
        <v/>
      </c>
      <c r="T65" s="488" t="str">
        <f>IF(T$4="","",IF(HLOOKUP(T$4,'Physical Effects-Numbers'!$B$1:$AU$172,$B65,FALSE)&lt;0,HLOOKUP(T$4,'Physical Effects-Numbers'!$B$1:$AU$172,$B65,FALSE),""))</f>
        <v/>
      </c>
      <c r="U65" s="488" t="str">
        <f>IF(U$4="","",IF(HLOOKUP(U$4,'Physical Effects-Numbers'!$B$1:$AU$172,$B65,FALSE)&lt;0,HLOOKUP(U$4,'Physical Effects-Numbers'!$B$1:$AU$172,$B65,FALSE),""))</f>
        <v/>
      </c>
      <c r="V65" s="488" t="str">
        <f>IF(V$4="","",IF(HLOOKUP(V$4,'Physical Effects-Numbers'!$B$1:$AU$172,$B65,FALSE)&lt;0,HLOOKUP(V$4,'Physical Effects-Numbers'!$B$1:$AU$172,$B65,FALSE),""))</f>
        <v/>
      </c>
      <c r="W65" s="488" t="str">
        <f>IF(W$4="","",IF(HLOOKUP(W$4,'Physical Effects-Numbers'!$B$1:$AU$172,$B65,FALSE)&lt;0,HLOOKUP(W$4,'Physical Effects-Numbers'!$B$1:$AU$172,$B65,FALSE),""))</f>
        <v/>
      </c>
      <c r="X65" s="488" t="str">
        <f>IF(X$4="","",IF(HLOOKUP(X$4,'Physical Effects-Numbers'!$B$1:$AU$172,$B65,FALSE)&lt;0,HLOOKUP(X$4,'Physical Effects-Numbers'!$B$1:$AU$172,$B65,FALSE),""))</f>
        <v/>
      </c>
      <c r="Y65" s="488" t="str">
        <f>IF(Y$4="","",IF(HLOOKUP(Y$4,'Physical Effects-Numbers'!$B$1:$AU$172,$B65,FALSE)&lt;0,HLOOKUP(Y$4,'Physical Effects-Numbers'!$B$1:$AU$172,$B65,FALSE),""))</f>
        <v/>
      </c>
      <c r="Z65" s="488" t="str">
        <f>IF(Z$4="","",IF(HLOOKUP(Z$4,'Physical Effects-Numbers'!$B$1:$AU$172,$B65,FALSE)&lt;0,HLOOKUP(Z$4,'Physical Effects-Numbers'!$B$1:$AU$172,$B65,FALSE),""))</f>
        <v/>
      </c>
      <c r="AA65" s="488" t="str">
        <f>IF(AA$4="","",IF(HLOOKUP(AA$4,'Physical Effects-Numbers'!$B$1:$AU$172,$B65,FALSE)&lt;0,HLOOKUP(AA$4,'Physical Effects-Numbers'!$B$1:$AU$172,$B65,FALSE),""))</f>
        <v/>
      </c>
      <c r="AB65" s="488" t="str">
        <f>IF(AB$4="","",IF(HLOOKUP(AB$4,'Physical Effects-Numbers'!$B$1:$AU$172,$B65,FALSE)&lt;0,HLOOKUP(AB$4,'Physical Effects-Numbers'!$B$1:$AU$172,$B65,FALSE),""))</f>
        <v/>
      </c>
      <c r="AC65" s="488" t="str">
        <f>IF(AC$4="","",IF(HLOOKUP(AC$4,'Physical Effects-Numbers'!$B$1:$AU$172,$B65,FALSE)&lt;0,HLOOKUP(AC$4,'Physical Effects-Numbers'!$B$1:$AU$172,$B65,FALSE),""))</f>
        <v/>
      </c>
      <c r="AD65" s="488" t="str">
        <f>IF(AD$4="","",IF(HLOOKUP(AD$4,'Physical Effects-Numbers'!$B$1:$AU$172,$B65,FALSE)&lt;0,HLOOKUP(AD$4,'Physical Effects-Numbers'!$B$1:$AU$172,$B65,FALSE),""))</f>
        <v/>
      </c>
      <c r="AE65" s="488" t="str">
        <f>IF(AE$4="","",IF(HLOOKUP(AE$4,'Physical Effects-Numbers'!$B$1:$AU$172,$B65,FALSE)&lt;0,HLOOKUP(AE$4,'Physical Effects-Numbers'!$B$1:$AU$172,$B65,FALSE),""))</f>
        <v/>
      </c>
      <c r="AF65" s="488" t="str">
        <f>IF(AF$4="","",IF(HLOOKUP(AF$4,'Physical Effects-Numbers'!$B$1:$AU$172,$B65,FALSE)&lt;0,HLOOKUP(AF$4,'Physical Effects-Numbers'!$B$1:$AU$172,$B65,FALSE),""))</f>
        <v/>
      </c>
      <c r="AG65" s="488" t="str">
        <f>IF(AG$4="","",IF(HLOOKUP(AG$4,'Physical Effects-Numbers'!$B$1:$AU$172,$B65,FALSE)&lt;0,HLOOKUP(AG$4,'Physical Effects-Numbers'!$B$1:$AU$172,$B65,FALSE),""))</f>
        <v/>
      </c>
      <c r="AH65" s="488" t="str">
        <f>IF(AH$4="","",IF(HLOOKUP(AH$4,'Physical Effects-Numbers'!$B$1:$AU$172,$B65,FALSE)&lt;0,HLOOKUP(AH$4,'Physical Effects-Numbers'!$B$1:$AU$172,$B65,FALSE),""))</f>
        <v/>
      </c>
      <c r="AI65" s="488" t="str">
        <f>IF(AI$4="","",IF(HLOOKUP(AI$4,'Physical Effects-Numbers'!$B$1:$AU$172,$B65,FALSE)&lt;0,HLOOKUP(AI$4,'Physical Effects-Numbers'!$B$1:$AU$172,$B65,FALSE),""))</f>
        <v/>
      </c>
      <c r="AJ65" s="488" t="str">
        <f>IF(AJ$4="","",IF(HLOOKUP(AJ$4,'Physical Effects-Numbers'!$B$1:$AU$172,$B65,FALSE)&lt;0,HLOOKUP(AJ$4,'Physical Effects-Numbers'!$B$1:$AU$172,$B65,FALSE),""))</f>
        <v/>
      </c>
      <c r="AK65" s="488" t="str">
        <f>IF(AK$4="","",IF(HLOOKUP(AK$4,'Physical Effects-Numbers'!$B$1:$AU$172,$B65,FALSE)&lt;0,HLOOKUP(AK$4,'Physical Effects-Numbers'!$B$1:$AU$172,$B65,FALSE),""))</f>
        <v/>
      </c>
      <c r="AL65" s="488" t="str">
        <f>IF(AL$4="","",IF(HLOOKUP(AL$4,'Physical Effects-Numbers'!$B$1:$AU$172,$B65,FALSE)&lt;0,HLOOKUP(AL$4,'Physical Effects-Numbers'!$B$1:$AU$172,$B65,FALSE),""))</f>
        <v/>
      </c>
      <c r="AM65" s="488" t="str">
        <f>IF(AM$4="","",IF(HLOOKUP(AM$4,'Physical Effects-Numbers'!$B$1:$AU$172,$B65,FALSE)&lt;0,HLOOKUP(AM$4,'Physical Effects-Numbers'!$B$1:$AU$172,$B65,FALSE),""))</f>
        <v/>
      </c>
      <c r="AN65" s="488" t="str">
        <f>IF(AN$4="","",IF(HLOOKUP(AN$4,'Physical Effects-Numbers'!$B$1:$AU$172,$B65,FALSE)&lt;0,HLOOKUP(AN$4,'Physical Effects-Numbers'!$B$1:$AU$172,$B65,FALSE),""))</f>
        <v/>
      </c>
      <c r="AO65" s="488" t="str">
        <f>IF(AO$4="","",IF(HLOOKUP(AO$4,'Physical Effects-Numbers'!$B$1:$AU$172,$B65,FALSE)&lt;0,HLOOKUP(AO$4,'Physical Effects-Numbers'!$B$1:$AU$172,$B65,FALSE),""))</f>
        <v/>
      </c>
      <c r="AP65" s="488" t="str">
        <f>IF(AP$4="","",IF(HLOOKUP(AP$4,'Physical Effects-Numbers'!$B$1:$AU$172,$B65,FALSE)&lt;0,HLOOKUP(AP$4,'Physical Effects-Numbers'!$B$1:$AU$172,$B65,FALSE),""))</f>
        <v/>
      </c>
      <c r="AQ65" s="488" t="str">
        <f>IF(AQ$4="","",IF(HLOOKUP(AQ$4,'Physical Effects-Numbers'!$B$1:$AU$172,$B65,FALSE)&lt;0,HLOOKUP(AQ$4,'Physical Effects-Numbers'!$B$1:$AU$172,$B65,FALSE),""))</f>
        <v/>
      </c>
      <c r="AR65" s="488" t="str">
        <f>IF(AR$4="","",IF(HLOOKUP(AR$4,'Physical Effects-Numbers'!$B$1:$AU$172,$B65,FALSE)&lt;0,HLOOKUP(AR$4,'Physical Effects-Numbers'!$B$1:$AU$172,$B65,FALSE),""))</f>
        <v/>
      </c>
      <c r="AS65" s="488" t="str">
        <f>IF(AS$4="","",IF(HLOOKUP(AS$4,'Physical Effects-Numbers'!$B$1:$AU$172,$B65,FALSE)&lt;0,HLOOKUP(AS$4,'Physical Effects-Numbers'!$B$1:$AU$172,$B65,FALSE),""))</f>
        <v/>
      </c>
      <c r="AT65" s="488" t="str">
        <f>IF(AT$4="","",IF(HLOOKUP(AT$4,'Physical Effects-Numbers'!$B$1:$AU$172,$B65,FALSE)&lt;0,HLOOKUP(AT$4,'Physical Effects-Numbers'!$B$1:$AU$172,$B65,FALSE),""))</f>
        <v/>
      </c>
      <c r="AU65" s="488" t="str">
        <f>IF(AU$4="","",IF(HLOOKUP(AU$4,'Physical Effects-Numbers'!$B$1:$AU$172,$B65,FALSE)&lt;0,HLOOKUP(AU$4,'Physical Effects-Numbers'!$B$1:$AU$172,$B65,FALSE),""))</f>
        <v/>
      </c>
      <c r="AV65" s="488" t="str">
        <f>IF(AV$4="","",IF(HLOOKUP(AV$4,'Physical Effects-Numbers'!$B$1:$AU$167,$B65,FALSE)&lt;0,HLOOKUP(AV$4,'Physical Effects-Numbers'!$B$1:$AU$167,$B65,FALSE),""))</f>
        <v/>
      </c>
    </row>
    <row r="66" spans="2:48" x14ac:dyDescent="0.2">
      <c r="B66" s="487">
        <f t="shared" si="0"/>
        <v>63</v>
      </c>
      <c r="C66" s="486" t="str">
        <f>+'Physical Effects-Numbers'!B63</f>
        <v>Heavy Use Area Protection</v>
      </c>
      <c r="D66" s="488" t="str">
        <f>IF(D$4="","",IF(HLOOKUP(D$4,'Physical Effects-Numbers'!$B$1:$AU$172,$B66,FALSE)&lt;0,HLOOKUP(D$4,'Physical Effects-Numbers'!$B$1:$AU$172,$B66,FALSE),""))</f>
        <v/>
      </c>
      <c r="E66" s="488" t="str">
        <f>IF(E$4="","",IF(HLOOKUP(E$4,'Physical Effects-Numbers'!$B$1:$AU$172,$B66,FALSE)&lt;0,HLOOKUP(E$4,'Physical Effects-Numbers'!$B$1:$AU$172,$B66,FALSE),""))</f>
        <v/>
      </c>
      <c r="F66" s="488" t="str">
        <f>IF(F$4="","",IF(HLOOKUP(F$4,'Physical Effects-Numbers'!$B$1:$AU$172,$B66,FALSE)&lt;0,HLOOKUP(F$4,'Physical Effects-Numbers'!$B$1:$AU$172,$B66,FALSE),""))</f>
        <v/>
      </c>
      <c r="G66" s="488" t="str">
        <f>IF(G$4="","",IF(HLOOKUP(G$4,'Physical Effects-Numbers'!$B$1:$AU$172,$B66,FALSE)&lt;0,HLOOKUP(G$4,'Physical Effects-Numbers'!$B$1:$AU$172,$B66,FALSE),""))</f>
        <v/>
      </c>
      <c r="H66" s="488" t="str">
        <f>IF(H$4="","",IF(HLOOKUP(H$4,'Physical Effects-Numbers'!$B$1:$AU$172,$B66,FALSE)&lt;0,HLOOKUP(H$4,'Physical Effects-Numbers'!$B$1:$AU$172,$B66,FALSE),""))</f>
        <v/>
      </c>
      <c r="I66" s="488" t="str">
        <f>IF(I$4="","",IF(HLOOKUP(I$4,'Physical Effects-Numbers'!$B$1:$AU$172,$B66,FALSE)&lt;0,HLOOKUP(I$4,'Physical Effects-Numbers'!$B$1:$AU$172,$B66,FALSE),""))</f>
        <v/>
      </c>
      <c r="J66" s="488" t="str">
        <f>IF(J$4="","",IF(HLOOKUP(J$4,'Physical Effects-Numbers'!$B$1:$AU$172,$B66,FALSE)&lt;0,HLOOKUP(J$4,'Physical Effects-Numbers'!$B$1:$AU$172,$B66,FALSE),""))</f>
        <v/>
      </c>
      <c r="K66" s="488" t="str">
        <f>IF(K$4="","",IF(HLOOKUP(K$4,'Physical Effects-Numbers'!$B$1:$AU$172,$B66,FALSE)&lt;0,HLOOKUP(K$4,'Physical Effects-Numbers'!$B$1:$AU$172,$B66,FALSE),""))</f>
        <v/>
      </c>
      <c r="L66" s="488" t="str">
        <f>IF(L$4="","",IF(HLOOKUP(L$4,'Physical Effects-Numbers'!$B$1:$AU$172,$B66,FALSE)&lt;0,HLOOKUP(L$4,'Physical Effects-Numbers'!$B$1:$AU$172,$B66,FALSE),""))</f>
        <v/>
      </c>
      <c r="M66" s="488" t="str">
        <f>IF(M$4="","",IF(HLOOKUP(M$4,'Physical Effects-Numbers'!$B$1:$AU$172,$B66,FALSE)&lt;0,HLOOKUP(M$4,'Physical Effects-Numbers'!$B$1:$AU$172,$B66,FALSE),""))</f>
        <v/>
      </c>
      <c r="N66" s="488">
        <f>IF(N$4="","",IF(HLOOKUP(N$4,'Physical Effects-Numbers'!$B$1:$AU$172,$B66,FALSE)&lt;0,HLOOKUP(N$4,'Physical Effects-Numbers'!$B$1:$AU$172,$B66,FALSE),""))</f>
        <v>-1</v>
      </c>
      <c r="O66" s="488" t="str">
        <f>IF(O$4="","",IF(HLOOKUP(O$4,'Physical Effects-Numbers'!$B$1:$AU$172,$B66,FALSE)&lt;0,HLOOKUP(O$4,'Physical Effects-Numbers'!$B$1:$AU$172,$B66,FALSE),""))</f>
        <v/>
      </c>
      <c r="P66" s="488" t="str">
        <f>IF(P$4="","",IF(HLOOKUP(P$4,'Physical Effects-Numbers'!$B$1:$AU$172,$B66,FALSE)&lt;0,HLOOKUP(P$4,'Physical Effects-Numbers'!$B$1:$AU$172,$B66,FALSE),""))</f>
        <v/>
      </c>
      <c r="Q66" s="488" t="str">
        <f>IF(Q$4="","",IF(HLOOKUP(Q$4,'Physical Effects-Numbers'!$B$1:$AU$172,$B66,FALSE)&lt;0,HLOOKUP(Q$4,'Physical Effects-Numbers'!$B$1:$AU$172,$B66,FALSE),""))</f>
        <v/>
      </c>
      <c r="R66" s="488" t="str">
        <f>IF(R$4="","",IF(HLOOKUP(R$4,'Physical Effects-Numbers'!$B$1:$AU$172,$B66,FALSE)&lt;0,HLOOKUP(R$4,'Physical Effects-Numbers'!$B$1:$AU$172,$B66,FALSE),""))</f>
        <v/>
      </c>
      <c r="S66" s="488" t="str">
        <f>IF(S$4="","",IF(HLOOKUP(S$4,'Physical Effects-Numbers'!$B$1:$AU$172,$B66,FALSE)&lt;0,HLOOKUP(S$4,'Physical Effects-Numbers'!$B$1:$AU$172,$B66,FALSE),""))</f>
        <v/>
      </c>
      <c r="T66" s="488" t="str">
        <f>IF(T$4="","",IF(HLOOKUP(T$4,'Physical Effects-Numbers'!$B$1:$AU$172,$B66,FALSE)&lt;0,HLOOKUP(T$4,'Physical Effects-Numbers'!$B$1:$AU$172,$B66,FALSE),""))</f>
        <v/>
      </c>
      <c r="U66" s="488" t="str">
        <f>IF(U$4="","",IF(HLOOKUP(U$4,'Physical Effects-Numbers'!$B$1:$AU$172,$B66,FALSE)&lt;0,HLOOKUP(U$4,'Physical Effects-Numbers'!$B$1:$AU$172,$B66,FALSE),""))</f>
        <v/>
      </c>
      <c r="V66" s="488" t="str">
        <f>IF(V$4="","",IF(HLOOKUP(V$4,'Physical Effects-Numbers'!$B$1:$AU$172,$B66,FALSE)&lt;0,HLOOKUP(V$4,'Physical Effects-Numbers'!$B$1:$AU$172,$B66,FALSE),""))</f>
        <v/>
      </c>
      <c r="W66" s="488" t="str">
        <f>IF(W$4="","",IF(HLOOKUP(W$4,'Physical Effects-Numbers'!$B$1:$AU$172,$B66,FALSE)&lt;0,HLOOKUP(W$4,'Physical Effects-Numbers'!$B$1:$AU$172,$B66,FALSE),""))</f>
        <v/>
      </c>
      <c r="X66" s="488" t="str">
        <f>IF(X$4="","",IF(HLOOKUP(X$4,'Physical Effects-Numbers'!$B$1:$AU$172,$B66,FALSE)&lt;0,HLOOKUP(X$4,'Physical Effects-Numbers'!$B$1:$AU$172,$B66,FALSE),""))</f>
        <v/>
      </c>
      <c r="Y66" s="488" t="str">
        <f>IF(Y$4="","",IF(HLOOKUP(Y$4,'Physical Effects-Numbers'!$B$1:$AU$172,$B66,FALSE)&lt;0,HLOOKUP(Y$4,'Physical Effects-Numbers'!$B$1:$AU$172,$B66,FALSE),""))</f>
        <v/>
      </c>
      <c r="Z66" s="488" t="str">
        <f>IF(Z$4="","",IF(HLOOKUP(Z$4,'Physical Effects-Numbers'!$B$1:$AU$172,$B66,FALSE)&lt;0,HLOOKUP(Z$4,'Physical Effects-Numbers'!$B$1:$AU$172,$B66,FALSE),""))</f>
        <v/>
      </c>
      <c r="AA66" s="488" t="str">
        <f>IF(AA$4="","",IF(HLOOKUP(AA$4,'Physical Effects-Numbers'!$B$1:$AU$172,$B66,FALSE)&lt;0,HLOOKUP(AA$4,'Physical Effects-Numbers'!$B$1:$AU$172,$B66,FALSE),""))</f>
        <v/>
      </c>
      <c r="AB66" s="488" t="str">
        <f>IF(AB$4="","",IF(HLOOKUP(AB$4,'Physical Effects-Numbers'!$B$1:$AU$172,$B66,FALSE)&lt;0,HLOOKUP(AB$4,'Physical Effects-Numbers'!$B$1:$AU$172,$B66,FALSE),""))</f>
        <v/>
      </c>
      <c r="AC66" s="488" t="str">
        <f>IF(AC$4="","",IF(HLOOKUP(AC$4,'Physical Effects-Numbers'!$B$1:$AU$172,$B66,FALSE)&lt;0,HLOOKUP(AC$4,'Physical Effects-Numbers'!$B$1:$AU$172,$B66,FALSE),""))</f>
        <v/>
      </c>
      <c r="AD66" s="488" t="str">
        <f>IF(AD$4="","",IF(HLOOKUP(AD$4,'Physical Effects-Numbers'!$B$1:$AU$172,$B66,FALSE)&lt;0,HLOOKUP(AD$4,'Physical Effects-Numbers'!$B$1:$AU$172,$B66,FALSE),""))</f>
        <v/>
      </c>
      <c r="AE66" s="488" t="str">
        <f>IF(AE$4="","",IF(HLOOKUP(AE$4,'Physical Effects-Numbers'!$B$1:$AU$172,$B66,FALSE)&lt;0,HLOOKUP(AE$4,'Physical Effects-Numbers'!$B$1:$AU$172,$B66,FALSE),""))</f>
        <v/>
      </c>
      <c r="AF66" s="488" t="str">
        <f>IF(AF$4="","",IF(HLOOKUP(AF$4,'Physical Effects-Numbers'!$B$1:$AU$172,$B66,FALSE)&lt;0,HLOOKUP(AF$4,'Physical Effects-Numbers'!$B$1:$AU$172,$B66,FALSE),""))</f>
        <v/>
      </c>
      <c r="AG66" s="488" t="str">
        <f>IF(AG$4="","",IF(HLOOKUP(AG$4,'Physical Effects-Numbers'!$B$1:$AU$172,$B66,FALSE)&lt;0,HLOOKUP(AG$4,'Physical Effects-Numbers'!$B$1:$AU$172,$B66,FALSE),""))</f>
        <v/>
      </c>
      <c r="AH66" s="488" t="str">
        <f>IF(AH$4="","",IF(HLOOKUP(AH$4,'Physical Effects-Numbers'!$B$1:$AU$172,$B66,FALSE)&lt;0,HLOOKUP(AH$4,'Physical Effects-Numbers'!$B$1:$AU$172,$B66,FALSE),""))</f>
        <v/>
      </c>
      <c r="AI66" s="488" t="str">
        <f>IF(AI$4="","",IF(HLOOKUP(AI$4,'Physical Effects-Numbers'!$B$1:$AU$172,$B66,FALSE)&lt;0,HLOOKUP(AI$4,'Physical Effects-Numbers'!$B$1:$AU$172,$B66,FALSE),""))</f>
        <v/>
      </c>
      <c r="AJ66" s="488" t="str">
        <f>IF(AJ$4="","",IF(HLOOKUP(AJ$4,'Physical Effects-Numbers'!$B$1:$AU$172,$B66,FALSE)&lt;0,HLOOKUP(AJ$4,'Physical Effects-Numbers'!$B$1:$AU$172,$B66,FALSE),""))</f>
        <v/>
      </c>
      <c r="AK66" s="488" t="str">
        <f>IF(AK$4="","",IF(HLOOKUP(AK$4,'Physical Effects-Numbers'!$B$1:$AU$172,$B66,FALSE)&lt;0,HLOOKUP(AK$4,'Physical Effects-Numbers'!$B$1:$AU$172,$B66,FALSE),""))</f>
        <v/>
      </c>
      <c r="AL66" s="488" t="str">
        <f>IF(AL$4="","",IF(HLOOKUP(AL$4,'Physical Effects-Numbers'!$B$1:$AU$172,$B66,FALSE)&lt;0,HLOOKUP(AL$4,'Physical Effects-Numbers'!$B$1:$AU$172,$B66,FALSE),""))</f>
        <v/>
      </c>
      <c r="AM66" s="488" t="str">
        <f>IF(AM$4="","",IF(HLOOKUP(AM$4,'Physical Effects-Numbers'!$B$1:$AU$172,$B66,FALSE)&lt;0,HLOOKUP(AM$4,'Physical Effects-Numbers'!$B$1:$AU$172,$B66,FALSE),""))</f>
        <v/>
      </c>
      <c r="AN66" s="488" t="str">
        <f>IF(AN$4="","",IF(HLOOKUP(AN$4,'Physical Effects-Numbers'!$B$1:$AU$172,$B66,FALSE)&lt;0,HLOOKUP(AN$4,'Physical Effects-Numbers'!$B$1:$AU$172,$B66,FALSE),""))</f>
        <v/>
      </c>
      <c r="AO66" s="488" t="str">
        <f>IF(AO$4="","",IF(HLOOKUP(AO$4,'Physical Effects-Numbers'!$B$1:$AU$172,$B66,FALSE)&lt;0,HLOOKUP(AO$4,'Physical Effects-Numbers'!$B$1:$AU$172,$B66,FALSE),""))</f>
        <v/>
      </c>
      <c r="AP66" s="488" t="str">
        <f>IF(AP$4="","",IF(HLOOKUP(AP$4,'Physical Effects-Numbers'!$B$1:$AU$172,$B66,FALSE)&lt;0,HLOOKUP(AP$4,'Physical Effects-Numbers'!$B$1:$AU$172,$B66,FALSE),""))</f>
        <v/>
      </c>
      <c r="AQ66" s="488" t="str">
        <f>IF(AQ$4="","",IF(HLOOKUP(AQ$4,'Physical Effects-Numbers'!$B$1:$AU$172,$B66,FALSE)&lt;0,HLOOKUP(AQ$4,'Physical Effects-Numbers'!$B$1:$AU$172,$B66,FALSE),""))</f>
        <v/>
      </c>
      <c r="AR66" s="488" t="str">
        <f>IF(AR$4="","",IF(HLOOKUP(AR$4,'Physical Effects-Numbers'!$B$1:$AU$172,$B66,FALSE)&lt;0,HLOOKUP(AR$4,'Physical Effects-Numbers'!$B$1:$AU$172,$B66,FALSE),""))</f>
        <v/>
      </c>
      <c r="AS66" s="488" t="str">
        <f>IF(AS$4="","",IF(HLOOKUP(AS$4,'Physical Effects-Numbers'!$B$1:$AU$172,$B66,FALSE)&lt;0,HLOOKUP(AS$4,'Physical Effects-Numbers'!$B$1:$AU$172,$B66,FALSE),""))</f>
        <v/>
      </c>
      <c r="AT66" s="488" t="str">
        <f>IF(AT$4="","",IF(HLOOKUP(AT$4,'Physical Effects-Numbers'!$B$1:$AU$172,$B66,FALSE)&lt;0,HLOOKUP(AT$4,'Physical Effects-Numbers'!$B$1:$AU$172,$B66,FALSE),""))</f>
        <v/>
      </c>
      <c r="AU66" s="488" t="str">
        <f>IF(AU$4="","",IF(HLOOKUP(AU$4,'Physical Effects-Numbers'!$B$1:$AU$172,$B66,FALSE)&lt;0,HLOOKUP(AU$4,'Physical Effects-Numbers'!$B$1:$AU$172,$B66,FALSE),""))</f>
        <v/>
      </c>
      <c r="AV66" s="488" t="str">
        <f>IF(AV$4="","",IF(HLOOKUP(AV$4,'Physical Effects-Numbers'!$B$1:$AU$167,$B66,FALSE)&lt;0,HLOOKUP(AV$4,'Physical Effects-Numbers'!$B$1:$AU$167,$B66,FALSE),""))</f>
        <v/>
      </c>
    </row>
    <row r="67" spans="2:48" x14ac:dyDescent="0.2">
      <c r="B67" s="487">
        <f t="shared" si="0"/>
        <v>64</v>
      </c>
      <c r="C67" s="486" t="str">
        <f>+'Physical Effects-Numbers'!B64</f>
        <v>Hedgerow Planting</v>
      </c>
      <c r="D67" s="488" t="str">
        <f>IF(D$4="","",IF(HLOOKUP(D$4,'Physical Effects-Numbers'!$B$1:$AU$172,$B67,FALSE)&lt;0,HLOOKUP(D$4,'Physical Effects-Numbers'!$B$1:$AU$172,$B67,FALSE),""))</f>
        <v/>
      </c>
      <c r="E67" s="488" t="str">
        <f>IF(E$4="","",IF(HLOOKUP(E$4,'Physical Effects-Numbers'!$B$1:$AU$172,$B67,FALSE)&lt;0,HLOOKUP(E$4,'Physical Effects-Numbers'!$B$1:$AU$172,$B67,FALSE),""))</f>
        <v/>
      </c>
      <c r="F67" s="488" t="str">
        <f>IF(F$4="","",IF(HLOOKUP(F$4,'Physical Effects-Numbers'!$B$1:$AU$172,$B67,FALSE)&lt;0,HLOOKUP(F$4,'Physical Effects-Numbers'!$B$1:$AU$172,$B67,FALSE),""))</f>
        <v/>
      </c>
      <c r="G67" s="488" t="str">
        <f>IF(G$4="","",IF(HLOOKUP(G$4,'Physical Effects-Numbers'!$B$1:$AU$172,$B67,FALSE)&lt;0,HLOOKUP(G$4,'Physical Effects-Numbers'!$B$1:$AU$172,$B67,FALSE),""))</f>
        <v/>
      </c>
      <c r="H67" s="488" t="str">
        <f>IF(H$4="","",IF(HLOOKUP(H$4,'Physical Effects-Numbers'!$B$1:$AU$172,$B67,FALSE)&lt;0,HLOOKUP(H$4,'Physical Effects-Numbers'!$B$1:$AU$172,$B67,FALSE),""))</f>
        <v/>
      </c>
      <c r="I67" s="488" t="str">
        <f>IF(I$4="","",IF(HLOOKUP(I$4,'Physical Effects-Numbers'!$B$1:$AU$172,$B67,FALSE)&lt;0,HLOOKUP(I$4,'Physical Effects-Numbers'!$B$1:$AU$172,$B67,FALSE),""))</f>
        <v/>
      </c>
      <c r="J67" s="488" t="str">
        <f>IF(J$4="","",IF(HLOOKUP(J$4,'Physical Effects-Numbers'!$B$1:$AU$172,$B67,FALSE)&lt;0,HLOOKUP(J$4,'Physical Effects-Numbers'!$B$1:$AU$172,$B67,FALSE),""))</f>
        <v/>
      </c>
      <c r="K67" s="488" t="str">
        <f>IF(K$4="","",IF(HLOOKUP(K$4,'Physical Effects-Numbers'!$B$1:$AU$172,$B67,FALSE)&lt;0,HLOOKUP(K$4,'Physical Effects-Numbers'!$B$1:$AU$172,$B67,FALSE),""))</f>
        <v/>
      </c>
      <c r="L67" s="488" t="str">
        <f>IF(L$4="","",IF(HLOOKUP(L$4,'Physical Effects-Numbers'!$B$1:$AU$172,$B67,FALSE)&lt;0,HLOOKUP(L$4,'Physical Effects-Numbers'!$B$1:$AU$172,$B67,FALSE),""))</f>
        <v/>
      </c>
      <c r="M67" s="488" t="str">
        <f>IF(M$4="","",IF(HLOOKUP(M$4,'Physical Effects-Numbers'!$B$1:$AU$172,$B67,FALSE)&lt;0,HLOOKUP(M$4,'Physical Effects-Numbers'!$B$1:$AU$172,$B67,FALSE),""))</f>
        <v/>
      </c>
      <c r="N67" s="488" t="str">
        <f>IF(N$4="","",IF(HLOOKUP(N$4,'Physical Effects-Numbers'!$B$1:$AU$172,$B67,FALSE)&lt;0,HLOOKUP(N$4,'Physical Effects-Numbers'!$B$1:$AU$172,$B67,FALSE),""))</f>
        <v/>
      </c>
      <c r="O67" s="488" t="str">
        <f>IF(O$4="","",IF(HLOOKUP(O$4,'Physical Effects-Numbers'!$B$1:$AU$172,$B67,FALSE)&lt;0,HLOOKUP(O$4,'Physical Effects-Numbers'!$B$1:$AU$172,$B67,FALSE),""))</f>
        <v/>
      </c>
      <c r="P67" s="488" t="str">
        <f>IF(P$4="","",IF(HLOOKUP(P$4,'Physical Effects-Numbers'!$B$1:$AU$172,$B67,FALSE)&lt;0,HLOOKUP(P$4,'Physical Effects-Numbers'!$B$1:$AU$172,$B67,FALSE),""))</f>
        <v/>
      </c>
      <c r="Q67" s="488" t="str">
        <f>IF(Q$4="","",IF(HLOOKUP(Q$4,'Physical Effects-Numbers'!$B$1:$AU$172,$B67,FALSE)&lt;0,HLOOKUP(Q$4,'Physical Effects-Numbers'!$B$1:$AU$172,$B67,FALSE),""))</f>
        <v/>
      </c>
      <c r="R67" s="488" t="str">
        <f>IF(R$4="","",IF(HLOOKUP(R$4,'Physical Effects-Numbers'!$B$1:$AU$172,$B67,FALSE)&lt;0,HLOOKUP(R$4,'Physical Effects-Numbers'!$B$1:$AU$172,$B67,FALSE),""))</f>
        <v/>
      </c>
      <c r="S67" s="488" t="str">
        <f>IF(S$4="","",IF(HLOOKUP(S$4,'Physical Effects-Numbers'!$B$1:$AU$172,$B67,FALSE)&lt;0,HLOOKUP(S$4,'Physical Effects-Numbers'!$B$1:$AU$172,$B67,FALSE),""))</f>
        <v/>
      </c>
      <c r="T67" s="488" t="str">
        <f>IF(T$4="","",IF(HLOOKUP(T$4,'Physical Effects-Numbers'!$B$1:$AU$172,$B67,FALSE)&lt;0,HLOOKUP(T$4,'Physical Effects-Numbers'!$B$1:$AU$172,$B67,FALSE),""))</f>
        <v/>
      </c>
      <c r="U67" s="488" t="str">
        <f>IF(U$4="","",IF(HLOOKUP(U$4,'Physical Effects-Numbers'!$B$1:$AU$172,$B67,FALSE)&lt;0,HLOOKUP(U$4,'Physical Effects-Numbers'!$B$1:$AU$172,$B67,FALSE),""))</f>
        <v/>
      </c>
      <c r="V67" s="488" t="str">
        <f>IF(V$4="","",IF(HLOOKUP(V$4,'Physical Effects-Numbers'!$B$1:$AU$172,$B67,FALSE)&lt;0,HLOOKUP(V$4,'Physical Effects-Numbers'!$B$1:$AU$172,$B67,FALSE),""))</f>
        <v/>
      </c>
      <c r="W67" s="488" t="str">
        <f>IF(W$4="","",IF(HLOOKUP(W$4,'Physical Effects-Numbers'!$B$1:$AU$172,$B67,FALSE)&lt;0,HLOOKUP(W$4,'Physical Effects-Numbers'!$B$1:$AU$172,$B67,FALSE),""))</f>
        <v/>
      </c>
      <c r="X67" s="488" t="str">
        <f>IF(X$4="","",IF(HLOOKUP(X$4,'Physical Effects-Numbers'!$B$1:$AU$172,$B67,FALSE)&lt;0,HLOOKUP(X$4,'Physical Effects-Numbers'!$B$1:$AU$172,$B67,FALSE),""))</f>
        <v/>
      </c>
      <c r="Y67" s="488" t="str">
        <f>IF(Y$4="","",IF(HLOOKUP(Y$4,'Physical Effects-Numbers'!$B$1:$AU$172,$B67,FALSE)&lt;0,HLOOKUP(Y$4,'Physical Effects-Numbers'!$B$1:$AU$172,$B67,FALSE),""))</f>
        <v/>
      </c>
      <c r="Z67" s="488" t="str">
        <f>IF(Z$4="","",IF(HLOOKUP(Z$4,'Physical Effects-Numbers'!$B$1:$AU$172,$B67,FALSE)&lt;0,HLOOKUP(Z$4,'Physical Effects-Numbers'!$B$1:$AU$172,$B67,FALSE),""))</f>
        <v/>
      </c>
      <c r="AA67" s="488" t="str">
        <f>IF(AA$4="","",IF(HLOOKUP(AA$4,'Physical Effects-Numbers'!$B$1:$AU$172,$B67,FALSE)&lt;0,HLOOKUP(AA$4,'Physical Effects-Numbers'!$B$1:$AU$172,$B67,FALSE),""))</f>
        <v/>
      </c>
      <c r="AB67" s="488" t="str">
        <f>IF(AB$4="","",IF(HLOOKUP(AB$4,'Physical Effects-Numbers'!$B$1:$AU$172,$B67,FALSE)&lt;0,HLOOKUP(AB$4,'Physical Effects-Numbers'!$B$1:$AU$172,$B67,FALSE),""))</f>
        <v/>
      </c>
      <c r="AC67" s="488" t="str">
        <f>IF(AC$4="","",IF(HLOOKUP(AC$4,'Physical Effects-Numbers'!$B$1:$AU$172,$B67,FALSE)&lt;0,HLOOKUP(AC$4,'Physical Effects-Numbers'!$B$1:$AU$172,$B67,FALSE),""))</f>
        <v/>
      </c>
      <c r="AD67" s="488" t="str">
        <f>IF(AD$4="","",IF(HLOOKUP(AD$4,'Physical Effects-Numbers'!$B$1:$AU$172,$B67,FALSE)&lt;0,HLOOKUP(AD$4,'Physical Effects-Numbers'!$B$1:$AU$172,$B67,FALSE),""))</f>
        <v/>
      </c>
      <c r="AE67" s="488" t="str">
        <f>IF(AE$4="","",IF(HLOOKUP(AE$4,'Physical Effects-Numbers'!$B$1:$AU$172,$B67,FALSE)&lt;0,HLOOKUP(AE$4,'Physical Effects-Numbers'!$B$1:$AU$172,$B67,FALSE),""))</f>
        <v/>
      </c>
      <c r="AF67" s="488" t="str">
        <f>IF(AF$4="","",IF(HLOOKUP(AF$4,'Physical Effects-Numbers'!$B$1:$AU$172,$B67,FALSE)&lt;0,HLOOKUP(AF$4,'Physical Effects-Numbers'!$B$1:$AU$172,$B67,FALSE),""))</f>
        <v/>
      </c>
      <c r="AG67" s="488" t="str">
        <f>IF(AG$4="","",IF(HLOOKUP(AG$4,'Physical Effects-Numbers'!$B$1:$AU$172,$B67,FALSE)&lt;0,HLOOKUP(AG$4,'Physical Effects-Numbers'!$B$1:$AU$172,$B67,FALSE),""))</f>
        <v/>
      </c>
      <c r="AH67" s="488" t="str">
        <f>IF(AH$4="","",IF(HLOOKUP(AH$4,'Physical Effects-Numbers'!$B$1:$AU$172,$B67,FALSE)&lt;0,HLOOKUP(AH$4,'Physical Effects-Numbers'!$B$1:$AU$172,$B67,FALSE),""))</f>
        <v/>
      </c>
      <c r="AI67" s="488" t="str">
        <f>IF(AI$4="","",IF(HLOOKUP(AI$4,'Physical Effects-Numbers'!$B$1:$AU$172,$B67,FALSE)&lt;0,HLOOKUP(AI$4,'Physical Effects-Numbers'!$B$1:$AU$172,$B67,FALSE),""))</f>
        <v/>
      </c>
      <c r="AJ67" s="488" t="str">
        <f>IF(AJ$4="","",IF(HLOOKUP(AJ$4,'Physical Effects-Numbers'!$B$1:$AU$172,$B67,FALSE)&lt;0,HLOOKUP(AJ$4,'Physical Effects-Numbers'!$B$1:$AU$172,$B67,FALSE),""))</f>
        <v/>
      </c>
      <c r="AK67" s="488" t="str">
        <f>IF(AK$4="","",IF(HLOOKUP(AK$4,'Physical Effects-Numbers'!$B$1:$AU$172,$B67,FALSE)&lt;0,HLOOKUP(AK$4,'Physical Effects-Numbers'!$B$1:$AU$172,$B67,FALSE),""))</f>
        <v/>
      </c>
      <c r="AL67" s="488" t="str">
        <f>IF(AL$4="","",IF(HLOOKUP(AL$4,'Physical Effects-Numbers'!$B$1:$AU$172,$B67,FALSE)&lt;0,HLOOKUP(AL$4,'Physical Effects-Numbers'!$B$1:$AU$172,$B67,FALSE),""))</f>
        <v/>
      </c>
      <c r="AM67" s="488" t="str">
        <f>IF(AM$4="","",IF(HLOOKUP(AM$4,'Physical Effects-Numbers'!$B$1:$AU$172,$B67,FALSE)&lt;0,HLOOKUP(AM$4,'Physical Effects-Numbers'!$B$1:$AU$172,$B67,FALSE),""))</f>
        <v/>
      </c>
      <c r="AN67" s="488" t="str">
        <f>IF(AN$4="","",IF(HLOOKUP(AN$4,'Physical Effects-Numbers'!$B$1:$AU$172,$B67,FALSE)&lt;0,HLOOKUP(AN$4,'Physical Effects-Numbers'!$B$1:$AU$172,$B67,FALSE),""))</f>
        <v/>
      </c>
      <c r="AO67" s="488" t="str">
        <f>IF(AO$4="","",IF(HLOOKUP(AO$4,'Physical Effects-Numbers'!$B$1:$AU$172,$B67,FALSE)&lt;0,HLOOKUP(AO$4,'Physical Effects-Numbers'!$B$1:$AU$172,$B67,FALSE),""))</f>
        <v/>
      </c>
      <c r="AP67" s="488" t="str">
        <f>IF(AP$4="","",IF(HLOOKUP(AP$4,'Physical Effects-Numbers'!$B$1:$AU$172,$B67,FALSE)&lt;0,HLOOKUP(AP$4,'Physical Effects-Numbers'!$B$1:$AU$172,$B67,FALSE),""))</f>
        <v/>
      </c>
      <c r="AQ67" s="488" t="str">
        <f>IF(AQ$4="","",IF(HLOOKUP(AQ$4,'Physical Effects-Numbers'!$B$1:$AU$172,$B67,FALSE)&lt;0,HLOOKUP(AQ$4,'Physical Effects-Numbers'!$B$1:$AU$172,$B67,FALSE),""))</f>
        <v/>
      </c>
      <c r="AR67" s="488" t="str">
        <f>IF(AR$4="","",IF(HLOOKUP(AR$4,'Physical Effects-Numbers'!$B$1:$AU$172,$B67,FALSE)&lt;0,HLOOKUP(AR$4,'Physical Effects-Numbers'!$B$1:$AU$172,$B67,FALSE),""))</f>
        <v/>
      </c>
      <c r="AS67" s="488" t="str">
        <f>IF(AS$4="","",IF(HLOOKUP(AS$4,'Physical Effects-Numbers'!$B$1:$AU$172,$B67,FALSE)&lt;0,HLOOKUP(AS$4,'Physical Effects-Numbers'!$B$1:$AU$172,$B67,FALSE),""))</f>
        <v/>
      </c>
      <c r="AT67" s="488" t="str">
        <f>IF(AT$4="","",IF(HLOOKUP(AT$4,'Physical Effects-Numbers'!$B$1:$AU$172,$B67,FALSE)&lt;0,HLOOKUP(AT$4,'Physical Effects-Numbers'!$B$1:$AU$172,$B67,FALSE),""))</f>
        <v/>
      </c>
      <c r="AU67" s="488" t="str">
        <f>IF(AU$4="","",IF(HLOOKUP(AU$4,'Physical Effects-Numbers'!$B$1:$AU$172,$B67,FALSE)&lt;0,HLOOKUP(AU$4,'Physical Effects-Numbers'!$B$1:$AU$172,$B67,FALSE),""))</f>
        <v/>
      </c>
      <c r="AV67" s="488" t="str">
        <f>IF(AV$4="","",IF(HLOOKUP(AV$4,'Physical Effects-Numbers'!$B$1:$AU$167,$B67,FALSE)&lt;0,HLOOKUP(AV$4,'Physical Effects-Numbers'!$B$1:$AU$167,$B67,FALSE),""))</f>
        <v/>
      </c>
    </row>
    <row r="68" spans="2:48" x14ac:dyDescent="0.2">
      <c r="B68" s="487">
        <f t="shared" si="0"/>
        <v>65</v>
      </c>
      <c r="C68" s="486" t="str">
        <f>+'Physical Effects-Numbers'!B65</f>
        <v>Herbaceous Weed Control</v>
      </c>
      <c r="D68" s="488" t="str">
        <f>IF(D$4="","",IF(HLOOKUP(D$4,'Physical Effects-Numbers'!$B$1:$AU$172,$B68,FALSE)&lt;0,HLOOKUP(D$4,'Physical Effects-Numbers'!$B$1:$AU$172,$B68,FALSE),""))</f>
        <v/>
      </c>
      <c r="E68" s="488" t="str">
        <f>IF(E$4="","",IF(HLOOKUP(E$4,'Physical Effects-Numbers'!$B$1:$AU$172,$B68,FALSE)&lt;0,HLOOKUP(E$4,'Physical Effects-Numbers'!$B$1:$AU$172,$B68,FALSE),""))</f>
        <v/>
      </c>
      <c r="F68" s="488" t="str">
        <f>IF(F$4="","",IF(HLOOKUP(F$4,'Physical Effects-Numbers'!$B$1:$AU$172,$B68,FALSE)&lt;0,HLOOKUP(F$4,'Physical Effects-Numbers'!$B$1:$AU$172,$B68,FALSE),""))</f>
        <v/>
      </c>
      <c r="G68" s="488" t="str">
        <f>IF(G$4="","",IF(HLOOKUP(G$4,'Physical Effects-Numbers'!$B$1:$AU$172,$B68,FALSE)&lt;0,HLOOKUP(G$4,'Physical Effects-Numbers'!$B$1:$AU$172,$B68,FALSE),""))</f>
        <v/>
      </c>
      <c r="H68" s="488" t="str">
        <f>IF(H$4="","",IF(HLOOKUP(H$4,'Physical Effects-Numbers'!$B$1:$AU$172,$B68,FALSE)&lt;0,HLOOKUP(H$4,'Physical Effects-Numbers'!$B$1:$AU$172,$B68,FALSE),""))</f>
        <v/>
      </c>
      <c r="I68" s="488" t="str">
        <f>IF(I$4="","",IF(HLOOKUP(I$4,'Physical Effects-Numbers'!$B$1:$AU$172,$B68,FALSE)&lt;0,HLOOKUP(I$4,'Physical Effects-Numbers'!$B$1:$AU$172,$B68,FALSE),""))</f>
        <v/>
      </c>
      <c r="J68" s="488" t="str">
        <f>IF(J$4="","",IF(HLOOKUP(J$4,'Physical Effects-Numbers'!$B$1:$AU$172,$B68,FALSE)&lt;0,HLOOKUP(J$4,'Physical Effects-Numbers'!$B$1:$AU$172,$B68,FALSE),""))</f>
        <v/>
      </c>
      <c r="K68" s="488" t="str">
        <f>IF(K$4="","",IF(HLOOKUP(K$4,'Physical Effects-Numbers'!$B$1:$AU$172,$B68,FALSE)&lt;0,HLOOKUP(K$4,'Physical Effects-Numbers'!$B$1:$AU$172,$B68,FALSE),""))</f>
        <v/>
      </c>
      <c r="L68" s="488" t="str">
        <f>IF(L$4="","",IF(HLOOKUP(L$4,'Physical Effects-Numbers'!$B$1:$AU$172,$B68,FALSE)&lt;0,HLOOKUP(L$4,'Physical Effects-Numbers'!$B$1:$AU$172,$B68,FALSE),""))</f>
        <v/>
      </c>
      <c r="M68" s="488" t="str">
        <f>IF(M$4="","",IF(HLOOKUP(M$4,'Physical Effects-Numbers'!$B$1:$AU$172,$B68,FALSE)&lt;0,HLOOKUP(M$4,'Physical Effects-Numbers'!$B$1:$AU$172,$B68,FALSE),""))</f>
        <v/>
      </c>
      <c r="N68" s="488" t="str">
        <f>IF(N$4="","",IF(HLOOKUP(N$4,'Physical Effects-Numbers'!$B$1:$AU$172,$B68,FALSE)&lt;0,HLOOKUP(N$4,'Physical Effects-Numbers'!$B$1:$AU$172,$B68,FALSE),""))</f>
        <v/>
      </c>
      <c r="O68" s="488" t="str">
        <f>IF(O$4="","",IF(HLOOKUP(O$4,'Physical Effects-Numbers'!$B$1:$AU$172,$B68,FALSE)&lt;0,HLOOKUP(O$4,'Physical Effects-Numbers'!$B$1:$AU$172,$B68,FALSE),""))</f>
        <v/>
      </c>
      <c r="P68" s="488" t="str">
        <f>IF(P$4="","",IF(HLOOKUP(P$4,'Physical Effects-Numbers'!$B$1:$AU$172,$B68,FALSE)&lt;0,HLOOKUP(P$4,'Physical Effects-Numbers'!$B$1:$AU$172,$B68,FALSE),""))</f>
        <v/>
      </c>
      <c r="Q68" s="488" t="str">
        <f>IF(Q$4="","",IF(HLOOKUP(Q$4,'Physical Effects-Numbers'!$B$1:$AU$172,$B68,FALSE)&lt;0,HLOOKUP(Q$4,'Physical Effects-Numbers'!$B$1:$AU$172,$B68,FALSE),""))</f>
        <v/>
      </c>
      <c r="R68" s="488" t="str">
        <f>IF(R$4="","",IF(HLOOKUP(R$4,'Physical Effects-Numbers'!$B$1:$AU$172,$B68,FALSE)&lt;0,HLOOKUP(R$4,'Physical Effects-Numbers'!$B$1:$AU$172,$B68,FALSE),""))</f>
        <v/>
      </c>
      <c r="S68" s="488">
        <f>IF(S$4="","",IF(HLOOKUP(S$4,'Physical Effects-Numbers'!$B$1:$AU$172,$B68,FALSE)&lt;0,HLOOKUP(S$4,'Physical Effects-Numbers'!$B$1:$AU$172,$B68,FALSE),""))</f>
        <v>-1</v>
      </c>
      <c r="T68" s="488" t="str">
        <f>IF(T$4="","",IF(HLOOKUP(T$4,'Physical Effects-Numbers'!$B$1:$AU$172,$B68,FALSE)&lt;0,HLOOKUP(T$4,'Physical Effects-Numbers'!$B$1:$AU$172,$B68,FALSE),""))</f>
        <v/>
      </c>
      <c r="U68" s="488" t="str">
        <f>IF(U$4="","",IF(HLOOKUP(U$4,'Physical Effects-Numbers'!$B$1:$AU$172,$B68,FALSE)&lt;0,HLOOKUP(U$4,'Physical Effects-Numbers'!$B$1:$AU$172,$B68,FALSE),""))</f>
        <v/>
      </c>
      <c r="V68" s="488" t="str">
        <f>IF(V$4="","",IF(HLOOKUP(V$4,'Physical Effects-Numbers'!$B$1:$AU$172,$B68,FALSE)&lt;0,HLOOKUP(V$4,'Physical Effects-Numbers'!$B$1:$AU$172,$B68,FALSE),""))</f>
        <v/>
      </c>
      <c r="W68" s="488" t="str">
        <f>IF(W$4="","",IF(HLOOKUP(W$4,'Physical Effects-Numbers'!$B$1:$AU$172,$B68,FALSE)&lt;0,HLOOKUP(W$4,'Physical Effects-Numbers'!$B$1:$AU$172,$B68,FALSE),""))</f>
        <v/>
      </c>
      <c r="X68" s="488" t="str">
        <f>IF(X$4="","",IF(HLOOKUP(X$4,'Physical Effects-Numbers'!$B$1:$AU$172,$B68,FALSE)&lt;0,HLOOKUP(X$4,'Physical Effects-Numbers'!$B$1:$AU$172,$B68,FALSE),""))</f>
        <v/>
      </c>
      <c r="Y68" s="488" t="str">
        <f>IF(Y$4="","",IF(HLOOKUP(Y$4,'Physical Effects-Numbers'!$B$1:$AU$172,$B68,FALSE)&lt;0,HLOOKUP(Y$4,'Physical Effects-Numbers'!$B$1:$AU$172,$B68,FALSE),""))</f>
        <v/>
      </c>
      <c r="Z68" s="488" t="str">
        <f>IF(Z$4="","",IF(HLOOKUP(Z$4,'Physical Effects-Numbers'!$B$1:$AU$172,$B68,FALSE)&lt;0,HLOOKUP(Z$4,'Physical Effects-Numbers'!$B$1:$AU$172,$B68,FALSE),""))</f>
        <v/>
      </c>
      <c r="AA68" s="488" t="str">
        <f>IF(AA$4="","",IF(HLOOKUP(AA$4,'Physical Effects-Numbers'!$B$1:$AU$172,$B68,FALSE)&lt;0,HLOOKUP(AA$4,'Physical Effects-Numbers'!$B$1:$AU$172,$B68,FALSE),""))</f>
        <v/>
      </c>
      <c r="AB68" s="488" t="str">
        <f>IF(AB$4="","",IF(HLOOKUP(AB$4,'Physical Effects-Numbers'!$B$1:$AU$172,$B68,FALSE)&lt;0,HLOOKUP(AB$4,'Physical Effects-Numbers'!$B$1:$AU$172,$B68,FALSE),""))</f>
        <v/>
      </c>
      <c r="AC68" s="488" t="str">
        <f>IF(AC$4="","",IF(HLOOKUP(AC$4,'Physical Effects-Numbers'!$B$1:$AU$172,$B68,FALSE)&lt;0,HLOOKUP(AC$4,'Physical Effects-Numbers'!$B$1:$AU$172,$B68,FALSE),""))</f>
        <v/>
      </c>
      <c r="AD68" s="488" t="str">
        <f>IF(AD$4="","",IF(HLOOKUP(AD$4,'Physical Effects-Numbers'!$B$1:$AU$172,$B68,FALSE)&lt;0,HLOOKUP(AD$4,'Physical Effects-Numbers'!$B$1:$AU$172,$B68,FALSE),""))</f>
        <v/>
      </c>
      <c r="AE68" s="488" t="str">
        <f>IF(AE$4="","",IF(HLOOKUP(AE$4,'Physical Effects-Numbers'!$B$1:$AU$172,$B68,FALSE)&lt;0,HLOOKUP(AE$4,'Physical Effects-Numbers'!$B$1:$AU$172,$B68,FALSE),""))</f>
        <v/>
      </c>
      <c r="AF68" s="488" t="str">
        <f>IF(AF$4="","",IF(HLOOKUP(AF$4,'Physical Effects-Numbers'!$B$1:$AU$172,$B68,FALSE)&lt;0,HLOOKUP(AF$4,'Physical Effects-Numbers'!$B$1:$AU$172,$B68,FALSE),""))</f>
        <v/>
      </c>
      <c r="AG68" s="488" t="str">
        <f>IF(AG$4="","",IF(HLOOKUP(AG$4,'Physical Effects-Numbers'!$B$1:$AU$172,$B68,FALSE)&lt;0,HLOOKUP(AG$4,'Physical Effects-Numbers'!$B$1:$AU$172,$B68,FALSE),""))</f>
        <v/>
      </c>
      <c r="AH68" s="488" t="str">
        <f>IF(AH$4="","",IF(HLOOKUP(AH$4,'Physical Effects-Numbers'!$B$1:$AU$172,$B68,FALSE)&lt;0,HLOOKUP(AH$4,'Physical Effects-Numbers'!$B$1:$AU$172,$B68,FALSE),""))</f>
        <v/>
      </c>
      <c r="AI68" s="488" t="str">
        <f>IF(AI$4="","",IF(HLOOKUP(AI$4,'Physical Effects-Numbers'!$B$1:$AU$172,$B68,FALSE)&lt;0,HLOOKUP(AI$4,'Physical Effects-Numbers'!$B$1:$AU$172,$B68,FALSE),""))</f>
        <v/>
      </c>
      <c r="AJ68" s="488" t="str">
        <f>IF(AJ$4="","",IF(HLOOKUP(AJ$4,'Physical Effects-Numbers'!$B$1:$AU$172,$B68,FALSE)&lt;0,HLOOKUP(AJ$4,'Physical Effects-Numbers'!$B$1:$AU$172,$B68,FALSE),""))</f>
        <v/>
      </c>
      <c r="AK68" s="488" t="str">
        <f>IF(AK$4="","",IF(HLOOKUP(AK$4,'Physical Effects-Numbers'!$B$1:$AU$172,$B68,FALSE)&lt;0,HLOOKUP(AK$4,'Physical Effects-Numbers'!$B$1:$AU$172,$B68,FALSE),""))</f>
        <v/>
      </c>
      <c r="AL68" s="488" t="str">
        <f>IF(AL$4="","",IF(HLOOKUP(AL$4,'Physical Effects-Numbers'!$B$1:$AU$172,$B68,FALSE)&lt;0,HLOOKUP(AL$4,'Physical Effects-Numbers'!$B$1:$AU$172,$B68,FALSE),""))</f>
        <v/>
      </c>
      <c r="AM68" s="488" t="str">
        <f>IF(AM$4="","",IF(HLOOKUP(AM$4,'Physical Effects-Numbers'!$B$1:$AU$172,$B68,FALSE)&lt;0,HLOOKUP(AM$4,'Physical Effects-Numbers'!$B$1:$AU$172,$B68,FALSE),""))</f>
        <v/>
      </c>
      <c r="AN68" s="488" t="str">
        <f>IF(AN$4="","",IF(HLOOKUP(AN$4,'Physical Effects-Numbers'!$B$1:$AU$172,$B68,FALSE)&lt;0,HLOOKUP(AN$4,'Physical Effects-Numbers'!$B$1:$AU$172,$B68,FALSE),""))</f>
        <v/>
      </c>
      <c r="AO68" s="488" t="str">
        <f>IF(AO$4="","",IF(HLOOKUP(AO$4,'Physical Effects-Numbers'!$B$1:$AU$172,$B68,FALSE)&lt;0,HLOOKUP(AO$4,'Physical Effects-Numbers'!$B$1:$AU$172,$B68,FALSE),""))</f>
        <v/>
      </c>
      <c r="AP68" s="488" t="str">
        <f>IF(AP$4="","",IF(HLOOKUP(AP$4,'Physical Effects-Numbers'!$B$1:$AU$172,$B68,FALSE)&lt;0,HLOOKUP(AP$4,'Physical Effects-Numbers'!$B$1:$AU$172,$B68,FALSE),""))</f>
        <v/>
      </c>
      <c r="AQ68" s="488" t="str">
        <f>IF(AQ$4="","",IF(HLOOKUP(AQ$4,'Physical Effects-Numbers'!$B$1:$AU$172,$B68,FALSE)&lt;0,HLOOKUP(AQ$4,'Physical Effects-Numbers'!$B$1:$AU$172,$B68,FALSE),""))</f>
        <v/>
      </c>
      <c r="AR68" s="488" t="str">
        <f>IF(AR$4="","",IF(HLOOKUP(AR$4,'Physical Effects-Numbers'!$B$1:$AU$172,$B68,FALSE)&lt;0,HLOOKUP(AR$4,'Physical Effects-Numbers'!$B$1:$AU$172,$B68,FALSE),""))</f>
        <v/>
      </c>
      <c r="AS68" s="488" t="str">
        <f>IF(AS$4="","",IF(HLOOKUP(AS$4,'Physical Effects-Numbers'!$B$1:$AU$172,$B68,FALSE)&lt;0,HLOOKUP(AS$4,'Physical Effects-Numbers'!$B$1:$AU$172,$B68,FALSE),""))</f>
        <v/>
      </c>
      <c r="AT68" s="488" t="str">
        <f>IF(AT$4="","",IF(HLOOKUP(AT$4,'Physical Effects-Numbers'!$B$1:$AU$172,$B68,FALSE)&lt;0,HLOOKUP(AT$4,'Physical Effects-Numbers'!$B$1:$AU$172,$B68,FALSE),""))</f>
        <v/>
      </c>
      <c r="AU68" s="488" t="str">
        <f>IF(AU$4="","",IF(HLOOKUP(AU$4,'Physical Effects-Numbers'!$B$1:$AU$172,$B68,FALSE)&lt;0,HLOOKUP(AU$4,'Physical Effects-Numbers'!$B$1:$AU$172,$B68,FALSE),""))</f>
        <v/>
      </c>
      <c r="AV68" s="488" t="str">
        <f>IF(AV$4="","",IF(HLOOKUP(AV$4,'Physical Effects-Numbers'!$B$1:$AU$167,$B68,FALSE)&lt;0,HLOOKUP(AV$4,'Physical Effects-Numbers'!$B$1:$AU$167,$B68,FALSE),""))</f>
        <v/>
      </c>
    </row>
    <row r="69" spans="2:48" x14ac:dyDescent="0.2">
      <c r="B69" s="487">
        <f t="shared" si="0"/>
        <v>66</v>
      </c>
      <c r="C69" s="486" t="str">
        <f>+'Physical Effects-Numbers'!B66</f>
        <v>Herbaceous Wind Barriers</v>
      </c>
      <c r="D69" s="488" t="str">
        <f>IF(D$4="","",IF(HLOOKUP(D$4,'Physical Effects-Numbers'!$B$1:$AU$172,$B69,FALSE)&lt;0,HLOOKUP(D$4,'Physical Effects-Numbers'!$B$1:$AU$172,$B69,FALSE),""))</f>
        <v/>
      </c>
      <c r="E69" s="488" t="str">
        <f>IF(E$4="","",IF(HLOOKUP(E$4,'Physical Effects-Numbers'!$B$1:$AU$172,$B69,FALSE)&lt;0,HLOOKUP(E$4,'Physical Effects-Numbers'!$B$1:$AU$172,$B69,FALSE),""))</f>
        <v/>
      </c>
      <c r="F69" s="488" t="str">
        <f>IF(F$4="","",IF(HLOOKUP(F$4,'Physical Effects-Numbers'!$B$1:$AU$172,$B69,FALSE)&lt;0,HLOOKUP(F$4,'Physical Effects-Numbers'!$B$1:$AU$172,$B69,FALSE),""))</f>
        <v/>
      </c>
      <c r="G69" s="488" t="str">
        <f>IF(G$4="","",IF(HLOOKUP(G$4,'Physical Effects-Numbers'!$B$1:$AU$172,$B69,FALSE)&lt;0,HLOOKUP(G$4,'Physical Effects-Numbers'!$B$1:$AU$172,$B69,FALSE),""))</f>
        <v/>
      </c>
      <c r="H69" s="488" t="str">
        <f>IF(H$4="","",IF(HLOOKUP(H$4,'Physical Effects-Numbers'!$B$1:$AU$172,$B69,FALSE)&lt;0,HLOOKUP(H$4,'Physical Effects-Numbers'!$B$1:$AU$172,$B69,FALSE),""))</f>
        <v/>
      </c>
      <c r="I69" s="488" t="str">
        <f>IF(I$4="","",IF(HLOOKUP(I$4,'Physical Effects-Numbers'!$B$1:$AU$172,$B69,FALSE)&lt;0,HLOOKUP(I$4,'Physical Effects-Numbers'!$B$1:$AU$172,$B69,FALSE),""))</f>
        <v/>
      </c>
      <c r="J69" s="488" t="str">
        <f>IF(J$4="","",IF(HLOOKUP(J$4,'Physical Effects-Numbers'!$B$1:$AU$172,$B69,FALSE)&lt;0,HLOOKUP(J$4,'Physical Effects-Numbers'!$B$1:$AU$172,$B69,FALSE),""))</f>
        <v/>
      </c>
      <c r="K69" s="488" t="str">
        <f>IF(K$4="","",IF(HLOOKUP(K$4,'Physical Effects-Numbers'!$B$1:$AU$172,$B69,FALSE)&lt;0,HLOOKUP(K$4,'Physical Effects-Numbers'!$B$1:$AU$172,$B69,FALSE),""))</f>
        <v/>
      </c>
      <c r="L69" s="488" t="str">
        <f>IF(L$4="","",IF(HLOOKUP(L$4,'Physical Effects-Numbers'!$B$1:$AU$172,$B69,FALSE)&lt;0,HLOOKUP(L$4,'Physical Effects-Numbers'!$B$1:$AU$172,$B69,FALSE),""))</f>
        <v/>
      </c>
      <c r="M69" s="488" t="str">
        <f>IF(M$4="","",IF(HLOOKUP(M$4,'Physical Effects-Numbers'!$B$1:$AU$172,$B69,FALSE)&lt;0,HLOOKUP(M$4,'Physical Effects-Numbers'!$B$1:$AU$172,$B69,FALSE),""))</f>
        <v/>
      </c>
      <c r="N69" s="488" t="str">
        <f>IF(N$4="","",IF(HLOOKUP(N$4,'Physical Effects-Numbers'!$B$1:$AU$172,$B69,FALSE)&lt;0,HLOOKUP(N$4,'Physical Effects-Numbers'!$B$1:$AU$172,$B69,FALSE),""))</f>
        <v/>
      </c>
      <c r="O69" s="488" t="str">
        <f>IF(O$4="","",IF(HLOOKUP(O$4,'Physical Effects-Numbers'!$B$1:$AU$172,$B69,FALSE)&lt;0,HLOOKUP(O$4,'Physical Effects-Numbers'!$B$1:$AU$172,$B69,FALSE),""))</f>
        <v/>
      </c>
      <c r="P69" s="488" t="str">
        <f>IF(P$4="","",IF(HLOOKUP(P$4,'Physical Effects-Numbers'!$B$1:$AU$172,$B69,FALSE)&lt;0,HLOOKUP(P$4,'Physical Effects-Numbers'!$B$1:$AU$172,$B69,FALSE),""))</f>
        <v/>
      </c>
      <c r="Q69" s="488" t="str">
        <f>IF(Q$4="","",IF(HLOOKUP(Q$4,'Physical Effects-Numbers'!$B$1:$AU$172,$B69,FALSE)&lt;0,HLOOKUP(Q$4,'Physical Effects-Numbers'!$B$1:$AU$172,$B69,FALSE),""))</f>
        <v/>
      </c>
      <c r="R69" s="488" t="str">
        <f>IF(R$4="","",IF(HLOOKUP(R$4,'Physical Effects-Numbers'!$B$1:$AU$172,$B69,FALSE)&lt;0,HLOOKUP(R$4,'Physical Effects-Numbers'!$B$1:$AU$172,$B69,FALSE),""))</f>
        <v/>
      </c>
      <c r="S69" s="488" t="str">
        <f>IF(S$4="","",IF(HLOOKUP(S$4,'Physical Effects-Numbers'!$B$1:$AU$172,$B69,FALSE)&lt;0,HLOOKUP(S$4,'Physical Effects-Numbers'!$B$1:$AU$172,$B69,FALSE),""))</f>
        <v/>
      </c>
      <c r="T69" s="488" t="str">
        <f>IF(T$4="","",IF(HLOOKUP(T$4,'Physical Effects-Numbers'!$B$1:$AU$172,$B69,FALSE)&lt;0,HLOOKUP(T$4,'Physical Effects-Numbers'!$B$1:$AU$172,$B69,FALSE),""))</f>
        <v/>
      </c>
      <c r="U69" s="488" t="str">
        <f>IF(U$4="","",IF(HLOOKUP(U$4,'Physical Effects-Numbers'!$B$1:$AU$172,$B69,FALSE)&lt;0,HLOOKUP(U$4,'Physical Effects-Numbers'!$B$1:$AU$172,$B69,FALSE),""))</f>
        <v/>
      </c>
      <c r="V69" s="488" t="str">
        <f>IF(V$4="","",IF(HLOOKUP(V$4,'Physical Effects-Numbers'!$B$1:$AU$172,$B69,FALSE)&lt;0,HLOOKUP(V$4,'Physical Effects-Numbers'!$B$1:$AU$172,$B69,FALSE),""))</f>
        <v/>
      </c>
      <c r="W69" s="488" t="str">
        <f>IF(W$4="","",IF(HLOOKUP(W$4,'Physical Effects-Numbers'!$B$1:$AU$172,$B69,FALSE)&lt;0,HLOOKUP(W$4,'Physical Effects-Numbers'!$B$1:$AU$172,$B69,FALSE),""))</f>
        <v/>
      </c>
      <c r="X69" s="488" t="str">
        <f>IF(X$4="","",IF(HLOOKUP(X$4,'Physical Effects-Numbers'!$B$1:$AU$172,$B69,FALSE)&lt;0,HLOOKUP(X$4,'Physical Effects-Numbers'!$B$1:$AU$172,$B69,FALSE),""))</f>
        <v/>
      </c>
      <c r="Y69" s="488" t="str">
        <f>IF(Y$4="","",IF(HLOOKUP(Y$4,'Physical Effects-Numbers'!$B$1:$AU$172,$B69,FALSE)&lt;0,HLOOKUP(Y$4,'Physical Effects-Numbers'!$B$1:$AU$172,$B69,FALSE),""))</f>
        <v/>
      </c>
      <c r="Z69" s="488" t="str">
        <f>IF(Z$4="","",IF(HLOOKUP(Z$4,'Physical Effects-Numbers'!$B$1:$AU$172,$B69,FALSE)&lt;0,HLOOKUP(Z$4,'Physical Effects-Numbers'!$B$1:$AU$172,$B69,FALSE),""))</f>
        <v/>
      </c>
      <c r="AA69" s="488" t="str">
        <f>IF(AA$4="","",IF(HLOOKUP(AA$4,'Physical Effects-Numbers'!$B$1:$AU$172,$B69,FALSE)&lt;0,HLOOKUP(AA$4,'Physical Effects-Numbers'!$B$1:$AU$172,$B69,FALSE),""))</f>
        <v/>
      </c>
      <c r="AB69" s="488" t="str">
        <f>IF(AB$4="","",IF(HLOOKUP(AB$4,'Physical Effects-Numbers'!$B$1:$AU$172,$B69,FALSE)&lt;0,HLOOKUP(AB$4,'Physical Effects-Numbers'!$B$1:$AU$172,$B69,FALSE),""))</f>
        <v/>
      </c>
      <c r="AC69" s="488" t="str">
        <f>IF(AC$4="","",IF(HLOOKUP(AC$4,'Physical Effects-Numbers'!$B$1:$AU$172,$B69,FALSE)&lt;0,HLOOKUP(AC$4,'Physical Effects-Numbers'!$B$1:$AU$172,$B69,FALSE),""))</f>
        <v/>
      </c>
      <c r="AD69" s="488" t="str">
        <f>IF(AD$4="","",IF(HLOOKUP(AD$4,'Physical Effects-Numbers'!$B$1:$AU$172,$B69,FALSE)&lt;0,HLOOKUP(AD$4,'Physical Effects-Numbers'!$B$1:$AU$172,$B69,FALSE),""))</f>
        <v/>
      </c>
      <c r="AE69" s="488" t="str">
        <f>IF(AE$4="","",IF(HLOOKUP(AE$4,'Physical Effects-Numbers'!$B$1:$AU$172,$B69,FALSE)&lt;0,HLOOKUP(AE$4,'Physical Effects-Numbers'!$B$1:$AU$172,$B69,FALSE),""))</f>
        <v/>
      </c>
      <c r="AF69" s="488" t="str">
        <f>IF(AF$4="","",IF(HLOOKUP(AF$4,'Physical Effects-Numbers'!$B$1:$AU$172,$B69,FALSE)&lt;0,HLOOKUP(AF$4,'Physical Effects-Numbers'!$B$1:$AU$172,$B69,FALSE),""))</f>
        <v/>
      </c>
      <c r="AG69" s="488" t="str">
        <f>IF(AG$4="","",IF(HLOOKUP(AG$4,'Physical Effects-Numbers'!$B$1:$AU$172,$B69,FALSE)&lt;0,HLOOKUP(AG$4,'Physical Effects-Numbers'!$B$1:$AU$172,$B69,FALSE),""))</f>
        <v/>
      </c>
      <c r="AH69" s="488" t="str">
        <f>IF(AH$4="","",IF(HLOOKUP(AH$4,'Physical Effects-Numbers'!$B$1:$AU$172,$B69,FALSE)&lt;0,HLOOKUP(AH$4,'Physical Effects-Numbers'!$B$1:$AU$172,$B69,FALSE),""))</f>
        <v/>
      </c>
      <c r="AI69" s="488" t="str">
        <f>IF(AI$4="","",IF(HLOOKUP(AI$4,'Physical Effects-Numbers'!$B$1:$AU$172,$B69,FALSE)&lt;0,HLOOKUP(AI$4,'Physical Effects-Numbers'!$B$1:$AU$172,$B69,FALSE),""))</f>
        <v/>
      </c>
      <c r="AJ69" s="488" t="str">
        <f>IF(AJ$4="","",IF(HLOOKUP(AJ$4,'Physical Effects-Numbers'!$B$1:$AU$172,$B69,FALSE)&lt;0,HLOOKUP(AJ$4,'Physical Effects-Numbers'!$B$1:$AU$172,$B69,FALSE),""))</f>
        <v/>
      </c>
      <c r="AK69" s="488" t="str">
        <f>IF(AK$4="","",IF(HLOOKUP(AK$4,'Physical Effects-Numbers'!$B$1:$AU$172,$B69,FALSE)&lt;0,HLOOKUP(AK$4,'Physical Effects-Numbers'!$B$1:$AU$172,$B69,FALSE),""))</f>
        <v/>
      </c>
      <c r="AL69" s="488" t="str">
        <f>IF(AL$4="","",IF(HLOOKUP(AL$4,'Physical Effects-Numbers'!$B$1:$AU$172,$B69,FALSE)&lt;0,HLOOKUP(AL$4,'Physical Effects-Numbers'!$B$1:$AU$172,$B69,FALSE),""))</f>
        <v/>
      </c>
      <c r="AM69" s="488" t="str">
        <f>IF(AM$4="","",IF(HLOOKUP(AM$4,'Physical Effects-Numbers'!$B$1:$AU$172,$B69,FALSE)&lt;0,HLOOKUP(AM$4,'Physical Effects-Numbers'!$B$1:$AU$172,$B69,FALSE),""))</f>
        <v/>
      </c>
      <c r="AN69" s="488" t="str">
        <f>IF(AN$4="","",IF(HLOOKUP(AN$4,'Physical Effects-Numbers'!$B$1:$AU$172,$B69,FALSE)&lt;0,HLOOKUP(AN$4,'Physical Effects-Numbers'!$B$1:$AU$172,$B69,FALSE),""))</f>
        <v/>
      </c>
      <c r="AO69" s="488" t="str">
        <f>IF(AO$4="","",IF(HLOOKUP(AO$4,'Physical Effects-Numbers'!$B$1:$AU$172,$B69,FALSE)&lt;0,HLOOKUP(AO$4,'Physical Effects-Numbers'!$B$1:$AU$172,$B69,FALSE),""))</f>
        <v/>
      </c>
      <c r="AP69" s="488" t="str">
        <f>IF(AP$4="","",IF(HLOOKUP(AP$4,'Physical Effects-Numbers'!$B$1:$AU$172,$B69,FALSE)&lt;0,HLOOKUP(AP$4,'Physical Effects-Numbers'!$B$1:$AU$172,$B69,FALSE),""))</f>
        <v/>
      </c>
      <c r="AQ69" s="488" t="str">
        <f>IF(AQ$4="","",IF(HLOOKUP(AQ$4,'Physical Effects-Numbers'!$B$1:$AU$172,$B69,FALSE)&lt;0,HLOOKUP(AQ$4,'Physical Effects-Numbers'!$B$1:$AU$172,$B69,FALSE),""))</f>
        <v/>
      </c>
      <c r="AR69" s="488" t="str">
        <f>IF(AR$4="","",IF(HLOOKUP(AR$4,'Physical Effects-Numbers'!$B$1:$AU$172,$B69,FALSE)&lt;0,HLOOKUP(AR$4,'Physical Effects-Numbers'!$B$1:$AU$172,$B69,FALSE),""))</f>
        <v/>
      </c>
      <c r="AS69" s="488" t="str">
        <f>IF(AS$4="","",IF(HLOOKUP(AS$4,'Physical Effects-Numbers'!$B$1:$AU$172,$B69,FALSE)&lt;0,HLOOKUP(AS$4,'Physical Effects-Numbers'!$B$1:$AU$172,$B69,FALSE),""))</f>
        <v/>
      </c>
      <c r="AT69" s="488" t="str">
        <f>IF(AT$4="","",IF(HLOOKUP(AT$4,'Physical Effects-Numbers'!$B$1:$AU$172,$B69,FALSE)&lt;0,HLOOKUP(AT$4,'Physical Effects-Numbers'!$B$1:$AU$172,$B69,FALSE),""))</f>
        <v/>
      </c>
      <c r="AU69" s="488" t="str">
        <f>IF(AU$4="","",IF(HLOOKUP(AU$4,'Physical Effects-Numbers'!$B$1:$AU$172,$B69,FALSE)&lt;0,HLOOKUP(AU$4,'Physical Effects-Numbers'!$B$1:$AU$172,$B69,FALSE),""))</f>
        <v/>
      </c>
      <c r="AV69" s="488" t="str">
        <f>IF(AV$4="","",IF(HLOOKUP(AV$4,'Physical Effects-Numbers'!$B$1:$AU$167,$B69,FALSE)&lt;0,HLOOKUP(AV$4,'Physical Effects-Numbers'!$B$1:$AU$167,$B69,FALSE),""))</f>
        <v/>
      </c>
    </row>
    <row r="70" spans="2:48" x14ac:dyDescent="0.2">
      <c r="B70" s="487">
        <f t="shared" si="0"/>
        <v>67</v>
      </c>
      <c r="C70" s="486" t="str">
        <f>+'Physical Effects-Numbers'!B67</f>
        <v>High Tunnel System</v>
      </c>
      <c r="D70" s="488" t="str">
        <f>IF(D$4="","",IF(HLOOKUP(D$4,'Physical Effects-Numbers'!$B$1:$AU$172,$B70,FALSE)&lt;0,HLOOKUP(D$4,'Physical Effects-Numbers'!$B$1:$AU$172,$B70,FALSE),""))</f>
        <v/>
      </c>
      <c r="E70" s="488" t="str">
        <f>IF(E$4="","",IF(HLOOKUP(E$4,'Physical Effects-Numbers'!$B$1:$AU$172,$B70,FALSE)&lt;0,HLOOKUP(E$4,'Physical Effects-Numbers'!$B$1:$AU$172,$B70,FALSE),""))</f>
        <v/>
      </c>
      <c r="F70" s="488">
        <f>IF(F$4="","",IF(HLOOKUP(F$4,'Physical Effects-Numbers'!$B$1:$AU$172,$B70,FALSE)&lt;0,HLOOKUP(F$4,'Physical Effects-Numbers'!$B$1:$AU$172,$B70,FALSE),""))</f>
        <v>-1</v>
      </c>
      <c r="G70" s="488" t="str">
        <f>IF(G$4="","",IF(HLOOKUP(G$4,'Physical Effects-Numbers'!$B$1:$AU$172,$B70,FALSE)&lt;0,HLOOKUP(G$4,'Physical Effects-Numbers'!$B$1:$AU$172,$B70,FALSE),""))</f>
        <v/>
      </c>
      <c r="H70" s="488" t="str">
        <f>IF(H$4="","",IF(HLOOKUP(H$4,'Physical Effects-Numbers'!$B$1:$AU$172,$B70,FALSE)&lt;0,HLOOKUP(H$4,'Physical Effects-Numbers'!$B$1:$AU$172,$B70,FALSE),""))</f>
        <v/>
      </c>
      <c r="I70" s="488" t="str">
        <f>IF(I$4="","",IF(HLOOKUP(I$4,'Physical Effects-Numbers'!$B$1:$AU$172,$B70,FALSE)&lt;0,HLOOKUP(I$4,'Physical Effects-Numbers'!$B$1:$AU$172,$B70,FALSE),""))</f>
        <v/>
      </c>
      <c r="J70" s="488" t="str">
        <f>IF(J$4="","",IF(HLOOKUP(J$4,'Physical Effects-Numbers'!$B$1:$AU$172,$B70,FALSE)&lt;0,HLOOKUP(J$4,'Physical Effects-Numbers'!$B$1:$AU$172,$B70,FALSE),""))</f>
        <v/>
      </c>
      <c r="K70" s="488" t="str">
        <f>IF(K$4="","",IF(HLOOKUP(K$4,'Physical Effects-Numbers'!$B$1:$AU$172,$B70,FALSE)&lt;0,HLOOKUP(K$4,'Physical Effects-Numbers'!$B$1:$AU$172,$B70,FALSE),""))</f>
        <v/>
      </c>
      <c r="L70" s="488" t="str">
        <f>IF(L$4="","",IF(HLOOKUP(L$4,'Physical Effects-Numbers'!$B$1:$AU$172,$B70,FALSE)&lt;0,HLOOKUP(L$4,'Physical Effects-Numbers'!$B$1:$AU$172,$B70,FALSE),""))</f>
        <v/>
      </c>
      <c r="M70" s="488" t="str">
        <f>IF(M$4="","",IF(HLOOKUP(M$4,'Physical Effects-Numbers'!$B$1:$AU$172,$B70,FALSE)&lt;0,HLOOKUP(M$4,'Physical Effects-Numbers'!$B$1:$AU$172,$B70,FALSE),""))</f>
        <v/>
      </c>
      <c r="N70" s="488">
        <f>IF(N$4="","",IF(HLOOKUP(N$4,'Physical Effects-Numbers'!$B$1:$AU$172,$B70,FALSE)&lt;0,HLOOKUP(N$4,'Physical Effects-Numbers'!$B$1:$AU$172,$B70,FALSE),""))</f>
        <v>-3</v>
      </c>
      <c r="O70" s="488" t="str">
        <f>IF(O$4="","",IF(HLOOKUP(O$4,'Physical Effects-Numbers'!$B$1:$AU$172,$B70,FALSE)&lt;0,HLOOKUP(O$4,'Physical Effects-Numbers'!$B$1:$AU$172,$B70,FALSE),""))</f>
        <v/>
      </c>
      <c r="P70" s="488" t="str">
        <f>IF(P$4="","",IF(HLOOKUP(P$4,'Physical Effects-Numbers'!$B$1:$AU$172,$B70,FALSE)&lt;0,HLOOKUP(P$4,'Physical Effects-Numbers'!$B$1:$AU$172,$B70,FALSE),""))</f>
        <v/>
      </c>
      <c r="Q70" s="488" t="str">
        <f>IF(Q$4="","",IF(HLOOKUP(Q$4,'Physical Effects-Numbers'!$B$1:$AU$172,$B70,FALSE)&lt;0,HLOOKUP(Q$4,'Physical Effects-Numbers'!$B$1:$AU$172,$B70,FALSE),""))</f>
        <v/>
      </c>
      <c r="R70" s="488">
        <f>IF(R$4="","",IF(HLOOKUP(R$4,'Physical Effects-Numbers'!$B$1:$AU$172,$B70,FALSE)&lt;0,HLOOKUP(R$4,'Physical Effects-Numbers'!$B$1:$AU$172,$B70,FALSE),""))</f>
        <v>-1</v>
      </c>
      <c r="S70" s="488" t="str">
        <f>IF(S$4="","",IF(HLOOKUP(S$4,'Physical Effects-Numbers'!$B$1:$AU$172,$B70,FALSE)&lt;0,HLOOKUP(S$4,'Physical Effects-Numbers'!$B$1:$AU$172,$B70,FALSE),""))</f>
        <v/>
      </c>
      <c r="T70" s="488" t="str">
        <f>IF(T$4="","",IF(HLOOKUP(T$4,'Physical Effects-Numbers'!$B$1:$AU$172,$B70,FALSE)&lt;0,HLOOKUP(T$4,'Physical Effects-Numbers'!$B$1:$AU$172,$B70,FALSE),""))</f>
        <v/>
      </c>
      <c r="U70" s="488" t="str">
        <f>IF(U$4="","",IF(HLOOKUP(U$4,'Physical Effects-Numbers'!$B$1:$AU$172,$B70,FALSE)&lt;0,HLOOKUP(U$4,'Physical Effects-Numbers'!$B$1:$AU$172,$B70,FALSE),""))</f>
        <v/>
      </c>
      <c r="V70" s="488" t="str">
        <f>IF(V$4="","",IF(HLOOKUP(V$4,'Physical Effects-Numbers'!$B$1:$AU$172,$B70,FALSE)&lt;0,HLOOKUP(V$4,'Physical Effects-Numbers'!$B$1:$AU$172,$B70,FALSE),""))</f>
        <v/>
      </c>
      <c r="W70" s="488" t="str">
        <f>IF(W$4="","",IF(HLOOKUP(W$4,'Physical Effects-Numbers'!$B$1:$AU$172,$B70,FALSE)&lt;0,HLOOKUP(W$4,'Physical Effects-Numbers'!$B$1:$AU$172,$B70,FALSE),""))</f>
        <v/>
      </c>
      <c r="X70" s="488" t="str">
        <f>IF(X$4="","",IF(HLOOKUP(X$4,'Physical Effects-Numbers'!$B$1:$AU$172,$B70,FALSE)&lt;0,HLOOKUP(X$4,'Physical Effects-Numbers'!$B$1:$AU$172,$B70,FALSE),""))</f>
        <v/>
      </c>
      <c r="Y70" s="488" t="str">
        <f>IF(Y$4="","",IF(HLOOKUP(Y$4,'Physical Effects-Numbers'!$B$1:$AU$172,$B70,FALSE)&lt;0,HLOOKUP(Y$4,'Physical Effects-Numbers'!$B$1:$AU$172,$B70,FALSE),""))</f>
        <v/>
      </c>
      <c r="Z70" s="488" t="str">
        <f>IF(Z$4="","",IF(HLOOKUP(Z$4,'Physical Effects-Numbers'!$B$1:$AU$172,$B70,FALSE)&lt;0,HLOOKUP(Z$4,'Physical Effects-Numbers'!$B$1:$AU$172,$B70,FALSE),""))</f>
        <v/>
      </c>
      <c r="AA70" s="488">
        <f>IF(AA$4="","",IF(HLOOKUP(AA$4,'Physical Effects-Numbers'!$B$1:$AU$172,$B70,FALSE)&lt;0,HLOOKUP(AA$4,'Physical Effects-Numbers'!$B$1:$AU$172,$B70,FALSE),""))</f>
        <v>-1</v>
      </c>
      <c r="AB70" s="488" t="str">
        <f>IF(AB$4="","",IF(HLOOKUP(AB$4,'Physical Effects-Numbers'!$B$1:$AU$172,$B70,FALSE)&lt;0,HLOOKUP(AB$4,'Physical Effects-Numbers'!$B$1:$AU$172,$B70,FALSE),""))</f>
        <v/>
      </c>
      <c r="AC70" s="488" t="str">
        <f>IF(AC$4="","",IF(HLOOKUP(AC$4,'Physical Effects-Numbers'!$B$1:$AU$172,$B70,FALSE)&lt;0,HLOOKUP(AC$4,'Physical Effects-Numbers'!$B$1:$AU$172,$B70,FALSE),""))</f>
        <v/>
      </c>
      <c r="AD70" s="488" t="str">
        <f>IF(AD$4="","",IF(HLOOKUP(AD$4,'Physical Effects-Numbers'!$B$1:$AU$172,$B70,FALSE)&lt;0,HLOOKUP(AD$4,'Physical Effects-Numbers'!$B$1:$AU$172,$B70,FALSE),""))</f>
        <v/>
      </c>
      <c r="AE70" s="488" t="str">
        <f>IF(AE$4="","",IF(HLOOKUP(AE$4,'Physical Effects-Numbers'!$B$1:$AU$172,$B70,FALSE)&lt;0,HLOOKUP(AE$4,'Physical Effects-Numbers'!$B$1:$AU$172,$B70,FALSE),""))</f>
        <v/>
      </c>
      <c r="AF70" s="488" t="str">
        <f>IF(AF$4="","",IF(HLOOKUP(AF$4,'Physical Effects-Numbers'!$B$1:$AU$172,$B70,FALSE)&lt;0,HLOOKUP(AF$4,'Physical Effects-Numbers'!$B$1:$AU$172,$B70,FALSE),""))</f>
        <v/>
      </c>
      <c r="AG70" s="488" t="str">
        <f>IF(AG$4="","",IF(HLOOKUP(AG$4,'Physical Effects-Numbers'!$B$1:$AU$172,$B70,FALSE)&lt;0,HLOOKUP(AG$4,'Physical Effects-Numbers'!$B$1:$AU$172,$B70,FALSE),""))</f>
        <v/>
      </c>
      <c r="AH70" s="488" t="str">
        <f>IF(AH$4="","",IF(HLOOKUP(AH$4,'Physical Effects-Numbers'!$B$1:$AU$172,$B70,FALSE)&lt;0,HLOOKUP(AH$4,'Physical Effects-Numbers'!$B$1:$AU$172,$B70,FALSE),""))</f>
        <v/>
      </c>
      <c r="AI70" s="488" t="str">
        <f>IF(AI$4="","",IF(HLOOKUP(AI$4,'Physical Effects-Numbers'!$B$1:$AU$172,$B70,FALSE)&lt;0,HLOOKUP(AI$4,'Physical Effects-Numbers'!$B$1:$AU$172,$B70,FALSE),""))</f>
        <v/>
      </c>
      <c r="AJ70" s="488" t="str">
        <f>IF(AJ$4="","",IF(HLOOKUP(AJ$4,'Physical Effects-Numbers'!$B$1:$AU$172,$B70,FALSE)&lt;0,HLOOKUP(AJ$4,'Physical Effects-Numbers'!$B$1:$AU$172,$B70,FALSE),""))</f>
        <v/>
      </c>
      <c r="AK70" s="488" t="str">
        <f>IF(AK$4="","",IF(HLOOKUP(AK$4,'Physical Effects-Numbers'!$B$1:$AU$172,$B70,FALSE)&lt;0,HLOOKUP(AK$4,'Physical Effects-Numbers'!$B$1:$AU$172,$B70,FALSE),""))</f>
        <v/>
      </c>
      <c r="AL70" s="488" t="str">
        <f>IF(AL$4="","",IF(HLOOKUP(AL$4,'Physical Effects-Numbers'!$B$1:$AU$172,$B70,FALSE)&lt;0,HLOOKUP(AL$4,'Physical Effects-Numbers'!$B$1:$AU$172,$B70,FALSE),""))</f>
        <v/>
      </c>
      <c r="AM70" s="488" t="str">
        <f>IF(AM$4="","",IF(HLOOKUP(AM$4,'Physical Effects-Numbers'!$B$1:$AU$172,$B70,FALSE)&lt;0,HLOOKUP(AM$4,'Physical Effects-Numbers'!$B$1:$AU$172,$B70,FALSE),""))</f>
        <v/>
      </c>
      <c r="AN70" s="488" t="str">
        <f>IF(AN$4="","",IF(HLOOKUP(AN$4,'Physical Effects-Numbers'!$B$1:$AU$172,$B70,FALSE)&lt;0,HLOOKUP(AN$4,'Physical Effects-Numbers'!$B$1:$AU$172,$B70,FALSE),""))</f>
        <v/>
      </c>
      <c r="AO70" s="488" t="str">
        <f>IF(AO$4="","",IF(HLOOKUP(AO$4,'Physical Effects-Numbers'!$B$1:$AU$172,$B70,FALSE)&lt;0,HLOOKUP(AO$4,'Physical Effects-Numbers'!$B$1:$AU$172,$B70,FALSE),""))</f>
        <v/>
      </c>
      <c r="AP70" s="488" t="str">
        <f>IF(AP$4="","",IF(HLOOKUP(AP$4,'Physical Effects-Numbers'!$B$1:$AU$172,$B70,FALSE)&lt;0,HLOOKUP(AP$4,'Physical Effects-Numbers'!$B$1:$AU$172,$B70,FALSE),""))</f>
        <v/>
      </c>
      <c r="AQ70" s="488" t="str">
        <f>IF(AQ$4="","",IF(HLOOKUP(AQ$4,'Physical Effects-Numbers'!$B$1:$AU$172,$B70,FALSE)&lt;0,HLOOKUP(AQ$4,'Physical Effects-Numbers'!$B$1:$AU$172,$B70,FALSE),""))</f>
        <v/>
      </c>
      <c r="AR70" s="488" t="str">
        <f>IF(AR$4="","",IF(HLOOKUP(AR$4,'Physical Effects-Numbers'!$B$1:$AU$172,$B70,FALSE)&lt;0,HLOOKUP(AR$4,'Physical Effects-Numbers'!$B$1:$AU$172,$B70,FALSE),""))</f>
        <v/>
      </c>
      <c r="AS70" s="488" t="str">
        <f>IF(AS$4="","",IF(HLOOKUP(AS$4,'Physical Effects-Numbers'!$B$1:$AU$172,$B70,FALSE)&lt;0,HLOOKUP(AS$4,'Physical Effects-Numbers'!$B$1:$AU$172,$B70,FALSE),""))</f>
        <v/>
      </c>
      <c r="AT70" s="488" t="str">
        <f>IF(AT$4="","",IF(HLOOKUP(AT$4,'Physical Effects-Numbers'!$B$1:$AU$172,$B70,FALSE)&lt;0,HLOOKUP(AT$4,'Physical Effects-Numbers'!$B$1:$AU$172,$B70,FALSE),""))</f>
        <v/>
      </c>
      <c r="AU70" s="488" t="str">
        <f>IF(AU$4="","",IF(HLOOKUP(AU$4,'Physical Effects-Numbers'!$B$1:$AU$172,$B70,FALSE)&lt;0,HLOOKUP(AU$4,'Physical Effects-Numbers'!$B$1:$AU$172,$B70,FALSE),""))</f>
        <v/>
      </c>
      <c r="AV70" s="488" t="str">
        <f>IF(AV$4="","",IF(HLOOKUP(AV$4,'Physical Effects-Numbers'!$B$1:$AU$167,$B70,FALSE)&lt;0,HLOOKUP(AV$4,'Physical Effects-Numbers'!$B$1:$AU$167,$B70,FALSE),""))</f>
        <v/>
      </c>
    </row>
    <row r="71" spans="2:48" x14ac:dyDescent="0.2">
      <c r="B71" s="487">
        <f t="shared" ref="B71:B134" si="1">+B70+1</f>
        <v>68</v>
      </c>
      <c r="C71" s="486" t="str">
        <f>+'Physical Effects-Numbers'!B68</f>
        <v>Hillside Ditch</v>
      </c>
      <c r="D71" s="488" t="str">
        <f>IF(D$4="","",IF(HLOOKUP(D$4,'Physical Effects-Numbers'!$B$1:$AU$172,$B71,FALSE)&lt;0,HLOOKUP(D$4,'Physical Effects-Numbers'!$B$1:$AU$172,$B71,FALSE),""))</f>
        <v/>
      </c>
      <c r="E71" s="488" t="str">
        <f>IF(E$4="","",IF(HLOOKUP(E$4,'Physical Effects-Numbers'!$B$1:$AU$172,$B71,FALSE)&lt;0,HLOOKUP(E$4,'Physical Effects-Numbers'!$B$1:$AU$172,$B71,FALSE),""))</f>
        <v/>
      </c>
      <c r="F71" s="488" t="str">
        <f>IF(F$4="","",IF(HLOOKUP(F$4,'Physical Effects-Numbers'!$B$1:$AU$172,$B71,FALSE)&lt;0,HLOOKUP(F$4,'Physical Effects-Numbers'!$B$1:$AU$172,$B71,FALSE),""))</f>
        <v/>
      </c>
      <c r="G71" s="488" t="str">
        <f>IF(G$4="","",IF(HLOOKUP(G$4,'Physical Effects-Numbers'!$B$1:$AU$172,$B71,FALSE)&lt;0,HLOOKUP(G$4,'Physical Effects-Numbers'!$B$1:$AU$172,$B71,FALSE),""))</f>
        <v/>
      </c>
      <c r="H71" s="488" t="str">
        <f>IF(H$4="","",IF(HLOOKUP(H$4,'Physical Effects-Numbers'!$B$1:$AU$172,$B71,FALSE)&lt;0,HLOOKUP(H$4,'Physical Effects-Numbers'!$B$1:$AU$172,$B71,FALSE),""))</f>
        <v/>
      </c>
      <c r="I71" s="488" t="str">
        <f>IF(I$4="","",IF(HLOOKUP(I$4,'Physical Effects-Numbers'!$B$1:$AU$172,$B71,FALSE)&lt;0,HLOOKUP(I$4,'Physical Effects-Numbers'!$B$1:$AU$172,$B71,FALSE),""))</f>
        <v/>
      </c>
      <c r="J71" s="488" t="str">
        <f>IF(J$4="","",IF(HLOOKUP(J$4,'Physical Effects-Numbers'!$B$1:$AU$172,$B71,FALSE)&lt;0,HLOOKUP(J$4,'Physical Effects-Numbers'!$B$1:$AU$172,$B71,FALSE),""))</f>
        <v/>
      </c>
      <c r="K71" s="488" t="str">
        <f>IF(K$4="","",IF(HLOOKUP(K$4,'Physical Effects-Numbers'!$B$1:$AU$172,$B71,FALSE)&lt;0,HLOOKUP(K$4,'Physical Effects-Numbers'!$B$1:$AU$172,$B71,FALSE),""))</f>
        <v/>
      </c>
      <c r="L71" s="488" t="str">
        <f>IF(L$4="","",IF(HLOOKUP(L$4,'Physical Effects-Numbers'!$B$1:$AU$172,$B71,FALSE)&lt;0,HLOOKUP(L$4,'Physical Effects-Numbers'!$B$1:$AU$172,$B71,FALSE),""))</f>
        <v/>
      </c>
      <c r="M71" s="488" t="str">
        <f>IF(M$4="","",IF(HLOOKUP(M$4,'Physical Effects-Numbers'!$B$1:$AU$172,$B71,FALSE)&lt;0,HLOOKUP(M$4,'Physical Effects-Numbers'!$B$1:$AU$172,$B71,FALSE),""))</f>
        <v/>
      </c>
      <c r="N71" s="488" t="str">
        <f>IF(N$4="","",IF(HLOOKUP(N$4,'Physical Effects-Numbers'!$B$1:$AU$172,$B71,FALSE)&lt;0,HLOOKUP(N$4,'Physical Effects-Numbers'!$B$1:$AU$172,$B71,FALSE),""))</f>
        <v/>
      </c>
      <c r="O71" s="488" t="str">
        <f>IF(O$4="","",IF(HLOOKUP(O$4,'Physical Effects-Numbers'!$B$1:$AU$172,$B71,FALSE)&lt;0,HLOOKUP(O$4,'Physical Effects-Numbers'!$B$1:$AU$172,$B71,FALSE),""))</f>
        <v/>
      </c>
      <c r="P71" s="488" t="str">
        <f>IF(P$4="","",IF(HLOOKUP(P$4,'Physical Effects-Numbers'!$B$1:$AU$172,$B71,FALSE)&lt;0,HLOOKUP(P$4,'Physical Effects-Numbers'!$B$1:$AU$172,$B71,FALSE),""))</f>
        <v/>
      </c>
      <c r="Q71" s="488" t="str">
        <f>IF(Q$4="","",IF(HLOOKUP(Q$4,'Physical Effects-Numbers'!$B$1:$AU$172,$B71,FALSE)&lt;0,HLOOKUP(Q$4,'Physical Effects-Numbers'!$B$1:$AU$172,$B71,FALSE),""))</f>
        <v/>
      </c>
      <c r="R71" s="488" t="str">
        <f>IF(R$4="","",IF(HLOOKUP(R$4,'Physical Effects-Numbers'!$B$1:$AU$172,$B71,FALSE)&lt;0,HLOOKUP(R$4,'Physical Effects-Numbers'!$B$1:$AU$172,$B71,FALSE),""))</f>
        <v/>
      </c>
      <c r="S71" s="488" t="str">
        <f>IF(S$4="","",IF(HLOOKUP(S$4,'Physical Effects-Numbers'!$B$1:$AU$172,$B71,FALSE)&lt;0,HLOOKUP(S$4,'Physical Effects-Numbers'!$B$1:$AU$172,$B71,FALSE),""))</f>
        <v/>
      </c>
      <c r="T71" s="488" t="str">
        <f>IF(T$4="","",IF(HLOOKUP(T$4,'Physical Effects-Numbers'!$B$1:$AU$172,$B71,FALSE)&lt;0,HLOOKUP(T$4,'Physical Effects-Numbers'!$B$1:$AU$172,$B71,FALSE),""))</f>
        <v/>
      </c>
      <c r="U71" s="488">
        <f>IF(U$4="","",IF(HLOOKUP(U$4,'Physical Effects-Numbers'!$B$1:$AU$172,$B71,FALSE)&lt;0,HLOOKUP(U$4,'Physical Effects-Numbers'!$B$1:$AU$172,$B71,FALSE),""))</f>
        <v>-1</v>
      </c>
      <c r="V71" s="488">
        <f>IF(V$4="","",IF(HLOOKUP(V$4,'Physical Effects-Numbers'!$B$1:$AU$172,$B71,FALSE)&lt;0,HLOOKUP(V$4,'Physical Effects-Numbers'!$B$1:$AU$172,$B71,FALSE),""))</f>
        <v>-1</v>
      </c>
      <c r="W71" s="488" t="str">
        <f>IF(W$4="","",IF(HLOOKUP(W$4,'Physical Effects-Numbers'!$B$1:$AU$172,$B71,FALSE)&lt;0,HLOOKUP(W$4,'Physical Effects-Numbers'!$B$1:$AU$172,$B71,FALSE),""))</f>
        <v/>
      </c>
      <c r="X71" s="488" t="str">
        <f>IF(X$4="","",IF(HLOOKUP(X$4,'Physical Effects-Numbers'!$B$1:$AU$172,$B71,FALSE)&lt;0,HLOOKUP(X$4,'Physical Effects-Numbers'!$B$1:$AU$172,$B71,FALSE),""))</f>
        <v/>
      </c>
      <c r="Y71" s="488">
        <f>IF(Y$4="","",IF(HLOOKUP(Y$4,'Physical Effects-Numbers'!$B$1:$AU$172,$B71,FALSE)&lt;0,HLOOKUP(Y$4,'Physical Effects-Numbers'!$B$1:$AU$172,$B71,FALSE),""))</f>
        <v>-2</v>
      </c>
      <c r="Z71" s="488" t="str">
        <f>IF(Z$4="","",IF(HLOOKUP(Z$4,'Physical Effects-Numbers'!$B$1:$AU$172,$B71,FALSE)&lt;0,HLOOKUP(Z$4,'Physical Effects-Numbers'!$B$1:$AU$172,$B71,FALSE),""))</f>
        <v/>
      </c>
      <c r="AA71" s="488" t="str">
        <f>IF(AA$4="","",IF(HLOOKUP(AA$4,'Physical Effects-Numbers'!$B$1:$AU$172,$B71,FALSE)&lt;0,HLOOKUP(AA$4,'Physical Effects-Numbers'!$B$1:$AU$172,$B71,FALSE),""))</f>
        <v/>
      </c>
      <c r="AB71" s="488" t="str">
        <f>IF(AB$4="","",IF(HLOOKUP(AB$4,'Physical Effects-Numbers'!$B$1:$AU$172,$B71,FALSE)&lt;0,HLOOKUP(AB$4,'Physical Effects-Numbers'!$B$1:$AU$172,$B71,FALSE),""))</f>
        <v/>
      </c>
      <c r="AC71" s="488">
        <f>IF(AC$4="","",IF(HLOOKUP(AC$4,'Physical Effects-Numbers'!$B$1:$AU$172,$B71,FALSE)&lt;0,HLOOKUP(AC$4,'Physical Effects-Numbers'!$B$1:$AU$172,$B71,FALSE),""))</f>
        <v>-1</v>
      </c>
      <c r="AD71" s="488" t="str">
        <f>IF(AD$4="","",IF(HLOOKUP(AD$4,'Physical Effects-Numbers'!$B$1:$AU$172,$B71,FALSE)&lt;0,HLOOKUP(AD$4,'Physical Effects-Numbers'!$B$1:$AU$172,$B71,FALSE),""))</f>
        <v/>
      </c>
      <c r="AE71" s="488" t="str">
        <f>IF(AE$4="","",IF(HLOOKUP(AE$4,'Physical Effects-Numbers'!$B$1:$AU$172,$B71,FALSE)&lt;0,HLOOKUP(AE$4,'Physical Effects-Numbers'!$B$1:$AU$172,$B71,FALSE),""))</f>
        <v/>
      </c>
      <c r="AF71" s="488" t="str">
        <f>IF(AF$4="","",IF(HLOOKUP(AF$4,'Physical Effects-Numbers'!$B$1:$AU$172,$B71,FALSE)&lt;0,HLOOKUP(AF$4,'Physical Effects-Numbers'!$B$1:$AU$172,$B71,FALSE),""))</f>
        <v/>
      </c>
      <c r="AG71" s="488" t="str">
        <f>IF(AG$4="","",IF(HLOOKUP(AG$4,'Physical Effects-Numbers'!$B$1:$AU$172,$B71,FALSE)&lt;0,HLOOKUP(AG$4,'Physical Effects-Numbers'!$B$1:$AU$172,$B71,FALSE),""))</f>
        <v/>
      </c>
      <c r="AH71" s="488" t="str">
        <f>IF(AH$4="","",IF(HLOOKUP(AH$4,'Physical Effects-Numbers'!$B$1:$AU$172,$B71,FALSE)&lt;0,HLOOKUP(AH$4,'Physical Effects-Numbers'!$B$1:$AU$172,$B71,FALSE),""))</f>
        <v/>
      </c>
      <c r="AI71" s="488" t="str">
        <f>IF(AI$4="","",IF(HLOOKUP(AI$4,'Physical Effects-Numbers'!$B$1:$AU$172,$B71,FALSE)&lt;0,HLOOKUP(AI$4,'Physical Effects-Numbers'!$B$1:$AU$172,$B71,FALSE),""))</f>
        <v/>
      </c>
      <c r="AJ71" s="488" t="str">
        <f>IF(AJ$4="","",IF(HLOOKUP(AJ$4,'Physical Effects-Numbers'!$B$1:$AU$172,$B71,FALSE)&lt;0,HLOOKUP(AJ$4,'Physical Effects-Numbers'!$B$1:$AU$172,$B71,FALSE),""))</f>
        <v/>
      </c>
      <c r="AK71" s="488" t="str">
        <f>IF(AK$4="","",IF(HLOOKUP(AK$4,'Physical Effects-Numbers'!$B$1:$AU$172,$B71,FALSE)&lt;0,HLOOKUP(AK$4,'Physical Effects-Numbers'!$B$1:$AU$172,$B71,FALSE),""))</f>
        <v/>
      </c>
      <c r="AL71" s="488" t="str">
        <f>IF(AL$4="","",IF(HLOOKUP(AL$4,'Physical Effects-Numbers'!$B$1:$AU$172,$B71,FALSE)&lt;0,HLOOKUP(AL$4,'Physical Effects-Numbers'!$B$1:$AU$172,$B71,FALSE),""))</f>
        <v/>
      </c>
      <c r="AM71" s="488" t="str">
        <f>IF(AM$4="","",IF(HLOOKUP(AM$4,'Physical Effects-Numbers'!$B$1:$AU$172,$B71,FALSE)&lt;0,HLOOKUP(AM$4,'Physical Effects-Numbers'!$B$1:$AU$172,$B71,FALSE),""))</f>
        <v/>
      </c>
      <c r="AN71" s="488" t="str">
        <f>IF(AN$4="","",IF(HLOOKUP(AN$4,'Physical Effects-Numbers'!$B$1:$AU$172,$B71,FALSE)&lt;0,HLOOKUP(AN$4,'Physical Effects-Numbers'!$B$1:$AU$172,$B71,FALSE),""))</f>
        <v/>
      </c>
      <c r="AO71" s="488" t="str">
        <f>IF(AO$4="","",IF(HLOOKUP(AO$4,'Physical Effects-Numbers'!$B$1:$AU$172,$B71,FALSE)&lt;0,HLOOKUP(AO$4,'Physical Effects-Numbers'!$B$1:$AU$172,$B71,FALSE),""))</f>
        <v/>
      </c>
      <c r="AP71" s="488" t="str">
        <f>IF(AP$4="","",IF(HLOOKUP(AP$4,'Physical Effects-Numbers'!$B$1:$AU$172,$B71,FALSE)&lt;0,HLOOKUP(AP$4,'Physical Effects-Numbers'!$B$1:$AU$172,$B71,FALSE),""))</f>
        <v/>
      </c>
      <c r="AQ71" s="488" t="str">
        <f>IF(AQ$4="","",IF(HLOOKUP(AQ$4,'Physical Effects-Numbers'!$B$1:$AU$172,$B71,FALSE)&lt;0,HLOOKUP(AQ$4,'Physical Effects-Numbers'!$B$1:$AU$172,$B71,FALSE),""))</f>
        <v/>
      </c>
      <c r="AR71" s="488" t="str">
        <f>IF(AR$4="","",IF(HLOOKUP(AR$4,'Physical Effects-Numbers'!$B$1:$AU$172,$B71,FALSE)&lt;0,HLOOKUP(AR$4,'Physical Effects-Numbers'!$B$1:$AU$172,$B71,FALSE),""))</f>
        <v/>
      </c>
      <c r="AS71" s="488" t="str">
        <f>IF(AS$4="","",IF(HLOOKUP(AS$4,'Physical Effects-Numbers'!$B$1:$AU$172,$B71,FALSE)&lt;0,HLOOKUP(AS$4,'Physical Effects-Numbers'!$B$1:$AU$172,$B71,FALSE),""))</f>
        <v/>
      </c>
      <c r="AT71" s="488" t="str">
        <f>IF(AT$4="","",IF(HLOOKUP(AT$4,'Physical Effects-Numbers'!$B$1:$AU$172,$B71,FALSE)&lt;0,HLOOKUP(AT$4,'Physical Effects-Numbers'!$B$1:$AU$172,$B71,FALSE),""))</f>
        <v/>
      </c>
      <c r="AU71" s="488" t="str">
        <f>IF(AU$4="","",IF(HLOOKUP(AU$4,'Physical Effects-Numbers'!$B$1:$AU$172,$B71,FALSE)&lt;0,HLOOKUP(AU$4,'Physical Effects-Numbers'!$B$1:$AU$172,$B71,FALSE),""))</f>
        <v/>
      </c>
      <c r="AV71" s="488" t="str">
        <f>IF(AV$4="","",IF(HLOOKUP(AV$4,'Physical Effects-Numbers'!$B$1:$AU$167,$B71,FALSE)&lt;0,HLOOKUP(AV$4,'Physical Effects-Numbers'!$B$1:$AU$167,$B71,FALSE),""))</f>
        <v/>
      </c>
    </row>
    <row r="72" spans="2:48" x14ac:dyDescent="0.2">
      <c r="B72" s="487">
        <f t="shared" si="1"/>
        <v>69</v>
      </c>
      <c r="C72" s="486" t="str">
        <f>+'Physical Effects-Numbers'!B69</f>
        <v>Integrated Pest Management</v>
      </c>
      <c r="D72" s="488" t="str">
        <f>IF(D$4="","",IF(HLOOKUP(D$4,'Physical Effects-Numbers'!$B$1:$AU$172,$B72,FALSE)&lt;0,HLOOKUP(D$4,'Physical Effects-Numbers'!$B$1:$AU$172,$B72,FALSE),""))</f>
        <v/>
      </c>
      <c r="E72" s="488" t="str">
        <f>IF(E$4="","",IF(HLOOKUP(E$4,'Physical Effects-Numbers'!$B$1:$AU$172,$B72,FALSE)&lt;0,HLOOKUP(E$4,'Physical Effects-Numbers'!$B$1:$AU$172,$B72,FALSE),""))</f>
        <v/>
      </c>
      <c r="F72" s="488" t="str">
        <f>IF(F$4="","",IF(HLOOKUP(F$4,'Physical Effects-Numbers'!$B$1:$AU$172,$B72,FALSE)&lt;0,HLOOKUP(F$4,'Physical Effects-Numbers'!$B$1:$AU$172,$B72,FALSE),""))</f>
        <v/>
      </c>
      <c r="G72" s="488" t="str">
        <f>IF(G$4="","",IF(HLOOKUP(G$4,'Physical Effects-Numbers'!$B$1:$AU$172,$B72,FALSE)&lt;0,HLOOKUP(G$4,'Physical Effects-Numbers'!$B$1:$AU$172,$B72,FALSE),""))</f>
        <v/>
      </c>
      <c r="H72" s="488" t="str">
        <f>IF(H$4="","",IF(HLOOKUP(H$4,'Physical Effects-Numbers'!$B$1:$AU$172,$B72,FALSE)&lt;0,HLOOKUP(H$4,'Physical Effects-Numbers'!$B$1:$AU$172,$B72,FALSE),""))</f>
        <v/>
      </c>
      <c r="I72" s="488" t="str">
        <f>IF(I$4="","",IF(HLOOKUP(I$4,'Physical Effects-Numbers'!$B$1:$AU$172,$B72,FALSE)&lt;0,HLOOKUP(I$4,'Physical Effects-Numbers'!$B$1:$AU$172,$B72,FALSE),""))</f>
        <v/>
      </c>
      <c r="J72" s="488" t="str">
        <f>IF(J$4="","",IF(HLOOKUP(J$4,'Physical Effects-Numbers'!$B$1:$AU$172,$B72,FALSE)&lt;0,HLOOKUP(J$4,'Physical Effects-Numbers'!$B$1:$AU$172,$B72,FALSE),""))</f>
        <v/>
      </c>
      <c r="K72" s="488" t="str">
        <f>IF(K$4="","",IF(HLOOKUP(K$4,'Physical Effects-Numbers'!$B$1:$AU$172,$B72,FALSE)&lt;0,HLOOKUP(K$4,'Physical Effects-Numbers'!$B$1:$AU$172,$B72,FALSE),""))</f>
        <v/>
      </c>
      <c r="L72" s="488" t="str">
        <f>IF(L$4="","",IF(HLOOKUP(L$4,'Physical Effects-Numbers'!$B$1:$AU$172,$B72,FALSE)&lt;0,HLOOKUP(L$4,'Physical Effects-Numbers'!$B$1:$AU$172,$B72,FALSE),""))</f>
        <v/>
      </c>
      <c r="M72" s="488" t="str">
        <f>IF(M$4="","",IF(HLOOKUP(M$4,'Physical Effects-Numbers'!$B$1:$AU$172,$B72,FALSE)&lt;0,HLOOKUP(M$4,'Physical Effects-Numbers'!$B$1:$AU$172,$B72,FALSE),""))</f>
        <v/>
      </c>
      <c r="N72" s="488" t="str">
        <f>IF(N$4="","",IF(HLOOKUP(N$4,'Physical Effects-Numbers'!$B$1:$AU$172,$B72,FALSE)&lt;0,HLOOKUP(N$4,'Physical Effects-Numbers'!$B$1:$AU$172,$B72,FALSE),""))</f>
        <v/>
      </c>
      <c r="O72" s="488" t="str">
        <f>IF(O$4="","",IF(HLOOKUP(O$4,'Physical Effects-Numbers'!$B$1:$AU$172,$B72,FALSE)&lt;0,HLOOKUP(O$4,'Physical Effects-Numbers'!$B$1:$AU$172,$B72,FALSE),""))</f>
        <v/>
      </c>
      <c r="P72" s="488" t="str">
        <f>IF(P$4="","",IF(HLOOKUP(P$4,'Physical Effects-Numbers'!$B$1:$AU$172,$B72,FALSE)&lt;0,HLOOKUP(P$4,'Physical Effects-Numbers'!$B$1:$AU$172,$B72,FALSE),""))</f>
        <v/>
      </c>
      <c r="Q72" s="488" t="str">
        <f>IF(Q$4="","",IF(HLOOKUP(Q$4,'Physical Effects-Numbers'!$B$1:$AU$172,$B72,FALSE)&lt;0,HLOOKUP(Q$4,'Physical Effects-Numbers'!$B$1:$AU$172,$B72,FALSE),""))</f>
        <v/>
      </c>
      <c r="R72" s="488" t="str">
        <f>IF(R$4="","",IF(HLOOKUP(R$4,'Physical Effects-Numbers'!$B$1:$AU$172,$B72,FALSE)&lt;0,HLOOKUP(R$4,'Physical Effects-Numbers'!$B$1:$AU$172,$B72,FALSE),""))</f>
        <v/>
      </c>
      <c r="S72" s="488" t="str">
        <f>IF(S$4="","",IF(HLOOKUP(S$4,'Physical Effects-Numbers'!$B$1:$AU$172,$B72,FALSE)&lt;0,HLOOKUP(S$4,'Physical Effects-Numbers'!$B$1:$AU$172,$B72,FALSE),""))</f>
        <v/>
      </c>
      <c r="T72" s="488" t="str">
        <f>IF(T$4="","",IF(HLOOKUP(T$4,'Physical Effects-Numbers'!$B$1:$AU$172,$B72,FALSE)&lt;0,HLOOKUP(T$4,'Physical Effects-Numbers'!$B$1:$AU$172,$B72,FALSE),""))</f>
        <v/>
      </c>
      <c r="U72" s="488" t="str">
        <f>IF(U$4="","",IF(HLOOKUP(U$4,'Physical Effects-Numbers'!$B$1:$AU$172,$B72,FALSE)&lt;0,HLOOKUP(U$4,'Physical Effects-Numbers'!$B$1:$AU$172,$B72,FALSE),""))</f>
        <v/>
      </c>
      <c r="V72" s="488" t="str">
        <f>IF(V$4="","",IF(HLOOKUP(V$4,'Physical Effects-Numbers'!$B$1:$AU$172,$B72,FALSE)&lt;0,HLOOKUP(V$4,'Physical Effects-Numbers'!$B$1:$AU$172,$B72,FALSE),""))</f>
        <v/>
      </c>
      <c r="W72" s="488" t="str">
        <f>IF(W$4="","",IF(HLOOKUP(W$4,'Physical Effects-Numbers'!$B$1:$AU$172,$B72,FALSE)&lt;0,HLOOKUP(W$4,'Physical Effects-Numbers'!$B$1:$AU$172,$B72,FALSE),""))</f>
        <v/>
      </c>
      <c r="X72" s="488" t="str">
        <f>IF(X$4="","",IF(HLOOKUP(X$4,'Physical Effects-Numbers'!$B$1:$AU$172,$B72,FALSE)&lt;0,HLOOKUP(X$4,'Physical Effects-Numbers'!$B$1:$AU$172,$B72,FALSE),""))</f>
        <v/>
      </c>
      <c r="Y72" s="488" t="str">
        <f>IF(Y$4="","",IF(HLOOKUP(Y$4,'Physical Effects-Numbers'!$B$1:$AU$172,$B72,FALSE)&lt;0,HLOOKUP(Y$4,'Physical Effects-Numbers'!$B$1:$AU$172,$B72,FALSE),""))</f>
        <v/>
      </c>
      <c r="Z72" s="488" t="str">
        <f>IF(Z$4="","",IF(HLOOKUP(Z$4,'Physical Effects-Numbers'!$B$1:$AU$172,$B72,FALSE)&lt;0,HLOOKUP(Z$4,'Physical Effects-Numbers'!$B$1:$AU$172,$B72,FALSE),""))</f>
        <v/>
      </c>
      <c r="AA72" s="488" t="str">
        <f>IF(AA$4="","",IF(HLOOKUP(AA$4,'Physical Effects-Numbers'!$B$1:$AU$172,$B72,FALSE)&lt;0,HLOOKUP(AA$4,'Physical Effects-Numbers'!$B$1:$AU$172,$B72,FALSE),""))</f>
        <v/>
      </c>
      <c r="AB72" s="488" t="str">
        <f>IF(AB$4="","",IF(HLOOKUP(AB$4,'Physical Effects-Numbers'!$B$1:$AU$172,$B72,FALSE)&lt;0,HLOOKUP(AB$4,'Physical Effects-Numbers'!$B$1:$AU$172,$B72,FALSE),""))</f>
        <v/>
      </c>
      <c r="AC72" s="488" t="str">
        <f>IF(AC$4="","",IF(HLOOKUP(AC$4,'Physical Effects-Numbers'!$B$1:$AU$172,$B72,FALSE)&lt;0,HLOOKUP(AC$4,'Physical Effects-Numbers'!$B$1:$AU$172,$B72,FALSE),""))</f>
        <v/>
      </c>
      <c r="AD72" s="488" t="str">
        <f>IF(AD$4="","",IF(HLOOKUP(AD$4,'Physical Effects-Numbers'!$B$1:$AU$172,$B72,FALSE)&lt;0,HLOOKUP(AD$4,'Physical Effects-Numbers'!$B$1:$AU$172,$B72,FALSE),""))</f>
        <v/>
      </c>
      <c r="AE72" s="488" t="str">
        <f>IF(AE$4="","",IF(HLOOKUP(AE$4,'Physical Effects-Numbers'!$B$1:$AU$172,$B72,FALSE)&lt;0,HLOOKUP(AE$4,'Physical Effects-Numbers'!$B$1:$AU$172,$B72,FALSE),""))</f>
        <v/>
      </c>
      <c r="AF72" s="488" t="str">
        <f>IF(AF$4="","",IF(HLOOKUP(AF$4,'Physical Effects-Numbers'!$B$1:$AU$172,$B72,FALSE)&lt;0,HLOOKUP(AF$4,'Physical Effects-Numbers'!$B$1:$AU$172,$B72,FALSE),""))</f>
        <v/>
      </c>
      <c r="AG72" s="488" t="str">
        <f>IF(AG$4="","",IF(HLOOKUP(AG$4,'Physical Effects-Numbers'!$B$1:$AU$172,$B72,FALSE)&lt;0,HLOOKUP(AG$4,'Physical Effects-Numbers'!$B$1:$AU$172,$B72,FALSE),""))</f>
        <v/>
      </c>
      <c r="AH72" s="488" t="str">
        <f>IF(AH$4="","",IF(HLOOKUP(AH$4,'Physical Effects-Numbers'!$B$1:$AU$172,$B72,FALSE)&lt;0,HLOOKUP(AH$4,'Physical Effects-Numbers'!$B$1:$AU$172,$B72,FALSE),""))</f>
        <v/>
      </c>
      <c r="AI72" s="488" t="str">
        <f>IF(AI$4="","",IF(HLOOKUP(AI$4,'Physical Effects-Numbers'!$B$1:$AU$172,$B72,FALSE)&lt;0,HLOOKUP(AI$4,'Physical Effects-Numbers'!$B$1:$AU$172,$B72,FALSE),""))</f>
        <v/>
      </c>
      <c r="AJ72" s="488" t="str">
        <f>IF(AJ$4="","",IF(HLOOKUP(AJ$4,'Physical Effects-Numbers'!$B$1:$AU$172,$B72,FALSE)&lt;0,HLOOKUP(AJ$4,'Physical Effects-Numbers'!$B$1:$AU$172,$B72,FALSE),""))</f>
        <v/>
      </c>
      <c r="AK72" s="488" t="str">
        <f>IF(AK$4="","",IF(HLOOKUP(AK$4,'Physical Effects-Numbers'!$B$1:$AU$172,$B72,FALSE)&lt;0,HLOOKUP(AK$4,'Physical Effects-Numbers'!$B$1:$AU$172,$B72,FALSE),""))</f>
        <v/>
      </c>
      <c r="AL72" s="488" t="str">
        <f>IF(AL$4="","",IF(HLOOKUP(AL$4,'Physical Effects-Numbers'!$B$1:$AU$172,$B72,FALSE)&lt;0,HLOOKUP(AL$4,'Physical Effects-Numbers'!$B$1:$AU$172,$B72,FALSE),""))</f>
        <v/>
      </c>
      <c r="AM72" s="488" t="str">
        <f>IF(AM$4="","",IF(HLOOKUP(AM$4,'Physical Effects-Numbers'!$B$1:$AU$172,$B72,FALSE)&lt;0,HLOOKUP(AM$4,'Physical Effects-Numbers'!$B$1:$AU$172,$B72,FALSE),""))</f>
        <v/>
      </c>
      <c r="AN72" s="488" t="str">
        <f>IF(AN$4="","",IF(HLOOKUP(AN$4,'Physical Effects-Numbers'!$B$1:$AU$172,$B72,FALSE)&lt;0,HLOOKUP(AN$4,'Physical Effects-Numbers'!$B$1:$AU$172,$B72,FALSE),""))</f>
        <v/>
      </c>
      <c r="AO72" s="488" t="str">
        <f>IF(AO$4="","",IF(HLOOKUP(AO$4,'Physical Effects-Numbers'!$B$1:$AU$172,$B72,FALSE)&lt;0,HLOOKUP(AO$4,'Physical Effects-Numbers'!$B$1:$AU$172,$B72,FALSE),""))</f>
        <v/>
      </c>
      <c r="AP72" s="488" t="str">
        <f>IF(AP$4="","",IF(HLOOKUP(AP$4,'Physical Effects-Numbers'!$B$1:$AU$172,$B72,FALSE)&lt;0,HLOOKUP(AP$4,'Physical Effects-Numbers'!$B$1:$AU$172,$B72,FALSE),""))</f>
        <v/>
      </c>
      <c r="AQ72" s="488" t="str">
        <f>IF(AQ$4="","",IF(HLOOKUP(AQ$4,'Physical Effects-Numbers'!$B$1:$AU$172,$B72,FALSE)&lt;0,HLOOKUP(AQ$4,'Physical Effects-Numbers'!$B$1:$AU$172,$B72,FALSE),""))</f>
        <v/>
      </c>
      <c r="AR72" s="488" t="str">
        <f>IF(AR$4="","",IF(HLOOKUP(AR$4,'Physical Effects-Numbers'!$B$1:$AU$172,$B72,FALSE)&lt;0,HLOOKUP(AR$4,'Physical Effects-Numbers'!$B$1:$AU$172,$B72,FALSE),""))</f>
        <v/>
      </c>
      <c r="AS72" s="488" t="str">
        <f>IF(AS$4="","",IF(HLOOKUP(AS$4,'Physical Effects-Numbers'!$B$1:$AU$172,$B72,FALSE)&lt;0,HLOOKUP(AS$4,'Physical Effects-Numbers'!$B$1:$AU$172,$B72,FALSE),""))</f>
        <v/>
      </c>
      <c r="AT72" s="488" t="str">
        <f>IF(AT$4="","",IF(HLOOKUP(AT$4,'Physical Effects-Numbers'!$B$1:$AU$172,$B72,FALSE)&lt;0,HLOOKUP(AT$4,'Physical Effects-Numbers'!$B$1:$AU$172,$B72,FALSE),""))</f>
        <v/>
      </c>
      <c r="AU72" s="488" t="str">
        <f>IF(AU$4="","",IF(HLOOKUP(AU$4,'Physical Effects-Numbers'!$B$1:$AU$172,$B72,FALSE)&lt;0,HLOOKUP(AU$4,'Physical Effects-Numbers'!$B$1:$AU$172,$B72,FALSE),""))</f>
        <v/>
      </c>
      <c r="AV72" s="488" t="str">
        <f>IF(AV$4="","",IF(HLOOKUP(AV$4,'Physical Effects-Numbers'!$B$1:$AU$167,$B72,FALSE)&lt;0,HLOOKUP(AV$4,'Physical Effects-Numbers'!$B$1:$AU$167,$B72,FALSE),""))</f>
        <v/>
      </c>
    </row>
    <row r="73" spans="2:48" x14ac:dyDescent="0.2">
      <c r="B73" s="487">
        <f t="shared" si="1"/>
        <v>70</v>
      </c>
      <c r="C73" s="486" t="str">
        <f>+'Physical Effects-Numbers'!B70</f>
        <v>Irrigation Canal or Lateral</v>
      </c>
      <c r="D73" s="488" t="str">
        <f>IF(D$4="","",IF(HLOOKUP(D$4,'Physical Effects-Numbers'!$B$1:$AU$172,$B73,FALSE)&lt;0,HLOOKUP(D$4,'Physical Effects-Numbers'!$B$1:$AU$172,$B73,FALSE),""))</f>
        <v/>
      </c>
      <c r="E73" s="488" t="str">
        <f>IF(E$4="","",IF(HLOOKUP(E$4,'Physical Effects-Numbers'!$B$1:$AU$172,$B73,FALSE)&lt;0,HLOOKUP(E$4,'Physical Effects-Numbers'!$B$1:$AU$172,$B73,FALSE),""))</f>
        <v/>
      </c>
      <c r="F73" s="488" t="str">
        <f>IF(F$4="","",IF(HLOOKUP(F$4,'Physical Effects-Numbers'!$B$1:$AU$172,$B73,FALSE)&lt;0,HLOOKUP(F$4,'Physical Effects-Numbers'!$B$1:$AU$172,$B73,FALSE),""))</f>
        <v/>
      </c>
      <c r="G73" s="488" t="str">
        <f>IF(G$4="","",IF(HLOOKUP(G$4,'Physical Effects-Numbers'!$B$1:$AU$172,$B73,FALSE)&lt;0,HLOOKUP(G$4,'Physical Effects-Numbers'!$B$1:$AU$172,$B73,FALSE),""))</f>
        <v/>
      </c>
      <c r="H73" s="488" t="str">
        <f>IF(H$4="","",IF(HLOOKUP(H$4,'Physical Effects-Numbers'!$B$1:$AU$172,$B73,FALSE)&lt;0,HLOOKUP(H$4,'Physical Effects-Numbers'!$B$1:$AU$172,$B73,FALSE),""))</f>
        <v/>
      </c>
      <c r="I73" s="488" t="str">
        <f>IF(I$4="","",IF(HLOOKUP(I$4,'Physical Effects-Numbers'!$B$1:$AU$172,$B73,FALSE)&lt;0,HLOOKUP(I$4,'Physical Effects-Numbers'!$B$1:$AU$172,$B73,FALSE),""))</f>
        <v/>
      </c>
      <c r="J73" s="488" t="str">
        <f>IF(J$4="","",IF(HLOOKUP(J$4,'Physical Effects-Numbers'!$B$1:$AU$172,$B73,FALSE)&lt;0,HLOOKUP(J$4,'Physical Effects-Numbers'!$B$1:$AU$172,$B73,FALSE),""))</f>
        <v/>
      </c>
      <c r="K73" s="488" t="str">
        <f>IF(K$4="","",IF(HLOOKUP(K$4,'Physical Effects-Numbers'!$B$1:$AU$172,$B73,FALSE)&lt;0,HLOOKUP(K$4,'Physical Effects-Numbers'!$B$1:$AU$172,$B73,FALSE),""))</f>
        <v/>
      </c>
      <c r="L73" s="488" t="str">
        <f>IF(L$4="","",IF(HLOOKUP(L$4,'Physical Effects-Numbers'!$B$1:$AU$172,$B73,FALSE)&lt;0,HLOOKUP(L$4,'Physical Effects-Numbers'!$B$1:$AU$172,$B73,FALSE),""))</f>
        <v/>
      </c>
      <c r="M73" s="488" t="str">
        <f>IF(M$4="","",IF(HLOOKUP(M$4,'Physical Effects-Numbers'!$B$1:$AU$172,$B73,FALSE)&lt;0,HLOOKUP(M$4,'Physical Effects-Numbers'!$B$1:$AU$172,$B73,FALSE),""))</f>
        <v/>
      </c>
      <c r="N73" s="488" t="str">
        <f>IF(N$4="","",IF(HLOOKUP(N$4,'Physical Effects-Numbers'!$B$1:$AU$172,$B73,FALSE)&lt;0,HLOOKUP(N$4,'Physical Effects-Numbers'!$B$1:$AU$172,$B73,FALSE),""))</f>
        <v/>
      </c>
      <c r="O73" s="488">
        <f>IF(O$4="","",IF(HLOOKUP(O$4,'Physical Effects-Numbers'!$B$1:$AU$172,$B73,FALSE)&lt;0,HLOOKUP(O$4,'Physical Effects-Numbers'!$B$1:$AU$172,$B73,FALSE),""))</f>
        <v>-2</v>
      </c>
      <c r="P73" s="488" t="str">
        <f>IF(P$4="","",IF(HLOOKUP(P$4,'Physical Effects-Numbers'!$B$1:$AU$172,$B73,FALSE)&lt;0,HLOOKUP(P$4,'Physical Effects-Numbers'!$B$1:$AU$172,$B73,FALSE),""))</f>
        <v/>
      </c>
      <c r="Q73" s="488" t="str">
        <f>IF(Q$4="","",IF(HLOOKUP(Q$4,'Physical Effects-Numbers'!$B$1:$AU$172,$B73,FALSE)&lt;0,HLOOKUP(Q$4,'Physical Effects-Numbers'!$B$1:$AU$172,$B73,FALSE),""))</f>
        <v/>
      </c>
      <c r="R73" s="488" t="str">
        <f>IF(R$4="","",IF(HLOOKUP(R$4,'Physical Effects-Numbers'!$B$1:$AU$172,$B73,FALSE)&lt;0,HLOOKUP(R$4,'Physical Effects-Numbers'!$B$1:$AU$172,$B73,FALSE),""))</f>
        <v/>
      </c>
      <c r="S73" s="488" t="str">
        <f>IF(S$4="","",IF(HLOOKUP(S$4,'Physical Effects-Numbers'!$B$1:$AU$172,$B73,FALSE)&lt;0,HLOOKUP(S$4,'Physical Effects-Numbers'!$B$1:$AU$172,$B73,FALSE),""))</f>
        <v/>
      </c>
      <c r="T73" s="488" t="str">
        <f>IF(T$4="","",IF(HLOOKUP(T$4,'Physical Effects-Numbers'!$B$1:$AU$172,$B73,FALSE)&lt;0,HLOOKUP(T$4,'Physical Effects-Numbers'!$B$1:$AU$172,$B73,FALSE),""))</f>
        <v/>
      </c>
      <c r="U73" s="488">
        <f>IF(U$4="","",IF(HLOOKUP(U$4,'Physical Effects-Numbers'!$B$1:$AU$172,$B73,FALSE)&lt;0,HLOOKUP(U$4,'Physical Effects-Numbers'!$B$1:$AU$172,$B73,FALSE),""))</f>
        <v>-2</v>
      </c>
      <c r="V73" s="488" t="str">
        <f>IF(V$4="","",IF(HLOOKUP(V$4,'Physical Effects-Numbers'!$B$1:$AU$172,$B73,FALSE)&lt;0,HLOOKUP(V$4,'Physical Effects-Numbers'!$B$1:$AU$172,$B73,FALSE),""))</f>
        <v/>
      </c>
      <c r="W73" s="488" t="str">
        <f>IF(W$4="","",IF(HLOOKUP(W$4,'Physical Effects-Numbers'!$B$1:$AU$172,$B73,FALSE)&lt;0,HLOOKUP(W$4,'Physical Effects-Numbers'!$B$1:$AU$172,$B73,FALSE),""))</f>
        <v/>
      </c>
      <c r="X73" s="488" t="str">
        <f>IF(X$4="","",IF(HLOOKUP(X$4,'Physical Effects-Numbers'!$B$1:$AU$172,$B73,FALSE)&lt;0,HLOOKUP(X$4,'Physical Effects-Numbers'!$B$1:$AU$172,$B73,FALSE),""))</f>
        <v/>
      </c>
      <c r="Y73" s="488">
        <f>IF(Y$4="","",IF(HLOOKUP(Y$4,'Physical Effects-Numbers'!$B$1:$AU$172,$B73,FALSE)&lt;0,HLOOKUP(Y$4,'Physical Effects-Numbers'!$B$1:$AU$172,$B73,FALSE),""))</f>
        <v>-2</v>
      </c>
      <c r="Z73" s="488" t="str">
        <f>IF(Z$4="","",IF(HLOOKUP(Z$4,'Physical Effects-Numbers'!$B$1:$AU$172,$B73,FALSE)&lt;0,HLOOKUP(Z$4,'Physical Effects-Numbers'!$B$1:$AU$172,$B73,FALSE),""))</f>
        <v/>
      </c>
      <c r="AA73" s="488" t="str">
        <f>IF(AA$4="","",IF(HLOOKUP(AA$4,'Physical Effects-Numbers'!$B$1:$AU$172,$B73,FALSE)&lt;0,HLOOKUP(AA$4,'Physical Effects-Numbers'!$B$1:$AU$172,$B73,FALSE),""))</f>
        <v/>
      </c>
      <c r="AB73" s="488" t="str">
        <f>IF(AB$4="","",IF(HLOOKUP(AB$4,'Physical Effects-Numbers'!$B$1:$AU$172,$B73,FALSE)&lt;0,HLOOKUP(AB$4,'Physical Effects-Numbers'!$B$1:$AU$172,$B73,FALSE),""))</f>
        <v/>
      </c>
      <c r="AC73" s="488" t="str">
        <f>IF(AC$4="","",IF(HLOOKUP(AC$4,'Physical Effects-Numbers'!$B$1:$AU$172,$B73,FALSE)&lt;0,HLOOKUP(AC$4,'Physical Effects-Numbers'!$B$1:$AU$172,$B73,FALSE),""))</f>
        <v/>
      </c>
      <c r="AD73" s="488" t="str">
        <f>IF(AD$4="","",IF(HLOOKUP(AD$4,'Physical Effects-Numbers'!$B$1:$AU$172,$B73,FALSE)&lt;0,HLOOKUP(AD$4,'Physical Effects-Numbers'!$B$1:$AU$172,$B73,FALSE),""))</f>
        <v/>
      </c>
      <c r="AE73" s="488" t="str">
        <f>IF(AE$4="","",IF(HLOOKUP(AE$4,'Physical Effects-Numbers'!$B$1:$AU$172,$B73,FALSE)&lt;0,HLOOKUP(AE$4,'Physical Effects-Numbers'!$B$1:$AU$172,$B73,FALSE),""))</f>
        <v/>
      </c>
      <c r="AF73" s="488" t="str">
        <f>IF(AF$4="","",IF(HLOOKUP(AF$4,'Physical Effects-Numbers'!$B$1:$AU$172,$B73,FALSE)&lt;0,HLOOKUP(AF$4,'Physical Effects-Numbers'!$B$1:$AU$172,$B73,FALSE),""))</f>
        <v/>
      </c>
      <c r="AG73" s="488" t="str">
        <f>IF(AG$4="","",IF(HLOOKUP(AG$4,'Physical Effects-Numbers'!$B$1:$AU$172,$B73,FALSE)&lt;0,HLOOKUP(AG$4,'Physical Effects-Numbers'!$B$1:$AU$172,$B73,FALSE),""))</f>
        <v/>
      </c>
      <c r="AH73" s="488" t="str">
        <f>IF(AH$4="","",IF(HLOOKUP(AH$4,'Physical Effects-Numbers'!$B$1:$AU$172,$B73,FALSE)&lt;0,HLOOKUP(AH$4,'Physical Effects-Numbers'!$B$1:$AU$172,$B73,FALSE),""))</f>
        <v/>
      </c>
      <c r="AI73" s="488" t="str">
        <f>IF(AI$4="","",IF(HLOOKUP(AI$4,'Physical Effects-Numbers'!$B$1:$AU$172,$B73,FALSE)&lt;0,HLOOKUP(AI$4,'Physical Effects-Numbers'!$B$1:$AU$172,$B73,FALSE),""))</f>
        <v/>
      </c>
      <c r="AJ73" s="488" t="str">
        <f>IF(AJ$4="","",IF(HLOOKUP(AJ$4,'Physical Effects-Numbers'!$B$1:$AU$172,$B73,FALSE)&lt;0,HLOOKUP(AJ$4,'Physical Effects-Numbers'!$B$1:$AU$172,$B73,FALSE),""))</f>
        <v/>
      </c>
      <c r="AK73" s="488" t="str">
        <f>IF(AK$4="","",IF(HLOOKUP(AK$4,'Physical Effects-Numbers'!$B$1:$AU$172,$B73,FALSE)&lt;0,HLOOKUP(AK$4,'Physical Effects-Numbers'!$B$1:$AU$172,$B73,FALSE),""))</f>
        <v/>
      </c>
      <c r="AL73" s="488" t="str">
        <f>IF(AL$4="","",IF(HLOOKUP(AL$4,'Physical Effects-Numbers'!$B$1:$AU$172,$B73,FALSE)&lt;0,HLOOKUP(AL$4,'Physical Effects-Numbers'!$B$1:$AU$172,$B73,FALSE),""))</f>
        <v/>
      </c>
      <c r="AM73" s="488" t="str">
        <f>IF(AM$4="","",IF(HLOOKUP(AM$4,'Physical Effects-Numbers'!$B$1:$AU$172,$B73,FALSE)&lt;0,HLOOKUP(AM$4,'Physical Effects-Numbers'!$B$1:$AU$172,$B73,FALSE),""))</f>
        <v/>
      </c>
      <c r="AN73" s="488" t="str">
        <f>IF(AN$4="","",IF(HLOOKUP(AN$4,'Physical Effects-Numbers'!$B$1:$AU$172,$B73,FALSE)&lt;0,HLOOKUP(AN$4,'Physical Effects-Numbers'!$B$1:$AU$172,$B73,FALSE),""))</f>
        <v/>
      </c>
      <c r="AO73" s="488" t="str">
        <f>IF(AO$4="","",IF(HLOOKUP(AO$4,'Physical Effects-Numbers'!$B$1:$AU$172,$B73,FALSE)&lt;0,HLOOKUP(AO$4,'Physical Effects-Numbers'!$B$1:$AU$172,$B73,FALSE),""))</f>
        <v/>
      </c>
      <c r="AP73" s="488" t="str">
        <f>IF(AP$4="","",IF(HLOOKUP(AP$4,'Physical Effects-Numbers'!$B$1:$AU$172,$B73,FALSE)&lt;0,HLOOKUP(AP$4,'Physical Effects-Numbers'!$B$1:$AU$172,$B73,FALSE),""))</f>
        <v/>
      </c>
      <c r="AQ73" s="488" t="str">
        <f>IF(AQ$4="","",IF(HLOOKUP(AQ$4,'Physical Effects-Numbers'!$B$1:$AU$172,$B73,FALSE)&lt;0,HLOOKUP(AQ$4,'Physical Effects-Numbers'!$B$1:$AU$172,$B73,FALSE),""))</f>
        <v/>
      </c>
      <c r="AR73" s="488" t="str">
        <f>IF(AR$4="","",IF(HLOOKUP(AR$4,'Physical Effects-Numbers'!$B$1:$AU$172,$B73,FALSE)&lt;0,HLOOKUP(AR$4,'Physical Effects-Numbers'!$B$1:$AU$172,$B73,FALSE),""))</f>
        <v/>
      </c>
      <c r="AS73" s="488" t="str">
        <f>IF(AS$4="","",IF(HLOOKUP(AS$4,'Physical Effects-Numbers'!$B$1:$AU$172,$B73,FALSE)&lt;0,HLOOKUP(AS$4,'Physical Effects-Numbers'!$B$1:$AU$172,$B73,FALSE),""))</f>
        <v/>
      </c>
      <c r="AT73" s="488" t="str">
        <f>IF(AT$4="","",IF(HLOOKUP(AT$4,'Physical Effects-Numbers'!$B$1:$AU$172,$B73,FALSE)&lt;0,HLOOKUP(AT$4,'Physical Effects-Numbers'!$B$1:$AU$172,$B73,FALSE),""))</f>
        <v/>
      </c>
      <c r="AU73" s="488" t="str">
        <f>IF(AU$4="","",IF(HLOOKUP(AU$4,'Physical Effects-Numbers'!$B$1:$AU$172,$B73,FALSE)&lt;0,HLOOKUP(AU$4,'Physical Effects-Numbers'!$B$1:$AU$172,$B73,FALSE),""))</f>
        <v/>
      </c>
      <c r="AV73" s="488" t="str">
        <f>IF(AV$4="","",IF(HLOOKUP(AV$4,'Physical Effects-Numbers'!$B$1:$AU$167,$B73,FALSE)&lt;0,HLOOKUP(AV$4,'Physical Effects-Numbers'!$B$1:$AU$167,$B73,FALSE),""))</f>
        <v/>
      </c>
    </row>
    <row r="74" spans="2:48" x14ac:dyDescent="0.2">
      <c r="B74" s="487">
        <f t="shared" si="1"/>
        <v>71</v>
      </c>
      <c r="C74" s="486" t="str">
        <f>+'Physical Effects-Numbers'!B71</f>
        <v>Irrigation Ditch Lining</v>
      </c>
      <c r="D74" s="488" t="str">
        <f>IF(D$4="","",IF(HLOOKUP(D$4,'Physical Effects-Numbers'!$B$1:$AU$172,$B74,FALSE)&lt;0,HLOOKUP(D$4,'Physical Effects-Numbers'!$B$1:$AU$172,$B74,FALSE),""))</f>
        <v/>
      </c>
      <c r="E74" s="488" t="str">
        <f>IF(E$4="","",IF(HLOOKUP(E$4,'Physical Effects-Numbers'!$B$1:$AU$172,$B74,FALSE)&lt;0,HLOOKUP(E$4,'Physical Effects-Numbers'!$B$1:$AU$172,$B74,FALSE),""))</f>
        <v/>
      </c>
      <c r="F74" s="488" t="str">
        <f>IF(F$4="","",IF(HLOOKUP(F$4,'Physical Effects-Numbers'!$B$1:$AU$172,$B74,FALSE)&lt;0,HLOOKUP(F$4,'Physical Effects-Numbers'!$B$1:$AU$172,$B74,FALSE),""))</f>
        <v/>
      </c>
      <c r="G74" s="488" t="str">
        <f>IF(G$4="","",IF(HLOOKUP(G$4,'Physical Effects-Numbers'!$B$1:$AU$172,$B74,FALSE)&lt;0,HLOOKUP(G$4,'Physical Effects-Numbers'!$B$1:$AU$172,$B74,FALSE),""))</f>
        <v/>
      </c>
      <c r="H74" s="488" t="str">
        <f>IF(H$4="","",IF(HLOOKUP(H$4,'Physical Effects-Numbers'!$B$1:$AU$172,$B74,FALSE)&lt;0,HLOOKUP(H$4,'Physical Effects-Numbers'!$B$1:$AU$172,$B74,FALSE),""))</f>
        <v/>
      </c>
      <c r="I74" s="488" t="str">
        <f>IF(I$4="","",IF(HLOOKUP(I$4,'Physical Effects-Numbers'!$B$1:$AU$172,$B74,FALSE)&lt;0,HLOOKUP(I$4,'Physical Effects-Numbers'!$B$1:$AU$172,$B74,FALSE),""))</f>
        <v/>
      </c>
      <c r="J74" s="488" t="str">
        <f>IF(J$4="","",IF(HLOOKUP(J$4,'Physical Effects-Numbers'!$B$1:$AU$172,$B74,FALSE)&lt;0,HLOOKUP(J$4,'Physical Effects-Numbers'!$B$1:$AU$172,$B74,FALSE),""))</f>
        <v/>
      </c>
      <c r="K74" s="488" t="str">
        <f>IF(K$4="","",IF(HLOOKUP(K$4,'Physical Effects-Numbers'!$B$1:$AU$172,$B74,FALSE)&lt;0,HLOOKUP(K$4,'Physical Effects-Numbers'!$B$1:$AU$172,$B74,FALSE),""))</f>
        <v/>
      </c>
      <c r="L74" s="488" t="str">
        <f>IF(L$4="","",IF(HLOOKUP(L$4,'Physical Effects-Numbers'!$B$1:$AU$172,$B74,FALSE)&lt;0,HLOOKUP(L$4,'Physical Effects-Numbers'!$B$1:$AU$172,$B74,FALSE),""))</f>
        <v/>
      </c>
      <c r="M74" s="488" t="str">
        <f>IF(M$4="","",IF(HLOOKUP(M$4,'Physical Effects-Numbers'!$B$1:$AU$172,$B74,FALSE)&lt;0,HLOOKUP(M$4,'Physical Effects-Numbers'!$B$1:$AU$172,$B74,FALSE),""))</f>
        <v/>
      </c>
      <c r="N74" s="488" t="str">
        <f>IF(N$4="","",IF(HLOOKUP(N$4,'Physical Effects-Numbers'!$B$1:$AU$172,$B74,FALSE)&lt;0,HLOOKUP(N$4,'Physical Effects-Numbers'!$B$1:$AU$172,$B74,FALSE),""))</f>
        <v/>
      </c>
      <c r="O74" s="488">
        <f>IF(O$4="","",IF(HLOOKUP(O$4,'Physical Effects-Numbers'!$B$1:$AU$172,$B74,FALSE)&lt;0,HLOOKUP(O$4,'Physical Effects-Numbers'!$B$1:$AU$172,$B74,FALSE),""))</f>
        <v>-1</v>
      </c>
      <c r="P74" s="488" t="str">
        <f>IF(P$4="","",IF(HLOOKUP(P$4,'Physical Effects-Numbers'!$B$1:$AU$172,$B74,FALSE)&lt;0,HLOOKUP(P$4,'Physical Effects-Numbers'!$B$1:$AU$172,$B74,FALSE),""))</f>
        <v/>
      </c>
      <c r="Q74" s="488" t="str">
        <f>IF(Q$4="","",IF(HLOOKUP(Q$4,'Physical Effects-Numbers'!$B$1:$AU$172,$B74,FALSE)&lt;0,HLOOKUP(Q$4,'Physical Effects-Numbers'!$B$1:$AU$172,$B74,FALSE),""))</f>
        <v/>
      </c>
      <c r="R74" s="488" t="str">
        <f>IF(R$4="","",IF(HLOOKUP(R$4,'Physical Effects-Numbers'!$B$1:$AU$172,$B74,FALSE)&lt;0,HLOOKUP(R$4,'Physical Effects-Numbers'!$B$1:$AU$172,$B74,FALSE),""))</f>
        <v/>
      </c>
      <c r="S74" s="488" t="str">
        <f>IF(S$4="","",IF(HLOOKUP(S$4,'Physical Effects-Numbers'!$B$1:$AU$172,$B74,FALSE)&lt;0,HLOOKUP(S$4,'Physical Effects-Numbers'!$B$1:$AU$172,$B74,FALSE),""))</f>
        <v/>
      </c>
      <c r="T74" s="488" t="str">
        <f>IF(T$4="","",IF(HLOOKUP(T$4,'Physical Effects-Numbers'!$B$1:$AU$172,$B74,FALSE)&lt;0,HLOOKUP(T$4,'Physical Effects-Numbers'!$B$1:$AU$172,$B74,FALSE),""))</f>
        <v/>
      </c>
      <c r="U74" s="488" t="str">
        <f>IF(U$4="","",IF(HLOOKUP(U$4,'Physical Effects-Numbers'!$B$1:$AU$172,$B74,FALSE)&lt;0,HLOOKUP(U$4,'Physical Effects-Numbers'!$B$1:$AU$172,$B74,FALSE),""))</f>
        <v/>
      </c>
      <c r="V74" s="488" t="str">
        <f>IF(V$4="","",IF(HLOOKUP(V$4,'Physical Effects-Numbers'!$B$1:$AU$172,$B74,FALSE)&lt;0,HLOOKUP(V$4,'Physical Effects-Numbers'!$B$1:$AU$172,$B74,FALSE),""))</f>
        <v/>
      </c>
      <c r="W74" s="488" t="str">
        <f>IF(W$4="","",IF(HLOOKUP(W$4,'Physical Effects-Numbers'!$B$1:$AU$172,$B74,FALSE)&lt;0,HLOOKUP(W$4,'Physical Effects-Numbers'!$B$1:$AU$172,$B74,FALSE),""))</f>
        <v/>
      </c>
      <c r="X74" s="488" t="str">
        <f>IF(X$4="","",IF(HLOOKUP(X$4,'Physical Effects-Numbers'!$B$1:$AU$172,$B74,FALSE)&lt;0,HLOOKUP(X$4,'Physical Effects-Numbers'!$B$1:$AU$172,$B74,FALSE),""))</f>
        <v/>
      </c>
      <c r="Y74" s="488">
        <f>IF(Y$4="","",IF(HLOOKUP(Y$4,'Physical Effects-Numbers'!$B$1:$AU$172,$B74,FALSE)&lt;0,HLOOKUP(Y$4,'Physical Effects-Numbers'!$B$1:$AU$172,$B74,FALSE),""))</f>
        <v>-1</v>
      </c>
      <c r="Z74" s="488" t="str">
        <f>IF(Z$4="","",IF(HLOOKUP(Z$4,'Physical Effects-Numbers'!$B$1:$AU$172,$B74,FALSE)&lt;0,HLOOKUP(Z$4,'Physical Effects-Numbers'!$B$1:$AU$172,$B74,FALSE),""))</f>
        <v/>
      </c>
      <c r="AA74" s="488" t="str">
        <f>IF(AA$4="","",IF(HLOOKUP(AA$4,'Physical Effects-Numbers'!$B$1:$AU$172,$B74,FALSE)&lt;0,HLOOKUP(AA$4,'Physical Effects-Numbers'!$B$1:$AU$172,$B74,FALSE),""))</f>
        <v/>
      </c>
      <c r="AB74" s="488" t="str">
        <f>IF(AB$4="","",IF(HLOOKUP(AB$4,'Physical Effects-Numbers'!$B$1:$AU$172,$B74,FALSE)&lt;0,HLOOKUP(AB$4,'Physical Effects-Numbers'!$B$1:$AU$172,$B74,FALSE),""))</f>
        <v/>
      </c>
      <c r="AC74" s="488">
        <f>IF(AC$4="","",IF(HLOOKUP(AC$4,'Physical Effects-Numbers'!$B$1:$AU$172,$B74,FALSE)&lt;0,HLOOKUP(AC$4,'Physical Effects-Numbers'!$B$1:$AU$172,$B74,FALSE),""))</f>
        <v>-1</v>
      </c>
      <c r="AD74" s="488" t="str">
        <f>IF(AD$4="","",IF(HLOOKUP(AD$4,'Physical Effects-Numbers'!$B$1:$AU$172,$B74,FALSE)&lt;0,HLOOKUP(AD$4,'Physical Effects-Numbers'!$B$1:$AU$172,$B74,FALSE),""))</f>
        <v/>
      </c>
      <c r="AE74" s="488" t="str">
        <f>IF(AE$4="","",IF(HLOOKUP(AE$4,'Physical Effects-Numbers'!$B$1:$AU$172,$B74,FALSE)&lt;0,HLOOKUP(AE$4,'Physical Effects-Numbers'!$B$1:$AU$172,$B74,FALSE),""))</f>
        <v/>
      </c>
      <c r="AF74" s="488" t="str">
        <f>IF(AF$4="","",IF(HLOOKUP(AF$4,'Physical Effects-Numbers'!$B$1:$AU$172,$B74,FALSE)&lt;0,HLOOKUP(AF$4,'Physical Effects-Numbers'!$B$1:$AU$172,$B74,FALSE),""))</f>
        <v/>
      </c>
      <c r="AG74" s="488" t="str">
        <f>IF(AG$4="","",IF(HLOOKUP(AG$4,'Physical Effects-Numbers'!$B$1:$AU$172,$B74,FALSE)&lt;0,HLOOKUP(AG$4,'Physical Effects-Numbers'!$B$1:$AU$172,$B74,FALSE),""))</f>
        <v/>
      </c>
      <c r="AH74" s="488" t="str">
        <f>IF(AH$4="","",IF(HLOOKUP(AH$4,'Physical Effects-Numbers'!$B$1:$AU$172,$B74,FALSE)&lt;0,HLOOKUP(AH$4,'Physical Effects-Numbers'!$B$1:$AU$172,$B74,FALSE),""))</f>
        <v/>
      </c>
      <c r="AI74" s="488" t="str">
        <f>IF(AI$4="","",IF(HLOOKUP(AI$4,'Physical Effects-Numbers'!$B$1:$AU$172,$B74,FALSE)&lt;0,HLOOKUP(AI$4,'Physical Effects-Numbers'!$B$1:$AU$172,$B74,FALSE),""))</f>
        <v/>
      </c>
      <c r="AJ74" s="488" t="str">
        <f>IF(AJ$4="","",IF(HLOOKUP(AJ$4,'Physical Effects-Numbers'!$B$1:$AU$172,$B74,FALSE)&lt;0,HLOOKUP(AJ$4,'Physical Effects-Numbers'!$B$1:$AU$172,$B74,FALSE),""))</f>
        <v/>
      </c>
      <c r="AK74" s="488" t="str">
        <f>IF(AK$4="","",IF(HLOOKUP(AK$4,'Physical Effects-Numbers'!$B$1:$AU$172,$B74,FALSE)&lt;0,HLOOKUP(AK$4,'Physical Effects-Numbers'!$B$1:$AU$172,$B74,FALSE),""))</f>
        <v/>
      </c>
      <c r="AL74" s="488" t="str">
        <f>IF(AL$4="","",IF(HLOOKUP(AL$4,'Physical Effects-Numbers'!$B$1:$AU$172,$B74,FALSE)&lt;0,HLOOKUP(AL$4,'Physical Effects-Numbers'!$B$1:$AU$172,$B74,FALSE),""))</f>
        <v/>
      </c>
      <c r="AM74" s="488" t="str">
        <f>IF(AM$4="","",IF(HLOOKUP(AM$4,'Physical Effects-Numbers'!$B$1:$AU$172,$B74,FALSE)&lt;0,HLOOKUP(AM$4,'Physical Effects-Numbers'!$B$1:$AU$172,$B74,FALSE),""))</f>
        <v/>
      </c>
      <c r="AN74" s="488" t="str">
        <f>IF(AN$4="","",IF(HLOOKUP(AN$4,'Physical Effects-Numbers'!$B$1:$AU$172,$B74,FALSE)&lt;0,HLOOKUP(AN$4,'Physical Effects-Numbers'!$B$1:$AU$172,$B74,FALSE),""))</f>
        <v/>
      </c>
      <c r="AO74" s="488" t="str">
        <f>IF(AO$4="","",IF(HLOOKUP(AO$4,'Physical Effects-Numbers'!$B$1:$AU$172,$B74,FALSE)&lt;0,HLOOKUP(AO$4,'Physical Effects-Numbers'!$B$1:$AU$172,$B74,FALSE),""))</f>
        <v/>
      </c>
      <c r="AP74" s="488" t="str">
        <f>IF(AP$4="","",IF(HLOOKUP(AP$4,'Physical Effects-Numbers'!$B$1:$AU$172,$B74,FALSE)&lt;0,HLOOKUP(AP$4,'Physical Effects-Numbers'!$B$1:$AU$172,$B74,FALSE),""))</f>
        <v/>
      </c>
      <c r="AQ74" s="488" t="str">
        <f>IF(AQ$4="","",IF(HLOOKUP(AQ$4,'Physical Effects-Numbers'!$B$1:$AU$172,$B74,FALSE)&lt;0,HLOOKUP(AQ$4,'Physical Effects-Numbers'!$B$1:$AU$172,$B74,FALSE),""))</f>
        <v/>
      </c>
      <c r="AR74" s="488" t="str">
        <f>IF(AR$4="","",IF(HLOOKUP(AR$4,'Physical Effects-Numbers'!$B$1:$AU$172,$B74,FALSE)&lt;0,HLOOKUP(AR$4,'Physical Effects-Numbers'!$B$1:$AU$172,$B74,FALSE),""))</f>
        <v/>
      </c>
      <c r="AS74" s="488" t="str">
        <f>IF(AS$4="","",IF(HLOOKUP(AS$4,'Physical Effects-Numbers'!$B$1:$AU$172,$B74,FALSE)&lt;0,HLOOKUP(AS$4,'Physical Effects-Numbers'!$B$1:$AU$172,$B74,FALSE),""))</f>
        <v/>
      </c>
      <c r="AT74" s="488" t="str">
        <f>IF(AT$4="","",IF(HLOOKUP(AT$4,'Physical Effects-Numbers'!$B$1:$AU$172,$B74,FALSE)&lt;0,HLOOKUP(AT$4,'Physical Effects-Numbers'!$B$1:$AU$172,$B74,FALSE),""))</f>
        <v/>
      </c>
      <c r="AU74" s="488" t="str">
        <f>IF(AU$4="","",IF(HLOOKUP(AU$4,'Physical Effects-Numbers'!$B$1:$AU$172,$B74,FALSE)&lt;0,HLOOKUP(AU$4,'Physical Effects-Numbers'!$B$1:$AU$172,$B74,FALSE),""))</f>
        <v/>
      </c>
      <c r="AV74" s="488" t="str">
        <f>IF(AV$4="","",IF(HLOOKUP(AV$4,'Physical Effects-Numbers'!$B$1:$AU$167,$B74,FALSE)&lt;0,HLOOKUP(AV$4,'Physical Effects-Numbers'!$B$1:$AU$167,$B74,FALSE),""))</f>
        <v/>
      </c>
    </row>
    <row r="75" spans="2:48" x14ac:dyDescent="0.2">
      <c r="B75" s="487">
        <f t="shared" si="1"/>
        <v>72</v>
      </c>
      <c r="C75" s="486" t="str">
        <f>+'Physical Effects-Numbers'!B72</f>
        <v>Irrigation Field Ditch</v>
      </c>
      <c r="D75" s="488" t="str">
        <f>IF(D$4="","",IF(HLOOKUP(D$4,'Physical Effects-Numbers'!$B$1:$AU$172,$B75,FALSE)&lt;0,HLOOKUP(D$4,'Physical Effects-Numbers'!$B$1:$AU$172,$B75,FALSE),""))</f>
        <v/>
      </c>
      <c r="E75" s="488" t="str">
        <f>IF(E$4="","",IF(HLOOKUP(E$4,'Physical Effects-Numbers'!$B$1:$AU$172,$B75,FALSE)&lt;0,HLOOKUP(E$4,'Physical Effects-Numbers'!$B$1:$AU$172,$B75,FALSE),""))</f>
        <v/>
      </c>
      <c r="F75" s="488" t="str">
        <f>IF(F$4="","",IF(HLOOKUP(F$4,'Physical Effects-Numbers'!$B$1:$AU$172,$B75,FALSE)&lt;0,HLOOKUP(F$4,'Physical Effects-Numbers'!$B$1:$AU$172,$B75,FALSE),""))</f>
        <v/>
      </c>
      <c r="G75" s="488" t="str">
        <f>IF(G$4="","",IF(HLOOKUP(G$4,'Physical Effects-Numbers'!$B$1:$AU$172,$B75,FALSE)&lt;0,HLOOKUP(G$4,'Physical Effects-Numbers'!$B$1:$AU$172,$B75,FALSE),""))</f>
        <v/>
      </c>
      <c r="H75" s="488" t="str">
        <f>IF(H$4="","",IF(HLOOKUP(H$4,'Physical Effects-Numbers'!$B$1:$AU$172,$B75,FALSE)&lt;0,HLOOKUP(H$4,'Physical Effects-Numbers'!$B$1:$AU$172,$B75,FALSE),""))</f>
        <v/>
      </c>
      <c r="I75" s="488" t="str">
        <f>IF(I$4="","",IF(HLOOKUP(I$4,'Physical Effects-Numbers'!$B$1:$AU$172,$B75,FALSE)&lt;0,HLOOKUP(I$4,'Physical Effects-Numbers'!$B$1:$AU$172,$B75,FALSE),""))</f>
        <v/>
      </c>
      <c r="J75" s="488" t="str">
        <f>IF(J$4="","",IF(HLOOKUP(J$4,'Physical Effects-Numbers'!$B$1:$AU$172,$B75,FALSE)&lt;0,HLOOKUP(J$4,'Physical Effects-Numbers'!$B$1:$AU$172,$B75,FALSE),""))</f>
        <v/>
      </c>
      <c r="K75" s="488" t="str">
        <f>IF(K$4="","",IF(HLOOKUP(K$4,'Physical Effects-Numbers'!$B$1:$AU$172,$B75,FALSE)&lt;0,HLOOKUP(K$4,'Physical Effects-Numbers'!$B$1:$AU$172,$B75,FALSE),""))</f>
        <v/>
      </c>
      <c r="L75" s="488" t="str">
        <f>IF(L$4="","",IF(HLOOKUP(L$4,'Physical Effects-Numbers'!$B$1:$AU$172,$B75,FALSE)&lt;0,HLOOKUP(L$4,'Physical Effects-Numbers'!$B$1:$AU$172,$B75,FALSE),""))</f>
        <v/>
      </c>
      <c r="M75" s="488" t="str">
        <f>IF(M$4="","",IF(HLOOKUP(M$4,'Physical Effects-Numbers'!$B$1:$AU$172,$B75,FALSE)&lt;0,HLOOKUP(M$4,'Physical Effects-Numbers'!$B$1:$AU$172,$B75,FALSE),""))</f>
        <v/>
      </c>
      <c r="N75" s="488" t="str">
        <f>IF(N$4="","",IF(HLOOKUP(N$4,'Physical Effects-Numbers'!$B$1:$AU$172,$B75,FALSE)&lt;0,HLOOKUP(N$4,'Physical Effects-Numbers'!$B$1:$AU$172,$B75,FALSE),""))</f>
        <v/>
      </c>
      <c r="O75" s="488">
        <f>IF(O$4="","",IF(HLOOKUP(O$4,'Physical Effects-Numbers'!$B$1:$AU$172,$B75,FALSE)&lt;0,HLOOKUP(O$4,'Physical Effects-Numbers'!$B$1:$AU$172,$B75,FALSE),""))</f>
        <v>-1</v>
      </c>
      <c r="P75" s="488" t="str">
        <f>IF(P$4="","",IF(HLOOKUP(P$4,'Physical Effects-Numbers'!$B$1:$AU$172,$B75,FALSE)&lt;0,HLOOKUP(P$4,'Physical Effects-Numbers'!$B$1:$AU$172,$B75,FALSE),""))</f>
        <v/>
      </c>
      <c r="Q75" s="488" t="str">
        <f>IF(Q$4="","",IF(HLOOKUP(Q$4,'Physical Effects-Numbers'!$B$1:$AU$172,$B75,FALSE)&lt;0,HLOOKUP(Q$4,'Physical Effects-Numbers'!$B$1:$AU$172,$B75,FALSE),""))</f>
        <v/>
      </c>
      <c r="R75" s="488" t="str">
        <f>IF(R$4="","",IF(HLOOKUP(R$4,'Physical Effects-Numbers'!$B$1:$AU$172,$B75,FALSE)&lt;0,HLOOKUP(R$4,'Physical Effects-Numbers'!$B$1:$AU$172,$B75,FALSE),""))</f>
        <v/>
      </c>
      <c r="S75" s="488" t="str">
        <f>IF(S$4="","",IF(HLOOKUP(S$4,'Physical Effects-Numbers'!$B$1:$AU$172,$B75,FALSE)&lt;0,HLOOKUP(S$4,'Physical Effects-Numbers'!$B$1:$AU$172,$B75,FALSE),""))</f>
        <v/>
      </c>
      <c r="T75" s="488" t="str">
        <f>IF(T$4="","",IF(HLOOKUP(T$4,'Physical Effects-Numbers'!$B$1:$AU$172,$B75,FALSE)&lt;0,HLOOKUP(T$4,'Physical Effects-Numbers'!$B$1:$AU$172,$B75,FALSE),""))</f>
        <v/>
      </c>
      <c r="U75" s="488" t="str">
        <f>IF(U$4="","",IF(HLOOKUP(U$4,'Physical Effects-Numbers'!$B$1:$AU$172,$B75,FALSE)&lt;0,HLOOKUP(U$4,'Physical Effects-Numbers'!$B$1:$AU$172,$B75,FALSE),""))</f>
        <v/>
      </c>
      <c r="V75" s="488" t="str">
        <f>IF(V$4="","",IF(HLOOKUP(V$4,'Physical Effects-Numbers'!$B$1:$AU$172,$B75,FALSE)&lt;0,HLOOKUP(V$4,'Physical Effects-Numbers'!$B$1:$AU$172,$B75,FALSE),""))</f>
        <v/>
      </c>
      <c r="W75" s="488" t="str">
        <f>IF(W$4="","",IF(HLOOKUP(W$4,'Physical Effects-Numbers'!$B$1:$AU$172,$B75,FALSE)&lt;0,HLOOKUP(W$4,'Physical Effects-Numbers'!$B$1:$AU$172,$B75,FALSE),""))</f>
        <v/>
      </c>
      <c r="X75" s="488" t="str">
        <f>IF(X$4="","",IF(HLOOKUP(X$4,'Physical Effects-Numbers'!$B$1:$AU$172,$B75,FALSE)&lt;0,HLOOKUP(X$4,'Physical Effects-Numbers'!$B$1:$AU$172,$B75,FALSE),""))</f>
        <v/>
      </c>
      <c r="Y75" s="488">
        <f>IF(Y$4="","",IF(HLOOKUP(Y$4,'Physical Effects-Numbers'!$B$1:$AU$172,$B75,FALSE)&lt;0,HLOOKUP(Y$4,'Physical Effects-Numbers'!$B$1:$AU$172,$B75,FALSE),""))</f>
        <v>-1</v>
      </c>
      <c r="Z75" s="488" t="str">
        <f>IF(Z$4="","",IF(HLOOKUP(Z$4,'Physical Effects-Numbers'!$B$1:$AU$172,$B75,FALSE)&lt;0,HLOOKUP(Z$4,'Physical Effects-Numbers'!$B$1:$AU$172,$B75,FALSE),""))</f>
        <v/>
      </c>
      <c r="AA75" s="488" t="str">
        <f>IF(AA$4="","",IF(HLOOKUP(AA$4,'Physical Effects-Numbers'!$B$1:$AU$172,$B75,FALSE)&lt;0,HLOOKUP(AA$4,'Physical Effects-Numbers'!$B$1:$AU$172,$B75,FALSE),""))</f>
        <v/>
      </c>
      <c r="AB75" s="488" t="str">
        <f>IF(AB$4="","",IF(HLOOKUP(AB$4,'Physical Effects-Numbers'!$B$1:$AU$172,$B75,FALSE)&lt;0,HLOOKUP(AB$4,'Physical Effects-Numbers'!$B$1:$AU$172,$B75,FALSE),""))</f>
        <v/>
      </c>
      <c r="AC75" s="488" t="str">
        <f>IF(AC$4="","",IF(HLOOKUP(AC$4,'Physical Effects-Numbers'!$B$1:$AU$172,$B75,FALSE)&lt;0,HLOOKUP(AC$4,'Physical Effects-Numbers'!$B$1:$AU$172,$B75,FALSE),""))</f>
        <v/>
      </c>
      <c r="AD75" s="488" t="str">
        <f>IF(AD$4="","",IF(HLOOKUP(AD$4,'Physical Effects-Numbers'!$B$1:$AU$172,$B75,FALSE)&lt;0,HLOOKUP(AD$4,'Physical Effects-Numbers'!$B$1:$AU$172,$B75,FALSE),""))</f>
        <v/>
      </c>
      <c r="AE75" s="488" t="str">
        <f>IF(AE$4="","",IF(HLOOKUP(AE$4,'Physical Effects-Numbers'!$B$1:$AU$172,$B75,FALSE)&lt;0,HLOOKUP(AE$4,'Physical Effects-Numbers'!$B$1:$AU$172,$B75,FALSE),""))</f>
        <v/>
      </c>
      <c r="AF75" s="488" t="str">
        <f>IF(AF$4="","",IF(HLOOKUP(AF$4,'Physical Effects-Numbers'!$B$1:$AU$172,$B75,FALSE)&lt;0,HLOOKUP(AF$4,'Physical Effects-Numbers'!$B$1:$AU$172,$B75,FALSE),""))</f>
        <v/>
      </c>
      <c r="AG75" s="488" t="str">
        <f>IF(AG$4="","",IF(HLOOKUP(AG$4,'Physical Effects-Numbers'!$B$1:$AU$172,$B75,FALSE)&lt;0,HLOOKUP(AG$4,'Physical Effects-Numbers'!$B$1:$AU$172,$B75,FALSE),""))</f>
        <v/>
      </c>
      <c r="AH75" s="488" t="str">
        <f>IF(AH$4="","",IF(HLOOKUP(AH$4,'Physical Effects-Numbers'!$B$1:$AU$172,$B75,FALSE)&lt;0,HLOOKUP(AH$4,'Physical Effects-Numbers'!$B$1:$AU$172,$B75,FALSE),""))</f>
        <v/>
      </c>
      <c r="AI75" s="488" t="str">
        <f>IF(AI$4="","",IF(HLOOKUP(AI$4,'Physical Effects-Numbers'!$B$1:$AU$172,$B75,FALSE)&lt;0,HLOOKUP(AI$4,'Physical Effects-Numbers'!$B$1:$AU$172,$B75,FALSE),""))</f>
        <v/>
      </c>
      <c r="AJ75" s="488" t="str">
        <f>IF(AJ$4="","",IF(HLOOKUP(AJ$4,'Physical Effects-Numbers'!$B$1:$AU$172,$B75,FALSE)&lt;0,HLOOKUP(AJ$4,'Physical Effects-Numbers'!$B$1:$AU$172,$B75,FALSE),""))</f>
        <v/>
      </c>
      <c r="AK75" s="488" t="str">
        <f>IF(AK$4="","",IF(HLOOKUP(AK$4,'Physical Effects-Numbers'!$B$1:$AU$172,$B75,FALSE)&lt;0,HLOOKUP(AK$4,'Physical Effects-Numbers'!$B$1:$AU$172,$B75,FALSE),""))</f>
        <v/>
      </c>
      <c r="AL75" s="488" t="str">
        <f>IF(AL$4="","",IF(HLOOKUP(AL$4,'Physical Effects-Numbers'!$B$1:$AU$172,$B75,FALSE)&lt;0,HLOOKUP(AL$4,'Physical Effects-Numbers'!$B$1:$AU$172,$B75,FALSE),""))</f>
        <v/>
      </c>
      <c r="AM75" s="488" t="str">
        <f>IF(AM$4="","",IF(HLOOKUP(AM$4,'Physical Effects-Numbers'!$B$1:$AU$172,$B75,FALSE)&lt;0,HLOOKUP(AM$4,'Physical Effects-Numbers'!$B$1:$AU$172,$B75,FALSE),""))</f>
        <v/>
      </c>
      <c r="AN75" s="488" t="str">
        <f>IF(AN$4="","",IF(HLOOKUP(AN$4,'Physical Effects-Numbers'!$B$1:$AU$172,$B75,FALSE)&lt;0,HLOOKUP(AN$4,'Physical Effects-Numbers'!$B$1:$AU$172,$B75,FALSE),""))</f>
        <v/>
      </c>
      <c r="AO75" s="488" t="str">
        <f>IF(AO$4="","",IF(HLOOKUP(AO$4,'Physical Effects-Numbers'!$B$1:$AU$172,$B75,FALSE)&lt;0,HLOOKUP(AO$4,'Physical Effects-Numbers'!$B$1:$AU$172,$B75,FALSE),""))</f>
        <v/>
      </c>
      <c r="AP75" s="488" t="str">
        <f>IF(AP$4="","",IF(HLOOKUP(AP$4,'Physical Effects-Numbers'!$B$1:$AU$172,$B75,FALSE)&lt;0,HLOOKUP(AP$4,'Physical Effects-Numbers'!$B$1:$AU$172,$B75,FALSE),""))</f>
        <v/>
      </c>
      <c r="AQ75" s="488" t="str">
        <f>IF(AQ$4="","",IF(HLOOKUP(AQ$4,'Physical Effects-Numbers'!$B$1:$AU$172,$B75,FALSE)&lt;0,HLOOKUP(AQ$4,'Physical Effects-Numbers'!$B$1:$AU$172,$B75,FALSE),""))</f>
        <v/>
      </c>
      <c r="AR75" s="488" t="str">
        <f>IF(AR$4="","",IF(HLOOKUP(AR$4,'Physical Effects-Numbers'!$B$1:$AU$172,$B75,FALSE)&lt;0,HLOOKUP(AR$4,'Physical Effects-Numbers'!$B$1:$AU$172,$B75,FALSE),""))</f>
        <v/>
      </c>
      <c r="AS75" s="488" t="str">
        <f>IF(AS$4="","",IF(HLOOKUP(AS$4,'Physical Effects-Numbers'!$B$1:$AU$172,$B75,FALSE)&lt;0,HLOOKUP(AS$4,'Physical Effects-Numbers'!$B$1:$AU$172,$B75,FALSE),""))</f>
        <v/>
      </c>
      <c r="AT75" s="488" t="str">
        <f>IF(AT$4="","",IF(HLOOKUP(AT$4,'Physical Effects-Numbers'!$B$1:$AU$172,$B75,FALSE)&lt;0,HLOOKUP(AT$4,'Physical Effects-Numbers'!$B$1:$AU$172,$B75,FALSE),""))</f>
        <v/>
      </c>
      <c r="AU75" s="488" t="str">
        <f>IF(AU$4="","",IF(HLOOKUP(AU$4,'Physical Effects-Numbers'!$B$1:$AU$172,$B75,FALSE)&lt;0,HLOOKUP(AU$4,'Physical Effects-Numbers'!$B$1:$AU$172,$B75,FALSE),""))</f>
        <v/>
      </c>
      <c r="AV75" s="488" t="str">
        <f>IF(AV$4="","",IF(HLOOKUP(AV$4,'Physical Effects-Numbers'!$B$1:$AU$167,$B75,FALSE)&lt;0,HLOOKUP(AV$4,'Physical Effects-Numbers'!$B$1:$AU$167,$B75,FALSE),""))</f>
        <v/>
      </c>
    </row>
    <row r="76" spans="2:48" x14ac:dyDescent="0.2">
      <c r="B76" s="487">
        <f t="shared" si="1"/>
        <v>73</v>
      </c>
      <c r="C76" s="486" t="str">
        <f>+'Physical Effects-Numbers'!B73</f>
        <v>Irrigation Land Leveling</v>
      </c>
      <c r="D76" s="488" t="str">
        <f>IF(D$4="","",IF(HLOOKUP(D$4,'Physical Effects-Numbers'!$B$1:$AU$172,$B76,FALSE)&lt;0,HLOOKUP(D$4,'Physical Effects-Numbers'!$B$1:$AU$172,$B76,FALSE),""))</f>
        <v/>
      </c>
      <c r="E76" s="488" t="str">
        <f>IF(E$4="","",IF(HLOOKUP(E$4,'Physical Effects-Numbers'!$B$1:$AU$172,$B76,FALSE)&lt;0,HLOOKUP(E$4,'Physical Effects-Numbers'!$B$1:$AU$172,$B76,FALSE),""))</f>
        <v/>
      </c>
      <c r="F76" s="488" t="str">
        <f>IF(F$4="","",IF(HLOOKUP(F$4,'Physical Effects-Numbers'!$B$1:$AU$172,$B76,FALSE)&lt;0,HLOOKUP(F$4,'Physical Effects-Numbers'!$B$1:$AU$172,$B76,FALSE),""))</f>
        <v/>
      </c>
      <c r="G76" s="488" t="str">
        <f>IF(G$4="","",IF(HLOOKUP(G$4,'Physical Effects-Numbers'!$B$1:$AU$172,$B76,FALSE)&lt;0,HLOOKUP(G$4,'Physical Effects-Numbers'!$B$1:$AU$172,$B76,FALSE),""))</f>
        <v/>
      </c>
      <c r="H76" s="488" t="str">
        <f>IF(H$4="","",IF(HLOOKUP(H$4,'Physical Effects-Numbers'!$B$1:$AU$172,$B76,FALSE)&lt;0,HLOOKUP(H$4,'Physical Effects-Numbers'!$B$1:$AU$172,$B76,FALSE),""))</f>
        <v/>
      </c>
      <c r="I76" s="488">
        <f>IF(I$4="","",IF(HLOOKUP(I$4,'Physical Effects-Numbers'!$B$1:$AU$172,$B76,FALSE)&lt;0,HLOOKUP(I$4,'Physical Effects-Numbers'!$B$1:$AU$172,$B76,FALSE),""))</f>
        <v>-2</v>
      </c>
      <c r="J76" s="488">
        <f>IF(J$4="","",IF(HLOOKUP(J$4,'Physical Effects-Numbers'!$B$1:$AU$172,$B76,FALSE)&lt;0,HLOOKUP(J$4,'Physical Effects-Numbers'!$B$1:$AU$172,$B76,FALSE),""))</f>
        <v>-2</v>
      </c>
      <c r="K76" s="488" t="str">
        <f>IF(K$4="","",IF(HLOOKUP(K$4,'Physical Effects-Numbers'!$B$1:$AU$172,$B76,FALSE)&lt;0,HLOOKUP(K$4,'Physical Effects-Numbers'!$B$1:$AU$172,$B76,FALSE),""))</f>
        <v/>
      </c>
      <c r="L76" s="488">
        <f>IF(L$4="","",IF(HLOOKUP(L$4,'Physical Effects-Numbers'!$B$1:$AU$172,$B76,FALSE)&lt;0,HLOOKUP(L$4,'Physical Effects-Numbers'!$B$1:$AU$172,$B76,FALSE),""))</f>
        <v>-1</v>
      </c>
      <c r="M76" s="488" t="str">
        <f>IF(M$4="","",IF(HLOOKUP(M$4,'Physical Effects-Numbers'!$B$1:$AU$172,$B76,FALSE)&lt;0,HLOOKUP(M$4,'Physical Effects-Numbers'!$B$1:$AU$172,$B76,FALSE),""))</f>
        <v/>
      </c>
      <c r="N76" s="488" t="str">
        <f>IF(N$4="","",IF(HLOOKUP(N$4,'Physical Effects-Numbers'!$B$1:$AU$172,$B76,FALSE)&lt;0,HLOOKUP(N$4,'Physical Effects-Numbers'!$B$1:$AU$172,$B76,FALSE),""))</f>
        <v/>
      </c>
      <c r="O76" s="488" t="str">
        <f>IF(O$4="","",IF(HLOOKUP(O$4,'Physical Effects-Numbers'!$B$1:$AU$172,$B76,FALSE)&lt;0,HLOOKUP(O$4,'Physical Effects-Numbers'!$B$1:$AU$172,$B76,FALSE),""))</f>
        <v/>
      </c>
      <c r="P76" s="488" t="str">
        <f>IF(P$4="","",IF(HLOOKUP(P$4,'Physical Effects-Numbers'!$B$1:$AU$172,$B76,FALSE)&lt;0,HLOOKUP(P$4,'Physical Effects-Numbers'!$B$1:$AU$172,$B76,FALSE),""))</f>
        <v/>
      </c>
      <c r="Q76" s="488" t="str">
        <f>IF(Q$4="","",IF(HLOOKUP(Q$4,'Physical Effects-Numbers'!$B$1:$AU$172,$B76,FALSE)&lt;0,HLOOKUP(Q$4,'Physical Effects-Numbers'!$B$1:$AU$172,$B76,FALSE),""))</f>
        <v/>
      </c>
      <c r="R76" s="488" t="str">
        <f>IF(R$4="","",IF(HLOOKUP(R$4,'Physical Effects-Numbers'!$B$1:$AU$172,$B76,FALSE)&lt;0,HLOOKUP(R$4,'Physical Effects-Numbers'!$B$1:$AU$172,$B76,FALSE),""))</f>
        <v/>
      </c>
      <c r="S76" s="488" t="str">
        <f>IF(S$4="","",IF(HLOOKUP(S$4,'Physical Effects-Numbers'!$B$1:$AU$172,$B76,FALSE)&lt;0,HLOOKUP(S$4,'Physical Effects-Numbers'!$B$1:$AU$172,$B76,FALSE),""))</f>
        <v/>
      </c>
      <c r="T76" s="488" t="str">
        <f>IF(T$4="","",IF(HLOOKUP(T$4,'Physical Effects-Numbers'!$B$1:$AU$172,$B76,FALSE)&lt;0,HLOOKUP(T$4,'Physical Effects-Numbers'!$B$1:$AU$172,$B76,FALSE),""))</f>
        <v/>
      </c>
      <c r="U76" s="488" t="str">
        <f>IF(U$4="","",IF(HLOOKUP(U$4,'Physical Effects-Numbers'!$B$1:$AU$172,$B76,FALSE)&lt;0,HLOOKUP(U$4,'Physical Effects-Numbers'!$B$1:$AU$172,$B76,FALSE),""))</f>
        <v/>
      </c>
      <c r="V76" s="488" t="str">
        <f>IF(V$4="","",IF(HLOOKUP(V$4,'Physical Effects-Numbers'!$B$1:$AU$172,$B76,FALSE)&lt;0,HLOOKUP(V$4,'Physical Effects-Numbers'!$B$1:$AU$172,$B76,FALSE),""))</f>
        <v/>
      </c>
      <c r="W76" s="488" t="str">
        <f>IF(W$4="","",IF(HLOOKUP(W$4,'Physical Effects-Numbers'!$B$1:$AU$172,$B76,FALSE)&lt;0,HLOOKUP(W$4,'Physical Effects-Numbers'!$B$1:$AU$172,$B76,FALSE),""))</f>
        <v/>
      </c>
      <c r="X76" s="488" t="str">
        <f>IF(X$4="","",IF(HLOOKUP(X$4,'Physical Effects-Numbers'!$B$1:$AU$172,$B76,FALSE)&lt;0,HLOOKUP(X$4,'Physical Effects-Numbers'!$B$1:$AU$172,$B76,FALSE),""))</f>
        <v/>
      </c>
      <c r="Y76" s="488" t="str">
        <f>IF(Y$4="","",IF(HLOOKUP(Y$4,'Physical Effects-Numbers'!$B$1:$AU$172,$B76,FALSE)&lt;0,HLOOKUP(Y$4,'Physical Effects-Numbers'!$B$1:$AU$172,$B76,FALSE),""))</f>
        <v/>
      </c>
      <c r="Z76" s="488" t="str">
        <f>IF(Z$4="","",IF(HLOOKUP(Z$4,'Physical Effects-Numbers'!$B$1:$AU$172,$B76,FALSE)&lt;0,HLOOKUP(Z$4,'Physical Effects-Numbers'!$B$1:$AU$172,$B76,FALSE),""))</f>
        <v/>
      </c>
      <c r="AA76" s="488" t="str">
        <f>IF(AA$4="","",IF(HLOOKUP(AA$4,'Physical Effects-Numbers'!$B$1:$AU$172,$B76,FALSE)&lt;0,HLOOKUP(AA$4,'Physical Effects-Numbers'!$B$1:$AU$172,$B76,FALSE),""))</f>
        <v/>
      </c>
      <c r="AB76" s="488" t="str">
        <f>IF(AB$4="","",IF(HLOOKUP(AB$4,'Physical Effects-Numbers'!$B$1:$AU$172,$B76,FALSE)&lt;0,HLOOKUP(AB$4,'Physical Effects-Numbers'!$B$1:$AU$172,$B76,FALSE),""))</f>
        <v/>
      </c>
      <c r="AC76" s="488" t="str">
        <f>IF(AC$4="","",IF(HLOOKUP(AC$4,'Physical Effects-Numbers'!$B$1:$AU$172,$B76,FALSE)&lt;0,HLOOKUP(AC$4,'Physical Effects-Numbers'!$B$1:$AU$172,$B76,FALSE),""))</f>
        <v/>
      </c>
      <c r="AD76" s="488" t="str">
        <f>IF(AD$4="","",IF(HLOOKUP(AD$4,'Physical Effects-Numbers'!$B$1:$AU$172,$B76,FALSE)&lt;0,HLOOKUP(AD$4,'Physical Effects-Numbers'!$B$1:$AU$172,$B76,FALSE),""))</f>
        <v/>
      </c>
      <c r="AE76" s="488" t="str">
        <f>IF(AE$4="","",IF(HLOOKUP(AE$4,'Physical Effects-Numbers'!$B$1:$AU$172,$B76,FALSE)&lt;0,HLOOKUP(AE$4,'Physical Effects-Numbers'!$B$1:$AU$172,$B76,FALSE),""))</f>
        <v/>
      </c>
      <c r="AF76" s="488" t="str">
        <f>IF(AF$4="","",IF(HLOOKUP(AF$4,'Physical Effects-Numbers'!$B$1:$AU$172,$B76,FALSE)&lt;0,HLOOKUP(AF$4,'Physical Effects-Numbers'!$B$1:$AU$172,$B76,FALSE),""))</f>
        <v/>
      </c>
      <c r="AG76" s="488" t="str">
        <f>IF(AG$4="","",IF(HLOOKUP(AG$4,'Physical Effects-Numbers'!$B$1:$AU$172,$B76,FALSE)&lt;0,HLOOKUP(AG$4,'Physical Effects-Numbers'!$B$1:$AU$172,$B76,FALSE),""))</f>
        <v/>
      </c>
      <c r="AH76" s="488" t="str">
        <f>IF(AH$4="","",IF(HLOOKUP(AH$4,'Physical Effects-Numbers'!$B$1:$AU$172,$B76,FALSE)&lt;0,HLOOKUP(AH$4,'Physical Effects-Numbers'!$B$1:$AU$172,$B76,FALSE),""))</f>
        <v/>
      </c>
      <c r="AI76" s="488" t="str">
        <f>IF(AI$4="","",IF(HLOOKUP(AI$4,'Physical Effects-Numbers'!$B$1:$AU$172,$B76,FALSE)&lt;0,HLOOKUP(AI$4,'Physical Effects-Numbers'!$B$1:$AU$172,$B76,FALSE),""))</f>
        <v/>
      </c>
      <c r="AJ76" s="488" t="str">
        <f>IF(AJ$4="","",IF(HLOOKUP(AJ$4,'Physical Effects-Numbers'!$B$1:$AU$172,$B76,FALSE)&lt;0,HLOOKUP(AJ$4,'Physical Effects-Numbers'!$B$1:$AU$172,$B76,FALSE),""))</f>
        <v/>
      </c>
      <c r="AK76" s="488" t="str">
        <f>IF(AK$4="","",IF(HLOOKUP(AK$4,'Physical Effects-Numbers'!$B$1:$AU$172,$B76,FALSE)&lt;0,HLOOKUP(AK$4,'Physical Effects-Numbers'!$B$1:$AU$172,$B76,FALSE),""))</f>
        <v/>
      </c>
      <c r="AL76" s="488" t="str">
        <f>IF(AL$4="","",IF(HLOOKUP(AL$4,'Physical Effects-Numbers'!$B$1:$AU$172,$B76,FALSE)&lt;0,HLOOKUP(AL$4,'Physical Effects-Numbers'!$B$1:$AU$172,$B76,FALSE),""))</f>
        <v/>
      </c>
      <c r="AM76" s="488" t="str">
        <f>IF(AM$4="","",IF(HLOOKUP(AM$4,'Physical Effects-Numbers'!$B$1:$AU$172,$B76,FALSE)&lt;0,HLOOKUP(AM$4,'Physical Effects-Numbers'!$B$1:$AU$172,$B76,FALSE),""))</f>
        <v/>
      </c>
      <c r="AN76" s="488" t="str">
        <f>IF(AN$4="","",IF(HLOOKUP(AN$4,'Physical Effects-Numbers'!$B$1:$AU$172,$B76,FALSE)&lt;0,HLOOKUP(AN$4,'Physical Effects-Numbers'!$B$1:$AU$172,$B76,FALSE),""))</f>
        <v/>
      </c>
      <c r="AO76" s="488" t="str">
        <f>IF(AO$4="","",IF(HLOOKUP(AO$4,'Physical Effects-Numbers'!$B$1:$AU$172,$B76,FALSE)&lt;0,HLOOKUP(AO$4,'Physical Effects-Numbers'!$B$1:$AU$172,$B76,FALSE),""))</f>
        <v/>
      </c>
      <c r="AP76" s="488" t="str">
        <f>IF(AP$4="","",IF(HLOOKUP(AP$4,'Physical Effects-Numbers'!$B$1:$AU$172,$B76,FALSE)&lt;0,HLOOKUP(AP$4,'Physical Effects-Numbers'!$B$1:$AU$172,$B76,FALSE),""))</f>
        <v/>
      </c>
      <c r="AQ76" s="488" t="str">
        <f>IF(AQ$4="","",IF(HLOOKUP(AQ$4,'Physical Effects-Numbers'!$B$1:$AU$172,$B76,FALSE)&lt;0,HLOOKUP(AQ$4,'Physical Effects-Numbers'!$B$1:$AU$172,$B76,FALSE),""))</f>
        <v/>
      </c>
      <c r="AR76" s="488" t="str">
        <f>IF(AR$4="","",IF(HLOOKUP(AR$4,'Physical Effects-Numbers'!$B$1:$AU$172,$B76,FALSE)&lt;0,HLOOKUP(AR$4,'Physical Effects-Numbers'!$B$1:$AU$172,$B76,FALSE),""))</f>
        <v/>
      </c>
      <c r="AS76" s="488" t="str">
        <f>IF(AS$4="","",IF(HLOOKUP(AS$4,'Physical Effects-Numbers'!$B$1:$AU$172,$B76,FALSE)&lt;0,HLOOKUP(AS$4,'Physical Effects-Numbers'!$B$1:$AU$172,$B76,FALSE),""))</f>
        <v/>
      </c>
      <c r="AT76" s="488" t="str">
        <f>IF(AT$4="","",IF(HLOOKUP(AT$4,'Physical Effects-Numbers'!$B$1:$AU$172,$B76,FALSE)&lt;0,HLOOKUP(AT$4,'Physical Effects-Numbers'!$B$1:$AU$172,$B76,FALSE),""))</f>
        <v/>
      </c>
      <c r="AU76" s="488" t="str">
        <f>IF(AU$4="","",IF(HLOOKUP(AU$4,'Physical Effects-Numbers'!$B$1:$AU$172,$B76,FALSE)&lt;0,HLOOKUP(AU$4,'Physical Effects-Numbers'!$B$1:$AU$172,$B76,FALSE),""))</f>
        <v/>
      </c>
      <c r="AV76" s="488" t="str">
        <f>IF(AV$4="","",IF(HLOOKUP(AV$4,'Physical Effects-Numbers'!$B$1:$AU$167,$B76,FALSE)&lt;0,HLOOKUP(AV$4,'Physical Effects-Numbers'!$B$1:$AU$167,$B76,FALSE),""))</f>
        <v/>
      </c>
    </row>
    <row r="77" spans="2:48" x14ac:dyDescent="0.2">
      <c r="B77" s="487">
        <f t="shared" si="1"/>
        <v>74</v>
      </c>
      <c r="C77" s="486" t="str">
        <f>+'Physical Effects-Numbers'!B74</f>
        <v>Irrigation Pipeline</v>
      </c>
      <c r="D77" s="488" t="str">
        <f>IF(D$4="","",IF(HLOOKUP(D$4,'Physical Effects-Numbers'!$B$1:$AU$172,$B77,FALSE)&lt;0,HLOOKUP(D$4,'Physical Effects-Numbers'!$B$1:$AU$172,$B77,FALSE),""))</f>
        <v/>
      </c>
      <c r="E77" s="488" t="str">
        <f>IF(E$4="","",IF(HLOOKUP(E$4,'Physical Effects-Numbers'!$B$1:$AU$172,$B77,FALSE)&lt;0,HLOOKUP(E$4,'Physical Effects-Numbers'!$B$1:$AU$172,$B77,FALSE),""))</f>
        <v/>
      </c>
      <c r="F77" s="488" t="str">
        <f>IF(F$4="","",IF(HLOOKUP(F$4,'Physical Effects-Numbers'!$B$1:$AU$172,$B77,FALSE)&lt;0,HLOOKUP(F$4,'Physical Effects-Numbers'!$B$1:$AU$172,$B77,FALSE),""))</f>
        <v/>
      </c>
      <c r="G77" s="488" t="str">
        <f>IF(G$4="","",IF(HLOOKUP(G$4,'Physical Effects-Numbers'!$B$1:$AU$172,$B77,FALSE)&lt;0,HLOOKUP(G$4,'Physical Effects-Numbers'!$B$1:$AU$172,$B77,FALSE),""))</f>
        <v/>
      </c>
      <c r="H77" s="488" t="str">
        <f>IF(H$4="","",IF(HLOOKUP(H$4,'Physical Effects-Numbers'!$B$1:$AU$172,$B77,FALSE)&lt;0,HLOOKUP(H$4,'Physical Effects-Numbers'!$B$1:$AU$172,$B77,FALSE),""))</f>
        <v/>
      </c>
      <c r="I77" s="488" t="str">
        <f>IF(I$4="","",IF(HLOOKUP(I$4,'Physical Effects-Numbers'!$B$1:$AU$172,$B77,FALSE)&lt;0,HLOOKUP(I$4,'Physical Effects-Numbers'!$B$1:$AU$172,$B77,FALSE),""))</f>
        <v/>
      </c>
      <c r="J77" s="488" t="str">
        <f>IF(J$4="","",IF(HLOOKUP(J$4,'Physical Effects-Numbers'!$B$1:$AU$172,$B77,FALSE)&lt;0,HLOOKUP(J$4,'Physical Effects-Numbers'!$B$1:$AU$172,$B77,FALSE),""))</f>
        <v/>
      </c>
      <c r="K77" s="488" t="str">
        <f>IF(K$4="","",IF(HLOOKUP(K$4,'Physical Effects-Numbers'!$B$1:$AU$172,$B77,FALSE)&lt;0,HLOOKUP(K$4,'Physical Effects-Numbers'!$B$1:$AU$172,$B77,FALSE),""))</f>
        <v/>
      </c>
      <c r="L77" s="488" t="str">
        <f>IF(L$4="","",IF(HLOOKUP(L$4,'Physical Effects-Numbers'!$B$1:$AU$172,$B77,FALSE)&lt;0,HLOOKUP(L$4,'Physical Effects-Numbers'!$B$1:$AU$172,$B77,FALSE),""))</f>
        <v/>
      </c>
      <c r="M77" s="488" t="str">
        <f>IF(M$4="","",IF(HLOOKUP(M$4,'Physical Effects-Numbers'!$B$1:$AU$172,$B77,FALSE)&lt;0,HLOOKUP(M$4,'Physical Effects-Numbers'!$B$1:$AU$172,$B77,FALSE),""))</f>
        <v/>
      </c>
      <c r="N77" s="488" t="str">
        <f>IF(N$4="","",IF(HLOOKUP(N$4,'Physical Effects-Numbers'!$B$1:$AU$172,$B77,FALSE)&lt;0,HLOOKUP(N$4,'Physical Effects-Numbers'!$B$1:$AU$172,$B77,FALSE),""))</f>
        <v/>
      </c>
      <c r="O77" s="488" t="str">
        <f>IF(O$4="","",IF(HLOOKUP(O$4,'Physical Effects-Numbers'!$B$1:$AU$172,$B77,FALSE)&lt;0,HLOOKUP(O$4,'Physical Effects-Numbers'!$B$1:$AU$172,$B77,FALSE),""))</f>
        <v/>
      </c>
      <c r="P77" s="488" t="str">
        <f>IF(P$4="","",IF(HLOOKUP(P$4,'Physical Effects-Numbers'!$B$1:$AU$172,$B77,FALSE)&lt;0,HLOOKUP(P$4,'Physical Effects-Numbers'!$B$1:$AU$172,$B77,FALSE),""))</f>
        <v/>
      </c>
      <c r="Q77" s="488" t="str">
        <f>IF(Q$4="","",IF(HLOOKUP(Q$4,'Physical Effects-Numbers'!$B$1:$AU$172,$B77,FALSE)&lt;0,HLOOKUP(Q$4,'Physical Effects-Numbers'!$B$1:$AU$172,$B77,FALSE),""))</f>
        <v/>
      </c>
      <c r="R77" s="488" t="str">
        <f>IF(R$4="","",IF(HLOOKUP(R$4,'Physical Effects-Numbers'!$B$1:$AU$172,$B77,FALSE)&lt;0,HLOOKUP(R$4,'Physical Effects-Numbers'!$B$1:$AU$172,$B77,FALSE),""))</f>
        <v/>
      </c>
      <c r="S77" s="488" t="str">
        <f>IF(S$4="","",IF(HLOOKUP(S$4,'Physical Effects-Numbers'!$B$1:$AU$172,$B77,FALSE)&lt;0,HLOOKUP(S$4,'Physical Effects-Numbers'!$B$1:$AU$172,$B77,FALSE),""))</f>
        <v/>
      </c>
      <c r="T77" s="488" t="str">
        <f>IF(T$4="","",IF(HLOOKUP(T$4,'Physical Effects-Numbers'!$B$1:$AU$172,$B77,FALSE)&lt;0,HLOOKUP(T$4,'Physical Effects-Numbers'!$B$1:$AU$172,$B77,FALSE),""))</f>
        <v/>
      </c>
      <c r="U77" s="488" t="str">
        <f>IF(U$4="","",IF(HLOOKUP(U$4,'Physical Effects-Numbers'!$B$1:$AU$172,$B77,FALSE)&lt;0,HLOOKUP(U$4,'Physical Effects-Numbers'!$B$1:$AU$172,$B77,FALSE),""))</f>
        <v/>
      </c>
      <c r="V77" s="488" t="str">
        <f>IF(V$4="","",IF(HLOOKUP(V$4,'Physical Effects-Numbers'!$B$1:$AU$172,$B77,FALSE)&lt;0,HLOOKUP(V$4,'Physical Effects-Numbers'!$B$1:$AU$172,$B77,FALSE),""))</f>
        <v/>
      </c>
      <c r="W77" s="488" t="str">
        <f>IF(W$4="","",IF(HLOOKUP(W$4,'Physical Effects-Numbers'!$B$1:$AU$172,$B77,FALSE)&lt;0,HLOOKUP(W$4,'Physical Effects-Numbers'!$B$1:$AU$172,$B77,FALSE),""))</f>
        <v/>
      </c>
      <c r="X77" s="488" t="str">
        <f>IF(X$4="","",IF(HLOOKUP(X$4,'Physical Effects-Numbers'!$B$1:$AU$172,$B77,FALSE)&lt;0,HLOOKUP(X$4,'Physical Effects-Numbers'!$B$1:$AU$172,$B77,FALSE),""))</f>
        <v/>
      </c>
      <c r="Y77" s="488" t="str">
        <f>IF(Y$4="","",IF(HLOOKUP(Y$4,'Physical Effects-Numbers'!$B$1:$AU$172,$B77,FALSE)&lt;0,HLOOKUP(Y$4,'Physical Effects-Numbers'!$B$1:$AU$172,$B77,FALSE),""))</f>
        <v/>
      </c>
      <c r="Z77" s="488" t="str">
        <f>IF(Z$4="","",IF(HLOOKUP(Z$4,'Physical Effects-Numbers'!$B$1:$AU$172,$B77,FALSE)&lt;0,HLOOKUP(Z$4,'Physical Effects-Numbers'!$B$1:$AU$172,$B77,FALSE),""))</f>
        <v/>
      </c>
      <c r="AA77" s="488" t="str">
        <f>IF(AA$4="","",IF(HLOOKUP(AA$4,'Physical Effects-Numbers'!$B$1:$AU$172,$B77,FALSE)&lt;0,HLOOKUP(AA$4,'Physical Effects-Numbers'!$B$1:$AU$172,$B77,FALSE),""))</f>
        <v/>
      </c>
      <c r="AB77" s="488" t="str">
        <f>IF(AB$4="","",IF(HLOOKUP(AB$4,'Physical Effects-Numbers'!$B$1:$AU$172,$B77,FALSE)&lt;0,HLOOKUP(AB$4,'Physical Effects-Numbers'!$B$1:$AU$172,$B77,FALSE),""))</f>
        <v/>
      </c>
      <c r="AC77" s="488" t="str">
        <f>IF(AC$4="","",IF(HLOOKUP(AC$4,'Physical Effects-Numbers'!$B$1:$AU$172,$B77,FALSE)&lt;0,HLOOKUP(AC$4,'Physical Effects-Numbers'!$B$1:$AU$172,$B77,FALSE),""))</f>
        <v/>
      </c>
      <c r="AD77" s="488" t="str">
        <f>IF(AD$4="","",IF(HLOOKUP(AD$4,'Physical Effects-Numbers'!$B$1:$AU$172,$B77,FALSE)&lt;0,HLOOKUP(AD$4,'Physical Effects-Numbers'!$B$1:$AU$172,$B77,FALSE),""))</f>
        <v/>
      </c>
      <c r="AE77" s="488" t="str">
        <f>IF(AE$4="","",IF(HLOOKUP(AE$4,'Physical Effects-Numbers'!$B$1:$AU$172,$B77,FALSE)&lt;0,HLOOKUP(AE$4,'Physical Effects-Numbers'!$B$1:$AU$172,$B77,FALSE),""))</f>
        <v/>
      </c>
      <c r="AF77" s="488" t="str">
        <f>IF(AF$4="","",IF(HLOOKUP(AF$4,'Physical Effects-Numbers'!$B$1:$AU$172,$B77,FALSE)&lt;0,HLOOKUP(AF$4,'Physical Effects-Numbers'!$B$1:$AU$172,$B77,FALSE),""))</f>
        <v/>
      </c>
      <c r="AG77" s="488" t="str">
        <f>IF(AG$4="","",IF(HLOOKUP(AG$4,'Physical Effects-Numbers'!$B$1:$AU$172,$B77,FALSE)&lt;0,HLOOKUP(AG$4,'Physical Effects-Numbers'!$B$1:$AU$172,$B77,FALSE),""))</f>
        <v/>
      </c>
      <c r="AH77" s="488" t="str">
        <f>IF(AH$4="","",IF(HLOOKUP(AH$4,'Physical Effects-Numbers'!$B$1:$AU$172,$B77,FALSE)&lt;0,HLOOKUP(AH$4,'Physical Effects-Numbers'!$B$1:$AU$172,$B77,FALSE),""))</f>
        <v/>
      </c>
      <c r="AI77" s="488" t="str">
        <f>IF(AI$4="","",IF(HLOOKUP(AI$4,'Physical Effects-Numbers'!$B$1:$AU$172,$B77,FALSE)&lt;0,HLOOKUP(AI$4,'Physical Effects-Numbers'!$B$1:$AU$172,$B77,FALSE),""))</f>
        <v/>
      </c>
      <c r="AJ77" s="488" t="str">
        <f>IF(AJ$4="","",IF(HLOOKUP(AJ$4,'Physical Effects-Numbers'!$B$1:$AU$172,$B77,FALSE)&lt;0,HLOOKUP(AJ$4,'Physical Effects-Numbers'!$B$1:$AU$172,$B77,FALSE),""))</f>
        <v/>
      </c>
      <c r="AK77" s="488" t="str">
        <f>IF(AK$4="","",IF(HLOOKUP(AK$4,'Physical Effects-Numbers'!$B$1:$AU$172,$B77,FALSE)&lt;0,HLOOKUP(AK$4,'Physical Effects-Numbers'!$B$1:$AU$172,$B77,FALSE),""))</f>
        <v/>
      </c>
      <c r="AL77" s="488" t="str">
        <f>IF(AL$4="","",IF(HLOOKUP(AL$4,'Physical Effects-Numbers'!$B$1:$AU$172,$B77,FALSE)&lt;0,HLOOKUP(AL$4,'Physical Effects-Numbers'!$B$1:$AU$172,$B77,FALSE),""))</f>
        <v/>
      </c>
      <c r="AM77" s="488" t="str">
        <f>IF(AM$4="","",IF(HLOOKUP(AM$4,'Physical Effects-Numbers'!$B$1:$AU$172,$B77,FALSE)&lt;0,HLOOKUP(AM$4,'Physical Effects-Numbers'!$B$1:$AU$172,$B77,FALSE),""))</f>
        <v/>
      </c>
      <c r="AN77" s="488" t="str">
        <f>IF(AN$4="","",IF(HLOOKUP(AN$4,'Physical Effects-Numbers'!$B$1:$AU$172,$B77,FALSE)&lt;0,HLOOKUP(AN$4,'Physical Effects-Numbers'!$B$1:$AU$172,$B77,FALSE),""))</f>
        <v/>
      </c>
      <c r="AO77" s="488" t="str">
        <f>IF(AO$4="","",IF(HLOOKUP(AO$4,'Physical Effects-Numbers'!$B$1:$AU$172,$B77,FALSE)&lt;0,HLOOKUP(AO$4,'Physical Effects-Numbers'!$B$1:$AU$172,$B77,FALSE),""))</f>
        <v/>
      </c>
      <c r="AP77" s="488" t="str">
        <f>IF(AP$4="","",IF(HLOOKUP(AP$4,'Physical Effects-Numbers'!$B$1:$AU$172,$B77,FALSE)&lt;0,HLOOKUP(AP$4,'Physical Effects-Numbers'!$B$1:$AU$172,$B77,FALSE),""))</f>
        <v/>
      </c>
      <c r="AQ77" s="488" t="str">
        <f>IF(AQ$4="","",IF(HLOOKUP(AQ$4,'Physical Effects-Numbers'!$B$1:$AU$172,$B77,FALSE)&lt;0,HLOOKUP(AQ$4,'Physical Effects-Numbers'!$B$1:$AU$172,$B77,FALSE),""))</f>
        <v/>
      </c>
      <c r="AR77" s="488" t="str">
        <f>IF(AR$4="","",IF(HLOOKUP(AR$4,'Physical Effects-Numbers'!$B$1:$AU$172,$B77,FALSE)&lt;0,HLOOKUP(AR$4,'Physical Effects-Numbers'!$B$1:$AU$172,$B77,FALSE),""))</f>
        <v/>
      </c>
      <c r="AS77" s="488" t="str">
        <f>IF(AS$4="","",IF(HLOOKUP(AS$4,'Physical Effects-Numbers'!$B$1:$AU$172,$B77,FALSE)&lt;0,HLOOKUP(AS$4,'Physical Effects-Numbers'!$B$1:$AU$172,$B77,FALSE),""))</f>
        <v/>
      </c>
      <c r="AT77" s="488" t="str">
        <f>IF(AT$4="","",IF(HLOOKUP(AT$4,'Physical Effects-Numbers'!$B$1:$AU$172,$B77,FALSE)&lt;0,HLOOKUP(AT$4,'Physical Effects-Numbers'!$B$1:$AU$172,$B77,FALSE),""))</f>
        <v/>
      </c>
      <c r="AU77" s="488" t="str">
        <f>IF(AU$4="","",IF(HLOOKUP(AU$4,'Physical Effects-Numbers'!$B$1:$AU$172,$B77,FALSE)&lt;0,HLOOKUP(AU$4,'Physical Effects-Numbers'!$B$1:$AU$172,$B77,FALSE),""))</f>
        <v/>
      </c>
      <c r="AV77" s="488" t="str">
        <f>IF(AV$4="","",IF(HLOOKUP(AV$4,'Physical Effects-Numbers'!$B$1:$AU$167,$B77,FALSE)&lt;0,HLOOKUP(AV$4,'Physical Effects-Numbers'!$B$1:$AU$167,$B77,FALSE),""))</f>
        <v/>
      </c>
    </row>
    <row r="78" spans="2:48" x14ac:dyDescent="0.2">
      <c r="B78" s="487">
        <f t="shared" si="1"/>
        <v>75</v>
      </c>
      <c r="C78" s="486" t="str">
        <f>+'Physical Effects-Numbers'!B75</f>
        <v>Irrigation Reservoir</v>
      </c>
      <c r="D78" s="488" t="str">
        <f>IF(D$4="","",IF(HLOOKUP(D$4,'Physical Effects-Numbers'!$B$1:$AU$172,$B78,FALSE)&lt;0,HLOOKUP(D$4,'Physical Effects-Numbers'!$B$1:$AU$172,$B78,FALSE),""))</f>
        <v/>
      </c>
      <c r="E78" s="488" t="str">
        <f>IF(E$4="","",IF(HLOOKUP(E$4,'Physical Effects-Numbers'!$B$1:$AU$172,$B78,FALSE)&lt;0,HLOOKUP(E$4,'Physical Effects-Numbers'!$B$1:$AU$172,$B78,FALSE),""))</f>
        <v/>
      </c>
      <c r="F78" s="488" t="str">
        <f>IF(F$4="","",IF(HLOOKUP(F$4,'Physical Effects-Numbers'!$B$1:$AU$172,$B78,FALSE)&lt;0,HLOOKUP(F$4,'Physical Effects-Numbers'!$B$1:$AU$172,$B78,FALSE),""))</f>
        <v/>
      </c>
      <c r="G78" s="488" t="str">
        <f>IF(G$4="","",IF(HLOOKUP(G$4,'Physical Effects-Numbers'!$B$1:$AU$172,$B78,FALSE)&lt;0,HLOOKUP(G$4,'Physical Effects-Numbers'!$B$1:$AU$172,$B78,FALSE),""))</f>
        <v/>
      </c>
      <c r="H78" s="488" t="str">
        <f>IF(H$4="","",IF(HLOOKUP(H$4,'Physical Effects-Numbers'!$B$1:$AU$172,$B78,FALSE)&lt;0,HLOOKUP(H$4,'Physical Effects-Numbers'!$B$1:$AU$172,$B78,FALSE),""))</f>
        <v/>
      </c>
      <c r="I78" s="488" t="str">
        <f>IF(I$4="","",IF(HLOOKUP(I$4,'Physical Effects-Numbers'!$B$1:$AU$172,$B78,FALSE)&lt;0,HLOOKUP(I$4,'Physical Effects-Numbers'!$B$1:$AU$172,$B78,FALSE),""))</f>
        <v/>
      </c>
      <c r="J78" s="488" t="str">
        <f>IF(J$4="","",IF(HLOOKUP(J$4,'Physical Effects-Numbers'!$B$1:$AU$172,$B78,FALSE)&lt;0,HLOOKUP(J$4,'Physical Effects-Numbers'!$B$1:$AU$172,$B78,FALSE),""))</f>
        <v/>
      </c>
      <c r="K78" s="488" t="str">
        <f>IF(K$4="","",IF(HLOOKUP(K$4,'Physical Effects-Numbers'!$B$1:$AU$172,$B78,FALSE)&lt;0,HLOOKUP(K$4,'Physical Effects-Numbers'!$B$1:$AU$172,$B78,FALSE),""))</f>
        <v/>
      </c>
      <c r="L78" s="488" t="str">
        <f>IF(L$4="","",IF(HLOOKUP(L$4,'Physical Effects-Numbers'!$B$1:$AU$172,$B78,FALSE)&lt;0,HLOOKUP(L$4,'Physical Effects-Numbers'!$B$1:$AU$172,$B78,FALSE),""))</f>
        <v/>
      </c>
      <c r="M78" s="488">
        <f>IF(M$4="","",IF(HLOOKUP(M$4,'Physical Effects-Numbers'!$B$1:$AU$172,$B78,FALSE)&lt;0,HLOOKUP(M$4,'Physical Effects-Numbers'!$B$1:$AU$172,$B78,FALSE),""))</f>
        <v>-1</v>
      </c>
      <c r="N78" s="488" t="str">
        <f>IF(N$4="","",IF(HLOOKUP(N$4,'Physical Effects-Numbers'!$B$1:$AU$172,$B78,FALSE)&lt;0,HLOOKUP(N$4,'Physical Effects-Numbers'!$B$1:$AU$172,$B78,FALSE),""))</f>
        <v/>
      </c>
      <c r="O78" s="488">
        <f>IF(O$4="","",IF(HLOOKUP(O$4,'Physical Effects-Numbers'!$B$1:$AU$172,$B78,FALSE)&lt;0,HLOOKUP(O$4,'Physical Effects-Numbers'!$B$1:$AU$172,$B78,FALSE),""))</f>
        <v>-1</v>
      </c>
      <c r="P78" s="488" t="str">
        <f>IF(P$4="","",IF(HLOOKUP(P$4,'Physical Effects-Numbers'!$B$1:$AU$172,$B78,FALSE)&lt;0,HLOOKUP(P$4,'Physical Effects-Numbers'!$B$1:$AU$172,$B78,FALSE),""))</f>
        <v/>
      </c>
      <c r="Q78" s="488" t="str">
        <f>IF(Q$4="","",IF(HLOOKUP(Q$4,'Physical Effects-Numbers'!$B$1:$AU$172,$B78,FALSE)&lt;0,HLOOKUP(Q$4,'Physical Effects-Numbers'!$B$1:$AU$172,$B78,FALSE),""))</f>
        <v/>
      </c>
      <c r="R78" s="488" t="str">
        <f>IF(R$4="","",IF(HLOOKUP(R$4,'Physical Effects-Numbers'!$B$1:$AU$172,$B78,FALSE)&lt;0,HLOOKUP(R$4,'Physical Effects-Numbers'!$B$1:$AU$172,$B78,FALSE),""))</f>
        <v/>
      </c>
      <c r="S78" s="488" t="str">
        <f>IF(S$4="","",IF(HLOOKUP(S$4,'Physical Effects-Numbers'!$B$1:$AU$172,$B78,FALSE)&lt;0,HLOOKUP(S$4,'Physical Effects-Numbers'!$B$1:$AU$172,$B78,FALSE),""))</f>
        <v/>
      </c>
      <c r="T78" s="488" t="str">
        <f>IF(T$4="","",IF(HLOOKUP(T$4,'Physical Effects-Numbers'!$B$1:$AU$172,$B78,FALSE)&lt;0,HLOOKUP(T$4,'Physical Effects-Numbers'!$B$1:$AU$172,$B78,FALSE),""))</f>
        <v/>
      </c>
      <c r="U78" s="488" t="str">
        <f>IF(U$4="","",IF(HLOOKUP(U$4,'Physical Effects-Numbers'!$B$1:$AU$172,$B78,FALSE)&lt;0,HLOOKUP(U$4,'Physical Effects-Numbers'!$B$1:$AU$172,$B78,FALSE),""))</f>
        <v/>
      </c>
      <c r="V78" s="488">
        <f>IF(V$4="","",IF(HLOOKUP(V$4,'Physical Effects-Numbers'!$B$1:$AU$172,$B78,FALSE)&lt;0,HLOOKUP(V$4,'Physical Effects-Numbers'!$B$1:$AU$172,$B78,FALSE),""))</f>
        <v>-1</v>
      </c>
      <c r="W78" s="488" t="str">
        <f>IF(W$4="","",IF(HLOOKUP(W$4,'Physical Effects-Numbers'!$B$1:$AU$172,$B78,FALSE)&lt;0,HLOOKUP(W$4,'Physical Effects-Numbers'!$B$1:$AU$172,$B78,FALSE),""))</f>
        <v/>
      </c>
      <c r="X78" s="488" t="str">
        <f>IF(X$4="","",IF(HLOOKUP(X$4,'Physical Effects-Numbers'!$B$1:$AU$172,$B78,FALSE)&lt;0,HLOOKUP(X$4,'Physical Effects-Numbers'!$B$1:$AU$172,$B78,FALSE),""))</f>
        <v/>
      </c>
      <c r="Y78" s="488" t="str">
        <f>IF(Y$4="","",IF(HLOOKUP(Y$4,'Physical Effects-Numbers'!$B$1:$AU$172,$B78,FALSE)&lt;0,HLOOKUP(Y$4,'Physical Effects-Numbers'!$B$1:$AU$172,$B78,FALSE),""))</f>
        <v/>
      </c>
      <c r="Z78" s="488" t="str">
        <f>IF(Z$4="","",IF(HLOOKUP(Z$4,'Physical Effects-Numbers'!$B$1:$AU$172,$B78,FALSE)&lt;0,HLOOKUP(Z$4,'Physical Effects-Numbers'!$B$1:$AU$172,$B78,FALSE),""))</f>
        <v/>
      </c>
      <c r="AA78" s="488" t="str">
        <f>IF(AA$4="","",IF(HLOOKUP(AA$4,'Physical Effects-Numbers'!$B$1:$AU$172,$B78,FALSE)&lt;0,HLOOKUP(AA$4,'Physical Effects-Numbers'!$B$1:$AU$172,$B78,FALSE),""))</f>
        <v/>
      </c>
      <c r="AB78" s="488" t="str">
        <f>IF(AB$4="","",IF(HLOOKUP(AB$4,'Physical Effects-Numbers'!$B$1:$AU$172,$B78,FALSE)&lt;0,HLOOKUP(AB$4,'Physical Effects-Numbers'!$B$1:$AU$172,$B78,FALSE),""))</f>
        <v/>
      </c>
      <c r="AC78" s="488" t="str">
        <f>IF(AC$4="","",IF(HLOOKUP(AC$4,'Physical Effects-Numbers'!$B$1:$AU$172,$B78,FALSE)&lt;0,HLOOKUP(AC$4,'Physical Effects-Numbers'!$B$1:$AU$172,$B78,FALSE),""))</f>
        <v/>
      </c>
      <c r="AD78" s="488" t="str">
        <f>IF(AD$4="","",IF(HLOOKUP(AD$4,'Physical Effects-Numbers'!$B$1:$AU$172,$B78,FALSE)&lt;0,HLOOKUP(AD$4,'Physical Effects-Numbers'!$B$1:$AU$172,$B78,FALSE),""))</f>
        <v/>
      </c>
      <c r="AE78" s="488" t="str">
        <f>IF(AE$4="","",IF(HLOOKUP(AE$4,'Physical Effects-Numbers'!$B$1:$AU$172,$B78,FALSE)&lt;0,HLOOKUP(AE$4,'Physical Effects-Numbers'!$B$1:$AU$172,$B78,FALSE),""))</f>
        <v/>
      </c>
      <c r="AF78" s="488" t="str">
        <f>IF(AF$4="","",IF(HLOOKUP(AF$4,'Physical Effects-Numbers'!$B$1:$AU$172,$B78,FALSE)&lt;0,HLOOKUP(AF$4,'Physical Effects-Numbers'!$B$1:$AU$172,$B78,FALSE),""))</f>
        <v/>
      </c>
      <c r="AG78" s="488" t="str">
        <f>IF(AG$4="","",IF(HLOOKUP(AG$4,'Physical Effects-Numbers'!$B$1:$AU$172,$B78,FALSE)&lt;0,HLOOKUP(AG$4,'Physical Effects-Numbers'!$B$1:$AU$172,$B78,FALSE),""))</f>
        <v/>
      </c>
      <c r="AH78" s="488" t="str">
        <f>IF(AH$4="","",IF(HLOOKUP(AH$4,'Physical Effects-Numbers'!$B$1:$AU$172,$B78,FALSE)&lt;0,HLOOKUP(AH$4,'Physical Effects-Numbers'!$B$1:$AU$172,$B78,FALSE),""))</f>
        <v/>
      </c>
      <c r="AI78" s="488" t="str">
        <f>IF(AI$4="","",IF(HLOOKUP(AI$4,'Physical Effects-Numbers'!$B$1:$AU$172,$B78,FALSE)&lt;0,HLOOKUP(AI$4,'Physical Effects-Numbers'!$B$1:$AU$172,$B78,FALSE),""))</f>
        <v/>
      </c>
      <c r="AJ78" s="488" t="str">
        <f>IF(AJ$4="","",IF(HLOOKUP(AJ$4,'Physical Effects-Numbers'!$B$1:$AU$172,$B78,FALSE)&lt;0,HLOOKUP(AJ$4,'Physical Effects-Numbers'!$B$1:$AU$172,$B78,FALSE),""))</f>
        <v/>
      </c>
      <c r="AK78" s="488" t="str">
        <f>IF(AK$4="","",IF(HLOOKUP(AK$4,'Physical Effects-Numbers'!$B$1:$AU$172,$B78,FALSE)&lt;0,HLOOKUP(AK$4,'Physical Effects-Numbers'!$B$1:$AU$172,$B78,FALSE),""))</f>
        <v/>
      </c>
      <c r="AL78" s="488" t="str">
        <f>IF(AL$4="","",IF(HLOOKUP(AL$4,'Physical Effects-Numbers'!$B$1:$AU$172,$B78,FALSE)&lt;0,HLOOKUP(AL$4,'Physical Effects-Numbers'!$B$1:$AU$172,$B78,FALSE),""))</f>
        <v/>
      </c>
      <c r="AM78" s="488" t="str">
        <f>IF(AM$4="","",IF(HLOOKUP(AM$4,'Physical Effects-Numbers'!$B$1:$AU$172,$B78,FALSE)&lt;0,HLOOKUP(AM$4,'Physical Effects-Numbers'!$B$1:$AU$172,$B78,FALSE),""))</f>
        <v/>
      </c>
      <c r="AN78" s="488">
        <f>IF(AN$4="","",IF(HLOOKUP(AN$4,'Physical Effects-Numbers'!$B$1:$AU$172,$B78,FALSE)&lt;0,HLOOKUP(AN$4,'Physical Effects-Numbers'!$B$1:$AU$172,$B78,FALSE),""))</f>
        <v>-1</v>
      </c>
      <c r="AO78" s="488" t="str">
        <f>IF(AO$4="","",IF(HLOOKUP(AO$4,'Physical Effects-Numbers'!$B$1:$AU$172,$B78,FALSE)&lt;0,HLOOKUP(AO$4,'Physical Effects-Numbers'!$B$1:$AU$172,$B78,FALSE),""))</f>
        <v/>
      </c>
      <c r="AP78" s="488">
        <f>IF(AP$4="","",IF(HLOOKUP(AP$4,'Physical Effects-Numbers'!$B$1:$AU$172,$B78,FALSE)&lt;0,HLOOKUP(AP$4,'Physical Effects-Numbers'!$B$1:$AU$172,$B78,FALSE),""))</f>
        <v>-1</v>
      </c>
      <c r="AQ78" s="488" t="str">
        <f>IF(AQ$4="","",IF(HLOOKUP(AQ$4,'Physical Effects-Numbers'!$B$1:$AU$172,$B78,FALSE)&lt;0,HLOOKUP(AQ$4,'Physical Effects-Numbers'!$B$1:$AU$172,$B78,FALSE),""))</f>
        <v/>
      </c>
      <c r="AR78" s="488" t="str">
        <f>IF(AR$4="","",IF(HLOOKUP(AR$4,'Physical Effects-Numbers'!$B$1:$AU$172,$B78,FALSE)&lt;0,HLOOKUP(AR$4,'Physical Effects-Numbers'!$B$1:$AU$172,$B78,FALSE),""))</f>
        <v/>
      </c>
      <c r="AS78" s="488" t="str">
        <f>IF(AS$4="","",IF(HLOOKUP(AS$4,'Physical Effects-Numbers'!$B$1:$AU$172,$B78,FALSE)&lt;0,HLOOKUP(AS$4,'Physical Effects-Numbers'!$B$1:$AU$172,$B78,FALSE),""))</f>
        <v/>
      </c>
      <c r="AT78" s="488" t="str">
        <f>IF(AT$4="","",IF(HLOOKUP(AT$4,'Physical Effects-Numbers'!$B$1:$AU$172,$B78,FALSE)&lt;0,HLOOKUP(AT$4,'Physical Effects-Numbers'!$B$1:$AU$172,$B78,FALSE),""))</f>
        <v/>
      </c>
      <c r="AU78" s="488" t="str">
        <f>IF(AU$4="","",IF(HLOOKUP(AU$4,'Physical Effects-Numbers'!$B$1:$AU$172,$B78,FALSE)&lt;0,HLOOKUP(AU$4,'Physical Effects-Numbers'!$B$1:$AU$172,$B78,FALSE),""))</f>
        <v/>
      </c>
      <c r="AV78" s="488" t="str">
        <f>IF(AV$4="","",IF(HLOOKUP(AV$4,'Physical Effects-Numbers'!$B$1:$AU$167,$B78,FALSE)&lt;0,HLOOKUP(AV$4,'Physical Effects-Numbers'!$B$1:$AU$167,$B78,FALSE),""))</f>
        <v/>
      </c>
    </row>
    <row r="79" spans="2:48" x14ac:dyDescent="0.2">
      <c r="B79" s="487">
        <f t="shared" si="1"/>
        <v>76</v>
      </c>
      <c r="C79" s="486" t="str">
        <f>+'Physical Effects-Numbers'!B76</f>
        <v>Irrigation System, Microirrigation</v>
      </c>
      <c r="D79" s="488" t="str">
        <f>IF(D$4="","",IF(HLOOKUP(D$4,'Physical Effects-Numbers'!$B$1:$AU$172,$B79,FALSE)&lt;0,HLOOKUP(D$4,'Physical Effects-Numbers'!$B$1:$AU$172,$B79,FALSE),""))</f>
        <v/>
      </c>
      <c r="E79" s="488" t="str">
        <f>IF(E$4="","",IF(HLOOKUP(E$4,'Physical Effects-Numbers'!$B$1:$AU$172,$B79,FALSE)&lt;0,HLOOKUP(E$4,'Physical Effects-Numbers'!$B$1:$AU$172,$B79,FALSE),""))</f>
        <v/>
      </c>
      <c r="F79" s="488" t="str">
        <f>IF(F$4="","",IF(HLOOKUP(F$4,'Physical Effects-Numbers'!$B$1:$AU$172,$B79,FALSE)&lt;0,HLOOKUP(F$4,'Physical Effects-Numbers'!$B$1:$AU$172,$B79,FALSE),""))</f>
        <v/>
      </c>
      <c r="G79" s="488" t="str">
        <f>IF(G$4="","",IF(HLOOKUP(G$4,'Physical Effects-Numbers'!$B$1:$AU$172,$B79,FALSE)&lt;0,HLOOKUP(G$4,'Physical Effects-Numbers'!$B$1:$AU$172,$B79,FALSE),""))</f>
        <v/>
      </c>
      <c r="H79" s="488" t="str">
        <f>IF(H$4="","",IF(HLOOKUP(H$4,'Physical Effects-Numbers'!$B$1:$AU$172,$B79,FALSE)&lt;0,HLOOKUP(H$4,'Physical Effects-Numbers'!$B$1:$AU$172,$B79,FALSE),""))</f>
        <v/>
      </c>
      <c r="I79" s="488" t="str">
        <f>IF(I$4="","",IF(HLOOKUP(I$4,'Physical Effects-Numbers'!$B$1:$AU$172,$B79,FALSE)&lt;0,HLOOKUP(I$4,'Physical Effects-Numbers'!$B$1:$AU$172,$B79,FALSE),""))</f>
        <v/>
      </c>
      <c r="J79" s="488" t="str">
        <f>IF(J$4="","",IF(HLOOKUP(J$4,'Physical Effects-Numbers'!$B$1:$AU$172,$B79,FALSE)&lt;0,HLOOKUP(J$4,'Physical Effects-Numbers'!$B$1:$AU$172,$B79,FALSE),""))</f>
        <v/>
      </c>
      <c r="K79" s="488" t="str">
        <f>IF(K$4="","",IF(HLOOKUP(K$4,'Physical Effects-Numbers'!$B$1:$AU$172,$B79,FALSE)&lt;0,HLOOKUP(K$4,'Physical Effects-Numbers'!$B$1:$AU$172,$B79,FALSE),""))</f>
        <v/>
      </c>
      <c r="L79" s="488" t="str">
        <f>IF(L$4="","",IF(HLOOKUP(L$4,'Physical Effects-Numbers'!$B$1:$AU$172,$B79,FALSE)&lt;0,HLOOKUP(L$4,'Physical Effects-Numbers'!$B$1:$AU$172,$B79,FALSE),""))</f>
        <v/>
      </c>
      <c r="M79" s="488" t="str">
        <f>IF(M$4="","",IF(HLOOKUP(M$4,'Physical Effects-Numbers'!$B$1:$AU$172,$B79,FALSE)&lt;0,HLOOKUP(M$4,'Physical Effects-Numbers'!$B$1:$AU$172,$B79,FALSE),""))</f>
        <v/>
      </c>
      <c r="N79" s="488" t="str">
        <f>IF(N$4="","",IF(HLOOKUP(N$4,'Physical Effects-Numbers'!$B$1:$AU$172,$B79,FALSE)&lt;0,HLOOKUP(N$4,'Physical Effects-Numbers'!$B$1:$AU$172,$B79,FALSE),""))</f>
        <v/>
      </c>
      <c r="O79" s="488" t="str">
        <f>IF(O$4="","",IF(HLOOKUP(O$4,'Physical Effects-Numbers'!$B$1:$AU$172,$B79,FALSE)&lt;0,HLOOKUP(O$4,'Physical Effects-Numbers'!$B$1:$AU$172,$B79,FALSE),""))</f>
        <v/>
      </c>
      <c r="P79" s="488" t="str">
        <f>IF(P$4="","",IF(HLOOKUP(P$4,'Physical Effects-Numbers'!$B$1:$AU$172,$B79,FALSE)&lt;0,HLOOKUP(P$4,'Physical Effects-Numbers'!$B$1:$AU$172,$B79,FALSE),""))</f>
        <v/>
      </c>
      <c r="Q79" s="488" t="str">
        <f>IF(Q$4="","",IF(HLOOKUP(Q$4,'Physical Effects-Numbers'!$B$1:$AU$172,$B79,FALSE)&lt;0,HLOOKUP(Q$4,'Physical Effects-Numbers'!$B$1:$AU$172,$B79,FALSE),""))</f>
        <v/>
      </c>
      <c r="R79" s="488" t="str">
        <f>IF(R$4="","",IF(HLOOKUP(R$4,'Physical Effects-Numbers'!$B$1:$AU$172,$B79,FALSE)&lt;0,HLOOKUP(R$4,'Physical Effects-Numbers'!$B$1:$AU$172,$B79,FALSE),""))</f>
        <v/>
      </c>
      <c r="S79" s="488" t="str">
        <f>IF(S$4="","",IF(HLOOKUP(S$4,'Physical Effects-Numbers'!$B$1:$AU$172,$B79,FALSE)&lt;0,HLOOKUP(S$4,'Physical Effects-Numbers'!$B$1:$AU$172,$B79,FALSE),""))</f>
        <v/>
      </c>
      <c r="T79" s="488" t="str">
        <f>IF(T$4="","",IF(HLOOKUP(T$4,'Physical Effects-Numbers'!$B$1:$AU$172,$B79,FALSE)&lt;0,HLOOKUP(T$4,'Physical Effects-Numbers'!$B$1:$AU$172,$B79,FALSE),""))</f>
        <v/>
      </c>
      <c r="U79" s="488" t="str">
        <f>IF(U$4="","",IF(HLOOKUP(U$4,'Physical Effects-Numbers'!$B$1:$AU$172,$B79,FALSE)&lt;0,HLOOKUP(U$4,'Physical Effects-Numbers'!$B$1:$AU$172,$B79,FALSE),""))</f>
        <v/>
      </c>
      <c r="V79" s="488" t="str">
        <f>IF(V$4="","",IF(HLOOKUP(V$4,'Physical Effects-Numbers'!$B$1:$AU$172,$B79,FALSE)&lt;0,HLOOKUP(V$4,'Physical Effects-Numbers'!$B$1:$AU$172,$B79,FALSE),""))</f>
        <v/>
      </c>
      <c r="W79" s="488" t="str">
        <f>IF(W$4="","",IF(HLOOKUP(W$4,'Physical Effects-Numbers'!$B$1:$AU$172,$B79,FALSE)&lt;0,HLOOKUP(W$4,'Physical Effects-Numbers'!$B$1:$AU$172,$B79,FALSE),""))</f>
        <v/>
      </c>
      <c r="X79" s="488" t="str">
        <f>IF(X$4="","",IF(HLOOKUP(X$4,'Physical Effects-Numbers'!$B$1:$AU$172,$B79,FALSE)&lt;0,HLOOKUP(X$4,'Physical Effects-Numbers'!$B$1:$AU$172,$B79,FALSE),""))</f>
        <v/>
      </c>
      <c r="Y79" s="488" t="str">
        <f>IF(Y$4="","",IF(HLOOKUP(Y$4,'Physical Effects-Numbers'!$B$1:$AU$172,$B79,FALSE)&lt;0,HLOOKUP(Y$4,'Physical Effects-Numbers'!$B$1:$AU$172,$B79,FALSE),""))</f>
        <v/>
      </c>
      <c r="Z79" s="488" t="str">
        <f>IF(Z$4="","",IF(HLOOKUP(Z$4,'Physical Effects-Numbers'!$B$1:$AU$172,$B79,FALSE)&lt;0,HLOOKUP(Z$4,'Physical Effects-Numbers'!$B$1:$AU$172,$B79,FALSE),""))</f>
        <v/>
      </c>
      <c r="AA79" s="488" t="str">
        <f>IF(AA$4="","",IF(HLOOKUP(AA$4,'Physical Effects-Numbers'!$B$1:$AU$172,$B79,FALSE)&lt;0,HLOOKUP(AA$4,'Physical Effects-Numbers'!$B$1:$AU$172,$B79,FALSE),""))</f>
        <v/>
      </c>
      <c r="AB79" s="488" t="str">
        <f>IF(AB$4="","",IF(HLOOKUP(AB$4,'Physical Effects-Numbers'!$B$1:$AU$172,$B79,FALSE)&lt;0,HLOOKUP(AB$4,'Physical Effects-Numbers'!$B$1:$AU$172,$B79,FALSE),""))</f>
        <v/>
      </c>
      <c r="AC79" s="488" t="str">
        <f>IF(AC$4="","",IF(HLOOKUP(AC$4,'Physical Effects-Numbers'!$B$1:$AU$172,$B79,FALSE)&lt;0,HLOOKUP(AC$4,'Physical Effects-Numbers'!$B$1:$AU$172,$B79,FALSE),""))</f>
        <v/>
      </c>
      <c r="AD79" s="488" t="str">
        <f>IF(AD$4="","",IF(HLOOKUP(AD$4,'Physical Effects-Numbers'!$B$1:$AU$172,$B79,FALSE)&lt;0,HLOOKUP(AD$4,'Physical Effects-Numbers'!$B$1:$AU$172,$B79,FALSE),""))</f>
        <v/>
      </c>
      <c r="AE79" s="488" t="str">
        <f>IF(AE$4="","",IF(HLOOKUP(AE$4,'Physical Effects-Numbers'!$B$1:$AU$172,$B79,FALSE)&lt;0,HLOOKUP(AE$4,'Physical Effects-Numbers'!$B$1:$AU$172,$B79,FALSE),""))</f>
        <v/>
      </c>
      <c r="AF79" s="488" t="str">
        <f>IF(AF$4="","",IF(HLOOKUP(AF$4,'Physical Effects-Numbers'!$B$1:$AU$172,$B79,FALSE)&lt;0,HLOOKUP(AF$4,'Physical Effects-Numbers'!$B$1:$AU$172,$B79,FALSE),""))</f>
        <v/>
      </c>
      <c r="AG79" s="488" t="str">
        <f>IF(AG$4="","",IF(HLOOKUP(AG$4,'Physical Effects-Numbers'!$B$1:$AU$172,$B79,FALSE)&lt;0,HLOOKUP(AG$4,'Physical Effects-Numbers'!$B$1:$AU$172,$B79,FALSE),""))</f>
        <v/>
      </c>
      <c r="AH79" s="488" t="str">
        <f>IF(AH$4="","",IF(HLOOKUP(AH$4,'Physical Effects-Numbers'!$B$1:$AU$172,$B79,FALSE)&lt;0,HLOOKUP(AH$4,'Physical Effects-Numbers'!$B$1:$AU$172,$B79,FALSE),""))</f>
        <v/>
      </c>
      <c r="AI79" s="488" t="str">
        <f>IF(AI$4="","",IF(HLOOKUP(AI$4,'Physical Effects-Numbers'!$B$1:$AU$172,$B79,FALSE)&lt;0,HLOOKUP(AI$4,'Physical Effects-Numbers'!$B$1:$AU$172,$B79,FALSE),""))</f>
        <v/>
      </c>
      <c r="AJ79" s="488" t="str">
        <f>IF(AJ$4="","",IF(HLOOKUP(AJ$4,'Physical Effects-Numbers'!$B$1:$AU$172,$B79,FALSE)&lt;0,HLOOKUP(AJ$4,'Physical Effects-Numbers'!$B$1:$AU$172,$B79,FALSE),""))</f>
        <v/>
      </c>
      <c r="AK79" s="488" t="str">
        <f>IF(AK$4="","",IF(HLOOKUP(AK$4,'Physical Effects-Numbers'!$B$1:$AU$172,$B79,FALSE)&lt;0,HLOOKUP(AK$4,'Physical Effects-Numbers'!$B$1:$AU$172,$B79,FALSE),""))</f>
        <v/>
      </c>
      <c r="AL79" s="488" t="str">
        <f>IF(AL$4="","",IF(HLOOKUP(AL$4,'Physical Effects-Numbers'!$B$1:$AU$172,$B79,FALSE)&lt;0,HLOOKUP(AL$4,'Physical Effects-Numbers'!$B$1:$AU$172,$B79,FALSE),""))</f>
        <v/>
      </c>
      <c r="AM79" s="488" t="str">
        <f>IF(AM$4="","",IF(HLOOKUP(AM$4,'Physical Effects-Numbers'!$B$1:$AU$172,$B79,FALSE)&lt;0,HLOOKUP(AM$4,'Physical Effects-Numbers'!$B$1:$AU$172,$B79,FALSE),""))</f>
        <v/>
      </c>
      <c r="AN79" s="488" t="str">
        <f>IF(AN$4="","",IF(HLOOKUP(AN$4,'Physical Effects-Numbers'!$B$1:$AU$172,$B79,FALSE)&lt;0,HLOOKUP(AN$4,'Physical Effects-Numbers'!$B$1:$AU$172,$B79,FALSE),""))</f>
        <v/>
      </c>
      <c r="AO79" s="488" t="str">
        <f>IF(AO$4="","",IF(HLOOKUP(AO$4,'Physical Effects-Numbers'!$B$1:$AU$172,$B79,FALSE)&lt;0,HLOOKUP(AO$4,'Physical Effects-Numbers'!$B$1:$AU$172,$B79,FALSE),""))</f>
        <v/>
      </c>
      <c r="AP79" s="488" t="str">
        <f>IF(AP$4="","",IF(HLOOKUP(AP$4,'Physical Effects-Numbers'!$B$1:$AU$172,$B79,FALSE)&lt;0,HLOOKUP(AP$4,'Physical Effects-Numbers'!$B$1:$AU$172,$B79,FALSE),""))</f>
        <v/>
      </c>
      <c r="AQ79" s="488" t="str">
        <f>IF(AQ$4="","",IF(HLOOKUP(AQ$4,'Physical Effects-Numbers'!$B$1:$AU$172,$B79,FALSE)&lt;0,HLOOKUP(AQ$4,'Physical Effects-Numbers'!$B$1:$AU$172,$B79,FALSE),""))</f>
        <v/>
      </c>
      <c r="AR79" s="488" t="str">
        <f>IF(AR$4="","",IF(HLOOKUP(AR$4,'Physical Effects-Numbers'!$B$1:$AU$172,$B79,FALSE)&lt;0,HLOOKUP(AR$4,'Physical Effects-Numbers'!$B$1:$AU$172,$B79,FALSE),""))</f>
        <v/>
      </c>
      <c r="AS79" s="488" t="str">
        <f>IF(AS$4="","",IF(HLOOKUP(AS$4,'Physical Effects-Numbers'!$B$1:$AU$172,$B79,FALSE)&lt;0,HLOOKUP(AS$4,'Physical Effects-Numbers'!$B$1:$AU$172,$B79,FALSE),""))</f>
        <v/>
      </c>
      <c r="AT79" s="488" t="str">
        <f>IF(AT$4="","",IF(HLOOKUP(AT$4,'Physical Effects-Numbers'!$B$1:$AU$172,$B79,FALSE)&lt;0,HLOOKUP(AT$4,'Physical Effects-Numbers'!$B$1:$AU$172,$B79,FALSE),""))</f>
        <v/>
      </c>
      <c r="AU79" s="488" t="str">
        <f>IF(AU$4="","",IF(HLOOKUP(AU$4,'Physical Effects-Numbers'!$B$1:$AU$172,$B79,FALSE)&lt;0,HLOOKUP(AU$4,'Physical Effects-Numbers'!$B$1:$AU$172,$B79,FALSE),""))</f>
        <v/>
      </c>
      <c r="AV79" s="488" t="str">
        <f>IF(AV$4="","",IF(HLOOKUP(AV$4,'Physical Effects-Numbers'!$B$1:$AU$167,$B79,FALSE)&lt;0,HLOOKUP(AV$4,'Physical Effects-Numbers'!$B$1:$AU$167,$B79,FALSE),""))</f>
        <v/>
      </c>
    </row>
    <row r="80" spans="2:48" x14ac:dyDescent="0.2">
      <c r="B80" s="487">
        <f t="shared" si="1"/>
        <v>77</v>
      </c>
      <c r="C80" s="486" t="str">
        <f>+'Physical Effects-Numbers'!B77</f>
        <v>Irrigation System, Surface &amp; Subsurface</v>
      </c>
      <c r="D80" s="488" t="str">
        <f>IF(D$4="","",IF(HLOOKUP(D$4,'Physical Effects-Numbers'!$B$1:$AU$172,$B80,FALSE)&lt;0,HLOOKUP(D$4,'Physical Effects-Numbers'!$B$1:$AU$172,$B80,FALSE),""))</f>
        <v/>
      </c>
      <c r="E80" s="488" t="str">
        <f>IF(E$4="","",IF(HLOOKUP(E$4,'Physical Effects-Numbers'!$B$1:$AU$172,$B80,FALSE)&lt;0,HLOOKUP(E$4,'Physical Effects-Numbers'!$B$1:$AU$172,$B80,FALSE),""))</f>
        <v/>
      </c>
      <c r="F80" s="488" t="str">
        <f>IF(F$4="","",IF(HLOOKUP(F$4,'Physical Effects-Numbers'!$B$1:$AU$172,$B80,FALSE)&lt;0,HLOOKUP(F$4,'Physical Effects-Numbers'!$B$1:$AU$172,$B80,FALSE),""))</f>
        <v/>
      </c>
      <c r="G80" s="488">
        <f>IF(G$4="","",IF(HLOOKUP(G$4,'Physical Effects-Numbers'!$B$1:$AU$172,$B80,FALSE)&lt;0,HLOOKUP(G$4,'Physical Effects-Numbers'!$B$1:$AU$172,$B80,FALSE),""))</f>
        <v>-1</v>
      </c>
      <c r="H80" s="488">
        <f>IF(H$4="","",IF(HLOOKUP(H$4,'Physical Effects-Numbers'!$B$1:$AU$172,$B80,FALSE)&lt;0,HLOOKUP(H$4,'Physical Effects-Numbers'!$B$1:$AU$172,$B80,FALSE),""))</f>
        <v>-1</v>
      </c>
      <c r="I80" s="488" t="str">
        <f>IF(I$4="","",IF(HLOOKUP(I$4,'Physical Effects-Numbers'!$B$1:$AU$172,$B80,FALSE)&lt;0,HLOOKUP(I$4,'Physical Effects-Numbers'!$B$1:$AU$172,$B80,FALSE),""))</f>
        <v/>
      </c>
      <c r="J80" s="488">
        <f>IF(J$4="","",IF(HLOOKUP(J$4,'Physical Effects-Numbers'!$B$1:$AU$172,$B80,FALSE)&lt;0,HLOOKUP(J$4,'Physical Effects-Numbers'!$B$1:$AU$172,$B80,FALSE),""))</f>
        <v>-1</v>
      </c>
      <c r="K80" s="488" t="str">
        <f>IF(K$4="","",IF(HLOOKUP(K$4,'Physical Effects-Numbers'!$B$1:$AU$172,$B80,FALSE)&lt;0,HLOOKUP(K$4,'Physical Effects-Numbers'!$B$1:$AU$172,$B80,FALSE),""))</f>
        <v/>
      </c>
      <c r="L80" s="488" t="str">
        <f>IF(L$4="","",IF(HLOOKUP(L$4,'Physical Effects-Numbers'!$B$1:$AU$172,$B80,FALSE)&lt;0,HLOOKUP(L$4,'Physical Effects-Numbers'!$B$1:$AU$172,$B80,FALSE),""))</f>
        <v/>
      </c>
      <c r="M80" s="488" t="str">
        <f>IF(M$4="","",IF(HLOOKUP(M$4,'Physical Effects-Numbers'!$B$1:$AU$172,$B80,FALSE)&lt;0,HLOOKUP(M$4,'Physical Effects-Numbers'!$B$1:$AU$172,$B80,FALSE),""))</f>
        <v/>
      </c>
      <c r="N80" s="488" t="str">
        <f>IF(N$4="","",IF(HLOOKUP(N$4,'Physical Effects-Numbers'!$B$1:$AU$172,$B80,FALSE)&lt;0,HLOOKUP(N$4,'Physical Effects-Numbers'!$B$1:$AU$172,$B80,FALSE),""))</f>
        <v/>
      </c>
      <c r="O80" s="488" t="str">
        <f>IF(O$4="","",IF(HLOOKUP(O$4,'Physical Effects-Numbers'!$B$1:$AU$172,$B80,FALSE)&lt;0,HLOOKUP(O$4,'Physical Effects-Numbers'!$B$1:$AU$172,$B80,FALSE),""))</f>
        <v/>
      </c>
      <c r="P80" s="488" t="str">
        <f>IF(P$4="","",IF(HLOOKUP(P$4,'Physical Effects-Numbers'!$B$1:$AU$172,$B80,FALSE)&lt;0,HLOOKUP(P$4,'Physical Effects-Numbers'!$B$1:$AU$172,$B80,FALSE),""))</f>
        <v/>
      </c>
      <c r="Q80" s="488" t="str">
        <f>IF(Q$4="","",IF(HLOOKUP(Q$4,'Physical Effects-Numbers'!$B$1:$AU$172,$B80,FALSE)&lt;0,HLOOKUP(Q$4,'Physical Effects-Numbers'!$B$1:$AU$172,$B80,FALSE),""))</f>
        <v/>
      </c>
      <c r="R80" s="488" t="str">
        <f>IF(R$4="","",IF(HLOOKUP(R$4,'Physical Effects-Numbers'!$B$1:$AU$172,$B80,FALSE)&lt;0,HLOOKUP(R$4,'Physical Effects-Numbers'!$B$1:$AU$172,$B80,FALSE),""))</f>
        <v/>
      </c>
      <c r="S80" s="488" t="str">
        <f>IF(S$4="","",IF(HLOOKUP(S$4,'Physical Effects-Numbers'!$B$1:$AU$172,$B80,FALSE)&lt;0,HLOOKUP(S$4,'Physical Effects-Numbers'!$B$1:$AU$172,$B80,FALSE),""))</f>
        <v/>
      </c>
      <c r="T80" s="488" t="str">
        <f>IF(T$4="","",IF(HLOOKUP(T$4,'Physical Effects-Numbers'!$B$1:$AU$172,$B80,FALSE)&lt;0,HLOOKUP(T$4,'Physical Effects-Numbers'!$B$1:$AU$172,$B80,FALSE),""))</f>
        <v/>
      </c>
      <c r="U80" s="488" t="str">
        <f>IF(U$4="","",IF(HLOOKUP(U$4,'Physical Effects-Numbers'!$B$1:$AU$172,$B80,FALSE)&lt;0,HLOOKUP(U$4,'Physical Effects-Numbers'!$B$1:$AU$172,$B80,FALSE),""))</f>
        <v/>
      </c>
      <c r="V80" s="488" t="str">
        <f>IF(V$4="","",IF(HLOOKUP(V$4,'Physical Effects-Numbers'!$B$1:$AU$172,$B80,FALSE)&lt;0,HLOOKUP(V$4,'Physical Effects-Numbers'!$B$1:$AU$172,$B80,FALSE),""))</f>
        <v/>
      </c>
      <c r="W80" s="488" t="str">
        <f>IF(W$4="","",IF(HLOOKUP(W$4,'Physical Effects-Numbers'!$B$1:$AU$172,$B80,FALSE)&lt;0,HLOOKUP(W$4,'Physical Effects-Numbers'!$B$1:$AU$172,$B80,FALSE),""))</f>
        <v/>
      </c>
      <c r="X80" s="488" t="str">
        <f>IF(X$4="","",IF(HLOOKUP(X$4,'Physical Effects-Numbers'!$B$1:$AU$172,$B80,FALSE)&lt;0,HLOOKUP(X$4,'Physical Effects-Numbers'!$B$1:$AU$172,$B80,FALSE),""))</f>
        <v/>
      </c>
      <c r="Y80" s="488" t="str">
        <f>IF(Y$4="","",IF(HLOOKUP(Y$4,'Physical Effects-Numbers'!$B$1:$AU$172,$B80,FALSE)&lt;0,HLOOKUP(Y$4,'Physical Effects-Numbers'!$B$1:$AU$172,$B80,FALSE),""))</f>
        <v/>
      </c>
      <c r="Z80" s="488" t="str">
        <f>IF(Z$4="","",IF(HLOOKUP(Z$4,'Physical Effects-Numbers'!$B$1:$AU$172,$B80,FALSE)&lt;0,HLOOKUP(Z$4,'Physical Effects-Numbers'!$B$1:$AU$172,$B80,FALSE),""))</f>
        <v/>
      </c>
      <c r="AA80" s="488" t="str">
        <f>IF(AA$4="","",IF(HLOOKUP(AA$4,'Physical Effects-Numbers'!$B$1:$AU$172,$B80,FALSE)&lt;0,HLOOKUP(AA$4,'Physical Effects-Numbers'!$B$1:$AU$172,$B80,FALSE),""))</f>
        <v/>
      </c>
      <c r="AB80" s="488" t="str">
        <f>IF(AB$4="","",IF(HLOOKUP(AB$4,'Physical Effects-Numbers'!$B$1:$AU$172,$B80,FALSE)&lt;0,HLOOKUP(AB$4,'Physical Effects-Numbers'!$B$1:$AU$172,$B80,FALSE),""))</f>
        <v/>
      </c>
      <c r="AC80" s="488" t="str">
        <f>IF(AC$4="","",IF(HLOOKUP(AC$4,'Physical Effects-Numbers'!$B$1:$AU$172,$B80,FALSE)&lt;0,HLOOKUP(AC$4,'Physical Effects-Numbers'!$B$1:$AU$172,$B80,FALSE),""))</f>
        <v/>
      </c>
      <c r="AD80" s="488" t="str">
        <f>IF(AD$4="","",IF(HLOOKUP(AD$4,'Physical Effects-Numbers'!$B$1:$AU$172,$B80,FALSE)&lt;0,HLOOKUP(AD$4,'Physical Effects-Numbers'!$B$1:$AU$172,$B80,FALSE),""))</f>
        <v/>
      </c>
      <c r="AE80" s="488" t="str">
        <f>IF(AE$4="","",IF(HLOOKUP(AE$4,'Physical Effects-Numbers'!$B$1:$AU$172,$B80,FALSE)&lt;0,HLOOKUP(AE$4,'Physical Effects-Numbers'!$B$1:$AU$172,$B80,FALSE),""))</f>
        <v/>
      </c>
      <c r="AF80" s="488" t="str">
        <f>IF(AF$4="","",IF(HLOOKUP(AF$4,'Physical Effects-Numbers'!$B$1:$AU$172,$B80,FALSE)&lt;0,HLOOKUP(AF$4,'Physical Effects-Numbers'!$B$1:$AU$172,$B80,FALSE),""))</f>
        <v/>
      </c>
      <c r="AG80" s="488" t="str">
        <f>IF(AG$4="","",IF(HLOOKUP(AG$4,'Physical Effects-Numbers'!$B$1:$AU$172,$B80,FALSE)&lt;0,HLOOKUP(AG$4,'Physical Effects-Numbers'!$B$1:$AU$172,$B80,FALSE),""))</f>
        <v/>
      </c>
      <c r="AH80" s="488" t="str">
        <f>IF(AH$4="","",IF(HLOOKUP(AH$4,'Physical Effects-Numbers'!$B$1:$AU$172,$B80,FALSE)&lt;0,HLOOKUP(AH$4,'Physical Effects-Numbers'!$B$1:$AU$172,$B80,FALSE),""))</f>
        <v/>
      </c>
      <c r="AI80" s="488" t="str">
        <f>IF(AI$4="","",IF(HLOOKUP(AI$4,'Physical Effects-Numbers'!$B$1:$AU$172,$B80,FALSE)&lt;0,HLOOKUP(AI$4,'Physical Effects-Numbers'!$B$1:$AU$172,$B80,FALSE),""))</f>
        <v/>
      </c>
      <c r="AJ80" s="488" t="str">
        <f>IF(AJ$4="","",IF(HLOOKUP(AJ$4,'Physical Effects-Numbers'!$B$1:$AU$172,$B80,FALSE)&lt;0,HLOOKUP(AJ$4,'Physical Effects-Numbers'!$B$1:$AU$172,$B80,FALSE),""))</f>
        <v/>
      </c>
      <c r="AK80" s="488" t="str">
        <f>IF(AK$4="","",IF(HLOOKUP(AK$4,'Physical Effects-Numbers'!$B$1:$AU$172,$B80,FALSE)&lt;0,HLOOKUP(AK$4,'Physical Effects-Numbers'!$B$1:$AU$172,$B80,FALSE),""))</f>
        <v/>
      </c>
      <c r="AL80" s="488" t="str">
        <f>IF(AL$4="","",IF(HLOOKUP(AL$4,'Physical Effects-Numbers'!$B$1:$AU$172,$B80,FALSE)&lt;0,HLOOKUP(AL$4,'Physical Effects-Numbers'!$B$1:$AU$172,$B80,FALSE),""))</f>
        <v/>
      </c>
      <c r="AM80" s="488" t="str">
        <f>IF(AM$4="","",IF(HLOOKUP(AM$4,'Physical Effects-Numbers'!$B$1:$AU$172,$B80,FALSE)&lt;0,HLOOKUP(AM$4,'Physical Effects-Numbers'!$B$1:$AU$172,$B80,FALSE),""))</f>
        <v/>
      </c>
      <c r="AN80" s="488" t="str">
        <f>IF(AN$4="","",IF(HLOOKUP(AN$4,'Physical Effects-Numbers'!$B$1:$AU$172,$B80,FALSE)&lt;0,HLOOKUP(AN$4,'Physical Effects-Numbers'!$B$1:$AU$172,$B80,FALSE),""))</f>
        <v/>
      </c>
      <c r="AO80" s="488" t="str">
        <f>IF(AO$4="","",IF(HLOOKUP(AO$4,'Physical Effects-Numbers'!$B$1:$AU$172,$B80,FALSE)&lt;0,HLOOKUP(AO$4,'Physical Effects-Numbers'!$B$1:$AU$172,$B80,FALSE),""))</f>
        <v/>
      </c>
      <c r="AP80" s="488" t="str">
        <f>IF(AP$4="","",IF(HLOOKUP(AP$4,'Physical Effects-Numbers'!$B$1:$AU$172,$B80,FALSE)&lt;0,HLOOKUP(AP$4,'Physical Effects-Numbers'!$B$1:$AU$172,$B80,FALSE),""))</f>
        <v/>
      </c>
      <c r="AQ80" s="488" t="str">
        <f>IF(AQ$4="","",IF(HLOOKUP(AQ$4,'Physical Effects-Numbers'!$B$1:$AU$172,$B80,FALSE)&lt;0,HLOOKUP(AQ$4,'Physical Effects-Numbers'!$B$1:$AU$172,$B80,FALSE),""))</f>
        <v/>
      </c>
      <c r="AR80" s="488" t="str">
        <f>IF(AR$4="","",IF(HLOOKUP(AR$4,'Physical Effects-Numbers'!$B$1:$AU$172,$B80,FALSE)&lt;0,HLOOKUP(AR$4,'Physical Effects-Numbers'!$B$1:$AU$172,$B80,FALSE),""))</f>
        <v/>
      </c>
      <c r="AS80" s="488" t="str">
        <f>IF(AS$4="","",IF(HLOOKUP(AS$4,'Physical Effects-Numbers'!$B$1:$AU$172,$B80,FALSE)&lt;0,HLOOKUP(AS$4,'Physical Effects-Numbers'!$B$1:$AU$172,$B80,FALSE),""))</f>
        <v/>
      </c>
      <c r="AT80" s="488" t="str">
        <f>IF(AT$4="","",IF(HLOOKUP(AT$4,'Physical Effects-Numbers'!$B$1:$AU$172,$B80,FALSE)&lt;0,HLOOKUP(AT$4,'Physical Effects-Numbers'!$B$1:$AU$172,$B80,FALSE),""))</f>
        <v/>
      </c>
      <c r="AU80" s="488" t="str">
        <f>IF(AU$4="","",IF(HLOOKUP(AU$4,'Physical Effects-Numbers'!$B$1:$AU$172,$B80,FALSE)&lt;0,HLOOKUP(AU$4,'Physical Effects-Numbers'!$B$1:$AU$172,$B80,FALSE),""))</f>
        <v/>
      </c>
      <c r="AV80" s="488" t="str">
        <f>IF(AV$4="","",IF(HLOOKUP(AV$4,'Physical Effects-Numbers'!$B$1:$AU$167,$B80,FALSE)&lt;0,HLOOKUP(AV$4,'Physical Effects-Numbers'!$B$1:$AU$167,$B80,FALSE),""))</f>
        <v/>
      </c>
    </row>
    <row r="81" spans="2:48" x14ac:dyDescent="0.2">
      <c r="B81" s="487">
        <f t="shared" si="1"/>
        <v>78</v>
      </c>
      <c r="C81" s="486" t="str">
        <f>+'Physical Effects-Numbers'!B78</f>
        <v>Irrigation System, Tailwater Recovery</v>
      </c>
      <c r="D81" s="488" t="str">
        <f>IF(D$4="","",IF(HLOOKUP(D$4,'Physical Effects-Numbers'!$B$1:$AU$172,$B81,FALSE)&lt;0,HLOOKUP(D$4,'Physical Effects-Numbers'!$B$1:$AU$172,$B81,FALSE),""))</f>
        <v/>
      </c>
      <c r="E81" s="488" t="str">
        <f>IF(E$4="","",IF(HLOOKUP(E$4,'Physical Effects-Numbers'!$B$1:$AU$172,$B81,FALSE)&lt;0,HLOOKUP(E$4,'Physical Effects-Numbers'!$B$1:$AU$172,$B81,FALSE),""))</f>
        <v/>
      </c>
      <c r="F81" s="488" t="str">
        <f>IF(F$4="","",IF(HLOOKUP(F$4,'Physical Effects-Numbers'!$B$1:$AU$172,$B81,FALSE)&lt;0,HLOOKUP(F$4,'Physical Effects-Numbers'!$B$1:$AU$172,$B81,FALSE),""))</f>
        <v/>
      </c>
      <c r="G81" s="488" t="str">
        <f>IF(G$4="","",IF(HLOOKUP(G$4,'Physical Effects-Numbers'!$B$1:$AU$172,$B81,FALSE)&lt;0,HLOOKUP(G$4,'Physical Effects-Numbers'!$B$1:$AU$172,$B81,FALSE),""))</f>
        <v/>
      </c>
      <c r="H81" s="488" t="str">
        <f>IF(H$4="","",IF(HLOOKUP(H$4,'Physical Effects-Numbers'!$B$1:$AU$172,$B81,FALSE)&lt;0,HLOOKUP(H$4,'Physical Effects-Numbers'!$B$1:$AU$172,$B81,FALSE),""))</f>
        <v/>
      </c>
      <c r="I81" s="488" t="str">
        <f>IF(I$4="","",IF(HLOOKUP(I$4,'Physical Effects-Numbers'!$B$1:$AU$172,$B81,FALSE)&lt;0,HLOOKUP(I$4,'Physical Effects-Numbers'!$B$1:$AU$172,$B81,FALSE),""))</f>
        <v/>
      </c>
      <c r="J81" s="488">
        <f>IF(J$4="","",IF(HLOOKUP(J$4,'Physical Effects-Numbers'!$B$1:$AU$172,$B81,FALSE)&lt;0,HLOOKUP(J$4,'Physical Effects-Numbers'!$B$1:$AU$172,$B81,FALSE),""))</f>
        <v>-1</v>
      </c>
      <c r="K81" s="488" t="str">
        <f>IF(K$4="","",IF(HLOOKUP(K$4,'Physical Effects-Numbers'!$B$1:$AU$172,$B81,FALSE)&lt;0,HLOOKUP(K$4,'Physical Effects-Numbers'!$B$1:$AU$172,$B81,FALSE),""))</f>
        <v/>
      </c>
      <c r="L81" s="488">
        <f>IF(L$4="","",IF(HLOOKUP(L$4,'Physical Effects-Numbers'!$B$1:$AU$172,$B81,FALSE)&lt;0,HLOOKUP(L$4,'Physical Effects-Numbers'!$B$1:$AU$172,$B81,FALSE),""))</f>
        <v>-1</v>
      </c>
      <c r="M81" s="488">
        <f>IF(M$4="","",IF(HLOOKUP(M$4,'Physical Effects-Numbers'!$B$1:$AU$172,$B81,FALSE)&lt;0,HLOOKUP(M$4,'Physical Effects-Numbers'!$B$1:$AU$172,$B81,FALSE),""))</f>
        <v>-1</v>
      </c>
      <c r="N81" s="488" t="str">
        <f>IF(N$4="","",IF(HLOOKUP(N$4,'Physical Effects-Numbers'!$B$1:$AU$172,$B81,FALSE)&lt;0,HLOOKUP(N$4,'Physical Effects-Numbers'!$B$1:$AU$172,$B81,FALSE),""))</f>
        <v/>
      </c>
      <c r="O81" s="488">
        <f>IF(O$4="","",IF(HLOOKUP(O$4,'Physical Effects-Numbers'!$B$1:$AU$172,$B81,FALSE)&lt;0,HLOOKUP(O$4,'Physical Effects-Numbers'!$B$1:$AU$172,$B81,FALSE),""))</f>
        <v>-1</v>
      </c>
      <c r="P81" s="488" t="str">
        <f>IF(P$4="","",IF(HLOOKUP(P$4,'Physical Effects-Numbers'!$B$1:$AU$172,$B81,FALSE)&lt;0,HLOOKUP(P$4,'Physical Effects-Numbers'!$B$1:$AU$172,$B81,FALSE),""))</f>
        <v/>
      </c>
      <c r="Q81" s="488" t="str">
        <f>IF(Q$4="","",IF(HLOOKUP(Q$4,'Physical Effects-Numbers'!$B$1:$AU$172,$B81,FALSE)&lt;0,HLOOKUP(Q$4,'Physical Effects-Numbers'!$B$1:$AU$172,$B81,FALSE),""))</f>
        <v/>
      </c>
      <c r="R81" s="488" t="str">
        <f>IF(R$4="","",IF(HLOOKUP(R$4,'Physical Effects-Numbers'!$B$1:$AU$172,$B81,FALSE)&lt;0,HLOOKUP(R$4,'Physical Effects-Numbers'!$B$1:$AU$172,$B81,FALSE),""))</f>
        <v/>
      </c>
      <c r="S81" s="488" t="str">
        <f>IF(S$4="","",IF(HLOOKUP(S$4,'Physical Effects-Numbers'!$B$1:$AU$172,$B81,FALSE)&lt;0,HLOOKUP(S$4,'Physical Effects-Numbers'!$B$1:$AU$172,$B81,FALSE),""))</f>
        <v/>
      </c>
      <c r="T81" s="488" t="str">
        <f>IF(T$4="","",IF(HLOOKUP(T$4,'Physical Effects-Numbers'!$B$1:$AU$172,$B81,FALSE)&lt;0,HLOOKUP(T$4,'Physical Effects-Numbers'!$B$1:$AU$172,$B81,FALSE),""))</f>
        <v/>
      </c>
      <c r="U81" s="488" t="str">
        <f>IF(U$4="","",IF(HLOOKUP(U$4,'Physical Effects-Numbers'!$B$1:$AU$172,$B81,FALSE)&lt;0,HLOOKUP(U$4,'Physical Effects-Numbers'!$B$1:$AU$172,$B81,FALSE),""))</f>
        <v/>
      </c>
      <c r="V81" s="488">
        <f>IF(V$4="","",IF(HLOOKUP(V$4,'Physical Effects-Numbers'!$B$1:$AU$172,$B81,FALSE)&lt;0,HLOOKUP(V$4,'Physical Effects-Numbers'!$B$1:$AU$172,$B81,FALSE),""))</f>
        <v>-1</v>
      </c>
      <c r="W81" s="488" t="str">
        <f>IF(W$4="","",IF(HLOOKUP(W$4,'Physical Effects-Numbers'!$B$1:$AU$172,$B81,FALSE)&lt;0,HLOOKUP(W$4,'Physical Effects-Numbers'!$B$1:$AU$172,$B81,FALSE),""))</f>
        <v/>
      </c>
      <c r="X81" s="488">
        <f>IF(X$4="","",IF(HLOOKUP(X$4,'Physical Effects-Numbers'!$B$1:$AU$172,$B81,FALSE)&lt;0,HLOOKUP(X$4,'Physical Effects-Numbers'!$B$1:$AU$172,$B81,FALSE),""))</f>
        <v>-1</v>
      </c>
      <c r="Y81" s="488" t="str">
        <f>IF(Y$4="","",IF(HLOOKUP(Y$4,'Physical Effects-Numbers'!$B$1:$AU$172,$B81,FALSE)&lt;0,HLOOKUP(Y$4,'Physical Effects-Numbers'!$B$1:$AU$172,$B81,FALSE),""))</f>
        <v/>
      </c>
      <c r="Z81" s="488" t="str">
        <f>IF(Z$4="","",IF(HLOOKUP(Z$4,'Physical Effects-Numbers'!$B$1:$AU$172,$B81,FALSE)&lt;0,HLOOKUP(Z$4,'Physical Effects-Numbers'!$B$1:$AU$172,$B81,FALSE),""))</f>
        <v/>
      </c>
      <c r="AA81" s="488" t="str">
        <f>IF(AA$4="","",IF(HLOOKUP(AA$4,'Physical Effects-Numbers'!$B$1:$AU$172,$B81,FALSE)&lt;0,HLOOKUP(AA$4,'Physical Effects-Numbers'!$B$1:$AU$172,$B81,FALSE),""))</f>
        <v/>
      </c>
      <c r="AB81" s="488" t="str">
        <f>IF(AB$4="","",IF(HLOOKUP(AB$4,'Physical Effects-Numbers'!$B$1:$AU$172,$B81,FALSE)&lt;0,HLOOKUP(AB$4,'Physical Effects-Numbers'!$B$1:$AU$172,$B81,FALSE),""))</f>
        <v/>
      </c>
      <c r="AC81" s="488" t="str">
        <f>IF(AC$4="","",IF(HLOOKUP(AC$4,'Physical Effects-Numbers'!$B$1:$AU$172,$B81,FALSE)&lt;0,HLOOKUP(AC$4,'Physical Effects-Numbers'!$B$1:$AU$172,$B81,FALSE),""))</f>
        <v/>
      </c>
      <c r="AD81" s="488">
        <f>IF(AD$4="","",IF(HLOOKUP(AD$4,'Physical Effects-Numbers'!$B$1:$AU$172,$B81,FALSE)&lt;0,HLOOKUP(AD$4,'Physical Effects-Numbers'!$B$1:$AU$172,$B81,FALSE),""))</f>
        <v>-1</v>
      </c>
      <c r="AE81" s="488" t="str">
        <f>IF(AE$4="","",IF(HLOOKUP(AE$4,'Physical Effects-Numbers'!$B$1:$AU$172,$B81,FALSE)&lt;0,HLOOKUP(AE$4,'Physical Effects-Numbers'!$B$1:$AU$172,$B81,FALSE),""))</f>
        <v/>
      </c>
      <c r="AF81" s="488" t="str">
        <f>IF(AF$4="","",IF(HLOOKUP(AF$4,'Physical Effects-Numbers'!$B$1:$AU$172,$B81,FALSE)&lt;0,HLOOKUP(AF$4,'Physical Effects-Numbers'!$B$1:$AU$172,$B81,FALSE),""))</f>
        <v/>
      </c>
      <c r="AG81" s="488" t="str">
        <f>IF(AG$4="","",IF(HLOOKUP(AG$4,'Physical Effects-Numbers'!$B$1:$AU$172,$B81,FALSE)&lt;0,HLOOKUP(AG$4,'Physical Effects-Numbers'!$B$1:$AU$172,$B81,FALSE),""))</f>
        <v/>
      </c>
      <c r="AH81" s="488" t="str">
        <f>IF(AH$4="","",IF(HLOOKUP(AH$4,'Physical Effects-Numbers'!$B$1:$AU$172,$B81,FALSE)&lt;0,HLOOKUP(AH$4,'Physical Effects-Numbers'!$B$1:$AU$172,$B81,FALSE),""))</f>
        <v/>
      </c>
      <c r="AI81" s="488" t="str">
        <f>IF(AI$4="","",IF(HLOOKUP(AI$4,'Physical Effects-Numbers'!$B$1:$AU$172,$B81,FALSE)&lt;0,HLOOKUP(AI$4,'Physical Effects-Numbers'!$B$1:$AU$172,$B81,FALSE),""))</f>
        <v/>
      </c>
      <c r="AJ81" s="488" t="str">
        <f>IF(AJ$4="","",IF(HLOOKUP(AJ$4,'Physical Effects-Numbers'!$B$1:$AU$172,$B81,FALSE)&lt;0,HLOOKUP(AJ$4,'Physical Effects-Numbers'!$B$1:$AU$172,$B81,FALSE),""))</f>
        <v/>
      </c>
      <c r="AK81" s="488" t="str">
        <f>IF(AK$4="","",IF(HLOOKUP(AK$4,'Physical Effects-Numbers'!$B$1:$AU$172,$B81,FALSE)&lt;0,HLOOKUP(AK$4,'Physical Effects-Numbers'!$B$1:$AU$172,$B81,FALSE),""))</f>
        <v/>
      </c>
      <c r="AL81" s="488" t="str">
        <f>IF(AL$4="","",IF(HLOOKUP(AL$4,'Physical Effects-Numbers'!$B$1:$AU$172,$B81,FALSE)&lt;0,HLOOKUP(AL$4,'Physical Effects-Numbers'!$B$1:$AU$172,$B81,FALSE),""))</f>
        <v/>
      </c>
      <c r="AM81" s="488" t="str">
        <f>IF(AM$4="","",IF(HLOOKUP(AM$4,'Physical Effects-Numbers'!$B$1:$AU$172,$B81,FALSE)&lt;0,HLOOKUP(AM$4,'Physical Effects-Numbers'!$B$1:$AU$172,$B81,FALSE),""))</f>
        <v/>
      </c>
      <c r="AN81" s="488" t="str">
        <f>IF(AN$4="","",IF(HLOOKUP(AN$4,'Physical Effects-Numbers'!$B$1:$AU$172,$B81,FALSE)&lt;0,HLOOKUP(AN$4,'Physical Effects-Numbers'!$B$1:$AU$172,$B81,FALSE),""))</f>
        <v/>
      </c>
      <c r="AO81" s="488" t="str">
        <f>IF(AO$4="","",IF(HLOOKUP(AO$4,'Physical Effects-Numbers'!$B$1:$AU$172,$B81,FALSE)&lt;0,HLOOKUP(AO$4,'Physical Effects-Numbers'!$B$1:$AU$172,$B81,FALSE),""))</f>
        <v/>
      </c>
      <c r="AP81" s="488" t="str">
        <f>IF(AP$4="","",IF(HLOOKUP(AP$4,'Physical Effects-Numbers'!$B$1:$AU$172,$B81,FALSE)&lt;0,HLOOKUP(AP$4,'Physical Effects-Numbers'!$B$1:$AU$172,$B81,FALSE),""))</f>
        <v/>
      </c>
      <c r="AQ81" s="488" t="str">
        <f>IF(AQ$4="","",IF(HLOOKUP(AQ$4,'Physical Effects-Numbers'!$B$1:$AU$172,$B81,FALSE)&lt;0,HLOOKUP(AQ$4,'Physical Effects-Numbers'!$B$1:$AU$172,$B81,FALSE),""))</f>
        <v/>
      </c>
      <c r="AR81" s="488" t="str">
        <f>IF(AR$4="","",IF(HLOOKUP(AR$4,'Physical Effects-Numbers'!$B$1:$AU$172,$B81,FALSE)&lt;0,HLOOKUP(AR$4,'Physical Effects-Numbers'!$B$1:$AU$172,$B81,FALSE),""))</f>
        <v/>
      </c>
      <c r="AS81" s="488" t="str">
        <f>IF(AS$4="","",IF(HLOOKUP(AS$4,'Physical Effects-Numbers'!$B$1:$AU$172,$B81,FALSE)&lt;0,HLOOKUP(AS$4,'Physical Effects-Numbers'!$B$1:$AU$172,$B81,FALSE),""))</f>
        <v/>
      </c>
      <c r="AT81" s="488" t="str">
        <f>IF(AT$4="","",IF(HLOOKUP(AT$4,'Physical Effects-Numbers'!$B$1:$AU$172,$B81,FALSE)&lt;0,HLOOKUP(AT$4,'Physical Effects-Numbers'!$B$1:$AU$172,$B81,FALSE),""))</f>
        <v/>
      </c>
      <c r="AU81" s="488" t="str">
        <f>IF(AU$4="","",IF(HLOOKUP(AU$4,'Physical Effects-Numbers'!$B$1:$AU$172,$B81,FALSE)&lt;0,HLOOKUP(AU$4,'Physical Effects-Numbers'!$B$1:$AU$172,$B81,FALSE),""))</f>
        <v/>
      </c>
      <c r="AV81" s="488" t="str">
        <f>IF(AV$4="","",IF(HLOOKUP(AV$4,'Physical Effects-Numbers'!$B$1:$AU$167,$B81,FALSE)&lt;0,HLOOKUP(AV$4,'Physical Effects-Numbers'!$B$1:$AU$167,$B81,FALSE),""))</f>
        <v/>
      </c>
    </row>
    <row r="82" spans="2:48" x14ac:dyDescent="0.2">
      <c r="B82" s="487">
        <f t="shared" si="1"/>
        <v>79</v>
      </c>
      <c r="C82" s="486" t="str">
        <f>+'Physical Effects-Numbers'!B79</f>
        <v>Irrigation Water Management</v>
      </c>
      <c r="D82" s="488" t="str">
        <f>IF(D$4="","",IF(HLOOKUP(D$4,'Physical Effects-Numbers'!$B$1:$AU$172,$B82,FALSE)&lt;0,HLOOKUP(D$4,'Physical Effects-Numbers'!$B$1:$AU$172,$B82,FALSE),""))</f>
        <v/>
      </c>
      <c r="E82" s="488" t="str">
        <f>IF(E$4="","",IF(HLOOKUP(E$4,'Physical Effects-Numbers'!$B$1:$AU$172,$B82,FALSE)&lt;0,HLOOKUP(E$4,'Physical Effects-Numbers'!$B$1:$AU$172,$B82,FALSE),""))</f>
        <v/>
      </c>
      <c r="F82" s="488" t="str">
        <f>IF(F$4="","",IF(HLOOKUP(F$4,'Physical Effects-Numbers'!$B$1:$AU$172,$B82,FALSE)&lt;0,HLOOKUP(F$4,'Physical Effects-Numbers'!$B$1:$AU$172,$B82,FALSE),""))</f>
        <v/>
      </c>
      <c r="G82" s="488" t="str">
        <f>IF(G$4="","",IF(HLOOKUP(G$4,'Physical Effects-Numbers'!$B$1:$AU$172,$B82,FALSE)&lt;0,HLOOKUP(G$4,'Physical Effects-Numbers'!$B$1:$AU$172,$B82,FALSE),""))</f>
        <v/>
      </c>
      <c r="H82" s="488" t="str">
        <f>IF(H$4="","",IF(HLOOKUP(H$4,'Physical Effects-Numbers'!$B$1:$AU$172,$B82,FALSE)&lt;0,HLOOKUP(H$4,'Physical Effects-Numbers'!$B$1:$AU$172,$B82,FALSE),""))</f>
        <v/>
      </c>
      <c r="I82" s="488" t="str">
        <f>IF(I$4="","",IF(HLOOKUP(I$4,'Physical Effects-Numbers'!$B$1:$AU$172,$B82,FALSE)&lt;0,HLOOKUP(I$4,'Physical Effects-Numbers'!$B$1:$AU$172,$B82,FALSE),""))</f>
        <v/>
      </c>
      <c r="J82" s="488" t="str">
        <f>IF(J$4="","",IF(HLOOKUP(J$4,'Physical Effects-Numbers'!$B$1:$AU$172,$B82,FALSE)&lt;0,HLOOKUP(J$4,'Physical Effects-Numbers'!$B$1:$AU$172,$B82,FALSE),""))</f>
        <v/>
      </c>
      <c r="K82" s="488" t="str">
        <f>IF(K$4="","",IF(HLOOKUP(K$4,'Physical Effects-Numbers'!$B$1:$AU$172,$B82,FALSE)&lt;0,HLOOKUP(K$4,'Physical Effects-Numbers'!$B$1:$AU$172,$B82,FALSE),""))</f>
        <v/>
      </c>
      <c r="L82" s="488" t="str">
        <f>IF(L$4="","",IF(HLOOKUP(L$4,'Physical Effects-Numbers'!$B$1:$AU$172,$B82,FALSE)&lt;0,HLOOKUP(L$4,'Physical Effects-Numbers'!$B$1:$AU$172,$B82,FALSE),""))</f>
        <v/>
      </c>
      <c r="M82" s="488" t="str">
        <f>IF(M$4="","",IF(HLOOKUP(M$4,'Physical Effects-Numbers'!$B$1:$AU$172,$B82,FALSE)&lt;0,HLOOKUP(M$4,'Physical Effects-Numbers'!$B$1:$AU$172,$B82,FALSE),""))</f>
        <v/>
      </c>
      <c r="N82" s="488" t="str">
        <f>IF(N$4="","",IF(HLOOKUP(N$4,'Physical Effects-Numbers'!$B$1:$AU$172,$B82,FALSE)&lt;0,HLOOKUP(N$4,'Physical Effects-Numbers'!$B$1:$AU$172,$B82,FALSE),""))</f>
        <v/>
      </c>
      <c r="O82" s="488" t="str">
        <f>IF(O$4="","",IF(HLOOKUP(O$4,'Physical Effects-Numbers'!$B$1:$AU$172,$B82,FALSE)&lt;0,HLOOKUP(O$4,'Physical Effects-Numbers'!$B$1:$AU$172,$B82,FALSE),""))</f>
        <v/>
      </c>
      <c r="P82" s="488" t="str">
        <f>IF(P$4="","",IF(HLOOKUP(P$4,'Physical Effects-Numbers'!$B$1:$AU$172,$B82,FALSE)&lt;0,HLOOKUP(P$4,'Physical Effects-Numbers'!$B$1:$AU$172,$B82,FALSE),""))</f>
        <v/>
      </c>
      <c r="Q82" s="488" t="str">
        <f>IF(Q$4="","",IF(HLOOKUP(Q$4,'Physical Effects-Numbers'!$B$1:$AU$172,$B82,FALSE)&lt;0,HLOOKUP(Q$4,'Physical Effects-Numbers'!$B$1:$AU$172,$B82,FALSE),""))</f>
        <v/>
      </c>
      <c r="R82" s="488" t="str">
        <f>IF(R$4="","",IF(HLOOKUP(R$4,'Physical Effects-Numbers'!$B$1:$AU$172,$B82,FALSE)&lt;0,HLOOKUP(R$4,'Physical Effects-Numbers'!$B$1:$AU$172,$B82,FALSE),""))</f>
        <v/>
      </c>
      <c r="S82" s="488" t="str">
        <f>IF(S$4="","",IF(HLOOKUP(S$4,'Physical Effects-Numbers'!$B$1:$AU$172,$B82,FALSE)&lt;0,HLOOKUP(S$4,'Physical Effects-Numbers'!$B$1:$AU$172,$B82,FALSE),""))</f>
        <v/>
      </c>
      <c r="T82" s="488" t="str">
        <f>IF(T$4="","",IF(HLOOKUP(T$4,'Physical Effects-Numbers'!$B$1:$AU$172,$B82,FALSE)&lt;0,HLOOKUP(T$4,'Physical Effects-Numbers'!$B$1:$AU$172,$B82,FALSE),""))</f>
        <v/>
      </c>
      <c r="U82" s="488" t="str">
        <f>IF(U$4="","",IF(HLOOKUP(U$4,'Physical Effects-Numbers'!$B$1:$AU$172,$B82,FALSE)&lt;0,HLOOKUP(U$4,'Physical Effects-Numbers'!$B$1:$AU$172,$B82,FALSE),""))</f>
        <v/>
      </c>
      <c r="V82" s="488" t="str">
        <f>IF(V$4="","",IF(HLOOKUP(V$4,'Physical Effects-Numbers'!$B$1:$AU$172,$B82,FALSE)&lt;0,HLOOKUP(V$4,'Physical Effects-Numbers'!$B$1:$AU$172,$B82,FALSE),""))</f>
        <v/>
      </c>
      <c r="W82" s="488" t="str">
        <f>IF(W$4="","",IF(HLOOKUP(W$4,'Physical Effects-Numbers'!$B$1:$AU$172,$B82,FALSE)&lt;0,HLOOKUP(W$4,'Physical Effects-Numbers'!$B$1:$AU$172,$B82,FALSE),""))</f>
        <v/>
      </c>
      <c r="X82" s="488" t="str">
        <f>IF(X$4="","",IF(HLOOKUP(X$4,'Physical Effects-Numbers'!$B$1:$AU$172,$B82,FALSE)&lt;0,HLOOKUP(X$4,'Physical Effects-Numbers'!$B$1:$AU$172,$B82,FALSE),""))</f>
        <v/>
      </c>
      <c r="Y82" s="488" t="str">
        <f>IF(Y$4="","",IF(HLOOKUP(Y$4,'Physical Effects-Numbers'!$B$1:$AU$172,$B82,FALSE)&lt;0,HLOOKUP(Y$4,'Physical Effects-Numbers'!$B$1:$AU$172,$B82,FALSE),""))</f>
        <v/>
      </c>
      <c r="Z82" s="488" t="str">
        <f>IF(Z$4="","",IF(HLOOKUP(Z$4,'Physical Effects-Numbers'!$B$1:$AU$172,$B82,FALSE)&lt;0,HLOOKUP(Z$4,'Physical Effects-Numbers'!$B$1:$AU$172,$B82,FALSE),""))</f>
        <v/>
      </c>
      <c r="AA82" s="488" t="str">
        <f>IF(AA$4="","",IF(HLOOKUP(AA$4,'Physical Effects-Numbers'!$B$1:$AU$172,$B82,FALSE)&lt;0,HLOOKUP(AA$4,'Physical Effects-Numbers'!$B$1:$AU$172,$B82,FALSE),""))</f>
        <v/>
      </c>
      <c r="AB82" s="488" t="str">
        <f>IF(AB$4="","",IF(HLOOKUP(AB$4,'Physical Effects-Numbers'!$B$1:$AU$172,$B82,FALSE)&lt;0,HLOOKUP(AB$4,'Physical Effects-Numbers'!$B$1:$AU$172,$B82,FALSE),""))</f>
        <v/>
      </c>
      <c r="AC82" s="488" t="str">
        <f>IF(AC$4="","",IF(HLOOKUP(AC$4,'Physical Effects-Numbers'!$B$1:$AU$172,$B82,FALSE)&lt;0,HLOOKUP(AC$4,'Physical Effects-Numbers'!$B$1:$AU$172,$B82,FALSE),""))</f>
        <v/>
      </c>
      <c r="AD82" s="488" t="str">
        <f>IF(AD$4="","",IF(HLOOKUP(AD$4,'Physical Effects-Numbers'!$B$1:$AU$172,$B82,FALSE)&lt;0,HLOOKUP(AD$4,'Physical Effects-Numbers'!$B$1:$AU$172,$B82,FALSE),""))</f>
        <v/>
      </c>
      <c r="AE82" s="488" t="str">
        <f>IF(AE$4="","",IF(HLOOKUP(AE$4,'Physical Effects-Numbers'!$B$1:$AU$172,$B82,FALSE)&lt;0,HLOOKUP(AE$4,'Physical Effects-Numbers'!$B$1:$AU$172,$B82,FALSE),""))</f>
        <v/>
      </c>
      <c r="AF82" s="488" t="str">
        <f>IF(AF$4="","",IF(HLOOKUP(AF$4,'Physical Effects-Numbers'!$B$1:$AU$172,$B82,FALSE)&lt;0,HLOOKUP(AF$4,'Physical Effects-Numbers'!$B$1:$AU$172,$B82,FALSE),""))</f>
        <v/>
      </c>
      <c r="AG82" s="488" t="str">
        <f>IF(AG$4="","",IF(HLOOKUP(AG$4,'Physical Effects-Numbers'!$B$1:$AU$172,$B82,FALSE)&lt;0,HLOOKUP(AG$4,'Physical Effects-Numbers'!$B$1:$AU$172,$B82,FALSE),""))</f>
        <v/>
      </c>
      <c r="AH82" s="488" t="str">
        <f>IF(AH$4="","",IF(HLOOKUP(AH$4,'Physical Effects-Numbers'!$B$1:$AU$172,$B82,FALSE)&lt;0,HLOOKUP(AH$4,'Physical Effects-Numbers'!$B$1:$AU$172,$B82,FALSE),""))</f>
        <v/>
      </c>
      <c r="AI82" s="488" t="str">
        <f>IF(AI$4="","",IF(HLOOKUP(AI$4,'Physical Effects-Numbers'!$B$1:$AU$172,$B82,FALSE)&lt;0,HLOOKUP(AI$4,'Physical Effects-Numbers'!$B$1:$AU$172,$B82,FALSE),""))</f>
        <v/>
      </c>
      <c r="AJ82" s="488" t="str">
        <f>IF(AJ$4="","",IF(HLOOKUP(AJ$4,'Physical Effects-Numbers'!$B$1:$AU$172,$B82,FALSE)&lt;0,HLOOKUP(AJ$4,'Physical Effects-Numbers'!$B$1:$AU$172,$B82,FALSE),""))</f>
        <v/>
      </c>
      <c r="AK82" s="488" t="str">
        <f>IF(AK$4="","",IF(HLOOKUP(AK$4,'Physical Effects-Numbers'!$B$1:$AU$172,$B82,FALSE)&lt;0,HLOOKUP(AK$4,'Physical Effects-Numbers'!$B$1:$AU$172,$B82,FALSE),""))</f>
        <v/>
      </c>
      <c r="AL82" s="488" t="str">
        <f>IF(AL$4="","",IF(HLOOKUP(AL$4,'Physical Effects-Numbers'!$B$1:$AU$172,$B82,FALSE)&lt;0,HLOOKUP(AL$4,'Physical Effects-Numbers'!$B$1:$AU$172,$B82,FALSE),""))</f>
        <v/>
      </c>
      <c r="AM82" s="488" t="str">
        <f>IF(AM$4="","",IF(HLOOKUP(AM$4,'Physical Effects-Numbers'!$B$1:$AU$172,$B82,FALSE)&lt;0,HLOOKUP(AM$4,'Physical Effects-Numbers'!$B$1:$AU$172,$B82,FALSE),""))</f>
        <v/>
      </c>
      <c r="AN82" s="488" t="str">
        <f>IF(AN$4="","",IF(HLOOKUP(AN$4,'Physical Effects-Numbers'!$B$1:$AU$172,$B82,FALSE)&lt;0,HLOOKUP(AN$4,'Physical Effects-Numbers'!$B$1:$AU$172,$B82,FALSE),""))</f>
        <v/>
      </c>
      <c r="AO82" s="488" t="str">
        <f>IF(AO$4="","",IF(HLOOKUP(AO$4,'Physical Effects-Numbers'!$B$1:$AU$172,$B82,FALSE)&lt;0,HLOOKUP(AO$4,'Physical Effects-Numbers'!$B$1:$AU$172,$B82,FALSE),""))</f>
        <v/>
      </c>
      <c r="AP82" s="488" t="str">
        <f>IF(AP$4="","",IF(HLOOKUP(AP$4,'Physical Effects-Numbers'!$B$1:$AU$172,$B82,FALSE)&lt;0,HLOOKUP(AP$4,'Physical Effects-Numbers'!$B$1:$AU$172,$B82,FALSE),""))</f>
        <v/>
      </c>
      <c r="AQ82" s="488" t="str">
        <f>IF(AQ$4="","",IF(HLOOKUP(AQ$4,'Physical Effects-Numbers'!$B$1:$AU$172,$B82,FALSE)&lt;0,HLOOKUP(AQ$4,'Physical Effects-Numbers'!$B$1:$AU$172,$B82,FALSE),""))</f>
        <v/>
      </c>
      <c r="AR82" s="488" t="str">
        <f>IF(AR$4="","",IF(HLOOKUP(AR$4,'Physical Effects-Numbers'!$B$1:$AU$172,$B82,FALSE)&lt;0,HLOOKUP(AR$4,'Physical Effects-Numbers'!$B$1:$AU$172,$B82,FALSE),""))</f>
        <v/>
      </c>
      <c r="AS82" s="488" t="str">
        <f>IF(AS$4="","",IF(HLOOKUP(AS$4,'Physical Effects-Numbers'!$B$1:$AU$172,$B82,FALSE)&lt;0,HLOOKUP(AS$4,'Physical Effects-Numbers'!$B$1:$AU$172,$B82,FALSE),""))</f>
        <v/>
      </c>
      <c r="AT82" s="488" t="str">
        <f>IF(AT$4="","",IF(HLOOKUP(AT$4,'Physical Effects-Numbers'!$B$1:$AU$172,$B82,FALSE)&lt;0,HLOOKUP(AT$4,'Physical Effects-Numbers'!$B$1:$AU$172,$B82,FALSE),""))</f>
        <v/>
      </c>
      <c r="AU82" s="488" t="str">
        <f>IF(AU$4="","",IF(HLOOKUP(AU$4,'Physical Effects-Numbers'!$B$1:$AU$172,$B82,FALSE)&lt;0,HLOOKUP(AU$4,'Physical Effects-Numbers'!$B$1:$AU$172,$B82,FALSE),""))</f>
        <v/>
      </c>
      <c r="AV82" s="488" t="str">
        <f>IF(AV$4="","",IF(HLOOKUP(AV$4,'Physical Effects-Numbers'!$B$1:$AU$167,$B82,FALSE)&lt;0,HLOOKUP(AV$4,'Physical Effects-Numbers'!$B$1:$AU$167,$B82,FALSE),""))</f>
        <v/>
      </c>
    </row>
    <row r="83" spans="2:48" x14ac:dyDescent="0.2">
      <c r="B83" s="487">
        <f t="shared" si="1"/>
        <v>80</v>
      </c>
      <c r="C83" s="486" t="str">
        <f>+'Physical Effects-Numbers'!B80</f>
        <v xml:space="preserve">Karst Sinkhole Treatment </v>
      </c>
      <c r="D83" s="488" t="str">
        <f>IF(D$4="","",IF(HLOOKUP(D$4,'Physical Effects-Numbers'!$B$1:$AU$172,$B83,FALSE)&lt;0,HLOOKUP(D$4,'Physical Effects-Numbers'!$B$1:$AU$172,$B83,FALSE),""))</f>
        <v/>
      </c>
      <c r="E83" s="488" t="str">
        <f>IF(E$4="","",IF(HLOOKUP(E$4,'Physical Effects-Numbers'!$B$1:$AU$172,$B83,FALSE)&lt;0,HLOOKUP(E$4,'Physical Effects-Numbers'!$B$1:$AU$172,$B83,FALSE),""))</f>
        <v/>
      </c>
      <c r="F83" s="488" t="str">
        <f>IF(F$4="","",IF(HLOOKUP(F$4,'Physical Effects-Numbers'!$B$1:$AU$172,$B83,FALSE)&lt;0,HLOOKUP(F$4,'Physical Effects-Numbers'!$B$1:$AU$172,$B83,FALSE),""))</f>
        <v/>
      </c>
      <c r="G83" s="488" t="str">
        <f>IF(G$4="","",IF(HLOOKUP(G$4,'Physical Effects-Numbers'!$B$1:$AU$172,$B83,FALSE)&lt;0,HLOOKUP(G$4,'Physical Effects-Numbers'!$B$1:$AU$172,$B83,FALSE),""))</f>
        <v/>
      </c>
      <c r="H83" s="488" t="str">
        <f>IF(H$4="","",IF(HLOOKUP(H$4,'Physical Effects-Numbers'!$B$1:$AU$172,$B83,FALSE)&lt;0,HLOOKUP(H$4,'Physical Effects-Numbers'!$B$1:$AU$172,$B83,FALSE),""))</f>
        <v/>
      </c>
      <c r="I83" s="488" t="str">
        <f>IF(I$4="","",IF(HLOOKUP(I$4,'Physical Effects-Numbers'!$B$1:$AU$172,$B83,FALSE)&lt;0,HLOOKUP(I$4,'Physical Effects-Numbers'!$B$1:$AU$172,$B83,FALSE),""))</f>
        <v/>
      </c>
      <c r="J83" s="488" t="str">
        <f>IF(J$4="","",IF(HLOOKUP(J$4,'Physical Effects-Numbers'!$B$1:$AU$172,$B83,FALSE)&lt;0,HLOOKUP(J$4,'Physical Effects-Numbers'!$B$1:$AU$172,$B83,FALSE),""))</f>
        <v/>
      </c>
      <c r="K83" s="488" t="str">
        <f>IF(K$4="","",IF(HLOOKUP(K$4,'Physical Effects-Numbers'!$B$1:$AU$172,$B83,FALSE)&lt;0,HLOOKUP(K$4,'Physical Effects-Numbers'!$B$1:$AU$172,$B83,FALSE),""))</f>
        <v/>
      </c>
      <c r="L83" s="488" t="str">
        <f>IF(L$4="","",IF(HLOOKUP(L$4,'Physical Effects-Numbers'!$B$1:$AU$172,$B83,FALSE)&lt;0,HLOOKUP(L$4,'Physical Effects-Numbers'!$B$1:$AU$172,$B83,FALSE),""))</f>
        <v/>
      </c>
      <c r="M83" s="488" t="str">
        <f>IF(M$4="","",IF(HLOOKUP(M$4,'Physical Effects-Numbers'!$B$1:$AU$172,$B83,FALSE)&lt;0,HLOOKUP(M$4,'Physical Effects-Numbers'!$B$1:$AU$172,$B83,FALSE),""))</f>
        <v/>
      </c>
      <c r="N83" s="488">
        <f>IF(N$4="","",IF(HLOOKUP(N$4,'Physical Effects-Numbers'!$B$1:$AU$172,$B83,FALSE)&lt;0,HLOOKUP(N$4,'Physical Effects-Numbers'!$B$1:$AU$172,$B83,FALSE),""))</f>
        <v>-2</v>
      </c>
      <c r="O83" s="488" t="str">
        <f>IF(O$4="","",IF(HLOOKUP(O$4,'Physical Effects-Numbers'!$B$1:$AU$172,$B83,FALSE)&lt;0,HLOOKUP(O$4,'Physical Effects-Numbers'!$B$1:$AU$172,$B83,FALSE),""))</f>
        <v/>
      </c>
      <c r="P83" s="488" t="str">
        <f>IF(P$4="","",IF(HLOOKUP(P$4,'Physical Effects-Numbers'!$B$1:$AU$172,$B83,FALSE)&lt;0,HLOOKUP(P$4,'Physical Effects-Numbers'!$B$1:$AU$172,$B83,FALSE),""))</f>
        <v/>
      </c>
      <c r="Q83" s="488" t="str">
        <f>IF(Q$4="","",IF(HLOOKUP(Q$4,'Physical Effects-Numbers'!$B$1:$AU$172,$B83,FALSE)&lt;0,HLOOKUP(Q$4,'Physical Effects-Numbers'!$B$1:$AU$172,$B83,FALSE),""))</f>
        <v/>
      </c>
      <c r="R83" s="488" t="str">
        <f>IF(R$4="","",IF(HLOOKUP(R$4,'Physical Effects-Numbers'!$B$1:$AU$172,$B83,FALSE)&lt;0,HLOOKUP(R$4,'Physical Effects-Numbers'!$B$1:$AU$172,$B83,FALSE),""))</f>
        <v/>
      </c>
      <c r="S83" s="488" t="str">
        <f>IF(S$4="","",IF(HLOOKUP(S$4,'Physical Effects-Numbers'!$B$1:$AU$172,$B83,FALSE)&lt;0,HLOOKUP(S$4,'Physical Effects-Numbers'!$B$1:$AU$172,$B83,FALSE),""))</f>
        <v/>
      </c>
      <c r="T83" s="488" t="str">
        <f>IF(T$4="","",IF(HLOOKUP(T$4,'Physical Effects-Numbers'!$B$1:$AU$172,$B83,FALSE)&lt;0,HLOOKUP(T$4,'Physical Effects-Numbers'!$B$1:$AU$172,$B83,FALSE),""))</f>
        <v/>
      </c>
      <c r="U83" s="488" t="str">
        <f>IF(U$4="","",IF(HLOOKUP(U$4,'Physical Effects-Numbers'!$B$1:$AU$172,$B83,FALSE)&lt;0,HLOOKUP(U$4,'Physical Effects-Numbers'!$B$1:$AU$172,$B83,FALSE),""))</f>
        <v/>
      </c>
      <c r="V83" s="488" t="str">
        <f>IF(V$4="","",IF(HLOOKUP(V$4,'Physical Effects-Numbers'!$B$1:$AU$172,$B83,FALSE)&lt;0,HLOOKUP(V$4,'Physical Effects-Numbers'!$B$1:$AU$172,$B83,FALSE),""))</f>
        <v/>
      </c>
      <c r="W83" s="488" t="str">
        <f>IF(W$4="","",IF(HLOOKUP(W$4,'Physical Effects-Numbers'!$B$1:$AU$172,$B83,FALSE)&lt;0,HLOOKUP(W$4,'Physical Effects-Numbers'!$B$1:$AU$172,$B83,FALSE),""))</f>
        <v/>
      </c>
      <c r="X83" s="488" t="str">
        <f>IF(X$4="","",IF(HLOOKUP(X$4,'Physical Effects-Numbers'!$B$1:$AU$172,$B83,FALSE)&lt;0,HLOOKUP(X$4,'Physical Effects-Numbers'!$B$1:$AU$172,$B83,FALSE),""))</f>
        <v/>
      </c>
      <c r="Y83" s="488" t="str">
        <f>IF(Y$4="","",IF(HLOOKUP(Y$4,'Physical Effects-Numbers'!$B$1:$AU$172,$B83,FALSE)&lt;0,HLOOKUP(Y$4,'Physical Effects-Numbers'!$B$1:$AU$172,$B83,FALSE),""))</f>
        <v/>
      </c>
      <c r="Z83" s="488" t="str">
        <f>IF(Z$4="","",IF(HLOOKUP(Z$4,'Physical Effects-Numbers'!$B$1:$AU$172,$B83,FALSE)&lt;0,HLOOKUP(Z$4,'Physical Effects-Numbers'!$B$1:$AU$172,$B83,FALSE),""))</f>
        <v/>
      </c>
      <c r="AA83" s="488" t="str">
        <f>IF(AA$4="","",IF(HLOOKUP(AA$4,'Physical Effects-Numbers'!$B$1:$AU$172,$B83,FALSE)&lt;0,HLOOKUP(AA$4,'Physical Effects-Numbers'!$B$1:$AU$172,$B83,FALSE),""))</f>
        <v/>
      </c>
      <c r="AB83" s="488" t="str">
        <f>IF(AB$4="","",IF(HLOOKUP(AB$4,'Physical Effects-Numbers'!$B$1:$AU$172,$B83,FALSE)&lt;0,HLOOKUP(AB$4,'Physical Effects-Numbers'!$B$1:$AU$172,$B83,FALSE),""))</f>
        <v/>
      </c>
      <c r="AC83" s="488" t="str">
        <f>IF(AC$4="","",IF(HLOOKUP(AC$4,'Physical Effects-Numbers'!$B$1:$AU$172,$B83,FALSE)&lt;0,HLOOKUP(AC$4,'Physical Effects-Numbers'!$B$1:$AU$172,$B83,FALSE),""))</f>
        <v/>
      </c>
      <c r="AD83" s="488" t="str">
        <f>IF(AD$4="","",IF(HLOOKUP(AD$4,'Physical Effects-Numbers'!$B$1:$AU$172,$B83,FALSE)&lt;0,HLOOKUP(AD$4,'Physical Effects-Numbers'!$B$1:$AU$172,$B83,FALSE),""))</f>
        <v/>
      </c>
      <c r="AE83" s="488" t="str">
        <f>IF(AE$4="","",IF(HLOOKUP(AE$4,'Physical Effects-Numbers'!$B$1:$AU$172,$B83,FALSE)&lt;0,HLOOKUP(AE$4,'Physical Effects-Numbers'!$B$1:$AU$172,$B83,FALSE),""))</f>
        <v/>
      </c>
      <c r="AF83" s="488" t="str">
        <f>IF(AF$4="","",IF(HLOOKUP(AF$4,'Physical Effects-Numbers'!$B$1:$AU$172,$B83,FALSE)&lt;0,HLOOKUP(AF$4,'Physical Effects-Numbers'!$B$1:$AU$172,$B83,FALSE),""))</f>
        <v/>
      </c>
      <c r="AG83" s="488" t="str">
        <f>IF(AG$4="","",IF(HLOOKUP(AG$4,'Physical Effects-Numbers'!$B$1:$AU$172,$B83,FALSE)&lt;0,HLOOKUP(AG$4,'Physical Effects-Numbers'!$B$1:$AU$172,$B83,FALSE),""))</f>
        <v/>
      </c>
      <c r="AH83" s="488" t="str">
        <f>IF(AH$4="","",IF(HLOOKUP(AH$4,'Physical Effects-Numbers'!$B$1:$AU$172,$B83,FALSE)&lt;0,HLOOKUP(AH$4,'Physical Effects-Numbers'!$B$1:$AU$172,$B83,FALSE),""))</f>
        <v/>
      </c>
      <c r="AI83" s="488" t="str">
        <f>IF(AI$4="","",IF(HLOOKUP(AI$4,'Physical Effects-Numbers'!$B$1:$AU$172,$B83,FALSE)&lt;0,HLOOKUP(AI$4,'Physical Effects-Numbers'!$B$1:$AU$172,$B83,FALSE),""))</f>
        <v/>
      </c>
      <c r="AJ83" s="488" t="str">
        <f>IF(AJ$4="","",IF(HLOOKUP(AJ$4,'Physical Effects-Numbers'!$B$1:$AU$172,$B83,FALSE)&lt;0,HLOOKUP(AJ$4,'Physical Effects-Numbers'!$B$1:$AU$172,$B83,FALSE),""))</f>
        <v/>
      </c>
      <c r="AK83" s="488" t="str">
        <f>IF(AK$4="","",IF(HLOOKUP(AK$4,'Physical Effects-Numbers'!$B$1:$AU$172,$B83,FALSE)&lt;0,HLOOKUP(AK$4,'Physical Effects-Numbers'!$B$1:$AU$172,$B83,FALSE),""))</f>
        <v/>
      </c>
      <c r="AL83" s="488" t="str">
        <f>IF(AL$4="","",IF(HLOOKUP(AL$4,'Physical Effects-Numbers'!$B$1:$AU$172,$B83,FALSE)&lt;0,HLOOKUP(AL$4,'Physical Effects-Numbers'!$B$1:$AU$172,$B83,FALSE),""))</f>
        <v/>
      </c>
      <c r="AM83" s="488" t="str">
        <f>IF(AM$4="","",IF(HLOOKUP(AM$4,'Physical Effects-Numbers'!$B$1:$AU$172,$B83,FALSE)&lt;0,HLOOKUP(AM$4,'Physical Effects-Numbers'!$B$1:$AU$172,$B83,FALSE),""))</f>
        <v/>
      </c>
      <c r="AN83" s="488" t="str">
        <f>IF(AN$4="","",IF(HLOOKUP(AN$4,'Physical Effects-Numbers'!$B$1:$AU$172,$B83,FALSE)&lt;0,HLOOKUP(AN$4,'Physical Effects-Numbers'!$B$1:$AU$172,$B83,FALSE),""))</f>
        <v/>
      </c>
      <c r="AO83" s="488" t="str">
        <f>IF(AO$4="","",IF(HLOOKUP(AO$4,'Physical Effects-Numbers'!$B$1:$AU$172,$B83,FALSE)&lt;0,HLOOKUP(AO$4,'Physical Effects-Numbers'!$B$1:$AU$172,$B83,FALSE),""))</f>
        <v/>
      </c>
      <c r="AP83" s="488" t="str">
        <f>IF(AP$4="","",IF(HLOOKUP(AP$4,'Physical Effects-Numbers'!$B$1:$AU$172,$B83,FALSE)&lt;0,HLOOKUP(AP$4,'Physical Effects-Numbers'!$B$1:$AU$172,$B83,FALSE),""))</f>
        <v/>
      </c>
      <c r="AQ83" s="488" t="str">
        <f>IF(AQ$4="","",IF(HLOOKUP(AQ$4,'Physical Effects-Numbers'!$B$1:$AU$172,$B83,FALSE)&lt;0,HLOOKUP(AQ$4,'Physical Effects-Numbers'!$B$1:$AU$172,$B83,FALSE),""))</f>
        <v/>
      </c>
      <c r="AR83" s="488" t="str">
        <f>IF(AR$4="","",IF(HLOOKUP(AR$4,'Physical Effects-Numbers'!$B$1:$AU$172,$B83,FALSE)&lt;0,HLOOKUP(AR$4,'Physical Effects-Numbers'!$B$1:$AU$172,$B83,FALSE),""))</f>
        <v/>
      </c>
      <c r="AS83" s="488" t="str">
        <f>IF(AS$4="","",IF(HLOOKUP(AS$4,'Physical Effects-Numbers'!$B$1:$AU$172,$B83,FALSE)&lt;0,HLOOKUP(AS$4,'Physical Effects-Numbers'!$B$1:$AU$172,$B83,FALSE),""))</f>
        <v/>
      </c>
      <c r="AT83" s="488" t="str">
        <f>IF(AT$4="","",IF(HLOOKUP(AT$4,'Physical Effects-Numbers'!$B$1:$AU$172,$B83,FALSE)&lt;0,HLOOKUP(AT$4,'Physical Effects-Numbers'!$B$1:$AU$172,$B83,FALSE),""))</f>
        <v/>
      </c>
      <c r="AU83" s="488" t="str">
        <f>IF(AU$4="","",IF(HLOOKUP(AU$4,'Physical Effects-Numbers'!$B$1:$AU$172,$B83,FALSE)&lt;0,HLOOKUP(AU$4,'Physical Effects-Numbers'!$B$1:$AU$172,$B83,FALSE),""))</f>
        <v/>
      </c>
      <c r="AV83" s="488" t="str">
        <f>IF(AV$4="","",IF(HLOOKUP(AV$4,'Physical Effects-Numbers'!$B$1:$AU$167,$B83,FALSE)&lt;0,HLOOKUP(AV$4,'Physical Effects-Numbers'!$B$1:$AU$167,$B83,FALSE),""))</f>
        <v/>
      </c>
    </row>
    <row r="84" spans="2:48" x14ac:dyDescent="0.2">
      <c r="B84" s="487">
        <f t="shared" si="1"/>
        <v>81</v>
      </c>
      <c r="C84" s="486" t="str">
        <f>+'Physical Effects-Numbers'!B81</f>
        <v>Land Clearing</v>
      </c>
      <c r="D84" s="488" t="str">
        <f>IF(D$4="","",IF(HLOOKUP(D$4,'Physical Effects-Numbers'!$B$1:$AU$172,$B84,FALSE)&lt;0,HLOOKUP(D$4,'Physical Effects-Numbers'!$B$1:$AU$172,$B84,FALSE),""))</f>
        <v/>
      </c>
      <c r="E84" s="488" t="str">
        <f>IF(E$4="","",IF(HLOOKUP(E$4,'Physical Effects-Numbers'!$B$1:$AU$172,$B84,FALSE)&lt;0,HLOOKUP(E$4,'Physical Effects-Numbers'!$B$1:$AU$172,$B84,FALSE),""))</f>
        <v/>
      </c>
      <c r="F84" s="488" t="str">
        <f>IF(F$4="","",IF(HLOOKUP(F$4,'Physical Effects-Numbers'!$B$1:$AU$172,$B84,FALSE)&lt;0,HLOOKUP(F$4,'Physical Effects-Numbers'!$B$1:$AU$172,$B84,FALSE),""))</f>
        <v/>
      </c>
      <c r="G84" s="488" t="str">
        <f>IF(G$4="","",IF(HLOOKUP(G$4,'Physical Effects-Numbers'!$B$1:$AU$172,$B84,FALSE)&lt;0,HLOOKUP(G$4,'Physical Effects-Numbers'!$B$1:$AU$172,$B84,FALSE),""))</f>
        <v/>
      </c>
      <c r="H84" s="488" t="str">
        <f>IF(H$4="","",IF(HLOOKUP(H$4,'Physical Effects-Numbers'!$B$1:$AU$172,$B84,FALSE)&lt;0,HLOOKUP(H$4,'Physical Effects-Numbers'!$B$1:$AU$172,$B84,FALSE),""))</f>
        <v/>
      </c>
      <c r="I84" s="488">
        <f>IF(I$4="","",IF(HLOOKUP(I$4,'Physical Effects-Numbers'!$B$1:$AU$172,$B84,FALSE)&lt;0,HLOOKUP(I$4,'Physical Effects-Numbers'!$B$1:$AU$172,$B84,FALSE),""))</f>
        <v>-3</v>
      </c>
      <c r="J84" s="488">
        <f>IF(J$4="","",IF(HLOOKUP(J$4,'Physical Effects-Numbers'!$B$1:$AU$172,$B84,FALSE)&lt;0,HLOOKUP(J$4,'Physical Effects-Numbers'!$B$1:$AU$172,$B84,FALSE),""))</f>
        <v>-1</v>
      </c>
      <c r="K84" s="488" t="str">
        <f>IF(K$4="","",IF(HLOOKUP(K$4,'Physical Effects-Numbers'!$B$1:$AU$172,$B84,FALSE)&lt;0,HLOOKUP(K$4,'Physical Effects-Numbers'!$B$1:$AU$172,$B84,FALSE),""))</f>
        <v/>
      </c>
      <c r="L84" s="488" t="str">
        <f>IF(L$4="","",IF(HLOOKUP(L$4,'Physical Effects-Numbers'!$B$1:$AU$172,$B84,FALSE)&lt;0,HLOOKUP(L$4,'Physical Effects-Numbers'!$B$1:$AU$172,$B84,FALSE),""))</f>
        <v/>
      </c>
      <c r="M84" s="488" t="str">
        <f>IF(M$4="","",IF(HLOOKUP(M$4,'Physical Effects-Numbers'!$B$1:$AU$172,$B84,FALSE)&lt;0,HLOOKUP(M$4,'Physical Effects-Numbers'!$B$1:$AU$172,$B84,FALSE),""))</f>
        <v/>
      </c>
      <c r="N84" s="488">
        <f>IF(N$4="","",IF(HLOOKUP(N$4,'Physical Effects-Numbers'!$B$1:$AU$172,$B84,FALSE)&lt;0,HLOOKUP(N$4,'Physical Effects-Numbers'!$B$1:$AU$172,$B84,FALSE),""))</f>
        <v>-1</v>
      </c>
      <c r="O84" s="488" t="str">
        <f>IF(O$4="","",IF(HLOOKUP(O$4,'Physical Effects-Numbers'!$B$1:$AU$172,$B84,FALSE)&lt;0,HLOOKUP(O$4,'Physical Effects-Numbers'!$B$1:$AU$172,$B84,FALSE),""))</f>
        <v/>
      </c>
      <c r="P84" s="488" t="str">
        <f>IF(P$4="","",IF(HLOOKUP(P$4,'Physical Effects-Numbers'!$B$1:$AU$172,$B84,FALSE)&lt;0,HLOOKUP(P$4,'Physical Effects-Numbers'!$B$1:$AU$172,$B84,FALSE),""))</f>
        <v/>
      </c>
      <c r="Q84" s="488" t="str">
        <f>IF(Q$4="","",IF(HLOOKUP(Q$4,'Physical Effects-Numbers'!$B$1:$AU$172,$B84,FALSE)&lt;0,HLOOKUP(Q$4,'Physical Effects-Numbers'!$B$1:$AU$172,$B84,FALSE),""))</f>
        <v/>
      </c>
      <c r="R84" s="488" t="str">
        <f>IF(R$4="","",IF(HLOOKUP(R$4,'Physical Effects-Numbers'!$B$1:$AU$172,$B84,FALSE)&lt;0,HLOOKUP(R$4,'Physical Effects-Numbers'!$B$1:$AU$172,$B84,FALSE),""))</f>
        <v/>
      </c>
      <c r="S84" s="488">
        <f>IF(S$4="","",IF(HLOOKUP(S$4,'Physical Effects-Numbers'!$B$1:$AU$172,$B84,FALSE)&lt;0,HLOOKUP(S$4,'Physical Effects-Numbers'!$B$1:$AU$172,$B84,FALSE),""))</f>
        <v>-1</v>
      </c>
      <c r="T84" s="488" t="str">
        <f>IF(T$4="","",IF(HLOOKUP(T$4,'Physical Effects-Numbers'!$B$1:$AU$172,$B84,FALSE)&lt;0,HLOOKUP(T$4,'Physical Effects-Numbers'!$B$1:$AU$172,$B84,FALSE),""))</f>
        <v/>
      </c>
      <c r="U84" s="488">
        <f>IF(U$4="","",IF(HLOOKUP(U$4,'Physical Effects-Numbers'!$B$1:$AU$172,$B84,FALSE)&lt;0,HLOOKUP(U$4,'Physical Effects-Numbers'!$B$1:$AU$172,$B84,FALSE),""))</f>
        <v>-1</v>
      </c>
      <c r="V84" s="488" t="str">
        <f>IF(V$4="","",IF(HLOOKUP(V$4,'Physical Effects-Numbers'!$B$1:$AU$172,$B84,FALSE)&lt;0,HLOOKUP(V$4,'Physical Effects-Numbers'!$B$1:$AU$172,$B84,FALSE),""))</f>
        <v/>
      </c>
      <c r="W84" s="488" t="str">
        <f>IF(W$4="","",IF(HLOOKUP(W$4,'Physical Effects-Numbers'!$B$1:$AU$172,$B84,FALSE)&lt;0,HLOOKUP(W$4,'Physical Effects-Numbers'!$B$1:$AU$172,$B84,FALSE),""))</f>
        <v/>
      </c>
      <c r="X84" s="488" t="str">
        <f>IF(X$4="","",IF(HLOOKUP(X$4,'Physical Effects-Numbers'!$B$1:$AU$172,$B84,FALSE)&lt;0,HLOOKUP(X$4,'Physical Effects-Numbers'!$B$1:$AU$172,$B84,FALSE),""))</f>
        <v/>
      </c>
      <c r="Y84" s="488">
        <f>IF(Y$4="","",IF(HLOOKUP(Y$4,'Physical Effects-Numbers'!$B$1:$AU$172,$B84,FALSE)&lt;0,HLOOKUP(Y$4,'Physical Effects-Numbers'!$B$1:$AU$172,$B84,FALSE),""))</f>
        <v>-1</v>
      </c>
      <c r="Z84" s="488" t="str">
        <f>IF(Z$4="","",IF(HLOOKUP(Z$4,'Physical Effects-Numbers'!$B$1:$AU$172,$B84,FALSE)&lt;0,HLOOKUP(Z$4,'Physical Effects-Numbers'!$B$1:$AU$172,$B84,FALSE),""))</f>
        <v/>
      </c>
      <c r="AA84" s="488">
        <f>IF(AA$4="","",IF(HLOOKUP(AA$4,'Physical Effects-Numbers'!$B$1:$AU$172,$B84,FALSE)&lt;0,HLOOKUP(AA$4,'Physical Effects-Numbers'!$B$1:$AU$172,$B84,FALSE),""))</f>
        <v>-1</v>
      </c>
      <c r="AB84" s="488">
        <f>IF(AB$4="","",IF(HLOOKUP(AB$4,'Physical Effects-Numbers'!$B$1:$AU$172,$B84,FALSE)&lt;0,HLOOKUP(AB$4,'Physical Effects-Numbers'!$B$1:$AU$172,$B84,FALSE),""))</f>
        <v>-2</v>
      </c>
      <c r="AC84" s="488">
        <f>IF(AC$4="","",IF(HLOOKUP(AC$4,'Physical Effects-Numbers'!$B$1:$AU$172,$B84,FALSE)&lt;0,HLOOKUP(AC$4,'Physical Effects-Numbers'!$B$1:$AU$172,$B84,FALSE),""))</f>
        <v>-1</v>
      </c>
      <c r="AD84" s="488" t="str">
        <f>IF(AD$4="","",IF(HLOOKUP(AD$4,'Physical Effects-Numbers'!$B$1:$AU$172,$B84,FALSE)&lt;0,HLOOKUP(AD$4,'Physical Effects-Numbers'!$B$1:$AU$172,$B84,FALSE),""))</f>
        <v/>
      </c>
      <c r="AE84" s="488">
        <f>IF(AE$4="","",IF(HLOOKUP(AE$4,'Physical Effects-Numbers'!$B$1:$AU$172,$B84,FALSE)&lt;0,HLOOKUP(AE$4,'Physical Effects-Numbers'!$B$1:$AU$172,$B84,FALSE),""))</f>
        <v>-1</v>
      </c>
      <c r="AF84" s="488" t="str">
        <f>IF(AF$4="","",IF(HLOOKUP(AF$4,'Physical Effects-Numbers'!$B$1:$AU$172,$B84,FALSE)&lt;0,HLOOKUP(AF$4,'Physical Effects-Numbers'!$B$1:$AU$172,$B84,FALSE),""))</f>
        <v/>
      </c>
      <c r="AG84" s="488">
        <f>IF(AG$4="","",IF(HLOOKUP(AG$4,'Physical Effects-Numbers'!$B$1:$AU$172,$B84,FALSE)&lt;0,HLOOKUP(AG$4,'Physical Effects-Numbers'!$B$1:$AU$172,$B84,FALSE),""))</f>
        <v>-1</v>
      </c>
      <c r="AH84" s="488" t="str">
        <f>IF(AH$4="","",IF(HLOOKUP(AH$4,'Physical Effects-Numbers'!$B$1:$AU$172,$B84,FALSE)&lt;0,HLOOKUP(AH$4,'Physical Effects-Numbers'!$B$1:$AU$172,$B84,FALSE),""))</f>
        <v/>
      </c>
      <c r="AI84" s="488" t="str">
        <f>IF(AI$4="","",IF(HLOOKUP(AI$4,'Physical Effects-Numbers'!$B$1:$AU$172,$B84,FALSE)&lt;0,HLOOKUP(AI$4,'Physical Effects-Numbers'!$B$1:$AU$172,$B84,FALSE),""))</f>
        <v/>
      </c>
      <c r="AJ84" s="488" t="str">
        <f>IF(AJ$4="","",IF(HLOOKUP(AJ$4,'Physical Effects-Numbers'!$B$1:$AU$172,$B84,FALSE)&lt;0,HLOOKUP(AJ$4,'Physical Effects-Numbers'!$B$1:$AU$172,$B84,FALSE),""))</f>
        <v/>
      </c>
      <c r="AK84" s="488">
        <f>IF(AK$4="","",IF(HLOOKUP(AK$4,'Physical Effects-Numbers'!$B$1:$AU$172,$B84,FALSE)&lt;0,HLOOKUP(AK$4,'Physical Effects-Numbers'!$B$1:$AU$172,$B84,FALSE),""))</f>
        <v>-2</v>
      </c>
      <c r="AL84" s="488" t="str">
        <f>IF(AL$4="","",IF(HLOOKUP(AL$4,'Physical Effects-Numbers'!$B$1:$AU$172,$B84,FALSE)&lt;0,HLOOKUP(AL$4,'Physical Effects-Numbers'!$B$1:$AU$172,$B84,FALSE),""))</f>
        <v/>
      </c>
      <c r="AM84" s="488">
        <f>IF(AM$4="","",IF(HLOOKUP(AM$4,'Physical Effects-Numbers'!$B$1:$AU$172,$B84,FALSE)&lt;0,HLOOKUP(AM$4,'Physical Effects-Numbers'!$B$1:$AU$172,$B84,FALSE),""))</f>
        <v>-2</v>
      </c>
      <c r="AN84" s="488">
        <f>IF(AN$4="","",IF(HLOOKUP(AN$4,'Physical Effects-Numbers'!$B$1:$AU$172,$B84,FALSE)&lt;0,HLOOKUP(AN$4,'Physical Effects-Numbers'!$B$1:$AU$172,$B84,FALSE),""))</f>
        <v>-2</v>
      </c>
      <c r="AO84" s="488" t="str">
        <f>IF(AO$4="","",IF(HLOOKUP(AO$4,'Physical Effects-Numbers'!$B$1:$AU$172,$B84,FALSE)&lt;0,HLOOKUP(AO$4,'Physical Effects-Numbers'!$B$1:$AU$172,$B84,FALSE),""))</f>
        <v/>
      </c>
      <c r="AP84" s="488">
        <f>IF(AP$4="","",IF(HLOOKUP(AP$4,'Physical Effects-Numbers'!$B$1:$AU$172,$B84,FALSE)&lt;0,HLOOKUP(AP$4,'Physical Effects-Numbers'!$B$1:$AU$172,$B84,FALSE),""))</f>
        <v>-2</v>
      </c>
      <c r="AQ84" s="488" t="str">
        <f>IF(AQ$4="","",IF(HLOOKUP(AQ$4,'Physical Effects-Numbers'!$B$1:$AU$172,$B84,FALSE)&lt;0,HLOOKUP(AQ$4,'Physical Effects-Numbers'!$B$1:$AU$172,$B84,FALSE),""))</f>
        <v/>
      </c>
      <c r="AR84" s="488">
        <f>IF(AR$4="","",IF(HLOOKUP(AR$4,'Physical Effects-Numbers'!$B$1:$AU$172,$B84,FALSE)&lt;0,HLOOKUP(AR$4,'Physical Effects-Numbers'!$B$1:$AU$172,$B84,FALSE),""))</f>
        <v>-2</v>
      </c>
      <c r="AS84" s="488" t="str">
        <f>IF(AS$4="","",IF(HLOOKUP(AS$4,'Physical Effects-Numbers'!$B$1:$AU$172,$B84,FALSE)&lt;0,HLOOKUP(AS$4,'Physical Effects-Numbers'!$B$1:$AU$172,$B84,FALSE),""))</f>
        <v/>
      </c>
      <c r="AT84" s="488" t="str">
        <f>IF(AT$4="","",IF(HLOOKUP(AT$4,'Physical Effects-Numbers'!$B$1:$AU$172,$B84,FALSE)&lt;0,HLOOKUP(AT$4,'Physical Effects-Numbers'!$B$1:$AU$172,$B84,FALSE),""))</f>
        <v/>
      </c>
      <c r="AU84" s="488" t="str">
        <f>IF(AU$4="","",IF(HLOOKUP(AU$4,'Physical Effects-Numbers'!$B$1:$AU$172,$B84,FALSE)&lt;0,HLOOKUP(AU$4,'Physical Effects-Numbers'!$B$1:$AU$172,$B84,FALSE),""))</f>
        <v/>
      </c>
      <c r="AV84" s="488" t="str">
        <f>IF(AV$4="","",IF(HLOOKUP(AV$4,'Physical Effects-Numbers'!$B$1:$AU$167,$B84,FALSE)&lt;0,HLOOKUP(AV$4,'Physical Effects-Numbers'!$B$1:$AU$167,$B84,FALSE),""))</f>
        <v/>
      </c>
    </row>
    <row r="85" spans="2:48" x14ac:dyDescent="0.2">
      <c r="B85" s="487">
        <f t="shared" si="1"/>
        <v>82</v>
      </c>
      <c r="C85" s="486" t="str">
        <f>+'Physical Effects-Numbers'!B82</f>
        <v>Land Reclamation, Abandoned Mined Land</v>
      </c>
      <c r="D85" s="488" t="str">
        <f>IF(D$4="","",IF(HLOOKUP(D$4,'Physical Effects-Numbers'!$B$1:$AU$172,$B85,FALSE)&lt;0,HLOOKUP(D$4,'Physical Effects-Numbers'!$B$1:$AU$172,$B85,FALSE),""))</f>
        <v/>
      </c>
      <c r="E85" s="488" t="str">
        <f>IF(E$4="","",IF(HLOOKUP(E$4,'Physical Effects-Numbers'!$B$1:$AU$172,$B85,FALSE)&lt;0,HLOOKUP(E$4,'Physical Effects-Numbers'!$B$1:$AU$172,$B85,FALSE),""))</f>
        <v/>
      </c>
      <c r="F85" s="488" t="str">
        <f>IF(F$4="","",IF(HLOOKUP(F$4,'Physical Effects-Numbers'!$B$1:$AU$172,$B85,FALSE)&lt;0,HLOOKUP(F$4,'Physical Effects-Numbers'!$B$1:$AU$172,$B85,FALSE),""))</f>
        <v/>
      </c>
      <c r="G85" s="488" t="str">
        <f>IF(G$4="","",IF(HLOOKUP(G$4,'Physical Effects-Numbers'!$B$1:$AU$172,$B85,FALSE)&lt;0,HLOOKUP(G$4,'Physical Effects-Numbers'!$B$1:$AU$172,$B85,FALSE),""))</f>
        <v/>
      </c>
      <c r="H85" s="488" t="str">
        <f>IF(H$4="","",IF(HLOOKUP(H$4,'Physical Effects-Numbers'!$B$1:$AU$172,$B85,FALSE)&lt;0,HLOOKUP(H$4,'Physical Effects-Numbers'!$B$1:$AU$172,$B85,FALSE),""))</f>
        <v/>
      </c>
      <c r="I85" s="488" t="str">
        <f>IF(I$4="","",IF(HLOOKUP(I$4,'Physical Effects-Numbers'!$B$1:$AU$172,$B85,FALSE)&lt;0,HLOOKUP(I$4,'Physical Effects-Numbers'!$B$1:$AU$172,$B85,FALSE),""))</f>
        <v/>
      </c>
      <c r="J85" s="488" t="str">
        <f>IF(J$4="","",IF(HLOOKUP(J$4,'Physical Effects-Numbers'!$B$1:$AU$172,$B85,FALSE)&lt;0,HLOOKUP(J$4,'Physical Effects-Numbers'!$B$1:$AU$172,$B85,FALSE),""))</f>
        <v/>
      </c>
      <c r="K85" s="488" t="str">
        <f>IF(K$4="","",IF(HLOOKUP(K$4,'Physical Effects-Numbers'!$B$1:$AU$172,$B85,FALSE)&lt;0,HLOOKUP(K$4,'Physical Effects-Numbers'!$B$1:$AU$172,$B85,FALSE),""))</f>
        <v/>
      </c>
      <c r="L85" s="488" t="str">
        <f>IF(L$4="","",IF(HLOOKUP(L$4,'Physical Effects-Numbers'!$B$1:$AU$172,$B85,FALSE)&lt;0,HLOOKUP(L$4,'Physical Effects-Numbers'!$B$1:$AU$172,$B85,FALSE),""))</f>
        <v/>
      </c>
      <c r="M85" s="488" t="str">
        <f>IF(M$4="","",IF(HLOOKUP(M$4,'Physical Effects-Numbers'!$B$1:$AU$172,$B85,FALSE)&lt;0,HLOOKUP(M$4,'Physical Effects-Numbers'!$B$1:$AU$172,$B85,FALSE),""))</f>
        <v/>
      </c>
      <c r="N85" s="488" t="str">
        <f>IF(N$4="","",IF(HLOOKUP(N$4,'Physical Effects-Numbers'!$B$1:$AU$172,$B85,FALSE)&lt;0,HLOOKUP(N$4,'Physical Effects-Numbers'!$B$1:$AU$172,$B85,FALSE),""))</f>
        <v/>
      </c>
      <c r="O85" s="488" t="str">
        <f>IF(O$4="","",IF(HLOOKUP(O$4,'Physical Effects-Numbers'!$B$1:$AU$172,$B85,FALSE)&lt;0,HLOOKUP(O$4,'Physical Effects-Numbers'!$B$1:$AU$172,$B85,FALSE),""))</f>
        <v/>
      </c>
      <c r="P85" s="488" t="str">
        <f>IF(P$4="","",IF(HLOOKUP(P$4,'Physical Effects-Numbers'!$B$1:$AU$172,$B85,FALSE)&lt;0,HLOOKUP(P$4,'Physical Effects-Numbers'!$B$1:$AU$172,$B85,FALSE),""))</f>
        <v/>
      </c>
      <c r="Q85" s="488" t="str">
        <f>IF(Q$4="","",IF(HLOOKUP(Q$4,'Physical Effects-Numbers'!$B$1:$AU$172,$B85,FALSE)&lt;0,HLOOKUP(Q$4,'Physical Effects-Numbers'!$B$1:$AU$172,$B85,FALSE),""))</f>
        <v/>
      </c>
      <c r="R85" s="488" t="str">
        <f>IF(R$4="","",IF(HLOOKUP(R$4,'Physical Effects-Numbers'!$B$1:$AU$172,$B85,FALSE)&lt;0,HLOOKUP(R$4,'Physical Effects-Numbers'!$B$1:$AU$172,$B85,FALSE),""))</f>
        <v/>
      </c>
      <c r="S85" s="488" t="str">
        <f>IF(S$4="","",IF(HLOOKUP(S$4,'Physical Effects-Numbers'!$B$1:$AU$172,$B85,FALSE)&lt;0,HLOOKUP(S$4,'Physical Effects-Numbers'!$B$1:$AU$172,$B85,FALSE),""))</f>
        <v/>
      </c>
      <c r="T85" s="488" t="str">
        <f>IF(T$4="","",IF(HLOOKUP(T$4,'Physical Effects-Numbers'!$B$1:$AU$172,$B85,FALSE)&lt;0,HLOOKUP(T$4,'Physical Effects-Numbers'!$B$1:$AU$172,$B85,FALSE),""))</f>
        <v/>
      </c>
      <c r="U85" s="488" t="str">
        <f>IF(U$4="","",IF(HLOOKUP(U$4,'Physical Effects-Numbers'!$B$1:$AU$172,$B85,FALSE)&lt;0,HLOOKUP(U$4,'Physical Effects-Numbers'!$B$1:$AU$172,$B85,FALSE),""))</f>
        <v/>
      </c>
      <c r="V85" s="488" t="str">
        <f>IF(V$4="","",IF(HLOOKUP(V$4,'Physical Effects-Numbers'!$B$1:$AU$172,$B85,FALSE)&lt;0,HLOOKUP(V$4,'Physical Effects-Numbers'!$B$1:$AU$172,$B85,FALSE),""))</f>
        <v/>
      </c>
      <c r="W85" s="488" t="str">
        <f>IF(W$4="","",IF(HLOOKUP(W$4,'Physical Effects-Numbers'!$B$1:$AU$172,$B85,FALSE)&lt;0,HLOOKUP(W$4,'Physical Effects-Numbers'!$B$1:$AU$172,$B85,FALSE),""))</f>
        <v/>
      </c>
      <c r="X85" s="488" t="str">
        <f>IF(X$4="","",IF(HLOOKUP(X$4,'Physical Effects-Numbers'!$B$1:$AU$172,$B85,FALSE)&lt;0,HLOOKUP(X$4,'Physical Effects-Numbers'!$B$1:$AU$172,$B85,FALSE),""))</f>
        <v/>
      </c>
      <c r="Y85" s="488" t="str">
        <f>IF(Y$4="","",IF(HLOOKUP(Y$4,'Physical Effects-Numbers'!$B$1:$AU$172,$B85,FALSE)&lt;0,HLOOKUP(Y$4,'Physical Effects-Numbers'!$B$1:$AU$172,$B85,FALSE),""))</f>
        <v/>
      </c>
      <c r="Z85" s="488" t="str">
        <f>IF(Z$4="","",IF(HLOOKUP(Z$4,'Physical Effects-Numbers'!$B$1:$AU$172,$B85,FALSE)&lt;0,HLOOKUP(Z$4,'Physical Effects-Numbers'!$B$1:$AU$172,$B85,FALSE),""))</f>
        <v/>
      </c>
      <c r="AA85" s="488" t="str">
        <f>IF(AA$4="","",IF(HLOOKUP(AA$4,'Physical Effects-Numbers'!$B$1:$AU$172,$B85,FALSE)&lt;0,HLOOKUP(AA$4,'Physical Effects-Numbers'!$B$1:$AU$172,$B85,FALSE),""))</f>
        <v/>
      </c>
      <c r="AB85" s="488" t="str">
        <f>IF(AB$4="","",IF(HLOOKUP(AB$4,'Physical Effects-Numbers'!$B$1:$AU$172,$B85,FALSE)&lt;0,HLOOKUP(AB$4,'Physical Effects-Numbers'!$B$1:$AU$172,$B85,FALSE),""))</f>
        <v/>
      </c>
      <c r="AC85" s="488" t="str">
        <f>IF(AC$4="","",IF(HLOOKUP(AC$4,'Physical Effects-Numbers'!$B$1:$AU$172,$B85,FALSE)&lt;0,HLOOKUP(AC$4,'Physical Effects-Numbers'!$B$1:$AU$172,$B85,FALSE),""))</f>
        <v/>
      </c>
      <c r="AD85" s="488" t="str">
        <f>IF(AD$4="","",IF(HLOOKUP(AD$4,'Physical Effects-Numbers'!$B$1:$AU$172,$B85,FALSE)&lt;0,HLOOKUP(AD$4,'Physical Effects-Numbers'!$B$1:$AU$172,$B85,FALSE),""))</f>
        <v/>
      </c>
      <c r="AE85" s="488" t="str">
        <f>IF(AE$4="","",IF(HLOOKUP(AE$4,'Physical Effects-Numbers'!$B$1:$AU$172,$B85,FALSE)&lt;0,HLOOKUP(AE$4,'Physical Effects-Numbers'!$B$1:$AU$172,$B85,FALSE),""))</f>
        <v/>
      </c>
      <c r="AF85" s="488" t="str">
        <f>IF(AF$4="","",IF(HLOOKUP(AF$4,'Physical Effects-Numbers'!$B$1:$AU$172,$B85,FALSE)&lt;0,HLOOKUP(AF$4,'Physical Effects-Numbers'!$B$1:$AU$172,$B85,FALSE),""))</f>
        <v/>
      </c>
      <c r="AG85" s="488" t="str">
        <f>IF(AG$4="","",IF(HLOOKUP(AG$4,'Physical Effects-Numbers'!$B$1:$AU$172,$B85,FALSE)&lt;0,HLOOKUP(AG$4,'Physical Effects-Numbers'!$B$1:$AU$172,$B85,FALSE),""))</f>
        <v/>
      </c>
      <c r="AH85" s="488" t="str">
        <f>IF(AH$4="","",IF(HLOOKUP(AH$4,'Physical Effects-Numbers'!$B$1:$AU$172,$B85,FALSE)&lt;0,HLOOKUP(AH$4,'Physical Effects-Numbers'!$B$1:$AU$172,$B85,FALSE),""))</f>
        <v/>
      </c>
      <c r="AI85" s="488" t="str">
        <f>IF(AI$4="","",IF(HLOOKUP(AI$4,'Physical Effects-Numbers'!$B$1:$AU$172,$B85,FALSE)&lt;0,HLOOKUP(AI$4,'Physical Effects-Numbers'!$B$1:$AU$172,$B85,FALSE),""))</f>
        <v/>
      </c>
      <c r="AJ85" s="488" t="str">
        <f>IF(AJ$4="","",IF(HLOOKUP(AJ$4,'Physical Effects-Numbers'!$B$1:$AU$172,$B85,FALSE)&lt;0,HLOOKUP(AJ$4,'Physical Effects-Numbers'!$B$1:$AU$172,$B85,FALSE),""))</f>
        <v/>
      </c>
      <c r="AK85" s="488" t="str">
        <f>IF(AK$4="","",IF(HLOOKUP(AK$4,'Physical Effects-Numbers'!$B$1:$AU$172,$B85,FALSE)&lt;0,HLOOKUP(AK$4,'Physical Effects-Numbers'!$B$1:$AU$172,$B85,FALSE),""))</f>
        <v/>
      </c>
      <c r="AL85" s="488" t="str">
        <f>IF(AL$4="","",IF(HLOOKUP(AL$4,'Physical Effects-Numbers'!$B$1:$AU$172,$B85,FALSE)&lt;0,HLOOKUP(AL$4,'Physical Effects-Numbers'!$B$1:$AU$172,$B85,FALSE),""))</f>
        <v/>
      </c>
      <c r="AM85" s="488" t="str">
        <f>IF(AM$4="","",IF(HLOOKUP(AM$4,'Physical Effects-Numbers'!$B$1:$AU$172,$B85,FALSE)&lt;0,HLOOKUP(AM$4,'Physical Effects-Numbers'!$B$1:$AU$172,$B85,FALSE),""))</f>
        <v/>
      </c>
      <c r="AN85" s="488" t="str">
        <f>IF(AN$4="","",IF(HLOOKUP(AN$4,'Physical Effects-Numbers'!$B$1:$AU$172,$B85,FALSE)&lt;0,HLOOKUP(AN$4,'Physical Effects-Numbers'!$B$1:$AU$172,$B85,FALSE),""))</f>
        <v/>
      </c>
      <c r="AO85" s="488" t="str">
        <f>IF(AO$4="","",IF(HLOOKUP(AO$4,'Physical Effects-Numbers'!$B$1:$AU$172,$B85,FALSE)&lt;0,HLOOKUP(AO$4,'Physical Effects-Numbers'!$B$1:$AU$172,$B85,FALSE),""))</f>
        <v/>
      </c>
      <c r="AP85" s="488" t="str">
        <f>IF(AP$4="","",IF(HLOOKUP(AP$4,'Physical Effects-Numbers'!$B$1:$AU$172,$B85,FALSE)&lt;0,HLOOKUP(AP$4,'Physical Effects-Numbers'!$B$1:$AU$172,$B85,FALSE),""))</f>
        <v/>
      </c>
      <c r="AQ85" s="488" t="str">
        <f>IF(AQ$4="","",IF(HLOOKUP(AQ$4,'Physical Effects-Numbers'!$B$1:$AU$172,$B85,FALSE)&lt;0,HLOOKUP(AQ$4,'Physical Effects-Numbers'!$B$1:$AU$172,$B85,FALSE),""))</f>
        <v/>
      </c>
      <c r="AR85" s="488" t="str">
        <f>IF(AR$4="","",IF(HLOOKUP(AR$4,'Physical Effects-Numbers'!$B$1:$AU$172,$B85,FALSE)&lt;0,HLOOKUP(AR$4,'Physical Effects-Numbers'!$B$1:$AU$172,$B85,FALSE),""))</f>
        <v/>
      </c>
      <c r="AS85" s="488" t="str">
        <f>IF(AS$4="","",IF(HLOOKUP(AS$4,'Physical Effects-Numbers'!$B$1:$AU$172,$B85,FALSE)&lt;0,HLOOKUP(AS$4,'Physical Effects-Numbers'!$B$1:$AU$172,$B85,FALSE),""))</f>
        <v/>
      </c>
      <c r="AT85" s="488" t="str">
        <f>IF(AT$4="","",IF(HLOOKUP(AT$4,'Physical Effects-Numbers'!$B$1:$AU$172,$B85,FALSE)&lt;0,HLOOKUP(AT$4,'Physical Effects-Numbers'!$B$1:$AU$172,$B85,FALSE),""))</f>
        <v/>
      </c>
      <c r="AU85" s="488" t="str">
        <f>IF(AU$4="","",IF(HLOOKUP(AU$4,'Physical Effects-Numbers'!$B$1:$AU$172,$B85,FALSE)&lt;0,HLOOKUP(AU$4,'Physical Effects-Numbers'!$B$1:$AU$172,$B85,FALSE),""))</f>
        <v/>
      </c>
      <c r="AV85" s="488" t="str">
        <f>IF(AV$4="","",IF(HLOOKUP(AV$4,'Physical Effects-Numbers'!$B$1:$AU$167,$B85,FALSE)&lt;0,HLOOKUP(AV$4,'Physical Effects-Numbers'!$B$1:$AU$167,$B85,FALSE),""))</f>
        <v/>
      </c>
    </row>
    <row r="86" spans="2:48" x14ac:dyDescent="0.2">
      <c r="B86" s="487">
        <f t="shared" si="1"/>
        <v>83</v>
      </c>
      <c r="C86" s="486" t="str">
        <f>+'Physical Effects-Numbers'!B83</f>
        <v>Land Reclamation, Currently Mined Land</v>
      </c>
      <c r="D86" s="488" t="str">
        <f>IF(D$4="","",IF(HLOOKUP(D$4,'Physical Effects-Numbers'!$B$1:$AU$172,$B86,FALSE)&lt;0,HLOOKUP(D$4,'Physical Effects-Numbers'!$B$1:$AU$172,$B86,FALSE),""))</f>
        <v/>
      </c>
      <c r="E86" s="488" t="str">
        <f>IF(E$4="","",IF(HLOOKUP(E$4,'Physical Effects-Numbers'!$B$1:$AU$172,$B86,FALSE)&lt;0,HLOOKUP(E$4,'Physical Effects-Numbers'!$B$1:$AU$172,$B86,FALSE),""))</f>
        <v/>
      </c>
      <c r="F86" s="488" t="str">
        <f>IF(F$4="","",IF(HLOOKUP(F$4,'Physical Effects-Numbers'!$B$1:$AU$172,$B86,FALSE)&lt;0,HLOOKUP(F$4,'Physical Effects-Numbers'!$B$1:$AU$172,$B86,FALSE),""))</f>
        <v/>
      </c>
      <c r="G86" s="488" t="str">
        <f>IF(G$4="","",IF(HLOOKUP(G$4,'Physical Effects-Numbers'!$B$1:$AU$172,$B86,FALSE)&lt;0,HLOOKUP(G$4,'Physical Effects-Numbers'!$B$1:$AU$172,$B86,FALSE),""))</f>
        <v/>
      </c>
      <c r="H86" s="488" t="str">
        <f>IF(H$4="","",IF(HLOOKUP(H$4,'Physical Effects-Numbers'!$B$1:$AU$172,$B86,FALSE)&lt;0,HLOOKUP(H$4,'Physical Effects-Numbers'!$B$1:$AU$172,$B86,FALSE),""))</f>
        <v/>
      </c>
      <c r="I86" s="488" t="str">
        <f>IF(I$4="","",IF(HLOOKUP(I$4,'Physical Effects-Numbers'!$B$1:$AU$172,$B86,FALSE)&lt;0,HLOOKUP(I$4,'Physical Effects-Numbers'!$B$1:$AU$172,$B86,FALSE),""))</f>
        <v/>
      </c>
      <c r="J86" s="488" t="str">
        <f>IF(J$4="","",IF(HLOOKUP(J$4,'Physical Effects-Numbers'!$B$1:$AU$172,$B86,FALSE)&lt;0,HLOOKUP(J$4,'Physical Effects-Numbers'!$B$1:$AU$172,$B86,FALSE),""))</f>
        <v/>
      </c>
      <c r="K86" s="488" t="str">
        <f>IF(K$4="","",IF(HLOOKUP(K$4,'Physical Effects-Numbers'!$B$1:$AU$172,$B86,FALSE)&lt;0,HLOOKUP(K$4,'Physical Effects-Numbers'!$B$1:$AU$172,$B86,FALSE),""))</f>
        <v/>
      </c>
      <c r="L86" s="488" t="str">
        <f>IF(L$4="","",IF(HLOOKUP(L$4,'Physical Effects-Numbers'!$B$1:$AU$172,$B86,FALSE)&lt;0,HLOOKUP(L$4,'Physical Effects-Numbers'!$B$1:$AU$172,$B86,FALSE),""))</f>
        <v/>
      </c>
      <c r="M86" s="488" t="str">
        <f>IF(M$4="","",IF(HLOOKUP(M$4,'Physical Effects-Numbers'!$B$1:$AU$172,$B86,FALSE)&lt;0,HLOOKUP(M$4,'Physical Effects-Numbers'!$B$1:$AU$172,$B86,FALSE),""))</f>
        <v/>
      </c>
      <c r="N86" s="488" t="str">
        <f>IF(N$4="","",IF(HLOOKUP(N$4,'Physical Effects-Numbers'!$B$1:$AU$172,$B86,FALSE)&lt;0,HLOOKUP(N$4,'Physical Effects-Numbers'!$B$1:$AU$172,$B86,FALSE),""))</f>
        <v/>
      </c>
      <c r="O86" s="488" t="str">
        <f>IF(O$4="","",IF(HLOOKUP(O$4,'Physical Effects-Numbers'!$B$1:$AU$172,$B86,FALSE)&lt;0,HLOOKUP(O$4,'Physical Effects-Numbers'!$B$1:$AU$172,$B86,FALSE),""))</f>
        <v/>
      </c>
      <c r="P86" s="488" t="str">
        <f>IF(P$4="","",IF(HLOOKUP(P$4,'Physical Effects-Numbers'!$B$1:$AU$172,$B86,FALSE)&lt;0,HLOOKUP(P$4,'Physical Effects-Numbers'!$B$1:$AU$172,$B86,FALSE),""))</f>
        <v/>
      </c>
      <c r="Q86" s="488" t="str">
        <f>IF(Q$4="","",IF(HLOOKUP(Q$4,'Physical Effects-Numbers'!$B$1:$AU$172,$B86,FALSE)&lt;0,HLOOKUP(Q$4,'Physical Effects-Numbers'!$B$1:$AU$172,$B86,FALSE),""))</f>
        <v/>
      </c>
      <c r="R86" s="488" t="str">
        <f>IF(R$4="","",IF(HLOOKUP(R$4,'Physical Effects-Numbers'!$B$1:$AU$172,$B86,FALSE)&lt;0,HLOOKUP(R$4,'Physical Effects-Numbers'!$B$1:$AU$172,$B86,FALSE),""))</f>
        <v/>
      </c>
      <c r="S86" s="488" t="str">
        <f>IF(S$4="","",IF(HLOOKUP(S$4,'Physical Effects-Numbers'!$B$1:$AU$172,$B86,FALSE)&lt;0,HLOOKUP(S$4,'Physical Effects-Numbers'!$B$1:$AU$172,$B86,FALSE),""))</f>
        <v/>
      </c>
      <c r="T86" s="488" t="str">
        <f>IF(T$4="","",IF(HLOOKUP(T$4,'Physical Effects-Numbers'!$B$1:$AU$172,$B86,FALSE)&lt;0,HLOOKUP(T$4,'Physical Effects-Numbers'!$B$1:$AU$172,$B86,FALSE),""))</f>
        <v/>
      </c>
      <c r="U86" s="488" t="str">
        <f>IF(U$4="","",IF(HLOOKUP(U$4,'Physical Effects-Numbers'!$B$1:$AU$172,$B86,FALSE)&lt;0,HLOOKUP(U$4,'Physical Effects-Numbers'!$B$1:$AU$172,$B86,FALSE),""))</f>
        <v/>
      </c>
      <c r="V86" s="488" t="str">
        <f>IF(V$4="","",IF(HLOOKUP(V$4,'Physical Effects-Numbers'!$B$1:$AU$172,$B86,FALSE)&lt;0,HLOOKUP(V$4,'Physical Effects-Numbers'!$B$1:$AU$172,$B86,FALSE),""))</f>
        <v/>
      </c>
      <c r="W86" s="488" t="str">
        <f>IF(W$4="","",IF(HLOOKUP(W$4,'Physical Effects-Numbers'!$B$1:$AU$172,$B86,FALSE)&lt;0,HLOOKUP(W$4,'Physical Effects-Numbers'!$B$1:$AU$172,$B86,FALSE),""))</f>
        <v/>
      </c>
      <c r="X86" s="488" t="str">
        <f>IF(X$4="","",IF(HLOOKUP(X$4,'Physical Effects-Numbers'!$B$1:$AU$172,$B86,FALSE)&lt;0,HLOOKUP(X$4,'Physical Effects-Numbers'!$B$1:$AU$172,$B86,FALSE),""))</f>
        <v/>
      </c>
      <c r="Y86" s="488" t="str">
        <f>IF(Y$4="","",IF(HLOOKUP(Y$4,'Physical Effects-Numbers'!$B$1:$AU$172,$B86,FALSE)&lt;0,HLOOKUP(Y$4,'Physical Effects-Numbers'!$B$1:$AU$172,$B86,FALSE),""))</f>
        <v/>
      </c>
      <c r="Z86" s="488" t="str">
        <f>IF(Z$4="","",IF(HLOOKUP(Z$4,'Physical Effects-Numbers'!$B$1:$AU$172,$B86,FALSE)&lt;0,HLOOKUP(Z$4,'Physical Effects-Numbers'!$B$1:$AU$172,$B86,FALSE),""))</f>
        <v/>
      </c>
      <c r="AA86" s="488" t="str">
        <f>IF(AA$4="","",IF(HLOOKUP(AA$4,'Physical Effects-Numbers'!$B$1:$AU$172,$B86,FALSE)&lt;0,HLOOKUP(AA$4,'Physical Effects-Numbers'!$B$1:$AU$172,$B86,FALSE),""))</f>
        <v/>
      </c>
      <c r="AB86" s="488" t="str">
        <f>IF(AB$4="","",IF(HLOOKUP(AB$4,'Physical Effects-Numbers'!$B$1:$AU$172,$B86,FALSE)&lt;0,HLOOKUP(AB$4,'Physical Effects-Numbers'!$B$1:$AU$172,$B86,FALSE),""))</f>
        <v/>
      </c>
      <c r="AC86" s="488" t="str">
        <f>IF(AC$4="","",IF(HLOOKUP(AC$4,'Physical Effects-Numbers'!$B$1:$AU$172,$B86,FALSE)&lt;0,HLOOKUP(AC$4,'Physical Effects-Numbers'!$B$1:$AU$172,$B86,FALSE),""))</f>
        <v/>
      </c>
      <c r="AD86" s="488" t="str">
        <f>IF(AD$4="","",IF(HLOOKUP(AD$4,'Physical Effects-Numbers'!$B$1:$AU$172,$B86,FALSE)&lt;0,HLOOKUP(AD$4,'Physical Effects-Numbers'!$B$1:$AU$172,$B86,FALSE),""))</f>
        <v/>
      </c>
      <c r="AE86" s="488" t="str">
        <f>IF(AE$4="","",IF(HLOOKUP(AE$4,'Physical Effects-Numbers'!$B$1:$AU$172,$B86,FALSE)&lt;0,HLOOKUP(AE$4,'Physical Effects-Numbers'!$B$1:$AU$172,$B86,FALSE),""))</f>
        <v/>
      </c>
      <c r="AF86" s="488" t="str">
        <f>IF(AF$4="","",IF(HLOOKUP(AF$4,'Physical Effects-Numbers'!$B$1:$AU$172,$B86,FALSE)&lt;0,HLOOKUP(AF$4,'Physical Effects-Numbers'!$B$1:$AU$172,$B86,FALSE),""))</f>
        <v/>
      </c>
      <c r="AG86" s="488" t="str">
        <f>IF(AG$4="","",IF(HLOOKUP(AG$4,'Physical Effects-Numbers'!$B$1:$AU$172,$B86,FALSE)&lt;0,HLOOKUP(AG$4,'Physical Effects-Numbers'!$B$1:$AU$172,$B86,FALSE),""))</f>
        <v/>
      </c>
      <c r="AH86" s="488" t="str">
        <f>IF(AH$4="","",IF(HLOOKUP(AH$4,'Physical Effects-Numbers'!$B$1:$AU$172,$B86,FALSE)&lt;0,HLOOKUP(AH$4,'Physical Effects-Numbers'!$B$1:$AU$172,$B86,FALSE),""))</f>
        <v/>
      </c>
      <c r="AI86" s="488" t="str">
        <f>IF(AI$4="","",IF(HLOOKUP(AI$4,'Physical Effects-Numbers'!$B$1:$AU$172,$B86,FALSE)&lt;0,HLOOKUP(AI$4,'Physical Effects-Numbers'!$B$1:$AU$172,$B86,FALSE),""))</f>
        <v/>
      </c>
      <c r="AJ86" s="488" t="str">
        <f>IF(AJ$4="","",IF(HLOOKUP(AJ$4,'Physical Effects-Numbers'!$B$1:$AU$172,$B86,FALSE)&lt;0,HLOOKUP(AJ$4,'Physical Effects-Numbers'!$B$1:$AU$172,$B86,FALSE),""))</f>
        <v/>
      </c>
      <c r="AK86" s="488" t="str">
        <f>IF(AK$4="","",IF(HLOOKUP(AK$4,'Physical Effects-Numbers'!$B$1:$AU$172,$B86,FALSE)&lt;0,HLOOKUP(AK$4,'Physical Effects-Numbers'!$B$1:$AU$172,$B86,FALSE),""))</f>
        <v/>
      </c>
      <c r="AL86" s="488" t="str">
        <f>IF(AL$4="","",IF(HLOOKUP(AL$4,'Physical Effects-Numbers'!$B$1:$AU$172,$B86,FALSE)&lt;0,HLOOKUP(AL$4,'Physical Effects-Numbers'!$B$1:$AU$172,$B86,FALSE),""))</f>
        <v/>
      </c>
      <c r="AM86" s="488" t="str">
        <f>IF(AM$4="","",IF(HLOOKUP(AM$4,'Physical Effects-Numbers'!$B$1:$AU$172,$B86,FALSE)&lt;0,HLOOKUP(AM$4,'Physical Effects-Numbers'!$B$1:$AU$172,$B86,FALSE),""))</f>
        <v/>
      </c>
      <c r="AN86" s="488" t="str">
        <f>IF(AN$4="","",IF(HLOOKUP(AN$4,'Physical Effects-Numbers'!$B$1:$AU$172,$B86,FALSE)&lt;0,HLOOKUP(AN$4,'Physical Effects-Numbers'!$B$1:$AU$172,$B86,FALSE),""))</f>
        <v/>
      </c>
      <c r="AO86" s="488" t="str">
        <f>IF(AO$4="","",IF(HLOOKUP(AO$4,'Physical Effects-Numbers'!$B$1:$AU$172,$B86,FALSE)&lt;0,HLOOKUP(AO$4,'Physical Effects-Numbers'!$B$1:$AU$172,$B86,FALSE),""))</f>
        <v/>
      </c>
      <c r="AP86" s="488" t="str">
        <f>IF(AP$4="","",IF(HLOOKUP(AP$4,'Physical Effects-Numbers'!$B$1:$AU$172,$B86,FALSE)&lt;0,HLOOKUP(AP$4,'Physical Effects-Numbers'!$B$1:$AU$172,$B86,FALSE),""))</f>
        <v/>
      </c>
      <c r="AQ86" s="488" t="str">
        <f>IF(AQ$4="","",IF(HLOOKUP(AQ$4,'Physical Effects-Numbers'!$B$1:$AU$172,$B86,FALSE)&lt;0,HLOOKUP(AQ$4,'Physical Effects-Numbers'!$B$1:$AU$172,$B86,FALSE),""))</f>
        <v/>
      </c>
      <c r="AR86" s="488" t="str">
        <f>IF(AR$4="","",IF(HLOOKUP(AR$4,'Physical Effects-Numbers'!$B$1:$AU$172,$B86,FALSE)&lt;0,HLOOKUP(AR$4,'Physical Effects-Numbers'!$B$1:$AU$172,$B86,FALSE),""))</f>
        <v/>
      </c>
      <c r="AS86" s="488" t="str">
        <f>IF(AS$4="","",IF(HLOOKUP(AS$4,'Physical Effects-Numbers'!$B$1:$AU$172,$B86,FALSE)&lt;0,HLOOKUP(AS$4,'Physical Effects-Numbers'!$B$1:$AU$172,$B86,FALSE),""))</f>
        <v/>
      </c>
      <c r="AT86" s="488" t="str">
        <f>IF(AT$4="","",IF(HLOOKUP(AT$4,'Physical Effects-Numbers'!$B$1:$AU$172,$B86,FALSE)&lt;0,HLOOKUP(AT$4,'Physical Effects-Numbers'!$B$1:$AU$172,$B86,FALSE),""))</f>
        <v/>
      </c>
      <c r="AU86" s="488" t="str">
        <f>IF(AU$4="","",IF(HLOOKUP(AU$4,'Physical Effects-Numbers'!$B$1:$AU$172,$B86,FALSE)&lt;0,HLOOKUP(AU$4,'Physical Effects-Numbers'!$B$1:$AU$172,$B86,FALSE),""))</f>
        <v/>
      </c>
      <c r="AV86" s="488" t="str">
        <f>IF(AV$4="","",IF(HLOOKUP(AV$4,'Physical Effects-Numbers'!$B$1:$AU$167,$B86,FALSE)&lt;0,HLOOKUP(AV$4,'Physical Effects-Numbers'!$B$1:$AU$167,$B86,FALSE),""))</f>
        <v/>
      </c>
    </row>
    <row r="87" spans="2:48" x14ac:dyDescent="0.2">
      <c r="B87" s="487">
        <f t="shared" si="1"/>
        <v>84</v>
      </c>
      <c r="C87" s="486" t="str">
        <f>+'Physical Effects-Numbers'!B84</f>
        <v>Land Reclamation, Landslide Treatment</v>
      </c>
      <c r="D87" s="488" t="str">
        <f>IF(D$4="","",IF(HLOOKUP(D$4,'Physical Effects-Numbers'!$B$1:$AU$172,$B87,FALSE)&lt;0,HLOOKUP(D$4,'Physical Effects-Numbers'!$B$1:$AU$172,$B87,FALSE),""))</f>
        <v/>
      </c>
      <c r="E87" s="488" t="str">
        <f>IF(E$4="","",IF(HLOOKUP(E$4,'Physical Effects-Numbers'!$B$1:$AU$172,$B87,FALSE)&lt;0,HLOOKUP(E$4,'Physical Effects-Numbers'!$B$1:$AU$172,$B87,FALSE),""))</f>
        <v/>
      </c>
      <c r="F87" s="488" t="str">
        <f>IF(F$4="","",IF(HLOOKUP(F$4,'Physical Effects-Numbers'!$B$1:$AU$172,$B87,FALSE)&lt;0,HLOOKUP(F$4,'Physical Effects-Numbers'!$B$1:$AU$172,$B87,FALSE),""))</f>
        <v/>
      </c>
      <c r="G87" s="488" t="str">
        <f>IF(G$4="","",IF(HLOOKUP(G$4,'Physical Effects-Numbers'!$B$1:$AU$172,$B87,FALSE)&lt;0,HLOOKUP(G$4,'Physical Effects-Numbers'!$B$1:$AU$172,$B87,FALSE),""))</f>
        <v/>
      </c>
      <c r="H87" s="488" t="str">
        <f>IF(H$4="","",IF(HLOOKUP(H$4,'Physical Effects-Numbers'!$B$1:$AU$172,$B87,FALSE)&lt;0,HLOOKUP(H$4,'Physical Effects-Numbers'!$B$1:$AU$172,$B87,FALSE),""))</f>
        <v/>
      </c>
      <c r="I87" s="488" t="str">
        <f>IF(I$4="","",IF(HLOOKUP(I$4,'Physical Effects-Numbers'!$B$1:$AU$172,$B87,FALSE)&lt;0,HLOOKUP(I$4,'Physical Effects-Numbers'!$B$1:$AU$172,$B87,FALSE),""))</f>
        <v/>
      </c>
      <c r="J87" s="488" t="str">
        <f>IF(J$4="","",IF(HLOOKUP(J$4,'Physical Effects-Numbers'!$B$1:$AU$172,$B87,FALSE)&lt;0,HLOOKUP(J$4,'Physical Effects-Numbers'!$B$1:$AU$172,$B87,FALSE),""))</f>
        <v/>
      </c>
      <c r="K87" s="488" t="str">
        <f>IF(K$4="","",IF(HLOOKUP(K$4,'Physical Effects-Numbers'!$B$1:$AU$172,$B87,FALSE)&lt;0,HLOOKUP(K$4,'Physical Effects-Numbers'!$B$1:$AU$172,$B87,FALSE),""))</f>
        <v/>
      </c>
      <c r="L87" s="488" t="str">
        <f>IF(L$4="","",IF(HLOOKUP(L$4,'Physical Effects-Numbers'!$B$1:$AU$172,$B87,FALSE)&lt;0,HLOOKUP(L$4,'Physical Effects-Numbers'!$B$1:$AU$172,$B87,FALSE),""))</f>
        <v/>
      </c>
      <c r="M87" s="488" t="str">
        <f>IF(M$4="","",IF(HLOOKUP(M$4,'Physical Effects-Numbers'!$B$1:$AU$172,$B87,FALSE)&lt;0,HLOOKUP(M$4,'Physical Effects-Numbers'!$B$1:$AU$172,$B87,FALSE),""))</f>
        <v/>
      </c>
      <c r="N87" s="488" t="str">
        <f>IF(N$4="","",IF(HLOOKUP(N$4,'Physical Effects-Numbers'!$B$1:$AU$172,$B87,FALSE)&lt;0,HLOOKUP(N$4,'Physical Effects-Numbers'!$B$1:$AU$172,$B87,FALSE),""))</f>
        <v/>
      </c>
      <c r="O87" s="488" t="str">
        <f>IF(O$4="","",IF(HLOOKUP(O$4,'Physical Effects-Numbers'!$B$1:$AU$172,$B87,FALSE)&lt;0,HLOOKUP(O$4,'Physical Effects-Numbers'!$B$1:$AU$172,$B87,FALSE),""))</f>
        <v/>
      </c>
      <c r="P87" s="488" t="str">
        <f>IF(P$4="","",IF(HLOOKUP(P$4,'Physical Effects-Numbers'!$B$1:$AU$172,$B87,FALSE)&lt;0,HLOOKUP(P$4,'Physical Effects-Numbers'!$B$1:$AU$172,$B87,FALSE),""))</f>
        <v/>
      </c>
      <c r="Q87" s="488" t="str">
        <f>IF(Q$4="","",IF(HLOOKUP(Q$4,'Physical Effects-Numbers'!$B$1:$AU$172,$B87,FALSE)&lt;0,HLOOKUP(Q$4,'Physical Effects-Numbers'!$B$1:$AU$172,$B87,FALSE),""))</f>
        <v/>
      </c>
      <c r="R87" s="488" t="str">
        <f>IF(R$4="","",IF(HLOOKUP(R$4,'Physical Effects-Numbers'!$B$1:$AU$172,$B87,FALSE)&lt;0,HLOOKUP(R$4,'Physical Effects-Numbers'!$B$1:$AU$172,$B87,FALSE),""))</f>
        <v/>
      </c>
      <c r="S87" s="488" t="str">
        <f>IF(S$4="","",IF(HLOOKUP(S$4,'Physical Effects-Numbers'!$B$1:$AU$172,$B87,FALSE)&lt;0,HLOOKUP(S$4,'Physical Effects-Numbers'!$B$1:$AU$172,$B87,FALSE),""))</f>
        <v/>
      </c>
      <c r="T87" s="488" t="str">
        <f>IF(T$4="","",IF(HLOOKUP(T$4,'Physical Effects-Numbers'!$B$1:$AU$172,$B87,FALSE)&lt;0,HLOOKUP(T$4,'Physical Effects-Numbers'!$B$1:$AU$172,$B87,FALSE),""))</f>
        <v/>
      </c>
      <c r="U87" s="488" t="str">
        <f>IF(U$4="","",IF(HLOOKUP(U$4,'Physical Effects-Numbers'!$B$1:$AU$172,$B87,FALSE)&lt;0,HLOOKUP(U$4,'Physical Effects-Numbers'!$B$1:$AU$172,$B87,FALSE),""))</f>
        <v/>
      </c>
      <c r="V87" s="488" t="str">
        <f>IF(V$4="","",IF(HLOOKUP(V$4,'Physical Effects-Numbers'!$B$1:$AU$172,$B87,FALSE)&lt;0,HLOOKUP(V$4,'Physical Effects-Numbers'!$B$1:$AU$172,$B87,FALSE),""))</f>
        <v/>
      </c>
      <c r="W87" s="488" t="str">
        <f>IF(W$4="","",IF(HLOOKUP(W$4,'Physical Effects-Numbers'!$B$1:$AU$172,$B87,FALSE)&lt;0,HLOOKUP(W$4,'Physical Effects-Numbers'!$B$1:$AU$172,$B87,FALSE),""))</f>
        <v/>
      </c>
      <c r="X87" s="488" t="str">
        <f>IF(X$4="","",IF(HLOOKUP(X$4,'Physical Effects-Numbers'!$B$1:$AU$172,$B87,FALSE)&lt;0,HLOOKUP(X$4,'Physical Effects-Numbers'!$B$1:$AU$172,$B87,FALSE),""))</f>
        <v/>
      </c>
      <c r="Y87" s="488" t="str">
        <f>IF(Y$4="","",IF(HLOOKUP(Y$4,'Physical Effects-Numbers'!$B$1:$AU$172,$B87,FALSE)&lt;0,HLOOKUP(Y$4,'Physical Effects-Numbers'!$B$1:$AU$172,$B87,FALSE),""))</f>
        <v/>
      </c>
      <c r="Z87" s="488" t="str">
        <f>IF(Z$4="","",IF(HLOOKUP(Z$4,'Physical Effects-Numbers'!$B$1:$AU$172,$B87,FALSE)&lt;0,HLOOKUP(Z$4,'Physical Effects-Numbers'!$B$1:$AU$172,$B87,FALSE),""))</f>
        <v/>
      </c>
      <c r="AA87" s="488" t="str">
        <f>IF(AA$4="","",IF(HLOOKUP(AA$4,'Physical Effects-Numbers'!$B$1:$AU$172,$B87,FALSE)&lt;0,HLOOKUP(AA$4,'Physical Effects-Numbers'!$B$1:$AU$172,$B87,FALSE),""))</f>
        <v/>
      </c>
      <c r="AB87" s="488" t="str">
        <f>IF(AB$4="","",IF(HLOOKUP(AB$4,'Physical Effects-Numbers'!$B$1:$AU$172,$B87,FALSE)&lt;0,HLOOKUP(AB$4,'Physical Effects-Numbers'!$B$1:$AU$172,$B87,FALSE),""))</f>
        <v/>
      </c>
      <c r="AC87" s="488" t="str">
        <f>IF(AC$4="","",IF(HLOOKUP(AC$4,'Physical Effects-Numbers'!$B$1:$AU$172,$B87,FALSE)&lt;0,HLOOKUP(AC$4,'Physical Effects-Numbers'!$B$1:$AU$172,$B87,FALSE),""))</f>
        <v/>
      </c>
      <c r="AD87" s="488" t="str">
        <f>IF(AD$4="","",IF(HLOOKUP(AD$4,'Physical Effects-Numbers'!$B$1:$AU$172,$B87,FALSE)&lt;0,HLOOKUP(AD$4,'Physical Effects-Numbers'!$B$1:$AU$172,$B87,FALSE),""))</f>
        <v/>
      </c>
      <c r="AE87" s="488" t="str">
        <f>IF(AE$4="","",IF(HLOOKUP(AE$4,'Physical Effects-Numbers'!$B$1:$AU$172,$B87,FALSE)&lt;0,HLOOKUP(AE$4,'Physical Effects-Numbers'!$B$1:$AU$172,$B87,FALSE),""))</f>
        <v/>
      </c>
      <c r="AF87" s="488" t="str">
        <f>IF(AF$4="","",IF(HLOOKUP(AF$4,'Physical Effects-Numbers'!$B$1:$AU$172,$B87,FALSE)&lt;0,HLOOKUP(AF$4,'Physical Effects-Numbers'!$B$1:$AU$172,$B87,FALSE),""))</f>
        <v/>
      </c>
      <c r="AG87" s="488" t="str">
        <f>IF(AG$4="","",IF(HLOOKUP(AG$4,'Physical Effects-Numbers'!$B$1:$AU$172,$B87,FALSE)&lt;0,HLOOKUP(AG$4,'Physical Effects-Numbers'!$B$1:$AU$172,$B87,FALSE),""))</f>
        <v/>
      </c>
      <c r="AH87" s="488" t="str">
        <f>IF(AH$4="","",IF(HLOOKUP(AH$4,'Physical Effects-Numbers'!$B$1:$AU$172,$B87,FALSE)&lt;0,HLOOKUP(AH$4,'Physical Effects-Numbers'!$B$1:$AU$172,$B87,FALSE),""))</f>
        <v/>
      </c>
      <c r="AI87" s="488" t="str">
        <f>IF(AI$4="","",IF(HLOOKUP(AI$4,'Physical Effects-Numbers'!$B$1:$AU$172,$B87,FALSE)&lt;0,HLOOKUP(AI$4,'Physical Effects-Numbers'!$B$1:$AU$172,$B87,FALSE),""))</f>
        <v/>
      </c>
      <c r="AJ87" s="488" t="str">
        <f>IF(AJ$4="","",IF(HLOOKUP(AJ$4,'Physical Effects-Numbers'!$B$1:$AU$172,$B87,FALSE)&lt;0,HLOOKUP(AJ$4,'Physical Effects-Numbers'!$B$1:$AU$172,$B87,FALSE),""))</f>
        <v/>
      </c>
      <c r="AK87" s="488" t="str">
        <f>IF(AK$4="","",IF(HLOOKUP(AK$4,'Physical Effects-Numbers'!$B$1:$AU$172,$B87,FALSE)&lt;0,HLOOKUP(AK$4,'Physical Effects-Numbers'!$B$1:$AU$172,$B87,FALSE),""))</f>
        <v/>
      </c>
      <c r="AL87" s="488" t="str">
        <f>IF(AL$4="","",IF(HLOOKUP(AL$4,'Physical Effects-Numbers'!$B$1:$AU$172,$B87,FALSE)&lt;0,HLOOKUP(AL$4,'Physical Effects-Numbers'!$B$1:$AU$172,$B87,FALSE),""))</f>
        <v/>
      </c>
      <c r="AM87" s="488" t="str">
        <f>IF(AM$4="","",IF(HLOOKUP(AM$4,'Physical Effects-Numbers'!$B$1:$AU$172,$B87,FALSE)&lt;0,HLOOKUP(AM$4,'Physical Effects-Numbers'!$B$1:$AU$172,$B87,FALSE),""))</f>
        <v/>
      </c>
      <c r="AN87" s="488" t="str">
        <f>IF(AN$4="","",IF(HLOOKUP(AN$4,'Physical Effects-Numbers'!$B$1:$AU$172,$B87,FALSE)&lt;0,HLOOKUP(AN$4,'Physical Effects-Numbers'!$B$1:$AU$172,$B87,FALSE),""))</f>
        <v/>
      </c>
      <c r="AO87" s="488" t="str">
        <f>IF(AO$4="","",IF(HLOOKUP(AO$4,'Physical Effects-Numbers'!$B$1:$AU$172,$B87,FALSE)&lt;0,HLOOKUP(AO$4,'Physical Effects-Numbers'!$B$1:$AU$172,$B87,FALSE),""))</f>
        <v/>
      </c>
      <c r="AP87" s="488" t="str">
        <f>IF(AP$4="","",IF(HLOOKUP(AP$4,'Physical Effects-Numbers'!$B$1:$AU$172,$B87,FALSE)&lt;0,HLOOKUP(AP$4,'Physical Effects-Numbers'!$B$1:$AU$172,$B87,FALSE),""))</f>
        <v/>
      </c>
      <c r="AQ87" s="488" t="str">
        <f>IF(AQ$4="","",IF(HLOOKUP(AQ$4,'Physical Effects-Numbers'!$B$1:$AU$172,$B87,FALSE)&lt;0,HLOOKUP(AQ$4,'Physical Effects-Numbers'!$B$1:$AU$172,$B87,FALSE),""))</f>
        <v/>
      </c>
      <c r="AR87" s="488" t="str">
        <f>IF(AR$4="","",IF(HLOOKUP(AR$4,'Physical Effects-Numbers'!$B$1:$AU$172,$B87,FALSE)&lt;0,HLOOKUP(AR$4,'Physical Effects-Numbers'!$B$1:$AU$172,$B87,FALSE),""))</f>
        <v/>
      </c>
      <c r="AS87" s="488" t="str">
        <f>IF(AS$4="","",IF(HLOOKUP(AS$4,'Physical Effects-Numbers'!$B$1:$AU$172,$B87,FALSE)&lt;0,HLOOKUP(AS$4,'Physical Effects-Numbers'!$B$1:$AU$172,$B87,FALSE),""))</f>
        <v/>
      </c>
      <c r="AT87" s="488" t="str">
        <f>IF(AT$4="","",IF(HLOOKUP(AT$4,'Physical Effects-Numbers'!$B$1:$AU$172,$B87,FALSE)&lt;0,HLOOKUP(AT$4,'Physical Effects-Numbers'!$B$1:$AU$172,$B87,FALSE),""))</f>
        <v/>
      </c>
      <c r="AU87" s="488" t="str">
        <f>IF(AU$4="","",IF(HLOOKUP(AU$4,'Physical Effects-Numbers'!$B$1:$AU$172,$B87,FALSE)&lt;0,HLOOKUP(AU$4,'Physical Effects-Numbers'!$B$1:$AU$172,$B87,FALSE),""))</f>
        <v/>
      </c>
      <c r="AV87" s="488" t="str">
        <f>IF(AV$4="","",IF(HLOOKUP(AV$4,'Physical Effects-Numbers'!$B$1:$AU$167,$B87,FALSE)&lt;0,HLOOKUP(AV$4,'Physical Effects-Numbers'!$B$1:$AU$167,$B87,FALSE),""))</f>
        <v/>
      </c>
    </row>
    <row r="88" spans="2:48" x14ac:dyDescent="0.2">
      <c r="B88" s="487">
        <f t="shared" si="1"/>
        <v>85</v>
      </c>
      <c r="C88" s="486" t="str">
        <f>+'Physical Effects-Numbers'!B85</f>
        <v>Land Reclamation, Toxic Discharge Control</v>
      </c>
      <c r="D88" s="488" t="str">
        <f>IF(D$4="","",IF(HLOOKUP(D$4,'Physical Effects-Numbers'!$B$1:$AU$172,$B88,FALSE)&lt;0,HLOOKUP(D$4,'Physical Effects-Numbers'!$B$1:$AU$172,$B88,FALSE),""))</f>
        <v/>
      </c>
      <c r="E88" s="488" t="str">
        <f>IF(E$4="","",IF(HLOOKUP(E$4,'Physical Effects-Numbers'!$B$1:$AU$172,$B88,FALSE)&lt;0,HLOOKUP(E$4,'Physical Effects-Numbers'!$B$1:$AU$172,$B88,FALSE),""))</f>
        <v/>
      </c>
      <c r="F88" s="488" t="str">
        <f>IF(F$4="","",IF(HLOOKUP(F$4,'Physical Effects-Numbers'!$B$1:$AU$172,$B88,FALSE)&lt;0,HLOOKUP(F$4,'Physical Effects-Numbers'!$B$1:$AU$172,$B88,FALSE),""))</f>
        <v/>
      </c>
      <c r="G88" s="488" t="str">
        <f>IF(G$4="","",IF(HLOOKUP(G$4,'Physical Effects-Numbers'!$B$1:$AU$172,$B88,FALSE)&lt;0,HLOOKUP(G$4,'Physical Effects-Numbers'!$B$1:$AU$172,$B88,FALSE),""))</f>
        <v/>
      </c>
      <c r="H88" s="488" t="str">
        <f>IF(H$4="","",IF(HLOOKUP(H$4,'Physical Effects-Numbers'!$B$1:$AU$172,$B88,FALSE)&lt;0,HLOOKUP(H$4,'Physical Effects-Numbers'!$B$1:$AU$172,$B88,FALSE),""))</f>
        <v/>
      </c>
      <c r="I88" s="488" t="str">
        <f>IF(I$4="","",IF(HLOOKUP(I$4,'Physical Effects-Numbers'!$B$1:$AU$172,$B88,FALSE)&lt;0,HLOOKUP(I$4,'Physical Effects-Numbers'!$B$1:$AU$172,$B88,FALSE),""))</f>
        <v/>
      </c>
      <c r="J88" s="488" t="str">
        <f>IF(J$4="","",IF(HLOOKUP(J$4,'Physical Effects-Numbers'!$B$1:$AU$172,$B88,FALSE)&lt;0,HLOOKUP(J$4,'Physical Effects-Numbers'!$B$1:$AU$172,$B88,FALSE),""))</f>
        <v/>
      </c>
      <c r="K88" s="488" t="str">
        <f>IF(K$4="","",IF(HLOOKUP(K$4,'Physical Effects-Numbers'!$B$1:$AU$172,$B88,FALSE)&lt;0,HLOOKUP(K$4,'Physical Effects-Numbers'!$B$1:$AU$172,$B88,FALSE),""))</f>
        <v/>
      </c>
      <c r="L88" s="488" t="str">
        <f>IF(L$4="","",IF(HLOOKUP(L$4,'Physical Effects-Numbers'!$B$1:$AU$172,$B88,FALSE)&lt;0,HLOOKUP(L$4,'Physical Effects-Numbers'!$B$1:$AU$172,$B88,FALSE),""))</f>
        <v/>
      </c>
      <c r="M88" s="488" t="str">
        <f>IF(M$4="","",IF(HLOOKUP(M$4,'Physical Effects-Numbers'!$B$1:$AU$172,$B88,FALSE)&lt;0,HLOOKUP(M$4,'Physical Effects-Numbers'!$B$1:$AU$172,$B88,FALSE),""))</f>
        <v/>
      </c>
      <c r="N88" s="488" t="str">
        <f>IF(N$4="","",IF(HLOOKUP(N$4,'Physical Effects-Numbers'!$B$1:$AU$172,$B88,FALSE)&lt;0,HLOOKUP(N$4,'Physical Effects-Numbers'!$B$1:$AU$172,$B88,FALSE),""))</f>
        <v/>
      </c>
      <c r="O88" s="488" t="str">
        <f>IF(O$4="","",IF(HLOOKUP(O$4,'Physical Effects-Numbers'!$B$1:$AU$172,$B88,FALSE)&lt;0,HLOOKUP(O$4,'Physical Effects-Numbers'!$B$1:$AU$172,$B88,FALSE),""))</f>
        <v/>
      </c>
      <c r="P88" s="488" t="str">
        <f>IF(P$4="","",IF(HLOOKUP(P$4,'Physical Effects-Numbers'!$B$1:$AU$172,$B88,FALSE)&lt;0,HLOOKUP(P$4,'Physical Effects-Numbers'!$B$1:$AU$172,$B88,FALSE),""))</f>
        <v/>
      </c>
      <c r="Q88" s="488" t="str">
        <f>IF(Q$4="","",IF(HLOOKUP(Q$4,'Physical Effects-Numbers'!$B$1:$AU$172,$B88,FALSE)&lt;0,HLOOKUP(Q$4,'Physical Effects-Numbers'!$B$1:$AU$172,$B88,FALSE),""))</f>
        <v/>
      </c>
      <c r="R88" s="488" t="str">
        <f>IF(R$4="","",IF(HLOOKUP(R$4,'Physical Effects-Numbers'!$B$1:$AU$172,$B88,FALSE)&lt;0,HLOOKUP(R$4,'Physical Effects-Numbers'!$B$1:$AU$172,$B88,FALSE),""))</f>
        <v/>
      </c>
      <c r="S88" s="488" t="str">
        <f>IF(S$4="","",IF(HLOOKUP(S$4,'Physical Effects-Numbers'!$B$1:$AU$172,$B88,FALSE)&lt;0,HLOOKUP(S$4,'Physical Effects-Numbers'!$B$1:$AU$172,$B88,FALSE),""))</f>
        <v/>
      </c>
      <c r="T88" s="488" t="str">
        <f>IF(T$4="","",IF(HLOOKUP(T$4,'Physical Effects-Numbers'!$B$1:$AU$172,$B88,FALSE)&lt;0,HLOOKUP(T$4,'Physical Effects-Numbers'!$B$1:$AU$172,$B88,FALSE),""))</f>
        <v/>
      </c>
      <c r="U88" s="488" t="str">
        <f>IF(U$4="","",IF(HLOOKUP(U$4,'Physical Effects-Numbers'!$B$1:$AU$172,$B88,FALSE)&lt;0,HLOOKUP(U$4,'Physical Effects-Numbers'!$B$1:$AU$172,$B88,FALSE),""))</f>
        <v/>
      </c>
      <c r="V88" s="488" t="str">
        <f>IF(V$4="","",IF(HLOOKUP(V$4,'Physical Effects-Numbers'!$B$1:$AU$172,$B88,FALSE)&lt;0,HLOOKUP(V$4,'Physical Effects-Numbers'!$B$1:$AU$172,$B88,FALSE),""))</f>
        <v/>
      </c>
      <c r="W88" s="488" t="str">
        <f>IF(W$4="","",IF(HLOOKUP(W$4,'Physical Effects-Numbers'!$B$1:$AU$172,$B88,FALSE)&lt;0,HLOOKUP(W$4,'Physical Effects-Numbers'!$B$1:$AU$172,$B88,FALSE),""))</f>
        <v/>
      </c>
      <c r="X88" s="488" t="str">
        <f>IF(X$4="","",IF(HLOOKUP(X$4,'Physical Effects-Numbers'!$B$1:$AU$172,$B88,FALSE)&lt;0,HLOOKUP(X$4,'Physical Effects-Numbers'!$B$1:$AU$172,$B88,FALSE),""))</f>
        <v/>
      </c>
      <c r="Y88" s="488" t="str">
        <f>IF(Y$4="","",IF(HLOOKUP(Y$4,'Physical Effects-Numbers'!$B$1:$AU$172,$B88,FALSE)&lt;0,HLOOKUP(Y$4,'Physical Effects-Numbers'!$B$1:$AU$172,$B88,FALSE),""))</f>
        <v/>
      </c>
      <c r="Z88" s="488" t="str">
        <f>IF(Z$4="","",IF(HLOOKUP(Z$4,'Physical Effects-Numbers'!$B$1:$AU$172,$B88,FALSE)&lt;0,HLOOKUP(Z$4,'Physical Effects-Numbers'!$B$1:$AU$172,$B88,FALSE),""))</f>
        <v/>
      </c>
      <c r="AA88" s="488" t="str">
        <f>IF(AA$4="","",IF(HLOOKUP(AA$4,'Physical Effects-Numbers'!$B$1:$AU$172,$B88,FALSE)&lt;0,HLOOKUP(AA$4,'Physical Effects-Numbers'!$B$1:$AU$172,$B88,FALSE),""))</f>
        <v/>
      </c>
      <c r="AB88" s="488" t="str">
        <f>IF(AB$4="","",IF(HLOOKUP(AB$4,'Physical Effects-Numbers'!$B$1:$AU$172,$B88,FALSE)&lt;0,HLOOKUP(AB$4,'Physical Effects-Numbers'!$B$1:$AU$172,$B88,FALSE),""))</f>
        <v/>
      </c>
      <c r="AC88" s="488" t="str">
        <f>IF(AC$4="","",IF(HLOOKUP(AC$4,'Physical Effects-Numbers'!$B$1:$AU$172,$B88,FALSE)&lt;0,HLOOKUP(AC$4,'Physical Effects-Numbers'!$B$1:$AU$172,$B88,FALSE),""))</f>
        <v/>
      </c>
      <c r="AD88" s="488" t="str">
        <f>IF(AD$4="","",IF(HLOOKUP(AD$4,'Physical Effects-Numbers'!$B$1:$AU$172,$B88,FALSE)&lt;0,HLOOKUP(AD$4,'Physical Effects-Numbers'!$B$1:$AU$172,$B88,FALSE),""))</f>
        <v/>
      </c>
      <c r="AE88" s="488" t="str">
        <f>IF(AE$4="","",IF(HLOOKUP(AE$4,'Physical Effects-Numbers'!$B$1:$AU$172,$B88,FALSE)&lt;0,HLOOKUP(AE$4,'Physical Effects-Numbers'!$B$1:$AU$172,$B88,FALSE),""))</f>
        <v/>
      </c>
      <c r="AF88" s="488" t="str">
        <f>IF(AF$4="","",IF(HLOOKUP(AF$4,'Physical Effects-Numbers'!$B$1:$AU$172,$B88,FALSE)&lt;0,HLOOKUP(AF$4,'Physical Effects-Numbers'!$B$1:$AU$172,$B88,FALSE),""))</f>
        <v/>
      </c>
      <c r="AG88" s="488" t="str">
        <f>IF(AG$4="","",IF(HLOOKUP(AG$4,'Physical Effects-Numbers'!$B$1:$AU$172,$B88,FALSE)&lt;0,HLOOKUP(AG$4,'Physical Effects-Numbers'!$B$1:$AU$172,$B88,FALSE),""))</f>
        <v/>
      </c>
      <c r="AH88" s="488" t="str">
        <f>IF(AH$4="","",IF(HLOOKUP(AH$4,'Physical Effects-Numbers'!$B$1:$AU$172,$B88,FALSE)&lt;0,HLOOKUP(AH$4,'Physical Effects-Numbers'!$B$1:$AU$172,$B88,FALSE),""))</f>
        <v/>
      </c>
      <c r="AI88" s="488" t="str">
        <f>IF(AI$4="","",IF(HLOOKUP(AI$4,'Physical Effects-Numbers'!$B$1:$AU$172,$B88,FALSE)&lt;0,HLOOKUP(AI$4,'Physical Effects-Numbers'!$B$1:$AU$172,$B88,FALSE),""))</f>
        <v/>
      </c>
      <c r="AJ88" s="488" t="str">
        <f>IF(AJ$4="","",IF(HLOOKUP(AJ$4,'Physical Effects-Numbers'!$B$1:$AU$172,$B88,FALSE)&lt;0,HLOOKUP(AJ$4,'Physical Effects-Numbers'!$B$1:$AU$172,$B88,FALSE),""))</f>
        <v/>
      </c>
      <c r="AK88" s="488" t="str">
        <f>IF(AK$4="","",IF(HLOOKUP(AK$4,'Physical Effects-Numbers'!$B$1:$AU$172,$B88,FALSE)&lt;0,HLOOKUP(AK$4,'Physical Effects-Numbers'!$B$1:$AU$172,$B88,FALSE),""))</f>
        <v/>
      </c>
      <c r="AL88" s="488" t="str">
        <f>IF(AL$4="","",IF(HLOOKUP(AL$4,'Physical Effects-Numbers'!$B$1:$AU$172,$B88,FALSE)&lt;0,HLOOKUP(AL$4,'Physical Effects-Numbers'!$B$1:$AU$172,$B88,FALSE),""))</f>
        <v/>
      </c>
      <c r="AM88" s="488" t="str">
        <f>IF(AM$4="","",IF(HLOOKUP(AM$4,'Physical Effects-Numbers'!$B$1:$AU$172,$B88,FALSE)&lt;0,HLOOKUP(AM$4,'Physical Effects-Numbers'!$B$1:$AU$172,$B88,FALSE),""))</f>
        <v/>
      </c>
      <c r="AN88" s="488" t="str">
        <f>IF(AN$4="","",IF(HLOOKUP(AN$4,'Physical Effects-Numbers'!$B$1:$AU$172,$B88,FALSE)&lt;0,HLOOKUP(AN$4,'Physical Effects-Numbers'!$B$1:$AU$172,$B88,FALSE),""))</f>
        <v/>
      </c>
      <c r="AO88" s="488" t="str">
        <f>IF(AO$4="","",IF(HLOOKUP(AO$4,'Physical Effects-Numbers'!$B$1:$AU$172,$B88,FALSE)&lt;0,HLOOKUP(AO$4,'Physical Effects-Numbers'!$B$1:$AU$172,$B88,FALSE),""))</f>
        <v/>
      </c>
      <c r="AP88" s="488" t="str">
        <f>IF(AP$4="","",IF(HLOOKUP(AP$4,'Physical Effects-Numbers'!$B$1:$AU$172,$B88,FALSE)&lt;0,HLOOKUP(AP$4,'Physical Effects-Numbers'!$B$1:$AU$172,$B88,FALSE),""))</f>
        <v/>
      </c>
      <c r="AQ88" s="488" t="str">
        <f>IF(AQ$4="","",IF(HLOOKUP(AQ$4,'Physical Effects-Numbers'!$B$1:$AU$172,$B88,FALSE)&lt;0,HLOOKUP(AQ$4,'Physical Effects-Numbers'!$B$1:$AU$172,$B88,FALSE),""))</f>
        <v/>
      </c>
      <c r="AR88" s="488" t="str">
        <f>IF(AR$4="","",IF(HLOOKUP(AR$4,'Physical Effects-Numbers'!$B$1:$AU$172,$B88,FALSE)&lt;0,HLOOKUP(AR$4,'Physical Effects-Numbers'!$B$1:$AU$172,$B88,FALSE),""))</f>
        <v/>
      </c>
      <c r="AS88" s="488" t="str">
        <f>IF(AS$4="","",IF(HLOOKUP(AS$4,'Physical Effects-Numbers'!$B$1:$AU$172,$B88,FALSE)&lt;0,HLOOKUP(AS$4,'Physical Effects-Numbers'!$B$1:$AU$172,$B88,FALSE),""))</f>
        <v/>
      </c>
      <c r="AT88" s="488" t="str">
        <f>IF(AT$4="","",IF(HLOOKUP(AT$4,'Physical Effects-Numbers'!$B$1:$AU$172,$B88,FALSE)&lt;0,HLOOKUP(AT$4,'Physical Effects-Numbers'!$B$1:$AU$172,$B88,FALSE),""))</f>
        <v/>
      </c>
      <c r="AU88" s="488" t="str">
        <f>IF(AU$4="","",IF(HLOOKUP(AU$4,'Physical Effects-Numbers'!$B$1:$AU$172,$B88,FALSE)&lt;0,HLOOKUP(AU$4,'Physical Effects-Numbers'!$B$1:$AU$172,$B88,FALSE),""))</f>
        <v/>
      </c>
      <c r="AV88" s="488" t="str">
        <f>IF(AV$4="","",IF(HLOOKUP(AV$4,'Physical Effects-Numbers'!$B$1:$AU$167,$B88,FALSE)&lt;0,HLOOKUP(AV$4,'Physical Effects-Numbers'!$B$1:$AU$167,$B88,FALSE),""))</f>
        <v/>
      </c>
    </row>
    <row r="89" spans="2:48" x14ac:dyDescent="0.2">
      <c r="B89" s="487">
        <f t="shared" si="1"/>
        <v>86</v>
      </c>
      <c r="C89" s="486" t="str">
        <f>+'Physical Effects-Numbers'!B86</f>
        <v>Land Smoothing</v>
      </c>
      <c r="D89" s="488" t="str">
        <f>IF(D$4="","",IF(HLOOKUP(D$4,'Physical Effects-Numbers'!$B$1:$AU$172,$B89,FALSE)&lt;0,HLOOKUP(D$4,'Physical Effects-Numbers'!$B$1:$AU$172,$B89,FALSE),""))</f>
        <v/>
      </c>
      <c r="E89" s="488" t="str">
        <f>IF(E$4="","",IF(HLOOKUP(E$4,'Physical Effects-Numbers'!$B$1:$AU$172,$B89,FALSE)&lt;0,HLOOKUP(E$4,'Physical Effects-Numbers'!$B$1:$AU$172,$B89,FALSE),""))</f>
        <v/>
      </c>
      <c r="F89" s="488" t="str">
        <f>IF(F$4="","",IF(HLOOKUP(F$4,'Physical Effects-Numbers'!$B$1:$AU$172,$B89,FALSE)&lt;0,HLOOKUP(F$4,'Physical Effects-Numbers'!$B$1:$AU$172,$B89,FALSE),""))</f>
        <v/>
      </c>
      <c r="G89" s="488" t="str">
        <f>IF(G$4="","",IF(HLOOKUP(G$4,'Physical Effects-Numbers'!$B$1:$AU$172,$B89,FALSE)&lt;0,HLOOKUP(G$4,'Physical Effects-Numbers'!$B$1:$AU$172,$B89,FALSE),""))</f>
        <v/>
      </c>
      <c r="H89" s="488" t="str">
        <f>IF(H$4="","",IF(HLOOKUP(H$4,'Physical Effects-Numbers'!$B$1:$AU$172,$B89,FALSE)&lt;0,HLOOKUP(H$4,'Physical Effects-Numbers'!$B$1:$AU$172,$B89,FALSE),""))</f>
        <v/>
      </c>
      <c r="I89" s="488">
        <f>IF(I$4="","",IF(HLOOKUP(I$4,'Physical Effects-Numbers'!$B$1:$AU$172,$B89,FALSE)&lt;0,HLOOKUP(I$4,'Physical Effects-Numbers'!$B$1:$AU$172,$B89,FALSE),""))</f>
        <v>-2</v>
      </c>
      <c r="J89" s="488">
        <f>IF(J$4="","",IF(HLOOKUP(J$4,'Physical Effects-Numbers'!$B$1:$AU$172,$B89,FALSE)&lt;0,HLOOKUP(J$4,'Physical Effects-Numbers'!$B$1:$AU$172,$B89,FALSE),""))</f>
        <v>-2</v>
      </c>
      <c r="K89" s="488" t="str">
        <f>IF(K$4="","",IF(HLOOKUP(K$4,'Physical Effects-Numbers'!$B$1:$AU$172,$B89,FALSE)&lt;0,HLOOKUP(K$4,'Physical Effects-Numbers'!$B$1:$AU$172,$B89,FALSE),""))</f>
        <v/>
      </c>
      <c r="L89" s="488">
        <f>IF(L$4="","",IF(HLOOKUP(L$4,'Physical Effects-Numbers'!$B$1:$AU$172,$B89,FALSE)&lt;0,HLOOKUP(L$4,'Physical Effects-Numbers'!$B$1:$AU$172,$B89,FALSE),""))</f>
        <v>-1</v>
      </c>
      <c r="M89" s="488" t="str">
        <f>IF(M$4="","",IF(HLOOKUP(M$4,'Physical Effects-Numbers'!$B$1:$AU$172,$B89,FALSE)&lt;0,HLOOKUP(M$4,'Physical Effects-Numbers'!$B$1:$AU$172,$B89,FALSE),""))</f>
        <v/>
      </c>
      <c r="N89" s="488" t="str">
        <f>IF(N$4="","",IF(HLOOKUP(N$4,'Physical Effects-Numbers'!$B$1:$AU$172,$B89,FALSE)&lt;0,HLOOKUP(N$4,'Physical Effects-Numbers'!$B$1:$AU$172,$B89,FALSE),""))</f>
        <v/>
      </c>
      <c r="O89" s="488" t="str">
        <f>IF(O$4="","",IF(HLOOKUP(O$4,'Physical Effects-Numbers'!$B$1:$AU$172,$B89,FALSE)&lt;0,HLOOKUP(O$4,'Physical Effects-Numbers'!$B$1:$AU$172,$B89,FALSE),""))</f>
        <v/>
      </c>
      <c r="P89" s="488" t="str">
        <f>IF(P$4="","",IF(HLOOKUP(P$4,'Physical Effects-Numbers'!$B$1:$AU$172,$B89,FALSE)&lt;0,HLOOKUP(P$4,'Physical Effects-Numbers'!$B$1:$AU$172,$B89,FALSE),""))</f>
        <v/>
      </c>
      <c r="Q89" s="488" t="str">
        <f>IF(Q$4="","",IF(HLOOKUP(Q$4,'Physical Effects-Numbers'!$B$1:$AU$172,$B89,FALSE)&lt;0,HLOOKUP(Q$4,'Physical Effects-Numbers'!$B$1:$AU$172,$B89,FALSE),""))</f>
        <v/>
      </c>
      <c r="R89" s="488" t="str">
        <f>IF(R$4="","",IF(HLOOKUP(R$4,'Physical Effects-Numbers'!$B$1:$AU$172,$B89,FALSE)&lt;0,HLOOKUP(R$4,'Physical Effects-Numbers'!$B$1:$AU$172,$B89,FALSE),""))</f>
        <v/>
      </c>
      <c r="S89" s="488" t="str">
        <f>IF(S$4="","",IF(HLOOKUP(S$4,'Physical Effects-Numbers'!$B$1:$AU$172,$B89,FALSE)&lt;0,HLOOKUP(S$4,'Physical Effects-Numbers'!$B$1:$AU$172,$B89,FALSE),""))</f>
        <v/>
      </c>
      <c r="T89" s="488" t="str">
        <f>IF(T$4="","",IF(HLOOKUP(T$4,'Physical Effects-Numbers'!$B$1:$AU$172,$B89,FALSE)&lt;0,HLOOKUP(T$4,'Physical Effects-Numbers'!$B$1:$AU$172,$B89,FALSE),""))</f>
        <v/>
      </c>
      <c r="U89" s="488" t="str">
        <f>IF(U$4="","",IF(HLOOKUP(U$4,'Physical Effects-Numbers'!$B$1:$AU$172,$B89,FALSE)&lt;0,HLOOKUP(U$4,'Physical Effects-Numbers'!$B$1:$AU$172,$B89,FALSE),""))</f>
        <v/>
      </c>
      <c r="V89" s="488" t="str">
        <f>IF(V$4="","",IF(HLOOKUP(V$4,'Physical Effects-Numbers'!$B$1:$AU$172,$B89,FALSE)&lt;0,HLOOKUP(V$4,'Physical Effects-Numbers'!$B$1:$AU$172,$B89,FALSE),""))</f>
        <v/>
      </c>
      <c r="W89" s="488" t="str">
        <f>IF(W$4="","",IF(HLOOKUP(W$4,'Physical Effects-Numbers'!$B$1:$AU$172,$B89,FALSE)&lt;0,HLOOKUP(W$4,'Physical Effects-Numbers'!$B$1:$AU$172,$B89,FALSE),""))</f>
        <v/>
      </c>
      <c r="X89" s="488" t="str">
        <f>IF(X$4="","",IF(HLOOKUP(X$4,'Physical Effects-Numbers'!$B$1:$AU$172,$B89,FALSE)&lt;0,HLOOKUP(X$4,'Physical Effects-Numbers'!$B$1:$AU$172,$B89,FALSE),""))</f>
        <v/>
      </c>
      <c r="Y89" s="488" t="str">
        <f>IF(Y$4="","",IF(HLOOKUP(Y$4,'Physical Effects-Numbers'!$B$1:$AU$172,$B89,FALSE)&lt;0,HLOOKUP(Y$4,'Physical Effects-Numbers'!$B$1:$AU$172,$B89,FALSE),""))</f>
        <v/>
      </c>
      <c r="Z89" s="488" t="str">
        <f>IF(Z$4="","",IF(HLOOKUP(Z$4,'Physical Effects-Numbers'!$B$1:$AU$172,$B89,FALSE)&lt;0,HLOOKUP(Z$4,'Physical Effects-Numbers'!$B$1:$AU$172,$B89,FALSE),""))</f>
        <v/>
      </c>
      <c r="AA89" s="488" t="str">
        <f>IF(AA$4="","",IF(HLOOKUP(AA$4,'Physical Effects-Numbers'!$B$1:$AU$172,$B89,FALSE)&lt;0,HLOOKUP(AA$4,'Physical Effects-Numbers'!$B$1:$AU$172,$B89,FALSE),""))</f>
        <v/>
      </c>
      <c r="AB89" s="488" t="str">
        <f>IF(AB$4="","",IF(HLOOKUP(AB$4,'Physical Effects-Numbers'!$B$1:$AU$172,$B89,FALSE)&lt;0,HLOOKUP(AB$4,'Physical Effects-Numbers'!$B$1:$AU$172,$B89,FALSE),""))</f>
        <v/>
      </c>
      <c r="AC89" s="488" t="str">
        <f>IF(AC$4="","",IF(HLOOKUP(AC$4,'Physical Effects-Numbers'!$B$1:$AU$172,$B89,FALSE)&lt;0,HLOOKUP(AC$4,'Physical Effects-Numbers'!$B$1:$AU$172,$B89,FALSE),""))</f>
        <v/>
      </c>
      <c r="AD89" s="488" t="str">
        <f>IF(AD$4="","",IF(HLOOKUP(AD$4,'Physical Effects-Numbers'!$B$1:$AU$172,$B89,FALSE)&lt;0,HLOOKUP(AD$4,'Physical Effects-Numbers'!$B$1:$AU$172,$B89,FALSE),""))</f>
        <v/>
      </c>
      <c r="AE89" s="488">
        <f>IF(AE$4="","",IF(HLOOKUP(AE$4,'Physical Effects-Numbers'!$B$1:$AU$172,$B89,FALSE)&lt;0,HLOOKUP(AE$4,'Physical Effects-Numbers'!$B$1:$AU$172,$B89,FALSE),""))</f>
        <v>-1</v>
      </c>
      <c r="AF89" s="488" t="str">
        <f>IF(AF$4="","",IF(HLOOKUP(AF$4,'Physical Effects-Numbers'!$B$1:$AU$172,$B89,FALSE)&lt;0,HLOOKUP(AF$4,'Physical Effects-Numbers'!$B$1:$AU$172,$B89,FALSE),""))</f>
        <v/>
      </c>
      <c r="AG89" s="488">
        <f>IF(AG$4="","",IF(HLOOKUP(AG$4,'Physical Effects-Numbers'!$B$1:$AU$172,$B89,FALSE)&lt;0,HLOOKUP(AG$4,'Physical Effects-Numbers'!$B$1:$AU$172,$B89,FALSE),""))</f>
        <v>-1</v>
      </c>
      <c r="AH89" s="488" t="str">
        <f>IF(AH$4="","",IF(HLOOKUP(AH$4,'Physical Effects-Numbers'!$B$1:$AU$172,$B89,FALSE)&lt;0,HLOOKUP(AH$4,'Physical Effects-Numbers'!$B$1:$AU$172,$B89,FALSE),""))</f>
        <v/>
      </c>
      <c r="AI89" s="488" t="str">
        <f>IF(AI$4="","",IF(HLOOKUP(AI$4,'Physical Effects-Numbers'!$B$1:$AU$172,$B89,FALSE)&lt;0,HLOOKUP(AI$4,'Physical Effects-Numbers'!$B$1:$AU$172,$B89,FALSE),""))</f>
        <v/>
      </c>
      <c r="AJ89" s="488" t="str">
        <f>IF(AJ$4="","",IF(HLOOKUP(AJ$4,'Physical Effects-Numbers'!$B$1:$AU$172,$B89,FALSE)&lt;0,HLOOKUP(AJ$4,'Physical Effects-Numbers'!$B$1:$AU$172,$B89,FALSE),""))</f>
        <v/>
      </c>
      <c r="AK89" s="488" t="str">
        <f>IF(AK$4="","",IF(HLOOKUP(AK$4,'Physical Effects-Numbers'!$B$1:$AU$172,$B89,FALSE)&lt;0,HLOOKUP(AK$4,'Physical Effects-Numbers'!$B$1:$AU$172,$B89,FALSE),""))</f>
        <v/>
      </c>
      <c r="AL89" s="488" t="str">
        <f>IF(AL$4="","",IF(HLOOKUP(AL$4,'Physical Effects-Numbers'!$B$1:$AU$172,$B89,FALSE)&lt;0,HLOOKUP(AL$4,'Physical Effects-Numbers'!$B$1:$AU$172,$B89,FALSE),""))</f>
        <v/>
      </c>
      <c r="AM89" s="488" t="str">
        <f>IF(AM$4="","",IF(HLOOKUP(AM$4,'Physical Effects-Numbers'!$B$1:$AU$172,$B89,FALSE)&lt;0,HLOOKUP(AM$4,'Physical Effects-Numbers'!$B$1:$AU$172,$B89,FALSE),""))</f>
        <v/>
      </c>
      <c r="AN89" s="488" t="str">
        <f>IF(AN$4="","",IF(HLOOKUP(AN$4,'Physical Effects-Numbers'!$B$1:$AU$172,$B89,FALSE)&lt;0,HLOOKUP(AN$4,'Physical Effects-Numbers'!$B$1:$AU$172,$B89,FALSE),""))</f>
        <v/>
      </c>
      <c r="AO89" s="488" t="str">
        <f>IF(AO$4="","",IF(HLOOKUP(AO$4,'Physical Effects-Numbers'!$B$1:$AU$172,$B89,FALSE)&lt;0,HLOOKUP(AO$4,'Physical Effects-Numbers'!$B$1:$AU$172,$B89,FALSE),""))</f>
        <v/>
      </c>
      <c r="AP89" s="488">
        <f>IF(AP$4="","",IF(HLOOKUP(AP$4,'Physical Effects-Numbers'!$B$1:$AU$172,$B89,FALSE)&lt;0,HLOOKUP(AP$4,'Physical Effects-Numbers'!$B$1:$AU$172,$B89,FALSE),""))</f>
        <v>-1</v>
      </c>
      <c r="AQ89" s="488" t="str">
        <f>IF(AQ$4="","",IF(HLOOKUP(AQ$4,'Physical Effects-Numbers'!$B$1:$AU$172,$B89,FALSE)&lt;0,HLOOKUP(AQ$4,'Physical Effects-Numbers'!$B$1:$AU$172,$B89,FALSE),""))</f>
        <v/>
      </c>
      <c r="AR89" s="488" t="str">
        <f>IF(AR$4="","",IF(HLOOKUP(AR$4,'Physical Effects-Numbers'!$B$1:$AU$172,$B89,FALSE)&lt;0,HLOOKUP(AR$4,'Physical Effects-Numbers'!$B$1:$AU$172,$B89,FALSE),""))</f>
        <v/>
      </c>
      <c r="AS89" s="488" t="str">
        <f>IF(AS$4="","",IF(HLOOKUP(AS$4,'Physical Effects-Numbers'!$B$1:$AU$172,$B89,FALSE)&lt;0,HLOOKUP(AS$4,'Physical Effects-Numbers'!$B$1:$AU$172,$B89,FALSE),""))</f>
        <v/>
      </c>
      <c r="AT89" s="488" t="str">
        <f>IF(AT$4="","",IF(HLOOKUP(AT$4,'Physical Effects-Numbers'!$B$1:$AU$172,$B89,FALSE)&lt;0,HLOOKUP(AT$4,'Physical Effects-Numbers'!$B$1:$AU$172,$B89,FALSE),""))</f>
        <v/>
      </c>
      <c r="AU89" s="488" t="str">
        <f>IF(AU$4="","",IF(HLOOKUP(AU$4,'Physical Effects-Numbers'!$B$1:$AU$172,$B89,FALSE)&lt;0,HLOOKUP(AU$4,'Physical Effects-Numbers'!$B$1:$AU$172,$B89,FALSE),""))</f>
        <v/>
      </c>
      <c r="AV89" s="488" t="str">
        <f>IF(AV$4="","",IF(HLOOKUP(AV$4,'Physical Effects-Numbers'!$B$1:$AU$167,$B89,FALSE)&lt;0,HLOOKUP(AV$4,'Physical Effects-Numbers'!$B$1:$AU$167,$B89,FALSE),""))</f>
        <v/>
      </c>
    </row>
    <row r="90" spans="2:48" x14ac:dyDescent="0.2">
      <c r="B90" s="487">
        <f t="shared" si="1"/>
        <v>87</v>
      </c>
      <c r="C90" s="486" t="str">
        <f>+'Physical Effects-Numbers'!B87</f>
        <v>Lighting System Improvement</v>
      </c>
      <c r="D90" s="488" t="str">
        <f>IF(D$4="","",IF(HLOOKUP(D$4,'Physical Effects-Numbers'!$B$1:$AU$172,$B90,FALSE)&lt;0,HLOOKUP(D$4,'Physical Effects-Numbers'!$B$1:$AU$172,$B90,FALSE),""))</f>
        <v/>
      </c>
      <c r="E90" s="488" t="str">
        <f>IF(E$4="","",IF(HLOOKUP(E$4,'Physical Effects-Numbers'!$B$1:$AU$172,$B90,FALSE)&lt;0,HLOOKUP(E$4,'Physical Effects-Numbers'!$B$1:$AU$172,$B90,FALSE),""))</f>
        <v/>
      </c>
      <c r="F90" s="488" t="str">
        <f>IF(F$4="","",IF(HLOOKUP(F$4,'Physical Effects-Numbers'!$B$1:$AU$172,$B90,FALSE)&lt;0,HLOOKUP(F$4,'Physical Effects-Numbers'!$B$1:$AU$172,$B90,FALSE),""))</f>
        <v/>
      </c>
      <c r="G90" s="488" t="str">
        <f>IF(G$4="","",IF(HLOOKUP(G$4,'Physical Effects-Numbers'!$B$1:$AU$172,$B90,FALSE)&lt;0,HLOOKUP(G$4,'Physical Effects-Numbers'!$B$1:$AU$172,$B90,FALSE),""))</f>
        <v/>
      </c>
      <c r="H90" s="488" t="str">
        <f>IF(H$4="","",IF(HLOOKUP(H$4,'Physical Effects-Numbers'!$B$1:$AU$172,$B90,FALSE)&lt;0,HLOOKUP(H$4,'Physical Effects-Numbers'!$B$1:$AU$172,$B90,FALSE),""))</f>
        <v/>
      </c>
      <c r="I90" s="488" t="str">
        <f>IF(I$4="","",IF(HLOOKUP(I$4,'Physical Effects-Numbers'!$B$1:$AU$172,$B90,FALSE)&lt;0,HLOOKUP(I$4,'Physical Effects-Numbers'!$B$1:$AU$172,$B90,FALSE),""))</f>
        <v/>
      </c>
      <c r="J90" s="488" t="str">
        <f>IF(J$4="","",IF(HLOOKUP(J$4,'Physical Effects-Numbers'!$B$1:$AU$172,$B90,FALSE)&lt;0,HLOOKUP(J$4,'Physical Effects-Numbers'!$B$1:$AU$172,$B90,FALSE),""))</f>
        <v/>
      </c>
      <c r="K90" s="488" t="str">
        <f>IF(K$4="","",IF(HLOOKUP(K$4,'Physical Effects-Numbers'!$B$1:$AU$172,$B90,FALSE)&lt;0,HLOOKUP(K$4,'Physical Effects-Numbers'!$B$1:$AU$172,$B90,FALSE),""))</f>
        <v/>
      </c>
      <c r="L90" s="488" t="str">
        <f>IF(L$4="","",IF(HLOOKUP(L$4,'Physical Effects-Numbers'!$B$1:$AU$172,$B90,FALSE)&lt;0,HLOOKUP(L$4,'Physical Effects-Numbers'!$B$1:$AU$172,$B90,FALSE),""))</f>
        <v/>
      </c>
      <c r="M90" s="488" t="str">
        <f>IF(M$4="","",IF(HLOOKUP(M$4,'Physical Effects-Numbers'!$B$1:$AU$172,$B90,FALSE)&lt;0,HLOOKUP(M$4,'Physical Effects-Numbers'!$B$1:$AU$172,$B90,FALSE),""))</f>
        <v/>
      </c>
      <c r="N90" s="488" t="str">
        <f>IF(N$4="","",IF(HLOOKUP(N$4,'Physical Effects-Numbers'!$B$1:$AU$172,$B90,FALSE)&lt;0,HLOOKUP(N$4,'Physical Effects-Numbers'!$B$1:$AU$172,$B90,FALSE),""))</f>
        <v/>
      </c>
      <c r="O90" s="488" t="str">
        <f>IF(O$4="","",IF(HLOOKUP(O$4,'Physical Effects-Numbers'!$B$1:$AU$172,$B90,FALSE)&lt;0,HLOOKUP(O$4,'Physical Effects-Numbers'!$B$1:$AU$172,$B90,FALSE),""))</f>
        <v/>
      </c>
      <c r="P90" s="488" t="str">
        <f>IF(P$4="","",IF(HLOOKUP(P$4,'Physical Effects-Numbers'!$B$1:$AU$172,$B90,FALSE)&lt;0,HLOOKUP(P$4,'Physical Effects-Numbers'!$B$1:$AU$172,$B90,FALSE),""))</f>
        <v/>
      </c>
      <c r="Q90" s="488" t="str">
        <f>IF(Q$4="","",IF(HLOOKUP(Q$4,'Physical Effects-Numbers'!$B$1:$AU$172,$B90,FALSE)&lt;0,HLOOKUP(Q$4,'Physical Effects-Numbers'!$B$1:$AU$172,$B90,FALSE),""))</f>
        <v/>
      </c>
      <c r="R90" s="488" t="str">
        <f>IF(R$4="","",IF(HLOOKUP(R$4,'Physical Effects-Numbers'!$B$1:$AU$172,$B90,FALSE)&lt;0,HLOOKUP(R$4,'Physical Effects-Numbers'!$B$1:$AU$172,$B90,FALSE),""))</f>
        <v/>
      </c>
      <c r="S90" s="488" t="str">
        <f>IF(S$4="","",IF(HLOOKUP(S$4,'Physical Effects-Numbers'!$B$1:$AU$172,$B90,FALSE)&lt;0,HLOOKUP(S$4,'Physical Effects-Numbers'!$B$1:$AU$172,$B90,FALSE),""))</f>
        <v/>
      </c>
      <c r="T90" s="488" t="str">
        <f>IF(T$4="","",IF(HLOOKUP(T$4,'Physical Effects-Numbers'!$B$1:$AU$172,$B90,FALSE)&lt;0,HLOOKUP(T$4,'Physical Effects-Numbers'!$B$1:$AU$172,$B90,FALSE),""))</f>
        <v/>
      </c>
      <c r="U90" s="488" t="str">
        <f>IF(U$4="","",IF(HLOOKUP(U$4,'Physical Effects-Numbers'!$B$1:$AU$172,$B90,FALSE)&lt;0,HLOOKUP(U$4,'Physical Effects-Numbers'!$B$1:$AU$172,$B90,FALSE),""))</f>
        <v/>
      </c>
      <c r="V90" s="488" t="str">
        <f>IF(V$4="","",IF(HLOOKUP(V$4,'Physical Effects-Numbers'!$B$1:$AU$172,$B90,FALSE)&lt;0,HLOOKUP(V$4,'Physical Effects-Numbers'!$B$1:$AU$172,$B90,FALSE),""))</f>
        <v/>
      </c>
      <c r="W90" s="488" t="str">
        <f>IF(W$4="","",IF(HLOOKUP(W$4,'Physical Effects-Numbers'!$B$1:$AU$172,$B90,FALSE)&lt;0,HLOOKUP(W$4,'Physical Effects-Numbers'!$B$1:$AU$172,$B90,FALSE),""))</f>
        <v/>
      </c>
      <c r="X90" s="488" t="str">
        <f>IF(X$4="","",IF(HLOOKUP(X$4,'Physical Effects-Numbers'!$B$1:$AU$172,$B90,FALSE)&lt;0,HLOOKUP(X$4,'Physical Effects-Numbers'!$B$1:$AU$172,$B90,FALSE),""))</f>
        <v/>
      </c>
      <c r="Y90" s="488" t="str">
        <f>IF(Y$4="","",IF(HLOOKUP(Y$4,'Physical Effects-Numbers'!$B$1:$AU$172,$B90,FALSE)&lt;0,HLOOKUP(Y$4,'Physical Effects-Numbers'!$B$1:$AU$172,$B90,FALSE),""))</f>
        <v/>
      </c>
      <c r="Z90" s="488" t="str">
        <f>IF(Z$4="","",IF(HLOOKUP(Z$4,'Physical Effects-Numbers'!$B$1:$AU$172,$B90,FALSE)&lt;0,HLOOKUP(Z$4,'Physical Effects-Numbers'!$B$1:$AU$172,$B90,FALSE),""))</f>
        <v/>
      </c>
      <c r="AA90" s="488" t="str">
        <f>IF(AA$4="","",IF(HLOOKUP(AA$4,'Physical Effects-Numbers'!$B$1:$AU$172,$B90,FALSE)&lt;0,HLOOKUP(AA$4,'Physical Effects-Numbers'!$B$1:$AU$172,$B90,FALSE),""))</f>
        <v/>
      </c>
      <c r="AB90" s="488" t="str">
        <f>IF(AB$4="","",IF(HLOOKUP(AB$4,'Physical Effects-Numbers'!$B$1:$AU$172,$B90,FALSE)&lt;0,HLOOKUP(AB$4,'Physical Effects-Numbers'!$B$1:$AU$172,$B90,FALSE),""))</f>
        <v/>
      </c>
      <c r="AC90" s="488" t="str">
        <f>IF(AC$4="","",IF(HLOOKUP(AC$4,'Physical Effects-Numbers'!$B$1:$AU$172,$B90,FALSE)&lt;0,HLOOKUP(AC$4,'Physical Effects-Numbers'!$B$1:$AU$172,$B90,FALSE),""))</f>
        <v/>
      </c>
      <c r="AD90" s="488" t="str">
        <f>IF(AD$4="","",IF(HLOOKUP(AD$4,'Physical Effects-Numbers'!$B$1:$AU$172,$B90,FALSE)&lt;0,HLOOKUP(AD$4,'Physical Effects-Numbers'!$B$1:$AU$172,$B90,FALSE),""))</f>
        <v/>
      </c>
      <c r="AE90" s="488" t="str">
        <f>IF(AE$4="","",IF(HLOOKUP(AE$4,'Physical Effects-Numbers'!$B$1:$AU$172,$B90,FALSE)&lt;0,HLOOKUP(AE$4,'Physical Effects-Numbers'!$B$1:$AU$172,$B90,FALSE),""))</f>
        <v/>
      </c>
      <c r="AF90" s="488" t="str">
        <f>IF(AF$4="","",IF(HLOOKUP(AF$4,'Physical Effects-Numbers'!$B$1:$AU$172,$B90,FALSE)&lt;0,HLOOKUP(AF$4,'Physical Effects-Numbers'!$B$1:$AU$172,$B90,FALSE),""))</f>
        <v/>
      </c>
      <c r="AG90" s="488" t="str">
        <f>IF(AG$4="","",IF(HLOOKUP(AG$4,'Physical Effects-Numbers'!$B$1:$AU$172,$B90,FALSE)&lt;0,HLOOKUP(AG$4,'Physical Effects-Numbers'!$B$1:$AU$172,$B90,FALSE),""))</f>
        <v/>
      </c>
      <c r="AH90" s="488" t="str">
        <f>IF(AH$4="","",IF(HLOOKUP(AH$4,'Physical Effects-Numbers'!$B$1:$AU$172,$B90,FALSE)&lt;0,HLOOKUP(AH$4,'Physical Effects-Numbers'!$B$1:$AU$172,$B90,FALSE),""))</f>
        <v/>
      </c>
      <c r="AI90" s="488" t="str">
        <f>IF(AI$4="","",IF(HLOOKUP(AI$4,'Physical Effects-Numbers'!$B$1:$AU$172,$B90,FALSE)&lt;0,HLOOKUP(AI$4,'Physical Effects-Numbers'!$B$1:$AU$172,$B90,FALSE),""))</f>
        <v/>
      </c>
      <c r="AJ90" s="488" t="str">
        <f>IF(AJ$4="","",IF(HLOOKUP(AJ$4,'Physical Effects-Numbers'!$B$1:$AU$172,$B90,FALSE)&lt;0,HLOOKUP(AJ$4,'Physical Effects-Numbers'!$B$1:$AU$172,$B90,FALSE),""))</f>
        <v/>
      </c>
      <c r="AK90" s="488" t="str">
        <f>IF(AK$4="","",IF(HLOOKUP(AK$4,'Physical Effects-Numbers'!$B$1:$AU$172,$B90,FALSE)&lt;0,HLOOKUP(AK$4,'Physical Effects-Numbers'!$B$1:$AU$172,$B90,FALSE),""))</f>
        <v/>
      </c>
      <c r="AL90" s="488" t="str">
        <f>IF(AL$4="","",IF(HLOOKUP(AL$4,'Physical Effects-Numbers'!$B$1:$AU$172,$B90,FALSE)&lt;0,HLOOKUP(AL$4,'Physical Effects-Numbers'!$B$1:$AU$172,$B90,FALSE),""))</f>
        <v/>
      </c>
      <c r="AM90" s="488" t="str">
        <f>IF(AM$4="","",IF(HLOOKUP(AM$4,'Physical Effects-Numbers'!$B$1:$AU$172,$B90,FALSE)&lt;0,HLOOKUP(AM$4,'Physical Effects-Numbers'!$B$1:$AU$172,$B90,FALSE),""))</f>
        <v/>
      </c>
      <c r="AN90" s="488" t="str">
        <f>IF(AN$4="","",IF(HLOOKUP(AN$4,'Physical Effects-Numbers'!$B$1:$AU$172,$B90,FALSE)&lt;0,HLOOKUP(AN$4,'Physical Effects-Numbers'!$B$1:$AU$172,$B90,FALSE),""))</f>
        <v/>
      </c>
      <c r="AO90" s="488" t="str">
        <f>IF(AO$4="","",IF(HLOOKUP(AO$4,'Physical Effects-Numbers'!$B$1:$AU$172,$B90,FALSE)&lt;0,HLOOKUP(AO$4,'Physical Effects-Numbers'!$B$1:$AU$172,$B90,FALSE),""))</f>
        <v/>
      </c>
      <c r="AP90" s="488" t="str">
        <f>IF(AP$4="","",IF(HLOOKUP(AP$4,'Physical Effects-Numbers'!$B$1:$AU$172,$B90,FALSE)&lt;0,HLOOKUP(AP$4,'Physical Effects-Numbers'!$B$1:$AU$172,$B90,FALSE),""))</f>
        <v/>
      </c>
      <c r="AQ90" s="488" t="str">
        <f>IF(AQ$4="","",IF(HLOOKUP(AQ$4,'Physical Effects-Numbers'!$B$1:$AU$172,$B90,FALSE)&lt;0,HLOOKUP(AQ$4,'Physical Effects-Numbers'!$B$1:$AU$172,$B90,FALSE),""))</f>
        <v/>
      </c>
      <c r="AR90" s="488" t="str">
        <f>IF(AR$4="","",IF(HLOOKUP(AR$4,'Physical Effects-Numbers'!$B$1:$AU$172,$B90,FALSE)&lt;0,HLOOKUP(AR$4,'Physical Effects-Numbers'!$B$1:$AU$172,$B90,FALSE),""))</f>
        <v/>
      </c>
      <c r="AS90" s="488" t="str">
        <f>IF(AS$4="","",IF(HLOOKUP(AS$4,'Physical Effects-Numbers'!$B$1:$AU$172,$B90,FALSE)&lt;0,HLOOKUP(AS$4,'Physical Effects-Numbers'!$B$1:$AU$172,$B90,FALSE),""))</f>
        <v/>
      </c>
      <c r="AT90" s="488" t="str">
        <f>IF(AT$4="","",IF(HLOOKUP(AT$4,'Physical Effects-Numbers'!$B$1:$AU$172,$B90,FALSE)&lt;0,HLOOKUP(AT$4,'Physical Effects-Numbers'!$B$1:$AU$172,$B90,FALSE),""))</f>
        <v/>
      </c>
      <c r="AU90" s="488" t="str">
        <f>IF(AU$4="","",IF(HLOOKUP(AU$4,'Physical Effects-Numbers'!$B$1:$AU$172,$B90,FALSE)&lt;0,HLOOKUP(AU$4,'Physical Effects-Numbers'!$B$1:$AU$172,$B90,FALSE),""))</f>
        <v/>
      </c>
      <c r="AV90" s="488" t="str">
        <f>IF(AV$4="","",IF(HLOOKUP(AV$4,'Physical Effects-Numbers'!$B$1:$AU$167,$B90,FALSE)&lt;0,HLOOKUP(AV$4,'Physical Effects-Numbers'!$B$1:$AU$167,$B90,FALSE),""))</f>
        <v/>
      </c>
    </row>
    <row r="91" spans="2:48" x14ac:dyDescent="0.2">
      <c r="B91" s="487">
        <f t="shared" si="1"/>
        <v>88</v>
      </c>
      <c r="C91" s="486" t="str">
        <f>+'Physical Effects-Numbers'!B88</f>
        <v>Lined Waterway or Outlet</v>
      </c>
      <c r="D91" s="488" t="str">
        <f>IF(D$4="","",IF(HLOOKUP(D$4,'Physical Effects-Numbers'!$B$1:$AU$172,$B91,FALSE)&lt;0,HLOOKUP(D$4,'Physical Effects-Numbers'!$B$1:$AU$172,$B91,FALSE),""))</f>
        <v/>
      </c>
      <c r="E91" s="488" t="str">
        <f>IF(E$4="","",IF(HLOOKUP(E$4,'Physical Effects-Numbers'!$B$1:$AU$172,$B91,FALSE)&lt;0,HLOOKUP(E$4,'Physical Effects-Numbers'!$B$1:$AU$172,$B91,FALSE),""))</f>
        <v/>
      </c>
      <c r="F91" s="488" t="str">
        <f>IF(F$4="","",IF(HLOOKUP(F$4,'Physical Effects-Numbers'!$B$1:$AU$172,$B91,FALSE)&lt;0,HLOOKUP(F$4,'Physical Effects-Numbers'!$B$1:$AU$172,$B91,FALSE),""))</f>
        <v/>
      </c>
      <c r="G91" s="488" t="str">
        <f>IF(G$4="","",IF(HLOOKUP(G$4,'Physical Effects-Numbers'!$B$1:$AU$172,$B91,FALSE)&lt;0,HLOOKUP(G$4,'Physical Effects-Numbers'!$B$1:$AU$172,$B91,FALSE),""))</f>
        <v/>
      </c>
      <c r="H91" s="488" t="str">
        <f>IF(H$4="","",IF(HLOOKUP(H$4,'Physical Effects-Numbers'!$B$1:$AU$172,$B91,FALSE)&lt;0,HLOOKUP(H$4,'Physical Effects-Numbers'!$B$1:$AU$172,$B91,FALSE),""))</f>
        <v/>
      </c>
      <c r="I91" s="488" t="str">
        <f>IF(I$4="","",IF(HLOOKUP(I$4,'Physical Effects-Numbers'!$B$1:$AU$172,$B91,FALSE)&lt;0,HLOOKUP(I$4,'Physical Effects-Numbers'!$B$1:$AU$172,$B91,FALSE),""))</f>
        <v/>
      </c>
      <c r="J91" s="488" t="str">
        <f>IF(J$4="","",IF(HLOOKUP(J$4,'Physical Effects-Numbers'!$B$1:$AU$172,$B91,FALSE)&lt;0,HLOOKUP(J$4,'Physical Effects-Numbers'!$B$1:$AU$172,$B91,FALSE),""))</f>
        <v/>
      </c>
      <c r="K91" s="488" t="str">
        <f>IF(K$4="","",IF(HLOOKUP(K$4,'Physical Effects-Numbers'!$B$1:$AU$172,$B91,FALSE)&lt;0,HLOOKUP(K$4,'Physical Effects-Numbers'!$B$1:$AU$172,$B91,FALSE),""))</f>
        <v/>
      </c>
      <c r="L91" s="488" t="str">
        <f>IF(L$4="","",IF(HLOOKUP(L$4,'Physical Effects-Numbers'!$B$1:$AU$172,$B91,FALSE)&lt;0,HLOOKUP(L$4,'Physical Effects-Numbers'!$B$1:$AU$172,$B91,FALSE),""))</f>
        <v/>
      </c>
      <c r="M91" s="488" t="str">
        <f>IF(M$4="","",IF(HLOOKUP(M$4,'Physical Effects-Numbers'!$B$1:$AU$172,$B91,FALSE)&lt;0,HLOOKUP(M$4,'Physical Effects-Numbers'!$B$1:$AU$172,$B91,FALSE),""))</f>
        <v/>
      </c>
      <c r="N91" s="488" t="str">
        <f>IF(N$4="","",IF(HLOOKUP(N$4,'Physical Effects-Numbers'!$B$1:$AU$172,$B91,FALSE)&lt;0,HLOOKUP(N$4,'Physical Effects-Numbers'!$B$1:$AU$172,$B91,FALSE),""))</f>
        <v/>
      </c>
      <c r="O91" s="488" t="str">
        <f>IF(O$4="","",IF(HLOOKUP(O$4,'Physical Effects-Numbers'!$B$1:$AU$172,$B91,FALSE)&lt;0,HLOOKUP(O$4,'Physical Effects-Numbers'!$B$1:$AU$172,$B91,FALSE),""))</f>
        <v/>
      </c>
      <c r="P91" s="488" t="str">
        <f>IF(P$4="","",IF(HLOOKUP(P$4,'Physical Effects-Numbers'!$B$1:$AU$172,$B91,FALSE)&lt;0,HLOOKUP(P$4,'Physical Effects-Numbers'!$B$1:$AU$172,$B91,FALSE),""))</f>
        <v/>
      </c>
      <c r="Q91" s="488" t="str">
        <f>IF(Q$4="","",IF(HLOOKUP(Q$4,'Physical Effects-Numbers'!$B$1:$AU$172,$B91,FALSE)&lt;0,HLOOKUP(Q$4,'Physical Effects-Numbers'!$B$1:$AU$172,$B91,FALSE),""))</f>
        <v/>
      </c>
      <c r="R91" s="488" t="str">
        <f>IF(R$4="","",IF(HLOOKUP(R$4,'Physical Effects-Numbers'!$B$1:$AU$172,$B91,FALSE)&lt;0,HLOOKUP(R$4,'Physical Effects-Numbers'!$B$1:$AU$172,$B91,FALSE),""))</f>
        <v/>
      </c>
      <c r="S91" s="488" t="str">
        <f>IF(S$4="","",IF(HLOOKUP(S$4,'Physical Effects-Numbers'!$B$1:$AU$172,$B91,FALSE)&lt;0,HLOOKUP(S$4,'Physical Effects-Numbers'!$B$1:$AU$172,$B91,FALSE),""))</f>
        <v/>
      </c>
      <c r="T91" s="488" t="str">
        <f>IF(T$4="","",IF(HLOOKUP(T$4,'Physical Effects-Numbers'!$B$1:$AU$172,$B91,FALSE)&lt;0,HLOOKUP(T$4,'Physical Effects-Numbers'!$B$1:$AU$172,$B91,FALSE),""))</f>
        <v/>
      </c>
      <c r="U91" s="488" t="str">
        <f>IF(U$4="","",IF(HLOOKUP(U$4,'Physical Effects-Numbers'!$B$1:$AU$172,$B91,FALSE)&lt;0,HLOOKUP(U$4,'Physical Effects-Numbers'!$B$1:$AU$172,$B91,FALSE),""))</f>
        <v/>
      </c>
      <c r="V91" s="488" t="str">
        <f>IF(V$4="","",IF(HLOOKUP(V$4,'Physical Effects-Numbers'!$B$1:$AU$172,$B91,FALSE)&lt;0,HLOOKUP(V$4,'Physical Effects-Numbers'!$B$1:$AU$172,$B91,FALSE),""))</f>
        <v/>
      </c>
      <c r="W91" s="488" t="str">
        <f>IF(W$4="","",IF(HLOOKUP(W$4,'Physical Effects-Numbers'!$B$1:$AU$172,$B91,FALSE)&lt;0,HLOOKUP(W$4,'Physical Effects-Numbers'!$B$1:$AU$172,$B91,FALSE),""))</f>
        <v/>
      </c>
      <c r="X91" s="488" t="str">
        <f>IF(X$4="","",IF(HLOOKUP(X$4,'Physical Effects-Numbers'!$B$1:$AU$172,$B91,FALSE)&lt;0,HLOOKUP(X$4,'Physical Effects-Numbers'!$B$1:$AU$172,$B91,FALSE),""))</f>
        <v/>
      </c>
      <c r="Y91" s="488" t="str">
        <f>IF(Y$4="","",IF(HLOOKUP(Y$4,'Physical Effects-Numbers'!$B$1:$AU$172,$B91,FALSE)&lt;0,HLOOKUP(Y$4,'Physical Effects-Numbers'!$B$1:$AU$172,$B91,FALSE),""))</f>
        <v/>
      </c>
      <c r="Z91" s="488" t="str">
        <f>IF(Z$4="","",IF(HLOOKUP(Z$4,'Physical Effects-Numbers'!$B$1:$AU$172,$B91,FALSE)&lt;0,HLOOKUP(Z$4,'Physical Effects-Numbers'!$B$1:$AU$172,$B91,FALSE),""))</f>
        <v/>
      </c>
      <c r="AA91" s="488" t="str">
        <f>IF(AA$4="","",IF(HLOOKUP(AA$4,'Physical Effects-Numbers'!$B$1:$AU$172,$B91,FALSE)&lt;0,HLOOKUP(AA$4,'Physical Effects-Numbers'!$B$1:$AU$172,$B91,FALSE),""))</f>
        <v/>
      </c>
      <c r="AB91" s="488" t="str">
        <f>IF(AB$4="","",IF(HLOOKUP(AB$4,'Physical Effects-Numbers'!$B$1:$AU$172,$B91,FALSE)&lt;0,HLOOKUP(AB$4,'Physical Effects-Numbers'!$B$1:$AU$172,$B91,FALSE),""))</f>
        <v/>
      </c>
      <c r="AC91" s="488" t="str">
        <f>IF(AC$4="","",IF(HLOOKUP(AC$4,'Physical Effects-Numbers'!$B$1:$AU$172,$B91,FALSE)&lt;0,HLOOKUP(AC$4,'Physical Effects-Numbers'!$B$1:$AU$172,$B91,FALSE),""))</f>
        <v/>
      </c>
      <c r="AD91" s="488" t="str">
        <f>IF(AD$4="","",IF(HLOOKUP(AD$4,'Physical Effects-Numbers'!$B$1:$AU$172,$B91,FALSE)&lt;0,HLOOKUP(AD$4,'Physical Effects-Numbers'!$B$1:$AU$172,$B91,FALSE),""))</f>
        <v/>
      </c>
      <c r="AE91" s="488" t="str">
        <f>IF(AE$4="","",IF(HLOOKUP(AE$4,'Physical Effects-Numbers'!$B$1:$AU$172,$B91,FALSE)&lt;0,HLOOKUP(AE$4,'Physical Effects-Numbers'!$B$1:$AU$172,$B91,FALSE),""))</f>
        <v/>
      </c>
      <c r="AF91" s="488" t="str">
        <f>IF(AF$4="","",IF(HLOOKUP(AF$4,'Physical Effects-Numbers'!$B$1:$AU$172,$B91,FALSE)&lt;0,HLOOKUP(AF$4,'Physical Effects-Numbers'!$B$1:$AU$172,$B91,FALSE),""))</f>
        <v/>
      </c>
      <c r="AG91" s="488" t="str">
        <f>IF(AG$4="","",IF(HLOOKUP(AG$4,'Physical Effects-Numbers'!$B$1:$AU$172,$B91,FALSE)&lt;0,HLOOKUP(AG$4,'Physical Effects-Numbers'!$B$1:$AU$172,$B91,FALSE),""))</f>
        <v/>
      </c>
      <c r="AH91" s="488" t="str">
        <f>IF(AH$4="","",IF(HLOOKUP(AH$4,'Physical Effects-Numbers'!$B$1:$AU$172,$B91,FALSE)&lt;0,HLOOKUP(AH$4,'Physical Effects-Numbers'!$B$1:$AU$172,$B91,FALSE),""))</f>
        <v/>
      </c>
      <c r="AI91" s="488" t="str">
        <f>IF(AI$4="","",IF(HLOOKUP(AI$4,'Physical Effects-Numbers'!$B$1:$AU$172,$B91,FALSE)&lt;0,HLOOKUP(AI$4,'Physical Effects-Numbers'!$B$1:$AU$172,$B91,FALSE),""))</f>
        <v/>
      </c>
      <c r="AJ91" s="488" t="str">
        <f>IF(AJ$4="","",IF(HLOOKUP(AJ$4,'Physical Effects-Numbers'!$B$1:$AU$172,$B91,FALSE)&lt;0,HLOOKUP(AJ$4,'Physical Effects-Numbers'!$B$1:$AU$172,$B91,FALSE),""))</f>
        <v/>
      </c>
      <c r="AK91" s="488" t="str">
        <f>IF(AK$4="","",IF(HLOOKUP(AK$4,'Physical Effects-Numbers'!$B$1:$AU$172,$B91,FALSE)&lt;0,HLOOKUP(AK$4,'Physical Effects-Numbers'!$B$1:$AU$172,$B91,FALSE),""))</f>
        <v/>
      </c>
      <c r="AL91" s="488" t="str">
        <f>IF(AL$4="","",IF(HLOOKUP(AL$4,'Physical Effects-Numbers'!$B$1:$AU$172,$B91,FALSE)&lt;0,HLOOKUP(AL$4,'Physical Effects-Numbers'!$B$1:$AU$172,$B91,FALSE),""))</f>
        <v/>
      </c>
      <c r="AM91" s="488">
        <f>IF(AM$4="","",IF(HLOOKUP(AM$4,'Physical Effects-Numbers'!$B$1:$AU$172,$B91,FALSE)&lt;0,HLOOKUP(AM$4,'Physical Effects-Numbers'!$B$1:$AU$172,$B91,FALSE),""))</f>
        <v>-2</v>
      </c>
      <c r="AN91" s="488" t="str">
        <f>IF(AN$4="","",IF(HLOOKUP(AN$4,'Physical Effects-Numbers'!$B$1:$AU$172,$B91,FALSE)&lt;0,HLOOKUP(AN$4,'Physical Effects-Numbers'!$B$1:$AU$172,$B91,FALSE),""))</f>
        <v/>
      </c>
      <c r="AO91" s="488" t="str">
        <f>IF(AO$4="","",IF(HLOOKUP(AO$4,'Physical Effects-Numbers'!$B$1:$AU$172,$B91,FALSE)&lt;0,HLOOKUP(AO$4,'Physical Effects-Numbers'!$B$1:$AU$172,$B91,FALSE),""))</f>
        <v/>
      </c>
      <c r="AP91" s="488" t="str">
        <f>IF(AP$4="","",IF(HLOOKUP(AP$4,'Physical Effects-Numbers'!$B$1:$AU$172,$B91,FALSE)&lt;0,HLOOKUP(AP$4,'Physical Effects-Numbers'!$B$1:$AU$172,$B91,FALSE),""))</f>
        <v/>
      </c>
      <c r="AQ91" s="488" t="str">
        <f>IF(AQ$4="","",IF(HLOOKUP(AQ$4,'Physical Effects-Numbers'!$B$1:$AU$172,$B91,FALSE)&lt;0,HLOOKUP(AQ$4,'Physical Effects-Numbers'!$B$1:$AU$172,$B91,FALSE),""))</f>
        <v/>
      </c>
      <c r="AR91" s="488" t="str">
        <f>IF(AR$4="","",IF(HLOOKUP(AR$4,'Physical Effects-Numbers'!$B$1:$AU$172,$B91,FALSE)&lt;0,HLOOKUP(AR$4,'Physical Effects-Numbers'!$B$1:$AU$172,$B91,FALSE),""))</f>
        <v/>
      </c>
      <c r="AS91" s="488" t="str">
        <f>IF(AS$4="","",IF(HLOOKUP(AS$4,'Physical Effects-Numbers'!$B$1:$AU$172,$B91,FALSE)&lt;0,HLOOKUP(AS$4,'Physical Effects-Numbers'!$B$1:$AU$172,$B91,FALSE),""))</f>
        <v/>
      </c>
      <c r="AT91" s="488" t="str">
        <f>IF(AT$4="","",IF(HLOOKUP(AT$4,'Physical Effects-Numbers'!$B$1:$AU$172,$B91,FALSE)&lt;0,HLOOKUP(AT$4,'Physical Effects-Numbers'!$B$1:$AU$172,$B91,FALSE),""))</f>
        <v/>
      </c>
      <c r="AU91" s="488" t="str">
        <f>IF(AU$4="","",IF(HLOOKUP(AU$4,'Physical Effects-Numbers'!$B$1:$AU$172,$B91,FALSE)&lt;0,HLOOKUP(AU$4,'Physical Effects-Numbers'!$B$1:$AU$172,$B91,FALSE),""))</f>
        <v/>
      </c>
      <c r="AV91" s="488" t="str">
        <f>IF(AV$4="","",IF(HLOOKUP(AV$4,'Physical Effects-Numbers'!$B$1:$AU$167,$B91,FALSE)&lt;0,HLOOKUP(AV$4,'Physical Effects-Numbers'!$B$1:$AU$167,$B91,FALSE),""))</f>
        <v/>
      </c>
    </row>
    <row r="92" spans="2:48" x14ac:dyDescent="0.2">
      <c r="B92" s="487">
        <f t="shared" si="1"/>
        <v>89</v>
      </c>
      <c r="C92" s="486" t="str">
        <f>+'Physical Effects-Numbers'!B89</f>
        <v>Livestock Pipeline</v>
      </c>
      <c r="D92" s="488" t="str">
        <f>IF(D$4="","",IF(HLOOKUP(D$4,'Physical Effects-Numbers'!$B$1:$AU$172,$B92,FALSE)&lt;0,HLOOKUP(D$4,'Physical Effects-Numbers'!$B$1:$AU$172,$B92,FALSE),""))</f>
        <v/>
      </c>
      <c r="E92" s="488" t="str">
        <f>IF(E$4="","",IF(HLOOKUP(E$4,'Physical Effects-Numbers'!$B$1:$AU$172,$B92,FALSE)&lt;0,HLOOKUP(E$4,'Physical Effects-Numbers'!$B$1:$AU$172,$B92,FALSE),""))</f>
        <v/>
      </c>
      <c r="F92" s="488" t="str">
        <f>IF(F$4="","",IF(HLOOKUP(F$4,'Physical Effects-Numbers'!$B$1:$AU$172,$B92,FALSE)&lt;0,HLOOKUP(F$4,'Physical Effects-Numbers'!$B$1:$AU$172,$B92,FALSE),""))</f>
        <v/>
      </c>
      <c r="G92" s="488" t="str">
        <f>IF(G$4="","",IF(HLOOKUP(G$4,'Physical Effects-Numbers'!$B$1:$AU$172,$B92,FALSE)&lt;0,HLOOKUP(G$4,'Physical Effects-Numbers'!$B$1:$AU$172,$B92,FALSE),""))</f>
        <v/>
      </c>
      <c r="H92" s="488" t="str">
        <f>IF(H$4="","",IF(HLOOKUP(H$4,'Physical Effects-Numbers'!$B$1:$AU$172,$B92,FALSE)&lt;0,HLOOKUP(H$4,'Physical Effects-Numbers'!$B$1:$AU$172,$B92,FALSE),""))</f>
        <v/>
      </c>
      <c r="I92" s="488" t="str">
        <f>IF(I$4="","",IF(HLOOKUP(I$4,'Physical Effects-Numbers'!$B$1:$AU$172,$B92,FALSE)&lt;0,HLOOKUP(I$4,'Physical Effects-Numbers'!$B$1:$AU$172,$B92,FALSE),""))</f>
        <v/>
      </c>
      <c r="J92" s="488" t="str">
        <f>IF(J$4="","",IF(HLOOKUP(J$4,'Physical Effects-Numbers'!$B$1:$AU$172,$B92,FALSE)&lt;0,HLOOKUP(J$4,'Physical Effects-Numbers'!$B$1:$AU$172,$B92,FALSE),""))</f>
        <v/>
      </c>
      <c r="K92" s="488" t="str">
        <f>IF(K$4="","",IF(HLOOKUP(K$4,'Physical Effects-Numbers'!$B$1:$AU$172,$B92,FALSE)&lt;0,HLOOKUP(K$4,'Physical Effects-Numbers'!$B$1:$AU$172,$B92,FALSE),""))</f>
        <v/>
      </c>
      <c r="L92" s="488" t="str">
        <f>IF(L$4="","",IF(HLOOKUP(L$4,'Physical Effects-Numbers'!$B$1:$AU$172,$B92,FALSE)&lt;0,HLOOKUP(L$4,'Physical Effects-Numbers'!$B$1:$AU$172,$B92,FALSE),""))</f>
        <v/>
      </c>
      <c r="M92" s="488" t="str">
        <f>IF(M$4="","",IF(HLOOKUP(M$4,'Physical Effects-Numbers'!$B$1:$AU$172,$B92,FALSE)&lt;0,HLOOKUP(M$4,'Physical Effects-Numbers'!$B$1:$AU$172,$B92,FALSE),""))</f>
        <v/>
      </c>
      <c r="N92" s="488" t="str">
        <f>IF(N$4="","",IF(HLOOKUP(N$4,'Physical Effects-Numbers'!$B$1:$AU$172,$B92,FALSE)&lt;0,HLOOKUP(N$4,'Physical Effects-Numbers'!$B$1:$AU$172,$B92,FALSE),""))</f>
        <v/>
      </c>
      <c r="O92" s="488" t="str">
        <f>IF(O$4="","",IF(HLOOKUP(O$4,'Physical Effects-Numbers'!$B$1:$AU$172,$B92,FALSE)&lt;0,HLOOKUP(O$4,'Physical Effects-Numbers'!$B$1:$AU$172,$B92,FALSE),""))</f>
        <v/>
      </c>
      <c r="P92" s="488" t="str">
        <f>IF(P$4="","",IF(HLOOKUP(P$4,'Physical Effects-Numbers'!$B$1:$AU$172,$B92,FALSE)&lt;0,HLOOKUP(P$4,'Physical Effects-Numbers'!$B$1:$AU$172,$B92,FALSE),""))</f>
        <v/>
      </c>
      <c r="Q92" s="488" t="str">
        <f>IF(Q$4="","",IF(HLOOKUP(Q$4,'Physical Effects-Numbers'!$B$1:$AU$172,$B92,FALSE)&lt;0,HLOOKUP(Q$4,'Physical Effects-Numbers'!$B$1:$AU$172,$B92,FALSE),""))</f>
        <v/>
      </c>
      <c r="R92" s="488" t="str">
        <f>IF(R$4="","",IF(HLOOKUP(R$4,'Physical Effects-Numbers'!$B$1:$AU$172,$B92,FALSE)&lt;0,HLOOKUP(R$4,'Physical Effects-Numbers'!$B$1:$AU$172,$B92,FALSE),""))</f>
        <v/>
      </c>
      <c r="S92" s="488" t="str">
        <f>IF(S$4="","",IF(HLOOKUP(S$4,'Physical Effects-Numbers'!$B$1:$AU$172,$B92,FALSE)&lt;0,HLOOKUP(S$4,'Physical Effects-Numbers'!$B$1:$AU$172,$B92,FALSE),""))</f>
        <v/>
      </c>
      <c r="T92" s="488" t="str">
        <f>IF(T$4="","",IF(HLOOKUP(T$4,'Physical Effects-Numbers'!$B$1:$AU$172,$B92,FALSE)&lt;0,HLOOKUP(T$4,'Physical Effects-Numbers'!$B$1:$AU$172,$B92,FALSE),""))</f>
        <v/>
      </c>
      <c r="U92" s="488" t="str">
        <f>IF(U$4="","",IF(HLOOKUP(U$4,'Physical Effects-Numbers'!$B$1:$AU$172,$B92,FALSE)&lt;0,HLOOKUP(U$4,'Physical Effects-Numbers'!$B$1:$AU$172,$B92,FALSE),""))</f>
        <v/>
      </c>
      <c r="V92" s="488" t="str">
        <f>IF(V$4="","",IF(HLOOKUP(V$4,'Physical Effects-Numbers'!$B$1:$AU$172,$B92,FALSE)&lt;0,HLOOKUP(V$4,'Physical Effects-Numbers'!$B$1:$AU$172,$B92,FALSE),""))</f>
        <v/>
      </c>
      <c r="W92" s="488" t="str">
        <f>IF(W$4="","",IF(HLOOKUP(W$4,'Physical Effects-Numbers'!$B$1:$AU$172,$B92,FALSE)&lt;0,HLOOKUP(W$4,'Physical Effects-Numbers'!$B$1:$AU$172,$B92,FALSE),""))</f>
        <v/>
      </c>
      <c r="X92" s="488" t="str">
        <f>IF(X$4="","",IF(HLOOKUP(X$4,'Physical Effects-Numbers'!$B$1:$AU$172,$B92,FALSE)&lt;0,HLOOKUP(X$4,'Physical Effects-Numbers'!$B$1:$AU$172,$B92,FALSE),""))</f>
        <v/>
      </c>
      <c r="Y92" s="488" t="str">
        <f>IF(Y$4="","",IF(HLOOKUP(Y$4,'Physical Effects-Numbers'!$B$1:$AU$172,$B92,FALSE)&lt;0,HLOOKUP(Y$4,'Physical Effects-Numbers'!$B$1:$AU$172,$B92,FALSE),""))</f>
        <v/>
      </c>
      <c r="Z92" s="488" t="str">
        <f>IF(Z$4="","",IF(HLOOKUP(Z$4,'Physical Effects-Numbers'!$B$1:$AU$172,$B92,FALSE)&lt;0,HLOOKUP(Z$4,'Physical Effects-Numbers'!$B$1:$AU$172,$B92,FALSE),""))</f>
        <v/>
      </c>
      <c r="AA92" s="488" t="str">
        <f>IF(AA$4="","",IF(HLOOKUP(AA$4,'Physical Effects-Numbers'!$B$1:$AU$172,$B92,FALSE)&lt;0,HLOOKUP(AA$4,'Physical Effects-Numbers'!$B$1:$AU$172,$B92,FALSE),""))</f>
        <v/>
      </c>
      <c r="AB92" s="488" t="str">
        <f>IF(AB$4="","",IF(HLOOKUP(AB$4,'Physical Effects-Numbers'!$B$1:$AU$172,$B92,FALSE)&lt;0,HLOOKUP(AB$4,'Physical Effects-Numbers'!$B$1:$AU$172,$B92,FALSE),""))</f>
        <v/>
      </c>
      <c r="AC92" s="488" t="str">
        <f>IF(AC$4="","",IF(HLOOKUP(AC$4,'Physical Effects-Numbers'!$B$1:$AU$172,$B92,FALSE)&lt;0,HLOOKUP(AC$4,'Physical Effects-Numbers'!$B$1:$AU$172,$B92,FALSE),""))</f>
        <v/>
      </c>
      <c r="AD92" s="488" t="str">
        <f>IF(AD$4="","",IF(HLOOKUP(AD$4,'Physical Effects-Numbers'!$B$1:$AU$172,$B92,FALSE)&lt;0,HLOOKUP(AD$4,'Physical Effects-Numbers'!$B$1:$AU$172,$B92,FALSE),""))</f>
        <v/>
      </c>
      <c r="AE92" s="488" t="str">
        <f>IF(AE$4="","",IF(HLOOKUP(AE$4,'Physical Effects-Numbers'!$B$1:$AU$172,$B92,FALSE)&lt;0,HLOOKUP(AE$4,'Physical Effects-Numbers'!$B$1:$AU$172,$B92,FALSE),""))</f>
        <v/>
      </c>
      <c r="AF92" s="488" t="str">
        <f>IF(AF$4="","",IF(HLOOKUP(AF$4,'Physical Effects-Numbers'!$B$1:$AU$172,$B92,FALSE)&lt;0,HLOOKUP(AF$4,'Physical Effects-Numbers'!$B$1:$AU$172,$B92,FALSE),""))</f>
        <v/>
      </c>
      <c r="AG92" s="488" t="str">
        <f>IF(AG$4="","",IF(HLOOKUP(AG$4,'Physical Effects-Numbers'!$B$1:$AU$172,$B92,FALSE)&lt;0,HLOOKUP(AG$4,'Physical Effects-Numbers'!$B$1:$AU$172,$B92,FALSE),""))</f>
        <v/>
      </c>
      <c r="AH92" s="488" t="str">
        <f>IF(AH$4="","",IF(HLOOKUP(AH$4,'Physical Effects-Numbers'!$B$1:$AU$172,$B92,FALSE)&lt;0,HLOOKUP(AH$4,'Physical Effects-Numbers'!$B$1:$AU$172,$B92,FALSE),""))</f>
        <v/>
      </c>
      <c r="AI92" s="488" t="str">
        <f>IF(AI$4="","",IF(HLOOKUP(AI$4,'Physical Effects-Numbers'!$B$1:$AU$172,$B92,FALSE)&lt;0,HLOOKUP(AI$4,'Physical Effects-Numbers'!$B$1:$AU$172,$B92,FALSE),""))</f>
        <v/>
      </c>
      <c r="AJ92" s="488" t="str">
        <f>IF(AJ$4="","",IF(HLOOKUP(AJ$4,'Physical Effects-Numbers'!$B$1:$AU$172,$B92,FALSE)&lt;0,HLOOKUP(AJ$4,'Physical Effects-Numbers'!$B$1:$AU$172,$B92,FALSE),""))</f>
        <v/>
      </c>
      <c r="AK92" s="488" t="str">
        <f>IF(AK$4="","",IF(HLOOKUP(AK$4,'Physical Effects-Numbers'!$B$1:$AU$172,$B92,FALSE)&lt;0,HLOOKUP(AK$4,'Physical Effects-Numbers'!$B$1:$AU$172,$B92,FALSE),""))</f>
        <v/>
      </c>
      <c r="AL92" s="488" t="str">
        <f>IF(AL$4="","",IF(HLOOKUP(AL$4,'Physical Effects-Numbers'!$B$1:$AU$172,$B92,FALSE)&lt;0,HLOOKUP(AL$4,'Physical Effects-Numbers'!$B$1:$AU$172,$B92,FALSE),""))</f>
        <v/>
      </c>
      <c r="AM92" s="488" t="str">
        <f>IF(AM$4="","",IF(HLOOKUP(AM$4,'Physical Effects-Numbers'!$B$1:$AU$172,$B92,FALSE)&lt;0,HLOOKUP(AM$4,'Physical Effects-Numbers'!$B$1:$AU$172,$B92,FALSE),""))</f>
        <v/>
      </c>
      <c r="AN92" s="488" t="str">
        <f>IF(AN$4="","",IF(HLOOKUP(AN$4,'Physical Effects-Numbers'!$B$1:$AU$172,$B92,FALSE)&lt;0,HLOOKUP(AN$4,'Physical Effects-Numbers'!$B$1:$AU$172,$B92,FALSE),""))</f>
        <v/>
      </c>
      <c r="AO92" s="488" t="str">
        <f>IF(AO$4="","",IF(HLOOKUP(AO$4,'Physical Effects-Numbers'!$B$1:$AU$172,$B92,FALSE)&lt;0,HLOOKUP(AO$4,'Physical Effects-Numbers'!$B$1:$AU$172,$B92,FALSE),""))</f>
        <v/>
      </c>
      <c r="AP92" s="488" t="str">
        <f>IF(AP$4="","",IF(HLOOKUP(AP$4,'Physical Effects-Numbers'!$B$1:$AU$172,$B92,FALSE)&lt;0,HLOOKUP(AP$4,'Physical Effects-Numbers'!$B$1:$AU$172,$B92,FALSE),""))</f>
        <v/>
      </c>
      <c r="AQ92" s="488" t="str">
        <f>IF(AQ$4="","",IF(HLOOKUP(AQ$4,'Physical Effects-Numbers'!$B$1:$AU$172,$B92,FALSE)&lt;0,HLOOKUP(AQ$4,'Physical Effects-Numbers'!$B$1:$AU$172,$B92,FALSE),""))</f>
        <v/>
      </c>
      <c r="AR92" s="488" t="str">
        <f>IF(AR$4="","",IF(HLOOKUP(AR$4,'Physical Effects-Numbers'!$B$1:$AU$172,$B92,FALSE)&lt;0,HLOOKUP(AR$4,'Physical Effects-Numbers'!$B$1:$AU$172,$B92,FALSE),""))</f>
        <v/>
      </c>
      <c r="AS92" s="488" t="str">
        <f>IF(AS$4="","",IF(HLOOKUP(AS$4,'Physical Effects-Numbers'!$B$1:$AU$172,$B92,FALSE)&lt;0,HLOOKUP(AS$4,'Physical Effects-Numbers'!$B$1:$AU$172,$B92,FALSE),""))</f>
        <v/>
      </c>
      <c r="AT92" s="488" t="str">
        <f>IF(AT$4="","",IF(HLOOKUP(AT$4,'Physical Effects-Numbers'!$B$1:$AU$172,$B92,FALSE)&lt;0,HLOOKUP(AT$4,'Physical Effects-Numbers'!$B$1:$AU$172,$B92,FALSE),""))</f>
        <v/>
      </c>
      <c r="AU92" s="488" t="str">
        <f>IF(AU$4="","",IF(HLOOKUP(AU$4,'Physical Effects-Numbers'!$B$1:$AU$172,$B92,FALSE)&lt;0,HLOOKUP(AU$4,'Physical Effects-Numbers'!$B$1:$AU$172,$B92,FALSE),""))</f>
        <v/>
      </c>
      <c r="AV92" s="488" t="str">
        <f>IF(AV$4="","",IF(HLOOKUP(AV$4,'Physical Effects-Numbers'!$B$1:$AU$167,$B92,FALSE)&lt;0,HLOOKUP(AV$4,'Physical Effects-Numbers'!$B$1:$AU$167,$B92,FALSE),""))</f>
        <v/>
      </c>
    </row>
    <row r="93" spans="2:48" x14ac:dyDescent="0.2">
      <c r="B93" s="487">
        <f t="shared" si="1"/>
        <v>90</v>
      </c>
      <c r="C93" s="486" t="str">
        <f>+'Physical Effects-Numbers'!B90</f>
        <v>Livestock Shelter Structure</v>
      </c>
      <c r="D93" s="488" t="str">
        <f>IF(D$4="","",IF(HLOOKUP(D$4,'Physical Effects-Numbers'!$B$1:$AU$172,$B93,FALSE)&lt;0,HLOOKUP(D$4,'Physical Effects-Numbers'!$B$1:$AU$172,$B93,FALSE),""))</f>
        <v/>
      </c>
      <c r="E93" s="488" t="str">
        <f>IF(E$4="","",IF(HLOOKUP(E$4,'Physical Effects-Numbers'!$B$1:$AU$172,$B93,FALSE)&lt;0,HLOOKUP(E$4,'Physical Effects-Numbers'!$B$1:$AU$172,$B93,FALSE),""))</f>
        <v/>
      </c>
      <c r="F93" s="488" t="str">
        <f>IF(F$4="","",IF(HLOOKUP(F$4,'Physical Effects-Numbers'!$B$1:$AU$172,$B93,FALSE)&lt;0,HLOOKUP(F$4,'Physical Effects-Numbers'!$B$1:$AU$172,$B93,FALSE),""))</f>
        <v/>
      </c>
      <c r="G93" s="488" t="str">
        <f>IF(G$4="","",IF(HLOOKUP(G$4,'Physical Effects-Numbers'!$B$1:$AU$172,$B93,FALSE)&lt;0,HLOOKUP(G$4,'Physical Effects-Numbers'!$B$1:$AU$172,$B93,FALSE),""))</f>
        <v/>
      </c>
      <c r="H93" s="488" t="str">
        <f>IF(H$4="","",IF(HLOOKUP(H$4,'Physical Effects-Numbers'!$B$1:$AU$172,$B93,FALSE)&lt;0,HLOOKUP(H$4,'Physical Effects-Numbers'!$B$1:$AU$172,$B93,FALSE),""))</f>
        <v/>
      </c>
      <c r="I93" s="488" t="str">
        <f>IF(I$4="","",IF(HLOOKUP(I$4,'Physical Effects-Numbers'!$B$1:$AU$172,$B93,FALSE)&lt;0,HLOOKUP(I$4,'Physical Effects-Numbers'!$B$1:$AU$172,$B93,FALSE),""))</f>
        <v/>
      </c>
      <c r="J93" s="488" t="str">
        <f>IF(J$4="","",IF(HLOOKUP(J$4,'Physical Effects-Numbers'!$B$1:$AU$172,$B93,FALSE)&lt;0,HLOOKUP(J$4,'Physical Effects-Numbers'!$B$1:$AU$172,$B93,FALSE),""))</f>
        <v/>
      </c>
      <c r="K93" s="488" t="str">
        <f>IF(K$4="","",IF(HLOOKUP(K$4,'Physical Effects-Numbers'!$B$1:$AU$172,$B93,FALSE)&lt;0,HLOOKUP(K$4,'Physical Effects-Numbers'!$B$1:$AU$172,$B93,FALSE),""))</f>
        <v/>
      </c>
      <c r="L93" s="488" t="str">
        <f>IF(L$4="","",IF(HLOOKUP(L$4,'Physical Effects-Numbers'!$B$1:$AU$172,$B93,FALSE)&lt;0,HLOOKUP(L$4,'Physical Effects-Numbers'!$B$1:$AU$172,$B93,FALSE),""))</f>
        <v/>
      </c>
      <c r="M93" s="488" t="str">
        <f>IF(M$4="","",IF(HLOOKUP(M$4,'Physical Effects-Numbers'!$B$1:$AU$172,$B93,FALSE)&lt;0,HLOOKUP(M$4,'Physical Effects-Numbers'!$B$1:$AU$172,$B93,FALSE),""))</f>
        <v/>
      </c>
      <c r="N93" s="488" t="str">
        <f>IF(N$4="","",IF(HLOOKUP(N$4,'Physical Effects-Numbers'!$B$1:$AU$172,$B93,FALSE)&lt;0,HLOOKUP(N$4,'Physical Effects-Numbers'!$B$1:$AU$172,$B93,FALSE),""))</f>
        <v/>
      </c>
      <c r="O93" s="488" t="str">
        <f>IF(O$4="","",IF(HLOOKUP(O$4,'Physical Effects-Numbers'!$B$1:$AU$172,$B93,FALSE)&lt;0,HLOOKUP(O$4,'Physical Effects-Numbers'!$B$1:$AU$172,$B93,FALSE),""))</f>
        <v/>
      </c>
      <c r="P93" s="488" t="str">
        <f>IF(P$4="","",IF(HLOOKUP(P$4,'Physical Effects-Numbers'!$B$1:$AU$172,$B93,FALSE)&lt;0,HLOOKUP(P$4,'Physical Effects-Numbers'!$B$1:$AU$172,$B93,FALSE),""))</f>
        <v/>
      </c>
      <c r="Q93" s="488" t="str">
        <f>IF(Q$4="","",IF(HLOOKUP(Q$4,'Physical Effects-Numbers'!$B$1:$AU$172,$B93,FALSE)&lt;0,HLOOKUP(Q$4,'Physical Effects-Numbers'!$B$1:$AU$172,$B93,FALSE),""))</f>
        <v/>
      </c>
      <c r="R93" s="488" t="str">
        <f>IF(R$4="","",IF(HLOOKUP(R$4,'Physical Effects-Numbers'!$B$1:$AU$172,$B93,FALSE)&lt;0,HLOOKUP(R$4,'Physical Effects-Numbers'!$B$1:$AU$172,$B93,FALSE),""))</f>
        <v/>
      </c>
      <c r="S93" s="488" t="str">
        <f>IF(S$4="","",IF(HLOOKUP(S$4,'Physical Effects-Numbers'!$B$1:$AU$172,$B93,FALSE)&lt;0,HLOOKUP(S$4,'Physical Effects-Numbers'!$B$1:$AU$172,$B93,FALSE),""))</f>
        <v/>
      </c>
      <c r="T93" s="488" t="str">
        <f>IF(T$4="","",IF(HLOOKUP(T$4,'Physical Effects-Numbers'!$B$1:$AU$172,$B93,FALSE)&lt;0,HLOOKUP(T$4,'Physical Effects-Numbers'!$B$1:$AU$172,$B93,FALSE),""))</f>
        <v/>
      </c>
      <c r="U93" s="488" t="str">
        <f>IF(U$4="","",IF(HLOOKUP(U$4,'Physical Effects-Numbers'!$B$1:$AU$172,$B93,FALSE)&lt;0,HLOOKUP(U$4,'Physical Effects-Numbers'!$B$1:$AU$172,$B93,FALSE),""))</f>
        <v/>
      </c>
      <c r="V93" s="488" t="str">
        <f>IF(V$4="","",IF(HLOOKUP(V$4,'Physical Effects-Numbers'!$B$1:$AU$172,$B93,FALSE)&lt;0,HLOOKUP(V$4,'Physical Effects-Numbers'!$B$1:$AU$172,$B93,FALSE),""))</f>
        <v/>
      </c>
      <c r="W93" s="488" t="str">
        <f>IF(W$4="","",IF(HLOOKUP(W$4,'Physical Effects-Numbers'!$B$1:$AU$172,$B93,FALSE)&lt;0,HLOOKUP(W$4,'Physical Effects-Numbers'!$B$1:$AU$172,$B93,FALSE),""))</f>
        <v/>
      </c>
      <c r="X93" s="488" t="str">
        <f>IF(X$4="","",IF(HLOOKUP(X$4,'Physical Effects-Numbers'!$B$1:$AU$172,$B93,FALSE)&lt;0,HLOOKUP(X$4,'Physical Effects-Numbers'!$B$1:$AU$172,$B93,FALSE),""))</f>
        <v/>
      </c>
      <c r="Y93" s="488" t="str">
        <f>IF(Y$4="","",IF(HLOOKUP(Y$4,'Physical Effects-Numbers'!$B$1:$AU$172,$B93,FALSE)&lt;0,HLOOKUP(Y$4,'Physical Effects-Numbers'!$B$1:$AU$172,$B93,FALSE),""))</f>
        <v/>
      </c>
      <c r="Z93" s="488" t="str">
        <f>IF(Z$4="","",IF(HLOOKUP(Z$4,'Physical Effects-Numbers'!$B$1:$AU$172,$B93,FALSE)&lt;0,HLOOKUP(Z$4,'Physical Effects-Numbers'!$B$1:$AU$172,$B93,FALSE),""))</f>
        <v/>
      </c>
      <c r="AA93" s="488" t="str">
        <f>IF(AA$4="","",IF(HLOOKUP(AA$4,'Physical Effects-Numbers'!$B$1:$AU$172,$B93,FALSE)&lt;0,HLOOKUP(AA$4,'Physical Effects-Numbers'!$B$1:$AU$172,$B93,FALSE),""))</f>
        <v/>
      </c>
      <c r="AB93" s="488" t="str">
        <f>IF(AB$4="","",IF(HLOOKUP(AB$4,'Physical Effects-Numbers'!$B$1:$AU$172,$B93,FALSE)&lt;0,HLOOKUP(AB$4,'Physical Effects-Numbers'!$B$1:$AU$172,$B93,FALSE),""))</f>
        <v/>
      </c>
      <c r="AC93" s="488" t="str">
        <f>IF(AC$4="","",IF(HLOOKUP(AC$4,'Physical Effects-Numbers'!$B$1:$AU$172,$B93,FALSE)&lt;0,HLOOKUP(AC$4,'Physical Effects-Numbers'!$B$1:$AU$172,$B93,FALSE),""))</f>
        <v/>
      </c>
      <c r="AD93" s="488" t="str">
        <f>IF(AD$4="","",IF(HLOOKUP(AD$4,'Physical Effects-Numbers'!$B$1:$AU$172,$B93,FALSE)&lt;0,HLOOKUP(AD$4,'Physical Effects-Numbers'!$B$1:$AU$172,$B93,FALSE),""))</f>
        <v/>
      </c>
      <c r="AE93" s="488" t="str">
        <f>IF(AE$4="","",IF(HLOOKUP(AE$4,'Physical Effects-Numbers'!$B$1:$AU$172,$B93,FALSE)&lt;0,HLOOKUP(AE$4,'Physical Effects-Numbers'!$B$1:$AU$172,$B93,FALSE),""))</f>
        <v/>
      </c>
      <c r="AF93" s="488" t="str">
        <f>IF(AF$4="","",IF(HLOOKUP(AF$4,'Physical Effects-Numbers'!$B$1:$AU$172,$B93,FALSE)&lt;0,HLOOKUP(AF$4,'Physical Effects-Numbers'!$B$1:$AU$172,$B93,FALSE),""))</f>
        <v/>
      </c>
      <c r="AG93" s="488" t="str">
        <f>IF(AG$4="","",IF(HLOOKUP(AG$4,'Physical Effects-Numbers'!$B$1:$AU$172,$B93,FALSE)&lt;0,HLOOKUP(AG$4,'Physical Effects-Numbers'!$B$1:$AU$172,$B93,FALSE),""))</f>
        <v/>
      </c>
      <c r="AH93" s="488" t="str">
        <f>IF(AH$4="","",IF(HLOOKUP(AH$4,'Physical Effects-Numbers'!$B$1:$AU$172,$B93,FALSE)&lt;0,HLOOKUP(AH$4,'Physical Effects-Numbers'!$B$1:$AU$172,$B93,FALSE),""))</f>
        <v/>
      </c>
      <c r="AI93" s="488" t="str">
        <f>IF(AI$4="","",IF(HLOOKUP(AI$4,'Physical Effects-Numbers'!$B$1:$AU$172,$B93,FALSE)&lt;0,HLOOKUP(AI$4,'Physical Effects-Numbers'!$B$1:$AU$172,$B93,FALSE),""))</f>
        <v/>
      </c>
      <c r="AJ93" s="488" t="str">
        <f>IF(AJ$4="","",IF(HLOOKUP(AJ$4,'Physical Effects-Numbers'!$B$1:$AU$172,$B93,FALSE)&lt;0,HLOOKUP(AJ$4,'Physical Effects-Numbers'!$B$1:$AU$172,$B93,FALSE),""))</f>
        <v/>
      </c>
      <c r="AK93" s="488" t="str">
        <f>IF(AK$4="","",IF(HLOOKUP(AK$4,'Physical Effects-Numbers'!$B$1:$AU$172,$B93,FALSE)&lt;0,HLOOKUP(AK$4,'Physical Effects-Numbers'!$B$1:$AU$172,$B93,FALSE),""))</f>
        <v/>
      </c>
      <c r="AL93" s="488" t="str">
        <f>IF(AL$4="","",IF(HLOOKUP(AL$4,'Physical Effects-Numbers'!$B$1:$AU$172,$B93,FALSE)&lt;0,HLOOKUP(AL$4,'Physical Effects-Numbers'!$B$1:$AU$172,$B93,FALSE),""))</f>
        <v/>
      </c>
      <c r="AM93" s="488" t="str">
        <f>IF(AM$4="","",IF(HLOOKUP(AM$4,'Physical Effects-Numbers'!$B$1:$AU$172,$B93,FALSE)&lt;0,HLOOKUP(AM$4,'Physical Effects-Numbers'!$B$1:$AU$172,$B93,FALSE),""))</f>
        <v/>
      </c>
      <c r="AN93" s="488" t="str">
        <f>IF(AN$4="","",IF(HLOOKUP(AN$4,'Physical Effects-Numbers'!$B$1:$AU$172,$B93,FALSE)&lt;0,HLOOKUP(AN$4,'Physical Effects-Numbers'!$B$1:$AU$172,$B93,FALSE),""))</f>
        <v/>
      </c>
      <c r="AO93" s="488" t="str">
        <f>IF(AO$4="","",IF(HLOOKUP(AO$4,'Physical Effects-Numbers'!$B$1:$AU$172,$B93,FALSE)&lt;0,HLOOKUP(AO$4,'Physical Effects-Numbers'!$B$1:$AU$172,$B93,FALSE),""))</f>
        <v/>
      </c>
      <c r="AP93" s="488" t="str">
        <f>IF(AP$4="","",IF(HLOOKUP(AP$4,'Physical Effects-Numbers'!$B$1:$AU$172,$B93,FALSE)&lt;0,HLOOKUP(AP$4,'Physical Effects-Numbers'!$B$1:$AU$172,$B93,FALSE),""))</f>
        <v/>
      </c>
      <c r="AQ93" s="488" t="str">
        <f>IF(AQ$4="","",IF(HLOOKUP(AQ$4,'Physical Effects-Numbers'!$B$1:$AU$172,$B93,FALSE)&lt;0,HLOOKUP(AQ$4,'Physical Effects-Numbers'!$B$1:$AU$172,$B93,FALSE),""))</f>
        <v/>
      </c>
      <c r="AR93" s="488" t="str">
        <f>IF(AR$4="","",IF(HLOOKUP(AR$4,'Physical Effects-Numbers'!$B$1:$AU$172,$B93,FALSE)&lt;0,HLOOKUP(AR$4,'Physical Effects-Numbers'!$B$1:$AU$172,$B93,FALSE),""))</f>
        <v/>
      </c>
      <c r="AS93" s="488" t="str">
        <f>IF(AS$4="","",IF(HLOOKUP(AS$4,'Physical Effects-Numbers'!$B$1:$AU$172,$B93,FALSE)&lt;0,HLOOKUP(AS$4,'Physical Effects-Numbers'!$B$1:$AU$172,$B93,FALSE),""))</f>
        <v/>
      </c>
      <c r="AT93" s="488" t="str">
        <f>IF(AT$4="","",IF(HLOOKUP(AT$4,'Physical Effects-Numbers'!$B$1:$AU$172,$B93,FALSE)&lt;0,HLOOKUP(AT$4,'Physical Effects-Numbers'!$B$1:$AU$172,$B93,FALSE),""))</f>
        <v/>
      </c>
      <c r="AU93" s="488" t="str">
        <f>IF(AU$4="","",IF(HLOOKUP(AU$4,'Physical Effects-Numbers'!$B$1:$AU$172,$B93,FALSE)&lt;0,HLOOKUP(AU$4,'Physical Effects-Numbers'!$B$1:$AU$172,$B93,FALSE),""))</f>
        <v/>
      </c>
      <c r="AV93" s="488" t="str">
        <f>IF(AV$4="","",IF(HLOOKUP(AV$4,'Physical Effects-Numbers'!$B$1:$AU$167,$B93,FALSE)&lt;0,HLOOKUP(AV$4,'Physical Effects-Numbers'!$B$1:$AU$167,$B93,FALSE),""))</f>
        <v/>
      </c>
    </row>
    <row r="94" spans="2:48" x14ac:dyDescent="0.2">
      <c r="B94" s="487">
        <f t="shared" si="1"/>
        <v>91</v>
      </c>
      <c r="C94" s="486" t="str">
        <f>+'Physical Effects-Numbers'!B91</f>
        <v>Mine Shaft &amp; Adit Closing</v>
      </c>
      <c r="D94" s="488" t="str">
        <f>IF(D$4="","",IF(HLOOKUP(D$4,'Physical Effects-Numbers'!$B$1:$AU$172,$B94,FALSE)&lt;0,HLOOKUP(D$4,'Physical Effects-Numbers'!$B$1:$AU$172,$B94,FALSE),""))</f>
        <v/>
      </c>
      <c r="E94" s="488" t="str">
        <f>IF(E$4="","",IF(HLOOKUP(E$4,'Physical Effects-Numbers'!$B$1:$AU$172,$B94,FALSE)&lt;0,HLOOKUP(E$4,'Physical Effects-Numbers'!$B$1:$AU$172,$B94,FALSE),""))</f>
        <v/>
      </c>
      <c r="F94" s="488" t="str">
        <f>IF(F$4="","",IF(HLOOKUP(F$4,'Physical Effects-Numbers'!$B$1:$AU$172,$B94,FALSE)&lt;0,HLOOKUP(F$4,'Physical Effects-Numbers'!$B$1:$AU$172,$B94,FALSE),""))</f>
        <v/>
      </c>
      <c r="G94" s="488" t="str">
        <f>IF(G$4="","",IF(HLOOKUP(G$4,'Physical Effects-Numbers'!$B$1:$AU$172,$B94,FALSE)&lt;0,HLOOKUP(G$4,'Physical Effects-Numbers'!$B$1:$AU$172,$B94,FALSE),""))</f>
        <v/>
      </c>
      <c r="H94" s="488" t="str">
        <f>IF(H$4="","",IF(HLOOKUP(H$4,'Physical Effects-Numbers'!$B$1:$AU$172,$B94,FALSE)&lt;0,HLOOKUP(H$4,'Physical Effects-Numbers'!$B$1:$AU$172,$B94,FALSE),""))</f>
        <v/>
      </c>
      <c r="I94" s="488" t="str">
        <f>IF(I$4="","",IF(HLOOKUP(I$4,'Physical Effects-Numbers'!$B$1:$AU$172,$B94,FALSE)&lt;0,HLOOKUP(I$4,'Physical Effects-Numbers'!$B$1:$AU$172,$B94,FALSE),""))</f>
        <v/>
      </c>
      <c r="J94" s="488" t="str">
        <f>IF(J$4="","",IF(HLOOKUP(J$4,'Physical Effects-Numbers'!$B$1:$AU$172,$B94,FALSE)&lt;0,HLOOKUP(J$4,'Physical Effects-Numbers'!$B$1:$AU$172,$B94,FALSE),""))</f>
        <v/>
      </c>
      <c r="K94" s="488" t="str">
        <f>IF(K$4="","",IF(HLOOKUP(K$4,'Physical Effects-Numbers'!$B$1:$AU$172,$B94,FALSE)&lt;0,HLOOKUP(K$4,'Physical Effects-Numbers'!$B$1:$AU$172,$B94,FALSE),""))</f>
        <v/>
      </c>
      <c r="L94" s="488" t="str">
        <f>IF(L$4="","",IF(HLOOKUP(L$4,'Physical Effects-Numbers'!$B$1:$AU$172,$B94,FALSE)&lt;0,HLOOKUP(L$4,'Physical Effects-Numbers'!$B$1:$AU$172,$B94,FALSE),""))</f>
        <v/>
      </c>
      <c r="M94" s="488" t="str">
        <f>IF(M$4="","",IF(HLOOKUP(M$4,'Physical Effects-Numbers'!$B$1:$AU$172,$B94,FALSE)&lt;0,HLOOKUP(M$4,'Physical Effects-Numbers'!$B$1:$AU$172,$B94,FALSE),""))</f>
        <v/>
      </c>
      <c r="N94" s="488" t="str">
        <f>IF(N$4="","",IF(HLOOKUP(N$4,'Physical Effects-Numbers'!$B$1:$AU$172,$B94,FALSE)&lt;0,HLOOKUP(N$4,'Physical Effects-Numbers'!$B$1:$AU$172,$B94,FALSE),""))</f>
        <v/>
      </c>
      <c r="O94" s="488" t="str">
        <f>IF(O$4="","",IF(HLOOKUP(O$4,'Physical Effects-Numbers'!$B$1:$AU$172,$B94,FALSE)&lt;0,HLOOKUP(O$4,'Physical Effects-Numbers'!$B$1:$AU$172,$B94,FALSE),""))</f>
        <v/>
      </c>
      <c r="P94" s="488" t="str">
        <f>IF(P$4="","",IF(HLOOKUP(P$4,'Physical Effects-Numbers'!$B$1:$AU$172,$B94,FALSE)&lt;0,HLOOKUP(P$4,'Physical Effects-Numbers'!$B$1:$AU$172,$B94,FALSE),""))</f>
        <v/>
      </c>
      <c r="Q94" s="488" t="str">
        <f>IF(Q$4="","",IF(HLOOKUP(Q$4,'Physical Effects-Numbers'!$B$1:$AU$172,$B94,FALSE)&lt;0,HLOOKUP(Q$4,'Physical Effects-Numbers'!$B$1:$AU$172,$B94,FALSE),""))</f>
        <v/>
      </c>
      <c r="R94" s="488" t="str">
        <f>IF(R$4="","",IF(HLOOKUP(R$4,'Physical Effects-Numbers'!$B$1:$AU$172,$B94,FALSE)&lt;0,HLOOKUP(R$4,'Physical Effects-Numbers'!$B$1:$AU$172,$B94,FALSE),""))</f>
        <v/>
      </c>
      <c r="S94" s="488" t="str">
        <f>IF(S$4="","",IF(HLOOKUP(S$4,'Physical Effects-Numbers'!$B$1:$AU$172,$B94,FALSE)&lt;0,HLOOKUP(S$4,'Physical Effects-Numbers'!$B$1:$AU$172,$B94,FALSE),""))</f>
        <v/>
      </c>
      <c r="T94" s="488" t="str">
        <f>IF(T$4="","",IF(HLOOKUP(T$4,'Physical Effects-Numbers'!$B$1:$AU$172,$B94,FALSE)&lt;0,HLOOKUP(T$4,'Physical Effects-Numbers'!$B$1:$AU$172,$B94,FALSE),""))</f>
        <v/>
      </c>
      <c r="U94" s="488" t="str">
        <f>IF(U$4="","",IF(HLOOKUP(U$4,'Physical Effects-Numbers'!$B$1:$AU$172,$B94,FALSE)&lt;0,HLOOKUP(U$4,'Physical Effects-Numbers'!$B$1:$AU$172,$B94,FALSE),""))</f>
        <v/>
      </c>
      <c r="V94" s="488" t="str">
        <f>IF(V$4="","",IF(HLOOKUP(V$4,'Physical Effects-Numbers'!$B$1:$AU$172,$B94,FALSE)&lt;0,HLOOKUP(V$4,'Physical Effects-Numbers'!$B$1:$AU$172,$B94,FALSE),""))</f>
        <v/>
      </c>
      <c r="W94" s="488" t="str">
        <f>IF(W$4="","",IF(HLOOKUP(W$4,'Physical Effects-Numbers'!$B$1:$AU$172,$B94,FALSE)&lt;0,HLOOKUP(W$4,'Physical Effects-Numbers'!$B$1:$AU$172,$B94,FALSE),""))</f>
        <v/>
      </c>
      <c r="X94" s="488" t="str">
        <f>IF(X$4="","",IF(HLOOKUP(X$4,'Physical Effects-Numbers'!$B$1:$AU$172,$B94,FALSE)&lt;0,HLOOKUP(X$4,'Physical Effects-Numbers'!$B$1:$AU$172,$B94,FALSE),""))</f>
        <v/>
      </c>
      <c r="Y94" s="488" t="str">
        <f>IF(Y$4="","",IF(HLOOKUP(Y$4,'Physical Effects-Numbers'!$B$1:$AU$172,$B94,FALSE)&lt;0,HLOOKUP(Y$4,'Physical Effects-Numbers'!$B$1:$AU$172,$B94,FALSE),""))</f>
        <v/>
      </c>
      <c r="Z94" s="488" t="str">
        <f>IF(Z$4="","",IF(HLOOKUP(Z$4,'Physical Effects-Numbers'!$B$1:$AU$172,$B94,FALSE)&lt;0,HLOOKUP(Z$4,'Physical Effects-Numbers'!$B$1:$AU$172,$B94,FALSE),""))</f>
        <v/>
      </c>
      <c r="AA94" s="488" t="str">
        <f>IF(AA$4="","",IF(HLOOKUP(AA$4,'Physical Effects-Numbers'!$B$1:$AU$172,$B94,FALSE)&lt;0,HLOOKUP(AA$4,'Physical Effects-Numbers'!$B$1:$AU$172,$B94,FALSE),""))</f>
        <v/>
      </c>
      <c r="AB94" s="488" t="str">
        <f>IF(AB$4="","",IF(HLOOKUP(AB$4,'Physical Effects-Numbers'!$B$1:$AU$172,$B94,FALSE)&lt;0,HLOOKUP(AB$4,'Physical Effects-Numbers'!$B$1:$AU$172,$B94,FALSE),""))</f>
        <v/>
      </c>
      <c r="AC94" s="488" t="str">
        <f>IF(AC$4="","",IF(HLOOKUP(AC$4,'Physical Effects-Numbers'!$B$1:$AU$172,$B94,FALSE)&lt;0,HLOOKUP(AC$4,'Physical Effects-Numbers'!$B$1:$AU$172,$B94,FALSE),""))</f>
        <v/>
      </c>
      <c r="AD94" s="488" t="str">
        <f>IF(AD$4="","",IF(HLOOKUP(AD$4,'Physical Effects-Numbers'!$B$1:$AU$172,$B94,FALSE)&lt;0,HLOOKUP(AD$4,'Physical Effects-Numbers'!$B$1:$AU$172,$B94,FALSE),""))</f>
        <v/>
      </c>
      <c r="AE94" s="488" t="str">
        <f>IF(AE$4="","",IF(HLOOKUP(AE$4,'Physical Effects-Numbers'!$B$1:$AU$172,$B94,FALSE)&lt;0,HLOOKUP(AE$4,'Physical Effects-Numbers'!$B$1:$AU$172,$B94,FALSE),""))</f>
        <v/>
      </c>
      <c r="AF94" s="488" t="str">
        <f>IF(AF$4="","",IF(HLOOKUP(AF$4,'Physical Effects-Numbers'!$B$1:$AU$172,$B94,FALSE)&lt;0,HLOOKUP(AF$4,'Physical Effects-Numbers'!$B$1:$AU$172,$B94,FALSE),""))</f>
        <v/>
      </c>
      <c r="AG94" s="488" t="str">
        <f>IF(AG$4="","",IF(HLOOKUP(AG$4,'Physical Effects-Numbers'!$B$1:$AU$172,$B94,FALSE)&lt;0,HLOOKUP(AG$4,'Physical Effects-Numbers'!$B$1:$AU$172,$B94,FALSE),""))</f>
        <v/>
      </c>
      <c r="AH94" s="488" t="str">
        <f>IF(AH$4="","",IF(HLOOKUP(AH$4,'Physical Effects-Numbers'!$B$1:$AU$172,$B94,FALSE)&lt;0,HLOOKUP(AH$4,'Physical Effects-Numbers'!$B$1:$AU$172,$B94,FALSE),""))</f>
        <v/>
      </c>
      <c r="AI94" s="488" t="str">
        <f>IF(AI$4="","",IF(HLOOKUP(AI$4,'Physical Effects-Numbers'!$B$1:$AU$172,$B94,FALSE)&lt;0,HLOOKUP(AI$4,'Physical Effects-Numbers'!$B$1:$AU$172,$B94,FALSE),""))</f>
        <v/>
      </c>
      <c r="AJ94" s="488" t="str">
        <f>IF(AJ$4="","",IF(HLOOKUP(AJ$4,'Physical Effects-Numbers'!$B$1:$AU$172,$B94,FALSE)&lt;0,HLOOKUP(AJ$4,'Physical Effects-Numbers'!$B$1:$AU$172,$B94,FALSE),""))</f>
        <v/>
      </c>
      <c r="AK94" s="488" t="str">
        <f>IF(AK$4="","",IF(HLOOKUP(AK$4,'Physical Effects-Numbers'!$B$1:$AU$172,$B94,FALSE)&lt;0,HLOOKUP(AK$4,'Physical Effects-Numbers'!$B$1:$AU$172,$B94,FALSE),""))</f>
        <v/>
      </c>
      <c r="AL94" s="488" t="str">
        <f>IF(AL$4="","",IF(HLOOKUP(AL$4,'Physical Effects-Numbers'!$B$1:$AU$172,$B94,FALSE)&lt;0,HLOOKUP(AL$4,'Physical Effects-Numbers'!$B$1:$AU$172,$B94,FALSE),""))</f>
        <v/>
      </c>
      <c r="AM94" s="488" t="str">
        <f>IF(AM$4="","",IF(HLOOKUP(AM$4,'Physical Effects-Numbers'!$B$1:$AU$172,$B94,FALSE)&lt;0,HLOOKUP(AM$4,'Physical Effects-Numbers'!$B$1:$AU$172,$B94,FALSE),""))</f>
        <v/>
      </c>
      <c r="AN94" s="488" t="str">
        <f>IF(AN$4="","",IF(HLOOKUP(AN$4,'Physical Effects-Numbers'!$B$1:$AU$172,$B94,FALSE)&lt;0,HLOOKUP(AN$4,'Physical Effects-Numbers'!$B$1:$AU$172,$B94,FALSE),""))</f>
        <v/>
      </c>
      <c r="AO94" s="488" t="str">
        <f>IF(AO$4="","",IF(HLOOKUP(AO$4,'Physical Effects-Numbers'!$B$1:$AU$172,$B94,FALSE)&lt;0,HLOOKUP(AO$4,'Physical Effects-Numbers'!$B$1:$AU$172,$B94,FALSE),""))</f>
        <v/>
      </c>
      <c r="AP94" s="488" t="str">
        <f>IF(AP$4="","",IF(HLOOKUP(AP$4,'Physical Effects-Numbers'!$B$1:$AU$172,$B94,FALSE)&lt;0,HLOOKUP(AP$4,'Physical Effects-Numbers'!$B$1:$AU$172,$B94,FALSE),""))</f>
        <v/>
      </c>
      <c r="AQ94" s="488" t="str">
        <f>IF(AQ$4="","",IF(HLOOKUP(AQ$4,'Physical Effects-Numbers'!$B$1:$AU$172,$B94,FALSE)&lt;0,HLOOKUP(AQ$4,'Physical Effects-Numbers'!$B$1:$AU$172,$B94,FALSE),""))</f>
        <v/>
      </c>
      <c r="AR94" s="488" t="str">
        <f>IF(AR$4="","",IF(HLOOKUP(AR$4,'Physical Effects-Numbers'!$B$1:$AU$172,$B94,FALSE)&lt;0,HLOOKUP(AR$4,'Physical Effects-Numbers'!$B$1:$AU$172,$B94,FALSE),""))</f>
        <v/>
      </c>
      <c r="AS94" s="488" t="str">
        <f>IF(AS$4="","",IF(HLOOKUP(AS$4,'Physical Effects-Numbers'!$B$1:$AU$172,$B94,FALSE)&lt;0,HLOOKUP(AS$4,'Physical Effects-Numbers'!$B$1:$AU$172,$B94,FALSE),""))</f>
        <v/>
      </c>
      <c r="AT94" s="488" t="str">
        <f>IF(AT$4="","",IF(HLOOKUP(AT$4,'Physical Effects-Numbers'!$B$1:$AU$172,$B94,FALSE)&lt;0,HLOOKUP(AT$4,'Physical Effects-Numbers'!$B$1:$AU$172,$B94,FALSE),""))</f>
        <v/>
      </c>
      <c r="AU94" s="488" t="str">
        <f>IF(AU$4="","",IF(HLOOKUP(AU$4,'Physical Effects-Numbers'!$B$1:$AU$172,$B94,FALSE)&lt;0,HLOOKUP(AU$4,'Physical Effects-Numbers'!$B$1:$AU$172,$B94,FALSE),""))</f>
        <v/>
      </c>
      <c r="AV94" s="488" t="str">
        <f>IF(AV$4="","",IF(HLOOKUP(AV$4,'Physical Effects-Numbers'!$B$1:$AU$167,$B94,FALSE)&lt;0,HLOOKUP(AV$4,'Physical Effects-Numbers'!$B$1:$AU$167,$B94,FALSE),""))</f>
        <v/>
      </c>
    </row>
    <row r="95" spans="2:48" x14ac:dyDescent="0.2">
      <c r="B95" s="487">
        <f t="shared" si="1"/>
        <v>92</v>
      </c>
      <c r="C95" s="486" t="str">
        <f>+'Physical Effects-Numbers'!B92</f>
        <v>Mole Drain</v>
      </c>
      <c r="D95" s="488" t="str">
        <f>IF(D$4="","",IF(HLOOKUP(D$4,'Physical Effects-Numbers'!$B$1:$AU$172,$B95,FALSE)&lt;0,HLOOKUP(D$4,'Physical Effects-Numbers'!$B$1:$AU$172,$B95,FALSE),""))</f>
        <v/>
      </c>
      <c r="E95" s="488" t="str">
        <f>IF(E$4="","",IF(HLOOKUP(E$4,'Physical Effects-Numbers'!$B$1:$AU$172,$B95,FALSE)&lt;0,HLOOKUP(E$4,'Physical Effects-Numbers'!$B$1:$AU$172,$B95,FALSE),""))</f>
        <v/>
      </c>
      <c r="F95" s="488" t="str">
        <f>IF(F$4="","",IF(HLOOKUP(F$4,'Physical Effects-Numbers'!$B$1:$AU$172,$B95,FALSE)&lt;0,HLOOKUP(F$4,'Physical Effects-Numbers'!$B$1:$AU$172,$B95,FALSE),""))</f>
        <v/>
      </c>
      <c r="G95" s="488" t="str">
        <f>IF(G$4="","",IF(HLOOKUP(G$4,'Physical Effects-Numbers'!$B$1:$AU$172,$B95,FALSE)&lt;0,HLOOKUP(G$4,'Physical Effects-Numbers'!$B$1:$AU$172,$B95,FALSE),""))</f>
        <v/>
      </c>
      <c r="H95" s="488">
        <f>IF(H$4="","",IF(HLOOKUP(H$4,'Physical Effects-Numbers'!$B$1:$AU$172,$B95,FALSE)&lt;0,HLOOKUP(H$4,'Physical Effects-Numbers'!$B$1:$AU$172,$B95,FALSE),""))</f>
        <v>-1</v>
      </c>
      <c r="I95" s="488">
        <f>IF(I$4="","",IF(HLOOKUP(I$4,'Physical Effects-Numbers'!$B$1:$AU$172,$B95,FALSE)&lt;0,HLOOKUP(I$4,'Physical Effects-Numbers'!$B$1:$AU$172,$B95,FALSE),""))</f>
        <v>-2</v>
      </c>
      <c r="J95" s="488" t="str">
        <f>IF(J$4="","",IF(HLOOKUP(J$4,'Physical Effects-Numbers'!$B$1:$AU$172,$B95,FALSE)&lt;0,HLOOKUP(J$4,'Physical Effects-Numbers'!$B$1:$AU$172,$B95,FALSE),""))</f>
        <v/>
      </c>
      <c r="K95" s="488">
        <f>IF(K$4="","",IF(HLOOKUP(K$4,'Physical Effects-Numbers'!$B$1:$AU$172,$B95,FALSE)&lt;0,HLOOKUP(K$4,'Physical Effects-Numbers'!$B$1:$AU$172,$B95,FALSE),""))</f>
        <v>-2</v>
      </c>
      <c r="L95" s="488" t="str">
        <f>IF(L$4="","",IF(HLOOKUP(L$4,'Physical Effects-Numbers'!$B$1:$AU$172,$B95,FALSE)&lt;0,HLOOKUP(L$4,'Physical Effects-Numbers'!$B$1:$AU$172,$B95,FALSE),""))</f>
        <v/>
      </c>
      <c r="M95" s="488" t="str">
        <f>IF(M$4="","",IF(HLOOKUP(M$4,'Physical Effects-Numbers'!$B$1:$AU$172,$B95,FALSE)&lt;0,HLOOKUP(M$4,'Physical Effects-Numbers'!$B$1:$AU$172,$B95,FALSE),""))</f>
        <v/>
      </c>
      <c r="N95" s="488" t="str">
        <f>IF(N$4="","",IF(HLOOKUP(N$4,'Physical Effects-Numbers'!$B$1:$AU$172,$B95,FALSE)&lt;0,HLOOKUP(N$4,'Physical Effects-Numbers'!$B$1:$AU$172,$B95,FALSE),""))</f>
        <v/>
      </c>
      <c r="O95" s="488" t="str">
        <f>IF(O$4="","",IF(HLOOKUP(O$4,'Physical Effects-Numbers'!$B$1:$AU$172,$B95,FALSE)&lt;0,HLOOKUP(O$4,'Physical Effects-Numbers'!$B$1:$AU$172,$B95,FALSE),""))</f>
        <v/>
      </c>
      <c r="P95" s="488" t="str">
        <f>IF(P$4="","",IF(HLOOKUP(P$4,'Physical Effects-Numbers'!$B$1:$AU$172,$B95,FALSE)&lt;0,HLOOKUP(P$4,'Physical Effects-Numbers'!$B$1:$AU$172,$B95,FALSE),""))</f>
        <v/>
      </c>
      <c r="Q95" s="488" t="str">
        <f>IF(Q$4="","",IF(HLOOKUP(Q$4,'Physical Effects-Numbers'!$B$1:$AU$172,$B95,FALSE)&lt;0,HLOOKUP(Q$4,'Physical Effects-Numbers'!$B$1:$AU$172,$B95,FALSE),""))</f>
        <v/>
      </c>
      <c r="R95" s="488" t="str">
        <f>IF(R$4="","",IF(HLOOKUP(R$4,'Physical Effects-Numbers'!$B$1:$AU$172,$B95,FALSE)&lt;0,HLOOKUP(R$4,'Physical Effects-Numbers'!$B$1:$AU$172,$B95,FALSE),""))</f>
        <v/>
      </c>
      <c r="S95" s="488" t="str">
        <f>IF(S$4="","",IF(HLOOKUP(S$4,'Physical Effects-Numbers'!$B$1:$AU$172,$B95,FALSE)&lt;0,HLOOKUP(S$4,'Physical Effects-Numbers'!$B$1:$AU$172,$B95,FALSE),""))</f>
        <v/>
      </c>
      <c r="T95" s="488" t="str">
        <f>IF(T$4="","",IF(HLOOKUP(T$4,'Physical Effects-Numbers'!$B$1:$AU$172,$B95,FALSE)&lt;0,HLOOKUP(T$4,'Physical Effects-Numbers'!$B$1:$AU$172,$B95,FALSE),""))</f>
        <v/>
      </c>
      <c r="U95" s="488">
        <f>IF(U$4="","",IF(HLOOKUP(U$4,'Physical Effects-Numbers'!$B$1:$AU$172,$B95,FALSE)&lt;0,HLOOKUP(U$4,'Physical Effects-Numbers'!$B$1:$AU$172,$B95,FALSE),""))</f>
        <v>-4</v>
      </c>
      <c r="V95" s="488" t="str">
        <f>IF(V$4="","",IF(HLOOKUP(V$4,'Physical Effects-Numbers'!$B$1:$AU$172,$B95,FALSE)&lt;0,HLOOKUP(V$4,'Physical Effects-Numbers'!$B$1:$AU$172,$B95,FALSE),""))</f>
        <v/>
      </c>
      <c r="W95" s="488">
        <f>IF(W$4="","",IF(HLOOKUP(W$4,'Physical Effects-Numbers'!$B$1:$AU$172,$B95,FALSE)&lt;0,HLOOKUP(W$4,'Physical Effects-Numbers'!$B$1:$AU$172,$B95,FALSE),""))</f>
        <v>-2</v>
      </c>
      <c r="X95" s="488" t="str">
        <f>IF(X$4="","",IF(HLOOKUP(X$4,'Physical Effects-Numbers'!$B$1:$AU$172,$B95,FALSE)&lt;0,HLOOKUP(X$4,'Physical Effects-Numbers'!$B$1:$AU$172,$B95,FALSE),""))</f>
        <v/>
      </c>
      <c r="Y95" s="488" t="str">
        <f>IF(Y$4="","",IF(HLOOKUP(Y$4,'Physical Effects-Numbers'!$B$1:$AU$172,$B95,FALSE)&lt;0,HLOOKUP(Y$4,'Physical Effects-Numbers'!$B$1:$AU$172,$B95,FALSE),""))</f>
        <v/>
      </c>
      <c r="Z95" s="488" t="str">
        <f>IF(Z$4="","",IF(HLOOKUP(Z$4,'Physical Effects-Numbers'!$B$1:$AU$172,$B95,FALSE)&lt;0,HLOOKUP(Z$4,'Physical Effects-Numbers'!$B$1:$AU$172,$B95,FALSE),""))</f>
        <v/>
      </c>
      <c r="AA95" s="488" t="str">
        <f>IF(AA$4="","",IF(HLOOKUP(AA$4,'Physical Effects-Numbers'!$B$1:$AU$172,$B95,FALSE)&lt;0,HLOOKUP(AA$4,'Physical Effects-Numbers'!$B$1:$AU$172,$B95,FALSE),""))</f>
        <v/>
      </c>
      <c r="AB95" s="488" t="str">
        <f>IF(AB$4="","",IF(HLOOKUP(AB$4,'Physical Effects-Numbers'!$B$1:$AU$172,$B95,FALSE)&lt;0,HLOOKUP(AB$4,'Physical Effects-Numbers'!$B$1:$AU$172,$B95,FALSE),""))</f>
        <v/>
      </c>
      <c r="AC95" s="488" t="str">
        <f>IF(AC$4="","",IF(HLOOKUP(AC$4,'Physical Effects-Numbers'!$B$1:$AU$172,$B95,FALSE)&lt;0,HLOOKUP(AC$4,'Physical Effects-Numbers'!$B$1:$AU$172,$B95,FALSE),""))</f>
        <v/>
      </c>
      <c r="AD95" s="488" t="str">
        <f>IF(AD$4="","",IF(HLOOKUP(AD$4,'Physical Effects-Numbers'!$B$1:$AU$172,$B95,FALSE)&lt;0,HLOOKUP(AD$4,'Physical Effects-Numbers'!$B$1:$AU$172,$B95,FALSE),""))</f>
        <v/>
      </c>
      <c r="AE95" s="488" t="str">
        <f>IF(AE$4="","",IF(HLOOKUP(AE$4,'Physical Effects-Numbers'!$B$1:$AU$172,$B95,FALSE)&lt;0,HLOOKUP(AE$4,'Physical Effects-Numbers'!$B$1:$AU$172,$B95,FALSE),""))</f>
        <v/>
      </c>
      <c r="AF95" s="488" t="str">
        <f>IF(AF$4="","",IF(HLOOKUP(AF$4,'Physical Effects-Numbers'!$B$1:$AU$172,$B95,FALSE)&lt;0,HLOOKUP(AF$4,'Physical Effects-Numbers'!$B$1:$AU$172,$B95,FALSE),""))</f>
        <v/>
      </c>
      <c r="AG95" s="488" t="str">
        <f>IF(AG$4="","",IF(HLOOKUP(AG$4,'Physical Effects-Numbers'!$B$1:$AU$172,$B95,FALSE)&lt;0,HLOOKUP(AG$4,'Physical Effects-Numbers'!$B$1:$AU$172,$B95,FALSE),""))</f>
        <v/>
      </c>
      <c r="AH95" s="488" t="str">
        <f>IF(AH$4="","",IF(HLOOKUP(AH$4,'Physical Effects-Numbers'!$B$1:$AU$172,$B95,FALSE)&lt;0,HLOOKUP(AH$4,'Physical Effects-Numbers'!$B$1:$AU$172,$B95,FALSE),""))</f>
        <v/>
      </c>
      <c r="AI95" s="488" t="str">
        <f>IF(AI$4="","",IF(HLOOKUP(AI$4,'Physical Effects-Numbers'!$B$1:$AU$172,$B95,FALSE)&lt;0,HLOOKUP(AI$4,'Physical Effects-Numbers'!$B$1:$AU$172,$B95,FALSE),""))</f>
        <v/>
      </c>
      <c r="AJ95" s="488" t="str">
        <f>IF(AJ$4="","",IF(HLOOKUP(AJ$4,'Physical Effects-Numbers'!$B$1:$AU$172,$B95,FALSE)&lt;0,HLOOKUP(AJ$4,'Physical Effects-Numbers'!$B$1:$AU$172,$B95,FALSE),""))</f>
        <v/>
      </c>
      <c r="AK95" s="488" t="str">
        <f>IF(AK$4="","",IF(HLOOKUP(AK$4,'Physical Effects-Numbers'!$B$1:$AU$172,$B95,FALSE)&lt;0,HLOOKUP(AK$4,'Physical Effects-Numbers'!$B$1:$AU$172,$B95,FALSE),""))</f>
        <v/>
      </c>
      <c r="AL95" s="488" t="str">
        <f>IF(AL$4="","",IF(HLOOKUP(AL$4,'Physical Effects-Numbers'!$B$1:$AU$172,$B95,FALSE)&lt;0,HLOOKUP(AL$4,'Physical Effects-Numbers'!$B$1:$AU$172,$B95,FALSE),""))</f>
        <v/>
      </c>
      <c r="AM95" s="488" t="str">
        <f>IF(AM$4="","",IF(HLOOKUP(AM$4,'Physical Effects-Numbers'!$B$1:$AU$172,$B95,FALSE)&lt;0,HLOOKUP(AM$4,'Physical Effects-Numbers'!$B$1:$AU$172,$B95,FALSE),""))</f>
        <v/>
      </c>
      <c r="AN95" s="488" t="str">
        <f>IF(AN$4="","",IF(HLOOKUP(AN$4,'Physical Effects-Numbers'!$B$1:$AU$172,$B95,FALSE)&lt;0,HLOOKUP(AN$4,'Physical Effects-Numbers'!$B$1:$AU$172,$B95,FALSE),""))</f>
        <v/>
      </c>
      <c r="AO95" s="488" t="str">
        <f>IF(AO$4="","",IF(HLOOKUP(AO$4,'Physical Effects-Numbers'!$B$1:$AU$172,$B95,FALSE)&lt;0,HLOOKUP(AO$4,'Physical Effects-Numbers'!$B$1:$AU$172,$B95,FALSE),""))</f>
        <v/>
      </c>
      <c r="AP95" s="488" t="str">
        <f>IF(AP$4="","",IF(HLOOKUP(AP$4,'Physical Effects-Numbers'!$B$1:$AU$172,$B95,FALSE)&lt;0,HLOOKUP(AP$4,'Physical Effects-Numbers'!$B$1:$AU$172,$B95,FALSE),""))</f>
        <v/>
      </c>
      <c r="AQ95" s="488" t="str">
        <f>IF(AQ$4="","",IF(HLOOKUP(AQ$4,'Physical Effects-Numbers'!$B$1:$AU$172,$B95,FALSE)&lt;0,HLOOKUP(AQ$4,'Physical Effects-Numbers'!$B$1:$AU$172,$B95,FALSE),""))</f>
        <v/>
      </c>
      <c r="AR95" s="488" t="str">
        <f>IF(AR$4="","",IF(HLOOKUP(AR$4,'Physical Effects-Numbers'!$B$1:$AU$172,$B95,FALSE)&lt;0,HLOOKUP(AR$4,'Physical Effects-Numbers'!$B$1:$AU$172,$B95,FALSE),""))</f>
        <v/>
      </c>
      <c r="AS95" s="488" t="str">
        <f>IF(AS$4="","",IF(HLOOKUP(AS$4,'Physical Effects-Numbers'!$B$1:$AU$172,$B95,FALSE)&lt;0,HLOOKUP(AS$4,'Physical Effects-Numbers'!$B$1:$AU$172,$B95,FALSE),""))</f>
        <v/>
      </c>
      <c r="AT95" s="488" t="str">
        <f>IF(AT$4="","",IF(HLOOKUP(AT$4,'Physical Effects-Numbers'!$B$1:$AU$172,$B95,FALSE)&lt;0,HLOOKUP(AT$4,'Physical Effects-Numbers'!$B$1:$AU$172,$B95,FALSE),""))</f>
        <v/>
      </c>
      <c r="AU95" s="488" t="str">
        <f>IF(AU$4="","",IF(HLOOKUP(AU$4,'Physical Effects-Numbers'!$B$1:$AU$172,$B95,FALSE)&lt;0,HLOOKUP(AU$4,'Physical Effects-Numbers'!$B$1:$AU$172,$B95,FALSE),""))</f>
        <v/>
      </c>
      <c r="AV95" s="488" t="str">
        <f>IF(AV$4="","",IF(HLOOKUP(AV$4,'Physical Effects-Numbers'!$B$1:$AU$167,$B95,FALSE)&lt;0,HLOOKUP(AV$4,'Physical Effects-Numbers'!$B$1:$AU$167,$B95,FALSE),""))</f>
        <v/>
      </c>
    </row>
    <row r="96" spans="2:48" x14ac:dyDescent="0.2">
      <c r="B96" s="487">
        <f t="shared" si="1"/>
        <v>93</v>
      </c>
      <c r="C96" s="486" t="str">
        <f>+'Physical Effects-Numbers'!B93</f>
        <v>Monitoring Well</v>
      </c>
      <c r="D96" s="488" t="str">
        <f>IF(D$4="","",IF(HLOOKUP(D$4,'Physical Effects-Numbers'!$B$1:$AU$172,$B96,FALSE)&lt;0,HLOOKUP(D$4,'Physical Effects-Numbers'!$B$1:$AU$172,$B96,FALSE),""))</f>
        <v/>
      </c>
      <c r="E96" s="488" t="str">
        <f>IF(E$4="","",IF(HLOOKUP(E$4,'Physical Effects-Numbers'!$B$1:$AU$172,$B96,FALSE)&lt;0,HLOOKUP(E$4,'Physical Effects-Numbers'!$B$1:$AU$172,$B96,FALSE),""))</f>
        <v/>
      </c>
      <c r="F96" s="488" t="str">
        <f>IF(F$4="","",IF(HLOOKUP(F$4,'Physical Effects-Numbers'!$B$1:$AU$172,$B96,FALSE)&lt;0,HLOOKUP(F$4,'Physical Effects-Numbers'!$B$1:$AU$172,$B96,FALSE),""))</f>
        <v/>
      </c>
      <c r="G96" s="488" t="str">
        <f>IF(G$4="","",IF(HLOOKUP(G$4,'Physical Effects-Numbers'!$B$1:$AU$172,$B96,FALSE)&lt;0,HLOOKUP(G$4,'Physical Effects-Numbers'!$B$1:$AU$172,$B96,FALSE),""))</f>
        <v/>
      </c>
      <c r="H96" s="488" t="str">
        <f>IF(H$4="","",IF(HLOOKUP(H$4,'Physical Effects-Numbers'!$B$1:$AU$172,$B96,FALSE)&lt;0,HLOOKUP(H$4,'Physical Effects-Numbers'!$B$1:$AU$172,$B96,FALSE),""))</f>
        <v/>
      </c>
      <c r="I96" s="488" t="str">
        <f>IF(I$4="","",IF(HLOOKUP(I$4,'Physical Effects-Numbers'!$B$1:$AU$172,$B96,FALSE)&lt;0,HLOOKUP(I$4,'Physical Effects-Numbers'!$B$1:$AU$172,$B96,FALSE),""))</f>
        <v/>
      </c>
      <c r="J96" s="488" t="str">
        <f>IF(J$4="","",IF(HLOOKUP(J$4,'Physical Effects-Numbers'!$B$1:$AU$172,$B96,FALSE)&lt;0,HLOOKUP(J$4,'Physical Effects-Numbers'!$B$1:$AU$172,$B96,FALSE),""))</f>
        <v/>
      </c>
      <c r="K96" s="488" t="str">
        <f>IF(K$4="","",IF(HLOOKUP(K$4,'Physical Effects-Numbers'!$B$1:$AU$172,$B96,FALSE)&lt;0,HLOOKUP(K$4,'Physical Effects-Numbers'!$B$1:$AU$172,$B96,FALSE),""))</f>
        <v/>
      </c>
      <c r="L96" s="488" t="str">
        <f>IF(L$4="","",IF(HLOOKUP(L$4,'Physical Effects-Numbers'!$B$1:$AU$172,$B96,FALSE)&lt;0,HLOOKUP(L$4,'Physical Effects-Numbers'!$B$1:$AU$172,$B96,FALSE),""))</f>
        <v/>
      </c>
      <c r="M96" s="488" t="str">
        <f>IF(M$4="","",IF(HLOOKUP(M$4,'Physical Effects-Numbers'!$B$1:$AU$172,$B96,FALSE)&lt;0,HLOOKUP(M$4,'Physical Effects-Numbers'!$B$1:$AU$172,$B96,FALSE),""))</f>
        <v/>
      </c>
      <c r="N96" s="488" t="str">
        <f>IF(N$4="","",IF(HLOOKUP(N$4,'Physical Effects-Numbers'!$B$1:$AU$172,$B96,FALSE)&lt;0,HLOOKUP(N$4,'Physical Effects-Numbers'!$B$1:$AU$172,$B96,FALSE),""))</f>
        <v/>
      </c>
      <c r="O96" s="488" t="str">
        <f>IF(O$4="","",IF(HLOOKUP(O$4,'Physical Effects-Numbers'!$B$1:$AU$172,$B96,FALSE)&lt;0,HLOOKUP(O$4,'Physical Effects-Numbers'!$B$1:$AU$172,$B96,FALSE),""))</f>
        <v/>
      </c>
      <c r="P96" s="488" t="str">
        <f>IF(P$4="","",IF(HLOOKUP(P$4,'Physical Effects-Numbers'!$B$1:$AU$172,$B96,FALSE)&lt;0,HLOOKUP(P$4,'Physical Effects-Numbers'!$B$1:$AU$172,$B96,FALSE),""))</f>
        <v/>
      </c>
      <c r="Q96" s="488" t="str">
        <f>IF(Q$4="","",IF(HLOOKUP(Q$4,'Physical Effects-Numbers'!$B$1:$AU$172,$B96,FALSE)&lt;0,HLOOKUP(Q$4,'Physical Effects-Numbers'!$B$1:$AU$172,$B96,FALSE),""))</f>
        <v/>
      </c>
      <c r="R96" s="488" t="str">
        <f>IF(R$4="","",IF(HLOOKUP(R$4,'Physical Effects-Numbers'!$B$1:$AU$172,$B96,FALSE)&lt;0,HLOOKUP(R$4,'Physical Effects-Numbers'!$B$1:$AU$172,$B96,FALSE),""))</f>
        <v/>
      </c>
      <c r="S96" s="488" t="str">
        <f>IF(S$4="","",IF(HLOOKUP(S$4,'Physical Effects-Numbers'!$B$1:$AU$172,$B96,FALSE)&lt;0,HLOOKUP(S$4,'Physical Effects-Numbers'!$B$1:$AU$172,$B96,FALSE),""))</f>
        <v/>
      </c>
      <c r="T96" s="488" t="str">
        <f>IF(T$4="","",IF(HLOOKUP(T$4,'Physical Effects-Numbers'!$B$1:$AU$172,$B96,FALSE)&lt;0,HLOOKUP(T$4,'Physical Effects-Numbers'!$B$1:$AU$172,$B96,FALSE),""))</f>
        <v/>
      </c>
      <c r="U96" s="488" t="str">
        <f>IF(U$4="","",IF(HLOOKUP(U$4,'Physical Effects-Numbers'!$B$1:$AU$172,$B96,FALSE)&lt;0,HLOOKUP(U$4,'Physical Effects-Numbers'!$B$1:$AU$172,$B96,FALSE),""))</f>
        <v/>
      </c>
      <c r="V96" s="488" t="str">
        <f>IF(V$4="","",IF(HLOOKUP(V$4,'Physical Effects-Numbers'!$B$1:$AU$172,$B96,FALSE)&lt;0,HLOOKUP(V$4,'Physical Effects-Numbers'!$B$1:$AU$172,$B96,FALSE),""))</f>
        <v/>
      </c>
      <c r="W96" s="488" t="str">
        <f>IF(W$4="","",IF(HLOOKUP(W$4,'Physical Effects-Numbers'!$B$1:$AU$172,$B96,FALSE)&lt;0,HLOOKUP(W$4,'Physical Effects-Numbers'!$B$1:$AU$172,$B96,FALSE),""))</f>
        <v/>
      </c>
      <c r="X96" s="488" t="str">
        <f>IF(X$4="","",IF(HLOOKUP(X$4,'Physical Effects-Numbers'!$B$1:$AU$172,$B96,FALSE)&lt;0,HLOOKUP(X$4,'Physical Effects-Numbers'!$B$1:$AU$172,$B96,FALSE),""))</f>
        <v/>
      </c>
      <c r="Y96" s="488" t="str">
        <f>IF(Y$4="","",IF(HLOOKUP(Y$4,'Physical Effects-Numbers'!$B$1:$AU$172,$B96,FALSE)&lt;0,HLOOKUP(Y$4,'Physical Effects-Numbers'!$B$1:$AU$172,$B96,FALSE),""))</f>
        <v/>
      </c>
      <c r="Z96" s="488" t="str">
        <f>IF(Z$4="","",IF(HLOOKUP(Z$4,'Physical Effects-Numbers'!$B$1:$AU$172,$B96,FALSE)&lt;0,HLOOKUP(Z$4,'Physical Effects-Numbers'!$B$1:$AU$172,$B96,FALSE),""))</f>
        <v/>
      </c>
      <c r="AA96" s="488" t="str">
        <f>IF(AA$4="","",IF(HLOOKUP(AA$4,'Physical Effects-Numbers'!$B$1:$AU$172,$B96,FALSE)&lt;0,HLOOKUP(AA$4,'Physical Effects-Numbers'!$B$1:$AU$172,$B96,FALSE),""))</f>
        <v/>
      </c>
      <c r="AB96" s="488" t="str">
        <f>IF(AB$4="","",IF(HLOOKUP(AB$4,'Physical Effects-Numbers'!$B$1:$AU$172,$B96,FALSE)&lt;0,HLOOKUP(AB$4,'Physical Effects-Numbers'!$B$1:$AU$172,$B96,FALSE),""))</f>
        <v/>
      </c>
      <c r="AC96" s="488" t="str">
        <f>IF(AC$4="","",IF(HLOOKUP(AC$4,'Physical Effects-Numbers'!$B$1:$AU$172,$B96,FALSE)&lt;0,HLOOKUP(AC$4,'Physical Effects-Numbers'!$B$1:$AU$172,$B96,FALSE),""))</f>
        <v/>
      </c>
      <c r="AD96" s="488" t="str">
        <f>IF(AD$4="","",IF(HLOOKUP(AD$4,'Physical Effects-Numbers'!$B$1:$AU$172,$B96,FALSE)&lt;0,HLOOKUP(AD$4,'Physical Effects-Numbers'!$B$1:$AU$172,$B96,FALSE),""))</f>
        <v/>
      </c>
      <c r="AE96" s="488" t="str">
        <f>IF(AE$4="","",IF(HLOOKUP(AE$4,'Physical Effects-Numbers'!$B$1:$AU$172,$B96,FALSE)&lt;0,HLOOKUP(AE$4,'Physical Effects-Numbers'!$B$1:$AU$172,$B96,FALSE),""))</f>
        <v/>
      </c>
      <c r="AF96" s="488" t="str">
        <f>IF(AF$4="","",IF(HLOOKUP(AF$4,'Physical Effects-Numbers'!$B$1:$AU$172,$B96,FALSE)&lt;0,HLOOKUP(AF$4,'Physical Effects-Numbers'!$B$1:$AU$172,$B96,FALSE),""))</f>
        <v/>
      </c>
      <c r="AG96" s="488" t="str">
        <f>IF(AG$4="","",IF(HLOOKUP(AG$4,'Physical Effects-Numbers'!$B$1:$AU$172,$B96,FALSE)&lt;0,HLOOKUP(AG$4,'Physical Effects-Numbers'!$B$1:$AU$172,$B96,FALSE),""))</f>
        <v/>
      </c>
      <c r="AH96" s="488" t="str">
        <f>IF(AH$4="","",IF(HLOOKUP(AH$4,'Physical Effects-Numbers'!$B$1:$AU$172,$B96,FALSE)&lt;0,HLOOKUP(AH$4,'Physical Effects-Numbers'!$B$1:$AU$172,$B96,FALSE),""))</f>
        <v/>
      </c>
      <c r="AI96" s="488" t="str">
        <f>IF(AI$4="","",IF(HLOOKUP(AI$4,'Physical Effects-Numbers'!$B$1:$AU$172,$B96,FALSE)&lt;0,HLOOKUP(AI$4,'Physical Effects-Numbers'!$B$1:$AU$172,$B96,FALSE),""))</f>
        <v/>
      </c>
      <c r="AJ96" s="488" t="str">
        <f>IF(AJ$4="","",IF(HLOOKUP(AJ$4,'Physical Effects-Numbers'!$B$1:$AU$172,$B96,FALSE)&lt;0,HLOOKUP(AJ$4,'Physical Effects-Numbers'!$B$1:$AU$172,$B96,FALSE),""))</f>
        <v/>
      </c>
      <c r="AK96" s="488" t="str">
        <f>IF(AK$4="","",IF(HLOOKUP(AK$4,'Physical Effects-Numbers'!$B$1:$AU$172,$B96,FALSE)&lt;0,HLOOKUP(AK$4,'Physical Effects-Numbers'!$B$1:$AU$172,$B96,FALSE),""))</f>
        <v/>
      </c>
      <c r="AL96" s="488" t="str">
        <f>IF(AL$4="","",IF(HLOOKUP(AL$4,'Physical Effects-Numbers'!$B$1:$AU$172,$B96,FALSE)&lt;0,HLOOKUP(AL$4,'Physical Effects-Numbers'!$B$1:$AU$172,$B96,FALSE),""))</f>
        <v/>
      </c>
      <c r="AM96" s="488" t="str">
        <f>IF(AM$4="","",IF(HLOOKUP(AM$4,'Physical Effects-Numbers'!$B$1:$AU$172,$B96,FALSE)&lt;0,HLOOKUP(AM$4,'Physical Effects-Numbers'!$B$1:$AU$172,$B96,FALSE),""))</f>
        <v/>
      </c>
      <c r="AN96" s="488" t="str">
        <f>IF(AN$4="","",IF(HLOOKUP(AN$4,'Physical Effects-Numbers'!$B$1:$AU$172,$B96,FALSE)&lt;0,HLOOKUP(AN$4,'Physical Effects-Numbers'!$B$1:$AU$172,$B96,FALSE),""))</f>
        <v/>
      </c>
      <c r="AO96" s="488" t="str">
        <f>IF(AO$4="","",IF(HLOOKUP(AO$4,'Physical Effects-Numbers'!$B$1:$AU$172,$B96,FALSE)&lt;0,HLOOKUP(AO$4,'Physical Effects-Numbers'!$B$1:$AU$172,$B96,FALSE),""))</f>
        <v/>
      </c>
      <c r="AP96" s="488" t="str">
        <f>IF(AP$4="","",IF(HLOOKUP(AP$4,'Physical Effects-Numbers'!$B$1:$AU$172,$B96,FALSE)&lt;0,HLOOKUP(AP$4,'Physical Effects-Numbers'!$B$1:$AU$172,$B96,FALSE),""))</f>
        <v/>
      </c>
      <c r="AQ96" s="488" t="str">
        <f>IF(AQ$4="","",IF(HLOOKUP(AQ$4,'Physical Effects-Numbers'!$B$1:$AU$172,$B96,FALSE)&lt;0,HLOOKUP(AQ$4,'Physical Effects-Numbers'!$B$1:$AU$172,$B96,FALSE),""))</f>
        <v/>
      </c>
      <c r="AR96" s="488" t="str">
        <f>IF(AR$4="","",IF(HLOOKUP(AR$4,'Physical Effects-Numbers'!$B$1:$AU$172,$B96,FALSE)&lt;0,HLOOKUP(AR$4,'Physical Effects-Numbers'!$B$1:$AU$172,$B96,FALSE),""))</f>
        <v/>
      </c>
      <c r="AS96" s="488" t="str">
        <f>IF(AS$4="","",IF(HLOOKUP(AS$4,'Physical Effects-Numbers'!$B$1:$AU$172,$B96,FALSE)&lt;0,HLOOKUP(AS$4,'Physical Effects-Numbers'!$B$1:$AU$172,$B96,FALSE),""))</f>
        <v/>
      </c>
      <c r="AT96" s="488" t="str">
        <f>IF(AT$4="","",IF(HLOOKUP(AT$4,'Physical Effects-Numbers'!$B$1:$AU$172,$B96,FALSE)&lt;0,HLOOKUP(AT$4,'Physical Effects-Numbers'!$B$1:$AU$172,$B96,FALSE),""))</f>
        <v/>
      </c>
      <c r="AU96" s="488" t="str">
        <f>IF(AU$4="","",IF(HLOOKUP(AU$4,'Physical Effects-Numbers'!$B$1:$AU$172,$B96,FALSE)&lt;0,HLOOKUP(AU$4,'Physical Effects-Numbers'!$B$1:$AU$172,$B96,FALSE),""))</f>
        <v/>
      </c>
      <c r="AV96" s="488" t="str">
        <f>IF(AV$4="","",IF(HLOOKUP(AV$4,'Physical Effects-Numbers'!$B$1:$AU$167,$B96,FALSE)&lt;0,HLOOKUP(AV$4,'Physical Effects-Numbers'!$B$1:$AU$167,$B96,FALSE),""))</f>
        <v/>
      </c>
    </row>
    <row r="97" spans="2:48" x14ac:dyDescent="0.2">
      <c r="B97" s="487">
        <f t="shared" si="1"/>
        <v>94</v>
      </c>
      <c r="C97" s="486" t="str">
        <f>+'Physical Effects-Numbers'!B94</f>
        <v>Mulching</v>
      </c>
      <c r="D97" s="488" t="str">
        <f>IF(D$4="","",IF(HLOOKUP(D$4,'Physical Effects-Numbers'!$B$1:$AU$172,$B97,FALSE)&lt;0,HLOOKUP(D$4,'Physical Effects-Numbers'!$B$1:$AU$172,$B97,FALSE),""))</f>
        <v/>
      </c>
      <c r="E97" s="488" t="str">
        <f>IF(E$4="","",IF(HLOOKUP(E$4,'Physical Effects-Numbers'!$B$1:$AU$172,$B97,FALSE)&lt;0,HLOOKUP(E$4,'Physical Effects-Numbers'!$B$1:$AU$172,$B97,FALSE),""))</f>
        <v/>
      </c>
      <c r="F97" s="488" t="str">
        <f>IF(F$4="","",IF(HLOOKUP(F$4,'Physical Effects-Numbers'!$B$1:$AU$172,$B97,FALSE)&lt;0,HLOOKUP(F$4,'Physical Effects-Numbers'!$B$1:$AU$172,$B97,FALSE),""))</f>
        <v/>
      </c>
      <c r="G97" s="488" t="str">
        <f>IF(G$4="","",IF(HLOOKUP(G$4,'Physical Effects-Numbers'!$B$1:$AU$172,$B97,FALSE)&lt;0,HLOOKUP(G$4,'Physical Effects-Numbers'!$B$1:$AU$172,$B97,FALSE),""))</f>
        <v/>
      </c>
      <c r="H97" s="488" t="str">
        <f>IF(H$4="","",IF(HLOOKUP(H$4,'Physical Effects-Numbers'!$B$1:$AU$172,$B97,FALSE)&lt;0,HLOOKUP(H$4,'Physical Effects-Numbers'!$B$1:$AU$172,$B97,FALSE),""))</f>
        <v/>
      </c>
      <c r="I97" s="488" t="str">
        <f>IF(I$4="","",IF(HLOOKUP(I$4,'Physical Effects-Numbers'!$B$1:$AU$172,$B97,FALSE)&lt;0,HLOOKUP(I$4,'Physical Effects-Numbers'!$B$1:$AU$172,$B97,FALSE),""))</f>
        <v/>
      </c>
      <c r="J97" s="488" t="str">
        <f>IF(J$4="","",IF(HLOOKUP(J$4,'Physical Effects-Numbers'!$B$1:$AU$172,$B97,FALSE)&lt;0,HLOOKUP(J$4,'Physical Effects-Numbers'!$B$1:$AU$172,$B97,FALSE),""))</f>
        <v/>
      </c>
      <c r="K97" s="488" t="str">
        <f>IF(K$4="","",IF(HLOOKUP(K$4,'Physical Effects-Numbers'!$B$1:$AU$172,$B97,FALSE)&lt;0,HLOOKUP(K$4,'Physical Effects-Numbers'!$B$1:$AU$172,$B97,FALSE),""))</f>
        <v/>
      </c>
      <c r="L97" s="488" t="str">
        <f>IF(L$4="","",IF(HLOOKUP(L$4,'Physical Effects-Numbers'!$B$1:$AU$172,$B97,FALSE)&lt;0,HLOOKUP(L$4,'Physical Effects-Numbers'!$B$1:$AU$172,$B97,FALSE),""))</f>
        <v/>
      </c>
      <c r="M97" s="488">
        <f>IF(M$4="","",IF(HLOOKUP(M$4,'Physical Effects-Numbers'!$B$1:$AU$172,$B97,FALSE)&lt;0,HLOOKUP(M$4,'Physical Effects-Numbers'!$B$1:$AU$172,$B97,FALSE),""))</f>
        <v>-1</v>
      </c>
      <c r="N97" s="488" t="str">
        <f>IF(N$4="","",IF(HLOOKUP(N$4,'Physical Effects-Numbers'!$B$1:$AU$172,$B97,FALSE)&lt;0,HLOOKUP(N$4,'Physical Effects-Numbers'!$B$1:$AU$172,$B97,FALSE),""))</f>
        <v/>
      </c>
      <c r="O97" s="488">
        <f>IF(O$4="","",IF(HLOOKUP(O$4,'Physical Effects-Numbers'!$B$1:$AU$172,$B97,FALSE)&lt;0,HLOOKUP(O$4,'Physical Effects-Numbers'!$B$1:$AU$172,$B97,FALSE),""))</f>
        <v>-1</v>
      </c>
      <c r="P97" s="488" t="str">
        <f>IF(P$4="","",IF(HLOOKUP(P$4,'Physical Effects-Numbers'!$B$1:$AU$172,$B97,FALSE)&lt;0,HLOOKUP(P$4,'Physical Effects-Numbers'!$B$1:$AU$172,$B97,FALSE),""))</f>
        <v/>
      </c>
      <c r="Q97" s="488" t="str">
        <f>IF(Q$4="","",IF(HLOOKUP(Q$4,'Physical Effects-Numbers'!$B$1:$AU$172,$B97,FALSE)&lt;0,HLOOKUP(Q$4,'Physical Effects-Numbers'!$B$1:$AU$172,$B97,FALSE),""))</f>
        <v/>
      </c>
      <c r="R97" s="488" t="str">
        <f>IF(R$4="","",IF(HLOOKUP(R$4,'Physical Effects-Numbers'!$B$1:$AU$172,$B97,FALSE)&lt;0,HLOOKUP(R$4,'Physical Effects-Numbers'!$B$1:$AU$172,$B97,FALSE),""))</f>
        <v/>
      </c>
      <c r="S97" s="488" t="str">
        <f>IF(S$4="","",IF(HLOOKUP(S$4,'Physical Effects-Numbers'!$B$1:$AU$172,$B97,FALSE)&lt;0,HLOOKUP(S$4,'Physical Effects-Numbers'!$B$1:$AU$172,$B97,FALSE),""))</f>
        <v/>
      </c>
      <c r="T97" s="488" t="str">
        <f>IF(T$4="","",IF(HLOOKUP(T$4,'Physical Effects-Numbers'!$B$1:$AU$172,$B97,FALSE)&lt;0,HLOOKUP(T$4,'Physical Effects-Numbers'!$B$1:$AU$172,$B97,FALSE),""))</f>
        <v/>
      </c>
      <c r="U97" s="488" t="str">
        <f>IF(U$4="","",IF(HLOOKUP(U$4,'Physical Effects-Numbers'!$B$1:$AU$172,$B97,FALSE)&lt;0,HLOOKUP(U$4,'Physical Effects-Numbers'!$B$1:$AU$172,$B97,FALSE),""))</f>
        <v/>
      </c>
      <c r="V97" s="488">
        <f>IF(V$4="","",IF(HLOOKUP(V$4,'Physical Effects-Numbers'!$B$1:$AU$172,$B97,FALSE)&lt;0,HLOOKUP(V$4,'Physical Effects-Numbers'!$B$1:$AU$172,$B97,FALSE),""))</f>
        <v>-1</v>
      </c>
      <c r="W97" s="488" t="str">
        <f>IF(W$4="","",IF(HLOOKUP(W$4,'Physical Effects-Numbers'!$B$1:$AU$172,$B97,FALSE)&lt;0,HLOOKUP(W$4,'Physical Effects-Numbers'!$B$1:$AU$172,$B97,FALSE),""))</f>
        <v/>
      </c>
      <c r="X97" s="488">
        <f>IF(X$4="","",IF(HLOOKUP(X$4,'Physical Effects-Numbers'!$B$1:$AU$172,$B97,FALSE)&lt;0,HLOOKUP(X$4,'Physical Effects-Numbers'!$B$1:$AU$172,$B97,FALSE),""))</f>
        <v>-1</v>
      </c>
      <c r="Y97" s="488" t="str">
        <f>IF(Y$4="","",IF(HLOOKUP(Y$4,'Physical Effects-Numbers'!$B$1:$AU$172,$B97,FALSE)&lt;0,HLOOKUP(Y$4,'Physical Effects-Numbers'!$B$1:$AU$172,$B97,FALSE),""))</f>
        <v/>
      </c>
      <c r="Z97" s="488" t="str">
        <f>IF(Z$4="","",IF(HLOOKUP(Z$4,'Physical Effects-Numbers'!$B$1:$AU$172,$B97,FALSE)&lt;0,HLOOKUP(Z$4,'Physical Effects-Numbers'!$B$1:$AU$172,$B97,FALSE),""))</f>
        <v/>
      </c>
      <c r="AA97" s="488" t="str">
        <f>IF(AA$4="","",IF(HLOOKUP(AA$4,'Physical Effects-Numbers'!$B$1:$AU$172,$B97,FALSE)&lt;0,HLOOKUP(AA$4,'Physical Effects-Numbers'!$B$1:$AU$172,$B97,FALSE),""))</f>
        <v/>
      </c>
      <c r="AB97" s="488" t="str">
        <f>IF(AB$4="","",IF(HLOOKUP(AB$4,'Physical Effects-Numbers'!$B$1:$AU$172,$B97,FALSE)&lt;0,HLOOKUP(AB$4,'Physical Effects-Numbers'!$B$1:$AU$172,$B97,FALSE),""))</f>
        <v/>
      </c>
      <c r="AC97" s="488" t="str">
        <f>IF(AC$4="","",IF(HLOOKUP(AC$4,'Physical Effects-Numbers'!$B$1:$AU$172,$B97,FALSE)&lt;0,HLOOKUP(AC$4,'Physical Effects-Numbers'!$B$1:$AU$172,$B97,FALSE),""))</f>
        <v/>
      </c>
      <c r="AD97" s="488" t="str">
        <f>IF(AD$4="","",IF(HLOOKUP(AD$4,'Physical Effects-Numbers'!$B$1:$AU$172,$B97,FALSE)&lt;0,HLOOKUP(AD$4,'Physical Effects-Numbers'!$B$1:$AU$172,$B97,FALSE),""))</f>
        <v/>
      </c>
      <c r="AE97" s="488" t="str">
        <f>IF(AE$4="","",IF(HLOOKUP(AE$4,'Physical Effects-Numbers'!$B$1:$AU$172,$B97,FALSE)&lt;0,HLOOKUP(AE$4,'Physical Effects-Numbers'!$B$1:$AU$172,$B97,FALSE),""))</f>
        <v/>
      </c>
      <c r="AF97" s="488" t="str">
        <f>IF(AF$4="","",IF(HLOOKUP(AF$4,'Physical Effects-Numbers'!$B$1:$AU$172,$B97,FALSE)&lt;0,HLOOKUP(AF$4,'Physical Effects-Numbers'!$B$1:$AU$172,$B97,FALSE),""))</f>
        <v/>
      </c>
      <c r="AG97" s="488" t="str">
        <f>IF(AG$4="","",IF(HLOOKUP(AG$4,'Physical Effects-Numbers'!$B$1:$AU$172,$B97,FALSE)&lt;0,HLOOKUP(AG$4,'Physical Effects-Numbers'!$B$1:$AU$172,$B97,FALSE),""))</f>
        <v/>
      </c>
      <c r="AH97" s="488" t="str">
        <f>IF(AH$4="","",IF(HLOOKUP(AH$4,'Physical Effects-Numbers'!$B$1:$AU$172,$B97,FALSE)&lt;0,HLOOKUP(AH$4,'Physical Effects-Numbers'!$B$1:$AU$172,$B97,FALSE),""))</f>
        <v/>
      </c>
      <c r="AI97" s="488" t="str">
        <f>IF(AI$4="","",IF(HLOOKUP(AI$4,'Physical Effects-Numbers'!$B$1:$AU$172,$B97,FALSE)&lt;0,HLOOKUP(AI$4,'Physical Effects-Numbers'!$B$1:$AU$172,$B97,FALSE),""))</f>
        <v/>
      </c>
      <c r="AJ97" s="488" t="str">
        <f>IF(AJ$4="","",IF(HLOOKUP(AJ$4,'Physical Effects-Numbers'!$B$1:$AU$172,$B97,FALSE)&lt;0,HLOOKUP(AJ$4,'Physical Effects-Numbers'!$B$1:$AU$172,$B97,FALSE),""))</f>
        <v/>
      </c>
      <c r="AK97" s="488" t="str">
        <f>IF(AK$4="","",IF(HLOOKUP(AK$4,'Physical Effects-Numbers'!$B$1:$AU$172,$B97,FALSE)&lt;0,HLOOKUP(AK$4,'Physical Effects-Numbers'!$B$1:$AU$172,$B97,FALSE),""))</f>
        <v/>
      </c>
      <c r="AL97" s="488" t="str">
        <f>IF(AL$4="","",IF(HLOOKUP(AL$4,'Physical Effects-Numbers'!$B$1:$AU$172,$B97,FALSE)&lt;0,HLOOKUP(AL$4,'Physical Effects-Numbers'!$B$1:$AU$172,$B97,FALSE),""))</f>
        <v/>
      </c>
      <c r="AM97" s="488" t="str">
        <f>IF(AM$4="","",IF(HLOOKUP(AM$4,'Physical Effects-Numbers'!$B$1:$AU$172,$B97,FALSE)&lt;0,HLOOKUP(AM$4,'Physical Effects-Numbers'!$B$1:$AU$172,$B97,FALSE),""))</f>
        <v/>
      </c>
      <c r="AN97" s="488" t="str">
        <f>IF(AN$4="","",IF(HLOOKUP(AN$4,'Physical Effects-Numbers'!$B$1:$AU$172,$B97,FALSE)&lt;0,HLOOKUP(AN$4,'Physical Effects-Numbers'!$B$1:$AU$172,$B97,FALSE),""))</f>
        <v/>
      </c>
      <c r="AO97" s="488" t="str">
        <f>IF(AO$4="","",IF(HLOOKUP(AO$4,'Physical Effects-Numbers'!$B$1:$AU$172,$B97,FALSE)&lt;0,HLOOKUP(AO$4,'Physical Effects-Numbers'!$B$1:$AU$172,$B97,FALSE),""))</f>
        <v/>
      </c>
      <c r="AP97" s="488" t="str">
        <f>IF(AP$4="","",IF(HLOOKUP(AP$4,'Physical Effects-Numbers'!$B$1:$AU$172,$B97,FALSE)&lt;0,HLOOKUP(AP$4,'Physical Effects-Numbers'!$B$1:$AU$172,$B97,FALSE),""))</f>
        <v/>
      </c>
      <c r="AQ97" s="488" t="str">
        <f>IF(AQ$4="","",IF(HLOOKUP(AQ$4,'Physical Effects-Numbers'!$B$1:$AU$172,$B97,FALSE)&lt;0,HLOOKUP(AQ$4,'Physical Effects-Numbers'!$B$1:$AU$172,$B97,FALSE),""))</f>
        <v/>
      </c>
      <c r="AR97" s="488" t="str">
        <f>IF(AR$4="","",IF(HLOOKUP(AR$4,'Physical Effects-Numbers'!$B$1:$AU$172,$B97,FALSE)&lt;0,HLOOKUP(AR$4,'Physical Effects-Numbers'!$B$1:$AU$172,$B97,FALSE),""))</f>
        <v/>
      </c>
      <c r="AS97" s="488" t="str">
        <f>IF(AS$4="","",IF(HLOOKUP(AS$4,'Physical Effects-Numbers'!$B$1:$AU$172,$B97,FALSE)&lt;0,HLOOKUP(AS$4,'Physical Effects-Numbers'!$B$1:$AU$172,$B97,FALSE),""))</f>
        <v/>
      </c>
      <c r="AT97" s="488" t="str">
        <f>IF(AT$4="","",IF(HLOOKUP(AT$4,'Physical Effects-Numbers'!$B$1:$AU$172,$B97,FALSE)&lt;0,HLOOKUP(AT$4,'Physical Effects-Numbers'!$B$1:$AU$172,$B97,FALSE),""))</f>
        <v/>
      </c>
      <c r="AU97" s="488" t="str">
        <f>IF(AU$4="","",IF(HLOOKUP(AU$4,'Physical Effects-Numbers'!$B$1:$AU$172,$B97,FALSE)&lt;0,HLOOKUP(AU$4,'Physical Effects-Numbers'!$B$1:$AU$172,$B97,FALSE),""))</f>
        <v/>
      </c>
      <c r="AV97" s="488" t="str">
        <f>IF(AV$4="","",IF(HLOOKUP(AV$4,'Physical Effects-Numbers'!$B$1:$AU$167,$B97,FALSE)&lt;0,HLOOKUP(AV$4,'Physical Effects-Numbers'!$B$1:$AU$167,$B97,FALSE),""))</f>
        <v/>
      </c>
    </row>
    <row r="98" spans="2:48" x14ac:dyDescent="0.2">
      <c r="B98" s="487">
        <f t="shared" si="1"/>
        <v>95</v>
      </c>
      <c r="C98" s="486" t="str">
        <f>+'Physical Effects-Numbers'!B95</f>
        <v>Multi-Story Cropping</v>
      </c>
      <c r="D98" s="488" t="str">
        <f>IF(D$4="","",IF(HLOOKUP(D$4,'Physical Effects-Numbers'!$B$1:$AU$172,$B98,FALSE)&lt;0,HLOOKUP(D$4,'Physical Effects-Numbers'!$B$1:$AU$172,$B98,FALSE),""))</f>
        <v/>
      </c>
      <c r="E98" s="488" t="str">
        <f>IF(E$4="","",IF(HLOOKUP(E$4,'Physical Effects-Numbers'!$B$1:$AU$172,$B98,FALSE)&lt;0,HLOOKUP(E$4,'Physical Effects-Numbers'!$B$1:$AU$172,$B98,FALSE),""))</f>
        <v/>
      </c>
      <c r="F98" s="488" t="str">
        <f>IF(F$4="","",IF(HLOOKUP(F$4,'Physical Effects-Numbers'!$B$1:$AU$172,$B98,FALSE)&lt;0,HLOOKUP(F$4,'Physical Effects-Numbers'!$B$1:$AU$172,$B98,FALSE),""))</f>
        <v/>
      </c>
      <c r="G98" s="488" t="str">
        <f>IF(G$4="","",IF(HLOOKUP(G$4,'Physical Effects-Numbers'!$B$1:$AU$172,$B98,FALSE)&lt;0,HLOOKUP(G$4,'Physical Effects-Numbers'!$B$1:$AU$172,$B98,FALSE),""))</f>
        <v/>
      </c>
      <c r="H98" s="488" t="str">
        <f>IF(H$4="","",IF(HLOOKUP(H$4,'Physical Effects-Numbers'!$B$1:$AU$172,$B98,FALSE)&lt;0,HLOOKUP(H$4,'Physical Effects-Numbers'!$B$1:$AU$172,$B98,FALSE),""))</f>
        <v/>
      </c>
      <c r="I98" s="488" t="str">
        <f>IF(I$4="","",IF(HLOOKUP(I$4,'Physical Effects-Numbers'!$B$1:$AU$172,$B98,FALSE)&lt;0,HLOOKUP(I$4,'Physical Effects-Numbers'!$B$1:$AU$172,$B98,FALSE),""))</f>
        <v/>
      </c>
      <c r="J98" s="488" t="str">
        <f>IF(J$4="","",IF(HLOOKUP(J$4,'Physical Effects-Numbers'!$B$1:$AU$172,$B98,FALSE)&lt;0,HLOOKUP(J$4,'Physical Effects-Numbers'!$B$1:$AU$172,$B98,FALSE),""))</f>
        <v/>
      </c>
      <c r="K98" s="488" t="str">
        <f>IF(K$4="","",IF(HLOOKUP(K$4,'Physical Effects-Numbers'!$B$1:$AU$172,$B98,FALSE)&lt;0,HLOOKUP(K$4,'Physical Effects-Numbers'!$B$1:$AU$172,$B98,FALSE),""))</f>
        <v/>
      </c>
      <c r="L98" s="488" t="str">
        <f>IF(L$4="","",IF(HLOOKUP(L$4,'Physical Effects-Numbers'!$B$1:$AU$172,$B98,FALSE)&lt;0,HLOOKUP(L$4,'Physical Effects-Numbers'!$B$1:$AU$172,$B98,FALSE),""))</f>
        <v/>
      </c>
      <c r="M98" s="488" t="str">
        <f>IF(M$4="","",IF(HLOOKUP(M$4,'Physical Effects-Numbers'!$B$1:$AU$172,$B98,FALSE)&lt;0,HLOOKUP(M$4,'Physical Effects-Numbers'!$B$1:$AU$172,$B98,FALSE),""))</f>
        <v/>
      </c>
      <c r="N98" s="488" t="str">
        <f>IF(N$4="","",IF(HLOOKUP(N$4,'Physical Effects-Numbers'!$B$1:$AU$172,$B98,FALSE)&lt;0,HLOOKUP(N$4,'Physical Effects-Numbers'!$B$1:$AU$172,$B98,FALSE),""))</f>
        <v/>
      </c>
      <c r="O98" s="488" t="str">
        <f>IF(O$4="","",IF(HLOOKUP(O$4,'Physical Effects-Numbers'!$B$1:$AU$172,$B98,FALSE)&lt;0,HLOOKUP(O$4,'Physical Effects-Numbers'!$B$1:$AU$172,$B98,FALSE),""))</f>
        <v/>
      </c>
      <c r="P98" s="488" t="str">
        <f>IF(P$4="","",IF(HLOOKUP(P$4,'Physical Effects-Numbers'!$B$1:$AU$172,$B98,FALSE)&lt;0,HLOOKUP(P$4,'Physical Effects-Numbers'!$B$1:$AU$172,$B98,FALSE),""))</f>
        <v/>
      </c>
      <c r="Q98" s="488" t="str">
        <f>IF(Q$4="","",IF(HLOOKUP(Q$4,'Physical Effects-Numbers'!$B$1:$AU$172,$B98,FALSE)&lt;0,HLOOKUP(Q$4,'Physical Effects-Numbers'!$B$1:$AU$172,$B98,FALSE),""))</f>
        <v/>
      </c>
      <c r="R98" s="488" t="str">
        <f>IF(R$4="","",IF(HLOOKUP(R$4,'Physical Effects-Numbers'!$B$1:$AU$172,$B98,FALSE)&lt;0,HLOOKUP(R$4,'Physical Effects-Numbers'!$B$1:$AU$172,$B98,FALSE),""))</f>
        <v/>
      </c>
      <c r="S98" s="488" t="str">
        <f>IF(S$4="","",IF(HLOOKUP(S$4,'Physical Effects-Numbers'!$B$1:$AU$172,$B98,FALSE)&lt;0,HLOOKUP(S$4,'Physical Effects-Numbers'!$B$1:$AU$172,$B98,FALSE),""))</f>
        <v/>
      </c>
      <c r="T98" s="488" t="str">
        <f>IF(T$4="","",IF(HLOOKUP(T$4,'Physical Effects-Numbers'!$B$1:$AU$172,$B98,FALSE)&lt;0,HLOOKUP(T$4,'Physical Effects-Numbers'!$B$1:$AU$172,$B98,FALSE),""))</f>
        <v/>
      </c>
      <c r="U98" s="488" t="str">
        <f>IF(U$4="","",IF(HLOOKUP(U$4,'Physical Effects-Numbers'!$B$1:$AU$172,$B98,FALSE)&lt;0,HLOOKUP(U$4,'Physical Effects-Numbers'!$B$1:$AU$172,$B98,FALSE),""))</f>
        <v/>
      </c>
      <c r="V98" s="488" t="str">
        <f>IF(V$4="","",IF(HLOOKUP(V$4,'Physical Effects-Numbers'!$B$1:$AU$172,$B98,FALSE)&lt;0,HLOOKUP(V$4,'Physical Effects-Numbers'!$B$1:$AU$172,$B98,FALSE),""))</f>
        <v/>
      </c>
      <c r="W98" s="488" t="str">
        <f>IF(W$4="","",IF(HLOOKUP(W$4,'Physical Effects-Numbers'!$B$1:$AU$172,$B98,FALSE)&lt;0,HLOOKUP(W$4,'Physical Effects-Numbers'!$B$1:$AU$172,$B98,FALSE),""))</f>
        <v/>
      </c>
      <c r="X98" s="488" t="str">
        <f>IF(X$4="","",IF(HLOOKUP(X$4,'Physical Effects-Numbers'!$B$1:$AU$172,$B98,FALSE)&lt;0,HLOOKUP(X$4,'Physical Effects-Numbers'!$B$1:$AU$172,$B98,FALSE),""))</f>
        <v/>
      </c>
      <c r="Y98" s="488" t="str">
        <f>IF(Y$4="","",IF(HLOOKUP(Y$4,'Physical Effects-Numbers'!$B$1:$AU$172,$B98,FALSE)&lt;0,HLOOKUP(Y$4,'Physical Effects-Numbers'!$B$1:$AU$172,$B98,FALSE),""))</f>
        <v/>
      </c>
      <c r="Z98" s="488" t="str">
        <f>IF(Z$4="","",IF(HLOOKUP(Z$4,'Physical Effects-Numbers'!$B$1:$AU$172,$B98,FALSE)&lt;0,HLOOKUP(Z$4,'Physical Effects-Numbers'!$B$1:$AU$172,$B98,FALSE),""))</f>
        <v/>
      </c>
      <c r="AA98" s="488" t="str">
        <f>IF(AA$4="","",IF(HLOOKUP(AA$4,'Physical Effects-Numbers'!$B$1:$AU$172,$B98,FALSE)&lt;0,HLOOKUP(AA$4,'Physical Effects-Numbers'!$B$1:$AU$172,$B98,FALSE),""))</f>
        <v/>
      </c>
      <c r="AB98" s="488" t="str">
        <f>IF(AB$4="","",IF(HLOOKUP(AB$4,'Physical Effects-Numbers'!$B$1:$AU$172,$B98,FALSE)&lt;0,HLOOKUP(AB$4,'Physical Effects-Numbers'!$B$1:$AU$172,$B98,FALSE),""))</f>
        <v/>
      </c>
      <c r="AC98" s="488" t="str">
        <f>IF(AC$4="","",IF(HLOOKUP(AC$4,'Physical Effects-Numbers'!$B$1:$AU$172,$B98,FALSE)&lt;0,HLOOKUP(AC$4,'Physical Effects-Numbers'!$B$1:$AU$172,$B98,FALSE),""))</f>
        <v/>
      </c>
      <c r="AD98" s="488" t="str">
        <f>IF(AD$4="","",IF(HLOOKUP(AD$4,'Physical Effects-Numbers'!$B$1:$AU$172,$B98,FALSE)&lt;0,HLOOKUP(AD$4,'Physical Effects-Numbers'!$B$1:$AU$172,$B98,FALSE),""))</f>
        <v/>
      </c>
      <c r="AE98" s="488" t="str">
        <f>IF(AE$4="","",IF(HLOOKUP(AE$4,'Physical Effects-Numbers'!$B$1:$AU$172,$B98,FALSE)&lt;0,HLOOKUP(AE$4,'Physical Effects-Numbers'!$B$1:$AU$172,$B98,FALSE),""))</f>
        <v/>
      </c>
      <c r="AF98" s="488" t="str">
        <f>IF(AF$4="","",IF(HLOOKUP(AF$4,'Physical Effects-Numbers'!$B$1:$AU$172,$B98,FALSE)&lt;0,HLOOKUP(AF$4,'Physical Effects-Numbers'!$B$1:$AU$172,$B98,FALSE),""))</f>
        <v/>
      </c>
      <c r="AG98" s="488" t="str">
        <f>IF(AG$4="","",IF(HLOOKUP(AG$4,'Physical Effects-Numbers'!$B$1:$AU$172,$B98,FALSE)&lt;0,HLOOKUP(AG$4,'Physical Effects-Numbers'!$B$1:$AU$172,$B98,FALSE),""))</f>
        <v/>
      </c>
      <c r="AH98" s="488" t="str">
        <f>IF(AH$4="","",IF(HLOOKUP(AH$4,'Physical Effects-Numbers'!$B$1:$AU$172,$B98,FALSE)&lt;0,HLOOKUP(AH$4,'Physical Effects-Numbers'!$B$1:$AU$172,$B98,FALSE),""))</f>
        <v/>
      </c>
      <c r="AI98" s="488" t="str">
        <f>IF(AI$4="","",IF(HLOOKUP(AI$4,'Physical Effects-Numbers'!$B$1:$AU$172,$B98,FALSE)&lt;0,HLOOKUP(AI$4,'Physical Effects-Numbers'!$B$1:$AU$172,$B98,FALSE),""))</f>
        <v/>
      </c>
      <c r="AJ98" s="488" t="str">
        <f>IF(AJ$4="","",IF(HLOOKUP(AJ$4,'Physical Effects-Numbers'!$B$1:$AU$172,$B98,FALSE)&lt;0,HLOOKUP(AJ$4,'Physical Effects-Numbers'!$B$1:$AU$172,$B98,FALSE),""))</f>
        <v/>
      </c>
      <c r="AK98" s="488" t="str">
        <f>IF(AK$4="","",IF(HLOOKUP(AK$4,'Physical Effects-Numbers'!$B$1:$AU$172,$B98,FALSE)&lt;0,HLOOKUP(AK$4,'Physical Effects-Numbers'!$B$1:$AU$172,$B98,FALSE),""))</f>
        <v/>
      </c>
      <c r="AL98" s="488" t="str">
        <f>IF(AL$4="","",IF(HLOOKUP(AL$4,'Physical Effects-Numbers'!$B$1:$AU$172,$B98,FALSE)&lt;0,HLOOKUP(AL$4,'Physical Effects-Numbers'!$B$1:$AU$172,$B98,FALSE),""))</f>
        <v/>
      </c>
      <c r="AM98" s="488" t="str">
        <f>IF(AM$4="","",IF(HLOOKUP(AM$4,'Physical Effects-Numbers'!$B$1:$AU$172,$B98,FALSE)&lt;0,HLOOKUP(AM$4,'Physical Effects-Numbers'!$B$1:$AU$172,$B98,FALSE),""))</f>
        <v/>
      </c>
      <c r="AN98" s="488" t="str">
        <f>IF(AN$4="","",IF(HLOOKUP(AN$4,'Physical Effects-Numbers'!$B$1:$AU$172,$B98,FALSE)&lt;0,HLOOKUP(AN$4,'Physical Effects-Numbers'!$B$1:$AU$172,$B98,FALSE),""))</f>
        <v/>
      </c>
      <c r="AO98" s="488" t="str">
        <f>IF(AO$4="","",IF(HLOOKUP(AO$4,'Physical Effects-Numbers'!$B$1:$AU$172,$B98,FALSE)&lt;0,HLOOKUP(AO$4,'Physical Effects-Numbers'!$B$1:$AU$172,$B98,FALSE),""))</f>
        <v/>
      </c>
      <c r="AP98" s="488" t="str">
        <f>IF(AP$4="","",IF(HLOOKUP(AP$4,'Physical Effects-Numbers'!$B$1:$AU$172,$B98,FALSE)&lt;0,HLOOKUP(AP$4,'Physical Effects-Numbers'!$B$1:$AU$172,$B98,FALSE),""))</f>
        <v/>
      </c>
      <c r="AQ98" s="488" t="str">
        <f>IF(AQ$4="","",IF(HLOOKUP(AQ$4,'Physical Effects-Numbers'!$B$1:$AU$172,$B98,FALSE)&lt;0,HLOOKUP(AQ$4,'Physical Effects-Numbers'!$B$1:$AU$172,$B98,FALSE),""))</f>
        <v/>
      </c>
      <c r="AR98" s="488" t="str">
        <f>IF(AR$4="","",IF(HLOOKUP(AR$4,'Physical Effects-Numbers'!$B$1:$AU$172,$B98,FALSE)&lt;0,HLOOKUP(AR$4,'Physical Effects-Numbers'!$B$1:$AU$172,$B98,FALSE),""))</f>
        <v/>
      </c>
      <c r="AS98" s="488" t="str">
        <f>IF(AS$4="","",IF(HLOOKUP(AS$4,'Physical Effects-Numbers'!$B$1:$AU$172,$B98,FALSE)&lt;0,HLOOKUP(AS$4,'Physical Effects-Numbers'!$B$1:$AU$172,$B98,FALSE),""))</f>
        <v/>
      </c>
      <c r="AT98" s="488" t="str">
        <f>IF(AT$4="","",IF(HLOOKUP(AT$4,'Physical Effects-Numbers'!$B$1:$AU$172,$B98,FALSE)&lt;0,HLOOKUP(AT$4,'Physical Effects-Numbers'!$B$1:$AU$172,$B98,FALSE),""))</f>
        <v/>
      </c>
      <c r="AU98" s="488" t="str">
        <f>IF(AU$4="","",IF(HLOOKUP(AU$4,'Physical Effects-Numbers'!$B$1:$AU$172,$B98,FALSE)&lt;0,HLOOKUP(AU$4,'Physical Effects-Numbers'!$B$1:$AU$172,$B98,FALSE),""))</f>
        <v/>
      </c>
      <c r="AV98" s="488" t="str">
        <f>IF(AV$4="","",IF(HLOOKUP(AV$4,'Physical Effects-Numbers'!$B$1:$AU$167,$B98,FALSE)&lt;0,HLOOKUP(AV$4,'Physical Effects-Numbers'!$B$1:$AU$167,$B98,FALSE),""))</f>
        <v/>
      </c>
    </row>
    <row r="99" spans="2:48" x14ac:dyDescent="0.2">
      <c r="B99" s="487">
        <f t="shared" si="1"/>
        <v>96</v>
      </c>
      <c r="C99" s="486" t="str">
        <f>+'Physical Effects-Numbers'!B96</f>
        <v>Nutrient Management</v>
      </c>
      <c r="D99" s="488" t="str">
        <f>IF(D$4="","",IF(HLOOKUP(D$4,'Physical Effects-Numbers'!$B$1:$AU$172,$B99,FALSE)&lt;0,HLOOKUP(D$4,'Physical Effects-Numbers'!$B$1:$AU$172,$B99,FALSE),""))</f>
        <v/>
      </c>
      <c r="E99" s="488" t="str">
        <f>IF(E$4="","",IF(HLOOKUP(E$4,'Physical Effects-Numbers'!$B$1:$AU$172,$B99,FALSE)&lt;0,HLOOKUP(E$4,'Physical Effects-Numbers'!$B$1:$AU$172,$B99,FALSE),""))</f>
        <v/>
      </c>
      <c r="F99" s="488" t="str">
        <f>IF(F$4="","",IF(HLOOKUP(F$4,'Physical Effects-Numbers'!$B$1:$AU$172,$B99,FALSE)&lt;0,HLOOKUP(F$4,'Physical Effects-Numbers'!$B$1:$AU$172,$B99,FALSE),""))</f>
        <v/>
      </c>
      <c r="G99" s="488" t="str">
        <f>IF(G$4="","",IF(HLOOKUP(G$4,'Physical Effects-Numbers'!$B$1:$AU$172,$B99,FALSE)&lt;0,HLOOKUP(G$4,'Physical Effects-Numbers'!$B$1:$AU$172,$B99,FALSE),""))</f>
        <v/>
      </c>
      <c r="H99" s="488" t="str">
        <f>IF(H$4="","",IF(HLOOKUP(H$4,'Physical Effects-Numbers'!$B$1:$AU$172,$B99,FALSE)&lt;0,HLOOKUP(H$4,'Physical Effects-Numbers'!$B$1:$AU$172,$B99,FALSE),""))</f>
        <v/>
      </c>
      <c r="I99" s="488" t="str">
        <f>IF(I$4="","",IF(HLOOKUP(I$4,'Physical Effects-Numbers'!$B$1:$AU$172,$B99,FALSE)&lt;0,HLOOKUP(I$4,'Physical Effects-Numbers'!$B$1:$AU$172,$B99,FALSE),""))</f>
        <v/>
      </c>
      <c r="J99" s="488">
        <f>IF(J$4="","",IF(HLOOKUP(J$4,'Physical Effects-Numbers'!$B$1:$AU$172,$B99,FALSE)&lt;0,HLOOKUP(J$4,'Physical Effects-Numbers'!$B$1:$AU$172,$B99,FALSE),""))</f>
        <v>-1</v>
      </c>
      <c r="K99" s="488" t="str">
        <f>IF(K$4="","",IF(HLOOKUP(K$4,'Physical Effects-Numbers'!$B$1:$AU$172,$B99,FALSE)&lt;0,HLOOKUP(K$4,'Physical Effects-Numbers'!$B$1:$AU$172,$B99,FALSE),""))</f>
        <v/>
      </c>
      <c r="L99" s="488" t="str">
        <f>IF(L$4="","",IF(HLOOKUP(L$4,'Physical Effects-Numbers'!$B$1:$AU$172,$B99,FALSE)&lt;0,HLOOKUP(L$4,'Physical Effects-Numbers'!$B$1:$AU$172,$B99,FALSE),""))</f>
        <v/>
      </c>
      <c r="M99" s="488" t="str">
        <f>IF(M$4="","",IF(HLOOKUP(M$4,'Physical Effects-Numbers'!$B$1:$AU$172,$B99,FALSE)&lt;0,HLOOKUP(M$4,'Physical Effects-Numbers'!$B$1:$AU$172,$B99,FALSE),""))</f>
        <v/>
      </c>
      <c r="N99" s="488" t="str">
        <f>IF(N$4="","",IF(HLOOKUP(N$4,'Physical Effects-Numbers'!$B$1:$AU$172,$B99,FALSE)&lt;0,HLOOKUP(N$4,'Physical Effects-Numbers'!$B$1:$AU$172,$B99,FALSE),""))</f>
        <v/>
      </c>
      <c r="O99" s="488" t="str">
        <f>IF(O$4="","",IF(HLOOKUP(O$4,'Physical Effects-Numbers'!$B$1:$AU$172,$B99,FALSE)&lt;0,HLOOKUP(O$4,'Physical Effects-Numbers'!$B$1:$AU$172,$B99,FALSE),""))</f>
        <v/>
      </c>
      <c r="P99" s="488" t="str">
        <f>IF(P$4="","",IF(HLOOKUP(P$4,'Physical Effects-Numbers'!$B$1:$AU$172,$B99,FALSE)&lt;0,HLOOKUP(P$4,'Physical Effects-Numbers'!$B$1:$AU$172,$B99,FALSE),""))</f>
        <v/>
      </c>
      <c r="Q99" s="488" t="str">
        <f>IF(Q$4="","",IF(HLOOKUP(Q$4,'Physical Effects-Numbers'!$B$1:$AU$172,$B99,FALSE)&lt;0,HLOOKUP(Q$4,'Physical Effects-Numbers'!$B$1:$AU$172,$B99,FALSE),""))</f>
        <v/>
      </c>
      <c r="R99" s="488" t="str">
        <f>IF(R$4="","",IF(HLOOKUP(R$4,'Physical Effects-Numbers'!$B$1:$AU$172,$B99,FALSE)&lt;0,HLOOKUP(R$4,'Physical Effects-Numbers'!$B$1:$AU$172,$B99,FALSE),""))</f>
        <v/>
      </c>
      <c r="S99" s="488" t="str">
        <f>IF(S$4="","",IF(HLOOKUP(S$4,'Physical Effects-Numbers'!$B$1:$AU$172,$B99,FALSE)&lt;0,HLOOKUP(S$4,'Physical Effects-Numbers'!$B$1:$AU$172,$B99,FALSE),""))</f>
        <v/>
      </c>
      <c r="T99" s="488" t="str">
        <f>IF(T$4="","",IF(HLOOKUP(T$4,'Physical Effects-Numbers'!$B$1:$AU$172,$B99,FALSE)&lt;0,HLOOKUP(T$4,'Physical Effects-Numbers'!$B$1:$AU$172,$B99,FALSE),""))</f>
        <v/>
      </c>
      <c r="U99" s="488" t="str">
        <f>IF(U$4="","",IF(HLOOKUP(U$4,'Physical Effects-Numbers'!$B$1:$AU$172,$B99,FALSE)&lt;0,HLOOKUP(U$4,'Physical Effects-Numbers'!$B$1:$AU$172,$B99,FALSE),""))</f>
        <v/>
      </c>
      <c r="V99" s="488" t="str">
        <f>IF(V$4="","",IF(HLOOKUP(V$4,'Physical Effects-Numbers'!$B$1:$AU$172,$B99,FALSE)&lt;0,HLOOKUP(V$4,'Physical Effects-Numbers'!$B$1:$AU$172,$B99,FALSE),""))</f>
        <v/>
      </c>
      <c r="W99" s="488" t="str">
        <f>IF(W$4="","",IF(HLOOKUP(W$4,'Physical Effects-Numbers'!$B$1:$AU$172,$B99,FALSE)&lt;0,HLOOKUP(W$4,'Physical Effects-Numbers'!$B$1:$AU$172,$B99,FALSE),""))</f>
        <v/>
      </c>
      <c r="X99" s="488" t="str">
        <f>IF(X$4="","",IF(HLOOKUP(X$4,'Physical Effects-Numbers'!$B$1:$AU$172,$B99,FALSE)&lt;0,HLOOKUP(X$4,'Physical Effects-Numbers'!$B$1:$AU$172,$B99,FALSE),""))</f>
        <v/>
      </c>
      <c r="Y99" s="488" t="str">
        <f>IF(Y$4="","",IF(HLOOKUP(Y$4,'Physical Effects-Numbers'!$B$1:$AU$172,$B99,FALSE)&lt;0,HLOOKUP(Y$4,'Physical Effects-Numbers'!$B$1:$AU$172,$B99,FALSE),""))</f>
        <v/>
      </c>
      <c r="Z99" s="488" t="str">
        <f>IF(Z$4="","",IF(HLOOKUP(Z$4,'Physical Effects-Numbers'!$B$1:$AU$172,$B99,FALSE)&lt;0,HLOOKUP(Z$4,'Physical Effects-Numbers'!$B$1:$AU$172,$B99,FALSE),""))</f>
        <v/>
      </c>
      <c r="AA99" s="488" t="str">
        <f>IF(AA$4="","",IF(HLOOKUP(AA$4,'Physical Effects-Numbers'!$B$1:$AU$172,$B99,FALSE)&lt;0,HLOOKUP(AA$4,'Physical Effects-Numbers'!$B$1:$AU$172,$B99,FALSE),""))</f>
        <v/>
      </c>
      <c r="AB99" s="488" t="str">
        <f>IF(AB$4="","",IF(HLOOKUP(AB$4,'Physical Effects-Numbers'!$B$1:$AU$172,$B99,FALSE)&lt;0,HLOOKUP(AB$4,'Physical Effects-Numbers'!$B$1:$AU$172,$B99,FALSE),""))</f>
        <v/>
      </c>
      <c r="AC99" s="488" t="str">
        <f>IF(AC$4="","",IF(HLOOKUP(AC$4,'Physical Effects-Numbers'!$B$1:$AU$172,$B99,FALSE)&lt;0,HLOOKUP(AC$4,'Physical Effects-Numbers'!$B$1:$AU$172,$B99,FALSE),""))</f>
        <v/>
      </c>
      <c r="AD99" s="488" t="str">
        <f>IF(AD$4="","",IF(HLOOKUP(AD$4,'Physical Effects-Numbers'!$B$1:$AU$172,$B99,FALSE)&lt;0,HLOOKUP(AD$4,'Physical Effects-Numbers'!$B$1:$AU$172,$B99,FALSE),""))</f>
        <v/>
      </c>
      <c r="AE99" s="488" t="str">
        <f>IF(AE$4="","",IF(HLOOKUP(AE$4,'Physical Effects-Numbers'!$B$1:$AU$172,$B99,FALSE)&lt;0,HLOOKUP(AE$4,'Physical Effects-Numbers'!$B$1:$AU$172,$B99,FALSE),""))</f>
        <v/>
      </c>
      <c r="AF99" s="488" t="str">
        <f>IF(AF$4="","",IF(HLOOKUP(AF$4,'Physical Effects-Numbers'!$B$1:$AU$172,$B99,FALSE)&lt;0,HLOOKUP(AF$4,'Physical Effects-Numbers'!$B$1:$AU$172,$B99,FALSE),""))</f>
        <v/>
      </c>
      <c r="AG99" s="488" t="str">
        <f>IF(AG$4="","",IF(HLOOKUP(AG$4,'Physical Effects-Numbers'!$B$1:$AU$172,$B99,FALSE)&lt;0,HLOOKUP(AG$4,'Physical Effects-Numbers'!$B$1:$AU$172,$B99,FALSE),""))</f>
        <v/>
      </c>
      <c r="AH99" s="488" t="str">
        <f>IF(AH$4="","",IF(HLOOKUP(AH$4,'Physical Effects-Numbers'!$B$1:$AU$172,$B99,FALSE)&lt;0,HLOOKUP(AH$4,'Physical Effects-Numbers'!$B$1:$AU$172,$B99,FALSE),""))</f>
        <v/>
      </c>
      <c r="AI99" s="488" t="str">
        <f>IF(AI$4="","",IF(HLOOKUP(AI$4,'Physical Effects-Numbers'!$B$1:$AU$172,$B99,FALSE)&lt;0,HLOOKUP(AI$4,'Physical Effects-Numbers'!$B$1:$AU$172,$B99,FALSE),""))</f>
        <v/>
      </c>
      <c r="AJ99" s="488" t="str">
        <f>IF(AJ$4="","",IF(HLOOKUP(AJ$4,'Physical Effects-Numbers'!$B$1:$AU$172,$B99,FALSE)&lt;0,HLOOKUP(AJ$4,'Physical Effects-Numbers'!$B$1:$AU$172,$B99,FALSE),""))</f>
        <v/>
      </c>
      <c r="AK99" s="488" t="str">
        <f>IF(AK$4="","",IF(HLOOKUP(AK$4,'Physical Effects-Numbers'!$B$1:$AU$172,$B99,FALSE)&lt;0,HLOOKUP(AK$4,'Physical Effects-Numbers'!$B$1:$AU$172,$B99,FALSE),""))</f>
        <v/>
      </c>
      <c r="AL99" s="488" t="str">
        <f>IF(AL$4="","",IF(HLOOKUP(AL$4,'Physical Effects-Numbers'!$B$1:$AU$172,$B99,FALSE)&lt;0,HLOOKUP(AL$4,'Physical Effects-Numbers'!$B$1:$AU$172,$B99,FALSE),""))</f>
        <v/>
      </c>
      <c r="AM99" s="488" t="str">
        <f>IF(AM$4="","",IF(HLOOKUP(AM$4,'Physical Effects-Numbers'!$B$1:$AU$172,$B99,FALSE)&lt;0,HLOOKUP(AM$4,'Physical Effects-Numbers'!$B$1:$AU$172,$B99,FALSE),""))</f>
        <v/>
      </c>
      <c r="AN99" s="488" t="str">
        <f>IF(AN$4="","",IF(HLOOKUP(AN$4,'Physical Effects-Numbers'!$B$1:$AU$172,$B99,FALSE)&lt;0,HLOOKUP(AN$4,'Physical Effects-Numbers'!$B$1:$AU$172,$B99,FALSE),""))</f>
        <v/>
      </c>
      <c r="AO99" s="488" t="str">
        <f>IF(AO$4="","",IF(HLOOKUP(AO$4,'Physical Effects-Numbers'!$B$1:$AU$172,$B99,FALSE)&lt;0,HLOOKUP(AO$4,'Physical Effects-Numbers'!$B$1:$AU$172,$B99,FALSE),""))</f>
        <v/>
      </c>
      <c r="AP99" s="488" t="str">
        <f>IF(AP$4="","",IF(HLOOKUP(AP$4,'Physical Effects-Numbers'!$B$1:$AU$172,$B99,FALSE)&lt;0,HLOOKUP(AP$4,'Physical Effects-Numbers'!$B$1:$AU$172,$B99,FALSE),""))</f>
        <v/>
      </c>
      <c r="AQ99" s="488" t="str">
        <f>IF(AQ$4="","",IF(HLOOKUP(AQ$4,'Physical Effects-Numbers'!$B$1:$AU$172,$B99,FALSE)&lt;0,HLOOKUP(AQ$4,'Physical Effects-Numbers'!$B$1:$AU$172,$B99,FALSE),""))</f>
        <v/>
      </c>
      <c r="AR99" s="488" t="str">
        <f>IF(AR$4="","",IF(HLOOKUP(AR$4,'Physical Effects-Numbers'!$B$1:$AU$172,$B99,FALSE)&lt;0,HLOOKUP(AR$4,'Physical Effects-Numbers'!$B$1:$AU$172,$B99,FALSE),""))</f>
        <v/>
      </c>
      <c r="AS99" s="488" t="str">
        <f>IF(AS$4="","",IF(HLOOKUP(AS$4,'Physical Effects-Numbers'!$B$1:$AU$172,$B99,FALSE)&lt;0,HLOOKUP(AS$4,'Physical Effects-Numbers'!$B$1:$AU$172,$B99,FALSE),""))</f>
        <v/>
      </c>
      <c r="AT99" s="488" t="str">
        <f>IF(AT$4="","",IF(HLOOKUP(AT$4,'Physical Effects-Numbers'!$B$1:$AU$172,$B99,FALSE)&lt;0,HLOOKUP(AT$4,'Physical Effects-Numbers'!$B$1:$AU$172,$B99,FALSE),""))</f>
        <v/>
      </c>
      <c r="AU99" s="488" t="str">
        <f>IF(AU$4="","",IF(HLOOKUP(AU$4,'Physical Effects-Numbers'!$B$1:$AU$172,$B99,FALSE)&lt;0,HLOOKUP(AU$4,'Physical Effects-Numbers'!$B$1:$AU$172,$B99,FALSE),""))</f>
        <v/>
      </c>
      <c r="AV99" s="488" t="str">
        <f>IF(AV$4="","",IF(HLOOKUP(AV$4,'Physical Effects-Numbers'!$B$1:$AU$167,$B99,FALSE)&lt;0,HLOOKUP(AV$4,'Physical Effects-Numbers'!$B$1:$AU$167,$B99,FALSE),""))</f>
        <v/>
      </c>
    </row>
    <row r="100" spans="2:48" x14ac:dyDescent="0.2">
      <c r="B100" s="487">
        <f t="shared" si="1"/>
        <v>97</v>
      </c>
      <c r="C100" s="486" t="str">
        <f>+'Physical Effects-Numbers'!B97</f>
        <v>Obstruction Removal</v>
      </c>
      <c r="D100" s="488" t="str">
        <f>IF(D$4="","",IF(HLOOKUP(D$4,'Physical Effects-Numbers'!$B$1:$AU$172,$B100,FALSE)&lt;0,HLOOKUP(D$4,'Physical Effects-Numbers'!$B$1:$AU$172,$B100,FALSE),""))</f>
        <v/>
      </c>
      <c r="E100" s="488" t="str">
        <f>IF(E$4="","",IF(HLOOKUP(E$4,'Physical Effects-Numbers'!$B$1:$AU$172,$B100,FALSE)&lt;0,HLOOKUP(E$4,'Physical Effects-Numbers'!$B$1:$AU$172,$B100,FALSE),""))</f>
        <v/>
      </c>
      <c r="F100" s="488" t="str">
        <f>IF(F$4="","",IF(HLOOKUP(F$4,'Physical Effects-Numbers'!$B$1:$AU$172,$B100,FALSE)&lt;0,HLOOKUP(F$4,'Physical Effects-Numbers'!$B$1:$AU$172,$B100,FALSE),""))</f>
        <v/>
      </c>
      <c r="G100" s="488" t="str">
        <f>IF(G$4="","",IF(HLOOKUP(G$4,'Physical Effects-Numbers'!$B$1:$AU$172,$B100,FALSE)&lt;0,HLOOKUP(G$4,'Physical Effects-Numbers'!$B$1:$AU$172,$B100,FALSE),""))</f>
        <v/>
      </c>
      <c r="H100" s="488" t="str">
        <f>IF(H$4="","",IF(HLOOKUP(H$4,'Physical Effects-Numbers'!$B$1:$AU$172,$B100,FALSE)&lt;0,HLOOKUP(H$4,'Physical Effects-Numbers'!$B$1:$AU$172,$B100,FALSE),""))</f>
        <v/>
      </c>
      <c r="I100" s="488" t="str">
        <f>IF(I$4="","",IF(HLOOKUP(I$4,'Physical Effects-Numbers'!$B$1:$AU$172,$B100,FALSE)&lt;0,HLOOKUP(I$4,'Physical Effects-Numbers'!$B$1:$AU$172,$B100,FALSE),""))</f>
        <v/>
      </c>
      <c r="J100" s="488">
        <f>IF(J$4="","",IF(HLOOKUP(J$4,'Physical Effects-Numbers'!$B$1:$AU$172,$B100,FALSE)&lt;0,HLOOKUP(J$4,'Physical Effects-Numbers'!$B$1:$AU$172,$B100,FALSE),""))</f>
        <v>-1</v>
      </c>
      <c r="K100" s="488" t="str">
        <f>IF(K$4="","",IF(HLOOKUP(K$4,'Physical Effects-Numbers'!$B$1:$AU$172,$B100,FALSE)&lt;0,HLOOKUP(K$4,'Physical Effects-Numbers'!$B$1:$AU$172,$B100,FALSE),""))</f>
        <v/>
      </c>
      <c r="L100" s="488" t="str">
        <f>IF(L$4="","",IF(HLOOKUP(L$4,'Physical Effects-Numbers'!$B$1:$AU$172,$B100,FALSE)&lt;0,HLOOKUP(L$4,'Physical Effects-Numbers'!$B$1:$AU$172,$B100,FALSE),""))</f>
        <v/>
      </c>
      <c r="M100" s="488" t="str">
        <f>IF(M$4="","",IF(HLOOKUP(M$4,'Physical Effects-Numbers'!$B$1:$AU$172,$B100,FALSE)&lt;0,HLOOKUP(M$4,'Physical Effects-Numbers'!$B$1:$AU$172,$B100,FALSE),""))</f>
        <v/>
      </c>
      <c r="N100" s="488" t="str">
        <f>IF(N$4="","",IF(HLOOKUP(N$4,'Physical Effects-Numbers'!$B$1:$AU$172,$B100,FALSE)&lt;0,HLOOKUP(N$4,'Physical Effects-Numbers'!$B$1:$AU$172,$B100,FALSE),""))</f>
        <v/>
      </c>
      <c r="O100" s="488" t="str">
        <f>IF(O$4="","",IF(HLOOKUP(O$4,'Physical Effects-Numbers'!$B$1:$AU$172,$B100,FALSE)&lt;0,HLOOKUP(O$4,'Physical Effects-Numbers'!$B$1:$AU$172,$B100,FALSE),""))</f>
        <v/>
      </c>
      <c r="P100" s="488" t="str">
        <f>IF(P$4="","",IF(HLOOKUP(P$4,'Physical Effects-Numbers'!$B$1:$AU$172,$B100,FALSE)&lt;0,HLOOKUP(P$4,'Physical Effects-Numbers'!$B$1:$AU$172,$B100,FALSE),""))</f>
        <v/>
      </c>
      <c r="Q100" s="488" t="str">
        <f>IF(Q$4="","",IF(HLOOKUP(Q$4,'Physical Effects-Numbers'!$B$1:$AU$172,$B100,FALSE)&lt;0,HLOOKUP(Q$4,'Physical Effects-Numbers'!$B$1:$AU$172,$B100,FALSE),""))</f>
        <v/>
      </c>
      <c r="R100" s="488" t="str">
        <f>IF(R$4="","",IF(HLOOKUP(R$4,'Physical Effects-Numbers'!$B$1:$AU$172,$B100,FALSE)&lt;0,HLOOKUP(R$4,'Physical Effects-Numbers'!$B$1:$AU$172,$B100,FALSE),""))</f>
        <v/>
      </c>
      <c r="S100" s="488" t="str">
        <f>IF(S$4="","",IF(HLOOKUP(S$4,'Physical Effects-Numbers'!$B$1:$AU$172,$B100,FALSE)&lt;0,HLOOKUP(S$4,'Physical Effects-Numbers'!$B$1:$AU$172,$B100,FALSE),""))</f>
        <v/>
      </c>
      <c r="T100" s="488" t="str">
        <f>IF(T$4="","",IF(HLOOKUP(T$4,'Physical Effects-Numbers'!$B$1:$AU$172,$B100,FALSE)&lt;0,HLOOKUP(T$4,'Physical Effects-Numbers'!$B$1:$AU$172,$B100,FALSE),""))</f>
        <v/>
      </c>
      <c r="U100" s="488" t="str">
        <f>IF(U$4="","",IF(HLOOKUP(U$4,'Physical Effects-Numbers'!$B$1:$AU$172,$B100,FALSE)&lt;0,HLOOKUP(U$4,'Physical Effects-Numbers'!$B$1:$AU$172,$B100,FALSE),""))</f>
        <v/>
      </c>
      <c r="V100" s="488" t="str">
        <f>IF(V$4="","",IF(HLOOKUP(V$4,'Physical Effects-Numbers'!$B$1:$AU$172,$B100,FALSE)&lt;0,HLOOKUP(V$4,'Physical Effects-Numbers'!$B$1:$AU$172,$B100,FALSE),""))</f>
        <v/>
      </c>
      <c r="W100" s="488" t="str">
        <f>IF(W$4="","",IF(HLOOKUP(W$4,'Physical Effects-Numbers'!$B$1:$AU$172,$B100,FALSE)&lt;0,HLOOKUP(W$4,'Physical Effects-Numbers'!$B$1:$AU$172,$B100,FALSE),""))</f>
        <v/>
      </c>
      <c r="X100" s="488" t="str">
        <f>IF(X$4="","",IF(HLOOKUP(X$4,'Physical Effects-Numbers'!$B$1:$AU$172,$B100,FALSE)&lt;0,HLOOKUP(X$4,'Physical Effects-Numbers'!$B$1:$AU$172,$B100,FALSE),""))</f>
        <v/>
      </c>
      <c r="Y100" s="488" t="str">
        <f>IF(Y$4="","",IF(HLOOKUP(Y$4,'Physical Effects-Numbers'!$B$1:$AU$172,$B100,FALSE)&lt;0,HLOOKUP(Y$4,'Physical Effects-Numbers'!$B$1:$AU$172,$B100,FALSE),""))</f>
        <v/>
      </c>
      <c r="Z100" s="488" t="str">
        <f>IF(Z$4="","",IF(HLOOKUP(Z$4,'Physical Effects-Numbers'!$B$1:$AU$172,$B100,FALSE)&lt;0,HLOOKUP(Z$4,'Physical Effects-Numbers'!$B$1:$AU$172,$B100,FALSE),""))</f>
        <v/>
      </c>
      <c r="AA100" s="488" t="str">
        <f>IF(AA$4="","",IF(HLOOKUP(AA$4,'Physical Effects-Numbers'!$B$1:$AU$172,$B100,FALSE)&lt;0,HLOOKUP(AA$4,'Physical Effects-Numbers'!$B$1:$AU$172,$B100,FALSE),""))</f>
        <v/>
      </c>
      <c r="AB100" s="488" t="str">
        <f>IF(AB$4="","",IF(HLOOKUP(AB$4,'Physical Effects-Numbers'!$B$1:$AU$172,$B100,FALSE)&lt;0,HLOOKUP(AB$4,'Physical Effects-Numbers'!$B$1:$AU$172,$B100,FALSE),""))</f>
        <v/>
      </c>
      <c r="AC100" s="488" t="str">
        <f>IF(AC$4="","",IF(HLOOKUP(AC$4,'Physical Effects-Numbers'!$B$1:$AU$172,$B100,FALSE)&lt;0,HLOOKUP(AC$4,'Physical Effects-Numbers'!$B$1:$AU$172,$B100,FALSE),""))</f>
        <v/>
      </c>
      <c r="AD100" s="488" t="str">
        <f>IF(AD$4="","",IF(HLOOKUP(AD$4,'Physical Effects-Numbers'!$B$1:$AU$172,$B100,FALSE)&lt;0,HLOOKUP(AD$4,'Physical Effects-Numbers'!$B$1:$AU$172,$B100,FALSE),""))</f>
        <v/>
      </c>
      <c r="AE100" s="488" t="str">
        <f>IF(AE$4="","",IF(HLOOKUP(AE$4,'Physical Effects-Numbers'!$B$1:$AU$172,$B100,FALSE)&lt;0,HLOOKUP(AE$4,'Physical Effects-Numbers'!$B$1:$AU$172,$B100,FALSE),""))</f>
        <v/>
      </c>
      <c r="AF100" s="488" t="str">
        <f>IF(AF$4="","",IF(HLOOKUP(AF$4,'Physical Effects-Numbers'!$B$1:$AU$172,$B100,FALSE)&lt;0,HLOOKUP(AF$4,'Physical Effects-Numbers'!$B$1:$AU$172,$B100,FALSE),""))</f>
        <v/>
      </c>
      <c r="AG100" s="488" t="str">
        <f>IF(AG$4="","",IF(HLOOKUP(AG$4,'Physical Effects-Numbers'!$B$1:$AU$172,$B100,FALSE)&lt;0,HLOOKUP(AG$4,'Physical Effects-Numbers'!$B$1:$AU$172,$B100,FALSE),""))</f>
        <v/>
      </c>
      <c r="AH100" s="488" t="str">
        <f>IF(AH$4="","",IF(HLOOKUP(AH$4,'Physical Effects-Numbers'!$B$1:$AU$172,$B100,FALSE)&lt;0,HLOOKUP(AH$4,'Physical Effects-Numbers'!$B$1:$AU$172,$B100,FALSE),""))</f>
        <v/>
      </c>
      <c r="AI100" s="488" t="str">
        <f>IF(AI$4="","",IF(HLOOKUP(AI$4,'Physical Effects-Numbers'!$B$1:$AU$172,$B100,FALSE)&lt;0,HLOOKUP(AI$4,'Physical Effects-Numbers'!$B$1:$AU$172,$B100,FALSE),""))</f>
        <v/>
      </c>
      <c r="AJ100" s="488" t="str">
        <f>IF(AJ$4="","",IF(HLOOKUP(AJ$4,'Physical Effects-Numbers'!$B$1:$AU$172,$B100,FALSE)&lt;0,HLOOKUP(AJ$4,'Physical Effects-Numbers'!$B$1:$AU$172,$B100,FALSE),""))</f>
        <v/>
      </c>
      <c r="AK100" s="488" t="str">
        <f>IF(AK$4="","",IF(HLOOKUP(AK$4,'Physical Effects-Numbers'!$B$1:$AU$172,$B100,FALSE)&lt;0,HLOOKUP(AK$4,'Physical Effects-Numbers'!$B$1:$AU$172,$B100,FALSE),""))</f>
        <v/>
      </c>
      <c r="AL100" s="488" t="str">
        <f>IF(AL$4="","",IF(HLOOKUP(AL$4,'Physical Effects-Numbers'!$B$1:$AU$172,$B100,FALSE)&lt;0,HLOOKUP(AL$4,'Physical Effects-Numbers'!$B$1:$AU$172,$B100,FALSE),""))</f>
        <v/>
      </c>
      <c r="AM100" s="488" t="str">
        <f>IF(AM$4="","",IF(HLOOKUP(AM$4,'Physical Effects-Numbers'!$B$1:$AU$172,$B100,FALSE)&lt;0,HLOOKUP(AM$4,'Physical Effects-Numbers'!$B$1:$AU$172,$B100,FALSE),""))</f>
        <v/>
      </c>
      <c r="AN100" s="488">
        <f>IF(AN$4="","",IF(HLOOKUP(AN$4,'Physical Effects-Numbers'!$B$1:$AU$172,$B100,FALSE)&lt;0,HLOOKUP(AN$4,'Physical Effects-Numbers'!$B$1:$AU$172,$B100,FALSE),""))</f>
        <v>-2</v>
      </c>
      <c r="AO100" s="488" t="str">
        <f>IF(AO$4="","",IF(HLOOKUP(AO$4,'Physical Effects-Numbers'!$B$1:$AU$172,$B100,FALSE)&lt;0,HLOOKUP(AO$4,'Physical Effects-Numbers'!$B$1:$AU$172,$B100,FALSE),""))</f>
        <v/>
      </c>
      <c r="AP100" s="488" t="str">
        <f>IF(AP$4="","",IF(HLOOKUP(AP$4,'Physical Effects-Numbers'!$B$1:$AU$172,$B100,FALSE)&lt;0,HLOOKUP(AP$4,'Physical Effects-Numbers'!$B$1:$AU$172,$B100,FALSE),""))</f>
        <v/>
      </c>
      <c r="AQ100" s="488" t="str">
        <f>IF(AQ$4="","",IF(HLOOKUP(AQ$4,'Physical Effects-Numbers'!$B$1:$AU$172,$B100,FALSE)&lt;0,HLOOKUP(AQ$4,'Physical Effects-Numbers'!$B$1:$AU$172,$B100,FALSE),""))</f>
        <v/>
      </c>
      <c r="AR100" s="488">
        <f>IF(AR$4="","",IF(HLOOKUP(AR$4,'Physical Effects-Numbers'!$B$1:$AU$172,$B100,FALSE)&lt;0,HLOOKUP(AR$4,'Physical Effects-Numbers'!$B$1:$AU$172,$B100,FALSE),""))</f>
        <v>-1</v>
      </c>
      <c r="AS100" s="488" t="str">
        <f>IF(AS$4="","",IF(HLOOKUP(AS$4,'Physical Effects-Numbers'!$B$1:$AU$172,$B100,FALSE)&lt;0,HLOOKUP(AS$4,'Physical Effects-Numbers'!$B$1:$AU$172,$B100,FALSE),""))</f>
        <v/>
      </c>
      <c r="AT100" s="488" t="str">
        <f>IF(AT$4="","",IF(HLOOKUP(AT$4,'Physical Effects-Numbers'!$B$1:$AU$172,$B100,FALSE)&lt;0,HLOOKUP(AT$4,'Physical Effects-Numbers'!$B$1:$AU$172,$B100,FALSE),""))</f>
        <v/>
      </c>
      <c r="AU100" s="488" t="str">
        <f>IF(AU$4="","",IF(HLOOKUP(AU$4,'Physical Effects-Numbers'!$B$1:$AU$172,$B100,FALSE)&lt;0,HLOOKUP(AU$4,'Physical Effects-Numbers'!$B$1:$AU$172,$B100,FALSE),""))</f>
        <v/>
      </c>
      <c r="AV100" s="488" t="str">
        <f>IF(AV$4="","",IF(HLOOKUP(AV$4,'Physical Effects-Numbers'!$B$1:$AU$167,$B100,FALSE)&lt;0,HLOOKUP(AV$4,'Physical Effects-Numbers'!$B$1:$AU$167,$B100,FALSE),""))</f>
        <v/>
      </c>
    </row>
    <row r="101" spans="2:48" x14ac:dyDescent="0.2">
      <c r="B101" s="487">
        <f t="shared" si="1"/>
        <v>98</v>
      </c>
      <c r="C101" s="486" t="str">
        <f>+'Physical Effects-Numbers'!B98</f>
        <v>On-Farm Secondary Containment Facility</v>
      </c>
      <c r="D101" s="488" t="str">
        <f>IF(D$4="","",IF(HLOOKUP(D$4,'Physical Effects-Numbers'!$B$1:$AU$172,$B101,FALSE)&lt;0,HLOOKUP(D$4,'Physical Effects-Numbers'!$B$1:$AU$172,$B101,FALSE),""))</f>
        <v/>
      </c>
      <c r="E101" s="488" t="str">
        <f>IF(E$4="","",IF(HLOOKUP(E$4,'Physical Effects-Numbers'!$B$1:$AU$172,$B101,FALSE)&lt;0,HLOOKUP(E$4,'Physical Effects-Numbers'!$B$1:$AU$172,$B101,FALSE),""))</f>
        <v/>
      </c>
      <c r="F101" s="488" t="str">
        <f>IF(F$4="","",IF(HLOOKUP(F$4,'Physical Effects-Numbers'!$B$1:$AU$172,$B101,FALSE)&lt;0,HLOOKUP(F$4,'Physical Effects-Numbers'!$B$1:$AU$172,$B101,FALSE),""))</f>
        <v/>
      </c>
      <c r="G101" s="488" t="str">
        <f>IF(G$4="","",IF(HLOOKUP(G$4,'Physical Effects-Numbers'!$B$1:$AU$172,$B101,FALSE)&lt;0,HLOOKUP(G$4,'Physical Effects-Numbers'!$B$1:$AU$172,$B101,FALSE),""))</f>
        <v/>
      </c>
      <c r="H101" s="488" t="str">
        <f>IF(H$4="","",IF(HLOOKUP(H$4,'Physical Effects-Numbers'!$B$1:$AU$172,$B101,FALSE)&lt;0,HLOOKUP(H$4,'Physical Effects-Numbers'!$B$1:$AU$172,$B101,FALSE),""))</f>
        <v/>
      </c>
      <c r="I101" s="488" t="str">
        <f>IF(I$4="","",IF(HLOOKUP(I$4,'Physical Effects-Numbers'!$B$1:$AU$172,$B101,FALSE)&lt;0,HLOOKUP(I$4,'Physical Effects-Numbers'!$B$1:$AU$172,$B101,FALSE),""))</f>
        <v/>
      </c>
      <c r="J101" s="488" t="str">
        <f>IF(J$4="","",IF(HLOOKUP(J$4,'Physical Effects-Numbers'!$B$1:$AU$172,$B101,FALSE)&lt;0,HLOOKUP(J$4,'Physical Effects-Numbers'!$B$1:$AU$172,$B101,FALSE),""))</f>
        <v/>
      </c>
      <c r="K101" s="488" t="str">
        <f>IF(K$4="","",IF(HLOOKUP(K$4,'Physical Effects-Numbers'!$B$1:$AU$172,$B101,FALSE)&lt;0,HLOOKUP(K$4,'Physical Effects-Numbers'!$B$1:$AU$172,$B101,FALSE),""))</f>
        <v/>
      </c>
      <c r="L101" s="488" t="str">
        <f>IF(L$4="","",IF(HLOOKUP(L$4,'Physical Effects-Numbers'!$B$1:$AU$172,$B101,FALSE)&lt;0,HLOOKUP(L$4,'Physical Effects-Numbers'!$B$1:$AU$172,$B101,FALSE),""))</f>
        <v/>
      </c>
      <c r="M101" s="488" t="str">
        <f>IF(M$4="","",IF(HLOOKUP(M$4,'Physical Effects-Numbers'!$B$1:$AU$172,$B101,FALSE)&lt;0,HLOOKUP(M$4,'Physical Effects-Numbers'!$B$1:$AU$172,$B101,FALSE),""))</f>
        <v/>
      </c>
      <c r="N101" s="488" t="str">
        <f>IF(N$4="","",IF(HLOOKUP(N$4,'Physical Effects-Numbers'!$B$1:$AU$172,$B101,FALSE)&lt;0,HLOOKUP(N$4,'Physical Effects-Numbers'!$B$1:$AU$172,$B101,FALSE),""))</f>
        <v/>
      </c>
      <c r="O101" s="488" t="str">
        <f>IF(O$4="","",IF(HLOOKUP(O$4,'Physical Effects-Numbers'!$B$1:$AU$172,$B101,FALSE)&lt;0,HLOOKUP(O$4,'Physical Effects-Numbers'!$B$1:$AU$172,$B101,FALSE),""))</f>
        <v/>
      </c>
      <c r="P101" s="488" t="str">
        <f>IF(P$4="","",IF(HLOOKUP(P$4,'Physical Effects-Numbers'!$B$1:$AU$172,$B101,FALSE)&lt;0,HLOOKUP(P$4,'Physical Effects-Numbers'!$B$1:$AU$172,$B101,FALSE),""))</f>
        <v/>
      </c>
      <c r="Q101" s="488" t="str">
        <f>IF(Q$4="","",IF(HLOOKUP(Q$4,'Physical Effects-Numbers'!$B$1:$AU$172,$B101,FALSE)&lt;0,HLOOKUP(Q$4,'Physical Effects-Numbers'!$B$1:$AU$172,$B101,FALSE),""))</f>
        <v/>
      </c>
      <c r="R101" s="488" t="str">
        <f>IF(R$4="","",IF(HLOOKUP(R$4,'Physical Effects-Numbers'!$B$1:$AU$172,$B101,FALSE)&lt;0,HLOOKUP(R$4,'Physical Effects-Numbers'!$B$1:$AU$172,$B101,FALSE),""))</f>
        <v/>
      </c>
      <c r="S101" s="488" t="str">
        <f>IF(S$4="","",IF(HLOOKUP(S$4,'Physical Effects-Numbers'!$B$1:$AU$172,$B101,FALSE)&lt;0,HLOOKUP(S$4,'Physical Effects-Numbers'!$B$1:$AU$172,$B101,FALSE),""))</f>
        <v/>
      </c>
      <c r="T101" s="488" t="str">
        <f>IF(T$4="","",IF(HLOOKUP(T$4,'Physical Effects-Numbers'!$B$1:$AU$172,$B101,FALSE)&lt;0,HLOOKUP(T$4,'Physical Effects-Numbers'!$B$1:$AU$172,$B101,FALSE),""))</f>
        <v/>
      </c>
      <c r="U101" s="488" t="str">
        <f>IF(U$4="","",IF(HLOOKUP(U$4,'Physical Effects-Numbers'!$B$1:$AU$172,$B101,FALSE)&lt;0,HLOOKUP(U$4,'Physical Effects-Numbers'!$B$1:$AU$172,$B101,FALSE),""))</f>
        <v/>
      </c>
      <c r="V101" s="488" t="str">
        <f>IF(V$4="","",IF(HLOOKUP(V$4,'Physical Effects-Numbers'!$B$1:$AU$172,$B101,FALSE)&lt;0,HLOOKUP(V$4,'Physical Effects-Numbers'!$B$1:$AU$172,$B101,FALSE),""))</f>
        <v/>
      </c>
      <c r="W101" s="488" t="str">
        <f>IF(W$4="","",IF(HLOOKUP(W$4,'Physical Effects-Numbers'!$B$1:$AU$172,$B101,FALSE)&lt;0,HLOOKUP(W$4,'Physical Effects-Numbers'!$B$1:$AU$172,$B101,FALSE),""))</f>
        <v/>
      </c>
      <c r="X101" s="488" t="str">
        <f>IF(X$4="","",IF(HLOOKUP(X$4,'Physical Effects-Numbers'!$B$1:$AU$172,$B101,FALSE)&lt;0,HLOOKUP(X$4,'Physical Effects-Numbers'!$B$1:$AU$172,$B101,FALSE),""))</f>
        <v/>
      </c>
      <c r="Y101" s="488" t="str">
        <f>IF(Y$4="","",IF(HLOOKUP(Y$4,'Physical Effects-Numbers'!$B$1:$AU$172,$B101,FALSE)&lt;0,HLOOKUP(Y$4,'Physical Effects-Numbers'!$B$1:$AU$172,$B101,FALSE),""))</f>
        <v/>
      </c>
      <c r="Z101" s="488" t="str">
        <f>IF(Z$4="","",IF(HLOOKUP(Z$4,'Physical Effects-Numbers'!$B$1:$AU$172,$B101,FALSE)&lt;0,HLOOKUP(Z$4,'Physical Effects-Numbers'!$B$1:$AU$172,$B101,FALSE),""))</f>
        <v/>
      </c>
      <c r="AA101" s="488" t="str">
        <f>IF(AA$4="","",IF(HLOOKUP(AA$4,'Physical Effects-Numbers'!$B$1:$AU$172,$B101,FALSE)&lt;0,HLOOKUP(AA$4,'Physical Effects-Numbers'!$B$1:$AU$172,$B101,FALSE),""))</f>
        <v/>
      </c>
      <c r="AB101" s="488" t="str">
        <f>IF(AB$4="","",IF(HLOOKUP(AB$4,'Physical Effects-Numbers'!$B$1:$AU$172,$B101,FALSE)&lt;0,HLOOKUP(AB$4,'Physical Effects-Numbers'!$B$1:$AU$172,$B101,FALSE),""))</f>
        <v/>
      </c>
      <c r="AC101" s="488" t="str">
        <f>IF(AC$4="","",IF(HLOOKUP(AC$4,'Physical Effects-Numbers'!$B$1:$AU$172,$B101,FALSE)&lt;0,HLOOKUP(AC$4,'Physical Effects-Numbers'!$B$1:$AU$172,$B101,FALSE),""))</f>
        <v/>
      </c>
      <c r="AD101" s="488" t="str">
        <f>IF(AD$4="","",IF(HLOOKUP(AD$4,'Physical Effects-Numbers'!$B$1:$AU$172,$B101,FALSE)&lt;0,HLOOKUP(AD$4,'Physical Effects-Numbers'!$B$1:$AU$172,$B101,FALSE),""))</f>
        <v/>
      </c>
      <c r="AE101" s="488" t="str">
        <f>IF(AE$4="","",IF(HLOOKUP(AE$4,'Physical Effects-Numbers'!$B$1:$AU$172,$B101,FALSE)&lt;0,HLOOKUP(AE$4,'Physical Effects-Numbers'!$B$1:$AU$172,$B101,FALSE),""))</f>
        <v/>
      </c>
      <c r="AF101" s="488" t="str">
        <f>IF(AF$4="","",IF(HLOOKUP(AF$4,'Physical Effects-Numbers'!$B$1:$AU$172,$B101,FALSE)&lt;0,HLOOKUP(AF$4,'Physical Effects-Numbers'!$B$1:$AU$172,$B101,FALSE),""))</f>
        <v/>
      </c>
      <c r="AG101" s="488" t="str">
        <f>IF(AG$4="","",IF(HLOOKUP(AG$4,'Physical Effects-Numbers'!$B$1:$AU$172,$B101,FALSE)&lt;0,HLOOKUP(AG$4,'Physical Effects-Numbers'!$B$1:$AU$172,$B101,FALSE),""))</f>
        <v/>
      </c>
      <c r="AH101" s="488" t="str">
        <f>IF(AH$4="","",IF(HLOOKUP(AH$4,'Physical Effects-Numbers'!$B$1:$AU$172,$B101,FALSE)&lt;0,HLOOKUP(AH$4,'Physical Effects-Numbers'!$B$1:$AU$172,$B101,FALSE),""))</f>
        <v/>
      </c>
      <c r="AI101" s="488" t="str">
        <f>IF(AI$4="","",IF(HLOOKUP(AI$4,'Physical Effects-Numbers'!$B$1:$AU$172,$B101,FALSE)&lt;0,HLOOKUP(AI$4,'Physical Effects-Numbers'!$B$1:$AU$172,$B101,FALSE),""))</f>
        <v/>
      </c>
      <c r="AJ101" s="488" t="str">
        <f>IF(AJ$4="","",IF(HLOOKUP(AJ$4,'Physical Effects-Numbers'!$B$1:$AU$172,$B101,FALSE)&lt;0,HLOOKUP(AJ$4,'Physical Effects-Numbers'!$B$1:$AU$172,$B101,FALSE),""))</f>
        <v/>
      </c>
      <c r="AK101" s="488" t="str">
        <f>IF(AK$4="","",IF(HLOOKUP(AK$4,'Physical Effects-Numbers'!$B$1:$AU$172,$B101,FALSE)&lt;0,HLOOKUP(AK$4,'Physical Effects-Numbers'!$B$1:$AU$172,$B101,FALSE),""))</f>
        <v/>
      </c>
      <c r="AL101" s="488" t="str">
        <f>IF(AL$4="","",IF(HLOOKUP(AL$4,'Physical Effects-Numbers'!$B$1:$AU$172,$B101,FALSE)&lt;0,HLOOKUP(AL$4,'Physical Effects-Numbers'!$B$1:$AU$172,$B101,FALSE),""))</f>
        <v/>
      </c>
      <c r="AM101" s="488" t="str">
        <f>IF(AM$4="","",IF(HLOOKUP(AM$4,'Physical Effects-Numbers'!$B$1:$AU$172,$B101,FALSE)&lt;0,HLOOKUP(AM$4,'Physical Effects-Numbers'!$B$1:$AU$172,$B101,FALSE),""))</f>
        <v/>
      </c>
      <c r="AN101" s="488" t="str">
        <f>IF(AN$4="","",IF(HLOOKUP(AN$4,'Physical Effects-Numbers'!$B$1:$AU$172,$B101,FALSE)&lt;0,HLOOKUP(AN$4,'Physical Effects-Numbers'!$B$1:$AU$172,$B101,FALSE),""))</f>
        <v/>
      </c>
      <c r="AO101" s="488" t="str">
        <f>IF(AO$4="","",IF(HLOOKUP(AO$4,'Physical Effects-Numbers'!$B$1:$AU$172,$B101,FALSE)&lt;0,HLOOKUP(AO$4,'Physical Effects-Numbers'!$B$1:$AU$172,$B101,FALSE),""))</f>
        <v/>
      </c>
      <c r="AP101" s="488" t="str">
        <f>IF(AP$4="","",IF(HLOOKUP(AP$4,'Physical Effects-Numbers'!$B$1:$AU$172,$B101,FALSE)&lt;0,HLOOKUP(AP$4,'Physical Effects-Numbers'!$B$1:$AU$172,$B101,FALSE),""))</f>
        <v/>
      </c>
      <c r="AQ101" s="488" t="str">
        <f>IF(AQ$4="","",IF(HLOOKUP(AQ$4,'Physical Effects-Numbers'!$B$1:$AU$172,$B101,FALSE)&lt;0,HLOOKUP(AQ$4,'Physical Effects-Numbers'!$B$1:$AU$172,$B101,FALSE),""))</f>
        <v/>
      </c>
      <c r="AR101" s="488" t="str">
        <f>IF(AR$4="","",IF(HLOOKUP(AR$4,'Physical Effects-Numbers'!$B$1:$AU$172,$B101,FALSE)&lt;0,HLOOKUP(AR$4,'Physical Effects-Numbers'!$B$1:$AU$172,$B101,FALSE),""))</f>
        <v/>
      </c>
      <c r="AS101" s="488" t="str">
        <f>IF(AS$4="","",IF(HLOOKUP(AS$4,'Physical Effects-Numbers'!$B$1:$AU$172,$B101,FALSE)&lt;0,HLOOKUP(AS$4,'Physical Effects-Numbers'!$B$1:$AU$172,$B101,FALSE),""))</f>
        <v/>
      </c>
      <c r="AT101" s="488" t="str">
        <f>IF(AT$4="","",IF(HLOOKUP(AT$4,'Physical Effects-Numbers'!$B$1:$AU$172,$B101,FALSE)&lt;0,HLOOKUP(AT$4,'Physical Effects-Numbers'!$B$1:$AU$172,$B101,FALSE),""))</f>
        <v/>
      </c>
      <c r="AU101" s="488" t="str">
        <f>IF(AU$4="","",IF(HLOOKUP(AU$4,'Physical Effects-Numbers'!$B$1:$AU$172,$B101,FALSE)&lt;0,HLOOKUP(AU$4,'Physical Effects-Numbers'!$B$1:$AU$172,$B101,FALSE),""))</f>
        <v/>
      </c>
      <c r="AV101" s="488" t="str">
        <f>IF(AV$4="","",IF(HLOOKUP(AV$4,'Physical Effects-Numbers'!$B$1:$AU$167,$B101,FALSE)&lt;0,HLOOKUP(AV$4,'Physical Effects-Numbers'!$B$1:$AU$167,$B101,FALSE),""))</f>
        <v/>
      </c>
    </row>
    <row r="102" spans="2:48" x14ac:dyDescent="0.2">
      <c r="B102" s="487">
        <f t="shared" si="1"/>
        <v>99</v>
      </c>
      <c r="C102" s="486" t="str">
        <f>+'Physical Effects-Numbers'!B99</f>
        <v>Open Channel</v>
      </c>
      <c r="D102" s="488" t="str">
        <f>IF(D$4="","",IF(HLOOKUP(D$4,'Physical Effects-Numbers'!$B$1:$AU$172,$B102,FALSE)&lt;0,HLOOKUP(D$4,'Physical Effects-Numbers'!$B$1:$AU$172,$B102,FALSE),""))</f>
        <v/>
      </c>
      <c r="E102" s="488" t="str">
        <f>IF(E$4="","",IF(HLOOKUP(E$4,'Physical Effects-Numbers'!$B$1:$AU$172,$B102,FALSE)&lt;0,HLOOKUP(E$4,'Physical Effects-Numbers'!$B$1:$AU$172,$B102,FALSE),""))</f>
        <v/>
      </c>
      <c r="F102" s="488" t="str">
        <f>IF(F$4="","",IF(HLOOKUP(F$4,'Physical Effects-Numbers'!$B$1:$AU$172,$B102,FALSE)&lt;0,HLOOKUP(F$4,'Physical Effects-Numbers'!$B$1:$AU$172,$B102,FALSE),""))</f>
        <v/>
      </c>
      <c r="G102" s="488" t="str">
        <f>IF(G$4="","",IF(HLOOKUP(G$4,'Physical Effects-Numbers'!$B$1:$AU$172,$B102,FALSE)&lt;0,HLOOKUP(G$4,'Physical Effects-Numbers'!$B$1:$AU$172,$B102,FALSE),""))</f>
        <v/>
      </c>
      <c r="H102" s="488" t="str">
        <f>IF(H$4="","",IF(HLOOKUP(H$4,'Physical Effects-Numbers'!$B$1:$AU$172,$B102,FALSE)&lt;0,HLOOKUP(H$4,'Physical Effects-Numbers'!$B$1:$AU$172,$B102,FALSE),""))</f>
        <v/>
      </c>
      <c r="I102" s="488" t="str">
        <f>IF(I$4="","",IF(HLOOKUP(I$4,'Physical Effects-Numbers'!$B$1:$AU$172,$B102,FALSE)&lt;0,HLOOKUP(I$4,'Physical Effects-Numbers'!$B$1:$AU$172,$B102,FALSE),""))</f>
        <v/>
      </c>
      <c r="J102" s="488" t="str">
        <f>IF(J$4="","",IF(HLOOKUP(J$4,'Physical Effects-Numbers'!$B$1:$AU$172,$B102,FALSE)&lt;0,HLOOKUP(J$4,'Physical Effects-Numbers'!$B$1:$AU$172,$B102,FALSE),""))</f>
        <v/>
      </c>
      <c r="K102" s="488" t="str">
        <f>IF(K$4="","",IF(HLOOKUP(K$4,'Physical Effects-Numbers'!$B$1:$AU$172,$B102,FALSE)&lt;0,HLOOKUP(K$4,'Physical Effects-Numbers'!$B$1:$AU$172,$B102,FALSE),""))</f>
        <v/>
      </c>
      <c r="L102" s="488" t="str">
        <f>IF(L$4="","",IF(HLOOKUP(L$4,'Physical Effects-Numbers'!$B$1:$AU$172,$B102,FALSE)&lt;0,HLOOKUP(L$4,'Physical Effects-Numbers'!$B$1:$AU$172,$B102,FALSE),""))</f>
        <v/>
      </c>
      <c r="M102" s="488" t="str">
        <f>IF(M$4="","",IF(HLOOKUP(M$4,'Physical Effects-Numbers'!$B$1:$AU$172,$B102,FALSE)&lt;0,HLOOKUP(M$4,'Physical Effects-Numbers'!$B$1:$AU$172,$B102,FALSE),""))</f>
        <v/>
      </c>
      <c r="N102" s="488" t="str">
        <f>IF(N$4="","",IF(HLOOKUP(N$4,'Physical Effects-Numbers'!$B$1:$AU$172,$B102,FALSE)&lt;0,HLOOKUP(N$4,'Physical Effects-Numbers'!$B$1:$AU$172,$B102,FALSE),""))</f>
        <v/>
      </c>
      <c r="O102" s="488" t="str">
        <f>IF(O$4="","",IF(HLOOKUP(O$4,'Physical Effects-Numbers'!$B$1:$AU$172,$B102,FALSE)&lt;0,HLOOKUP(O$4,'Physical Effects-Numbers'!$B$1:$AU$172,$B102,FALSE),""))</f>
        <v/>
      </c>
      <c r="P102" s="488" t="str">
        <f>IF(P$4="","",IF(HLOOKUP(P$4,'Physical Effects-Numbers'!$B$1:$AU$172,$B102,FALSE)&lt;0,HLOOKUP(P$4,'Physical Effects-Numbers'!$B$1:$AU$172,$B102,FALSE),""))</f>
        <v/>
      </c>
      <c r="Q102" s="488" t="str">
        <f>IF(Q$4="","",IF(HLOOKUP(Q$4,'Physical Effects-Numbers'!$B$1:$AU$172,$B102,FALSE)&lt;0,HLOOKUP(Q$4,'Physical Effects-Numbers'!$B$1:$AU$172,$B102,FALSE),""))</f>
        <v/>
      </c>
      <c r="R102" s="488" t="str">
        <f>IF(R$4="","",IF(HLOOKUP(R$4,'Physical Effects-Numbers'!$B$1:$AU$172,$B102,FALSE)&lt;0,HLOOKUP(R$4,'Physical Effects-Numbers'!$B$1:$AU$172,$B102,FALSE),""))</f>
        <v/>
      </c>
      <c r="S102" s="488" t="str">
        <f>IF(S$4="","",IF(HLOOKUP(S$4,'Physical Effects-Numbers'!$B$1:$AU$172,$B102,FALSE)&lt;0,HLOOKUP(S$4,'Physical Effects-Numbers'!$B$1:$AU$172,$B102,FALSE),""))</f>
        <v/>
      </c>
      <c r="T102" s="488" t="str">
        <f>IF(T$4="","",IF(HLOOKUP(T$4,'Physical Effects-Numbers'!$B$1:$AU$172,$B102,FALSE)&lt;0,HLOOKUP(T$4,'Physical Effects-Numbers'!$B$1:$AU$172,$B102,FALSE),""))</f>
        <v/>
      </c>
      <c r="U102" s="488">
        <f>IF(U$4="","",IF(HLOOKUP(U$4,'Physical Effects-Numbers'!$B$1:$AU$172,$B102,FALSE)&lt;0,HLOOKUP(U$4,'Physical Effects-Numbers'!$B$1:$AU$172,$B102,FALSE),""))</f>
        <v>-1</v>
      </c>
      <c r="V102" s="488" t="str">
        <f>IF(V$4="","",IF(HLOOKUP(V$4,'Physical Effects-Numbers'!$B$1:$AU$172,$B102,FALSE)&lt;0,HLOOKUP(V$4,'Physical Effects-Numbers'!$B$1:$AU$172,$B102,FALSE),""))</f>
        <v/>
      </c>
      <c r="W102" s="488" t="str">
        <f>IF(W$4="","",IF(HLOOKUP(W$4,'Physical Effects-Numbers'!$B$1:$AU$172,$B102,FALSE)&lt;0,HLOOKUP(W$4,'Physical Effects-Numbers'!$B$1:$AU$172,$B102,FALSE),""))</f>
        <v/>
      </c>
      <c r="X102" s="488" t="str">
        <f>IF(X$4="","",IF(HLOOKUP(X$4,'Physical Effects-Numbers'!$B$1:$AU$172,$B102,FALSE)&lt;0,HLOOKUP(X$4,'Physical Effects-Numbers'!$B$1:$AU$172,$B102,FALSE),""))</f>
        <v/>
      </c>
      <c r="Y102" s="488" t="str">
        <f>IF(Y$4="","",IF(HLOOKUP(Y$4,'Physical Effects-Numbers'!$B$1:$AU$172,$B102,FALSE)&lt;0,HLOOKUP(Y$4,'Physical Effects-Numbers'!$B$1:$AU$172,$B102,FALSE),""))</f>
        <v/>
      </c>
      <c r="Z102" s="488" t="str">
        <f>IF(Z$4="","",IF(HLOOKUP(Z$4,'Physical Effects-Numbers'!$B$1:$AU$172,$B102,FALSE)&lt;0,HLOOKUP(Z$4,'Physical Effects-Numbers'!$B$1:$AU$172,$B102,FALSE),""))</f>
        <v/>
      </c>
      <c r="AA102" s="488" t="str">
        <f>IF(AA$4="","",IF(HLOOKUP(AA$4,'Physical Effects-Numbers'!$B$1:$AU$172,$B102,FALSE)&lt;0,HLOOKUP(AA$4,'Physical Effects-Numbers'!$B$1:$AU$172,$B102,FALSE),""))</f>
        <v/>
      </c>
      <c r="AB102" s="488" t="str">
        <f>IF(AB$4="","",IF(HLOOKUP(AB$4,'Physical Effects-Numbers'!$B$1:$AU$172,$B102,FALSE)&lt;0,HLOOKUP(AB$4,'Physical Effects-Numbers'!$B$1:$AU$172,$B102,FALSE),""))</f>
        <v/>
      </c>
      <c r="AC102" s="488">
        <f>IF(AC$4="","",IF(HLOOKUP(AC$4,'Physical Effects-Numbers'!$B$1:$AU$172,$B102,FALSE)&lt;0,HLOOKUP(AC$4,'Physical Effects-Numbers'!$B$1:$AU$172,$B102,FALSE),""))</f>
        <v>-1</v>
      </c>
      <c r="AD102" s="488" t="str">
        <f>IF(AD$4="","",IF(HLOOKUP(AD$4,'Physical Effects-Numbers'!$B$1:$AU$172,$B102,FALSE)&lt;0,HLOOKUP(AD$4,'Physical Effects-Numbers'!$B$1:$AU$172,$B102,FALSE),""))</f>
        <v/>
      </c>
      <c r="AE102" s="488" t="str">
        <f>IF(AE$4="","",IF(HLOOKUP(AE$4,'Physical Effects-Numbers'!$B$1:$AU$172,$B102,FALSE)&lt;0,HLOOKUP(AE$4,'Physical Effects-Numbers'!$B$1:$AU$172,$B102,FALSE),""))</f>
        <v/>
      </c>
      <c r="AF102" s="488" t="str">
        <f>IF(AF$4="","",IF(HLOOKUP(AF$4,'Physical Effects-Numbers'!$B$1:$AU$172,$B102,FALSE)&lt;0,HLOOKUP(AF$4,'Physical Effects-Numbers'!$B$1:$AU$172,$B102,FALSE),""))</f>
        <v/>
      </c>
      <c r="AG102" s="488" t="str">
        <f>IF(AG$4="","",IF(HLOOKUP(AG$4,'Physical Effects-Numbers'!$B$1:$AU$172,$B102,FALSE)&lt;0,HLOOKUP(AG$4,'Physical Effects-Numbers'!$B$1:$AU$172,$B102,FALSE),""))</f>
        <v/>
      </c>
      <c r="AH102" s="488" t="str">
        <f>IF(AH$4="","",IF(HLOOKUP(AH$4,'Physical Effects-Numbers'!$B$1:$AU$172,$B102,FALSE)&lt;0,HLOOKUP(AH$4,'Physical Effects-Numbers'!$B$1:$AU$172,$B102,FALSE),""))</f>
        <v/>
      </c>
      <c r="AI102" s="488" t="str">
        <f>IF(AI$4="","",IF(HLOOKUP(AI$4,'Physical Effects-Numbers'!$B$1:$AU$172,$B102,FALSE)&lt;0,HLOOKUP(AI$4,'Physical Effects-Numbers'!$B$1:$AU$172,$B102,FALSE),""))</f>
        <v/>
      </c>
      <c r="AJ102" s="488" t="str">
        <f>IF(AJ$4="","",IF(HLOOKUP(AJ$4,'Physical Effects-Numbers'!$B$1:$AU$172,$B102,FALSE)&lt;0,HLOOKUP(AJ$4,'Physical Effects-Numbers'!$B$1:$AU$172,$B102,FALSE),""))</f>
        <v/>
      </c>
      <c r="AK102" s="488" t="str">
        <f>IF(AK$4="","",IF(HLOOKUP(AK$4,'Physical Effects-Numbers'!$B$1:$AU$172,$B102,FALSE)&lt;0,HLOOKUP(AK$4,'Physical Effects-Numbers'!$B$1:$AU$172,$B102,FALSE),""))</f>
        <v/>
      </c>
      <c r="AL102" s="488" t="str">
        <f>IF(AL$4="","",IF(HLOOKUP(AL$4,'Physical Effects-Numbers'!$B$1:$AU$172,$B102,FALSE)&lt;0,HLOOKUP(AL$4,'Physical Effects-Numbers'!$B$1:$AU$172,$B102,FALSE),""))</f>
        <v/>
      </c>
      <c r="AM102" s="488" t="str">
        <f>IF(AM$4="","",IF(HLOOKUP(AM$4,'Physical Effects-Numbers'!$B$1:$AU$172,$B102,FALSE)&lt;0,HLOOKUP(AM$4,'Physical Effects-Numbers'!$B$1:$AU$172,$B102,FALSE),""))</f>
        <v/>
      </c>
      <c r="AN102" s="488" t="str">
        <f>IF(AN$4="","",IF(HLOOKUP(AN$4,'Physical Effects-Numbers'!$B$1:$AU$172,$B102,FALSE)&lt;0,HLOOKUP(AN$4,'Physical Effects-Numbers'!$B$1:$AU$172,$B102,FALSE),""))</f>
        <v/>
      </c>
      <c r="AO102" s="488">
        <f>IF(AO$4="","",IF(HLOOKUP(AO$4,'Physical Effects-Numbers'!$B$1:$AU$172,$B102,FALSE)&lt;0,HLOOKUP(AO$4,'Physical Effects-Numbers'!$B$1:$AU$172,$B102,FALSE),""))</f>
        <v>-2</v>
      </c>
      <c r="AP102" s="488" t="str">
        <f>IF(AP$4="","",IF(HLOOKUP(AP$4,'Physical Effects-Numbers'!$B$1:$AU$172,$B102,FALSE)&lt;0,HLOOKUP(AP$4,'Physical Effects-Numbers'!$B$1:$AU$172,$B102,FALSE),""))</f>
        <v/>
      </c>
      <c r="AQ102" s="488" t="str">
        <f>IF(AQ$4="","",IF(HLOOKUP(AQ$4,'Physical Effects-Numbers'!$B$1:$AU$172,$B102,FALSE)&lt;0,HLOOKUP(AQ$4,'Physical Effects-Numbers'!$B$1:$AU$172,$B102,FALSE),""))</f>
        <v/>
      </c>
      <c r="AR102" s="488" t="str">
        <f>IF(AR$4="","",IF(HLOOKUP(AR$4,'Physical Effects-Numbers'!$B$1:$AU$172,$B102,FALSE)&lt;0,HLOOKUP(AR$4,'Physical Effects-Numbers'!$B$1:$AU$172,$B102,FALSE),""))</f>
        <v/>
      </c>
      <c r="AS102" s="488" t="str">
        <f>IF(AS$4="","",IF(HLOOKUP(AS$4,'Physical Effects-Numbers'!$B$1:$AU$172,$B102,FALSE)&lt;0,HLOOKUP(AS$4,'Physical Effects-Numbers'!$B$1:$AU$172,$B102,FALSE),""))</f>
        <v/>
      </c>
      <c r="AT102" s="488" t="str">
        <f>IF(AT$4="","",IF(HLOOKUP(AT$4,'Physical Effects-Numbers'!$B$1:$AU$172,$B102,FALSE)&lt;0,HLOOKUP(AT$4,'Physical Effects-Numbers'!$B$1:$AU$172,$B102,FALSE),""))</f>
        <v/>
      </c>
      <c r="AU102" s="488" t="str">
        <f>IF(AU$4="","",IF(HLOOKUP(AU$4,'Physical Effects-Numbers'!$B$1:$AU$172,$B102,FALSE)&lt;0,HLOOKUP(AU$4,'Physical Effects-Numbers'!$B$1:$AU$172,$B102,FALSE),""))</f>
        <v/>
      </c>
      <c r="AV102" s="488" t="str">
        <f>IF(AV$4="","",IF(HLOOKUP(AV$4,'Physical Effects-Numbers'!$B$1:$AU$167,$B102,FALSE)&lt;0,HLOOKUP(AV$4,'Physical Effects-Numbers'!$B$1:$AU$167,$B102,FALSE),""))</f>
        <v/>
      </c>
    </row>
    <row r="103" spans="2:48" x14ac:dyDescent="0.2">
      <c r="B103" s="487">
        <f t="shared" si="1"/>
        <v>100</v>
      </c>
      <c r="C103" s="486" t="str">
        <f>+'Physical Effects-Numbers'!B100</f>
        <v>Pond</v>
      </c>
      <c r="D103" s="488" t="str">
        <f>IF(D$4="","",IF(HLOOKUP(D$4,'Physical Effects-Numbers'!$B$1:$AU$172,$B103,FALSE)&lt;0,HLOOKUP(D$4,'Physical Effects-Numbers'!$B$1:$AU$172,$B103,FALSE),""))</f>
        <v/>
      </c>
      <c r="E103" s="488" t="str">
        <f>IF(E$4="","",IF(HLOOKUP(E$4,'Physical Effects-Numbers'!$B$1:$AU$172,$B103,FALSE)&lt;0,HLOOKUP(E$4,'Physical Effects-Numbers'!$B$1:$AU$172,$B103,FALSE),""))</f>
        <v/>
      </c>
      <c r="F103" s="488" t="str">
        <f>IF(F$4="","",IF(HLOOKUP(F$4,'Physical Effects-Numbers'!$B$1:$AU$172,$B103,FALSE)&lt;0,HLOOKUP(F$4,'Physical Effects-Numbers'!$B$1:$AU$172,$B103,FALSE),""))</f>
        <v/>
      </c>
      <c r="G103" s="488" t="str">
        <f>IF(G$4="","",IF(HLOOKUP(G$4,'Physical Effects-Numbers'!$B$1:$AU$172,$B103,FALSE)&lt;0,HLOOKUP(G$4,'Physical Effects-Numbers'!$B$1:$AU$172,$B103,FALSE),""))</f>
        <v/>
      </c>
      <c r="H103" s="488" t="str">
        <f>IF(H$4="","",IF(HLOOKUP(H$4,'Physical Effects-Numbers'!$B$1:$AU$172,$B103,FALSE)&lt;0,HLOOKUP(H$4,'Physical Effects-Numbers'!$B$1:$AU$172,$B103,FALSE),""))</f>
        <v/>
      </c>
      <c r="I103" s="488" t="str">
        <f>IF(I$4="","",IF(HLOOKUP(I$4,'Physical Effects-Numbers'!$B$1:$AU$172,$B103,FALSE)&lt;0,HLOOKUP(I$4,'Physical Effects-Numbers'!$B$1:$AU$172,$B103,FALSE),""))</f>
        <v/>
      </c>
      <c r="J103" s="488" t="str">
        <f>IF(J$4="","",IF(HLOOKUP(J$4,'Physical Effects-Numbers'!$B$1:$AU$172,$B103,FALSE)&lt;0,HLOOKUP(J$4,'Physical Effects-Numbers'!$B$1:$AU$172,$B103,FALSE),""))</f>
        <v/>
      </c>
      <c r="K103" s="488" t="str">
        <f>IF(K$4="","",IF(HLOOKUP(K$4,'Physical Effects-Numbers'!$B$1:$AU$172,$B103,FALSE)&lt;0,HLOOKUP(K$4,'Physical Effects-Numbers'!$B$1:$AU$172,$B103,FALSE),""))</f>
        <v/>
      </c>
      <c r="L103" s="488">
        <f>IF(L$4="","",IF(HLOOKUP(L$4,'Physical Effects-Numbers'!$B$1:$AU$172,$B103,FALSE)&lt;0,HLOOKUP(L$4,'Physical Effects-Numbers'!$B$1:$AU$172,$B103,FALSE),""))</f>
        <v>-1</v>
      </c>
      <c r="M103" s="488">
        <f>IF(M$4="","",IF(HLOOKUP(M$4,'Physical Effects-Numbers'!$B$1:$AU$172,$B103,FALSE)&lt;0,HLOOKUP(M$4,'Physical Effects-Numbers'!$B$1:$AU$172,$B103,FALSE),""))</f>
        <v>-2</v>
      </c>
      <c r="N103" s="488" t="str">
        <f>IF(N$4="","",IF(HLOOKUP(N$4,'Physical Effects-Numbers'!$B$1:$AU$172,$B103,FALSE)&lt;0,HLOOKUP(N$4,'Physical Effects-Numbers'!$B$1:$AU$172,$B103,FALSE),""))</f>
        <v/>
      </c>
      <c r="O103" s="488">
        <f>IF(O$4="","",IF(HLOOKUP(O$4,'Physical Effects-Numbers'!$B$1:$AU$172,$B103,FALSE)&lt;0,HLOOKUP(O$4,'Physical Effects-Numbers'!$B$1:$AU$172,$B103,FALSE),""))</f>
        <v>-1</v>
      </c>
      <c r="P103" s="488" t="str">
        <f>IF(P$4="","",IF(HLOOKUP(P$4,'Physical Effects-Numbers'!$B$1:$AU$172,$B103,FALSE)&lt;0,HLOOKUP(P$4,'Physical Effects-Numbers'!$B$1:$AU$172,$B103,FALSE),""))</f>
        <v/>
      </c>
      <c r="Q103" s="488" t="str">
        <f>IF(Q$4="","",IF(HLOOKUP(Q$4,'Physical Effects-Numbers'!$B$1:$AU$172,$B103,FALSE)&lt;0,HLOOKUP(Q$4,'Physical Effects-Numbers'!$B$1:$AU$172,$B103,FALSE),""))</f>
        <v/>
      </c>
      <c r="R103" s="488" t="str">
        <f>IF(R$4="","",IF(HLOOKUP(R$4,'Physical Effects-Numbers'!$B$1:$AU$172,$B103,FALSE)&lt;0,HLOOKUP(R$4,'Physical Effects-Numbers'!$B$1:$AU$172,$B103,FALSE),""))</f>
        <v/>
      </c>
      <c r="S103" s="488" t="str">
        <f>IF(S$4="","",IF(HLOOKUP(S$4,'Physical Effects-Numbers'!$B$1:$AU$172,$B103,FALSE)&lt;0,HLOOKUP(S$4,'Physical Effects-Numbers'!$B$1:$AU$172,$B103,FALSE),""))</f>
        <v/>
      </c>
      <c r="T103" s="488" t="str">
        <f>IF(T$4="","",IF(HLOOKUP(T$4,'Physical Effects-Numbers'!$B$1:$AU$172,$B103,FALSE)&lt;0,HLOOKUP(T$4,'Physical Effects-Numbers'!$B$1:$AU$172,$B103,FALSE),""))</f>
        <v/>
      </c>
      <c r="U103" s="488" t="str">
        <f>IF(U$4="","",IF(HLOOKUP(U$4,'Physical Effects-Numbers'!$B$1:$AU$172,$B103,FALSE)&lt;0,HLOOKUP(U$4,'Physical Effects-Numbers'!$B$1:$AU$172,$B103,FALSE),""))</f>
        <v/>
      </c>
      <c r="V103" s="488">
        <f>IF(V$4="","",IF(HLOOKUP(V$4,'Physical Effects-Numbers'!$B$1:$AU$172,$B103,FALSE)&lt;0,HLOOKUP(V$4,'Physical Effects-Numbers'!$B$1:$AU$172,$B103,FALSE),""))</f>
        <v>-1</v>
      </c>
      <c r="W103" s="488" t="str">
        <f>IF(W$4="","",IF(HLOOKUP(W$4,'Physical Effects-Numbers'!$B$1:$AU$172,$B103,FALSE)&lt;0,HLOOKUP(W$4,'Physical Effects-Numbers'!$B$1:$AU$172,$B103,FALSE),""))</f>
        <v/>
      </c>
      <c r="X103" s="488" t="str">
        <f>IF(X$4="","",IF(HLOOKUP(X$4,'Physical Effects-Numbers'!$B$1:$AU$172,$B103,FALSE)&lt;0,HLOOKUP(X$4,'Physical Effects-Numbers'!$B$1:$AU$172,$B103,FALSE),""))</f>
        <v/>
      </c>
      <c r="Y103" s="488">
        <f>IF(Y$4="","",IF(HLOOKUP(Y$4,'Physical Effects-Numbers'!$B$1:$AU$172,$B103,FALSE)&lt;0,HLOOKUP(Y$4,'Physical Effects-Numbers'!$B$1:$AU$172,$B103,FALSE),""))</f>
        <v>-2</v>
      </c>
      <c r="Z103" s="488" t="str">
        <f>IF(Z$4="","",IF(HLOOKUP(Z$4,'Physical Effects-Numbers'!$B$1:$AU$172,$B103,FALSE)&lt;0,HLOOKUP(Z$4,'Physical Effects-Numbers'!$B$1:$AU$172,$B103,FALSE),""))</f>
        <v/>
      </c>
      <c r="AA103" s="488" t="str">
        <f>IF(AA$4="","",IF(HLOOKUP(AA$4,'Physical Effects-Numbers'!$B$1:$AU$172,$B103,FALSE)&lt;0,HLOOKUP(AA$4,'Physical Effects-Numbers'!$B$1:$AU$172,$B103,FALSE),""))</f>
        <v/>
      </c>
      <c r="AB103" s="488" t="str">
        <f>IF(AB$4="","",IF(HLOOKUP(AB$4,'Physical Effects-Numbers'!$B$1:$AU$172,$B103,FALSE)&lt;0,HLOOKUP(AB$4,'Physical Effects-Numbers'!$B$1:$AU$172,$B103,FALSE),""))</f>
        <v/>
      </c>
      <c r="AC103" s="488" t="str">
        <f>IF(AC$4="","",IF(HLOOKUP(AC$4,'Physical Effects-Numbers'!$B$1:$AU$172,$B103,FALSE)&lt;0,HLOOKUP(AC$4,'Physical Effects-Numbers'!$B$1:$AU$172,$B103,FALSE),""))</f>
        <v/>
      </c>
      <c r="AD103" s="488" t="str">
        <f>IF(AD$4="","",IF(HLOOKUP(AD$4,'Physical Effects-Numbers'!$B$1:$AU$172,$B103,FALSE)&lt;0,HLOOKUP(AD$4,'Physical Effects-Numbers'!$B$1:$AU$172,$B103,FALSE),""))</f>
        <v/>
      </c>
      <c r="AE103" s="488" t="str">
        <f>IF(AE$4="","",IF(HLOOKUP(AE$4,'Physical Effects-Numbers'!$B$1:$AU$172,$B103,FALSE)&lt;0,HLOOKUP(AE$4,'Physical Effects-Numbers'!$B$1:$AU$172,$B103,FALSE),""))</f>
        <v/>
      </c>
      <c r="AF103" s="488" t="str">
        <f>IF(AF$4="","",IF(HLOOKUP(AF$4,'Physical Effects-Numbers'!$B$1:$AU$172,$B103,FALSE)&lt;0,HLOOKUP(AF$4,'Physical Effects-Numbers'!$B$1:$AU$172,$B103,FALSE),""))</f>
        <v/>
      </c>
      <c r="AG103" s="488" t="str">
        <f>IF(AG$4="","",IF(HLOOKUP(AG$4,'Physical Effects-Numbers'!$B$1:$AU$172,$B103,FALSE)&lt;0,HLOOKUP(AG$4,'Physical Effects-Numbers'!$B$1:$AU$172,$B103,FALSE),""))</f>
        <v/>
      </c>
      <c r="AH103" s="488" t="str">
        <f>IF(AH$4="","",IF(HLOOKUP(AH$4,'Physical Effects-Numbers'!$B$1:$AU$172,$B103,FALSE)&lt;0,HLOOKUP(AH$4,'Physical Effects-Numbers'!$B$1:$AU$172,$B103,FALSE),""))</f>
        <v/>
      </c>
      <c r="AI103" s="488" t="str">
        <f>IF(AI$4="","",IF(HLOOKUP(AI$4,'Physical Effects-Numbers'!$B$1:$AU$172,$B103,FALSE)&lt;0,HLOOKUP(AI$4,'Physical Effects-Numbers'!$B$1:$AU$172,$B103,FALSE),""))</f>
        <v/>
      </c>
      <c r="AJ103" s="488" t="str">
        <f>IF(AJ$4="","",IF(HLOOKUP(AJ$4,'Physical Effects-Numbers'!$B$1:$AU$172,$B103,FALSE)&lt;0,HLOOKUP(AJ$4,'Physical Effects-Numbers'!$B$1:$AU$172,$B103,FALSE),""))</f>
        <v/>
      </c>
      <c r="AK103" s="488" t="str">
        <f>IF(AK$4="","",IF(HLOOKUP(AK$4,'Physical Effects-Numbers'!$B$1:$AU$172,$B103,FALSE)&lt;0,HLOOKUP(AK$4,'Physical Effects-Numbers'!$B$1:$AU$172,$B103,FALSE),""))</f>
        <v/>
      </c>
      <c r="AL103" s="488" t="str">
        <f>IF(AL$4="","",IF(HLOOKUP(AL$4,'Physical Effects-Numbers'!$B$1:$AU$172,$B103,FALSE)&lt;0,HLOOKUP(AL$4,'Physical Effects-Numbers'!$B$1:$AU$172,$B103,FALSE),""))</f>
        <v/>
      </c>
      <c r="AM103" s="488" t="str">
        <f>IF(AM$4="","",IF(HLOOKUP(AM$4,'Physical Effects-Numbers'!$B$1:$AU$172,$B103,FALSE)&lt;0,HLOOKUP(AM$4,'Physical Effects-Numbers'!$B$1:$AU$172,$B103,FALSE),""))</f>
        <v/>
      </c>
      <c r="AN103" s="488" t="str">
        <f>IF(AN$4="","",IF(HLOOKUP(AN$4,'Physical Effects-Numbers'!$B$1:$AU$172,$B103,FALSE)&lt;0,HLOOKUP(AN$4,'Physical Effects-Numbers'!$B$1:$AU$172,$B103,FALSE),""))</f>
        <v/>
      </c>
      <c r="AO103" s="488" t="str">
        <f>IF(AO$4="","",IF(HLOOKUP(AO$4,'Physical Effects-Numbers'!$B$1:$AU$172,$B103,FALSE)&lt;0,HLOOKUP(AO$4,'Physical Effects-Numbers'!$B$1:$AU$172,$B103,FALSE),""))</f>
        <v/>
      </c>
      <c r="AP103" s="488" t="str">
        <f>IF(AP$4="","",IF(HLOOKUP(AP$4,'Physical Effects-Numbers'!$B$1:$AU$172,$B103,FALSE)&lt;0,HLOOKUP(AP$4,'Physical Effects-Numbers'!$B$1:$AU$172,$B103,FALSE),""))</f>
        <v/>
      </c>
      <c r="AQ103" s="488" t="str">
        <f>IF(AQ$4="","",IF(HLOOKUP(AQ$4,'Physical Effects-Numbers'!$B$1:$AU$172,$B103,FALSE)&lt;0,HLOOKUP(AQ$4,'Physical Effects-Numbers'!$B$1:$AU$172,$B103,FALSE),""))</f>
        <v/>
      </c>
      <c r="AR103" s="488" t="str">
        <f>IF(AR$4="","",IF(HLOOKUP(AR$4,'Physical Effects-Numbers'!$B$1:$AU$172,$B103,FALSE)&lt;0,HLOOKUP(AR$4,'Physical Effects-Numbers'!$B$1:$AU$172,$B103,FALSE),""))</f>
        <v/>
      </c>
      <c r="AS103" s="488" t="str">
        <f>IF(AS$4="","",IF(HLOOKUP(AS$4,'Physical Effects-Numbers'!$B$1:$AU$172,$B103,FALSE)&lt;0,HLOOKUP(AS$4,'Physical Effects-Numbers'!$B$1:$AU$172,$B103,FALSE),""))</f>
        <v/>
      </c>
      <c r="AT103" s="488" t="str">
        <f>IF(AT$4="","",IF(HLOOKUP(AT$4,'Physical Effects-Numbers'!$B$1:$AU$172,$B103,FALSE)&lt;0,HLOOKUP(AT$4,'Physical Effects-Numbers'!$B$1:$AU$172,$B103,FALSE),""))</f>
        <v/>
      </c>
      <c r="AU103" s="488" t="str">
        <f>IF(AU$4="","",IF(HLOOKUP(AU$4,'Physical Effects-Numbers'!$B$1:$AU$172,$B103,FALSE)&lt;0,HLOOKUP(AU$4,'Physical Effects-Numbers'!$B$1:$AU$172,$B103,FALSE),""))</f>
        <v/>
      </c>
      <c r="AV103" s="488" t="str">
        <f>IF(AV$4="","",IF(HLOOKUP(AV$4,'Physical Effects-Numbers'!$B$1:$AU$167,$B103,FALSE)&lt;0,HLOOKUP(AV$4,'Physical Effects-Numbers'!$B$1:$AU$167,$B103,FALSE),""))</f>
        <v/>
      </c>
    </row>
    <row r="104" spans="2:48" x14ac:dyDescent="0.2">
      <c r="B104" s="487">
        <f t="shared" si="1"/>
        <v>101</v>
      </c>
      <c r="C104" s="486" t="str">
        <f>+'Physical Effects-Numbers'!B101</f>
        <v>Pond Sealing or Lining, Concrete</v>
      </c>
      <c r="D104" s="488" t="str">
        <f>IF(D$4="","",IF(HLOOKUP(D$4,'Physical Effects-Numbers'!$B$1:$AU$172,$B104,FALSE)&lt;0,HLOOKUP(D$4,'Physical Effects-Numbers'!$B$1:$AU$172,$B104,FALSE),""))</f>
        <v/>
      </c>
      <c r="E104" s="488" t="str">
        <f>IF(E$4="","",IF(HLOOKUP(E$4,'Physical Effects-Numbers'!$B$1:$AU$172,$B104,FALSE)&lt;0,HLOOKUP(E$4,'Physical Effects-Numbers'!$B$1:$AU$172,$B104,FALSE),""))</f>
        <v/>
      </c>
      <c r="F104" s="488" t="str">
        <f>IF(F$4="","",IF(HLOOKUP(F$4,'Physical Effects-Numbers'!$B$1:$AU$172,$B104,FALSE)&lt;0,HLOOKUP(F$4,'Physical Effects-Numbers'!$B$1:$AU$172,$B104,FALSE),""))</f>
        <v/>
      </c>
      <c r="G104" s="488" t="str">
        <f>IF(G$4="","",IF(HLOOKUP(G$4,'Physical Effects-Numbers'!$B$1:$AU$172,$B104,FALSE)&lt;0,HLOOKUP(G$4,'Physical Effects-Numbers'!$B$1:$AU$172,$B104,FALSE),""))</f>
        <v/>
      </c>
      <c r="H104" s="488" t="str">
        <f>IF(H$4="","",IF(HLOOKUP(H$4,'Physical Effects-Numbers'!$B$1:$AU$172,$B104,FALSE)&lt;0,HLOOKUP(H$4,'Physical Effects-Numbers'!$B$1:$AU$172,$B104,FALSE),""))</f>
        <v/>
      </c>
      <c r="I104" s="488" t="str">
        <f>IF(I$4="","",IF(HLOOKUP(I$4,'Physical Effects-Numbers'!$B$1:$AU$172,$B104,FALSE)&lt;0,HLOOKUP(I$4,'Physical Effects-Numbers'!$B$1:$AU$172,$B104,FALSE),""))</f>
        <v/>
      </c>
      <c r="J104" s="488" t="str">
        <f>IF(J$4="","",IF(HLOOKUP(J$4,'Physical Effects-Numbers'!$B$1:$AU$172,$B104,FALSE)&lt;0,HLOOKUP(J$4,'Physical Effects-Numbers'!$B$1:$AU$172,$B104,FALSE),""))</f>
        <v/>
      </c>
      <c r="K104" s="488" t="str">
        <f>IF(K$4="","",IF(HLOOKUP(K$4,'Physical Effects-Numbers'!$B$1:$AU$172,$B104,FALSE)&lt;0,HLOOKUP(K$4,'Physical Effects-Numbers'!$B$1:$AU$172,$B104,FALSE),""))</f>
        <v/>
      </c>
      <c r="L104" s="488" t="str">
        <f>IF(L$4="","",IF(HLOOKUP(L$4,'Physical Effects-Numbers'!$B$1:$AU$172,$B104,FALSE)&lt;0,HLOOKUP(L$4,'Physical Effects-Numbers'!$B$1:$AU$172,$B104,FALSE),""))</f>
        <v/>
      </c>
      <c r="M104" s="488" t="str">
        <f>IF(M$4="","",IF(HLOOKUP(M$4,'Physical Effects-Numbers'!$B$1:$AU$172,$B104,FALSE)&lt;0,HLOOKUP(M$4,'Physical Effects-Numbers'!$B$1:$AU$172,$B104,FALSE),""))</f>
        <v/>
      </c>
      <c r="N104" s="488" t="str">
        <f>IF(N$4="","",IF(HLOOKUP(N$4,'Physical Effects-Numbers'!$B$1:$AU$172,$B104,FALSE)&lt;0,HLOOKUP(N$4,'Physical Effects-Numbers'!$B$1:$AU$172,$B104,FALSE),""))</f>
        <v/>
      </c>
      <c r="O104" s="488" t="str">
        <f>IF(O$4="","",IF(HLOOKUP(O$4,'Physical Effects-Numbers'!$B$1:$AU$172,$B104,FALSE)&lt;0,HLOOKUP(O$4,'Physical Effects-Numbers'!$B$1:$AU$172,$B104,FALSE),""))</f>
        <v/>
      </c>
      <c r="P104" s="488" t="str">
        <f>IF(P$4="","",IF(HLOOKUP(P$4,'Physical Effects-Numbers'!$B$1:$AU$172,$B104,FALSE)&lt;0,HLOOKUP(P$4,'Physical Effects-Numbers'!$B$1:$AU$172,$B104,FALSE),""))</f>
        <v/>
      </c>
      <c r="Q104" s="488" t="str">
        <f>IF(Q$4="","",IF(HLOOKUP(Q$4,'Physical Effects-Numbers'!$B$1:$AU$172,$B104,FALSE)&lt;0,HLOOKUP(Q$4,'Physical Effects-Numbers'!$B$1:$AU$172,$B104,FALSE),""))</f>
        <v/>
      </c>
      <c r="R104" s="488" t="str">
        <f>IF(R$4="","",IF(HLOOKUP(R$4,'Physical Effects-Numbers'!$B$1:$AU$172,$B104,FALSE)&lt;0,HLOOKUP(R$4,'Physical Effects-Numbers'!$B$1:$AU$172,$B104,FALSE),""))</f>
        <v/>
      </c>
      <c r="S104" s="488" t="str">
        <f>IF(S$4="","",IF(HLOOKUP(S$4,'Physical Effects-Numbers'!$B$1:$AU$172,$B104,FALSE)&lt;0,HLOOKUP(S$4,'Physical Effects-Numbers'!$B$1:$AU$172,$B104,FALSE),""))</f>
        <v/>
      </c>
      <c r="T104" s="488" t="str">
        <f>IF(T$4="","",IF(HLOOKUP(T$4,'Physical Effects-Numbers'!$B$1:$AU$172,$B104,FALSE)&lt;0,HLOOKUP(T$4,'Physical Effects-Numbers'!$B$1:$AU$172,$B104,FALSE),""))</f>
        <v/>
      </c>
      <c r="U104" s="488" t="str">
        <f>IF(U$4="","",IF(HLOOKUP(U$4,'Physical Effects-Numbers'!$B$1:$AU$172,$B104,FALSE)&lt;0,HLOOKUP(U$4,'Physical Effects-Numbers'!$B$1:$AU$172,$B104,FALSE),""))</f>
        <v/>
      </c>
      <c r="V104" s="488" t="str">
        <f>IF(V$4="","",IF(HLOOKUP(V$4,'Physical Effects-Numbers'!$B$1:$AU$172,$B104,FALSE)&lt;0,HLOOKUP(V$4,'Physical Effects-Numbers'!$B$1:$AU$172,$B104,FALSE),""))</f>
        <v/>
      </c>
      <c r="W104" s="488" t="str">
        <f>IF(W$4="","",IF(HLOOKUP(W$4,'Physical Effects-Numbers'!$B$1:$AU$172,$B104,FALSE)&lt;0,HLOOKUP(W$4,'Physical Effects-Numbers'!$B$1:$AU$172,$B104,FALSE),""))</f>
        <v/>
      </c>
      <c r="X104" s="488" t="str">
        <f>IF(X$4="","",IF(HLOOKUP(X$4,'Physical Effects-Numbers'!$B$1:$AU$172,$B104,FALSE)&lt;0,HLOOKUP(X$4,'Physical Effects-Numbers'!$B$1:$AU$172,$B104,FALSE),""))</f>
        <v/>
      </c>
      <c r="Y104" s="488" t="str">
        <f>IF(Y$4="","",IF(HLOOKUP(Y$4,'Physical Effects-Numbers'!$B$1:$AU$172,$B104,FALSE)&lt;0,HLOOKUP(Y$4,'Physical Effects-Numbers'!$B$1:$AU$172,$B104,FALSE),""))</f>
        <v/>
      </c>
      <c r="Z104" s="488" t="str">
        <f>IF(Z$4="","",IF(HLOOKUP(Z$4,'Physical Effects-Numbers'!$B$1:$AU$172,$B104,FALSE)&lt;0,HLOOKUP(Z$4,'Physical Effects-Numbers'!$B$1:$AU$172,$B104,FALSE),""))</f>
        <v/>
      </c>
      <c r="AA104" s="488" t="str">
        <f>IF(AA$4="","",IF(HLOOKUP(AA$4,'Physical Effects-Numbers'!$B$1:$AU$172,$B104,FALSE)&lt;0,HLOOKUP(AA$4,'Physical Effects-Numbers'!$B$1:$AU$172,$B104,FALSE),""))</f>
        <v/>
      </c>
      <c r="AB104" s="488" t="str">
        <f>IF(AB$4="","",IF(HLOOKUP(AB$4,'Physical Effects-Numbers'!$B$1:$AU$172,$B104,FALSE)&lt;0,HLOOKUP(AB$4,'Physical Effects-Numbers'!$B$1:$AU$172,$B104,FALSE),""))</f>
        <v/>
      </c>
      <c r="AC104" s="488" t="str">
        <f>IF(AC$4="","",IF(HLOOKUP(AC$4,'Physical Effects-Numbers'!$B$1:$AU$172,$B104,FALSE)&lt;0,HLOOKUP(AC$4,'Physical Effects-Numbers'!$B$1:$AU$172,$B104,FALSE),""))</f>
        <v/>
      </c>
      <c r="AD104" s="488" t="str">
        <f>IF(AD$4="","",IF(HLOOKUP(AD$4,'Physical Effects-Numbers'!$B$1:$AU$172,$B104,FALSE)&lt;0,HLOOKUP(AD$4,'Physical Effects-Numbers'!$B$1:$AU$172,$B104,FALSE),""))</f>
        <v/>
      </c>
      <c r="AE104" s="488" t="str">
        <f>IF(AE$4="","",IF(HLOOKUP(AE$4,'Physical Effects-Numbers'!$B$1:$AU$172,$B104,FALSE)&lt;0,HLOOKUP(AE$4,'Physical Effects-Numbers'!$B$1:$AU$172,$B104,FALSE),""))</f>
        <v/>
      </c>
      <c r="AF104" s="488" t="str">
        <f>IF(AF$4="","",IF(HLOOKUP(AF$4,'Physical Effects-Numbers'!$B$1:$AU$172,$B104,FALSE)&lt;0,HLOOKUP(AF$4,'Physical Effects-Numbers'!$B$1:$AU$172,$B104,FALSE),""))</f>
        <v/>
      </c>
      <c r="AG104" s="488" t="str">
        <f>IF(AG$4="","",IF(HLOOKUP(AG$4,'Physical Effects-Numbers'!$B$1:$AU$172,$B104,FALSE)&lt;0,HLOOKUP(AG$4,'Physical Effects-Numbers'!$B$1:$AU$172,$B104,FALSE),""))</f>
        <v/>
      </c>
      <c r="AH104" s="488" t="str">
        <f>IF(AH$4="","",IF(HLOOKUP(AH$4,'Physical Effects-Numbers'!$B$1:$AU$172,$B104,FALSE)&lt;0,HLOOKUP(AH$4,'Physical Effects-Numbers'!$B$1:$AU$172,$B104,FALSE),""))</f>
        <v/>
      </c>
      <c r="AI104" s="488" t="str">
        <f>IF(AI$4="","",IF(HLOOKUP(AI$4,'Physical Effects-Numbers'!$B$1:$AU$172,$B104,FALSE)&lt;0,HLOOKUP(AI$4,'Physical Effects-Numbers'!$B$1:$AU$172,$B104,FALSE),""))</f>
        <v/>
      </c>
      <c r="AJ104" s="488" t="str">
        <f>IF(AJ$4="","",IF(HLOOKUP(AJ$4,'Physical Effects-Numbers'!$B$1:$AU$172,$B104,FALSE)&lt;0,HLOOKUP(AJ$4,'Physical Effects-Numbers'!$B$1:$AU$172,$B104,FALSE),""))</f>
        <v/>
      </c>
      <c r="AK104" s="488" t="str">
        <f>IF(AK$4="","",IF(HLOOKUP(AK$4,'Physical Effects-Numbers'!$B$1:$AU$172,$B104,FALSE)&lt;0,HLOOKUP(AK$4,'Physical Effects-Numbers'!$B$1:$AU$172,$B104,FALSE),""))</f>
        <v/>
      </c>
      <c r="AL104" s="488" t="str">
        <f>IF(AL$4="","",IF(HLOOKUP(AL$4,'Physical Effects-Numbers'!$B$1:$AU$172,$B104,FALSE)&lt;0,HLOOKUP(AL$4,'Physical Effects-Numbers'!$B$1:$AU$172,$B104,FALSE),""))</f>
        <v/>
      </c>
      <c r="AM104" s="488" t="str">
        <f>IF(AM$4="","",IF(HLOOKUP(AM$4,'Physical Effects-Numbers'!$B$1:$AU$172,$B104,FALSE)&lt;0,HLOOKUP(AM$4,'Physical Effects-Numbers'!$B$1:$AU$172,$B104,FALSE),""))</f>
        <v/>
      </c>
      <c r="AN104" s="488" t="str">
        <f>IF(AN$4="","",IF(HLOOKUP(AN$4,'Physical Effects-Numbers'!$B$1:$AU$172,$B104,FALSE)&lt;0,HLOOKUP(AN$4,'Physical Effects-Numbers'!$B$1:$AU$172,$B104,FALSE),""))</f>
        <v/>
      </c>
      <c r="AO104" s="488" t="str">
        <f>IF(AO$4="","",IF(HLOOKUP(AO$4,'Physical Effects-Numbers'!$B$1:$AU$172,$B104,FALSE)&lt;0,HLOOKUP(AO$4,'Physical Effects-Numbers'!$B$1:$AU$172,$B104,FALSE),""))</f>
        <v/>
      </c>
      <c r="AP104" s="488" t="str">
        <f>IF(AP$4="","",IF(HLOOKUP(AP$4,'Physical Effects-Numbers'!$B$1:$AU$172,$B104,FALSE)&lt;0,HLOOKUP(AP$4,'Physical Effects-Numbers'!$B$1:$AU$172,$B104,FALSE),""))</f>
        <v/>
      </c>
      <c r="AQ104" s="488" t="str">
        <f>IF(AQ$4="","",IF(HLOOKUP(AQ$4,'Physical Effects-Numbers'!$B$1:$AU$172,$B104,FALSE)&lt;0,HLOOKUP(AQ$4,'Physical Effects-Numbers'!$B$1:$AU$172,$B104,FALSE),""))</f>
        <v/>
      </c>
      <c r="AR104" s="488" t="str">
        <f>IF(AR$4="","",IF(HLOOKUP(AR$4,'Physical Effects-Numbers'!$B$1:$AU$172,$B104,FALSE)&lt;0,HLOOKUP(AR$4,'Physical Effects-Numbers'!$B$1:$AU$172,$B104,FALSE),""))</f>
        <v/>
      </c>
      <c r="AS104" s="488" t="str">
        <f>IF(AS$4="","",IF(HLOOKUP(AS$4,'Physical Effects-Numbers'!$B$1:$AU$172,$B104,FALSE)&lt;0,HLOOKUP(AS$4,'Physical Effects-Numbers'!$B$1:$AU$172,$B104,FALSE),""))</f>
        <v/>
      </c>
      <c r="AT104" s="488" t="str">
        <f>IF(AT$4="","",IF(HLOOKUP(AT$4,'Physical Effects-Numbers'!$B$1:$AU$172,$B104,FALSE)&lt;0,HLOOKUP(AT$4,'Physical Effects-Numbers'!$B$1:$AU$172,$B104,FALSE),""))</f>
        <v/>
      </c>
      <c r="AU104" s="488" t="str">
        <f>IF(AU$4="","",IF(HLOOKUP(AU$4,'Physical Effects-Numbers'!$B$1:$AU$172,$B104,FALSE)&lt;0,HLOOKUP(AU$4,'Physical Effects-Numbers'!$B$1:$AU$172,$B104,FALSE),""))</f>
        <v/>
      </c>
      <c r="AV104" s="488" t="str">
        <f>IF(AV$4="","",IF(HLOOKUP(AV$4,'Physical Effects-Numbers'!$B$1:$AU$167,$B104,FALSE)&lt;0,HLOOKUP(AV$4,'Physical Effects-Numbers'!$B$1:$AU$167,$B104,FALSE),""))</f>
        <v/>
      </c>
    </row>
    <row r="105" spans="2:48" x14ac:dyDescent="0.2">
      <c r="B105" s="487">
        <f t="shared" si="1"/>
        <v>102</v>
      </c>
      <c r="C105" s="486" t="str">
        <f>+'Physical Effects-Numbers'!B102</f>
        <v>Pond Sealing or Lining, Compacted Soil Treatment</v>
      </c>
      <c r="D105" s="488" t="str">
        <f>IF(D$4="","",IF(HLOOKUP(D$4,'Physical Effects-Numbers'!$B$1:$AU$172,$B105,FALSE)&lt;0,HLOOKUP(D$4,'Physical Effects-Numbers'!$B$1:$AU$172,$B105,FALSE),""))</f>
        <v/>
      </c>
      <c r="E105" s="488" t="str">
        <f>IF(E$4="","",IF(HLOOKUP(E$4,'Physical Effects-Numbers'!$B$1:$AU$172,$B105,FALSE)&lt;0,HLOOKUP(E$4,'Physical Effects-Numbers'!$B$1:$AU$172,$B105,FALSE),""))</f>
        <v/>
      </c>
      <c r="F105" s="488" t="str">
        <f>IF(F$4="","",IF(HLOOKUP(F$4,'Physical Effects-Numbers'!$B$1:$AU$172,$B105,FALSE)&lt;0,HLOOKUP(F$4,'Physical Effects-Numbers'!$B$1:$AU$172,$B105,FALSE),""))</f>
        <v/>
      </c>
      <c r="G105" s="488" t="str">
        <f>IF(G$4="","",IF(HLOOKUP(G$4,'Physical Effects-Numbers'!$B$1:$AU$172,$B105,FALSE)&lt;0,HLOOKUP(G$4,'Physical Effects-Numbers'!$B$1:$AU$172,$B105,FALSE),""))</f>
        <v/>
      </c>
      <c r="H105" s="488" t="str">
        <f>IF(H$4="","",IF(HLOOKUP(H$4,'Physical Effects-Numbers'!$B$1:$AU$172,$B105,FALSE)&lt;0,HLOOKUP(H$4,'Physical Effects-Numbers'!$B$1:$AU$172,$B105,FALSE),""))</f>
        <v/>
      </c>
      <c r="I105" s="488" t="str">
        <f>IF(I$4="","",IF(HLOOKUP(I$4,'Physical Effects-Numbers'!$B$1:$AU$172,$B105,FALSE)&lt;0,HLOOKUP(I$4,'Physical Effects-Numbers'!$B$1:$AU$172,$B105,FALSE),""))</f>
        <v/>
      </c>
      <c r="J105" s="488" t="str">
        <f>IF(J$4="","",IF(HLOOKUP(J$4,'Physical Effects-Numbers'!$B$1:$AU$172,$B105,FALSE)&lt;0,HLOOKUP(J$4,'Physical Effects-Numbers'!$B$1:$AU$172,$B105,FALSE),""))</f>
        <v/>
      </c>
      <c r="K105" s="488" t="str">
        <f>IF(K$4="","",IF(HLOOKUP(K$4,'Physical Effects-Numbers'!$B$1:$AU$172,$B105,FALSE)&lt;0,HLOOKUP(K$4,'Physical Effects-Numbers'!$B$1:$AU$172,$B105,FALSE),""))</f>
        <v/>
      </c>
      <c r="L105" s="488" t="str">
        <f>IF(L$4="","",IF(HLOOKUP(L$4,'Physical Effects-Numbers'!$B$1:$AU$172,$B105,FALSE)&lt;0,HLOOKUP(L$4,'Physical Effects-Numbers'!$B$1:$AU$172,$B105,FALSE),""))</f>
        <v/>
      </c>
      <c r="M105" s="488" t="str">
        <f>IF(M$4="","",IF(HLOOKUP(M$4,'Physical Effects-Numbers'!$B$1:$AU$172,$B105,FALSE)&lt;0,HLOOKUP(M$4,'Physical Effects-Numbers'!$B$1:$AU$172,$B105,FALSE),""))</f>
        <v/>
      </c>
      <c r="N105" s="488" t="str">
        <f>IF(N$4="","",IF(HLOOKUP(N$4,'Physical Effects-Numbers'!$B$1:$AU$172,$B105,FALSE)&lt;0,HLOOKUP(N$4,'Physical Effects-Numbers'!$B$1:$AU$172,$B105,FALSE),""))</f>
        <v/>
      </c>
      <c r="O105" s="488" t="str">
        <f>IF(O$4="","",IF(HLOOKUP(O$4,'Physical Effects-Numbers'!$B$1:$AU$172,$B105,FALSE)&lt;0,HLOOKUP(O$4,'Physical Effects-Numbers'!$B$1:$AU$172,$B105,FALSE),""))</f>
        <v/>
      </c>
      <c r="P105" s="488" t="str">
        <f>IF(P$4="","",IF(HLOOKUP(P$4,'Physical Effects-Numbers'!$B$1:$AU$172,$B105,FALSE)&lt;0,HLOOKUP(P$4,'Physical Effects-Numbers'!$B$1:$AU$172,$B105,FALSE),""))</f>
        <v/>
      </c>
      <c r="Q105" s="488" t="str">
        <f>IF(Q$4="","",IF(HLOOKUP(Q$4,'Physical Effects-Numbers'!$B$1:$AU$172,$B105,FALSE)&lt;0,HLOOKUP(Q$4,'Physical Effects-Numbers'!$B$1:$AU$172,$B105,FALSE),""))</f>
        <v/>
      </c>
      <c r="R105" s="488" t="str">
        <f>IF(R$4="","",IF(HLOOKUP(R$4,'Physical Effects-Numbers'!$B$1:$AU$172,$B105,FALSE)&lt;0,HLOOKUP(R$4,'Physical Effects-Numbers'!$B$1:$AU$172,$B105,FALSE),""))</f>
        <v/>
      </c>
      <c r="S105" s="488" t="str">
        <f>IF(S$4="","",IF(HLOOKUP(S$4,'Physical Effects-Numbers'!$B$1:$AU$172,$B105,FALSE)&lt;0,HLOOKUP(S$4,'Physical Effects-Numbers'!$B$1:$AU$172,$B105,FALSE),""))</f>
        <v/>
      </c>
      <c r="T105" s="488" t="str">
        <f>IF(T$4="","",IF(HLOOKUP(T$4,'Physical Effects-Numbers'!$B$1:$AU$172,$B105,FALSE)&lt;0,HLOOKUP(T$4,'Physical Effects-Numbers'!$B$1:$AU$172,$B105,FALSE),""))</f>
        <v/>
      </c>
      <c r="U105" s="488" t="str">
        <f>IF(U$4="","",IF(HLOOKUP(U$4,'Physical Effects-Numbers'!$B$1:$AU$172,$B105,FALSE)&lt;0,HLOOKUP(U$4,'Physical Effects-Numbers'!$B$1:$AU$172,$B105,FALSE),""))</f>
        <v/>
      </c>
      <c r="V105" s="488" t="str">
        <f>IF(V$4="","",IF(HLOOKUP(V$4,'Physical Effects-Numbers'!$B$1:$AU$172,$B105,FALSE)&lt;0,HLOOKUP(V$4,'Physical Effects-Numbers'!$B$1:$AU$172,$B105,FALSE),""))</f>
        <v/>
      </c>
      <c r="W105" s="488" t="str">
        <f>IF(W$4="","",IF(HLOOKUP(W$4,'Physical Effects-Numbers'!$B$1:$AU$172,$B105,FALSE)&lt;0,HLOOKUP(W$4,'Physical Effects-Numbers'!$B$1:$AU$172,$B105,FALSE),""))</f>
        <v/>
      </c>
      <c r="X105" s="488" t="str">
        <f>IF(X$4="","",IF(HLOOKUP(X$4,'Physical Effects-Numbers'!$B$1:$AU$172,$B105,FALSE)&lt;0,HLOOKUP(X$4,'Physical Effects-Numbers'!$B$1:$AU$172,$B105,FALSE),""))</f>
        <v/>
      </c>
      <c r="Y105" s="488" t="str">
        <f>IF(Y$4="","",IF(HLOOKUP(Y$4,'Physical Effects-Numbers'!$B$1:$AU$172,$B105,FALSE)&lt;0,HLOOKUP(Y$4,'Physical Effects-Numbers'!$B$1:$AU$172,$B105,FALSE),""))</f>
        <v/>
      </c>
      <c r="Z105" s="488" t="str">
        <f>IF(Z$4="","",IF(HLOOKUP(Z$4,'Physical Effects-Numbers'!$B$1:$AU$172,$B105,FALSE)&lt;0,HLOOKUP(Z$4,'Physical Effects-Numbers'!$B$1:$AU$172,$B105,FALSE),""))</f>
        <v/>
      </c>
      <c r="AA105" s="488" t="str">
        <f>IF(AA$4="","",IF(HLOOKUP(AA$4,'Physical Effects-Numbers'!$B$1:$AU$172,$B105,FALSE)&lt;0,HLOOKUP(AA$4,'Physical Effects-Numbers'!$B$1:$AU$172,$B105,FALSE),""))</f>
        <v/>
      </c>
      <c r="AB105" s="488" t="str">
        <f>IF(AB$4="","",IF(HLOOKUP(AB$4,'Physical Effects-Numbers'!$B$1:$AU$172,$B105,FALSE)&lt;0,HLOOKUP(AB$4,'Physical Effects-Numbers'!$B$1:$AU$172,$B105,FALSE),""))</f>
        <v/>
      </c>
      <c r="AC105" s="488" t="str">
        <f>IF(AC$4="","",IF(HLOOKUP(AC$4,'Physical Effects-Numbers'!$B$1:$AU$172,$B105,FALSE)&lt;0,HLOOKUP(AC$4,'Physical Effects-Numbers'!$B$1:$AU$172,$B105,FALSE),""))</f>
        <v/>
      </c>
      <c r="AD105" s="488" t="str">
        <f>IF(AD$4="","",IF(HLOOKUP(AD$4,'Physical Effects-Numbers'!$B$1:$AU$172,$B105,FALSE)&lt;0,HLOOKUP(AD$4,'Physical Effects-Numbers'!$B$1:$AU$172,$B105,FALSE),""))</f>
        <v/>
      </c>
      <c r="AE105" s="488" t="str">
        <f>IF(AE$4="","",IF(HLOOKUP(AE$4,'Physical Effects-Numbers'!$B$1:$AU$172,$B105,FALSE)&lt;0,HLOOKUP(AE$4,'Physical Effects-Numbers'!$B$1:$AU$172,$B105,FALSE),""))</f>
        <v/>
      </c>
      <c r="AF105" s="488" t="str">
        <f>IF(AF$4="","",IF(HLOOKUP(AF$4,'Physical Effects-Numbers'!$B$1:$AU$172,$B105,FALSE)&lt;0,HLOOKUP(AF$4,'Physical Effects-Numbers'!$B$1:$AU$172,$B105,FALSE),""))</f>
        <v/>
      </c>
      <c r="AG105" s="488" t="str">
        <f>IF(AG$4="","",IF(HLOOKUP(AG$4,'Physical Effects-Numbers'!$B$1:$AU$172,$B105,FALSE)&lt;0,HLOOKUP(AG$4,'Physical Effects-Numbers'!$B$1:$AU$172,$B105,FALSE),""))</f>
        <v/>
      </c>
      <c r="AH105" s="488" t="str">
        <f>IF(AH$4="","",IF(HLOOKUP(AH$4,'Physical Effects-Numbers'!$B$1:$AU$172,$B105,FALSE)&lt;0,HLOOKUP(AH$4,'Physical Effects-Numbers'!$B$1:$AU$172,$B105,FALSE),""))</f>
        <v/>
      </c>
      <c r="AI105" s="488" t="str">
        <f>IF(AI$4="","",IF(HLOOKUP(AI$4,'Physical Effects-Numbers'!$B$1:$AU$172,$B105,FALSE)&lt;0,HLOOKUP(AI$4,'Physical Effects-Numbers'!$B$1:$AU$172,$B105,FALSE),""))</f>
        <v/>
      </c>
      <c r="AJ105" s="488" t="str">
        <f>IF(AJ$4="","",IF(HLOOKUP(AJ$4,'Physical Effects-Numbers'!$B$1:$AU$172,$B105,FALSE)&lt;0,HLOOKUP(AJ$4,'Physical Effects-Numbers'!$B$1:$AU$172,$B105,FALSE),""))</f>
        <v/>
      </c>
      <c r="AK105" s="488" t="str">
        <f>IF(AK$4="","",IF(HLOOKUP(AK$4,'Physical Effects-Numbers'!$B$1:$AU$172,$B105,FALSE)&lt;0,HLOOKUP(AK$4,'Physical Effects-Numbers'!$B$1:$AU$172,$B105,FALSE),""))</f>
        <v/>
      </c>
      <c r="AL105" s="488" t="str">
        <f>IF(AL$4="","",IF(HLOOKUP(AL$4,'Physical Effects-Numbers'!$B$1:$AU$172,$B105,FALSE)&lt;0,HLOOKUP(AL$4,'Physical Effects-Numbers'!$B$1:$AU$172,$B105,FALSE),""))</f>
        <v/>
      </c>
      <c r="AM105" s="488" t="str">
        <f>IF(AM$4="","",IF(HLOOKUP(AM$4,'Physical Effects-Numbers'!$B$1:$AU$172,$B105,FALSE)&lt;0,HLOOKUP(AM$4,'Physical Effects-Numbers'!$B$1:$AU$172,$B105,FALSE),""))</f>
        <v/>
      </c>
      <c r="AN105" s="488" t="str">
        <f>IF(AN$4="","",IF(HLOOKUP(AN$4,'Physical Effects-Numbers'!$B$1:$AU$172,$B105,FALSE)&lt;0,HLOOKUP(AN$4,'Physical Effects-Numbers'!$B$1:$AU$172,$B105,FALSE),""))</f>
        <v/>
      </c>
      <c r="AO105" s="488" t="str">
        <f>IF(AO$4="","",IF(HLOOKUP(AO$4,'Physical Effects-Numbers'!$B$1:$AU$172,$B105,FALSE)&lt;0,HLOOKUP(AO$4,'Physical Effects-Numbers'!$B$1:$AU$172,$B105,FALSE),""))</f>
        <v/>
      </c>
      <c r="AP105" s="488" t="str">
        <f>IF(AP$4="","",IF(HLOOKUP(AP$4,'Physical Effects-Numbers'!$B$1:$AU$172,$B105,FALSE)&lt;0,HLOOKUP(AP$4,'Physical Effects-Numbers'!$B$1:$AU$172,$B105,FALSE),""))</f>
        <v/>
      </c>
      <c r="AQ105" s="488" t="str">
        <f>IF(AQ$4="","",IF(HLOOKUP(AQ$4,'Physical Effects-Numbers'!$B$1:$AU$172,$B105,FALSE)&lt;0,HLOOKUP(AQ$4,'Physical Effects-Numbers'!$B$1:$AU$172,$B105,FALSE),""))</f>
        <v/>
      </c>
      <c r="AR105" s="488" t="str">
        <f>IF(AR$4="","",IF(HLOOKUP(AR$4,'Physical Effects-Numbers'!$B$1:$AU$172,$B105,FALSE)&lt;0,HLOOKUP(AR$4,'Physical Effects-Numbers'!$B$1:$AU$172,$B105,FALSE),""))</f>
        <v/>
      </c>
      <c r="AS105" s="488" t="str">
        <f>IF(AS$4="","",IF(HLOOKUP(AS$4,'Physical Effects-Numbers'!$B$1:$AU$172,$B105,FALSE)&lt;0,HLOOKUP(AS$4,'Physical Effects-Numbers'!$B$1:$AU$172,$B105,FALSE),""))</f>
        <v/>
      </c>
      <c r="AT105" s="488" t="str">
        <f>IF(AT$4="","",IF(HLOOKUP(AT$4,'Physical Effects-Numbers'!$B$1:$AU$172,$B105,FALSE)&lt;0,HLOOKUP(AT$4,'Physical Effects-Numbers'!$B$1:$AU$172,$B105,FALSE),""))</f>
        <v/>
      </c>
      <c r="AU105" s="488" t="str">
        <f>IF(AU$4="","",IF(HLOOKUP(AU$4,'Physical Effects-Numbers'!$B$1:$AU$172,$B105,FALSE)&lt;0,HLOOKUP(AU$4,'Physical Effects-Numbers'!$B$1:$AU$172,$B105,FALSE),""))</f>
        <v/>
      </c>
      <c r="AV105" s="488" t="str">
        <f>IF(AV$4="","",IF(HLOOKUP(AV$4,'Physical Effects-Numbers'!$B$1:$AU$167,$B105,FALSE)&lt;0,HLOOKUP(AV$4,'Physical Effects-Numbers'!$B$1:$AU$167,$B105,FALSE),""))</f>
        <v/>
      </c>
    </row>
    <row r="106" spans="2:48" x14ac:dyDescent="0.2">
      <c r="B106" s="487">
        <f t="shared" si="1"/>
        <v>103</v>
      </c>
      <c r="C106" s="486" t="str">
        <f>+'Physical Effects-Numbers'!B103</f>
        <v>Pond Sealing or Lining, Flexible Membrane</v>
      </c>
      <c r="D106" s="488" t="str">
        <f>IF(D$4="","",IF(HLOOKUP(D$4,'Physical Effects-Numbers'!$B$1:$AU$172,$B106,FALSE)&lt;0,HLOOKUP(D$4,'Physical Effects-Numbers'!$B$1:$AU$172,$B106,FALSE),""))</f>
        <v/>
      </c>
      <c r="E106" s="488" t="str">
        <f>IF(E$4="","",IF(HLOOKUP(E$4,'Physical Effects-Numbers'!$B$1:$AU$172,$B106,FALSE)&lt;0,HLOOKUP(E$4,'Physical Effects-Numbers'!$B$1:$AU$172,$B106,FALSE),""))</f>
        <v/>
      </c>
      <c r="F106" s="488" t="str">
        <f>IF(F$4="","",IF(HLOOKUP(F$4,'Physical Effects-Numbers'!$B$1:$AU$172,$B106,FALSE)&lt;0,HLOOKUP(F$4,'Physical Effects-Numbers'!$B$1:$AU$172,$B106,FALSE),""))</f>
        <v/>
      </c>
      <c r="G106" s="488" t="str">
        <f>IF(G$4="","",IF(HLOOKUP(G$4,'Physical Effects-Numbers'!$B$1:$AU$172,$B106,FALSE)&lt;0,HLOOKUP(G$4,'Physical Effects-Numbers'!$B$1:$AU$172,$B106,FALSE),""))</f>
        <v/>
      </c>
      <c r="H106" s="488" t="str">
        <f>IF(H$4="","",IF(HLOOKUP(H$4,'Physical Effects-Numbers'!$B$1:$AU$172,$B106,FALSE)&lt;0,HLOOKUP(H$4,'Physical Effects-Numbers'!$B$1:$AU$172,$B106,FALSE),""))</f>
        <v/>
      </c>
      <c r="I106" s="488" t="str">
        <f>IF(I$4="","",IF(HLOOKUP(I$4,'Physical Effects-Numbers'!$B$1:$AU$172,$B106,FALSE)&lt;0,HLOOKUP(I$4,'Physical Effects-Numbers'!$B$1:$AU$172,$B106,FALSE),""))</f>
        <v/>
      </c>
      <c r="J106" s="488" t="str">
        <f>IF(J$4="","",IF(HLOOKUP(J$4,'Physical Effects-Numbers'!$B$1:$AU$172,$B106,FALSE)&lt;0,HLOOKUP(J$4,'Physical Effects-Numbers'!$B$1:$AU$172,$B106,FALSE),""))</f>
        <v/>
      </c>
      <c r="K106" s="488" t="str">
        <f>IF(K$4="","",IF(HLOOKUP(K$4,'Physical Effects-Numbers'!$B$1:$AU$172,$B106,FALSE)&lt;0,HLOOKUP(K$4,'Physical Effects-Numbers'!$B$1:$AU$172,$B106,FALSE),""))</f>
        <v/>
      </c>
      <c r="L106" s="488" t="str">
        <f>IF(L$4="","",IF(HLOOKUP(L$4,'Physical Effects-Numbers'!$B$1:$AU$172,$B106,FALSE)&lt;0,HLOOKUP(L$4,'Physical Effects-Numbers'!$B$1:$AU$172,$B106,FALSE),""))</f>
        <v/>
      </c>
      <c r="M106" s="488" t="str">
        <f>IF(M$4="","",IF(HLOOKUP(M$4,'Physical Effects-Numbers'!$B$1:$AU$172,$B106,FALSE)&lt;0,HLOOKUP(M$4,'Physical Effects-Numbers'!$B$1:$AU$172,$B106,FALSE),""))</f>
        <v/>
      </c>
      <c r="N106" s="488" t="str">
        <f>IF(N$4="","",IF(HLOOKUP(N$4,'Physical Effects-Numbers'!$B$1:$AU$172,$B106,FALSE)&lt;0,HLOOKUP(N$4,'Physical Effects-Numbers'!$B$1:$AU$172,$B106,FALSE),""))</f>
        <v/>
      </c>
      <c r="O106" s="488" t="str">
        <f>IF(O$4="","",IF(HLOOKUP(O$4,'Physical Effects-Numbers'!$B$1:$AU$172,$B106,FALSE)&lt;0,HLOOKUP(O$4,'Physical Effects-Numbers'!$B$1:$AU$172,$B106,FALSE),""))</f>
        <v/>
      </c>
      <c r="P106" s="488" t="str">
        <f>IF(P$4="","",IF(HLOOKUP(P$4,'Physical Effects-Numbers'!$B$1:$AU$172,$B106,FALSE)&lt;0,HLOOKUP(P$4,'Physical Effects-Numbers'!$B$1:$AU$172,$B106,FALSE),""))</f>
        <v/>
      </c>
      <c r="Q106" s="488" t="str">
        <f>IF(Q$4="","",IF(HLOOKUP(Q$4,'Physical Effects-Numbers'!$B$1:$AU$172,$B106,FALSE)&lt;0,HLOOKUP(Q$4,'Physical Effects-Numbers'!$B$1:$AU$172,$B106,FALSE),""))</f>
        <v/>
      </c>
      <c r="R106" s="488" t="str">
        <f>IF(R$4="","",IF(HLOOKUP(R$4,'Physical Effects-Numbers'!$B$1:$AU$172,$B106,FALSE)&lt;0,HLOOKUP(R$4,'Physical Effects-Numbers'!$B$1:$AU$172,$B106,FALSE),""))</f>
        <v/>
      </c>
      <c r="S106" s="488" t="str">
        <f>IF(S$4="","",IF(HLOOKUP(S$4,'Physical Effects-Numbers'!$B$1:$AU$172,$B106,FALSE)&lt;0,HLOOKUP(S$4,'Physical Effects-Numbers'!$B$1:$AU$172,$B106,FALSE),""))</f>
        <v/>
      </c>
      <c r="T106" s="488" t="str">
        <f>IF(T$4="","",IF(HLOOKUP(T$4,'Physical Effects-Numbers'!$B$1:$AU$172,$B106,FALSE)&lt;0,HLOOKUP(T$4,'Physical Effects-Numbers'!$B$1:$AU$172,$B106,FALSE),""))</f>
        <v/>
      </c>
      <c r="U106" s="488" t="str">
        <f>IF(U$4="","",IF(HLOOKUP(U$4,'Physical Effects-Numbers'!$B$1:$AU$172,$B106,FALSE)&lt;0,HLOOKUP(U$4,'Physical Effects-Numbers'!$B$1:$AU$172,$B106,FALSE),""))</f>
        <v/>
      </c>
      <c r="V106" s="488" t="str">
        <f>IF(V$4="","",IF(HLOOKUP(V$4,'Physical Effects-Numbers'!$B$1:$AU$172,$B106,FALSE)&lt;0,HLOOKUP(V$4,'Physical Effects-Numbers'!$B$1:$AU$172,$B106,FALSE),""))</f>
        <v/>
      </c>
      <c r="W106" s="488" t="str">
        <f>IF(W$4="","",IF(HLOOKUP(W$4,'Physical Effects-Numbers'!$B$1:$AU$172,$B106,FALSE)&lt;0,HLOOKUP(W$4,'Physical Effects-Numbers'!$B$1:$AU$172,$B106,FALSE),""))</f>
        <v/>
      </c>
      <c r="X106" s="488" t="str">
        <f>IF(X$4="","",IF(HLOOKUP(X$4,'Physical Effects-Numbers'!$B$1:$AU$172,$B106,FALSE)&lt;0,HLOOKUP(X$4,'Physical Effects-Numbers'!$B$1:$AU$172,$B106,FALSE),""))</f>
        <v/>
      </c>
      <c r="Y106" s="488" t="str">
        <f>IF(Y$4="","",IF(HLOOKUP(Y$4,'Physical Effects-Numbers'!$B$1:$AU$172,$B106,FALSE)&lt;0,HLOOKUP(Y$4,'Physical Effects-Numbers'!$B$1:$AU$172,$B106,FALSE),""))</f>
        <v/>
      </c>
      <c r="Z106" s="488" t="str">
        <f>IF(Z$4="","",IF(HLOOKUP(Z$4,'Physical Effects-Numbers'!$B$1:$AU$172,$B106,FALSE)&lt;0,HLOOKUP(Z$4,'Physical Effects-Numbers'!$B$1:$AU$172,$B106,FALSE),""))</f>
        <v/>
      </c>
      <c r="AA106" s="488" t="str">
        <f>IF(AA$4="","",IF(HLOOKUP(AA$4,'Physical Effects-Numbers'!$B$1:$AU$172,$B106,FALSE)&lt;0,HLOOKUP(AA$4,'Physical Effects-Numbers'!$B$1:$AU$172,$B106,FALSE),""))</f>
        <v/>
      </c>
      <c r="AB106" s="488" t="str">
        <f>IF(AB$4="","",IF(HLOOKUP(AB$4,'Physical Effects-Numbers'!$B$1:$AU$172,$B106,FALSE)&lt;0,HLOOKUP(AB$4,'Physical Effects-Numbers'!$B$1:$AU$172,$B106,FALSE),""))</f>
        <v/>
      </c>
      <c r="AC106" s="488" t="str">
        <f>IF(AC$4="","",IF(HLOOKUP(AC$4,'Physical Effects-Numbers'!$B$1:$AU$172,$B106,FALSE)&lt;0,HLOOKUP(AC$4,'Physical Effects-Numbers'!$B$1:$AU$172,$B106,FALSE),""))</f>
        <v/>
      </c>
      <c r="AD106" s="488" t="str">
        <f>IF(AD$4="","",IF(HLOOKUP(AD$4,'Physical Effects-Numbers'!$B$1:$AU$172,$B106,FALSE)&lt;0,HLOOKUP(AD$4,'Physical Effects-Numbers'!$B$1:$AU$172,$B106,FALSE),""))</f>
        <v/>
      </c>
      <c r="AE106" s="488" t="str">
        <f>IF(AE$4="","",IF(HLOOKUP(AE$4,'Physical Effects-Numbers'!$B$1:$AU$172,$B106,FALSE)&lt;0,HLOOKUP(AE$4,'Physical Effects-Numbers'!$B$1:$AU$172,$B106,FALSE),""))</f>
        <v/>
      </c>
      <c r="AF106" s="488" t="str">
        <f>IF(AF$4="","",IF(HLOOKUP(AF$4,'Physical Effects-Numbers'!$B$1:$AU$172,$B106,FALSE)&lt;0,HLOOKUP(AF$4,'Physical Effects-Numbers'!$B$1:$AU$172,$B106,FALSE),""))</f>
        <v/>
      </c>
      <c r="AG106" s="488" t="str">
        <f>IF(AG$4="","",IF(HLOOKUP(AG$4,'Physical Effects-Numbers'!$B$1:$AU$172,$B106,FALSE)&lt;0,HLOOKUP(AG$4,'Physical Effects-Numbers'!$B$1:$AU$172,$B106,FALSE),""))</f>
        <v/>
      </c>
      <c r="AH106" s="488" t="str">
        <f>IF(AH$4="","",IF(HLOOKUP(AH$4,'Physical Effects-Numbers'!$B$1:$AU$172,$B106,FALSE)&lt;0,HLOOKUP(AH$4,'Physical Effects-Numbers'!$B$1:$AU$172,$B106,FALSE),""))</f>
        <v/>
      </c>
      <c r="AI106" s="488" t="str">
        <f>IF(AI$4="","",IF(HLOOKUP(AI$4,'Physical Effects-Numbers'!$B$1:$AU$172,$B106,FALSE)&lt;0,HLOOKUP(AI$4,'Physical Effects-Numbers'!$B$1:$AU$172,$B106,FALSE),""))</f>
        <v/>
      </c>
      <c r="AJ106" s="488" t="str">
        <f>IF(AJ$4="","",IF(HLOOKUP(AJ$4,'Physical Effects-Numbers'!$B$1:$AU$172,$B106,FALSE)&lt;0,HLOOKUP(AJ$4,'Physical Effects-Numbers'!$B$1:$AU$172,$B106,FALSE),""))</f>
        <v/>
      </c>
      <c r="AK106" s="488" t="str">
        <f>IF(AK$4="","",IF(HLOOKUP(AK$4,'Physical Effects-Numbers'!$B$1:$AU$172,$B106,FALSE)&lt;0,HLOOKUP(AK$4,'Physical Effects-Numbers'!$B$1:$AU$172,$B106,FALSE),""))</f>
        <v/>
      </c>
      <c r="AL106" s="488" t="str">
        <f>IF(AL$4="","",IF(HLOOKUP(AL$4,'Physical Effects-Numbers'!$B$1:$AU$172,$B106,FALSE)&lt;0,HLOOKUP(AL$4,'Physical Effects-Numbers'!$B$1:$AU$172,$B106,FALSE),""))</f>
        <v/>
      </c>
      <c r="AM106" s="488" t="str">
        <f>IF(AM$4="","",IF(HLOOKUP(AM$4,'Physical Effects-Numbers'!$B$1:$AU$172,$B106,FALSE)&lt;0,HLOOKUP(AM$4,'Physical Effects-Numbers'!$B$1:$AU$172,$B106,FALSE),""))</f>
        <v/>
      </c>
      <c r="AN106" s="488" t="str">
        <f>IF(AN$4="","",IF(HLOOKUP(AN$4,'Physical Effects-Numbers'!$B$1:$AU$172,$B106,FALSE)&lt;0,HLOOKUP(AN$4,'Physical Effects-Numbers'!$B$1:$AU$172,$B106,FALSE),""))</f>
        <v/>
      </c>
      <c r="AO106" s="488" t="str">
        <f>IF(AO$4="","",IF(HLOOKUP(AO$4,'Physical Effects-Numbers'!$B$1:$AU$172,$B106,FALSE)&lt;0,HLOOKUP(AO$4,'Physical Effects-Numbers'!$B$1:$AU$172,$B106,FALSE),""))</f>
        <v/>
      </c>
      <c r="AP106" s="488" t="str">
        <f>IF(AP$4="","",IF(HLOOKUP(AP$4,'Physical Effects-Numbers'!$B$1:$AU$172,$B106,FALSE)&lt;0,HLOOKUP(AP$4,'Physical Effects-Numbers'!$B$1:$AU$172,$B106,FALSE),""))</f>
        <v/>
      </c>
      <c r="AQ106" s="488" t="str">
        <f>IF(AQ$4="","",IF(HLOOKUP(AQ$4,'Physical Effects-Numbers'!$B$1:$AU$172,$B106,FALSE)&lt;0,HLOOKUP(AQ$4,'Physical Effects-Numbers'!$B$1:$AU$172,$B106,FALSE),""))</f>
        <v/>
      </c>
      <c r="AR106" s="488" t="str">
        <f>IF(AR$4="","",IF(HLOOKUP(AR$4,'Physical Effects-Numbers'!$B$1:$AU$172,$B106,FALSE)&lt;0,HLOOKUP(AR$4,'Physical Effects-Numbers'!$B$1:$AU$172,$B106,FALSE),""))</f>
        <v/>
      </c>
      <c r="AS106" s="488" t="str">
        <f>IF(AS$4="","",IF(HLOOKUP(AS$4,'Physical Effects-Numbers'!$B$1:$AU$172,$B106,FALSE)&lt;0,HLOOKUP(AS$4,'Physical Effects-Numbers'!$B$1:$AU$172,$B106,FALSE),""))</f>
        <v/>
      </c>
      <c r="AT106" s="488" t="str">
        <f>IF(AT$4="","",IF(HLOOKUP(AT$4,'Physical Effects-Numbers'!$B$1:$AU$172,$B106,FALSE)&lt;0,HLOOKUP(AT$4,'Physical Effects-Numbers'!$B$1:$AU$172,$B106,FALSE),""))</f>
        <v/>
      </c>
      <c r="AU106" s="488" t="str">
        <f>IF(AU$4="","",IF(HLOOKUP(AU$4,'Physical Effects-Numbers'!$B$1:$AU$172,$B106,FALSE)&lt;0,HLOOKUP(AU$4,'Physical Effects-Numbers'!$B$1:$AU$172,$B106,FALSE),""))</f>
        <v/>
      </c>
      <c r="AV106" s="488" t="str">
        <f>IF(AV$4="","",IF(HLOOKUP(AV$4,'Physical Effects-Numbers'!$B$1:$AU$167,$B106,FALSE)&lt;0,HLOOKUP(AV$4,'Physical Effects-Numbers'!$B$1:$AU$167,$B106,FALSE),""))</f>
        <v/>
      </c>
    </row>
    <row r="107" spans="2:48" x14ac:dyDescent="0.2">
      <c r="B107" s="487">
        <f t="shared" si="1"/>
        <v>104</v>
      </c>
      <c r="C107" s="486" t="str">
        <f>+'Physical Effects-Numbers'!B104</f>
        <v>Precision Land Forming</v>
      </c>
      <c r="D107" s="488" t="str">
        <f>IF(D$4="","",IF(HLOOKUP(D$4,'Physical Effects-Numbers'!$B$1:$AU$172,$B107,FALSE)&lt;0,HLOOKUP(D$4,'Physical Effects-Numbers'!$B$1:$AU$172,$B107,FALSE),""))</f>
        <v/>
      </c>
      <c r="E107" s="488" t="str">
        <f>IF(E$4="","",IF(HLOOKUP(E$4,'Physical Effects-Numbers'!$B$1:$AU$172,$B107,FALSE)&lt;0,HLOOKUP(E$4,'Physical Effects-Numbers'!$B$1:$AU$172,$B107,FALSE),""))</f>
        <v/>
      </c>
      <c r="F107" s="488" t="str">
        <f>IF(F$4="","",IF(HLOOKUP(F$4,'Physical Effects-Numbers'!$B$1:$AU$172,$B107,FALSE)&lt;0,HLOOKUP(F$4,'Physical Effects-Numbers'!$B$1:$AU$172,$B107,FALSE),""))</f>
        <v/>
      </c>
      <c r="G107" s="488" t="str">
        <f>IF(G$4="","",IF(HLOOKUP(G$4,'Physical Effects-Numbers'!$B$1:$AU$172,$B107,FALSE)&lt;0,HLOOKUP(G$4,'Physical Effects-Numbers'!$B$1:$AU$172,$B107,FALSE),""))</f>
        <v/>
      </c>
      <c r="H107" s="488" t="str">
        <f>IF(H$4="","",IF(HLOOKUP(H$4,'Physical Effects-Numbers'!$B$1:$AU$172,$B107,FALSE)&lt;0,HLOOKUP(H$4,'Physical Effects-Numbers'!$B$1:$AU$172,$B107,FALSE),""))</f>
        <v/>
      </c>
      <c r="I107" s="488">
        <f>IF(I$4="","",IF(HLOOKUP(I$4,'Physical Effects-Numbers'!$B$1:$AU$172,$B107,FALSE)&lt;0,HLOOKUP(I$4,'Physical Effects-Numbers'!$B$1:$AU$172,$B107,FALSE),""))</f>
        <v>-2</v>
      </c>
      <c r="J107" s="488">
        <f>IF(J$4="","",IF(HLOOKUP(J$4,'Physical Effects-Numbers'!$B$1:$AU$172,$B107,FALSE)&lt;0,HLOOKUP(J$4,'Physical Effects-Numbers'!$B$1:$AU$172,$B107,FALSE),""))</f>
        <v>-1</v>
      </c>
      <c r="K107" s="488" t="str">
        <f>IF(K$4="","",IF(HLOOKUP(K$4,'Physical Effects-Numbers'!$B$1:$AU$172,$B107,FALSE)&lt;0,HLOOKUP(K$4,'Physical Effects-Numbers'!$B$1:$AU$172,$B107,FALSE),""))</f>
        <v/>
      </c>
      <c r="L107" s="488" t="str">
        <f>IF(L$4="","",IF(HLOOKUP(L$4,'Physical Effects-Numbers'!$B$1:$AU$172,$B107,FALSE)&lt;0,HLOOKUP(L$4,'Physical Effects-Numbers'!$B$1:$AU$172,$B107,FALSE),""))</f>
        <v/>
      </c>
      <c r="M107" s="488" t="str">
        <f>IF(M$4="","",IF(HLOOKUP(M$4,'Physical Effects-Numbers'!$B$1:$AU$172,$B107,FALSE)&lt;0,HLOOKUP(M$4,'Physical Effects-Numbers'!$B$1:$AU$172,$B107,FALSE),""))</f>
        <v/>
      </c>
      <c r="N107" s="488" t="str">
        <f>IF(N$4="","",IF(HLOOKUP(N$4,'Physical Effects-Numbers'!$B$1:$AU$172,$B107,FALSE)&lt;0,HLOOKUP(N$4,'Physical Effects-Numbers'!$B$1:$AU$172,$B107,FALSE),""))</f>
        <v/>
      </c>
      <c r="O107" s="488" t="str">
        <f>IF(O$4="","",IF(HLOOKUP(O$4,'Physical Effects-Numbers'!$B$1:$AU$172,$B107,FALSE)&lt;0,HLOOKUP(O$4,'Physical Effects-Numbers'!$B$1:$AU$172,$B107,FALSE),""))</f>
        <v/>
      </c>
      <c r="P107" s="488" t="str">
        <f>IF(P$4="","",IF(HLOOKUP(P$4,'Physical Effects-Numbers'!$B$1:$AU$172,$B107,FALSE)&lt;0,HLOOKUP(P$4,'Physical Effects-Numbers'!$B$1:$AU$172,$B107,FALSE),""))</f>
        <v/>
      </c>
      <c r="Q107" s="488" t="str">
        <f>IF(Q$4="","",IF(HLOOKUP(Q$4,'Physical Effects-Numbers'!$B$1:$AU$172,$B107,FALSE)&lt;0,HLOOKUP(Q$4,'Physical Effects-Numbers'!$B$1:$AU$172,$B107,FALSE),""))</f>
        <v/>
      </c>
      <c r="R107" s="488" t="str">
        <f>IF(R$4="","",IF(HLOOKUP(R$4,'Physical Effects-Numbers'!$B$1:$AU$172,$B107,FALSE)&lt;0,HLOOKUP(R$4,'Physical Effects-Numbers'!$B$1:$AU$172,$B107,FALSE),""))</f>
        <v/>
      </c>
      <c r="S107" s="488" t="str">
        <f>IF(S$4="","",IF(HLOOKUP(S$4,'Physical Effects-Numbers'!$B$1:$AU$172,$B107,FALSE)&lt;0,HLOOKUP(S$4,'Physical Effects-Numbers'!$B$1:$AU$172,$B107,FALSE),""))</f>
        <v/>
      </c>
      <c r="T107" s="488" t="str">
        <f>IF(T$4="","",IF(HLOOKUP(T$4,'Physical Effects-Numbers'!$B$1:$AU$172,$B107,FALSE)&lt;0,HLOOKUP(T$4,'Physical Effects-Numbers'!$B$1:$AU$172,$B107,FALSE),""))</f>
        <v/>
      </c>
      <c r="U107" s="488" t="str">
        <f>IF(U$4="","",IF(HLOOKUP(U$4,'Physical Effects-Numbers'!$B$1:$AU$172,$B107,FALSE)&lt;0,HLOOKUP(U$4,'Physical Effects-Numbers'!$B$1:$AU$172,$B107,FALSE),""))</f>
        <v/>
      </c>
      <c r="V107" s="488" t="str">
        <f>IF(V$4="","",IF(HLOOKUP(V$4,'Physical Effects-Numbers'!$B$1:$AU$172,$B107,FALSE)&lt;0,HLOOKUP(V$4,'Physical Effects-Numbers'!$B$1:$AU$172,$B107,FALSE),""))</f>
        <v/>
      </c>
      <c r="W107" s="488" t="str">
        <f>IF(W$4="","",IF(HLOOKUP(W$4,'Physical Effects-Numbers'!$B$1:$AU$172,$B107,FALSE)&lt;0,HLOOKUP(W$4,'Physical Effects-Numbers'!$B$1:$AU$172,$B107,FALSE),""))</f>
        <v/>
      </c>
      <c r="X107" s="488" t="str">
        <f>IF(X$4="","",IF(HLOOKUP(X$4,'Physical Effects-Numbers'!$B$1:$AU$172,$B107,FALSE)&lt;0,HLOOKUP(X$4,'Physical Effects-Numbers'!$B$1:$AU$172,$B107,FALSE),""))</f>
        <v/>
      </c>
      <c r="Y107" s="488" t="str">
        <f>IF(Y$4="","",IF(HLOOKUP(Y$4,'Physical Effects-Numbers'!$B$1:$AU$172,$B107,FALSE)&lt;0,HLOOKUP(Y$4,'Physical Effects-Numbers'!$B$1:$AU$172,$B107,FALSE),""))</f>
        <v/>
      </c>
      <c r="Z107" s="488" t="str">
        <f>IF(Z$4="","",IF(HLOOKUP(Z$4,'Physical Effects-Numbers'!$B$1:$AU$172,$B107,FALSE)&lt;0,HLOOKUP(Z$4,'Physical Effects-Numbers'!$B$1:$AU$172,$B107,FALSE),""))</f>
        <v/>
      </c>
      <c r="AA107" s="488" t="str">
        <f>IF(AA$4="","",IF(HLOOKUP(AA$4,'Physical Effects-Numbers'!$B$1:$AU$172,$B107,FALSE)&lt;0,HLOOKUP(AA$4,'Physical Effects-Numbers'!$B$1:$AU$172,$B107,FALSE),""))</f>
        <v/>
      </c>
      <c r="AB107" s="488" t="str">
        <f>IF(AB$4="","",IF(HLOOKUP(AB$4,'Physical Effects-Numbers'!$B$1:$AU$172,$B107,FALSE)&lt;0,HLOOKUP(AB$4,'Physical Effects-Numbers'!$B$1:$AU$172,$B107,FALSE),""))</f>
        <v/>
      </c>
      <c r="AC107" s="488" t="str">
        <f>IF(AC$4="","",IF(HLOOKUP(AC$4,'Physical Effects-Numbers'!$B$1:$AU$172,$B107,FALSE)&lt;0,HLOOKUP(AC$4,'Physical Effects-Numbers'!$B$1:$AU$172,$B107,FALSE),""))</f>
        <v/>
      </c>
      <c r="AD107" s="488" t="str">
        <f>IF(AD$4="","",IF(HLOOKUP(AD$4,'Physical Effects-Numbers'!$B$1:$AU$172,$B107,FALSE)&lt;0,HLOOKUP(AD$4,'Physical Effects-Numbers'!$B$1:$AU$172,$B107,FALSE),""))</f>
        <v/>
      </c>
      <c r="AE107" s="488" t="str">
        <f>IF(AE$4="","",IF(HLOOKUP(AE$4,'Physical Effects-Numbers'!$B$1:$AU$172,$B107,FALSE)&lt;0,HLOOKUP(AE$4,'Physical Effects-Numbers'!$B$1:$AU$172,$B107,FALSE),""))</f>
        <v/>
      </c>
      <c r="AF107" s="488" t="str">
        <f>IF(AF$4="","",IF(HLOOKUP(AF$4,'Physical Effects-Numbers'!$B$1:$AU$172,$B107,FALSE)&lt;0,HLOOKUP(AF$4,'Physical Effects-Numbers'!$B$1:$AU$172,$B107,FALSE),""))</f>
        <v/>
      </c>
      <c r="AG107" s="488">
        <f>IF(AG$4="","",IF(HLOOKUP(AG$4,'Physical Effects-Numbers'!$B$1:$AU$172,$B107,FALSE)&lt;0,HLOOKUP(AG$4,'Physical Effects-Numbers'!$B$1:$AU$172,$B107,FALSE),""))</f>
        <v>-1</v>
      </c>
      <c r="AH107" s="488" t="str">
        <f>IF(AH$4="","",IF(HLOOKUP(AH$4,'Physical Effects-Numbers'!$B$1:$AU$172,$B107,FALSE)&lt;0,HLOOKUP(AH$4,'Physical Effects-Numbers'!$B$1:$AU$172,$B107,FALSE),""))</f>
        <v/>
      </c>
      <c r="AI107" s="488" t="str">
        <f>IF(AI$4="","",IF(HLOOKUP(AI$4,'Physical Effects-Numbers'!$B$1:$AU$172,$B107,FALSE)&lt;0,HLOOKUP(AI$4,'Physical Effects-Numbers'!$B$1:$AU$172,$B107,FALSE),""))</f>
        <v/>
      </c>
      <c r="AJ107" s="488" t="str">
        <f>IF(AJ$4="","",IF(HLOOKUP(AJ$4,'Physical Effects-Numbers'!$B$1:$AU$172,$B107,FALSE)&lt;0,HLOOKUP(AJ$4,'Physical Effects-Numbers'!$B$1:$AU$172,$B107,FALSE),""))</f>
        <v/>
      </c>
      <c r="AK107" s="488" t="str">
        <f>IF(AK$4="","",IF(HLOOKUP(AK$4,'Physical Effects-Numbers'!$B$1:$AU$172,$B107,FALSE)&lt;0,HLOOKUP(AK$4,'Physical Effects-Numbers'!$B$1:$AU$172,$B107,FALSE),""))</f>
        <v/>
      </c>
      <c r="AL107" s="488" t="str">
        <f>IF(AL$4="","",IF(HLOOKUP(AL$4,'Physical Effects-Numbers'!$B$1:$AU$172,$B107,FALSE)&lt;0,HLOOKUP(AL$4,'Physical Effects-Numbers'!$B$1:$AU$172,$B107,FALSE),""))</f>
        <v/>
      </c>
      <c r="AM107" s="488" t="str">
        <f>IF(AM$4="","",IF(HLOOKUP(AM$4,'Physical Effects-Numbers'!$B$1:$AU$172,$B107,FALSE)&lt;0,HLOOKUP(AM$4,'Physical Effects-Numbers'!$B$1:$AU$172,$B107,FALSE),""))</f>
        <v/>
      </c>
      <c r="AN107" s="488" t="str">
        <f>IF(AN$4="","",IF(HLOOKUP(AN$4,'Physical Effects-Numbers'!$B$1:$AU$172,$B107,FALSE)&lt;0,HLOOKUP(AN$4,'Physical Effects-Numbers'!$B$1:$AU$172,$B107,FALSE),""))</f>
        <v/>
      </c>
      <c r="AO107" s="488" t="str">
        <f>IF(AO$4="","",IF(HLOOKUP(AO$4,'Physical Effects-Numbers'!$B$1:$AU$172,$B107,FALSE)&lt;0,HLOOKUP(AO$4,'Physical Effects-Numbers'!$B$1:$AU$172,$B107,FALSE),""))</f>
        <v/>
      </c>
      <c r="AP107" s="488" t="str">
        <f>IF(AP$4="","",IF(HLOOKUP(AP$4,'Physical Effects-Numbers'!$B$1:$AU$172,$B107,FALSE)&lt;0,HLOOKUP(AP$4,'Physical Effects-Numbers'!$B$1:$AU$172,$B107,FALSE),""))</f>
        <v/>
      </c>
      <c r="AQ107" s="488" t="str">
        <f>IF(AQ$4="","",IF(HLOOKUP(AQ$4,'Physical Effects-Numbers'!$B$1:$AU$172,$B107,FALSE)&lt;0,HLOOKUP(AQ$4,'Physical Effects-Numbers'!$B$1:$AU$172,$B107,FALSE),""))</f>
        <v/>
      </c>
      <c r="AR107" s="488" t="str">
        <f>IF(AR$4="","",IF(HLOOKUP(AR$4,'Physical Effects-Numbers'!$B$1:$AU$172,$B107,FALSE)&lt;0,HLOOKUP(AR$4,'Physical Effects-Numbers'!$B$1:$AU$172,$B107,FALSE),""))</f>
        <v/>
      </c>
      <c r="AS107" s="488" t="str">
        <f>IF(AS$4="","",IF(HLOOKUP(AS$4,'Physical Effects-Numbers'!$B$1:$AU$172,$B107,FALSE)&lt;0,HLOOKUP(AS$4,'Physical Effects-Numbers'!$B$1:$AU$172,$B107,FALSE),""))</f>
        <v/>
      </c>
      <c r="AT107" s="488" t="str">
        <f>IF(AT$4="","",IF(HLOOKUP(AT$4,'Physical Effects-Numbers'!$B$1:$AU$172,$B107,FALSE)&lt;0,HLOOKUP(AT$4,'Physical Effects-Numbers'!$B$1:$AU$172,$B107,FALSE),""))</f>
        <v/>
      </c>
      <c r="AU107" s="488" t="str">
        <f>IF(AU$4="","",IF(HLOOKUP(AU$4,'Physical Effects-Numbers'!$B$1:$AU$172,$B107,FALSE)&lt;0,HLOOKUP(AU$4,'Physical Effects-Numbers'!$B$1:$AU$172,$B107,FALSE),""))</f>
        <v/>
      </c>
      <c r="AV107" s="488" t="str">
        <f>IF(AV$4="","",IF(HLOOKUP(AV$4,'Physical Effects-Numbers'!$B$1:$AU$167,$B107,FALSE)&lt;0,HLOOKUP(AV$4,'Physical Effects-Numbers'!$B$1:$AU$167,$B107,FALSE),""))</f>
        <v/>
      </c>
    </row>
    <row r="108" spans="2:48" x14ac:dyDescent="0.2">
      <c r="B108" s="487">
        <f t="shared" si="1"/>
        <v>105</v>
      </c>
      <c r="C108" s="486" t="str">
        <f>+'Physical Effects-Numbers'!B105</f>
        <v>Prescribed Burning</v>
      </c>
      <c r="D108" s="488" t="str">
        <f>IF(D$4="","",IF(HLOOKUP(D$4,'Physical Effects-Numbers'!$B$1:$AU$172,$B108,FALSE)&lt;0,HLOOKUP(D$4,'Physical Effects-Numbers'!$B$1:$AU$172,$B108,FALSE),""))</f>
        <v/>
      </c>
      <c r="E108" s="488" t="str">
        <f>IF(E$4="","",IF(HLOOKUP(E$4,'Physical Effects-Numbers'!$B$1:$AU$172,$B108,FALSE)&lt;0,HLOOKUP(E$4,'Physical Effects-Numbers'!$B$1:$AU$172,$B108,FALSE),""))</f>
        <v/>
      </c>
      <c r="F108" s="488" t="str">
        <f>IF(F$4="","",IF(HLOOKUP(F$4,'Physical Effects-Numbers'!$B$1:$AU$172,$B108,FALSE)&lt;0,HLOOKUP(F$4,'Physical Effects-Numbers'!$B$1:$AU$172,$B108,FALSE),""))</f>
        <v/>
      </c>
      <c r="G108" s="488" t="str">
        <f>IF(G$4="","",IF(HLOOKUP(G$4,'Physical Effects-Numbers'!$B$1:$AU$172,$B108,FALSE)&lt;0,HLOOKUP(G$4,'Physical Effects-Numbers'!$B$1:$AU$172,$B108,FALSE),""))</f>
        <v/>
      </c>
      <c r="H108" s="488" t="str">
        <f>IF(H$4="","",IF(HLOOKUP(H$4,'Physical Effects-Numbers'!$B$1:$AU$172,$B108,FALSE)&lt;0,HLOOKUP(H$4,'Physical Effects-Numbers'!$B$1:$AU$172,$B108,FALSE),""))</f>
        <v/>
      </c>
      <c r="I108" s="488" t="str">
        <f>IF(I$4="","",IF(HLOOKUP(I$4,'Physical Effects-Numbers'!$B$1:$AU$172,$B108,FALSE)&lt;0,HLOOKUP(I$4,'Physical Effects-Numbers'!$B$1:$AU$172,$B108,FALSE),""))</f>
        <v/>
      </c>
      <c r="J108" s="488" t="str">
        <f>IF(J$4="","",IF(HLOOKUP(J$4,'Physical Effects-Numbers'!$B$1:$AU$172,$B108,FALSE)&lt;0,HLOOKUP(J$4,'Physical Effects-Numbers'!$B$1:$AU$172,$B108,FALSE),""))</f>
        <v/>
      </c>
      <c r="K108" s="488">
        <f>IF(K$4="","",IF(HLOOKUP(K$4,'Physical Effects-Numbers'!$B$1:$AU$172,$B108,FALSE)&lt;0,HLOOKUP(K$4,'Physical Effects-Numbers'!$B$1:$AU$172,$B108,FALSE),""))</f>
        <v>-1</v>
      </c>
      <c r="L108" s="488">
        <f>IF(L$4="","",IF(HLOOKUP(L$4,'Physical Effects-Numbers'!$B$1:$AU$172,$B108,FALSE)&lt;0,HLOOKUP(L$4,'Physical Effects-Numbers'!$B$1:$AU$172,$B108,FALSE),""))</f>
        <v>-1</v>
      </c>
      <c r="M108" s="488" t="str">
        <f>IF(M$4="","",IF(HLOOKUP(M$4,'Physical Effects-Numbers'!$B$1:$AU$172,$B108,FALSE)&lt;0,HLOOKUP(M$4,'Physical Effects-Numbers'!$B$1:$AU$172,$B108,FALSE),""))</f>
        <v/>
      </c>
      <c r="N108" s="488" t="str">
        <f>IF(N$4="","",IF(HLOOKUP(N$4,'Physical Effects-Numbers'!$B$1:$AU$172,$B108,FALSE)&lt;0,HLOOKUP(N$4,'Physical Effects-Numbers'!$B$1:$AU$172,$B108,FALSE),""))</f>
        <v/>
      </c>
      <c r="O108" s="488" t="str">
        <f>IF(O$4="","",IF(HLOOKUP(O$4,'Physical Effects-Numbers'!$B$1:$AU$172,$B108,FALSE)&lt;0,HLOOKUP(O$4,'Physical Effects-Numbers'!$B$1:$AU$172,$B108,FALSE),""))</f>
        <v/>
      </c>
      <c r="P108" s="488" t="str">
        <f>IF(P$4="","",IF(HLOOKUP(P$4,'Physical Effects-Numbers'!$B$1:$AU$172,$B108,FALSE)&lt;0,HLOOKUP(P$4,'Physical Effects-Numbers'!$B$1:$AU$172,$B108,FALSE),""))</f>
        <v/>
      </c>
      <c r="Q108" s="488" t="str">
        <f>IF(Q$4="","",IF(HLOOKUP(Q$4,'Physical Effects-Numbers'!$B$1:$AU$172,$B108,FALSE)&lt;0,HLOOKUP(Q$4,'Physical Effects-Numbers'!$B$1:$AU$172,$B108,FALSE),""))</f>
        <v/>
      </c>
      <c r="R108" s="488" t="str">
        <f>IF(R$4="","",IF(HLOOKUP(R$4,'Physical Effects-Numbers'!$B$1:$AU$172,$B108,FALSE)&lt;0,HLOOKUP(R$4,'Physical Effects-Numbers'!$B$1:$AU$172,$B108,FALSE),""))</f>
        <v/>
      </c>
      <c r="S108" s="488" t="str">
        <f>IF(S$4="","",IF(HLOOKUP(S$4,'Physical Effects-Numbers'!$B$1:$AU$172,$B108,FALSE)&lt;0,HLOOKUP(S$4,'Physical Effects-Numbers'!$B$1:$AU$172,$B108,FALSE),""))</f>
        <v/>
      </c>
      <c r="T108" s="488" t="str">
        <f>IF(T$4="","",IF(HLOOKUP(T$4,'Physical Effects-Numbers'!$B$1:$AU$172,$B108,FALSE)&lt;0,HLOOKUP(T$4,'Physical Effects-Numbers'!$B$1:$AU$172,$B108,FALSE),""))</f>
        <v/>
      </c>
      <c r="U108" s="488" t="str">
        <f>IF(U$4="","",IF(HLOOKUP(U$4,'Physical Effects-Numbers'!$B$1:$AU$172,$B108,FALSE)&lt;0,HLOOKUP(U$4,'Physical Effects-Numbers'!$B$1:$AU$172,$B108,FALSE),""))</f>
        <v/>
      </c>
      <c r="V108" s="488" t="str">
        <f>IF(V$4="","",IF(HLOOKUP(V$4,'Physical Effects-Numbers'!$B$1:$AU$172,$B108,FALSE)&lt;0,HLOOKUP(V$4,'Physical Effects-Numbers'!$B$1:$AU$172,$B108,FALSE),""))</f>
        <v/>
      </c>
      <c r="W108" s="488" t="str">
        <f>IF(W$4="","",IF(HLOOKUP(W$4,'Physical Effects-Numbers'!$B$1:$AU$172,$B108,FALSE)&lt;0,HLOOKUP(W$4,'Physical Effects-Numbers'!$B$1:$AU$172,$B108,FALSE),""))</f>
        <v/>
      </c>
      <c r="X108" s="488" t="str">
        <f>IF(X$4="","",IF(HLOOKUP(X$4,'Physical Effects-Numbers'!$B$1:$AU$172,$B108,FALSE)&lt;0,HLOOKUP(X$4,'Physical Effects-Numbers'!$B$1:$AU$172,$B108,FALSE),""))</f>
        <v/>
      </c>
      <c r="Y108" s="488" t="str">
        <f>IF(Y$4="","",IF(HLOOKUP(Y$4,'Physical Effects-Numbers'!$B$1:$AU$172,$B108,FALSE)&lt;0,HLOOKUP(Y$4,'Physical Effects-Numbers'!$B$1:$AU$172,$B108,FALSE),""))</f>
        <v/>
      </c>
      <c r="Z108" s="488" t="str">
        <f>IF(Z$4="","",IF(HLOOKUP(Z$4,'Physical Effects-Numbers'!$B$1:$AU$172,$B108,FALSE)&lt;0,HLOOKUP(Z$4,'Physical Effects-Numbers'!$B$1:$AU$172,$B108,FALSE),""))</f>
        <v/>
      </c>
      <c r="AA108" s="488" t="str">
        <f>IF(AA$4="","",IF(HLOOKUP(AA$4,'Physical Effects-Numbers'!$B$1:$AU$172,$B108,FALSE)&lt;0,HLOOKUP(AA$4,'Physical Effects-Numbers'!$B$1:$AU$172,$B108,FALSE),""))</f>
        <v/>
      </c>
      <c r="AB108" s="488" t="str">
        <f>IF(AB$4="","",IF(HLOOKUP(AB$4,'Physical Effects-Numbers'!$B$1:$AU$172,$B108,FALSE)&lt;0,HLOOKUP(AB$4,'Physical Effects-Numbers'!$B$1:$AU$172,$B108,FALSE),""))</f>
        <v/>
      </c>
      <c r="AC108" s="488" t="str">
        <f>IF(AC$4="","",IF(HLOOKUP(AC$4,'Physical Effects-Numbers'!$B$1:$AU$172,$B108,FALSE)&lt;0,HLOOKUP(AC$4,'Physical Effects-Numbers'!$B$1:$AU$172,$B108,FALSE),""))</f>
        <v/>
      </c>
      <c r="AD108" s="488" t="str">
        <f>IF(AD$4="","",IF(HLOOKUP(AD$4,'Physical Effects-Numbers'!$B$1:$AU$172,$B108,FALSE)&lt;0,HLOOKUP(AD$4,'Physical Effects-Numbers'!$B$1:$AU$172,$B108,FALSE),""))</f>
        <v/>
      </c>
      <c r="AE108" s="488" t="str">
        <f>IF(AE$4="","",IF(HLOOKUP(AE$4,'Physical Effects-Numbers'!$B$1:$AU$172,$B108,FALSE)&lt;0,HLOOKUP(AE$4,'Physical Effects-Numbers'!$B$1:$AU$172,$B108,FALSE),""))</f>
        <v/>
      </c>
      <c r="AF108" s="488" t="str">
        <f>IF(AF$4="","",IF(HLOOKUP(AF$4,'Physical Effects-Numbers'!$B$1:$AU$172,$B108,FALSE)&lt;0,HLOOKUP(AF$4,'Physical Effects-Numbers'!$B$1:$AU$172,$B108,FALSE),""))</f>
        <v/>
      </c>
      <c r="AG108" s="488" t="str">
        <f>IF(AG$4="","",IF(HLOOKUP(AG$4,'Physical Effects-Numbers'!$B$1:$AU$172,$B108,FALSE)&lt;0,HLOOKUP(AG$4,'Physical Effects-Numbers'!$B$1:$AU$172,$B108,FALSE),""))</f>
        <v/>
      </c>
      <c r="AH108" s="488">
        <f>IF(AH$4="","",IF(HLOOKUP(AH$4,'Physical Effects-Numbers'!$B$1:$AU$172,$B108,FALSE)&lt;0,HLOOKUP(AH$4,'Physical Effects-Numbers'!$B$1:$AU$172,$B108,FALSE),""))</f>
        <v>-1</v>
      </c>
      <c r="AI108" s="488" t="str">
        <f>IF(AI$4="","",IF(HLOOKUP(AI$4,'Physical Effects-Numbers'!$B$1:$AU$172,$B108,FALSE)&lt;0,HLOOKUP(AI$4,'Physical Effects-Numbers'!$B$1:$AU$172,$B108,FALSE),""))</f>
        <v/>
      </c>
      <c r="AJ108" s="488" t="str">
        <f>IF(AJ$4="","",IF(HLOOKUP(AJ$4,'Physical Effects-Numbers'!$B$1:$AU$172,$B108,FALSE)&lt;0,HLOOKUP(AJ$4,'Physical Effects-Numbers'!$B$1:$AU$172,$B108,FALSE),""))</f>
        <v/>
      </c>
      <c r="AK108" s="488" t="str">
        <f>IF(AK$4="","",IF(HLOOKUP(AK$4,'Physical Effects-Numbers'!$B$1:$AU$172,$B108,FALSE)&lt;0,HLOOKUP(AK$4,'Physical Effects-Numbers'!$B$1:$AU$172,$B108,FALSE),""))</f>
        <v/>
      </c>
      <c r="AL108" s="488" t="str">
        <f>IF(AL$4="","",IF(HLOOKUP(AL$4,'Physical Effects-Numbers'!$B$1:$AU$172,$B108,FALSE)&lt;0,HLOOKUP(AL$4,'Physical Effects-Numbers'!$B$1:$AU$172,$B108,FALSE),""))</f>
        <v/>
      </c>
      <c r="AM108" s="488" t="str">
        <f>IF(AM$4="","",IF(HLOOKUP(AM$4,'Physical Effects-Numbers'!$B$1:$AU$172,$B108,FALSE)&lt;0,HLOOKUP(AM$4,'Physical Effects-Numbers'!$B$1:$AU$172,$B108,FALSE),""))</f>
        <v/>
      </c>
      <c r="AN108" s="488" t="str">
        <f>IF(AN$4="","",IF(HLOOKUP(AN$4,'Physical Effects-Numbers'!$B$1:$AU$172,$B108,FALSE)&lt;0,HLOOKUP(AN$4,'Physical Effects-Numbers'!$B$1:$AU$172,$B108,FALSE),""))</f>
        <v/>
      </c>
      <c r="AO108" s="488" t="str">
        <f>IF(AO$4="","",IF(HLOOKUP(AO$4,'Physical Effects-Numbers'!$B$1:$AU$172,$B108,FALSE)&lt;0,HLOOKUP(AO$4,'Physical Effects-Numbers'!$B$1:$AU$172,$B108,FALSE),""))</f>
        <v/>
      </c>
      <c r="AP108" s="488" t="str">
        <f>IF(AP$4="","",IF(HLOOKUP(AP$4,'Physical Effects-Numbers'!$B$1:$AU$172,$B108,FALSE)&lt;0,HLOOKUP(AP$4,'Physical Effects-Numbers'!$B$1:$AU$172,$B108,FALSE),""))</f>
        <v/>
      </c>
      <c r="AQ108" s="488" t="str">
        <f>IF(AQ$4="","",IF(HLOOKUP(AQ$4,'Physical Effects-Numbers'!$B$1:$AU$172,$B108,FALSE)&lt;0,HLOOKUP(AQ$4,'Physical Effects-Numbers'!$B$1:$AU$172,$B108,FALSE),""))</f>
        <v/>
      </c>
      <c r="AR108" s="488">
        <f>IF(AR$4="","",IF(HLOOKUP(AR$4,'Physical Effects-Numbers'!$B$1:$AU$172,$B108,FALSE)&lt;0,HLOOKUP(AR$4,'Physical Effects-Numbers'!$B$1:$AU$172,$B108,FALSE),""))</f>
        <v>-1</v>
      </c>
      <c r="AS108" s="488" t="str">
        <f>IF(AS$4="","",IF(HLOOKUP(AS$4,'Physical Effects-Numbers'!$B$1:$AU$172,$B108,FALSE)&lt;0,HLOOKUP(AS$4,'Physical Effects-Numbers'!$B$1:$AU$172,$B108,FALSE),""))</f>
        <v/>
      </c>
      <c r="AT108" s="488" t="str">
        <f>IF(AT$4="","",IF(HLOOKUP(AT$4,'Physical Effects-Numbers'!$B$1:$AU$172,$B108,FALSE)&lt;0,HLOOKUP(AT$4,'Physical Effects-Numbers'!$B$1:$AU$172,$B108,FALSE),""))</f>
        <v/>
      </c>
      <c r="AU108" s="488" t="str">
        <f>IF(AU$4="","",IF(HLOOKUP(AU$4,'Physical Effects-Numbers'!$B$1:$AU$172,$B108,FALSE)&lt;0,HLOOKUP(AU$4,'Physical Effects-Numbers'!$B$1:$AU$172,$B108,FALSE),""))</f>
        <v/>
      </c>
      <c r="AV108" s="488" t="str">
        <f>IF(AV$4="","",IF(HLOOKUP(AV$4,'Physical Effects-Numbers'!$B$1:$AU$167,$B108,FALSE)&lt;0,HLOOKUP(AV$4,'Physical Effects-Numbers'!$B$1:$AU$167,$B108,FALSE),""))</f>
        <v/>
      </c>
    </row>
    <row r="109" spans="2:48" x14ac:dyDescent="0.2">
      <c r="B109" s="487">
        <f t="shared" si="1"/>
        <v>106</v>
      </c>
      <c r="C109" s="486" t="str">
        <f>+'Physical Effects-Numbers'!B106</f>
        <v>Prescribed Grazing</v>
      </c>
      <c r="D109" s="488" t="str">
        <f>IF(D$4="","",IF(HLOOKUP(D$4,'Physical Effects-Numbers'!$B$1:$AU$172,$B109,FALSE)&lt;0,HLOOKUP(D$4,'Physical Effects-Numbers'!$B$1:$AU$172,$B109,FALSE),""))</f>
        <v/>
      </c>
      <c r="E109" s="488" t="str">
        <f>IF(E$4="","",IF(HLOOKUP(E$4,'Physical Effects-Numbers'!$B$1:$AU$172,$B109,FALSE)&lt;0,HLOOKUP(E$4,'Physical Effects-Numbers'!$B$1:$AU$172,$B109,FALSE),""))</f>
        <v/>
      </c>
      <c r="F109" s="488" t="str">
        <f>IF(F$4="","",IF(HLOOKUP(F$4,'Physical Effects-Numbers'!$B$1:$AU$172,$B109,FALSE)&lt;0,HLOOKUP(F$4,'Physical Effects-Numbers'!$B$1:$AU$172,$B109,FALSE),""))</f>
        <v/>
      </c>
      <c r="G109" s="488" t="str">
        <f>IF(G$4="","",IF(HLOOKUP(G$4,'Physical Effects-Numbers'!$B$1:$AU$172,$B109,FALSE)&lt;0,HLOOKUP(G$4,'Physical Effects-Numbers'!$B$1:$AU$172,$B109,FALSE),""))</f>
        <v/>
      </c>
      <c r="H109" s="488" t="str">
        <f>IF(H$4="","",IF(HLOOKUP(H$4,'Physical Effects-Numbers'!$B$1:$AU$172,$B109,FALSE)&lt;0,HLOOKUP(H$4,'Physical Effects-Numbers'!$B$1:$AU$172,$B109,FALSE),""))</f>
        <v/>
      </c>
      <c r="I109" s="488" t="str">
        <f>IF(I$4="","",IF(HLOOKUP(I$4,'Physical Effects-Numbers'!$B$1:$AU$172,$B109,FALSE)&lt;0,HLOOKUP(I$4,'Physical Effects-Numbers'!$B$1:$AU$172,$B109,FALSE),""))</f>
        <v/>
      </c>
      <c r="J109" s="488" t="str">
        <f>IF(J$4="","",IF(HLOOKUP(J$4,'Physical Effects-Numbers'!$B$1:$AU$172,$B109,FALSE)&lt;0,HLOOKUP(J$4,'Physical Effects-Numbers'!$B$1:$AU$172,$B109,FALSE),""))</f>
        <v/>
      </c>
      <c r="K109" s="488" t="str">
        <f>IF(K$4="","",IF(HLOOKUP(K$4,'Physical Effects-Numbers'!$B$1:$AU$172,$B109,FALSE)&lt;0,HLOOKUP(K$4,'Physical Effects-Numbers'!$B$1:$AU$172,$B109,FALSE),""))</f>
        <v/>
      </c>
      <c r="L109" s="488" t="str">
        <f>IF(L$4="","",IF(HLOOKUP(L$4,'Physical Effects-Numbers'!$B$1:$AU$172,$B109,FALSE)&lt;0,HLOOKUP(L$4,'Physical Effects-Numbers'!$B$1:$AU$172,$B109,FALSE),""))</f>
        <v/>
      </c>
      <c r="M109" s="488" t="str">
        <f>IF(M$4="","",IF(HLOOKUP(M$4,'Physical Effects-Numbers'!$B$1:$AU$172,$B109,FALSE)&lt;0,HLOOKUP(M$4,'Physical Effects-Numbers'!$B$1:$AU$172,$B109,FALSE),""))</f>
        <v/>
      </c>
      <c r="N109" s="488" t="str">
        <f>IF(N$4="","",IF(HLOOKUP(N$4,'Physical Effects-Numbers'!$B$1:$AU$172,$B109,FALSE)&lt;0,HLOOKUP(N$4,'Physical Effects-Numbers'!$B$1:$AU$172,$B109,FALSE),""))</f>
        <v/>
      </c>
      <c r="O109" s="488" t="str">
        <f>IF(O$4="","",IF(HLOOKUP(O$4,'Physical Effects-Numbers'!$B$1:$AU$172,$B109,FALSE)&lt;0,HLOOKUP(O$4,'Physical Effects-Numbers'!$B$1:$AU$172,$B109,FALSE),""))</f>
        <v/>
      </c>
      <c r="P109" s="488" t="str">
        <f>IF(P$4="","",IF(HLOOKUP(P$4,'Physical Effects-Numbers'!$B$1:$AU$172,$B109,FALSE)&lt;0,HLOOKUP(P$4,'Physical Effects-Numbers'!$B$1:$AU$172,$B109,FALSE),""))</f>
        <v/>
      </c>
      <c r="Q109" s="488" t="str">
        <f>IF(Q$4="","",IF(HLOOKUP(Q$4,'Physical Effects-Numbers'!$B$1:$AU$172,$B109,FALSE)&lt;0,HLOOKUP(Q$4,'Physical Effects-Numbers'!$B$1:$AU$172,$B109,FALSE),""))</f>
        <v/>
      </c>
      <c r="R109" s="488" t="str">
        <f>IF(R$4="","",IF(HLOOKUP(R$4,'Physical Effects-Numbers'!$B$1:$AU$172,$B109,FALSE)&lt;0,HLOOKUP(R$4,'Physical Effects-Numbers'!$B$1:$AU$172,$B109,FALSE),""))</f>
        <v/>
      </c>
      <c r="S109" s="488" t="str">
        <f>IF(S$4="","",IF(HLOOKUP(S$4,'Physical Effects-Numbers'!$B$1:$AU$172,$B109,FALSE)&lt;0,HLOOKUP(S$4,'Physical Effects-Numbers'!$B$1:$AU$172,$B109,FALSE),""))</f>
        <v/>
      </c>
      <c r="T109" s="488" t="str">
        <f>IF(T$4="","",IF(HLOOKUP(T$4,'Physical Effects-Numbers'!$B$1:$AU$172,$B109,FALSE)&lt;0,HLOOKUP(T$4,'Physical Effects-Numbers'!$B$1:$AU$172,$B109,FALSE),""))</f>
        <v/>
      </c>
      <c r="U109" s="488" t="str">
        <f>IF(U$4="","",IF(HLOOKUP(U$4,'Physical Effects-Numbers'!$B$1:$AU$172,$B109,FALSE)&lt;0,HLOOKUP(U$4,'Physical Effects-Numbers'!$B$1:$AU$172,$B109,FALSE),""))</f>
        <v/>
      </c>
      <c r="V109" s="488" t="str">
        <f>IF(V$4="","",IF(HLOOKUP(V$4,'Physical Effects-Numbers'!$B$1:$AU$172,$B109,FALSE)&lt;0,HLOOKUP(V$4,'Physical Effects-Numbers'!$B$1:$AU$172,$B109,FALSE),""))</f>
        <v/>
      </c>
      <c r="W109" s="488" t="str">
        <f>IF(W$4="","",IF(HLOOKUP(W$4,'Physical Effects-Numbers'!$B$1:$AU$172,$B109,FALSE)&lt;0,HLOOKUP(W$4,'Physical Effects-Numbers'!$B$1:$AU$172,$B109,FALSE),""))</f>
        <v/>
      </c>
      <c r="X109" s="488" t="str">
        <f>IF(X$4="","",IF(HLOOKUP(X$4,'Physical Effects-Numbers'!$B$1:$AU$172,$B109,FALSE)&lt;0,HLOOKUP(X$4,'Physical Effects-Numbers'!$B$1:$AU$172,$B109,FALSE),""))</f>
        <v/>
      </c>
      <c r="Y109" s="488" t="str">
        <f>IF(Y$4="","",IF(HLOOKUP(Y$4,'Physical Effects-Numbers'!$B$1:$AU$172,$B109,FALSE)&lt;0,HLOOKUP(Y$4,'Physical Effects-Numbers'!$B$1:$AU$172,$B109,FALSE),""))</f>
        <v/>
      </c>
      <c r="Z109" s="488" t="str">
        <f>IF(Z$4="","",IF(HLOOKUP(Z$4,'Physical Effects-Numbers'!$B$1:$AU$172,$B109,FALSE)&lt;0,HLOOKUP(Z$4,'Physical Effects-Numbers'!$B$1:$AU$172,$B109,FALSE),""))</f>
        <v/>
      </c>
      <c r="AA109" s="488" t="str">
        <f>IF(AA$4="","",IF(HLOOKUP(AA$4,'Physical Effects-Numbers'!$B$1:$AU$172,$B109,FALSE)&lt;0,HLOOKUP(AA$4,'Physical Effects-Numbers'!$B$1:$AU$172,$B109,FALSE),""))</f>
        <v/>
      </c>
      <c r="AB109" s="488" t="str">
        <f>IF(AB$4="","",IF(HLOOKUP(AB$4,'Physical Effects-Numbers'!$B$1:$AU$172,$B109,FALSE)&lt;0,HLOOKUP(AB$4,'Physical Effects-Numbers'!$B$1:$AU$172,$B109,FALSE),""))</f>
        <v/>
      </c>
      <c r="AC109" s="488" t="str">
        <f>IF(AC$4="","",IF(HLOOKUP(AC$4,'Physical Effects-Numbers'!$B$1:$AU$172,$B109,FALSE)&lt;0,HLOOKUP(AC$4,'Physical Effects-Numbers'!$B$1:$AU$172,$B109,FALSE),""))</f>
        <v/>
      </c>
      <c r="AD109" s="488" t="str">
        <f>IF(AD$4="","",IF(HLOOKUP(AD$4,'Physical Effects-Numbers'!$B$1:$AU$172,$B109,FALSE)&lt;0,HLOOKUP(AD$4,'Physical Effects-Numbers'!$B$1:$AU$172,$B109,FALSE),""))</f>
        <v/>
      </c>
      <c r="AE109" s="488" t="str">
        <f>IF(AE$4="","",IF(HLOOKUP(AE$4,'Physical Effects-Numbers'!$B$1:$AU$172,$B109,FALSE)&lt;0,HLOOKUP(AE$4,'Physical Effects-Numbers'!$B$1:$AU$172,$B109,FALSE),""))</f>
        <v/>
      </c>
      <c r="AF109" s="488" t="str">
        <f>IF(AF$4="","",IF(HLOOKUP(AF$4,'Physical Effects-Numbers'!$B$1:$AU$172,$B109,FALSE)&lt;0,HLOOKUP(AF$4,'Physical Effects-Numbers'!$B$1:$AU$172,$B109,FALSE),""))</f>
        <v/>
      </c>
      <c r="AG109" s="488" t="str">
        <f>IF(AG$4="","",IF(HLOOKUP(AG$4,'Physical Effects-Numbers'!$B$1:$AU$172,$B109,FALSE)&lt;0,HLOOKUP(AG$4,'Physical Effects-Numbers'!$B$1:$AU$172,$B109,FALSE),""))</f>
        <v/>
      </c>
      <c r="AH109" s="488" t="str">
        <f>IF(AH$4="","",IF(HLOOKUP(AH$4,'Physical Effects-Numbers'!$B$1:$AU$172,$B109,FALSE)&lt;0,HLOOKUP(AH$4,'Physical Effects-Numbers'!$B$1:$AU$172,$B109,FALSE),""))</f>
        <v/>
      </c>
      <c r="AI109" s="488" t="str">
        <f>IF(AI$4="","",IF(HLOOKUP(AI$4,'Physical Effects-Numbers'!$B$1:$AU$172,$B109,FALSE)&lt;0,HLOOKUP(AI$4,'Physical Effects-Numbers'!$B$1:$AU$172,$B109,FALSE),""))</f>
        <v/>
      </c>
      <c r="AJ109" s="488" t="str">
        <f>IF(AJ$4="","",IF(HLOOKUP(AJ$4,'Physical Effects-Numbers'!$B$1:$AU$172,$B109,FALSE)&lt;0,HLOOKUP(AJ$4,'Physical Effects-Numbers'!$B$1:$AU$172,$B109,FALSE),""))</f>
        <v/>
      </c>
      <c r="AK109" s="488" t="str">
        <f>IF(AK$4="","",IF(HLOOKUP(AK$4,'Physical Effects-Numbers'!$B$1:$AU$172,$B109,FALSE)&lt;0,HLOOKUP(AK$4,'Physical Effects-Numbers'!$B$1:$AU$172,$B109,FALSE),""))</f>
        <v/>
      </c>
      <c r="AL109" s="488" t="str">
        <f>IF(AL$4="","",IF(HLOOKUP(AL$4,'Physical Effects-Numbers'!$B$1:$AU$172,$B109,FALSE)&lt;0,HLOOKUP(AL$4,'Physical Effects-Numbers'!$B$1:$AU$172,$B109,FALSE),""))</f>
        <v/>
      </c>
      <c r="AM109" s="488" t="str">
        <f>IF(AM$4="","",IF(HLOOKUP(AM$4,'Physical Effects-Numbers'!$B$1:$AU$172,$B109,FALSE)&lt;0,HLOOKUP(AM$4,'Physical Effects-Numbers'!$B$1:$AU$172,$B109,FALSE),""))</f>
        <v/>
      </c>
      <c r="AN109" s="488" t="str">
        <f>IF(AN$4="","",IF(HLOOKUP(AN$4,'Physical Effects-Numbers'!$B$1:$AU$172,$B109,FALSE)&lt;0,HLOOKUP(AN$4,'Physical Effects-Numbers'!$B$1:$AU$172,$B109,FALSE),""))</f>
        <v/>
      </c>
      <c r="AO109" s="488" t="str">
        <f>IF(AO$4="","",IF(HLOOKUP(AO$4,'Physical Effects-Numbers'!$B$1:$AU$172,$B109,FALSE)&lt;0,HLOOKUP(AO$4,'Physical Effects-Numbers'!$B$1:$AU$172,$B109,FALSE),""))</f>
        <v/>
      </c>
      <c r="AP109" s="488" t="str">
        <f>IF(AP$4="","",IF(HLOOKUP(AP$4,'Physical Effects-Numbers'!$B$1:$AU$172,$B109,FALSE)&lt;0,HLOOKUP(AP$4,'Physical Effects-Numbers'!$B$1:$AU$172,$B109,FALSE),""))</f>
        <v/>
      </c>
      <c r="AQ109" s="488" t="str">
        <f>IF(AQ$4="","",IF(HLOOKUP(AQ$4,'Physical Effects-Numbers'!$B$1:$AU$172,$B109,FALSE)&lt;0,HLOOKUP(AQ$4,'Physical Effects-Numbers'!$B$1:$AU$172,$B109,FALSE),""))</f>
        <v/>
      </c>
      <c r="AR109" s="488" t="str">
        <f>IF(AR$4="","",IF(HLOOKUP(AR$4,'Physical Effects-Numbers'!$B$1:$AU$172,$B109,FALSE)&lt;0,HLOOKUP(AR$4,'Physical Effects-Numbers'!$B$1:$AU$172,$B109,FALSE),""))</f>
        <v/>
      </c>
      <c r="AS109" s="488" t="str">
        <f>IF(AS$4="","",IF(HLOOKUP(AS$4,'Physical Effects-Numbers'!$B$1:$AU$172,$B109,FALSE)&lt;0,HLOOKUP(AS$4,'Physical Effects-Numbers'!$B$1:$AU$172,$B109,FALSE),""))</f>
        <v/>
      </c>
      <c r="AT109" s="488" t="str">
        <f>IF(AT$4="","",IF(HLOOKUP(AT$4,'Physical Effects-Numbers'!$B$1:$AU$172,$B109,FALSE)&lt;0,HLOOKUP(AT$4,'Physical Effects-Numbers'!$B$1:$AU$172,$B109,FALSE),""))</f>
        <v/>
      </c>
      <c r="AU109" s="488" t="str">
        <f>IF(AU$4="","",IF(HLOOKUP(AU$4,'Physical Effects-Numbers'!$B$1:$AU$172,$B109,FALSE)&lt;0,HLOOKUP(AU$4,'Physical Effects-Numbers'!$B$1:$AU$172,$B109,FALSE),""))</f>
        <v/>
      </c>
      <c r="AV109" s="488" t="str">
        <f>IF(AV$4="","",IF(HLOOKUP(AV$4,'Physical Effects-Numbers'!$B$1:$AU$167,$B109,FALSE)&lt;0,HLOOKUP(AV$4,'Physical Effects-Numbers'!$B$1:$AU$167,$B109,FALSE),""))</f>
        <v/>
      </c>
    </row>
    <row r="110" spans="2:48" x14ac:dyDescent="0.2">
      <c r="B110" s="487">
        <f t="shared" si="1"/>
        <v>107</v>
      </c>
      <c r="C110" s="486" t="str">
        <f>+'Physical Effects-Numbers'!B107</f>
        <v>Pumping Plant</v>
      </c>
      <c r="D110" s="488" t="str">
        <f>IF(D$4="","",IF(HLOOKUP(D$4,'Physical Effects-Numbers'!$B$1:$AU$172,$B110,FALSE)&lt;0,HLOOKUP(D$4,'Physical Effects-Numbers'!$B$1:$AU$172,$B110,FALSE),""))</f>
        <v/>
      </c>
      <c r="E110" s="488" t="str">
        <f>IF(E$4="","",IF(HLOOKUP(E$4,'Physical Effects-Numbers'!$B$1:$AU$172,$B110,FALSE)&lt;0,HLOOKUP(E$4,'Physical Effects-Numbers'!$B$1:$AU$172,$B110,FALSE),""))</f>
        <v/>
      </c>
      <c r="F110" s="488" t="str">
        <f>IF(F$4="","",IF(HLOOKUP(F$4,'Physical Effects-Numbers'!$B$1:$AU$172,$B110,FALSE)&lt;0,HLOOKUP(F$4,'Physical Effects-Numbers'!$B$1:$AU$172,$B110,FALSE),""))</f>
        <v/>
      </c>
      <c r="G110" s="488" t="str">
        <f>IF(G$4="","",IF(HLOOKUP(G$4,'Physical Effects-Numbers'!$B$1:$AU$172,$B110,FALSE)&lt;0,HLOOKUP(G$4,'Physical Effects-Numbers'!$B$1:$AU$172,$B110,FALSE),""))</f>
        <v/>
      </c>
      <c r="H110" s="488" t="str">
        <f>IF(H$4="","",IF(HLOOKUP(H$4,'Physical Effects-Numbers'!$B$1:$AU$172,$B110,FALSE)&lt;0,HLOOKUP(H$4,'Physical Effects-Numbers'!$B$1:$AU$172,$B110,FALSE),""))</f>
        <v/>
      </c>
      <c r="I110" s="488" t="str">
        <f>IF(I$4="","",IF(HLOOKUP(I$4,'Physical Effects-Numbers'!$B$1:$AU$172,$B110,FALSE)&lt;0,HLOOKUP(I$4,'Physical Effects-Numbers'!$B$1:$AU$172,$B110,FALSE),""))</f>
        <v/>
      </c>
      <c r="J110" s="488" t="str">
        <f>IF(J$4="","",IF(HLOOKUP(J$4,'Physical Effects-Numbers'!$B$1:$AU$172,$B110,FALSE)&lt;0,HLOOKUP(J$4,'Physical Effects-Numbers'!$B$1:$AU$172,$B110,FALSE),""))</f>
        <v/>
      </c>
      <c r="K110" s="488" t="str">
        <f>IF(K$4="","",IF(HLOOKUP(K$4,'Physical Effects-Numbers'!$B$1:$AU$172,$B110,FALSE)&lt;0,HLOOKUP(K$4,'Physical Effects-Numbers'!$B$1:$AU$172,$B110,FALSE),""))</f>
        <v/>
      </c>
      <c r="L110" s="488" t="str">
        <f>IF(L$4="","",IF(HLOOKUP(L$4,'Physical Effects-Numbers'!$B$1:$AU$172,$B110,FALSE)&lt;0,HLOOKUP(L$4,'Physical Effects-Numbers'!$B$1:$AU$172,$B110,FALSE),""))</f>
        <v/>
      </c>
      <c r="M110" s="488" t="str">
        <f>IF(M$4="","",IF(HLOOKUP(M$4,'Physical Effects-Numbers'!$B$1:$AU$172,$B110,FALSE)&lt;0,HLOOKUP(M$4,'Physical Effects-Numbers'!$B$1:$AU$172,$B110,FALSE),""))</f>
        <v/>
      </c>
      <c r="N110" s="488" t="str">
        <f>IF(N$4="","",IF(HLOOKUP(N$4,'Physical Effects-Numbers'!$B$1:$AU$172,$B110,FALSE)&lt;0,HLOOKUP(N$4,'Physical Effects-Numbers'!$B$1:$AU$172,$B110,FALSE),""))</f>
        <v/>
      </c>
      <c r="O110" s="488" t="str">
        <f>IF(O$4="","",IF(HLOOKUP(O$4,'Physical Effects-Numbers'!$B$1:$AU$172,$B110,FALSE)&lt;0,HLOOKUP(O$4,'Physical Effects-Numbers'!$B$1:$AU$172,$B110,FALSE),""))</f>
        <v/>
      </c>
      <c r="P110" s="488" t="str">
        <f>IF(P$4="","",IF(HLOOKUP(P$4,'Physical Effects-Numbers'!$B$1:$AU$172,$B110,FALSE)&lt;0,HLOOKUP(P$4,'Physical Effects-Numbers'!$B$1:$AU$172,$B110,FALSE),""))</f>
        <v/>
      </c>
      <c r="Q110" s="488" t="str">
        <f>IF(Q$4="","",IF(HLOOKUP(Q$4,'Physical Effects-Numbers'!$B$1:$AU$172,$B110,FALSE)&lt;0,HLOOKUP(Q$4,'Physical Effects-Numbers'!$B$1:$AU$172,$B110,FALSE),""))</f>
        <v/>
      </c>
      <c r="R110" s="488" t="str">
        <f>IF(R$4="","",IF(HLOOKUP(R$4,'Physical Effects-Numbers'!$B$1:$AU$172,$B110,FALSE)&lt;0,HLOOKUP(R$4,'Physical Effects-Numbers'!$B$1:$AU$172,$B110,FALSE),""))</f>
        <v/>
      </c>
      <c r="S110" s="488" t="str">
        <f>IF(S$4="","",IF(HLOOKUP(S$4,'Physical Effects-Numbers'!$B$1:$AU$172,$B110,FALSE)&lt;0,HLOOKUP(S$4,'Physical Effects-Numbers'!$B$1:$AU$172,$B110,FALSE),""))</f>
        <v/>
      </c>
      <c r="T110" s="488" t="str">
        <f>IF(T$4="","",IF(HLOOKUP(T$4,'Physical Effects-Numbers'!$B$1:$AU$172,$B110,FALSE)&lt;0,HLOOKUP(T$4,'Physical Effects-Numbers'!$B$1:$AU$172,$B110,FALSE),""))</f>
        <v/>
      </c>
      <c r="U110" s="488" t="str">
        <f>IF(U$4="","",IF(HLOOKUP(U$4,'Physical Effects-Numbers'!$B$1:$AU$172,$B110,FALSE)&lt;0,HLOOKUP(U$4,'Physical Effects-Numbers'!$B$1:$AU$172,$B110,FALSE),""))</f>
        <v/>
      </c>
      <c r="V110" s="488" t="str">
        <f>IF(V$4="","",IF(HLOOKUP(V$4,'Physical Effects-Numbers'!$B$1:$AU$172,$B110,FALSE)&lt;0,HLOOKUP(V$4,'Physical Effects-Numbers'!$B$1:$AU$172,$B110,FALSE),""))</f>
        <v/>
      </c>
      <c r="W110" s="488" t="str">
        <f>IF(W$4="","",IF(HLOOKUP(W$4,'Physical Effects-Numbers'!$B$1:$AU$172,$B110,FALSE)&lt;0,HLOOKUP(W$4,'Physical Effects-Numbers'!$B$1:$AU$172,$B110,FALSE),""))</f>
        <v/>
      </c>
      <c r="X110" s="488" t="str">
        <f>IF(X$4="","",IF(HLOOKUP(X$4,'Physical Effects-Numbers'!$B$1:$AU$172,$B110,FALSE)&lt;0,HLOOKUP(X$4,'Physical Effects-Numbers'!$B$1:$AU$172,$B110,FALSE),""))</f>
        <v/>
      </c>
      <c r="Y110" s="488" t="str">
        <f>IF(Y$4="","",IF(HLOOKUP(Y$4,'Physical Effects-Numbers'!$B$1:$AU$172,$B110,FALSE)&lt;0,HLOOKUP(Y$4,'Physical Effects-Numbers'!$B$1:$AU$172,$B110,FALSE),""))</f>
        <v/>
      </c>
      <c r="Z110" s="488" t="str">
        <f>IF(Z$4="","",IF(HLOOKUP(Z$4,'Physical Effects-Numbers'!$B$1:$AU$172,$B110,FALSE)&lt;0,HLOOKUP(Z$4,'Physical Effects-Numbers'!$B$1:$AU$172,$B110,FALSE),""))</f>
        <v/>
      </c>
      <c r="AA110" s="488" t="str">
        <f>IF(AA$4="","",IF(HLOOKUP(AA$4,'Physical Effects-Numbers'!$B$1:$AU$172,$B110,FALSE)&lt;0,HLOOKUP(AA$4,'Physical Effects-Numbers'!$B$1:$AU$172,$B110,FALSE),""))</f>
        <v/>
      </c>
      <c r="AB110" s="488" t="str">
        <f>IF(AB$4="","",IF(HLOOKUP(AB$4,'Physical Effects-Numbers'!$B$1:$AU$172,$B110,FALSE)&lt;0,HLOOKUP(AB$4,'Physical Effects-Numbers'!$B$1:$AU$172,$B110,FALSE),""))</f>
        <v/>
      </c>
      <c r="AC110" s="488" t="str">
        <f>IF(AC$4="","",IF(HLOOKUP(AC$4,'Physical Effects-Numbers'!$B$1:$AU$172,$B110,FALSE)&lt;0,HLOOKUP(AC$4,'Physical Effects-Numbers'!$B$1:$AU$172,$B110,FALSE),""))</f>
        <v/>
      </c>
      <c r="AD110" s="488" t="str">
        <f>IF(AD$4="","",IF(HLOOKUP(AD$4,'Physical Effects-Numbers'!$B$1:$AU$172,$B110,FALSE)&lt;0,HLOOKUP(AD$4,'Physical Effects-Numbers'!$B$1:$AU$172,$B110,FALSE),""))</f>
        <v/>
      </c>
      <c r="AE110" s="488" t="str">
        <f>IF(AE$4="","",IF(HLOOKUP(AE$4,'Physical Effects-Numbers'!$B$1:$AU$172,$B110,FALSE)&lt;0,HLOOKUP(AE$4,'Physical Effects-Numbers'!$B$1:$AU$172,$B110,FALSE),""))</f>
        <v/>
      </c>
      <c r="AF110" s="488" t="str">
        <f>IF(AF$4="","",IF(HLOOKUP(AF$4,'Physical Effects-Numbers'!$B$1:$AU$172,$B110,FALSE)&lt;0,HLOOKUP(AF$4,'Physical Effects-Numbers'!$B$1:$AU$172,$B110,FALSE),""))</f>
        <v/>
      </c>
      <c r="AG110" s="488" t="str">
        <f>IF(AG$4="","",IF(HLOOKUP(AG$4,'Physical Effects-Numbers'!$B$1:$AU$172,$B110,FALSE)&lt;0,HLOOKUP(AG$4,'Physical Effects-Numbers'!$B$1:$AU$172,$B110,FALSE),""))</f>
        <v/>
      </c>
      <c r="AH110" s="488" t="str">
        <f>IF(AH$4="","",IF(HLOOKUP(AH$4,'Physical Effects-Numbers'!$B$1:$AU$172,$B110,FALSE)&lt;0,HLOOKUP(AH$4,'Physical Effects-Numbers'!$B$1:$AU$172,$B110,FALSE),""))</f>
        <v/>
      </c>
      <c r="AI110" s="488" t="str">
        <f>IF(AI$4="","",IF(HLOOKUP(AI$4,'Physical Effects-Numbers'!$B$1:$AU$172,$B110,FALSE)&lt;0,HLOOKUP(AI$4,'Physical Effects-Numbers'!$B$1:$AU$172,$B110,FALSE),""))</f>
        <v/>
      </c>
      <c r="AJ110" s="488" t="str">
        <f>IF(AJ$4="","",IF(HLOOKUP(AJ$4,'Physical Effects-Numbers'!$B$1:$AU$172,$B110,FALSE)&lt;0,HLOOKUP(AJ$4,'Physical Effects-Numbers'!$B$1:$AU$172,$B110,FALSE),""))</f>
        <v/>
      </c>
      <c r="AK110" s="488" t="str">
        <f>IF(AK$4="","",IF(HLOOKUP(AK$4,'Physical Effects-Numbers'!$B$1:$AU$172,$B110,FALSE)&lt;0,HLOOKUP(AK$4,'Physical Effects-Numbers'!$B$1:$AU$172,$B110,FALSE),""))</f>
        <v/>
      </c>
      <c r="AL110" s="488" t="str">
        <f>IF(AL$4="","",IF(HLOOKUP(AL$4,'Physical Effects-Numbers'!$B$1:$AU$172,$B110,FALSE)&lt;0,HLOOKUP(AL$4,'Physical Effects-Numbers'!$B$1:$AU$172,$B110,FALSE),""))</f>
        <v/>
      </c>
      <c r="AM110" s="488" t="str">
        <f>IF(AM$4="","",IF(HLOOKUP(AM$4,'Physical Effects-Numbers'!$B$1:$AU$172,$B110,FALSE)&lt;0,HLOOKUP(AM$4,'Physical Effects-Numbers'!$B$1:$AU$172,$B110,FALSE),""))</f>
        <v/>
      </c>
      <c r="AN110" s="488" t="str">
        <f>IF(AN$4="","",IF(HLOOKUP(AN$4,'Physical Effects-Numbers'!$B$1:$AU$172,$B110,FALSE)&lt;0,HLOOKUP(AN$4,'Physical Effects-Numbers'!$B$1:$AU$172,$B110,FALSE),""))</f>
        <v/>
      </c>
      <c r="AO110" s="488" t="str">
        <f>IF(AO$4="","",IF(HLOOKUP(AO$4,'Physical Effects-Numbers'!$B$1:$AU$172,$B110,FALSE)&lt;0,HLOOKUP(AO$4,'Physical Effects-Numbers'!$B$1:$AU$172,$B110,FALSE),""))</f>
        <v/>
      </c>
      <c r="AP110" s="488" t="str">
        <f>IF(AP$4="","",IF(HLOOKUP(AP$4,'Physical Effects-Numbers'!$B$1:$AU$172,$B110,FALSE)&lt;0,HLOOKUP(AP$4,'Physical Effects-Numbers'!$B$1:$AU$172,$B110,FALSE),""))</f>
        <v/>
      </c>
      <c r="AQ110" s="488" t="str">
        <f>IF(AQ$4="","",IF(HLOOKUP(AQ$4,'Physical Effects-Numbers'!$B$1:$AU$172,$B110,FALSE)&lt;0,HLOOKUP(AQ$4,'Physical Effects-Numbers'!$B$1:$AU$172,$B110,FALSE),""))</f>
        <v/>
      </c>
      <c r="AR110" s="488" t="str">
        <f>IF(AR$4="","",IF(HLOOKUP(AR$4,'Physical Effects-Numbers'!$B$1:$AU$172,$B110,FALSE)&lt;0,HLOOKUP(AR$4,'Physical Effects-Numbers'!$B$1:$AU$172,$B110,FALSE),""))</f>
        <v/>
      </c>
      <c r="AS110" s="488" t="str">
        <f>IF(AS$4="","",IF(HLOOKUP(AS$4,'Physical Effects-Numbers'!$B$1:$AU$172,$B110,FALSE)&lt;0,HLOOKUP(AS$4,'Physical Effects-Numbers'!$B$1:$AU$172,$B110,FALSE),""))</f>
        <v/>
      </c>
      <c r="AT110" s="488" t="str">
        <f>IF(AT$4="","",IF(HLOOKUP(AT$4,'Physical Effects-Numbers'!$B$1:$AU$172,$B110,FALSE)&lt;0,HLOOKUP(AT$4,'Physical Effects-Numbers'!$B$1:$AU$172,$B110,FALSE),""))</f>
        <v/>
      </c>
      <c r="AU110" s="488" t="str">
        <f>IF(AU$4="","",IF(HLOOKUP(AU$4,'Physical Effects-Numbers'!$B$1:$AU$172,$B110,FALSE)&lt;0,HLOOKUP(AU$4,'Physical Effects-Numbers'!$B$1:$AU$172,$B110,FALSE),""))</f>
        <v/>
      </c>
      <c r="AV110" s="488" t="str">
        <f>IF(AV$4="","",IF(HLOOKUP(AV$4,'Physical Effects-Numbers'!$B$1:$AU$167,$B110,FALSE)&lt;0,HLOOKUP(AV$4,'Physical Effects-Numbers'!$B$1:$AU$167,$B110,FALSE),""))</f>
        <v/>
      </c>
    </row>
    <row r="111" spans="2:48" x14ac:dyDescent="0.2">
      <c r="B111" s="487">
        <f t="shared" si="1"/>
        <v>108</v>
      </c>
      <c r="C111" s="486" t="str">
        <f>+'Physical Effects-Numbers'!B108</f>
        <v>Range Planting</v>
      </c>
      <c r="D111" s="488" t="str">
        <f>IF(D$4="","",IF(HLOOKUP(D$4,'Physical Effects-Numbers'!$B$1:$AU$172,$B111,FALSE)&lt;0,HLOOKUP(D$4,'Physical Effects-Numbers'!$B$1:$AU$172,$B111,FALSE),""))</f>
        <v/>
      </c>
      <c r="E111" s="488" t="str">
        <f>IF(E$4="","",IF(HLOOKUP(E$4,'Physical Effects-Numbers'!$B$1:$AU$172,$B111,FALSE)&lt;0,HLOOKUP(E$4,'Physical Effects-Numbers'!$B$1:$AU$172,$B111,FALSE),""))</f>
        <v/>
      </c>
      <c r="F111" s="488" t="str">
        <f>IF(F$4="","",IF(HLOOKUP(F$4,'Physical Effects-Numbers'!$B$1:$AU$172,$B111,FALSE)&lt;0,HLOOKUP(F$4,'Physical Effects-Numbers'!$B$1:$AU$172,$B111,FALSE),""))</f>
        <v/>
      </c>
      <c r="G111" s="488" t="str">
        <f>IF(G$4="","",IF(HLOOKUP(G$4,'Physical Effects-Numbers'!$B$1:$AU$172,$B111,FALSE)&lt;0,HLOOKUP(G$4,'Physical Effects-Numbers'!$B$1:$AU$172,$B111,FALSE),""))</f>
        <v/>
      </c>
      <c r="H111" s="488" t="str">
        <f>IF(H$4="","",IF(HLOOKUP(H$4,'Physical Effects-Numbers'!$B$1:$AU$172,$B111,FALSE)&lt;0,HLOOKUP(H$4,'Physical Effects-Numbers'!$B$1:$AU$172,$B111,FALSE),""))</f>
        <v/>
      </c>
      <c r="I111" s="488" t="str">
        <f>IF(I$4="","",IF(HLOOKUP(I$4,'Physical Effects-Numbers'!$B$1:$AU$172,$B111,FALSE)&lt;0,HLOOKUP(I$4,'Physical Effects-Numbers'!$B$1:$AU$172,$B111,FALSE),""))</f>
        <v/>
      </c>
      <c r="J111" s="488" t="str">
        <f>IF(J$4="","",IF(HLOOKUP(J$4,'Physical Effects-Numbers'!$B$1:$AU$172,$B111,FALSE)&lt;0,HLOOKUP(J$4,'Physical Effects-Numbers'!$B$1:$AU$172,$B111,FALSE),""))</f>
        <v/>
      </c>
      <c r="K111" s="488" t="str">
        <f>IF(K$4="","",IF(HLOOKUP(K$4,'Physical Effects-Numbers'!$B$1:$AU$172,$B111,FALSE)&lt;0,HLOOKUP(K$4,'Physical Effects-Numbers'!$B$1:$AU$172,$B111,FALSE),""))</f>
        <v/>
      </c>
      <c r="L111" s="488" t="str">
        <f>IF(L$4="","",IF(HLOOKUP(L$4,'Physical Effects-Numbers'!$B$1:$AU$172,$B111,FALSE)&lt;0,HLOOKUP(L$4,'Physical Effects-Numbers'!$B$1:$AU$172,$B111,FALSE),""))</f>
        <v/>
      </c>
      <c r="M111" s="488" t="str">
        <f>IF(M$4="","",IF(HLOOKUP(M$4,'Physical Effects-Numbers'!$B$1:$AU$172,$B111,FALSE)&lt;0,HLOOKUP(M$4,'Physical Effects-Numbers'!$B$1:$AU$172,$B111,FALSE),""))</f>
        <v/>
      </c>
      <c r="N111" s="488" t="str">
        <f>IF(N$4="","",IF(HLOOKUP(N$4,'Physical Effects-Numbers'!$B$1:$AU$172,$B111,FALSE)&lt;0,HLOOKUP(N$4,'Physical Effects-Numbers'!$B$1:$AU$172,$B111,FALSE),""))</f>
        <v/>
      </c>
      <c r="O111" s="488" t="str">
        <f>IF(O$4="","",IF(HLOOKUP(O$4,'Physical Effects-Numbers'!$B$1:$AU$172,$B111,FALSE)&lt;0,HLOOKUP(O$4,'Physical Effects-Numbers'!$B$1:$AU$172,$B111,FALSE),""))</f>
        <v/>
      </c>
      <c r="P111" s="488" t="str">
        <f>IF(P$4="","",IF(HLOOKUP(P$4,'Physical Effects-Numbers'!$B$1:$AU$172,$B111,FALSE)&lt;0,HLOOKUP(P$4,'Physical Effects-Numbers'!$B$1:$AU$172,$B111,FALSE),""))</f>
        <v/>
      </c>
      <c r="Q111" s="488" t="str">
        <f>IF(Q$4="","",IF(HLOOKUP(Q$4,'Physical Effects-Numbers'!$B$1:$AU$172,$B111,FALSE)&lt;0,HLOOKUP(Q$4,'Physical Effects-Numbers'!$B$1:$AU$172,$B111,FALSE),""))</f>
        <v/>
      </c>
      <c r="R111" s="488" t="str">
        <f>IF(R$4="","",IF(HLOOKUP(R$4,'Physical Effects-Numbers'!$B$1:$AU$172,$B111,FALSE)&lt;0,HLOOKUP(R$4,'Physical Effects-Numbers'!$B$1:$AU$172,$B111,FALSE),""))</f>
        <v/>
      </c>
      <c r="S111" s="488" t="str">
        <f>IF(S$4="","",IF(HLOOKUP(S$4,'Physical Effects-Numbers'!$B$1:$AU$172,$B111,FALSE)&lt;0,HLOOKUP(S$4,'Physical Effects-Numbers'!$B$1:$AU$172,$B111,FALSE),""))</f>
        <v/>
      </c>
      <c r="T111" s="488" t="str">
        <f>IF(T$4="","",IF(HLOOKUP(T$4,'Physical Effects-Numbers'!$B$1:$AU$172,$B111,FALSE)&lt;0,HLOOKUP(T$4,'Physical Effects-Numbers'!$B$1:$AU$172,$B111,FALSE),""))</f>
        <v/>
      </c>
      <c r="U111" s="488" t="str">
        <f>IF(U$4="","",IF(HLOOKUP(U$4,'Physical Effects-Numbers'!$B$1:$AU$172,$B111,FALSE)&lt;0,HLOOKUP(U$4,'Physical Effects-Numbers'!$B$1:$AU$172,$B111,FALSE),""))</f>
        <v/>
      </c>
      <c r="V111" s="488" t="str">
        <f>IF(V$4="","",IF(HLOOKUP(V$4,'Physical Effects-Numbers'!$B$1:$AU$172,$B111,FALSE)&lt;0,HLOOKUP(V$4,'Physical Effects-Numbers'!$B$1:$AU$172,$B111,FALSE),""))</f>
        <v/>
      </c>
      <c r="W111" s="488" t="str">
        <f>IF(W$4="","",IF(HLOOKUP(W$4,'Physical Effects-Numbers'!$B$1:$AU$172,$B111,FALSE)&lt;0,HLOOKUP(W$4,'Physical Effects-Numbers'!$B$1:$AU$172,$B111,FALSE),""))</f>
        <v/>
      </c>
      <c r="X111" s="488" t="str">
        <f>IF(X$4="","",IF(HLOOKUP(X$4,'Physical Effects-Numbers'!$B$1:$AU$172,$B111,FALSE)&lt;0,HLOOKUP(X$4,'Physical Effects-Numbers'!$B$1:$AU$172,$B111,FALSE),""))</f>
        <v/>
      </c>
      <c r="Y111" s="488" t="str">
        <f>IF(Y$4="","",IF(HLOOKUP(Y$4,'Physical Effects-Numbers'!$B$1:$AU$172,$B111,FALSE)&lt;0,HLOOKUP(Y$4,'Physical Effects-Numbers'!$B$1:$AU$172,$B111,FALSE),""))</f>
        <v/>
      </c>
      <c r="Z111" s="488" t="str">
        <f>IF(Z$4="","",IF(HLOOKUP(Z$4,'Physical Effects-Numbers'!$B$1:$AU$172,$B111,FALSE)&lt;0,HLOOKUP(Z$4,'Physical Effects-Numbers'!$B$1:$AU$172,$B111,FALSE),""))</f>
        <v/>
      </c>
      <c r="AA111" s="488" t="str">
        <f>IF(AA$4="","",IF(HLOOKUP(AA$4,'Physical Effects-Numbers'!$B$1:$AU$172,$B111,FALSE)&lt;0,HLOOKUP(AA$4,'Physical Effects-Numbers'!$B$1:$AU$172,$B111,FALSE),""))</f>
        <v/>
      </c>
      <c r="AB111" s="488" t="str">
        <f>IF(AB$4="","",IF(HLOOKUP(AB$4,'Physical Effects-Numbers'!$B$1:$AU$172,$B111,FALSE)&lt;0,HLOOKUP(AB$4,'Physical Effects-Numbers'!$B$1:$AU$172,$B111,FALSE),""))</f>
        <v/>
      </c>
      <c r="AC111" s="488" t="str">
        <f>IF(AC$4="","",IF(HLOOKUP(AC$4,'Physical Effects-Numbers'!$B$1:$AU$172,$B111,FALSE)&lt;0,HLOOKUP(AC$4,'Physical Effects-Numbers'!$B$1:$AU$172,$B111,FALSE),""))</f>
        <v/>
      </c>
      <c r="AD111" s="488" t="str">
        <f>IF(AD$4="","",IF(HLOOKUP(AD$4,'Physical Effects-Numbers'!$B$1:$AU$172,$B111,FALSE)&lt;0,HLOOKUP(AD$4,'Physical Effects-Numbers'!$B$1:$AU$172,$B111,FALSE),""))</f>
        <v/>
      </c>
      <c r="AE111" s="488" t="str">
        <f>IF(AE$4="","",IF(HLOOKUP(AE$4,'Physical Effects-Numbers'!$B$1:$AU$172,$B111,FALSE)&lt;0,HLOOKUP(AE$4,'Physical Effects-Numbers'!$B$1:$AU$172,$B111,FALSE),""))</f>
        <v/>
      </c>
      <c r="AF111" s="488" t="str">
        <f>IF(AF$4="","",IF(HLOOKUP(AF$4,'Physical Effects-Numbers'!$B$1:$AU$172,$B111,FALSE)&lt;0,HLOOKUP(AF$4,'Physical Effects-Numbers'!$B$1:$AU$172,$B111,FALSE),""))</f>
        <v/>
      </c>
      <c r="AG111" s="488" t="str">
        <f>IF(AG$4="","",IF(HLOOKUP(AG$4,'Physical Effects-Numbers'!$B$1:$AU$172,$B111,FALSE)&lt;0,HLOOKUP(AG$4,'Physical Effects-Numbers'!$B$1:$AU$172,$B111,FALSE),""))</f>
        <v/>
      </c>
      <c r="AH111" s="488" t="str">
        <f>IF(AH$4="","",IF(HLOOKUP(AH$4,'Physical Effects-Numbers'!$B$1:$AU$172,$B111,FALSE)&lt;0,HLOOKUP(AH$4,'Physical Effects-Numbers'!$B$1:$AU$172,$B111,FALSE),""))</f>
        <v/>
      </c>
      <c r="AI111" s="488" t="str">
        <f>IF(AI$4="","",IF(HLOOKUP(AI$4,'Physical Effects-Numbers'!$B$1:$AU$172,$B111,FALSE)&lt;0,HLOOKUP(AI$4,'Physical Effects-Numbers'!$B$1:$AU$172,$B111,FALSE),""))</f>
        <v/>
      </c>
      <c r="AJ111" s="488" t="str">
        <f>IF(AJ$4="","",IF(HLOOKUP(AJ$4,'Physical Effects-Numbers'!$B$1:$AU$172,$B111,FALSE)&lt;0,HLOOKUP(AJ$4,'Physical Effects-Numbers'!$B$1:$AU$172,$B111,FALSE),""))</f>
        <v/>
      </c>
      <c r="AK111" s="488" t="str">
        <f>IF(AK$4="","",IF(HLOOKUP(AK$4,'Physical Effects-Numbers'!$B$1:$AU$172,$B111,FALSE)&lt;0,HLOOKUP(AK$4,'Physical Effects-Numbers'!$B$1:$AU$172,$B111,FALSE),""))</f>
        <v/>
      </c>
      <c r="AL111" s="488" t="str">
        <f>IF(AL$4="","",IF(HLOOKUP(AL$4,'Physical Effects-Numbers'!$B$1:$AU$172,$B111,FALSE)&lt;0,HLOOKUP(AL$4,'Physical Effects-Numbers'!$B$1:$AU$172,$B111,FALSE),""))</f>
        <v/>
      </c>
      <c r="AM111" s="488" t="str">
        <f>IF(AM$4="","",IF(HLOOKUP(AM$4,'Physical Effects-Numbers'!$B$1:$AU$172,$B111,FALSE)&lt;0,HLOOKUP(AM$4,'Physical Effects-Numbers'!$B$1:$AU$172,$B111,FALSE),""))</f>
        <v/>
      </c>
      <c r="AN111" s="488" t="str">
        <f>IF(AN$4="","",IF(HLOOKUP(AN$4,'Physical Effects-Numbers'!$B$1:$AU$172,$B111,FALSE)&lt;0,HLOOKUP(AN$4,'Physical Effects-Numbers'!$B$1:$AU$172,$B111,FALSE),""))</f>
        <v/>
      </c>
      <c r="AO111" s="488" t="str">
        <f>IF(AO$4="","",IF(HLOOKUP(AO$4,'Physical Effects-Numbers'!$B$1:$AU$172,$B111,FALSE)&lt;0,HLOOKUP(AO$4,'Physical Effects-Numbers'!$B$1:$AU$172,$B111,FALSE),""))</f>
        <v/>
      </c>
      <c r="AP111" s="488" t="str">
        <f>IF(AP$4="","",IF(HLOOKUP(AP$4,'Physical Effects-Numbers'!$B$1:$AU$172,$B111,FALSE)&lt;0,HLOOKUP(AP$4,'Physical Effects-Numbers'!$B$1:$AU$172,$B111,FALSE),""))</f>
        <v/>
      </c>
      <c r="AQ111" s="488" t="str">
        <f>IF(AQ$4="","",IF(HLOOKUP(AQ$4,'Physical Effects-Numbers'!$B$1:$AU$172,$B111,FALSE)&lt;0,HLOOKUP(AQ$4,'Physical Effects-Numbers'!$B$1:$AU$172,$B111,FALSE),""))</f>
        <v/>
      </c>
      <c r="AR111" s="488" t="str">
        <f>IF(AR$4="","",IF(HLOOKUP(AR$4,'Physical Effects-Numbers'!$B$1:$AU$172,$B111,FALSE)&lt;0,HLOOKUP(AR$4,'Physical Effects-Numbers'!$B$1:$AU$172,$B111,FALSE),""))</f>
        <v/>
      </c>
      <c r="AS111" s="488" t="str">
        <f>IF(AS$4="","",IF(HLOOKUP(AS$4,'Physical Effects-Numbers'!$B$1:$AU$172,$B111,FALSE)&lt;0,HLOOKUP(AS$4,'Physical Effects-Numbers'!$B$1:$AU$172,$B111,FALSE),""))</f>
        <v/>
      </c>
      <c r="AT111" s="488" t="str">
        <f>IF(AT$4="","",IF(HLOOKUP(AT$4,'Physical Effects-Numbers'!$B$1:$AU$172,$B111,FALSE)&lt;0,HLOOKUP(AT$4,'Physical Effects-Numbers'!$B$1:$AU$172,$B111,FALSE),""))</f>
        <v/>
      </c>
      <c r="AU111" s="488" t="str">
        <f>IF(AU$4="","",IF(HLOOKUP(AU$4,'Physical Effects-Numbers'!$B$1:$AU$172,$B111,FALSE)&lt;0,HLOOKUP(AU$4,'Physical Effects-Numbers'!$B$1:$AU$172,$B111,FALSE),""))</f>
        <v/>
      </c>
      <c r="AV111" s="488" t="str">
        <f>IF(AV$4="","",IF(HLOOKUP(AV$4,'Physical Effects-Numbers'!$B$1:$AU$167,$B111,FALSE)&lt;0,HLOOKUP(AV$4,'Physical Effects-Numbers'!$B$1:$AU$167,$B111,FALSE),""))</f>
        <v/>
      </c>
    </row>
    <row r="112" spans="2:48" x14ac:dyDescent="0.2">
      <c r="B112" s="487">
        <f t="shared" si="1"/>
        <v>109</v>
      </c>
      <c r="C112" s="486" t="str">
        <f>+'Physical Effects-Numbers'!B109</f>
        <v>Recreation Area Improvement</v>
      </c>
      <c r="D112" s="488" t="str">
        <f>IF(D$4="","",IF(HLOOKUP(D$4,'Physical Effects-Numbers'!$B$1:$AU$172,$B112,FALSE)&lt;0,HLOOKUP(D$4,'Physical Effects-Numbers'!$B$1:$AU$172,$B112,FALSE),""))</f>
        <v/>
      </c>
      <c r="E112" s="488" t="str">
        <f>IF(E$4="","",IF(HLOOKUP(E$4,'Physical Effects-Numbers'!$B$1:$AU$172,$B112,FALSE)&lt;0,HLOOKUP(E$4,'Physical Effects-Numbers'!$B$1:$AU$172,$B112,FALSE),""))</f>
        <v/>
      </c>
      <c r="F112" s="488" t="str">
        <f>IF(F$4="","",IF(HLOOKUP(F$4,'Physical Effects-Numbers'!$B$1:$AU$172,$B112,FALSE)&lt;0,HLOOKUP(F$4,'Physical Effects-Numbers'!$B$1:$AU$172,$B112,FALSE),""))</f>
        <v/>
      </c>
      <c r="G112" s="488" t="str">
        <f>IF(G$4="","",IF(HLOOKUP(G$4,'Physical Effects-Numbers'!$B$1:$AU$172,$B112,FALSE)&lt;0,HLOOKUP(G$4,'Physical Effects-Numbers'!$B$1:$AU$172,$B112,FALSE),""))</f>
        <v/>
      </c>
      <c r="H112" s="488" t="str">
        <f>IF(H$4="","",IF(HLOOKUP(H$4,'Physical Effects-Numbers'!$B$1:$AU$172,$B112,FALSE)&lt;0,HLOOKUP(H$4,'Physical Effects-Numbers'!$B$1:$AU$172,$B112,FALSE),""))</f>
        <v/>
      </c>
      <c r="I112" s="488" t="str">
        <f>IF(I$4="","",IF(HLOOKUP(I$4,'Physical Effects-Numbers'!$B$1:$AU$172,$B112,FALSE)&lt;0,HLOOKUP(I$4,'Physical Effects-Numbers'!$B$1:$AU$172,$B112,FALSE),""))</f>
        <v/>
      </c>
      <c r="J112" s="488" t="str">
        <f>IF(J$4="","",IF(HLOOKUP(J$4,'Physical Effects-Numbers'!$B$1:$AU$172,$B112,FALSE)&lt;0,HLOOKUP(J$4,'Physical Effects-Numbers'!$B$1:$AU$172,$B112,FALSE),""))</f>
        <v/>
      </c>
      <c r="K112" s="488" t="str">
        <f>IF(K$4="","",IF(HLOOKUP(K$4,'Physical Effects-Numbers'!$B$1:$AU$172,$B112,FALSE)&lt;0,HLOOKUP(K$4,'Physical Effects-Numbers'!$B$1:$AU$172,$B112,FALSE),""))</f>
        <v/>
      </c>
      <c r="L112" s="488" t="str">
        <f>IF(L$4="","",IF(HLOOKUP(L$4,'Physical Effects-Numbers'!$B$1:$AU$172,$B112,FALSE)&lt;0,HLOOKUP(L$4,'Physical Effects-Numbers'!$B$1:$AU$172,$B112,FALSE),""))</f>
        <v/>
      </c>
      <c r="M112" s="488" t="str">
        <f>IF(M$4="","",IF(HLOOKUP(M$4,'Physical Effects-Numbers'!$B$1:$AU$172,$B112,FALSE)&lt;0,HLOOKUP(M$4,'Physical Effects-Numbers'!$B$1:$AU$172,$B112,FALSE),""))</f>
        <v/>
      </c>
      <c r="N112" s="488" t="str">
        <f>IF(N$4="","",IF(HLOOKUP(N$4,'Physical Effects-Numbers'!$B$1:$AU$172,$B112,FALSE)&lt;0,HLOOKUP(N$4,'Physical Effects-Numbers'!$B$1:$AU$172,$B112,FALSE),""))</f>
        <v/>
      </c>
      <c r="O112" s="488" t="str">
        <f>IF(O$4="","",IF(HLOOKUP(O$4,'Physical Effects-Numbers'!$B$1:$AU$172,$B112,FALSE)&lt;0,HLOOKUP(O$4,'Physical Effects-Numbers'!$B$1:$AU$172,$B112,FALSE),""))</f>
        <v/>
      </c>
      <c r="P112" s="488" t="str">
        <f>IF(P$4="","",IF(HLOOKUP(P$4,'Physical Effects-Numbers'!$B$1:$AU$172,$B112,FALSE)&lt;0,HLOOKUP(P$4,'Physical Effects-Numbers'!$B$1:$AU$172,$B112,FALSE),""))</f>
        <v/>
      </c>
      <c r="Q112" s="488" t="str">
        <f>IF(Q$4="","",IF(HLOOKUP(Q$4,'Physical Effects-Numbers'!$B$1:$AU$172,$B112,FALSE)&lt;0,HLOOKUP(Q$4,'Physical Effects-Numbers'!$B$1:$AU$172,$B112,FALSE),""))</f>
        <v/>
      </c>
      <c r="R112" s="488" t="str">
        <f>IF(R$4="","",IF(HLOOKUP(R$4,'Physical Effects-Numbers'!$B$1:$AU$172,$B112,FALSE)&lt;0,HLOOKUP(R$4,'Physical Effects-Numbers'!$B$1:$AU$172,$B112,FALSE),""))</f>
        <v/>
      </c>
      <c r="S112" s="488" t="str">
        <f>IF(S$4="","",IF(HLOOKUP(S$4,'Physical Effects-Numbers'!$B$1:$AU$172,$B112,FALSE)&lt;0,HLOOKUP(S$4,'Physical Effects-Numbers'!$B$1:$AU$172,$B112,FALSE),""))</f>
        <v/>
      </c>
      <c r="T112" s="488" t="str">
        <f>IF(T$4="","",IF(HLOOKUP(T$4,'Physical Effects-Numbers'!$B$1:$AU$172,$B112,FALSE)&lt;0,HLOOKUP(T$4,'Physical Effects-Numbers'!$B$1:$AU$172,$B112,FALSE),""))</f>
        <v/>
      </c>
      <c r="U112" s="488" t="str">
        <f>IF(U$4="","",IF(HLOOKUP(U$4,'Physical Effects-Numbers'!$B$1:$AU$172,$B112,FALSE)&lt;0,HLOOKUP(U$4,'Physical Effects-Numbers'!$B$1:$AU$172,$B112,FALSE),""))</f>
        <v/>
      </c>
      <c r="V112" s="488" t="str">
        <f>IF(V$4="","",IF(HLOOKUP(V$4,'Physical Effects-Numbers'!$B$1:$AU$172,$B112,FALSE)&lt;0,HLOOKUP(V$4,'Physical Effects-Numbers'!$B$1:$AU$172,$B112,FALSE),""))</f>
        <v/>
      </c>
      <c r="W112" s="488" t="str">
        <f>IF(W$4="","",IF(HLOOKUP(W$4,'Physical Effects-Numbers'!$B$1:$AU$172,$B112,FALSE)&lt;0,HLOOKUP(W$4,'Physical Effects-Numbers'!$B$1:$AU$172,$B112,FALSE),""))</f>
        <v/>
      </c>
      <c r="X112" s="488" t="str">
        <f>IF(X$4="","",IF(HLOOKUP(X$4,'Physical Effects-Numbers'!$B$1:$AU$172,$B112,FALSE)&lt;0,HLOOKUP(X$4,'Physical Effects-Numbers'!$B$1:$AU$172,$B112,FALSE),""))</f>
        <v/>
      </c>
      <c r="Y112" s="488" t="str">
        <f>IF(Y$4="","",IF(HLOOKUP(Y$4,'Physical Effects-Numbers'!$B$1:$AU$172,$B112,FALSE)&lt;0,HLOOKUP(Y$4,'Physical Effects-Numbers'!$B$1:$AU$172,$B112,FALSE),""))</f>
        <v/>
      </c>
      <c r="Z112" s="488" t="str">
        <f>IF(Z$4="","",IF(HLOOKUP(Z$4,'Physical Effects-Numbers'!$B$1:$AU$172,$B112,FALSE)&lt;0,HLOOKUP(Z$4,'Physical Effects-Numbers'!$B$1:$AU$172,$B112,FALSE),""))</f>
        <v/>
      </c>
      <c r="AA112" s="488" t="str">
        <f>IF(AA$4="","",IF(HLOOKUP(AA$4,'Physical Effects-Numbers'!$B$1:$AU$172,$B112,FALSE)&lt;0,HLOOKUP(AA$4,'Physical Effects-Numbers'!$B$1:$AU$172,$B112,FALSE),""))</f>
        <v/>
      </c>
      <c r="AB112" s="488" t="str">
        <f>IF(AB$4="","",IF(HLOOKUP(AB$4,'Physical Effects-Numbers'!$B$1:$AU$172,$B112,FALSE)&lt;0,HLOOKUP(AB$4,'Physical Effects-Numbers'!$B$1:$AU$172,$B112,FALSE),""))</f>
        <v/>
      </c>
      <c r="AC112" s="488" t="str">
        <f>IF(AC$4="","",IF(HLOOKUP(AC$4,'Physical Effects-Numbers'!$B$1:$AU$172,$B112,FALSE)&lt;0,HLOOKUP(AC$4,'Physical Effects-Numbers'!$B$1:$AU$172,$B112,FALSE),""))</f>
        <v/>
      </c>
      <c r="AD112" s="488" t="str">
        <f>IF(AD$4="","",IF(HLOOKUP(AD$4,'Physical Effects-Numbers'!$B$1:$AU$172,$B112,FALSE)&lt;0,HLOOKUP(AD$4,'Physical Effects-Numbers'!$B$1:$AU$172,$B112,FALSE),""))</f>
        <v/>
      </c>
      <c r="AE112" s="488" t="str">
        <f>IF(AE$4="","",IF(HLOOKUP(AE$4,'Physical Effects-Numbers'!$B$1:$AU$172,$B112,FALSE)&lt;0,HLOOKUP(AE$4,'Physical Effects-Numbers'!$B$1:$AU$172,$B112,FALSE),""))</f>
        <v/>
      </c>
      <c r="AF112" s="488" t="str">
        <f>IF(AF$4="","",IF(HLOOKUP(AF$4,'Physical Effects-Numbers'!$B$1:$AU$172,$B112,FALSE)&lt;0,HLOOKUP(AF$4,'Physical Effects-Numbers'!$B$1:$AU$172,$B112,FALSE),""))</f>
        <v/>
      </c>
      <c r="AG112" s="488" t="str">
        <f>IF(AG$4="","",IF(HLOOKUP(AG$4,'Physical Effects-Numbers'!$B$1:$AU$172,$B112,FALSE)&lt;0,HLOOKUP(AG$4,'Physical Effects-Numbers'!$B$1:$AU$172,$B112,FALSE),""))</f>
        <v/>
      </c>
      <c r="AH112" s="488" t="str">
        <f>IF(AH$4="","",IF(HLOOKUP(AH$4,'Physical Effects-Numbers'!$B$1:$AU$172,$B112,FALSE)&lt;0,HLOOKUP(AH$4,'Physical Effects-Numbers'!$B$1:$AU$172,$B112,FALSE),""))</f>
        <v/>
      </c>
      <c r="AI112" s="488" t="str">
        <f>IF(AI$4="","",IF(HLOOKUP(AI$4,'Physical Effects-Numbers'!$B$1:$AU$172,$B112,FALSE)&lt;0,HLOOKUP(AI$4,'Physical Effects-Numbers'!$B$1:$AU$172,$B112,FALSE),""))</f>
        <v/>
      </c>
      <c r="AJ112" s="488" t="str">
        <f>IF(AJ$4="","",IF(HLOOKUP(AJ$4,'Physical Effects-Numbers'!$B$1:$AU$172,$B112,FALSE)&lt;0,HLOOKUP(AJ$4,'Physical Effects-Numbers'!$B$1:$AU$172,$B112,FALSE),""))</f>
        <v/>
      </c>
      <c r="AK112" s="488" t="str">
        <f>IF(AK$4="","",IF(HLOOKUP(AK$4,'Physical Effects-Numbers'!$B$1:$AU$172,$B112,FALSE)&lt;0,HLOOKUP(AK$4,'Physical Effects-Numbers'!$B$1:$AU$172,$B112,FALSE),""))</f>
        <v/>
      </c>
      <c r="AL112" s="488" t="str">
        <f>IF(AL$4="","",IF(HLOOKUP(AL$4,'Physical Effects-Numbers'!$B$1:$AU$172,$B112,FALSE)&lt;0,HLOOKUP(AL$4,'Physical Effects-Numbers'!$B$1:$AU$172,$B112,FALSE),""))</f>
        <v/>
      </c>
      <c r="AM112" s="488" t="str">
        <f>IF(AM$4="","",IF(HLOOKUP(AM$4,'Physical Effects-Numbers'!$B$1:$AU$172,$B112,FALSE)&lt;0,HLOOKUP(AM$4,'Physical Effects-Numbers'!$B$1:$AU$172,$B112,FALSE),""))</f>
        <v/>
      </c>
      <c r="AN112" s="488" t="str">
        <f>IF(AN$4="","",IF(HLOOKUP(AN$4,'Physical Effects-Numbers'!$B$1:$AU$172,$B112,FALSE)&lt;0,HLOOKUP(AN$4,'Physical Effects-Numbers'!$B$1:$AU$172,$B112,FALSE),""))</f>
        <v/>
      </c>
      <c r="AO112" s="488" t="str">
        <f>IF(AO$4="","",IF(HLOOKUP(AO$4,'Physical Effects-Numbers'!$B$1:$AU$172,$B112,FALSE)&lt;0,HLOOKUP(AO$4,'Physical Effects-Numbers'!$B$1:$AU$172,$B112,FALSE),""))</f>
        <v/>
      </c>
      <c r="AP112" s="488">
        <f>IF(AP$4="","",IF(HLOOKUP(AP$4,'Physical Effects-Numbers'!$B$1:$AU$172,$B112,FALSE)&lt;0,HLOOKUP(AP$4,'Physical Effects-Numbers'!$B$1:$AU$172,$B112,FALSE),""))</f>
        <v>-1</v>
      </c>
      <c r="AQ112" s="488" t="str">
        <f>IF(AQ$4="","",IF(HLOOKUP(AQ$4,'Physical Effects-Numbers'!$B$1:$AU$172,$B112,FALSE)&lt;0,HLOOKUP(AQ$4,'Physical Effects-Numbers'!$B$1:$AU$172,$B112,FALSE),""))</f>
        <v/>
      </c>
      <c r="AR112" s="488" t="str">
        <f>IF(AR$4="","",IF(HLOOKUP(AR$4,'Physical Effects-Numbers'!$B$1:$AU$172,$B112,FALSE)&lt;0,HLOOKUP(AR$4,'Physical Effects-Numbers'!$B$1:$AU$172,$B112,FALSE),""))</f>
        <v/>
      </c>
      <c r="AS112" s="488" t="str">
        <f>IF(AS$4="","",IF(HLOOKUP(AS$4,'Physical Effects-Numbers'!$B$1:$AU$172,$B112,FALSE)&lt;0,HLOOKUP(AS$4,'Physical Effects-Numbers'!$B$1:$AU$172,$B112,FALSE),""))</f>
        <v/>
      </c>
      <c r="AT112" s="488" t="str">
        <f>IF(AT$4="","",IF(HLOOKUP(AT$4,'Physical Effects-Numbers'!$B$1:$AU$172,$B112,FALSE)&lt;0,HLOOKUP(AT$4,'Physical Effects-Numbers'!$B$1:$AU$172,$B112,FALSE),""))</f>
        <v/>
      </c>
      <c r="AU112" s="488" t="str">
        <f>IF(AU$4="","",IF(HLOOKUP(AU$4,'Physical Effects-Numbers'!$B$1:$AU$172,$B112,FALSE)&lt;0,HLOOKUP(AU$4,'Physical Effects-Numbers'!$B$1:$AU$172,$B112,FALSE),""))</f>
        <v/>
      </c>
      <c r="AV112" s="488" t="str">
        <f>IF(AV$4="","",IF(HLOOKUP(AV$4,'Physical Effects-Numbers'!$B$1:$AU$167,$B112,FALSE)&lt;0,HLOOKUP(AV$4,'Physical Effects-Numbers'!$B$1:$AU$167,$B112,FALSE),""))</f>
        <v/>
      </c>
    </row>
    <row r="113" spans="2:48" x14ac:dyDescent="0.2">
      <c r="B113" s="487">
        <f t="shared" si="1"/>
        <v>110</v>
      </c>
      <c r="C113" s="486" t="str">
        <f>+'Physical Effects-Numbers'!B110</f>
        <v>Recreation Land Grading and Shaping</v>
      </c>
      <c r="D113" s="488" t="str">
        <f>IF(D$4="","",IF(HLOOKUP(D$4,'Physical Effects-Numbers'!$B$1:$AU$172,$B113,FALSE)&lt;0,HLOOKUP(D$4,'Physical Effects-Numbers'!$B$1:$AU$172,$B113,FALSE),""))</f>
        <v/>
      </c>
      <c r="E113" s="488" t="str">
        <f>IF(E$4="","",IF(HLOOKUP(E$4,'Physical Effects-Numbers'!$B$1:$AU$172,$B113,FALSE)&lt;0,HLOOKUP(E$4,'Physical Effects-Numbers'!$B$1:$AU$172,$B113,FALSE),""))</f>
        <v/>
      </c>
      <c r="F113" s="488" t="str">
        <f>IF(F$4="","",IF(HLOOKUP(F$4,'Physical Effects-Numbers'!$B$1:$AU$172,$B113,FALSE)&lt;0,HLOOKUP(F$4,'Physical Effects-Numbers'!$B$1:$AU$172,$B113,FALSE),""))</f>
        <v/>
      </c>
      <c r="G113" s="488" t="str">
        <f>IF(G$4="","",IF(HLOOKUP(G$4,'Physical Effects-Numbers'!$B$1:$AU$172,$B113,FALSE)&lt;0,HLOOKUP(G$4,'Physical Effects-Numbers'!$B$1:$AU$172,$B113,FALSE),""))</f>
        <v/>
      </c>
      <c r="H113" s="488" t="str">
        <f>IF(H$4="","",IF(HLOOKUP(H$4,'Physical Effects-Numbers'!$B$1:$AU$172,$B113,FALSE)&lt;0,HLOOKUP(H$4,'Physical Effects-Numbers'!$B$1:$AU$172,$B113,FALSE),""))</f>
        <v/>
      </c>
      <c r="I113" s="488" t="str">
        <f>IF(I$4="","",IF(HLOOKUP(I$4,'Physical Effects-Numbers'!$B$1:$AU$172,$B113,FALSE)&lt;0,HLOOKUP(I$4,'Physical Effects-Numbers'!$B$1:$AU$172,$B113,FALSE),""))</f>
        <v/>
      </c>
      <c r="J113" s="488" t="str">
        <f>IF(J$4="","",IF(HLOOKUP(J$4,'Physical Effects-Numbers'!$B$1:$AU$172,$B113,FALSE)&lt;0,HLOOKUP(J$4,'Physical Effects-Numbers'!$B$1:$AU$172,$B113,FALSE),""))</f>
        <v/>
      </c>
      <c r="K113" s="488" t="str">
        <f>IF(K$4="","",IF(HLOOKUP(K$4,'Physical Effects-Numbers'!$B$1:$AU$172,$B113,FALSE)&lt;0,HLOOKUP(K$4,'Physical Effects-Numbers'!$B$1:$AU$172,$B113,FALSE),""))</f>
        <v/>
      </c>
      <c r="L113" s="488" t="str">
        <f>IF(L$4="","",IF(HLOOKUP(L$4,'Physical Effects-Numbers'!$B$1:$AU$172,$B113,FALSE)&lt;0,HLOOKUP(L$4,'Physical Effects-Numbers'!$B$1:$AU$172,$B113,FALSE),""))</f>
        <v/>
      </c>
      <c r="M113" s="488" t="str">
        <f>IF(M$4="","",IF(HLOOKUP(M$4,'Physical Effects-Numbers'!$B$1:$AU$172,$B113,FALSE)&lt;0,HLOOKUP(M$4,'Physical Effects-Numbers'!$B$1:$AU$172,$B113,FALSE),""))</f>
        <v/>
      </c>
      <c r="N113" s="488" t="str">
        <f>IF(N$4="","",IF(HLOOKUP(N$4,'Physical Effects-Numbers'!$B$1:$AU$172,$B113,FALSE)&lt;0,HLOOKUP(N$4,'Physical Effects-Numbers'!$B$1:$AU$172,$B113,FALSE),""))</f>
        <v/>
      </c>
      <c r="O113" s="488" t="str">
        <f>IF(O$4="","",IF(HLOOKUP(O$4,'Physical Effects-Numbers'!$B$1:$AU$172,$B113,FALSE)&lt;0,HLOOKUP(O$4,'Physical Effects-Numbers'!$B$1:$AU$172,$B113,FALSE),""))</f>
        <v/>
      </c>
      <c r="P113" s="488" t="str">
        <f>IF(P$4="","",IF(HLOOKUP(P$4,'Physical Effects-Numbers'!$B$1:$AU$172,$B113,FALSE)&lt;0,HLOOKUP(P$4,'Physical Effects-Numbers'!$B$1:$AU$172,$B113,FALSE),""))</f>
        <v/>
      </c>
      <c r="Q113" s="488" t="str">
        <f>IF(Q$4="","",IF(HLOOKUP(Q$4,'Physical Effects-Numbers'!$B$1:$AU$172,$B113,FALSE)&lt;0,HLOOKUP(Q$4,'Physical Effects-Numbers'!$B$1:$AU$172,$B113,FALSE),""))</f>
        <v/>
      </c>
      <c r="R113" s="488" t="str">
        <f>IF(R$4="","",IF(HLOOKUP(R$4,'Physical Effects-Numbers'!$B$1:$AU$172,$B113,FALSE)&lt;0,HLOOKUP(R$4,'Physical Effects-Numbers'!$B$1:$AU$172,$B113,FALSE),""))</f>
        <v/>
      </c>
      <c r="S113" s="488" t="str">
        <f>IF(S$4="","",IF(HLOOKUP(S$4,'Physical Effects-Numbers'!$B$1:$AU$172,$B113,FALSE)&lt;0,HLOOKUP(S$4,'Physical Effects-Numbers'!$B$1:$AU$172,$B113,FALSE),""))</f>
        <v/>
      </c>
      <c r="T113" s="488" t="str">
        <f>IF(T$4="","",IF(HLOOKUP(T$4,'Physical Effects-Numbers'!$B$1:$AU$172,$B113,FALSE)&lt;0,HLOOKUP(T$4,'Physical Effects-Numbers'!$B$1:$AU$172,$B113,FALSE),""))</f>
        <v/>
      </c>
      <c r="U113" s="488" t="str">
        <f>IF(U$4="","",IF(HLOOKUP(U$4,'Physical Effects-Numbers'!$B$1:$AU$172,$B113,FALSE)&lt;0,HLOOKUP(U$4,'Physical Effects-Numbers'!$B$1:$AU$172,$B113,FALSE),""))</f>
        <v/>
      </c>
      <c r="V113" s="488" t="str">
        <f>IF(V$4="","",IF(HLOOKUP(V$4,'Physical Effects-Numbers'!$B$1:$AU$172,$B113,FALSE)&lt;0,HLOOKUP(V$4,'Physical Effects-Numbers'!$B$1:$AU$172,$B113,FALSE),""))</f>
        <v/>
      </c>
      <c r="W113" s="488" t="str">
        <f>IF(W$4="","",IF(HLOOKUP(W$4,'Physical Effects-Numbers'!$B$1:$AU$172,$B113,FALSE)&lt;0,HLOOKUP(W$4,'Physical Effects-Numbers'!$B$1:$AU$172,$B113,FALSE),""))</f>
        <v/>
      </c>
      <c r="X113" s="488" t="str">
        <f>IF(X$4="","",IF(HLOOKUP(X$4,'Physical Effects-Numbers'!$B$1:$AU$172,$B113,FALSE)&lt;0,HLOOKUP(X$4,'Physical Effects-Numbers'!$B$1:$AU$172,$B113,FALSE),""))</f>
        <v/>
      </c>
      <c r="Y113" s="488" t="str">
        <f>IF(Y$4="","",IF(HLOOKUP(Y$4,'Physical Effects-Numbers'!$B$1:$AU$172,$B113,FALSE)&lt;0,HLOOKUP(Y$4,'Physical Effects-Numbers'!$B$1:$AU$172,$B113,FALSE),""))</f>
        <v/>
      </c>
      <c r="Z113" s="488" t="str">
        <f>IF(Z$4="","",IF(HLOOKUP(Z$4,'Physical Effects-Numbers'!$B$1:$AU$172,$B113,FALSE)&lt;0,HLOOKUP(Z$4,'Physical Effects-Numbers'!$B$1:$AU$172,$B113,FALSE),""))</f>
        <v/>
      </c>
      <c r="AA113" s="488" t="str">
        <f>IF(AA$4="","",IF(HLOOKUP(AA$4,'Physical Effects-Numbers'!$B$1:$AU$172,$B113,FALSE)&lt;0,HLOOKUP(AA$4,'Physical Effects-Numbers'!$B$1:$AU$172,$B113,FALSE),""))</f>
        <v/>
      </c>
      <c r="AB113" s="488" t="str">
        <f>IF(AB$4="","",IF(HLOOKUP(AB$4,'Physical Effects-Numbers'!$B$1:$AU$172,$B113,FALSE)&lt;0,HLOOKUP(AB$4,'Physical Effects-Numbers'!$B$1:$AU$172,$B113,FALSE),""))</f>
        <v/>
      </c>
      <c r="AC113" s="488" t="str">
        <f>IF(AC$4="","",IF(HLOOKUP(AC$4,'Physical Effects-Numbers'!$B$1:$AU$172,$B113,FALSE)&lt;0,HLOOKUP(AC$4,'Physical Effects-Numbers'!$B$1:$AU$172,$B113,FALSE),""))</f>
        <v/>
      </c>
      <c r="AD113" s="488" t="str">
        <f>IF(AD$4="","",IF(HLOOKUP(AD$4,'Physical Effects-Numbers'!$B$1:$AU$172,$B113,FALSE)&lt;0,HLOOKUP(AD$4,'Physical Effects-Numbers'!$B$1:$AU$172,$B113,FALSE),""))</f>
        <v/>
      </c>
      <c r="AE113" s="488" t="str">
        <f>IF(AE$4="","",IF(HLOOKUP(AE$4,'Physical Effects-Numbers'!$B$1:$AU$172,$B113,FALSE)&lt;0,HLOOKUP(AE$4,'Physical Effects-Numbers'!$B$1:$AU$172,$B113,FALSE),""))</f>
        <v/>
      </c>
      <c r="AF113" s="488" t="str">
        <f>IF(AF$4="","",IF(HLOOKUP(AF$4,'Physical Effects-Numbers'!$B$1:$AU$172,$B113,FALSE)&lt;0,HLOOKUP(AF$4,'Physical Effects-Numbers'!$B$1:$AU$172,$B113,FALSE),""))</f>
        <v/>
      </c>
      <c r="AG113" s="488">
        <f>IF(AG$4="","",IF(HLOOKUP(AG$4,'Physical Effects-Numbers'!$B$1:$AU$172,$B113,FALSE)&lt;0,HLOOKUP(AG$4,'Physical Effects-Numbers'!$B$1:$AU$172,$B113,FALSE),""))</f>
        <v>-1</v>
      </c>
      <c r="AH113" s="488" t="str">
        <f>IF(AH$4="","",IF(HLOOKUP(AH$4,'Physical Effects-Numbers'!$B$1:$AU$172,$B113,FALSE)&lt;0,HLOOKUP(AH$4,'Physical Effects-Numbers'!$B$1:$AU$172,$B113,FALSE),""))</f>
        <v/>
      </c>
      <c r="AI113" s="488" t="str">
        <f>IF(AI$4="","",IF(HLOOKUP(AI$4,'Physical Effects-Numbers'!$B$1:$AU$172,$B113,FALSE)&lt;0,HLOOKUP(AI$4,'Physical Effects-Numbers'!$B$1:$AU$172,$B113,FALSE),""))</f>
        <v/>
      </c>
      <c r="AJ113" s="488" t="str">
        <f>IF(AJ$4="","",IF(HLOOKUP(AJ$4,'Physical Effects-Numbers'!$B$1:$AU$172,$B113,FALSE)&lt;0,HLOOKUP(AJ$4,'Physical Effects-Numbers'!$B$1:$AU$172,$B113,FALSE),""))</f>
        <v/>
      </c>
      <c r="AK113" s="488" t="str">
        <f>IF(AK$4="","",IF(HLOOKUP(AK$4,'Physical Effects-Numbers'!$B$1:$AU$172,$B113,FALSE)&lt;0,HLOOKUP(AK$4,'Physical Effects-Numbers'!$B$1:$AU$172,$B113,FALSE),""))</f>
        <v/>
      </c>
      <c r="AL113" s="488" t="str">
        <f>IF(AL$4="","",IF(HLOOKUP(AL$4,'Physical Effects-Numbers'!$B$1:$AU$172,$B113,FALSE)&lt;0,HLOOKUP(AL$4,'Physical Effects-Numbers'!$B$1:$AU$172,$B113,FALSE),""))</f>
        <v/>
      </c>
      <c r="AM113" s="488">
        <f>IF(AM$4="","",IF(HLOOKUP(AM$4,'Physical Effects-Numbers'!$B$1:$AU$172,$B113,FALSE)&lt;0,HLOOKUP(AM$4,'Physical Effects-Numbers'!$B$1:$AU$172,$B113,FALSE),""))</f>
        <v>-2</v>
      </c>
      <c r="AN113" s="488">
        <f>IF(AN$4="","",IF(HLOOKUP(AN$4,'Physical Effects-Numbers'!$B$1:$AU$172,$B113,FALSE)&lt;0,HLOOKUP(AN$4,'Physical Effects-Numbers'!$B$1:$AU$172,$B113,FALSE),""))</f>
        <v>-2</v>
      </c>
      <c r="AO113" s="488" t="str">
        <f>IF(AO$4="","",IF(HLOOKUP(AO$4,'Physical Effects-Numbers'!$B$1:$AU$172,$B113,FALSE)&lt;0,HLOOKUP(AO$4,'Physical Effects-Numbers'!$B$1:$AU$172,$B113,FALSE),""))</f>
        <v/>
      </c>
      <c r="AP113" s="488">
        <f>IF(AP$4="","",IF(HLOOKUP(AP$4,'Physical Effects-Numbers'!$B$1:$AU$172,$B113,FALSE)&lt;0,HLOOKUP(AP$4,'Physical Effects-Numbers'!$B$1:$AU$172,$B113,FALSE),""))</f>
        <v>-2</v>
      </c>
      <c r="AQ113" s="488" t="str">
        <f>IF(AQ$4="","",IF(HLOOKUP(AQ$4,'Physical Effects-Numbers'!$B$1:$AU$172,$B113,FALSE)&lt;0,HLOOKUP(AQ$4,'Physical Effects-Numbers'!$B$1:$AU$172,$B113,FALSE),""))</f>
        <v/>
      </c>
      <c r="AR113" s="488" t="str">
        <f>IF(AR$4="","",IF(HLOOKUP(AR$4,'Physical Effects-Numbers'!$B$1:$AU$172,$B113,FALSE)&lt;0,HLOOKUP(AR$4,'Physical Effects-Numbers'!$B$1:$AU$172,$B113,FALSE),""))</f>
        <v/>
      </c>
      <c r="AS113" s="488" t="str">
        <f>IF(AS$4="","",IF(HLOOKUP(AS$4,'Physical Effects-Numbers'!$B$1:$AU$172,$B113,FALSE)&lt;0,HLOOKUP(AS$4,'Physical Effects-Numbers'!$B$1:$AU$172,$B113,FALSE),""))</f>
        <v/>
      </c>
      <c r="AT113" s="488" t="str">
        <f>IF(AT$4="","",IF(HLOOKUP(AT$4,'Physical Effects-Numbers'!$B$1:$AU$172,$B113,FALSE)&lt;0,HLOOKUP(AT$4,'Physical Effects-Numbers'!$B$1:$AU$172,$B113,FALSE),""))</f>
        <v/>
      </c>
      <c r="AU113" s="488" t="str">
        <f>IF(AU$4="","",IF(HLOOKUP(AU$4,'Physical Effects-Numbers'!$B$1:$AU$172,$B113,FALSE)&lt;0,HLOOKUP(AU$4,'Physical Effects-Numbers'!$B$1:$AU$172,$B113,FALSE),""))</f>
        <v/>
      </c>
      <c r="AV113" s="488" t="str">
        <f>IF(AV$4="","",IF(HLOOKUP(AV$4,'Physical Effects-Numbers'!$B$1:$AU$167,$B113,FALSE)&lt;0,HLOOKUP(AV$4,'Physical Effects-Numbers'!$B$1:$AU$167,$B113,FALSE),""))</f>
        <v/>
      </c>
    </row>
    <row r="114" spans="2:48" x14ac:dyDescent="0.2">
      <c r="B114" s="487">
        <f t="shared" si="1"/>
        <v>111</v>
      </c>
      <c r="C114" s="486" t="str">
        <f>+'Physical Effects-Numbers'!B111</f>
        <v>Residue and Tillage Management, No Till</v>
      </c>
      <c r="D114" s="488" t="str">
        <f>IF(D$4="","",IF(HLOOKUP(D$4,'Physical Effects-Numbers'!$B$1:$AU$172,$B114,FALSE)&lt;0,HLOOKUP(D$4,'Physical Effects-Numbers'!$B$1:$AU$172,$B114,FALSE),""))</f>
        <v/>
      </c>
      <c r="E114" s="488" t="str">
        <f>IF(E$4="","",IF(HLOOKUP(E$4,'Physical Effects-Numbers'!$B$1:$AU$172,$B114,FALSE)&lt;0,HLOOKUP(E$4,'Physical Effects-Numbers'!$B$1:$AU$172,$B114,FALSE),""))</f>
        <v/>
      </c>
      <c r="F114" s="488" t="str">
        <f>IF(F$4="","",IF(HLOOKUP(F$4,'Physical Effects-Numbers'!$B$1:$AU$172,$B114,FALSE)&lt;0,HLOOKUP(F$4,'Physical Effects-Numbers'!$B$1:$AU$172,$B114,FALSE),""))</f>
        <v/>
      </c>
      <c r="G114" s="488" t="str">
        <f>IF(G$4="","",IF(HLOOKUP(G$4,'Physical Effects-Numbers'!$B$1:$AU$172,$B114,FALSE)&lt;0,HLOOKUP(G$4,'Physical Effects-Numbers'!$B$1:$AU$172,$B114,FALSE),""))</f>
        <v/>
      </c>
      <c r="H114" s="488" t="str">
        <f>IF(H$4="","",IF(HLOOKUP(H$4,'Physical Effects-Numbers'!$B$1:$AU$172,$B114,FALSE)&lt;0,HLOOKUP(H$4,'Physical Effects-Numbers'!$B$1:$AU$172,$B114,FALSE),""))</f>
        <v/>
      </c>
      <c r="I114" s="488" t="str">
        <f>IF(I$4="","",IF(HLOOKUP(I$4,'Physical Effects-Numbers'!$B$1:$AU$172,$B114,FALSE)&lt;0,HLOOKUP(I$4,'Physical Effects-Numbers'!$B$1:$AU$172,$B114,FALSE),""))</f>
        <v/>
      </c>
      <c r="J114" s="488" t="str">
        <f>IF(J$4="","",IF(HLOOKUP(J$4,'Physical Effects-Numbers'!$B$1:$AU$172,$B114,FALSE)&lt;0,HLOOKUP(J$4,'Physical Effects-Numbers'!$B$1:$AU$172,$B114,FALSE),""))</f>
        <v/>
      </c>
      <c r="K114" s="488" t="str">
        <f>IF(K$4="","",IF(HLOOKUP(K$4,'Physical Effects-Numbers'!$B$1:$AU$172,$B114,FALSE)&lt;0,HLOOKUP(K$4,'Physical Effects-Numbers'!$B$1:$AU$172,$B114,FALSE),""))</f>
        <v/>
      </c>
      <c r="L114" s="488" t="str">
        <f>IF(L$4="","",IF(HLOOKUP(L$4,'Physical Effects-Numbers'!$B$1:$AU$172,$B114,FALSE)&lt;0,HLOOKUP(L$4,'Physical Effects-Numbers'!$B$1:$AU$172,$B114,FALSE),""))</f>
        <v/>
      </c>
      <c r="M114" s="488">
        <f>IF(M$4="","",IF(HLOOKUP(M$4,'Physical Effects-Numbers'!$B$1:$AU$172,$B114,FALSE)&lt;0,HLOOKUP(M$4,'Physical Effects-Numbers'!$B$1:$AU$172,$B114,FALSE),""))</f>
        <v>-1</v>
      </c>
      <c r="N114" s="488" t="str">
        <f>IF(N$4="","",IF(HLOOKUP(N$4,'Physical Effects-Numbers'!$B$1:$AU$172,$B114,FALSE)&lt;0,HLOOKUP(N$4,'Physical Effects-Numbers'!$B$1:$AU$172,$B114,FALSE),""))</f>
        <v/>
      </c>
      <c r="O114" s="488">
        <f>IF(O$4="","",IF(HLOOKUP(O$4,'Physical Effects-Numbers'!$B$1:$AU$172,$B114,FALSE)&lt;0,HLOOKUP(O$4,'Physical Effects-Numbers'!$B$1:$AU$172,$B114,FALSE),""))</f>
        <v>-1</v>
      </c>
      <c r="P114" s="488" t="str">
        <f>IF(P$4="","",IF(HLOOKUP(P$4,'Physical Effects-Numbers'!$B$1:$AU$172,$B114,FALSE)&lt;0,HLOOKUP(P$4,'Physical Effects-Numbers'!$B$1:$AU$172,$B114,FALSE),""))</f>
        <v/>
      </c>
      <c r="Q114" s="488" t="str">
        <f>IF(Q$4="","",IF(HLOOKUP(Q$4,'Physical Effects-Numbers'!$B$1:$AU$172,$B114,FALSE)&lt;0,HLOOKUP(Q$4,'Physical Effects-Numbers'!$B$1:$AU$172,$B114,FALSE),""))</f>
        <v/>
      </c>
      <c r="R114" s="488" t="str">
        <f>IF(R$4="","",IF(HLOOKUP(R$4,'Physical Effects-Numbers'!$B$1:$AU$172,$B114,FALSE)&lt;0,HLOOKUP(R$4,'Physical Effects-Numbers'!$B$1:$AU$172,$B114,FALSE),""))</f>
        <v/>
      </c>
      <c r="S114" s="488" t="str">
        <f>IF(S$4="","",IF(HLOOKUP(S$4,'Physical Effects-Numbers'!$B$1:$AU$172,$B114,FALSE)&lt;0,HLOOKUP(S$4,'Physical Effects-Numbers'!$B$1:$AU$172,$B114,FALSE),""))</f>
        <v/>
      </c>
      <c r="T114" s="488" t="str">
        <f>IF(T$4="","",IF(HLOOKUP(T$4,'Physical Effects-Numbers'!$B$1:$AU$172,$B114,FALSE)&lt;0,HLOOKUP(T$4,'Physical Effects-Numbers'!$B$1:$AU$172,$B114,FALSE),""))</f>
        <v/>
      </c>
      <c r="U114" s="488" t="str">
        <f>IF(U$4="","",IF(HLOOKUP(U$4,'Physical Effects-Numbers'!$B$1:$AU$172,$B114,FALSE)&lt;0,HLOOKUP(U$4,'Physical Effects-Numbers'!$B$1:$AU$172,$B114,FALSE),""))</f>
        <v/>
      </c>
      <c r="V114" s="488">
        <f>IF(V$4="","",IF(HLOOKUP(V$4,'Physical Effects-Numbers'!$B$1:$AU$172,$B114,FALSE)&lt;0,HLOOKUP(V$4,'Physical Effects-Numbers'!$B$1:$AU$172,$B114,FALSE),""))</f>
        <v>-1</v>
      </c>
      <c r="W114" s="488" t="str">
        <f>IF(W$4="","",IF(HLOOKUP(W$4,'Physical Effects-Numbers'!$B$1:$AU$172,$B114,FALSE)&lt;0,HLOOKUP(W$4,'Physical Effects-Numbers'!$B$1:$AU$172,$B114,FALSE),""))</f>
        <v/>
      </c>
      <c r="X114" s="488" t="str">
        <f>IF(X$4="","",IF(HLOOKUP(X$4,'Physical Effects-Numbers'!$B$1:$AU$172,$B114,FALSE)&lt;0,HLOOKUP(X$4,'Physical Effects-Numbers'!$B$1:$AU$172,$B114,FALSE),""))</f>
        <v/>
      </c>
      <c r="Y114" s="488" t="str">
        <f>IF(Y$4="","",IF(HLOOKUP(Y$4,'Physical Effects-Numbers'!$B$1:$AU$172,$B114,FALSE)&lt;0,HLOOKUP(Y$4,'Physical Effects-Numbers'!$B$1:$AU$172,$B114,FALSE),""))</f>
        <v/>
      </c>
      <c r="Z114" s="488" t="str">
        <f>IF(Z$4="","",IF(HLOOKUP(Z$4,'Physical Effects-Numbers'!$B$1:$AU$172,$B114,FALSE)&lt;0,HLOOKUP(Z$4,'Physical Effects-Numbers'!$B$1:$AU$172,$B114,FALSE),""))</f>
        <v/>
      </c>
      <c r="AA114" s="488" t="str">
        <f>IF(AA$4="","",IF(HLOOKUP(AA$4,'Physical Effects-Numbers'!$B$1:$AU$172,$B114,FALSE)&lt;0,HLOOKUP(AA$4,'Physical Effects-Numbers'!$B$1:$AU$172,$B114,FALSE),""))</f>
        <v/>
      </c>
      <c r="AB114" s="488" t="str">
        <f>IF(AB$4="","",IF(HLOOKUP(AB$4,'Physical Effects-Numbers'!$B$1:$AU$172,$B114,FALSE)&lt;0,HLOOKUP(AB$4,'Physical Effects-Numbers'!$B$1:$AU$172,$B114,FALSE),""))</f>
        <v/>
      </c>
      <c r="AC114" s="488" t="str">
        <f>IF(AC$4="","",IF(HLOOKUP(AC$4,'Physical Effects-Numbers'!$B$1:$AU$172,$B114,FALSE)&lt;0,HLOOKUP(AC$4,'Physical Effects-Numbers'!$B$1:$AU$172,$B114,FALSE),""))</f>
        <v/>
      </c>
      <c r="AD114" s="488" t="str">
        <f>IF(AD$4="","",IF(HLOOKUP(AD$4,'Physical Effects-Numbers'!$B$1:$AU$172,$B114,FALSE)&lt;0,HLOOKUP(AD$4,'Physical Effects-Numbers'!$B$1:$AU$172,$B114,FALSE),""))</f>
        <v/>
      </c>
      <c r="AE114" s="488" t="str">
        <f>IF(AE$4="","",IF(HLOOKUP(AE$4,'Physical Effects-Numbers'!$B$1:$AU$172,$B114,FALSE)&lt;0,HLOOKUP(AE$4,'Physical Effects-Numbers'!$B$1:$AU$172,$B114,FALSE),""))</f>
        <v/>
      </c>
      <c r="AF114" s="488" t="str">
        <f>IF(AF$4="","",IF(HLOOKUP(AF$4,'Physical Effects-Numbers'!$B$1:$AU$172,$B114,FALSE)&lt;0,HLOOKUP(AF$4,'Physical Effects-Numbers'!$B$1:$AU$172,$B114,FALSE),""))</f>
        <v/>
      </c>
      <c r="AG114" s="488" t="str">
        <f>IF(AG$4="","",IF(HLOOKUP(AG$4,'Physical Effects-Numbers'!$B$1:$AU$172,$B114,FALSE)&lt;0,HLOOKUP(AG$4,'Physical Effects-Numbers'!$B$1:$AU$172,$B114,FALSE),""))</f>
        <v/>
      </c>
      <c r="AH114" s="488" t="str">
        <f>IF(AH$4="","",IF(HLOOKUP(AH$4,'Physical Effects-Numbers'!$B$1:$AU$172,$B114,FALSE)&lt;0,HLOOKUP(AH$4,'Physical Effects-Numbers'!$B$1:$AU$172,$B114,FALSE),""))</f>
        <v/>
      </c>
      <c r="AI114" s="488" t="str">
        <f>IF(AI$4="","",IF(HLOOKUP(AI$4,'Physical Effects-Numbers'!$B$1:$AU$172,$B114,FALSE)&lt;0,HLOOKUP(AI$4,'Physical Effects-Numbers'!$B$1:$AU$172,$B114,FALSE),""))</f>
        <v/>
      </c>
      <c r="AJ114" s="488" t="str">
        <f>IF(AJ$4="","",IF(HLOOKUP(AJ$4,'Physical Effects-Numbers'!$B$1:$AU$172,$B114,FALSE)&lt;0,HLOOKUP(AJ$4,'Physical Effects-Numbers'!$B$1:$AU$172,$B114,FALSE),""))</f>
        <v/>
      </c>
      <c r="AK114" s="488" t="str">
        <f>IF(AK$4="","",IF(HLOOKUP(AK$4,'Physical Effects-Numbers'!$B$1:$AU$172,$B114,FALSE)&lt;0,HLOOKUP(AK$4,'Physical Effects-Numbers'!$B$1:$AU$172,$B114,FALSE),""))</f>
        <v/>
      </c>
      <c r="AL114" s="488" t="str">
        <f>IF(AL$4="","",IF(HLOOKUP(AL$4,'Physical Effects-Numbers'!$B$1:$AU$172,$B114,FALSE)&lt;0,HLOOKUP(AL$4,'Physical Effects-Numbers'!$B$1:$AU$172,$B114,FALSE),""))</f>
        <v/>
      </c>
      <c r="AM114" s="488" t="str">
        <f>IF(AM$4="","",IF(HLOOKUP(AM$4,'Physical Effects-Numbers'!$B$1:$AU$172,$B114,FALSE)&lt;0,HLOOKUP(AM$4,'Physical Effects-Numbers'!$B$1:$AU$172,$B114,FALSE),""))</f>
        <v/>
      </c>
      <c r="AN114" s="488" t="str">
        <f>IF(AN$4="","",IF(HLOOKUP(AN$4,'Physical Effects-Numbers'!$B$1:$AU$172,$B114,FALSE)&lt;0,HLOOKUP(AN$4,'Physical Effects-Numbers'!$B$1:$AU$172,$B114,FALSE),""))</f>
        <v/>
      </c>
      <c r="AO114" s="488" t="str">
        <f>IF(AO$4="","",IF(HLOOKUP(AO$4,'Physical Effects-Numbers'!$B$1:$AU$172,$B114,FALSE)&lt;0,HLOOKUP(AO$4,'Physical Effects-Numbers'!$B$1:$AU$172,$B114,FALSE),""))</f>
        <v/>
      </c>
      <c r="AP114" s="488" t="str">
        <f>IF(AP$4="","",IF(HLOOKUP(AP$4,'Physical Effects-Numbers'!$B$1:$AU$172,$B114,FALSE)&lt;0,HLOOKUP(AP$4,'Physical Effects-Numbers'!$B$1:$AU$172,$B114,FALSE),""))</f>
        <v/>
      </c>
      <c r="AQ114" s="488" t="str">
        <f>IF(AQ$4="","",IF(HLOOKUP(AQ$4,'Physical Effects-Numbers'!$B$1:$AU$172,$B114,FALSE)&lt;0,HLOOKUP(AQ$4,'Physical Effects-Numbers'!$B$1:$AU$172,$B114,FALSE),""))</f>
        <v/>
      </c>
      <c r="AR114" s="488" t="str">
        <f>IF(AR$4="","",IF(HLOOKUP(AR$4,'Physical Effects-Numbers'!$B$1:$AU$172,$B114,FALSE)&lt;0,HLOOKUP(AR$4,'Physical Effects-Numbers'!$B$1:$AU$172,$B114,FALSE),""))</f>
        <v/>
      </c>
      <c r="AS114" s="488" t="str">
        <f>IF(AS$4="","",IF(HLOOKUP(AS$4,'Physical Effects-Numbers'!$B$1:$AU$172,$B114,FALSE)&lt;0,HLOOKUP(AS$4,'Physical Effects-Numbers'!$B$1:$AU$172,$B114,FALSE),""))</f>
        <v/>
      </c>
      <c r="AT114" s="488" t="str">
        <f>IF(AT$4="","",IF(HLOOKUP(AT$4,'Physical Effects-Numbers'!$B$1:$AU$172,$B114,FALSE)&lt;0,HLOOKUP(AT$4,'Physical Effects-Numbers'!$B$1:$AU$172,$B114,FALSE),""))</f>
        <v/>
      </c>
      <c r="AU114" s="488" t="str">
        <f>IF(AU$4="","",IF(HLOOKUP(AU$4,'Physical Effects-Numbers'!$B$1:$AU$172,$B114,FALSE)&lt;0,HLOOKUP(AU$4,'Physical Effects-Numbers'!$B$1:$AU$172,$B114,FALSE),""))</f>
        <v/>
      </c>
      <c r="AV114" s="488" t="str">
        <f>IF(AV$4="","",IF(HLOOKUP(AV$4,'Physical Effects-Numbers'!$B$1:$AU$167,$B114,FALSE)&lt;0,HLOOKUP(AV$4,'Physical Effects-Numbers'!$B$1:$AU$167,$B114,FALSE),""))</f>
        <v/>
      </c>
    </row>
    <row r="115" spans="2:48" x14ac:dyDescent="0.2">
      <c r="B115" s="487">
        <f t="shared" si="1"/>
        <v>112</v>
      </c>
      <c r="C115" s="486" t="str">
        <f>+'Physical Effects-Numbers'!B112</f>
        <v>Residue and Tillage Management, Reduced Till</v>
      </c>
      <c r="D115" s="488" t="str">
        <f>IF(D$4="","",IF(HLOOKUP(D$4,'Physical Effects-Numbers'!$B$1:$AU$172,$B115,FALSE)&lt;0,HLOOKUP(D$4,'Physical Effects-Numbers'!$B$1:$AU$172,$B115,FALSE),""))</f>
        <v/>
      </c>
      <c r="E115" s="488" t="str">
        <f>IF(E$4="","",IF(HLOOKUP(E$4,'Physical Effects-Numbers'!$B$1:$AU$172,$B115,FALSE)&lt;0,HLOOKUP(E$4,'Physical Effects-Numbers'!$B$1:$AU$172,$B115,FALSE),""))</f>
        <v/>
      </c>
      <c r="F115" s="488" t="str">
        <f>IF(F$4="","",IF(HLOOKUP(F$4,'Physical Effects-Numbers'!$B$1:$AU$172,$B115,FALSE)&lt;0,HLOOKUP(F$4,'Physical Effects-Numbers'!$B$1:$AU$172,$B115,FALSE),""))</f>
        <v/>
      </c>
      <c r="G115" s="488" t="str">
        <f>IF(G$4="","",IF(HLOOKUP(G$4,'Physical Effects-Numbers'!$B$1:$AU$172,$B115,FALSE)&lt;0,HLOOKUP(G$4,'Physical Effects-Numbers'!$B$1:$AU$172,$B115,FALSE),""))</f>
        <v/>
      </c>
      <c r="H115" s="488" t="str">
        <f>IF(H$4="","",IF(HLOOKUP(H$4,'Physical Effects-Numbers'!$B$1:$AU$172,$B115,FALSE)&lt;0,HLOOKUP(H$4,'Physical Effects-Numbers'!$B$1:$AU$172,$B115,FALSE),""))</f>
        <v/>
      </c>
      <c r="I115" s="488" t="str">
        <f>IF(I$4="","",IF(HLOOKUP(I$4,'Physical Effects-Numbers'!$B$1:$AU$172,$B115,FALSE)&lt;0,HLOOKUP(I$4,'Physical Effects-Numbers'!$B$1:$AU$172,$B115,FALSE),""))</f>
        <v/>
      </c>
      <c r="J115" s="488" t="str">
        <f>IF(J$4="","",IF(HLOOKUP(J$4,'Physical Effects-Numbers'!$B$1:$AU$172,$B115,FALSE)&lt;0,HLOOKUP(J$4,'Physical Effects-Numbers'!$B$1:$AU$172,$B115,FALSE),""))</f>
        <v/>
      </c>
      <c r="K115" s="488" t="str">
        <f>IF(K$4="","",IF(HLOOKUP(K$4,'Physical Effects-Numbers'!$B$1:$AU$172,$B115,FALSE)&lt;0,HLOOKUP(K$4,'Physical Effects-Numbers'!$B$1:$AU$172,$B115,FALSE),""))</f>
        <v/>
      </c>
      <c r="L115" s="488" t="str">
        <f>IF(L$4="","",IF(HLOOKUP(L$4,'Physical Effects-Numbers'!$B$1:$AU$172,$B115,FALSE)&lt;0,HLOOKUP(L$4,'Physical Effects-Numbers'!$B$1:$AU$172,$B115,FALSE),""))</f>
        <v/>
      </c>
      <c r="M115" s="488" t="str">
        <f>IF(M$4="","",IF(HLOOKUP(M$4,'Physical Effects-Numbers'!$B$1:$AU$172,$B115,FALSE)&lt;0,HLOOKUP(M$4,'Physical Effects-Numbers'!$B$1:$AU$172,$B115,FALSE),""))</f>
        <v/>
      </c>
      <c r="N115" s="488" t="str">
        <f>IF(N$4="","",IF(HLOOKUP(N$4,'Physical Effects-Numbers'!$B$1:$AU$172,$B115,FALSE)&lt;0,HLOOKUP(N$4,'Physical Effects-Numbers'!$B$1:$AU$172,$B115,FALSE),""))</f>
        <v/>
      </c>
      <c r="O115" s="488" t="str">
        <f>IF(O$4="","",IF(HLOOKUP(O$4,'Physical Effects-Numbers'!$B$1:$AU$172,$B115,FALSE)&lt;0,HLOOKUP(O$4,'Physical Effects-Numbers'!$B$1:$AU$172,$B115,FALSE),""))</f>
        <v/>
      </c>
      <c r="P115" s="488" t="str">
        <f>IF(P$4="","",IF(HLOOKUP(P$4,'Physical Effects-Numbers'!$B$1:$AU$172,$B115,FALSE)&lt;0,HLOOKUP(P$4,'Physical Effects-Numbers'!$B$1:$AU$172,$B115,FALSE),""))</f>
        <v/>
      </c>
      <c r="Q115" s="488" t="str">
        <f>IF(Q$4="","",IF(HLOOKUP(Q$4,'Physical Effects-Numbers'!$B$1:$AU$172,$B115,FALSE)&lt;0,HLOOKUP(Q$4,'Physical Effects-Numbers'!$B$1:$AU$172,$B115,FALSE),""))</f>
        <v/>
      </c>
      <c r="R115" s="488" t="str">
        <f>IF(R$4="","",IF(HLOOKUP(R$4,'Physical Effects-Numbers'!$B$1:$AU$172,$B115,FALSE)&lt;0,HLOOKUP(R$4,'Physical Effects-Numbers'!$B$1:$AU$172,$B115,FALSE),""))</f>
        <v/>
      </c>
      <c r="S115" s="488" t="str">
        <f>IF(S$4="","",IF(HLOOKUP(S$4,'Physical Effects-Numbers'!$B$1:$AU$172,$B115,FALSE)&lt;0,HLOOKUP(S$4,'Physical Effects-Numbers'!$B$1:$AU$172,$B115,FALSE),""))</f>
        <v/>
      </c>
      <c r="T115" s="488" t="str">
        <f>IF(T$4="","",IF(HLOOKUP(T$4,'Physical Effects-Numbers'!$B$1:$AU$172,$B115,FALSE)&lt;0,HLOOKUP(T$4,'Physical Effects-Numbers'!$B$1:$AU$172,$B115,FALSE),""))</f>
        <v/>
      </c>
      <c r="U115" s="488" t="str">
        <f>IF(U$4="","",IF(HLOOKUP(U$4,'Physical Effects-Numbers'!$B$1:$AU$172,$B115,FALSE)&lt;0,HLOOKUP(U$4,'Physical Effects-Numbers'!$B$1:$AU$172,$B115,FALSE),""))</f>
        <v/>
      </c>
      <c r="V115" s="488" t="str">
        <f>IF(V$4="","",IF(HLOOKUP(V$4,'Physical Effects-Numbers'!$B$1:$AU$172,$B115,FALSE)&lt;0,HLOOKUP(V$4,'Physical Effects-Numbers'!$B$1:$AU$172,$B115,FALSE),""))</f>
        <v/>
      </c>
      <c r="W115" s="488" t="str">
        <f>IF(W$4="","",IF(HLOOKUP(W$4,'Physical Effects-Numbers'!$B$1:$AU$172,$B115,FALSE)&lt;0,HLOOKUP(W$4,'Physical Effects-Numbers'!$B$1:$AU$172,$B115,FALSE),""))</f>
        <v/>
      </c>
      <c r="X115" s="488" t="str">
        <f>IF(X$4="","",IF(HLOOKUP(X$4,'Physical Effects-Numbers'!$B$1:$AU$172,$B115,FALSE)&lt;0,HLOOKUP(X$4,'Physical Effects-Numbers'!$B$1:$AU$172,$B115,FALSE),""))</f>
        <v/>
      </c>
      <c r="Y115" s="488" t="str">
        <f>IF(Y$4="","",IF(HLOOKUP(Y$4,'Physical Effects-Numbers'!$B$1:$AU$172,$B115,FALSE)&lt;0,HLOOKUP(Y$4,'Physical Effects-Numbers'!$B$1:$AU$172,$B115,FALSE),""))</f>
        <v/>
      </c>
      <c r="Z115" s="488" t="str">
        <f>IF(Z$4="","",IF(HLOOKUP(Z$4,'Physical Effects-Numbers'!$B$1:$AU$172,$B115,FALSE)&lt;0,HLOOKUP(Z$4,'Physical Effects-Numbers'!$B$1:$AU$172,$B115,FALSE),""))</f>
        <v/>
      </c>
      <c r="AA115" s="488" t="str">
        <f>IF(AA$4="","",IF(HLOOKUP(AA$4,'Physical Effects-Numbers'!$B$1:$AU$172,$B115,FALSE)&lt;0,HLOOKUP(AA$4,'Physical Effects-Numbers'!$B$1:$AU$172,$B115,FALSE),""))</f>
        <v/>
      </c>
      <c r="AB115" s="488" t="str">
        <f>IF(AB$4="","",IF(HLOOKUP(AB$4,'Physical Effects-Numbers'!$B$1:$AU$172,$B115,FALSE)&lt;0,HLOOKUP(AB$4,'Physical Effects-Numbers'!$B$1:$AU$172,$B115,FALSE),""))</f>
        <v/>
      </c>
      <c r="AC115" s="488" t="str">
        <f>IF(AC$4="","",IF(HLOOKUP(AC$4,'Physical Effects-Numbers'!$B$1:$AU$172,$B115,FALSE)&lt;0,HLOOKUP(AC$4,'Physical Effects-Numbers'!$B$1:$AU$172,$B115,FALSE),""))</f>
        <v/>
      </c>
      <c r="AD115" s="488" t="str">
        <f>IF(AD$4="","",IF(HLOOKUP(AD$4,'Physical Effects-Numbers'!$B$1:$AU$172,$B115,FALSE)&lt;0,HLOOKUP(AD$4,'Physical Effects-Numbers'!$B$1:$AU$172,$B115,FALSE),""))</f>
        <v/>
      </c>
      <c r="AE115" s="488" t="str">
        <f>IF(AE$4="","",IF(HLOOKUP(AE$4,'Physical Effects-Numbers'!$B$1:$AU$172,$B115,FALSE)&lt;0,HLOOKUP(AE$4,'Physical Effects-Numbers'!$B$1:$AU$172,$B115,FALSE),""))</f>
        <v/>
      </c>
      <c r="AF115" s="488" t="str">
        <f>IF(AF$4="","",IF(HLOOKUP(AF$4,'Physical Effects-Numbers'!$B$1:$AU$172,$B115,FALSE)&lt;0,HLOOKUP(AF$4,'Physical Effects-Numbers'!$B$1:$AU$172,$B115,FALSE),""))</f>
        <v/>
      </c>
      <c r="AG115" s="488" t="str">
        <f>IF(AG$4="","",IF(HLOOKUP(AG$4,'Physical Effects-Numbers'!$B$1:$AU$172,$B115,FALSE)&lt;0,HLOOKUP(AG$4,'Physical Effects-Numbers'!$B$1:$AU$172,$B115,FALSE),""))</f>
        <v/>
      </c>
      <c r="AH115" s="488" t="str">
        <f>IF(AH$4="","",IF(HLOOKUP(AH$4,'Physical Effects-Numbers'!$B$1:$AU$172,$B115,FALSE)&lt;0,HLOOKUP(AH$4,'Physical Effects-Numbers'!$B$1:$AU$172,$B115,FALSE),""))</f>
        <v/>
      </c>
      <c r="AI115" s="488" t="str">
        <f>IF(AI$4="","",IF(HLOOKUP(AI$4,'Physical Effects-Numbers'!$B$1:$AU$172,$B115,FALSE)&lt;0,HLOOKUP(AI$4,'Physical Effects-Numbers'!$B$1:$AU$172,$B115,FALSE),""))</f>
        <v/>
      </c>
      <c r="AJ115" s="488" t="str">
        <f>IF(AJ$4="","",IF(HLOOKUP(AJ$4,'Physical Effects-Numbers'!$B$1:$AU$172,$B115,FALSE)&lt;0,HLOOKUP(AJ$4,'Physical Effects-Numbers'!$B$1:$AU$172,$B115,FALSE),""))</f>
        <v/>
      </c>
      <c r="AK115" s="488" t="str">
        <f>IF(AK$4="","",IF(HLOOKUP(AK$4,'Physical Effects-Numbers'!$B$1:$AU$172,$B115,FALSE)&lt;0,HLOOKUP(AK$4,'Physical Effects-Numbers'!$B$1:$AU$172,$B115,FALSE),""))</f>
        <v/>
      </c>
      <c r="AL115" s="488" t="str">
        <f>IF(AL$4="","",IF(HLOOKUP(AL$4,'Physical Effects-Numbers'!$B$1:$AU$172,$B115,FALSE)&lt;0,HLOOKUP(AL$4,'Physical Effects-Numbers'!$B$1:$AU$172,$B115,FALSE),""))</f>
        <v/>
      </c>
      <c r="AM115" s="488" t="str">
        <f>IF(AM$4="","",IF(HLOOKUP(AM$4,'Physical Effects-Numbers'!$B$1:$AU$172,$B115,FALSE)&lt;0,HLOOKUP(AM$4,'Physical Effects-Numbers'!$B$1:$AU$172,$B115,FALSE),""))</f>
        <v/>
      </c>
      <c r="AN115" s="488" t="str">
        <f>IF(AN$4="","",IF(HLOOKUP(AN$4,'Physical Effects-Numbers'!$B$1:$AU$172,$B115,FALSE)&lt;0,HLOOKUP(AN$4,'Physical Effects-Numbers'!$B$1:$AU$172,$B115,FALSE),""))</f>
        <v/>
      </c>
      <c r="AO115" s="488" t="str">
        <f>IF(AO$4="","",IF(HLOOKUP(AO$4,'Physical Effects-Numbers'!$B$1:$AU$172,$B115,FALSE)&lt;0,HLOOKUP(AO$4,'Physical Effects-Numbers'!$B$1:$AU$172,$B115,FALSE),""))</f>
        <v/>
      </c>
      <c r="AP115" s="488" t="str">
        <f>IF(AP$4="","",IF(HLOOKUP(AP$4,'Physical Effects-Numbers'!$B$1:$AU$172,$B115,FALSE)&lt;0,HLOOKUP(AP$4,'Physical Effects-Numbers'!$B$1:$AU$172,$B115,FALSE),""))</f>
        <v/>
      </c>
      <c r="AQ115" s="488" t="str">
        <f>IF(AQ$4="","",IF(HLOOKUP(AQ$4,'Physical Effects-Numbers'!$B$1:$AU$172,$B115,FALSE)&lt;0,HLOOKUP(AQ$4,'Physical Effects-Numbers'!$B$1:$AU$172,$B115,FALSE),""))</f>
        <v/>
      </c>
      <c r="AR115" s="488" t="str">
        <f>IF(AR$4="","",IF(HLOOKUP(AR$4,'Physical Effects-Numbers'!$B$1:$AU$172,$B115,FALSE)&lt;0,HLOOKUP(AR$4,'Physical Effects-Numbers'!$B$1:$AU$172,$B115,FALSE),""))</f>
        <v/>
      </c>
      <c r="AS115" s="488" t="str">
        <f>IF(AS$4="","",IF(HLOOKUP(AS$4,'Physical Effects-Numbers'!$B$1:$AU$172,$B115,FALSE)&lt;0,HLOOKUP(AS$4,'Physical Effects-Numbers'!$B$1:$AU$172,$B115,FALSE),""))</f>
        <v/>
      </c>
      <c r="AT115" s="488" t="str">
        <f>IF(AT$4="","",IF(HLOOKUP(AT$4,'Physical Effects-Numbers'!$B$1:$AU$172,$B115,FALSE)&lt;0,HLOOKUP(AT$4,'Physical Effects-Numbers'!$B$1:$AU$172,$B115,FALSE),""))</f>
        <v/>
      </c>
      <c r="AU115" s="488" t="str">
        <f>IF(AU$4="","",IF(HLOOKUP(AU$4,'Physical Effects-Numbers'!$B$1:$AU$172,$B115,FALSE)&lt;0,HLOOKUP(AU$4,'Physical Effects-Numbers'!$B$1:$AU$172,$B115,FALSE),""))</f>
        <v/>
      </c>
      <c r="AV115" s="488" t="str">
        <f>IF(AV$4="","",IF(HLOOKUP(AV$4,'Physical Effects-Numbers'!$B$1:$AU$167,$B115,FALSE)&lt;0,HLOOKUP(AV$4,'Physical Effects-Numbers'!$B$1:$AU$167,$B115,FALSE),""))</f>
        <v/>
      </c>
    </row>
    <row r="116" spans="2:48" x14ac:dyDescent="0.2">
      <c r="B116" s="487">
        <f t="shared" si="1"/>
        <v>113</v>
      </c>
      <c r="C116" s="486" t="str">
        <f>+'Physical Effects-Numbers'!B113</f>
        <v>Restoration and Management of Rare or Declining Habitats</v>
      </c>
      <c r="D116" s="488" t="str">
        <f>IF(D$4="","",IF(HLOOKUP(D$4,'Physical Effects-Numbers'!$B$1:$AU$172,$B116,FALSE)&lt;0,HLOOKUP(D$4,'Physical Effects-Numbers'!$B$1:$AU$172,$B116,FALSE),""))</f>
        <v/>
      </c>
      <c r="E116" s="488" t="str">
        <f>IF(E$4="","",IF(HLOOKUP(E$4,'Physical Effects-Numbers'!$B$1:$AU$172,$B116,FALSE)&lt;0,HLOOKUP(E$4,'Physical Effects-Numbers'!$B$1:$AU$172,$B116,FALSE),""))</f>
        <v/>
      </c>
      <c r="F116" s="488" t="str">
        <f>IF(F$4="","",IF(HLOOKUP(F$4,'Physical Effects-Numbers'!$B$1:$AU$172,$B116,FALSE)&lt;0,HLOOKUP(F$4,'Physical Effects-Numbers'!$B$1:$AU$172,$B116,FALSE),""))</f>
        <v/>
      </c>
      <c r="G116" s="488" t="str">
        <f>IF(G$4="","",IF(HLOOKUP(G$4,'Physical Effects-Numbers'!$B$1:$AU$172,$B116,FALSE)&lt;0,HLOOKUP(G$4,'Physical Effects-Numbers'!$B$1:$AU$172,$B116,FALSE),""))</f>
        <v/>
      </c>
      <c r="H116" s="488" t="str">
        <f>IF(H$4="","",IF(HLOOKUP(H$4,'Physical Effects-Numbers'!$B$1:$AU$172,$B116,FALSE)&lt;0,HLOOKUP(H$4,'Physical Effects-Numbers'!$B$1:$AU$172,$B116,FALSE),""))</f>
        <v/>
      </c>
      <c r="I116" s="488" t="str">
        <f>IF(I$4="","",IF(HLOOKUP(I$4,'Physical Effects-Numbers'!$B$1:$AU$172,$B116,FALSE)&lt;0,HLOOKUP(I$4,'Physical Effects-Numbers'!$B$1:$AU$172,$B116,FALSE),""))</f>
        <v/>
      </c>
      <c r="J116" s="488" t="str">
        <f>IF(J$4="","",IF(HLOOKUP(J$4,'Physical Effects-Numbers'!$B$1:$AU$172,$B116,FALSE)&lt;0,HLOOKUP(J$4,'Physical Effects-Numbers'!$B$1:$AU$172,$B116,FALSE),""))</f>
        <v/>
      </c>
      <c r="K116" s="488" t="str">
        <f>IF(K$4="","",IF(HLOOKUP(K$4,'Physical Effects-Numbers'!$B$1:$AU$172,$B116,FALSE)&lt;0,HLOOKUP(K$4,'Physical Effects-Numbers'!$B$1:$AU$172,$B116,FALSE),""))</f>
        <v/>
      </c>
      <c r="L116" s="488">
        <f>IF(L$4="","",IF(HLOOKUP(L$4,'Physical Effects-Numbers'!$B$1:$AU$172,$B116,FALSE)&lt;0,HLOOKUP(L$4,'Physical Effects-Numbers'!$B$1:$AU$172,$B116,FALSE),""))</f>
        <v>-1</v>
      </c>
      <c r="M116" s="488" t="str">
        <f>IF(M$4="","",IF(HLOOKUP(M$4,'Physical Effects-Numbers'!$B$1:$AU$172,$B116,FALSE)&lt;0,HLOOKUP(M$4,'Physical Effects-Numbers'!$B$1:$AU$172,$B116,FALSE),""))</f>
        <v/>
      </c>
      <c r="N116" s="488" t="str">
        <f>IF(N$4="","",IF(HLOOKUP(N$4,'Physical Effects-Numbers'!$B$1:$AU$172,$B116,FALSE)&lt;0,HLOOKUP(N$4,'Physical Effects-Numbers'!$B$1:$AU$172,$B116,FALSE),""))</f>
        <v/>
      </c>
      <c r="O116" s="488" t="str">
        <f>IF(O$4="","",IF(HLOOKUP(O$4,'Physical Effects-Numbers'!$B$1:$AU$172,$B116,FALSE)&lt;0,HLOOKUP(O$4,'Physical Effects-Numbers'!$B$1:$AU$172,$B116,FALSE),""))</f>
        <v/>
      </c>
      <c r="P116" s="488" t="str">
        <f>IF(P$4="","",IF(HLOOKUP(P$4,'Physical Effects-Numbers'!$B$1:$AU$172,$B116,FALSE)&lt;0,HLOOKUP(P$4,'Physical Effects-Numbers'!$B$1:$AU$172,$B116,FALSE),""))</f>
        <v/>
      </c>
      <c r="Q116" s="488" t="str">
        <f>IF(Q$4="","",IF(HLOOKUP(Q$4,'Physical Effects-Numbers'!$B$1:$AU$172,$B116,FALSE)&lt;0,HLOOKUP(Q$4,'Physical Effects-Numbers'!$B$1:$AU$172,$B116,FALSE),""))</f>
        <v/>
      </c>
      <c r="R116" s="488" t="str">
        <f>IF(R$4="","",IF(HLOOKUP(R$4,'Physical Effects-Numbers'!$B$1:$AU$172,$B116,FALSE)&lt;0,HLOOKUP(R$4,'Physical Effects-Numbers'!$B$1:$AU$172,$B116,FALSE),""))</f>
        <v/>
      </c>
      <c r="S116" s="488" t="str">
        <f>IF(S$4="","",IF(HLOOKUP(S$4,'Physical Effects-Numbers'!$B$1:$AU$172,$B116,FALSE)&lt;0,HLOOKUP(S$4,'Physical Effects-Numbers'!$B$1:$AU$172,$B116,FALSE),""))</f>
        <v/>
      </c>
      <c r="T116" s="488" t="str">
        <f>IF(T$4="","",IF(HLOOKUP(T$4,'Physical Effects-Numbers'!$B$1:$AU$172,$B116,FALSE)&lt;0,HLOOKUP(T$4,'Physical Effects-Numbers'!$B$1:$AU$172,$B116,FALSE),""))</f>
        <v/>
      </c>
      <c r="U116" s="488" t="str">
        <f>IF(U$4="","",IF(HLOOKUP(U$4,'Physical Effects-Numbers'!$B$1:$AU$172,$B116,FALSE)&lt;0,HLOOKUP(U$4,'Physical Effects-Numbers'!$B$1:$AU$172,$B116,FALSE),""))</f>
        <v/>
      </c>
      <c r="V116" s="488" t="str">
        <f>IF(V$4="","",IF(HLOOKUP(V$4,'Physical Effects-Numbers'!$B$1:$AU$172,$B116,FALSE)&lt;0,HLOOKUP(V$4,'Physical Effects-Numbers'!$B$1:$AU$172,$B116,FALSE),""))</f>
        <v/>
      </c>
      <c r="W116" s="488" t="str">
        <f>IF(W$4="","",IF(HLOOKUP(W$4,'Physical Effects-Numbers'!$B$1:$AU$172,$B116,FALSE)&lt;0,HLOOKUP(W$4,'Physical Effects-Numbers'!$B$1:$AU$172,$B116,FALSE),""))</f>
        <v/>
      </c>
      <c r="X116" s="488" t="str">
        <f>IF(X$4="","",IF(HLOOKUP(X$4,'Physical Effects-Numbers'!$B$1:$AU$172,$B116,FALSE)&lt;0,HLOOKUP(X$4,'Physical Effects-Numbers'!$B$1:$AU$172,$B116,FALSE),""))</f>
        <v/>
      </c>
      <c r="Y116" s="488" t="str">
        <f>IF(Y$4="","",IF(HLOOKUP(Y$4,'Physical Effects-Numbers'!$B$1:$AU$172,$B116,FALSE)&lt;0,HLOOKUP(Y$4,'Physical Effects-Numbers'!$B$1:$AU$172,$B116,FALSE),""))</f>
        <v/>
      </c>
      <c r="Z116" s="488" t="str">
        <f>IF(Z$4="","",IF(HLOOKUP(Z$4,'Physical Effects-Numbers'!$B$1:$AU$172,$B116,FALSE)&lt;0,HLOOKUP(Z$4,'Physical Effects-Numbers'!$B$1:$AU$172,$B116,FALSE),""))</f>
        <v/>
      </c>
      <c r="AA116" s="488" t="str">
        <f>IF(AA$4="","",IF(HLOOKUP(AA$4,'Physical Effects-Numbers'!$B$1:$AU$172,$B116,FALSE)&lt;0,HLOOKUP(AA$4,'Physical Effects-Numbers'!$B$1:$AU$172,$B116,FALSE),""))</f>
        <v/>
      </c>
      <c r="AB116" s="488" t="str">
        <f>IF(AB$4="","",IF(HLOOKUP(AB$4,'Physical Effects-Numbers'!$B$1:$AU$172,$B116,FALSE)&lt;0,HLOOKUP(AB$4,'Physical Effects-Numbers'!$B$1:$AU$172,$B116,FALSE),""))</f>
        <v/>
      </c>
      <c r="AC116" s="488" t="str">
        <f>IF(AC$4="","",IF(HLOOKUP(AC$4,'Physical Effects-Numbers'!$B$1:$AU$172,$B116,FALSE)&lt;0,HLOOKUP(AC$4,'Physical Effects-Numbers'!$B$1:$AU$172,$B116,FALSE),""))</f>
        <v/>
      </c>
      <c r="AD116" s="488" t="str">
        <f>IF(AD$4="","",IF(HLOOKUP(AD$4,'Physical Effects-Numbers'!$B$1:$AU$172,$B116,FALSE)&lt;0,HLOOKUP(AD$4,'Physical Effects-Numbers'!$B$1:$AU$172,$B116,FALSE),""))</f>
        <v/>
      </c>
      <c r="AE116" s="488" t="str">
        <f>IF(AE$4="","",IF(HLOOKUP(AE$4,'Physical Effects-Numbers'!$B$1:$AU$172,$B116,FALSE)&lt;0,HLOOKUP(AE$4,'Physical Effects-Numbers'!$B$1:$AU$172,$B116,FALSE),""))</f>
        <v/>
      </c>
      <c r="AF116" s="488" t="str">
        <f>IF(AF$4="","",IF(HLOOKUP(AF$4,'Physical Effects-Numbers'!$B$1:$AU$172,$B116,FALSE)&lt;0,HLOOKUP(AF$4,'Physical Effects-Numbers'!$B$1:$AU$172,$B116,FALSE),""))</f>
        <v/>
      </c>
      <c r="AG116" s="488" t="str">
        <f>IF(AG$4="","",IF(HLOOKUP(AG$4,'Physical Effects-Numbers'!$B$1:$AU$172,$B116,FALSE)&lt;0,HLOOKUP(AG$4,'Physical Effects-Numbers'!$B$1:$AU$172,$B116,FALSE),""))</f>
        <v/>
      </c>
      <c r="AH116" s="488" t="str">
        <f>IF(AH$4="","",IF(HLOOKUP(AH$4,'Physical Effects-Numbers'!$B$1:$AU$172,$B116,FALSE)&lt;0,HLOOKUP(AH$4,'Physical Effects-Numbers'!$B$1:$AU$172,$B116,FALSE),""))</f>
        <v/>
      </c>
      <c r="AI116" s="488" t="str">
        <f>IF(AI$4="","",IF(HLOOKUP(AI$4,'Physical Effects-Numbers'!$B$1:$AU$172,$B116,FALSE)&lt;0,HLOOKUP(AI$4,'Physical Effects-Numbers'!$B$1:$AU$172,$B116,FALSE),""))</f>
        <v/>
      </c>
      <c r="AJ116" s="488" t="str">
        <f>IF(AJ$4="","",IF(HLOOKUP(AJ$4,'Physical Effects-Numbers'!$B$1:$AU$172,$B116,FALSE)&lt;0,HLOOKUP(AJ$4,'Physical Effects-Numbers'!$B$1:$AU$172,$B116,FALSE),""))</f>
        <v/>
      </c>
      <c r="AK116" s="488" t="str">
        <f>IF(AK$4="","",IF(HLOOKUP(AK$4,'Physical Effects-Numbers'!$B$1:$AU$172,$B116,FALSE)&lt;0,HLOOKUP(AK$4,'Physical Effects-Numbers'!$B$1:$AU$172,$B116,FALSE),""))</f>
        <v/>
      </c>
      <c r="AL116" s="488" t="str">
        <f>IF(AL$4="","",IF(HLOOKUP(AL$4,'Physical Effects-Numbers'!$B$1:$AU$172,$B116,FALSE)&lt;0,HLOOKUP(AL$4,'Physical Effects-Numbers'!$B$1:$AU$172,$B116,FALSE),""))</f>
        <v/>
      </c>
      <c r="AM116" s="488" t="str">
        <f>IF(AM$4="","",IF(HLOOKUP(AM$4,'Physical Effects-Numbers'!$B$1:$AU$172,$B116,FALSE)&lt;0,HLOOKUP(AM$4,'Physical Effects-Numbers'!$B$1:$AU$172,$B116,FALSE),""))</f>
        <v/>
      </c>
      <c r="AN116" s="488" t="str">
        <f>IF(AN$4="","",IF(HLOOKUP(AN$4,'Physical Effects-Numbers'!$B$1:$AU$172,$B116,FALSE)&lt;0,HLOOKUP(AN$4,'Physical Effects-Numbers'!$B$1:$AU$172,$B116,FALSE),""))</f>
        <v/>
      </c>
      <c r="AO116" s="488" t="str">
        <f>IF(AO$4="","",IF(HLOOKUP(AO$4,'Physical Effects-Numbers'!$B$1:$AU$172,$B116,FALSE)&lt;0,HLOOKUP(AO$4,'Physical Effects-Numbers'!$B$1:$AU$172,$B116,FALSE),""))</f>
        <v/>
      </c>
      <c r="AP116" s="488" t="str">
        <f>IF(AP$4="","",IF(HLOOKUP(AP$4,'Physical Effects-Numbers'!$B$1:$AU$172,$B116,FALSE)&lt;0,HLOOKUP(AP$4,'Physical Effects-Numbers'!$B$1:$AU$172,$B116,FALSE),""))</f>
        <v/>
      </c>
      <c r="AQ116" s="488" t="str">
        <f>IF(AQ$4="","",IF(HLOOKUP(AQ$4,'Physical Effects-Numbers'!$B$1:$AU$172,$B116,FALSE)&lt;0,HLOOKUP(AQ$4,'Physical Effects-Numbers'!$B$1:$AU$172,$B116,FALSE),""))</f>
        <v/>
      </c>
      <c r="AR116" s="488" t="str">
        <f>IF(AR$4="","",IF(HLOOKUP(AR$4,'Physical Effects-Numbers'!$B$1:$AU$172,$B116,FALSE)&lt;0,HLOOKUP(AR$4,'Physical Effects-Numbers'!$B$1:$AU$172,$B116,FALSE),""))</f>
        <v/>
      </c>
      <c r="AS116" s="488" t="str">
        <f>IF(AS$4="","",IF(HLOOKUP(AS$4,'Physical Effects-Numbers'!$B$1:$AU$172,$B116,FALSE)&lt;0,HLOOKUP(AS$4,'Physical Effects-Numbers'!$B$1:$AU$172,$B116,FALSE),""))</f>
        <v/>
      </c>
      <c r="AT116" s="488" t="str">
        <f>IF(AT$4="","",IF(HLOOKUP(AT$4,'Physical Effects-Numbers'!$B$1:$AU$172,$B116,FALSE)&lt;0,HLOOKUP(AT$4,'Physical Effects-Numbers'!$B$1:$AU$172,$B116,FALSE),""))</f>
        <v/>
      </c>
      <c r="AU116" s="488" t="str">
        <f>IF(AU$4="","",IF(HLOOKUP(AU$4,'Physical Effects-Numbers'!$B$1:$AU$172,$B116,FALSE)&lt;0,HLOOKUP(AU$4,'Physical Effects-Numbers'!$B$1:$AU$172,$B116,FALSE),""))</f>
        <v/>
      </c>
      <c r="AV116" s="488" t="str">
        <f>IF(AV$4="","",IF(HLOOKUP(AV$4,'Physical Effects-Numbers'!$B$1:$AU$167,$B116,FALSE)&lt;0,HLOOKUP(AV$4,'Physical Effects-Numbers'!$B$1:$AU$167,$B116,FALSE),""))</f>
        <v/>
      </c>
    </row>
    <row r="117" spans="2:48" x14ac:dyDescent="0.2">
      <c r="B117" s="487">
        <f t="shared" si="1"/>
        <v>114</v>
      </c>
      <c r="C117" s="486" t="str">
        <f>+'Physical Effects-Numbers'!B114</f>
        <v>Riparian Forest Buffer</v>
      </c>
      <c r="D117" s="488" t="str">
        <f>IF(D$4="","",IF(HLOOKUP(D$4,'Physical Effects-Numbers'!$B$1:$AU$172,$B117,FALSE)&lt;0,HLOOKUP(D$4,'Physical Effects-Numbers'!$B$1:$AU$172,$B117,FALSE),""))</f>
        <v/>
      </c>
      <c r="E117" s="488" t="str">
        <f>IF(E$4="","",IF(HLOOKUP(E$4,'Physical Effects-Numbers'!$B$1:$AU$172,$B117,FALSE)&lt;0,HLOOKUP(E$4,'Physical Effects-Numbers'!$B$1:$AU$172,$B117,FALSE),""))</f>
        <v/>
      </c>
      <c r="F117" s="488" t="str">
        <f>IF(F$4="","",IF(HLOOKUP(F$4,'Physical Effects-Numbers'!$B$1:$AU$172,$B117,FALSE)&lt;0,HLOOKUP(F$4,'Physical Effects-Numbers'!$B$1:$AU$172,$B117,FALSE),""))</f>
        <v/>
      </c>
      <c r="G117" s="488" t="str">
        <f>IF(G$4="","",IF(HLOOKUP(G$4,'Physical Effects-Numbers'!$B$1:$AU$172,$B117,FALSE)&lt;0,HLOOKUP(G$4,'Physical Effects-Numbers'!$B$1:$AU$172,$B117,FALSE),""))</f>
        <v/>
      </c>
      <c r="H117" s="488" t="str">
        <f>IF(H$4="","",IF(HLOOKUP(H$4,'Physical Effects-Numbers'!$B$1:$AU$172,$B117,FALSE)&lt;0,HLOOKUP(H$4,'Physical Effects-Numbers'!$B$1:$AU$172,$B117,FALSE),""))</f>
        <v/>
      </c>
      <c r="I117" s="488" t="str">
        <f>IF(I$4="","",IF(HLOOKUP(I$4,'Physical Effects-Numbers'!$B$1:$AU$172,$B117,FALSE)&lt;0,HLOOKUP(I$4,'Physical Effects-Numbers'!$B$1:$AU$172,$B117,FALSE),""))</f>
        <v/>
      </c>
      <c r="J117" s="488" t="str">
        <f>IF(J$4="","",IF(HLOOKUP(J$4,'Physical Effects-Numbers'!$B$1:$AU$172,$B117,FALSE)&lt;0,HLOOKUP(J$4,'Physical Effects-Numbers'!$B$1:$AU$172,$B117,FALSE),""))</f>
        <v/>
      </c>
      <c r="K117" s="488" t="str">
        <f>IF(K$4="","",IF(HLOOKUP(K$4,'Physical Effects-Numbers'!$B$1:$AU$172,$B117,FALSE)&lt;0,HLOOKUP(K$4,'Physical Effects-Numbers'!$B$1:$AU$172,$B117,FALSE),""))</f>
        <v/>
      </c>
      <c r="L117" s="488" t="str">
        <f>IF(L$4="","",IF(HLOOKUP(L$4,'Physical Effects-Numbers'!$B$1:$AU$172,$B117,FALSE)&lt;0,HLOOKUP(L$4,'Physical Effects-Numbers'!$B$1:$AU$172,$B117,FALSE),""))</f>
        <v/>
      </c>
      <c r="M117" s="488" t="str">
        <f>IF(M$4="","",IF(HLOOKUP(M$4,'Physical Effects-Numbers'!$B$1:$AU$172,$B117,FALSE)&lt;0,HLOOKUP(M$4,'Physical Effects-Numbers'!$B$1:$AU$172,$B117,FALSE),""))</f>
        <v/>
      </c>
      <c r="N117" s="488">
        <f>IF(N$4="","",IF(HLOOKUP(N$4,'Physical Effects-Numbers'!$B$1:$AU$172,$B117,FALSE)&lt;0,HLOOKUP(N$4,'Physical Effects-Numbers'!$B$1:$AU$172,$B117,FALSE),""))</f>
        <v>-1</v>
      </c>
      <c r="O117" s="488" t="str">
        <f>IF(O$4="","",IF(HLOOKUP(O$4,'Physical Effects-Numbers'!$B$1:$AU$172,$B117,FALSE)&lt;0,HLOOKUP(O$4,'Physical Effects-Numbers'!$B$1:$AU$172,$B117,FALSE),""))</f>
        <v/>
      </c>
      <c r="P117" s="488" t="str">
        <f>IF(P$4="","",IF(HLOOKUP(P$4,'Physical Effects-Numbers'!$B$1:$AU$172,$B117,FALSE)&lt;0,HLOOKUP(P$4,'Physical Effects-Numbers'!$B$1:$AU$172,$B117,FALSE),""))</f>
        <v/>
      </c>
      <c r="Q117" s="488" t="str">
        <f>IF(Q$4="","",IF(HLOOKUP(Q$4,'Physical Effects-Numbers'!$B$1:$AU$172,$B117,FALSE)&lt;0,HLOOKUP(Q$4,'Physical Effects-Numbers'!$B$1:$AU$172,$B117,FALSE),""))</f>
        <v/>
      </c>
      <c r="R117" s="488" t="str">
        <f>IF(R$4="","",IF(HLOOKUP(R$4,'Physical Effects-Numbers'!$B$1:$AU$172,$B117,FALSE)&lt;0,HLOOKUP(R$4,'Physical Effects-Numbers'!$B$1:$AU$172,$B117,FALSE),""))</f>
        <v/>
      </c>
      <c r="S117" s="488" t="str">
        <f>IF(S$4="","",IF(HLOOKUP(S$4,'Physical Effects-Numbers'!$B$1:$AU$172,$B117,FALSE)&lt;0,HLOOKUP(S$4,'Physical Effects-Numbers'!$B$1:$AU$172,$B117,FALSE),""))</f>
        <v/>
      </c>
      <c r="T117" s="488" t="str">
        <f>IF(T$4="","",IF(HLOOKUP(T$4,'Physical Effects-Numbers'!$B$1:$AU$172,$B117,FALSE)&lt;0,HLOOKUP(T$4,'Physical Effects-Numbers'!$B$1:$AU$172,$B117,FALSE),""))</f>
        <v/>
      </c>
      <c r="U117" s="488" t="str">
        <f>IF(U$4="","",IF(HLOOKUP(U$4,'Physical Effects-Numbers'!$B$1:$AU$172,$B117,FALSE)&lt;0,HLOOKUP(U$4,'Physical Effects-Numbers'!$B$1:$AU$172,$B117,FALSE),""))</f>
        <v/>
      </c>
      <c r="V117" s="488" t="str">
        <f>IF(V$4="","",IF(HLOOKUP(V$4,'Physical Effects-Numbers'!$B$1:$AU$172,$B117,FALSE)&lt;0,HLOOKUP(V$4,'Physical Effects-Numbers'!$B$1:$AU$172,$B117,FALSE),""))</f>
        <v/>
      </c>
      <c r="W117" s="488" t="str">
        <f>IF(W$4="","",IF(HLOOKUP(W$4,'Physical Effects-Numbers'!$B$1:$AU$172,$B117,FALSE)&lt;0,HLOOKUP(W$4,'Physical Effects-Numbers'!$B$1:$AU$172,$B117,FALSE),""))</f>
        <v/>
      </c>
      <c r="X117" s="488" t="str">
        <f>IF(X$4="","",IF(HLOOKUP(X$4,'Physical Effects-Numbers'!$B$1:$AU$172,$B117,FALSE)&lt;0,HLOOKUP(X$4,'Physical Effects-Numbers'!$B$1:$AU$172,$B117,FALSE),""))</f>
        <v/>
      </c>
      <c r="Y117" s="488" t="str">
        <f>IF(Y$4="","",IF(HLOOKUP(Y$4,'Physical Effects-Numbers'!$B$1:$AU$172,$B117,FALSE)&lt;0,HLOOKUP(Y$4,'Physical Effects-Numbers'!$B$1:$AU$172,$B117,FALSE),""))</f>
        <v/>
      </c>
      <c r="Z117" s="488" t="str">
        <f>IF(Z$4="","",IF(HLOOKUP(Z$4,'Physical Effects-Numbers'!$B$1:$AU$172,$B117,FALSE)&lt;0,HLOOKUP(Z$4,'Physical Effects-Numbers'!$B$1:$AU$172,$B117,FALSE),""))</f>
        <v/>
      </c>
      <c r="AA117" s="488" t="str">
        <f>IF(AA$4="","",IF(HLOOKUP(AA$4,'Physical Effects-Numbers'!$B$1:$AU$172,$B117,FALSE)&lt;0,HLOOKUP(AA$4,'Physical Effects-Numbers'!$B$1:$AU$172,$B117,FALSE),""))</f>
        <v/>
      </c>
      <c r="AB117" s="488" t="str">
        <f>IF(AB$4="","",IF(HLOOKUP(AB$4,'Physical Effects-Numbers'!$B$1:$AU$172,$B117,FALSE)&lt;0,HLOOKUP(AB$4,'Physical Effects-Numbers'!$B$1:$AU$172,$B117,FALSE),""))</f>
        <v/>
      </c>
      <c r="AC117" s="488" t="str">
        <f>IF(AC$4="","",IF(HLOOKUP(AC$4,'Physical Effects-Numbers'!$B$1:$AU$172,$B117,FALSE)&lt;0,HLOOKUP(AC$4,'Physical Effects-Numbers'!$B$1:$AU$172,$B117,FALSE),""))</f>
        <v/>
      </c>
      <c r="AD117" s="488" t="str">
        <f>IF(AD$4="","",IF(HLOOKUP(AD$4,'Physical Effects-Numbers'!$B$1:$AU$172,$B117,FALSE)&lt;0,HLOOKUP(AD$4,'Physical Effects-Numbers'!$B$1:$AU$172,$B117,FALSE),""))</f>
        <v/>
      </c>
      <c r="AE117" s="488" t="str">
        <f>IF(AE$4="","",IF(HLOOKUP(AE$4,'Physical Effects-Numbers'!$B$1:$AU$172,$B117,FALSE)&lt;0,HLOOKUP(AE$4,'Physical Effects-Numbers'!$B$1:$AU$172,$B117,FALSE),""))</f>
        <v/>
      </c>
      <c r="AF117" s="488" t="str">
        <f>IF(AF$4="","",IF(HLOOKUP(AF$4,'Physical Effects-Numbers'!$B$1:$AU$172,$B117,FALSE)&lt;0,HLOOKUP(AF$4,'Physical Effects-Numbers'!$B$1:$AU$172,$B117,FALSE),""))</f>
        <v/>
      </c>
      <c r="AG117" s="488" t="str">
        <f>IF(AG$4="","",IF(HLOOKUP(AG$4,'Physical Effects-Numbers'!$B$1:$AU$172,$B117,FALSE)&lt;0,HLOOKUP(AG$4,'Physical Effects-Numbers'!$B$1:$AU$172,$B117,FALSE),""))</f>
        <v/>
      </c>
      <c r="AH117" s="488" t="str">
        <f>IF(AH$4="","",IF(HLOOKUP(AH$4,'Physical Effects-Numbers'!$B$1:$AU$172,$B117,FALSE)&lt;0,HLOOKUP(AH$4,'Physical Effects-Numbers'!$B$1:$AU$172,$B117,FALSE),""))</f>
        <v/>
      </c>
      <c r="AI117" s="488" t="str">
        <f>IF(AI$4="","",IF(HLOOKUP(AI$4,'Physical Effects-Numbers'!$B$1:$AU$172,$B117,FALSE)&lt;0,HLOOKUP(AI$4,'Physical Effects-Numbers'!$B$1:$AU$172,$B117,FALSE),""))</f>
        <v/>
      </c>
      <c r="AJ117" s="488" t="str">
        <f>IF(AJ$4="","",IF(HLOOKUP(AJ$4,'Physical Effects-Numbers'!$B$1:$AU$172,$B117,FALSE)&lt;0,HLOOKUP(AJ$4,'Physical Effects-Numbers'!$B$1:$AU$172,$B117,FALSE),""))</f>
        <v/>
      </c>
      <c r="AK117" s="488" t="str">
        <f>IF(AK$4="","",IF(HLOOKUP(AK$4,'Physical Effects-Numbers'!$B$1:$AU$172,$B117,FALSE)&lt;0,HLOOKUP(AK$4,'Physical Effects-Numbers'!$B$1:$AU$172,$B117,FALSE),""))</f>
        <v/>
      </c>
      <c r="AL117" s="488" t="str">
        <f>IF(AL$4="","",IF(HLOOKUP(AL$4,'Physical Effects-Numbers'!$B$1:$AU$172,$B117,FALSE)&lt;0,HLOOKUP(AL$4,'Physical Effects-Numbers'!$B$1:$AU$172,$B117,FALSE),""))</f>
        <v/>
      </c>
      <c r="AM117" s="488" t="str">
        <f>IF(AM$4="","",IF(HLOOKUP(AM$4,'Physical Effects-Numbers'!$B$1:$AU$172,$B117,FALSE)&lt;0,HLOOKUP(AM$4,'Physical Effects-Numbers'!$B$1:$AU$172,$B117,FALSE),""))</f>
        <v/>
      </c>
      <c r="AN117" s="488" t="str">
        <f>IF(AN$4="","",IF(HLOOKUP(AN$4,'Physical Effects-Numbers'!$B$1:$AU$172,$B117,FALSE)&lt;0,HLOOKUP(AN$4,'Physical Effects-Numbers'!$B$1:$AU$172,$B117,FALSE),""))</f>
        <v/>
      </c>
      <c r="AO117" s="488" t="str">
        <f>IF(AO$4="","",IF(HLOOKUP(AO$4,'Physical Effects-Numbers'!$B$1:$AU$172,$B117,FALSE)&lt;0,HLOOKUP(AO$4,'Physical Effects-Numbers'!$B$1:$AU$172,$B117,FALSE),""))</f>
        <v/>
      </c>
      <c r="AP117" s="488" t="str">
        <f>IF(AP$4="","",IF(HLOOKUP(AP$4,'Physical Effects-Numbers'!$B$1:$AU$172,$B117,FALSE)&lt;0,HLOOKUP(AP$4,'Physical Effects-Numbers'!$B$1:$AU$172,$B117,FALSE),""))</f>
        <v/>
      </c>
      <c r="AQ117" s="488" t="str">
        <f>IF(AQ$4="","",IF(HLOOKUP(AQ$4,'Physical Effects-Numbers'!$B$1:$AU$172,$B117,FALSE)&lt;0,HLOOKUP(AQ$4,'Physical Effects-Numbers'!$B$1:$AU$172,$B117,FALSE),""))</f>
        <v/>
      </c>
      <c r="AR117" s="488" t="str">
        <f>IF(AR$4="","",IF(HLOOKUP(AR$4,'Physical Effects-Numbers'!$B$1:$AU$172,$B117,FALSE)&lt;0,HLOOKUP(AR$4,'Physical Effects-Numbers'!$B$1:$AU$172,$B117,FALSE),""))</f>
        <v/>
      </c>
      <c r="AS117" s="488" t="str">
        <f>IF(AS$4="","",IF(HLOOKUP(AS$4,'Physical Effects-Numbers'!$B$1:$AU$172,$B117,FALSE)&lt;0,HLOOKUP(AS$4,'Physical Effects-Numbers'!$B$1:$AU$172,$B117,FALSE),""))</f>
        <v/>
      </c>
      <c r="AT117" s="488" t="str">
        <f>IF(AT$4="","",IF(HLOOKUP(AT$4,'Physical Effects-Numbers'!$B$1:$AU$172,$B117,FALSE)&lt;0,HLOOKUP(AT$4,'Physical Effects-Numbers'!$B$1:$AU$172,$B117,FALSE),""))</f>
        <v/>
      </c>
      <c r="AU117" s="488" t="str">
        <f>IF(AU$4="","",IF(HLOOKUP(AU$4,'Physical Effects-Numbers'!$B$1:$AU$172,$B117,FALSE)&lt;0,HLOOKUP(AU$4,'Physical Effects-Numbers'!$B$1:$AU$172,$B117,FALSE),""))</f>
        <v/>
      </c>
      <c r="AV117" s="488" t="str">
        <f>IF(AV$4="","",IF(HLOOKUP(AV$4,'Physical Effects-Numbers'!$B$1:$AU$167,$B117,FALSE)&lt;0,HLOOKUP(AV$4,'Physical Effects-Numbers'!$B$1:$AU$167,$B117,FALSE),""))</f>
        <v/>
      </c>
    </row>
    <row r="118" spans="2:48" x14ac:dyDescent="0.2">
      <c r="B118" s="487">
        <f t="shared" si="1"/>
        <v>115</v>
      </c>
      <c r="C118" s="486" t="str">
        <f>+'Physical Effects-Numbers'!B115</f>
        <v>Riparian Herbaceous Cover</v>
      </c>
      <c r="D118" s="488" t="str">
        <f>IF(D$4="","",IF(HLOOKUP(D$4,'Physical Effects-Numbers'!$B$1:$AU$172,$B118,FALSE)&lt;0,HLOOKUP(D$4,'Physical Effects-Numbers'!$B$1:$AU$172,$B118,FALSE),""))</f>
        <v/>
      </c>
      <c r="E118" s="488" t="str">
        <f>IF(E$4="","",IF(HLOOKUP(E$4,'Physical Effects-Numbers'!$B$1:$AU$172,$B118,FALSE)&lt;0,HLOOKUP(E$4,'Physical Effects-Numbers'!$B$1:$AU$172,$B118,FALSE),""))</f>
        <v/>
      </c>
      <c r="F118" s="488" t="str">
        <f>IF(F$4="","",IF(HLOOKUP(F$4,'Physical Effects-Numbers'!$B$1:$AU$172,$B118,FALSE)&lt;0,HLOOKUP(F$4,'Physical Effects-Numbers'!$B$1:$AU$172,$B118,FALSE),""))</f>
        <v/>
      </c>
      <c r="G118" s="488" t="str">
        <f>IF(G$4="","",IF(HLOOKUP(G$4,'Physical Effects-Numbers'!$B$1:$AU$172,$B118,FALSE)&lt;0,HLOOKUP(G$4,'Physical Effects-Numbers'!$B$1:$AU$172,$B118,FALSE),""))</f>
        <v/>
      </c>
      <c r="H118" s="488" t="str">
        <f>IF(H$4="","",IF(HLOOKUP(H$4,'Physical Effects-Numbers'!$B$1:$AU$172,$B118,FALSE)&lt;0,HLOOKUP(H$4,'Physical Effects-Numbers'!$B$1:$AU$172,$B118,FALSE),""))</f>
        <v/>
      </c>
      <c r="I118" s="488" t="str">
        <f>IF(I$4="","",IF(HLOOKUP(I$4,'Physical Effects-Numbers'!$B$1:$AU$172,$B118,FALSE)&lt;0,HLOOKUP(I$4,'Physical Effects-Numbers'!$B$1:$AU$172,$B118,FALSE),""))</f>
        <v/>
      </c>
      <c r="J118" s="488" t="str">
        <f>IF(J$4="","",IF(HLOOKUP(J$4,'Physical Effects-Numbers'!$B$1:$AU$172,$B118,FALSE)&lt;0,HLOOKUP(J$4,'Physical Effects-Numbers'!$B$1:$AU$172,$B118,FALSE),""))</f>
        <v/>
      </c>
      <c r="K118" s="488" t="str">
        <f>IF(K$4="","",IF(HLOOKUP(K$4,'Physical Effects-Numbers'!$B$1:$AU$172,$B118,FALSE)&lt;0,HLOOKUP(K$4,'Physical Effects-Numbers'!$B$1:$AU$172,$B118,FALSE),""))</f>
        <v/>
      </c>
      <c r="L118" s="488" t="str">
        <f>IF(L$4="","",IF(HLOOKUP(L$4,'Physical Effects-Numbers'!$B$1:$AU$172,$B118,FALSE)&lt;0,HLOOKUP(L$4,'Physical Effects-Numbers'!$B$1:$AU$172,$B118,FALSE),""))</f>
        <v/>
      </c>
      <c r="M118" s="488" t="str">
        <f>IF(M$4="","",IF(HLOOKUP(M$4,'Physical Effects-Numbers'!$B$1:$AU$172,$B118,FALSE)&lt;0,HLOOKUP(M$4,'Physical Effects-Numbers'!$B$1:$AU$172,$B118,FALSE),""))</f>
        <v/>
      </c>
      <c r="N118" s="488">
        <f>IF(N$4="","",IF(HLOOKUP(N$4,'Physical Effects-Numbers'!$B$1:$AU$172,$B118,FALSE)&lt;0,HLOOKUP(N$4,'Physical Effects-Numbers'!$B$1:$AU$172,$B118,FALSE),""))</f>
        <v>-3</v>
      </c>
      <c r="O118" s="488" t="str">
        <f>IF(O$4="","",IF(HLOOKUP(O$4,'Physical Effects-Numbers'!$B$1:$AU$172,$B118,FALSE)&lt;0,HLOOKUP(O$4,'Physical Effects-Numbers'!$B$1:$AU$172,$B118,FALSE),""))</f>
        <v/>
      </c>
      <c r="P118" s="488" t="str">
        <f>IF(P$4="","",IF(HLOOKUP(P$4,'Physical Effects-Numbers'!$B$1:$AU$172,$B118,FALSE)&lt;0,HLOOKUP(P$4,'Physical Effects-Numbers'!$B$1:$AU$172,$B118,FALSE),""))</f>
        <v/>
      </c>
      <c r="Q118" s="488" t="str">
        <f>IF(Q$4="","",IF(HLOOKUP(Q$4,'Physical Effects-Numbers'!$B$1:$AU$172,$B118,FALSE)&lt;0,HLOOKUP(Q$4,'Physical Effects-Numbers'!$B$1:$AU$172,$B118,FALSE),""))</f>
        <v/>
      </c>
      <c r="R118" s="488" t="str">
        <f>IF(R$4="","",IF(HLOOKUP(R$4,'Physical Effects-Numbers'!$B$1:$AU$172,$B118,FALSE)&lt;0,HLOOKUP(R$4,'Physical Effects-Numbers'!$B$1:$AU$172,$B118,FALSE),""))</f>
        <v/>
      </c>
      <c r="S118" s="488" t="str">
        <f>IF(S$4="","",IF(HLOOKUP(S$4,'Physical Effects-Numbers'!$B$1:$AU$172,$B118,FALSE)&lt;0,HLOOKUP(S$4,'Physical Effects-Numbers'!$B$1:$AU$172,$B118,FALSE),""))</f>
        <v/>
      </c>
      <c r="T118" s="488" t="str">
        <f>IF(T$4="","",IF(HLOOKUP(T$4,'Physical Effects-Numbers'!$B$1:$AU$172,$B118,FALSE)&lt;0,HLOOKUP(T$4,'Physical Effects-Numbers'!$B$1:$AU$172,$B118,FALSE),""))</f>
        <v/>
      </c>
      <c r="U118" s="488" t="str">
        <f>IF(U$4="","",IF(HLOOKUP(U$4,'Physical Effects-Numbers'!$B$1:$AU$172,$B118,FALSE)&lt;0,HLOOKUP(U$4,'Physical Effects-Numbers'!$B$1:$AU$172,$B118,FALSE),""))</f>
        <v/>
      </c>
      <c r="V118" s="488" t="str">
        <f>IF(V$4="","",IF(HLOOKUP(V$4,'Physical Effects-Numbers'!$B$1:$AU$172,$B118,FALSE)&lt;0,HLOOKUP(V$4,'Physical Effects-Numbers'!$B$1:$AU$172,$B118,FALSE),""))</f>
        <v/>
      </c>
      <c r="W118" s="488" t="str">
        <f>IF(W$4="","",IF(HLOOKUP(W$4,'Physical Effects-Numbers'!$B$1:$AU$172,$B118,FALSE)&lt;0,HLOOKUP(W$4,'Physical Effects-Numbers'!$B$1:$AU$172,$B118,FALSE),""))</f>
        <v/>
      </c>
      <c r="X118" s="488" t="str">
        <f>IF(X$4="","",IF(HLOOKUP(X$4,'Physical Effects-Numbers'!$B$1:$AU$172,$B118,FALSE)&lt;0,HLOOKUP(X$4,'Physical Effects-Numbers'!$B$1:$AU$172,$B118,FALSE),""))</f>
        <v/>
      </c>
      <c r="Y118" s="488" t="str">
        <f>IF(Y$4="","",IF(HLOOKUP(Y$4,'Physical Effects-Numbers'!$B$1:$AU$172,$B118,FALSE)&lt;0,HLOOKUP(Y$4,'Physical Effects-Numbers'!$B$1:$AU$172,$B118,FALSE),""))</f>
        <v/>
      </c>
      <c r="Z118" s="488" t="str">
        <f>IF(Z$4="","",IF(HLOOKUP(Z$4,'Physical Effects-Numbers'!$B$1:$AU$172,$B118,FALSE)&lt;0,HLOOKUP(Z$4,'Physical Effects-Numbers'!$B$1:$AU$172,$B118,FALSE),""))</f>
        <v/>
      </c>
      <c r="AA118" s="488" t="str">
        <f>IF(AA$4="","",IF(HLOOKUP(AA$4,'Physical Effects-Numbers'!$B$1:$AU$172,$B118,FALSE)&lt;0,HLOOKUP(AA$4,'Physical Effects-Numbers'!$B$1:$AU$172,$B118,FALSE),""))</f>
        <v/>
      </c>
      <c r="AB118" s="488" t="str">
        <f>IF(AB$4="","",IF(HLOOKUP(AB$4,'Physical Effects-Numbers'!$B$1:$AU$172,$B118,FALSE)&lt;0,HLOOKUP(AB$4,'Physical Effects-Numbers'!$B$1:$AU$172,$B118,FALSE),""))</f>
        <v/>
      </c>
      <c r="AC118" s="488" t="str">
        <f>IF(AC$4="","",IF(HLOOKUP(AC$4,'Physical Effects-Numbers'!$B$1:$AU$172,$B118,FALSE)&lt;0,HLOOKUP(AC$4,'Physical Effects-Numbers'!$B$1:$AU$172,$B118,FALSE),""))</f>
        <v/>
      </c>
      <c r="AD118" s="488" t="str">
        <f>IF(AD$4="","",IF(HLOOKUP(AD$4,'Physical Effects-Numbers'!$B$1:$AU$172,$B118,FALSE)&lt;0,HLOOKUP(AD$4,'Physical Effects-Numbers'!$B$1:$AU$172,$B118,FALSE),""))</f>
        <v/>
      </c>
      <c r="AE118" s="488" t="str">
        <f>IF(AE$4="","",IF(HLOOKUP(AE$4,'Physical Effects-Numbers'!$B$1:$AU$172,$B118,FALSE)&lt;0,HLOOKUP(AE$4,'Physical Effects-Numbers'!$B$1:$AU$172,$B118,FALSE),""))</f>
        <v/>
      </c>
      <c r="AF118" s="488" t="str">
        <f>IF(AF$4="","",IF(HLOOKUP(AF$4,'Physical Effects-Numbers'!$B$1:$AU$172,$B118,FALSE)&lt;0,HLOOKUP(AF$4,'Physical Effects-Numbers'!$B$1:$AU$172,$B118,FALSE),""))</f>
        <v/>
      </c>
      <c r="AG118" s="488" t="str">
        <f>IF(AG$4="","",IF(HLOOKUP(AG$4,'Physical Effects-Numbers'!$B$1:$AU$172,$B118,FALSE)&lt;0,HLOOKUP(AG$4,'Physical Effects-Numbers'!$B$1:$AU$172,$B118,FALSE),""))</f>
        <v/>
      </c>
      <c r="AH118" s="488" t="str">
        <f>IF(AH$4="","",IF(HLOOKUP(AH$4,'Physical Effects-Numbers'!$B$1:$AU$172,$B118,FALSE)&lt;0,HLOOKUP(AH$4,'Physical Effects-Numbers'!$B$1:$AU$172,$B118,FALSE),""))</f>
        <v/>
      </c>
      <c r="AI118" s="488" t="str">
        <f>IF(AI$4="","",IF(HLOOKUP(AI$4,'Physical Effects-Numbers'!$B$1:$AU$172,$B118,FALSE)&lt;0,HLOOKUP(AI$4,'Physical Effects-Numbers'!$B$1:$AU$172,$B118,FALSE),""))</f>
        <v/>
      </c>
      <c r="AJ118" s="488" t="str">
        <f>IF(AJ$4="","",IF(HLOOKUP(AJ$4,'Physical Effects-Numbers'!$B$1:$AU$172,$B118,FALSE)&lt;0,HLOOKUP(AJ$4,'Physical Effects-Numbers'!$B$1:$AU$172,$B118,FALSE),""))</f>
        <v/>
      </c>
      <c r="AK118" s="488" t="str">
        <f>IF(AK$4="","",IF(HLOOKUP(AK$4,'Physical Effects-Numbers'!$B$1:$AU$172,$B118,FALSE)&lt;0,HLOOKUP(AK$4,'Physical Effects-Numbers'!$B$1:$AU$172,$B118,FALSE),""))</f>
        <v/>
      </c>
      <c r="AL118" s="488" t="str">
        <f>IF(AL$4="","",IF(HLOOKUP(AL$4,'Physical Effects-Numbers'!$B$1:$AU$172,$B118,FALSE)&lt;0,HLOOKUP(AL$4,'Physical Effects-Numbers'!$B$1:$AU$172,$B118,FALSE),""))</f>
        <v/>
      </c>
      <c r="AM118" s="488" t="str">
        <f>IF(AM$4="","",IF(HLOOKUP(AM$4,'Physical Effects-Numbers'!$B$1:$AU$172,$B118,FALSE)&lt;0,HLOOKUP(AM$4,'Physical Effects-Numbers'!$B$1:$AU$172,$B118,FALSE),""))</f>
        <v/>
      </c>
      <c r="AN118" s="488" t="str">
        <f>IF(AN$4="","",IF(HLOOKUP(AN$4,'Physical Effects-Numbers'!$B$1:$AU$172,$B118,FALSE)&lt;0,HLOOKUP(AN$4,'Physical Effects-Numbers'!$B$1:$AU$172,$B118,FALSE),""))</f>
        <v/>
      </c>
      <c r="AO118" s="488" t="str">
        <f>IF(AO$4="","",IF(HLOOKUP(AO$4,'Physical Effects-Numbers'!$B$1:$AU$172,$B118,FALSE)&lt;0,HLOOKUP(AO$4,'Physical Effects-Numbers'!$B$1:$AU$172,$B118,FALSE),""))</f>
        <v/>
      </c>
      <c r="AP118" s="488" t="str">
        <f>IF(AP$4="","",IF(HLOOKUP(AP$4,'Physical Effects-Numbers'!$B$1:$AU$172,$B118,FALSE)&lt;0,HLOOKUP(AP$4,'Physical Effects-Numbers'!$B$1:$AU$172,$B118,FALSE),""))</f>
        <v/>
      </c>
      <c r="AQ118" s="488" t="str">
        <f>IF(AQ$4="","",IF(HLOOKUP(AQ$4,'Physical Effects-Numbers'!$B$1:$AU$172,$B118,FALSE)&lt;0,HLOOKUP(AQ$4,'Physical Effects-Numbers'!$B$1:$AU$172,$B118,FALSE),""))</f>
        <v/>
      </c>
      <c r="AR118" s="488" t="str">
        <f>IF(AR$4="","",IF(HLOOKUP(AR$4,'Physical Effects-Numbers'!$B$1:$AU$172,$B118,FALSE)&lt;0,HLOOKUP(AR$4,'Physical Effects-Numbers'!$B$1:$AU$172,$B118,FALSE),""))</f>
        <v/>
      </c>
      <c r="AS118" s="488" t="str">
        <f>IF(AS$4="","",IF(HLOOKUP(AS$4,'Physical Effects-Numbers'!$B$1:$AU$172,$B118,FALSE)&lt;0,HLOOKUP(AS$4,'Physical Effects-Numbers'!$B$1:$AU$172,$B118,FALSE),""))</f>
        <v/>
      </c>
      <c r="AT118" s="488" t="str">
        <f>IF(AT$4="","",IF(HLOOKUP(AT$4,'Physical Effects-Numbers'!$B$1:$AU$172,$B118,FALSE)&lt;0,HLOOKUP(AT$4,'Physical Effects-Numbers'!$B$1:$AU$172,$B118,FALSE),""))</f>
        <v/>
      </c>
      <c r="AU118" s="488" t="str">
        <f>IF(AU$4="","",IF(HLOOKUP(AU$4,'Physical Effects-Numbers'!$B$1:$AU$172,$B118,FALSE)&lt;0,HLOOKUP(AU$4,'Physical Effects-Numbers'!$B$1:$AU$172,$B118,FALSE),""))</f>
        <v/>
      </c>
      <c r="AV118" s="488" t="str">
        <f>IF(AV$4="","",IF(HLOOKUP(AV$4,'Physical Effects-Numbers'!$B$1:$AU$167,$B118,FALSE)&lt;0,HLOOKUP(AV$4,'Physical Effects-Numbers'!$B$1:$AU$167,$B118,FALSE),""))</f>
        <v/>
      </c>
    </row>
    <row r="119" spans="2:48" x14ac:dyDescent="0.2">
      <c r="B119" s="487">
        <f t="shared" si="1"/>
        <v>116</v>
      </c>
      <c r="C119" s="486" t="str">
        <f>+'Physical Effects-Numbers'!B116</f>
        <v>Road/Trail/Landing Closure and Treatment</v>
      </c>
      <c r="D119" s="488" t="str">
        <f>IF(D$4="","",IF(HLOOKUP(D$4,'Physical Effects-Numbers'!$B$1:$AU$172,$B119,FALSE)&lt;0,HLOOKUP(D$4,'Physical Effects-Numbers'!$B$1:$AU$172,$B119,FALSE),""))</f>
        <v/>
      </c>
      <c r="E119" s="488" t="str">
        <f>IF(E$4="","",IF(HLOOKUP(E$4,'Physical Effects-Numbers'!$B$1:$AU$172,$B119,FALSE)&lt;0,HLOOKUP(E$4,'Physical Effects-Numbers'!$B$1:$AU$172,$B119,FALSE),""))</f>
        <v/>
      </c>
      <c r="F119" s="488" t="str">
        <f>IF(F$4="","",IF(HLOOKUP(F$4,'Physical Effects-Numbers'!$B$1:$AU$172,$B119,FALSE)&lt;0,HLOOKUP(F$4,'Physical Effects-Numbers'!$B$1:$AU$172,$B119,FALSE),""))</f>
        <v/>
      </c>
      <c r="G119" s="488" t="str">
        <f>IF(G$4="","",IF(HLOOKUP(G$4,'Physical Effects-Numbers'!$B$1:$AU$172,$B119,FALSE)&lt;0,HLOOKUP(G$4,'Physical Effects-Numbers'!$B$1:$AU$172,$B119,FALSE),""))</f>
        <v/>
      </c>
      <c r="H119" s="488" t="str">
        <f>IF(H$4="","",IF(HLOOKUP(H$4,'Physical Effects-Numbers'!$B$1:$AU$172,$B119,FALSE)&lt;0,HLOOKUP(H$4,'Physical Effects-Numbers'!$B$1:$AU$172,$B119,FALSE),""))</f>
        <v/>
      </c>
      <c r="I119" s="488" t="str">
        <f>IF(I$4="","",IF(HLOOKUP(I$4,'Physical Effects-Numbers'!$B$1:$AU$172,$B119,FALSE)&lt;0,HLOOKUP(I$4,'Physical Effects-Numbers'!$B$1:$AU$172,$B119,FALSE),""))</f>
        <v/>
      </c>
      <c r="J119" s="488" t="str">
        <f>IF(J$4="","",IF(HLOOKUP(J$4,'Physical Effects-Numbers'!$B$1:$AU$172,$B119,FALSE)&lt;0,HLOOKUP(J$4,'Physical Effects-Numbers'!$B$1:$AU$172,$B119,FALSE),""))</f>
        <v/>
      </c>
      <c r="K119" s="488" t="str">
        <f>IF(K$4="","",IF(HLOOKUP(K$4,'Physical Effects-Numbers'!$B$1:$AU$172,$B119,FALSE)&lt;0,HLOOKUP(K$4,'Physical Effects-Numbers'!$B$1:$AU$172,$B119,FALSE),""))</f>
        <v/>
      </c>
      <c r="L119" s="488" t="str">
        <f>IF(L$4="","",IF(HLOOKUP(L$4,'Physical Effects-Numbers'!$B$1:$AU$172,$B119,FALSE)&lt;0,HLOOKUP(L$4,'Physical Effects-Numbers'!$B$1:$AU$172,$B119,FALSE),""))</f>
        <v/>
      </c>
      <c r="M119" s="488" t="str">
        <f>IF(M$4="","",IF(HLOOKUP(M$4,'Physical Effects-Numbers'!$B$1:$AU$172,$B119,FALSE)&lt;0,HLOOKUP(M$4,'Physical Effects-Numbers'!$B$1:$AU$172,$B119,FALSE),""))</f>
        <v/>
      </c>
      <c r="N119" s="488" t="str">
        <f>IF(N$4="","",IF(HLOOKUP(N$4,'Physical Effects-Numbers'!$B$1:$AU$172,$B119,FALSE)&lt;0,HLOOKUP(N$4,'Physical Effects-Numbers'!$B$1:$AU$172,$B119,FALSE),""))</f>
        <v/>
      </c>
      <c r="O119" s="488" t="str">
        <f>IF(O$4="","",IF(HLOOKUP(O$4,'Physical Effects-Numbers'!$B$1:$AU$172,$B119,FALSE)&lt;0,HLOOKUP(O$4,'Physical Effects-Numbers'!$B$1:$AU$172,$B119,FALSE),""))</f>
        <v/>
      </c>
      <c r="P119" s="488" t="str">
        <f>IF(P$4="","",IF(HLOOKUP(P$4,'Physical Effects-Numbers'!$B$1:$AU$172,$B119,FALSE)&lt;0,HLOOKUP(P$4,'Physical Effects-Numbers'!$B$1:$AU$172,$B119,FALSE),""))</f>
        <v/>
      </c>
      <c r="Q119" s="488" t="str">
        <f>IF(Q$4="","",IF(HLOOKUP(Q$4,'Physical Effects-Numbers'!$B$1:$AU$172,$B119,FALSE)&lt;0,HLOOKUP(Q$4,'Physical Effects-Numbers'!$B$1:$AU$172,$B119,FALSE),""))</f>
        <v/>
      </c>
      <c r="R119" s="488" t="str">
        <f>IF(R$4="","",IF(HLOOKUP(R$4,'Physical Effects-Numbers'!$B$1:$AU$172,$B119,FALSE)&lt;0,HLOOKUP(R$4,'Physical Effects-Numbers'!$B$1:$AU$172,$B119,FALSE),""))</f>
        <v/>
      </c>
      <c r="S119" s="488" t="str">
        <f>IF(S$4="","",IF(HLOOKUP(S$4,'Physical Effects-Numbers'!$B$1:$AU$172,$B119,FALSE)&lt;0,HLOOKUP(S$4,'Physical Effects-Numbers'!$B$1:$AU$172,$B119,FALSE),""))</f>
        <v/>
      </c>
      <c r="T119" s="488" t="str">
        <f>IF(T$4="","",IF(HLOOKUP(T$4,'Physical Effects-Numbers'!$B$1:$AU$172,$B119,FALSE)&lt;0,HLOOKUP(T$4,'Physical Effects-Numbers'!$B$1:$AU$172,$B119,FALSE),""))</f>
        <v/>
      </c>
      <c r="U119" s="488" t="str">
        <f>IF(U$4="","",IF(HLOOKUP(U$4,'Physical Effects-Numbers'!$B$1:$AU$172,$B119,FALSE)&lt;0,HLOOKUP(U$4,'Physical Effects-Numbers'!$B$1:$AU$172,$B119,FALSE),""))</f>
        <v/>
      </c>
      <c r="V119" s="488" t="str">
        <f>IF(V$4="","",IF(HLOOKUP(V$4,'Physical Effects-Numbers'!$B$1:$AU$172,$B119,FALSE)&lt;0,HLOOKUP(V$4,'Physical Effects-Numbers'!$B$1:$AU$172,$B119,FALSE),""))</f>
        <v/>
      </c>
      <c r="W119" s="488" t="str">
        <f>IF(W$4="","",IF(HLOOKUP(W$4,'Physical Effects-Numbers'!$B$1:$AU$172,$B119,FALSE)&lt;0,HLOOKUP(W$4,'Physical Effects-Numbers'!$B$1:$AU$172,$B119,FALSE),""))</f>
        <v/>
      </c>
      <c r="X119" s="488" t="str">
        <f>IF(X$4="","",IF(HLOOKUP(X$4,'Physical Effects-Numbers'!$B$1:$AU$172,$B119,FALSE)&lt;0,HLOOKUP(X$4,'Physical Effects-Numbers'!$B$1:$AU$172,$B119,FALSE),""))</f>
        <v/>
      </c>
      <c r="Y119" s="488" t="str">
        <f>IF(Y$4="","",IF(HLOOKUP(Y$4,'Physical Effects-Numbers'!$B$1:$AU$172,$B119,FALSE)&lt;0,HLOOKUP(Y$4,'Physical Effects-Numbers'!$B$1:$AU$172,$B119,FALSE),""))</f>
        <v/>
      </c>
      <c r="Z119" s="488" t="str">
        <f>IF(Z$4="","",IF(HLOOKUP(Z$4,'Physical Effects-Numbers'!$B$1:$AU$172,$B119,FALSE)&lt;0,HLOOKUP(Z$4,'Physical Effects-Numbers'!$B$1:$AU$172,$B119,FALSE),""))</f>
        <v/>
      </c>
      <c r="AA119" s="488" t="str">
        <f>IF(AA$4="","",IF(HLOOKUP(AA$4,'Physical Effects-Numbers'!$B$1:$AU$172,$B119,FALSE)&lt;0,HLOOKUP(AA$4,'Physical Effects-Numbers'!$B$1:$AU$172,$B119,FALSE),""))</f>
        <v/>
      </c>
      <c r="AB119" s="488" t="str">
        <f>IF(AB$4="","",IF(HLOOKUP(AB$4,'Physical Effects-Numbers'!$B$1:$AU$172,$B119,FALSE)&lt;0,HLOOKUP(AB$4,'Physical Effects-Numbers'!$B$1:$AU$172,$B119,FALSE),""))</f>
        <v/>
      </c>
      <c r="AC119" s="488" t="str">
        <f>IF(AC$4="","",IF(HLOOKUP(AC$4,'Physical Effects-Numbers'!$B$1:$AU$172,$B119,FALSE)&lt;0,HLOOKUP(AC$4,'Physical Effects-Numbers'!$B$1:$AU$172,$B119,FALSE),""))</f>
        <v/>
      </c>
      <c r="AD119" s="488" t="str">
        <f>IF(AD$4="","",IF(HLOOKUP(AD$4,'Physical Effects-Numbers'!$B$1:$AU$172,$B119,FALSE)&lt;0,HLOOKUP(AD$4,'Physical Effects-Numbers'!$B$1:$AU$172,$B119,FALSE),""))</f>
        <v/>
      </c>
      <c r="AE119" s="488" t="str">
        <f>IF(AE$4="","",IF(HLOOKUP(AE$4,'Physical Effects-Numbers'!$B$1:$AU$172,$B119,FALSE)&lt;0,HLOOKUP(AE$4,'Physical Effects-Numbers'!$B$1:$AU$172,$B119,FALSE),""))</f>
        <v/>
      </c>
      <c r="AF119" s="488" t="str">
        <f>IF(AF$4="","",IF(HLOOKUP(AF$4,'Physical Effects-Numbers'!$B$1:$AU$172,$B119,FALSE)&lt;0,HLOOKUP(AF$4,'Physical Effects-Numbers'!$B$1:$AU$172,$B119,FALSE),""))</f>
        <v/>
      </c>
      <c r="AG119" s="488" t="str">
        <f>IF(AG$4="","",IF(HLOOKUP(AG$4,'Physical Effects-Numbers'!$B$1:$AU$172,$B119,FALSE)&lt;0,HLOOKUP(AG$4,'Physical Effects-Numbers'!$B$1:$AU$172,$B119,FALSE),""))</f>
        <v/>
      </c>
      <c r="AH119" s="488" t="str">
        <f>IF(AH$4="","",IF(HLOOKUP(AH$4,'Physical Effects-Numbers'!$B$1:$AU$172,$B119,FALSE)&lt;0,HLOOKUP(AH$4,'Physical Effects-Numbers'!$B$1:$AU$172,$B119,FALSE),""))</f>
        <v/>
      </c>
      <c r="AI119" s="488" t="str">
        <f>IF(AI$4="","",IF(HLOOKUP(AI$4,'Physical Effects-Numbers'!$B$1:$AU$172,$B119,FALSE)&lt;0,HLOOKUP(AI$4,'Physical Effects-Numbers'!$B$1:$AU$172,$B119,FALSE),""))</f>
        <v/>
      </c>
      <c r="AJ119" s="488" t="str">
        <f>IF(AJ$4="","",IF(HLOOKUP(AJ$4,'Physical Effects-Numbers'!$B$1:$AU$172,$B119,FALSE)&lt;0,HLOOKUP(AJ$4,'Physical Effects-Numbers'!$B$1:$AU$172,$B119,FALSE),""))</f>
        <v/>
      </c>
      <c r="AK119" s="488" t="str">
        <f>IF(AK$4="","",IF(HLOOKUP(AK$4,'Physical Effects-Numbers'!$B$1:$AU$172,$B119,FALSE)&lt;0,HLOOKUP(AK$4,'Physical Effects-Numbers'!$B$1:$AU$172,$B119,FALSE),""))</f>
        <v/>
      </c>
      <c r="AL119" s="488" t="str">
        <f>IF(AL$4="","",IF(HLOOKUP(AL$4,'Physical Effects-Numbers'!$B$1:$AU$172,$B119,FALSE)&lt;0,HLOOKUP(AL$4,'Physical Effects-Numbers'!$B$1:$AU$172,$B119,FALSE),""))</f>
        <v/>
      </c>
      <c r="AM119" s="488" t="str">
        <f>IF(AM$4="","",IF(HLOOKUP(AM$4,'Physical Effects-Numbers'!$B$1:$AU$172,$B119,FALSE)&lt;0,HLOOKUP(AM$4,'Physical Effects-Numbers'!$B$1:$AU$172,$B119,FALSE),""))</f>
        <v/>
      </c>
      <c r="AN119" s="488" t="str">
        <f>IF(AN$4="","",IF(HLOOKUP(AN$4,'Physical Effects-Numbers'!$B$1:$AU$172,$B119,FALSE)&lt;0,HLOOKUP(AN$4,'Physical Effects-Numbers'!$B$1:$AU$172,$B119,FALSE),""))</f>
        <v/>
      </c>
      <c r="AO119" s="488" t="str">
        <f>IF(AO$4="","",IF(HLOOKUP(AO$4,'Physical Effects-Numbers'!$B$1:$AU$172,$B119,FALSE)&lt;0,HLOOKUP(AO$4,'Physical Effects-Numbers'!$B$1:$AU$172,$B119,FALSE),""))</f>
        <v/>
      </c>
      <c r="AP119" s="488" t="str">
        <f>IF(AP$4="","",IF(HLOOKUP(AP$4,'Physical Effects-Numbers'!$B$1:$AU$172,$B119,FALSE)&lt;0,HLOOKUP(AP$4,'Physical Effects-Numbers'!$B$1:$AU$172,$B119,FALSE),""))</f>
        <v/>
      </c>
      <c r="AQ119" s="488" t="str">
        <f>IF(AQ$4="","",IF(HLOOKUP(AQ$4,'Physical Effects-Numbers'!$B$1:$AU$172,$B119,FALSE)&lt;0,HLOOKUP(AQ$4,'Physical Effects-Numbers'!$B$1:$AU$172,$B119,FALSE),""))</f>
        <v/>
      </c>
      <c r="AR119" s="488" t="str">
        <f>IF(AR$4="","",IF(HLOOKUP(AR$4,'Physical Effects-Numbers'!$B$1:$AU$172,$B119,FALSE)&lt;0,HLOOKUP(AR$4,'Physical Effects-Numbers'!$B$1:$AU$172,$B119,FALSE),""))</f>
        <v/>
      </c>
      <c r="AS119" s="488" t="str">
        <f>IF(AS$4="","",IF(HLOOKUP(AS$4,'Physical Effects-Numbers'!$B$1:$AU$172,$B119,FALSE)&lt;0,HLOOKUP(AS$4,'Physical Effects-Numbers'!$B$1:$AU$172,$B119,FALSE),""))</f>
        <v/>
      </c>
      <c r="AT119" s="488" t="str">
        <f>IF(AT$4="","",IF(HLOOKUP(AT$4,'Physical Effects-Numbers'!$B$1:$AU$172,$B119,FALSE)&lt;0,HLOOKUP(AT$4,'Physical Effects-Numbers'!$B$1:$AU$172,$B119,FALSE),""))</f>
        <v/>
      </c>
      <c r="AU119" s="488" t="str">
        <f>IF(AU$4="","",IF(HLOOKUP(AU$4,'Physical Effects-Numbers'!$B$1:$AU$172,$B119,FALSE)&lt;0,HLOOKUP(AU$4,'Physical Effects-Numbers'!$B$1:$AU$172,$B119,FALSE),""))</f>
        <v/>
      </c>
      <c r="AV119" s="488" t="str">
        <f>IF(AV$4="","",IF(HLOOKUP(AV$4,'Physical Effects-Numbers'!$B$1:$AU$167,$B119,FALSE)&lt;0,HLOOKUP(AV$4,'Physical Effects-Numbers'!$B$1:$AU$167,$B119,FALSE),""))</f>
        <v/>
      </c>
    </row>
    <row r="120" spans="2:48" x14ac:dyDescent="0.2">
      <c r="B120" s="487">
        <f t="shared" si="1"/>
        <v>117</v>
      </c>
      <c r="C120" s="486" t="str">
        <f>+'Physical Effects-Numbers'!B117</f>
        <v>Rock Barrier</v>
      </c>
      <c r="D120" s="488" t="str">
        <f>IF(D$4="","",IF(HLOOKUP(D$4,'Physical Effects-Numbers'!$B$1:$AU$172,$B120,FALSE)&lt;0,HLOOKUP(D$4,'Physical Effects-Numbers'!$B$1:$AU$172,$B120,FALSE),""))</f>
        <v/>
      </c>
      <c r="E120" s="488" t="str">
        <f>IF(E$4="","",IF(HLOOKUP(E$4,'Physical Effects-Numbers'!$B$1:$AU$172,$B120,FALSE)&lt;0,HLOOKUP(E$4,'Physical Effects-Numbers'!$B$1:$AU$172,$B120,FALSE),""))</f>
        <v/>
      </c>
      <c r="F120" s="488" t="str">
        <f>IF(F$4="","",IF(HLOOKUP(F$4,'Physical Effects-Numbers'!$B$1:$AU$172,$B120,FALSE)&lt;0,HLOOKUP(F$4,'Physical Effects-Numbers'!$B$1:$AU$172,$B120,FALSE),""))</f>
        <v/>
      </c>
      <c r="G120" s="488" t="str">
        <f>IF(G$4="","",IF(HLOOKUP(G$4,'Physical Effects-Numbers'!$B$1:$AU$172,$B120,FALSE)&lt;0,HLOOKUP(G$4,'Physical Effects-Numbers'!$B$1:$AU$172,$B120,FALSE),""))</f>
        <v/>
      </c>
      <c r="H120" s="488" t="str">
        <f>IF(H$4="","",IF(HLOOKUP(H$4,'Physical Effects-Numbers'!$B$1:$AU$172,$B120,FALSE)&lt;0,HLOOKUP(H$4,'Physical Effects-Numbers'!$B$1:$AU$172,$B120,FALSE),""))</f>
        <v/>
      </c>
      <c r="I120" s="488" t="str">
        <f>IF(I$4="","",IF(HLOOKUP(I$4,'Physical Effects-Numbers'!$B$1:$AU$172,$B120,FALSE)&lt;0,HLOOKUP(I$4,'Physical Effects-Numbers'!$B$1:$AU$172,$B120,FALSE),""))</f>
        <v/>
      </c>
      <c r="J120" s="488" t="str">
        <f>IF(J$4="","",IF(HLOOKUP(J$4,'Physical Effects-Numbers'!$B$1:$AU$172,$B120,FALSE)&lt;0,HLOOKUP(J$4,'Physical Effects-Numbers'!$B$1:$AU$172,$B120,FALSE),""))</f>
        <v/>
      </c>
      <c r="K120" s="488" t="str">
        <f>IF(K$4="","",IF(HLOOKUP(K$4,'Physical Effects-Numbers'!$B$1:$AU$172,$B120,FALSE)&lt;0,HLOOKUP(K$4,'Physical Effects-Numbers'!$B$1:$AU$172,$B120,FALSE),""))</f>
        <v/>
      </c>
      <c r="L120" s="488" t="str">
        <f>IF(L$4="","",IF(HLOOKUP(L$4,'Physical Effects-Numbers'!$B$1:$AU$172,$B120,FALSE)&lt;0,HLOOKUP(L$4,'Physical Effects-Numbers'!$B$1:$AU$172,$B120,FALSE),""))</f>
        <v/>
      </c>
      <c r="M120" s="488" t="str">
        <f>IF(M$4="","",IF(HLOOKUP(M$4,'Physical Effects-Numbers'!$B$1:$AU$172,$B120,FALSE)&lt;0,HLOOKUP(M$4,'Physical Effects-Numbers'!$B$1:$AU$172,$B120,FALSE),""))</f>
        <v/>
      </c>
      <c r="N120" s="488" t="str">
        <f>IF(N$4="","",IF(HLOOKUP(N$4,'Physical Effects-Numbers'!$B$1:$AU$172,$B120,FALSE)&lt;0,HLOOKUP(N$4,'Physical Effects-Numbers'!$B$1:$AU$172,$B120,FALSE),""))</f>
        <v/>
      </c>
      <c r="O120" s="488" t="str">
        <f>IF(O$4="","",IF(HLOOKUP(O$4,'Physical Effects-Numbers'!$B$1:$AU$172,$B120,FALSE)&lt;0,HLOOKUP(O$4,'Physical Effects-Numbers'!$B$1:$AU$172,$B120,FALSE),""))</f>
        <v/>
      </c>
      <c r="P120" s="488" t="str">
        <f>IF(P$4="","",IF(HLOOKUP(P$4,'Physical Effects-Numbers'!$B$1:$AU$172,$B120,FALSE)&lt;0,HLOOKUP(P$4,'Physical Effects-Numbers'!$B$1:$AU$172,$B120,FALSE),""))</f>
        <v/>
      </c>
      <c r="Q120" s="488" t="str">
        <f>IF(Q$4="","",IF(HLOOKUP(Q$4,'Physical Effects-Numbers'!$B$1:$AU$172,$B120,FALSE)&lt;0,HLOOKUP(Q$4,'Physical Effects-Numbers'!$B$1:$AU$172,$B120,FALSE),""))</f>
        <v/>
      </c>
      <c r="R120" s="488" t="str">
        <f>IF(R$4="","",IF(HLOOKUP(R$4,'Physical Effects-Numbers'!$B$1:$AU$172,$B120,FALSE)&lt;0,HLOOKUP(R$4,'Physical Effects-Numbers'!$B$1:$AU$172,$B120,FALSE),""))</f>
        <v/>
      </c>
      <c r="S120" s="488" t="str">
        <f>IF(S$4="","",IF(HLOOKUP(S$4,'Physical Effects-Numbers'!$B$1:$AU$172,$B120,FALSE)&lt;0,HLOOKUP(S$4,'Physical Effects-Numbers'!$B$1:$AU$172,$B120,FALSE),""))</f>
        <v/>
      </c>
      <c r="T120" s="488" t="str">
        <f>IF(T$4="","",IF(HLOOKUP(T$4,'Physical Effects-Numbers'!$B$1:$AU$172,$B120,FALSE)&lt;0,HLOOKUP(T$4,'Physical Effects-Numbers'!$B$1:$AU$172,$B120,FALSE),""))</f>
        <v/>
      </c>
      <c r="U120" s="488" t="str">
        <f>IF(U$4="","",IF(HLOOKUP(U$4,'Physical Effects-Numbers'!$B$1:$AU$172,$B120,FALSE)&lt;0,HLOOKUP(U$4,'Physical Effects-Numbers'!$B$1:$AU$172,$B120,FALSE),""))</f>
        <v/>
      </c>
      <c r="V120" s="488" t="str">
        <f>IF(V$4="","",IF(HLOOKUP(V$4,'Physical Effects-Numbers'!$B$1:$AU$172,$B120,FALSE)&lt;0,HLOOKUP(V$4,'Physical Effects-Numbers'!$B$1:$AU$172,$B120,FALSE),""))</f>
        <v/>
      </c>
      <c r="W120" s="488" t="str">
        <f>IF(W$4="","",IF(HLOOKUP(W$4,'Physical Effects-Numbers'!$B$1:$AU$172,$B120,FALSE)&lt;0,HLOOKUP(W$4,'Physical Effects-Numbers'!$B$1:$AU$172,$B120,FALSE),""))</f>
        <v/>
      </c>
      <c r="X120" s="488">
        <f>IF(X$4="","",IF(HLOOKUP(X$4,'Physical Effects-Numbers'!$B$1:$AU$172,$B120,FALSE)&lt;0,HLOOKUP(X$4,'Physical Effects-Numbers'!$B$1:$AU$172,$B120,FALSE),""))</f>
        <v>-1</v>
      </c>
      <c r="Y120" s="488" t="str">
        <f>IF(Y$4="","",IF(HLOOKUP(Y$4,'Physical Effects-Numbers'!$B$1:$AU$172,$B120,FALSE)&lt;0,HLOOKUP(Y$4,'Physical Effects-Numbers'!$B$1:$AU$172,$B120,FALSE),""))</f>
        <v/>
      </c>
      <c r="Z120" s="488" t="str">
        <f>IF(Z$4="","",IF(HLOOKUP(Z$4,'Physical Effects-Numbers'!$B$1:$AU$172,$B120,FALSE)&lt;0,HLOOKUP(Z$4,'Physical Effects-Numbers'!$B$1:$AU$172,$B120,FALSE),""))</f>
        <v/>
      </c>
      <c r="AA120" s="488" t="str">
        <f>IF(AA$4="","",IF(HLOOKUP(AA$4,'Physical Effects-Numbers'!$B$1:$AU$172,$B120,FALSE)&lt;0,HLOOKUP(AA$4,'Physical Effects-Numbers'!$B$1:$AU$172,$B120,FALSE),""))</f>
        <v/>
      </c>
      <c r="AB120" s="488" t="str">
        <f>IF(AB$4="","",IF(HLOOKUP(AB$4,'Physical Effects-Numbers'!$B$1:$AU$172,$B120,FALSE)&lt;0,HLOOKUP(AB$4,'Physical Effects-Numbers'!$B$1:$AU$172,$B120,FALSE),""))</f>
        <v/>
      </c>
      <c r="AC120" s="488" t="str">
        <f>IF(AC$4="","",IF(HLOOKUP(AC$4,'Physical Effects-Numbers'!$B$1:$AU$172,$B120,FALSE)&lt;0,HLOOKUP(AC$4,'Physical Effects-Numbers'!$B$1:$AU$172,$B120,FALSE),""))</f>
        <v/>
      </c>
      <c r="AD120" s="488" t="str">
        <f>IF(AD$4="","",IF(HLOOKUP(AD$4,'Physical Effects-Numbers'!$B$1:$AU$172,$B120,FALSE)&lt;0,HLOOKUP(AD$4,'Physical Effects-Numbers'!$B$1:$AU$172,$B120,FALSE),""))</f>
        <v/>
      </c>
      <c r="AE120" s="488" t="str">
        <f>IF(AE$4="","",IF(HLOOKUP(AE$4,'Physical Effects-Numbers'!$B$1:$AU$172,$B120,FALSE)&lt;0,HLOOKUP(AE$4,'Physical Effects-Numbers'!$B$1:$AU$172,$B120,FALSE),""))</f>
        <v/>
      </c>
      <c r="AF120" s="488" t="str">
        <f>IF(AF$4="","",IF(HLOOKUP(AF$4,'Physical Effects-Numbers'!$B$1:$AU$172,$B120,FALSE)&lt;0,HLOOKUP(AF$4,'Physical Effects-Numbers'!$B$1:$AU$172,$B120,FALSE),""))</f>
        <v/>
      </c>
      <c r="AG120" s="488" t="str">
        <f>IF(AG$4="","",IF(HLOOKUP(AG$4,'Physical Effects-Numbers'!$B$1:$AU$172,$B120,FALSE)&lt;0,HLOOKUP(AG$4,'Physical Effects-Numbers'!$B$1:$AU$172,$B120,FALSE),""))</f>
        <v/>
      </c>
      <c r="AH120" s="488" t="str">
        <f>IF(AH$4="","",IF(HLOOKUP(AH$4,'Physical Effects-Numbers'!$B$1:$AU$172,$B120,FALSE)&lt;0,HLOOKUP(AH$4,'Physical Effects-Numbers'!$B$1:$AU$172,$B120,FALSE),""))</f>
        <v/>
      </c>
      <c r="AI120" s="488" t="str">
        <f>IF(AI$4="","",IF(HLOOKUP(AI$4,'Physical Effects-Numbers'!$B$1:$AU$172,$B120,FALSE)&lt;0,HLOOKUP(AI$4,'Physical Effects-Numbers'!$B$1:$AU$172,$B120,FALSE),""))</f>
        <v/>
      </c>
      <c r="AJ120" s="488" t="str">
        <f>IF(AJ$4="","",IF(HLOOKUP(AJ$4,'Physical Effects-Numbers'!$B$1:$AU$172,$B120,FALSE)&lt;0,HLOOKUP(AJ$4,'Physical Effects-Numbers'!$B$1:$AU$172,$B120,FALSE),""))</f>
        <v/>
      </c>
      <c r="AK120" s="488" t="str">
        <f>IF(AK$4="","",IF(HLOOKUP(AK$4,'Physical Effects-Numbers'!$B$1:$AU$172,$B120,FALSE)&lt;0,HLOOKUP(AK$4,'Physical Effects-Numbers'!$B$1:$AU$172,$B120,FALSE),""))</f>
        <v/>
      </c>
      <c r="AL120" s="488" t="str">
        <f>IF(AL$4="","",IF(HLOOKUP(AL$4,'Physical Effects-Numbers'!$B$1:$AU$172,$B120,FALSE)&lt;0,HLOOKUP(AL$4,'Physical Effects-Numbers'!$B$1:$AU$172,$B120,FALSE),""))</f>
        <v/>
      </c>
      <c r="AM120" s="488" t="str">
        <f>IF(AM$4="","",IF(HLOOKUP(AM$4,'Physical Effects-Numbers'!$B$1:$AU$172,$B120,FALSE)&lt;0,HLOOKUP(AM$4,'Physical Effects-Numbers'!$B$1:$AU$172,$B120,FALSE),""))</f>
        <v/>
      </c>
      <c r="AN120" s="488" t="str">
        <f>IF(AN$4="","",IF(HLOOKUP(AN$4,'Physical Effects-Numbers'!$B$1:$AU$172,$B120,FALSE)&lt;0,HLOOKUP(AN$4,'Physical Effects-Numbers'!$B$1:$AU$172,$B120,FALSE),""))</f>
        <v/>
      </c>
      <c r="AO120" s="488" t="str">
        <f>IF(AO$4="","",IF(HLOOKUP(AO$4,'Physical Effects-Numbers'!$B$1:$AU$172,$B120,FALSE)&lt;0,HLOOKUP(AO$4,'Physical Effects-Numbers'!$B$1:$AU$172,$B120,FALSE),""))</f>
        <v/>
      </c>
      <c r="AP120" s="488" t="str">
        <f>IF(AP$4="","",IF(HLOOKUP(AP$4,'Physical Effects-Numbers'!$B$1:$AU$172,$B120,FALSE)&lt;0,HLOOKUP(AP$4,'Physical Effects-Numbers'!$B$1:$AU$172,$B120,FALSE),""))</f>
        <v/>
      </c>
      <c r="AQ120" s="488" t="str">
        <f>IF(AQ$4="","",IF(HLOOKUP(AQ$4,'Physical Effects-Numbers'!$B$1:$AU$172,$B120,FALSE)&lt;0,HLOOKUP(AQ$4,'Physical Effects-Numbers'!$B$1:$AU$172,$B120,FALSE),""))</f>
        <v/>
      </c>
      <c r="AR120" s="488" t="str">
        <f>IF(AR$4="","",IF(HLOOKUP(AR$4,'Physical Effects-Numbers'!$B$1:$AU$172,$B120,FALSE)&lt;0,HLOOKUP(AR$4,'Physical Effects-Numbers'!$B$1:$AU$172,$B120,FALSE),""))</f>
        <v/>
      </c>
      <c r="AS120" s="488" t="str">
        <f>IF(AS$4="","",IF(HLOOKUP(AS$4,'Physical Effects-Numbers'!$B$1:$AU$172,$B120,FALSE)&lt;0,HLOOKUP(AS$4,'Physical Effects-Numbers'!$B$1:$AU$172,$B120,FALSE),""))</f>
        <v/>
      </c>
      <c r="AT120" s="488" t="str">
        <f>IF(AT$4="","",IF(HLOOKUP(AT$4,'Physical Effects-Numbers'!$B$1:$AU$172,$B120,FALSE)&lt;0,HLOOKUP(AT$4,'Physical Effects-Numbers'!$B$1:$AU$172,$B120,FALSE),""))</f>
        <v/>
      </c>
      <c r="AU120" s="488" t="str">
        <f>IF(AU$4="","",IF(HLOOKUP(AU$4,'Physical Effects-Numbers'!$B$1:$AU$172,$B120,FALSE)&lt;0,HLOOKUP(AU$4,'Physical Effects-Numbers'!$B$1:$AU$172,$B120,FALSE),""))</f>
        <v/>
      </c>
      <c r="AV120" s="488" t="str">
        <f>IF(AV$4="","",IF(HLOOKUP(AV$4,'Physical Effects-Numbers'!$B$1:$AU$167,$B120,FALSE)&lt;0,HLOOKUP(AV$4,'Physical Effects-Numbers'!$B$1:$AU$167,$B120,FALSE),""))</f>
        <v/>
      </c>
    </row>
    <row r="121" spans="2:48" x14ac:dyDescent="0.2">
      <c r="B121" s="487">
        <f t="shared" si="1"/>
        <v>118</v>
      </c>
      <c r="C121" s="486" t="str">
        <f>+'Physical Effects-Numbers'!B118</f>
        <v>Roof Runoff Structure</v>
      </c>
      <c r="D121" s="488" t="str">
        <f>IF(D$4="","",IF(HLOOKUP(D$4,'Physical Effects-Numbers'!$B$1:$AU$172,$B121,FALSE)&lt;0,HLOOKUP(D$4,'Physical Effects-Numbers'!$B$1:$AU$172,$B121,FALSE),""))</f>
        <v/>
      </c>
      <c r="E121" s="488" t="str">
        <f>IF(E$4="","",IF(HLOOKUP(E$4,'Physical Effects-Numbers'!$B$1:$AU$172,$B121,FALSE)&lt;0,HLOOKUP(E$4,'Physical Effects-Numbers'!$B$1:$AU$172,$B121,FALSE),""))</f>
        <v/>
      </c>
      <c r="F121" s="488" t="str">
        <f>IF(F$4="","",IF(HLOOKUP(F$4,'Physical Effects-Numbers'!$B$1:$AU$172,$B121,FALSE)&lt;0,HLOOKUP(F$4,'Physical Effects-Numbers'!$B$1:$AU$172,$B121,FALSE),""))</f>
        <v/>
      </c>
      <c r="G121" s="488" t="str">
        <f>IF(G$4="","",IF(HLOOKUP(G$4,'Physical Effects-Numbers'!$B$1:$AU$172,$B121,FALSE)&lt;0,HLOOKUP(G$4,'Physical Effects-Numbers'!$B$1:$AU$172,$B121,FALSE),""))</f>
        <v/>
      </c>
      <c r="H121" s="488" t="str">
        <f>IF(H$4="","",IF(HLOOKUP(H$4,'Physical Effects-Numbers'!$B$1:$AU$172,$B121,FALSE)&lt;0,HLOOKUP(H$4,'Physical Effects-Numbers'!$B$1:$AU$172,$B121,FALSE),""))</f>
        <v/>
      </c>
      <c r="I121" s="488" t="str">
        <f>IF(I$4="","",IF(HLOOKUP(I$4,'Physical Effects-Numbers'!$B$1:$AU$172,$B121,FALSE)&lt;0,HLOOKUP(I$4,'Physical Effects-Numbers'!$B$1:$AU$172,$B121,FALSE),""))</f>
        <v/>
      </c>
      <c r="J121" s="488" t="str">
        <f>IF(J$4="","",IF(HLOOKUP(J$4,'Physical Effects-Numbers'!$B$1:$AU$172,$B121,FALSE)&lt;0,HLOOKUP(J$4,'Physical Effects-Numbers'!$B$1:$AU$172,$B121,FALSE),""))</f>
        <v/>
      </c>
      <c r="K121" s="488" t="str">
        <f>IF(K$4="","",IF(HLOOKUP(K$4,'Physical Effects-Numbers'!$B$1:$AU$172,$B121,FALSE)&lt;0,HLOOKUP(K$4,'Physical Effects-Numbers'!$B$1:$AU$172,$B121,FALSE),""))</f>
        <v/>
      </c>
      <c r="L121" s="488" t="str">
        <f>IF(L$4="","",IF(HLOOKUP(L$4,'Physical Effects-Numbers'!$B$1:$AU$172,$B121,FALSE)&lt;0,HLOOKUP(L$4,'Physical Effects-Numbers'!$B$1:$AU$172,$B121,FALSE),""))</f>
        <v/>
      </c>
      <c r="M121" s="488" t="str">
        <f>IF(M$4="","",IF(HLOOKUP(M$4,'Physical Effects-Numbers'!$B$1:$AU$172,$B121,FALSE)&lt;0,HLOOKUP(M$4,'Physical Effects-Numbers'!$B$1:$AU$172,$B121,FALSE),""))</f>
        <v/>
      </c>
      <c r="N121" s="488">
        <f>IF(N$4="","",IF(HLOOKUP(N$4,'Physical Effects-Numbers'!$B$1:$AU$172,$B121,FALSE)&lt;0,HLOOKUP(N$4,'Physical Effects-Numbers'!$B$1:$AU$172,$B121,FALSE),""))</f>
        <v>-1</v>
      </c>
      <c r="O121" s="488" t="str">
        <f>IF(O$4="","",IF(HLOOKUP(O$4,'Physical Effects-Numbers'!$B$1:$AU$172,$B121,FALSE)&lt;0,HLOOKUP(O$4,'Physical Effects-Numbers'!$B$1:$AU$172,$B121,FALSE),""))</f>
        <v/>
      </c>
      <c r="P121" s="488" t="str">
        <f>IF(P$4="","",IF(HLOOKUP(P$4,'Physical Effects-Numbers'!$B$1:$AU$172,$B121,FALSE)&lt;0,HLOOKUP(P$4,'Physical Effects-Numbers'!$B$1:$AU$172,$B121,FALSE),""))</f>
        <v/>
      </c>
      <c r="Q121" s="488" t="str">
        <f>IF(Q$4="","",IF(HLOOKUP(Q$4,'Physical Effects-Numbers'!$B$1:$AU$172,$B121,FALSE)&lt;0,HLOOKUP(Q$4,'Physical Effects-Numbers'!$B$1:$AU$172,$B121,FALSE),""))</f>
        <v/>
      </c>
      <c r="R121" s="488" t="str">
        <f>IF(R$4="","",IF(HLOOKUP(R$4,'Physical Effects-Numbers'!$B$1:$AU$172,$B121,FALSE)&lt;0,HLOOKUP(R$4,'Physical Effects-Numbers'!$B$1:$AU$172,$B121,FALSE),""))</f>
        <v/>
      </c>
      <c r="S121" s="488" t="str">
        <f>IF(S$4="","",IF(HLOOKUP(S$4,'Physical Effects-Numbers'!$B$1:$AU$172,$B121,FALSE)&lt;0,HLOOKUP(S$4,'Physical Effects-Numbers'!$B$1:$AU$172,$B121,FALSE),""))</f>
        <v/>
      </c>
      <c r="T121" s="488" t="str">
        <f>IF(T$4="","",IF(HLOOKUP(T$4,'Physical Effects-Numbers'!$B$1:$AU$172,$B121,FALSE)&lt;0,HLOOKUP(T$4,'Physical Effects-Numbers'!$B$1:$AU$172,$B121,FALSE),""))</f>
        <v/>
      </c>
      <c r="U121" s="488" t="str">
        <f>IF(U$4="","",IF(HLOOKUP(U$4,'Physical Effects-Numbers'!$B$1:$AU$172,$B121,FALSE)&lt;0,HLOOKUP(U$4,'Physical Effects-Numbers'!$B$1:$AU$172,$B121,FALSE),""))</f>
        <v/>
      </c>
      <c r="V121" s="488" t="str">
        <f>IF(V$4="","",IF(HLOOKUP(V$4,'Physical Effects-Numbers'!$B$1:$AU$172,$B121,FALSE)&lt;0,HLOOKUP(V$4,'Physical Effects-Numbers'!$B$1:$AU$172,$B121,FALSE),""))</f>
        <v/>
      </c>
      <c r="W121" s="488" t="str">
        <f>IF(W$4="","",IF(HLOOKUP(W$4,'Physical Effects-Numbers'!$B$1:$AU$172,$B121,FALSE)&lt;0,HLOOKUP(W$4,'Physical Effects-Numbers'!$B$1:$AU$172,$B121,FALSE),""))</f>
        <v/>
      </c>
      <c r="X121" s="488" t="str">
        <f>IF(X$4="","",IF(HLOOKUP(X$4,'Physical Effects-Numbers'!$B$1:$AU$172,$B121,FALSE)&lt;0,HLOOKUP(X$4,'Physical Effects-Numbers'!$B$1:$AU$172,$B121,FALSE),""))</f>
        <v/>
      </c>
      <c r="Y121" s="488" t="str">
        <f>IF(Y$4="","",IF(HLOOKUP(Y$4,'Physical Effects-Numbers'!$B$1:$AU$172,$B121,FALSE)&lt;0,HLOOKUP(Y$4,'Physical Effects-Numbers'!$B$1:$AU$172,$B121,FALSE),""))</f>
        <v/>
      </c>
      <c r="Z121" s="488" t="str">
        <f>IF(Z$4="","",IF(HLOOKUP(Z$4,'Physical Effects-Numbers'!$B$1:$AU$172,$B121,FALSE)&lt;0,HLOOKUP(Z$4,'Physical Effects-Numbers'!$B$1:$AU$172,$B121,FALSE),""))</f>
        <v/>
      </c>
      <c r="AA121" s="488" t="str">
        <f>IF(AA$4="","",IF(HLOOKUP(AA$4,'Physical Effects-Numbers'!$B$1:$AU$172,$B121,FALSE)&lt;0,HLOOKUP(AA$4,'Physical Effects-Numbers'!$B$1:$AU$172,$B121,FALSE),""))</f>
        <v/>
      </c>
      <c r="AB121" s="488" t="str">
        <f>IF(AB$4="","",IF(HLOOKUP(AB$4,'Physical Effects-Numbers'!$B$1:$AU$172,$B121,FALSE)&lt;0,HLOOKUP(AB$4,'Physical Effects-Numbers'!$B$1:$AU$172,$B121,FALSE),""))</f>
        <v/>
      </c>
      <c r="AC121" s="488" t="str">
        <f>IF(AC$4="","",IF(HLOOKUP(AC$4,'Physical Effects-Numbers'!$B$1:$AU$172,$B121,FALSE)&lt;0,HLOOKUP(AC$4,'Physical Effects-Numbers'!$B$1:$AU$172,$B121,FALSE),""))</f>
        <v/>
      </c>
      <c r="AD121" s="488" t="str">
        <f>IF(AD$4="","",IF(HLOOKUP(AD$4,'Physical Effects-Numbers'!$B$1:$AU$172,$B121,FALSE)&lt;0,HLOOKUP(AD$4,'Physical Effects-Numbers'!$B$1:$AU$172,$B121,FALSE),""))</f>
        <v/>
      </c>
      <c r="AE121" s="488" t="str">
        <f>IF(AE$4="","",IF(HLOOKUP(AE$4,'Physical Effects-Numbers'!$B$1:$AU$172,$B121,FALSE)&lt;0,HLOOKUP(AE$4,'Physical Effects-Numbers'!$B$1:$AU$172,$B121,FALSE),""))</f>
        <v/>
      </c>
      <c r="AF121" s="488" t="str">
        <f>IF(AF$4="","",IF(HLOOKUP(AF$4,'Physical Effects-Numbers'!$B$1:$AU$172,$B121,FALSE)&lt;0,HLOOKUP(AF$4,'Physical Effects-Numbers'!$B$1:$AU$172,$B121,FALSE),""))</f>
        <v/>
      </c>
      <c r="AG121" s="488" t="str">
        <f>IF(AG$4="","",IF(HLOOKUP(AG$4,'Physical Effects-Numbers'!$B$1:$AU$172,$B121,FALSE)&lt;0,HLOOKUP(AG$4,'Physical Effects-Numbers'!$B$1:$AU$172,$B121,FALSE),""))</f>
        <v/>
      </c>
      <c r="AH121" s="488" t="str">
        <f>IF(AH$4="","",IF(HLOOKUP(AH$4,'Physical Effects-Numbers'!$B$1:$AU$172,$B121,FALSE)&lt;0,HLOOKUP(AH$4,'Physical Effects-Numbers'!$B$1:$AU$172,$B121,FALSE),""))</f>
        <v/>
      </c>
      <c r="AI121" s="488" t="str">
        <f>IF(AI$4="","",IF(HLOOKUP(AI$4,'Physical Effects-Numbers'!$B$1:$AU$172,$B121,FALSE)&lt;0,HLOOKUP(AI$4,'Physical Effects-Numbers'!$B$1:$AU$172,$B121,FALSE),""))</f>
        <v/>
      </c>
      <c r="AJ121" s="488" t="str">
        <f>IF(AJ$4="","",IF(HLOOKUP(AJ$4,'Physical Effects-Numbers'!$B$1:$AU$172,$B121,FALSE)&lt;0,HLOOKUP(AJ$4,'Physical Effects-Numbers'!$B$1:$AU$172,$B121,FALSE),""))</f>
        <v/>
      </c>
      <c r="AK121" s="488" t="str">
        <f>IF(AK$4="","",IF(HLOOKUP(AK$4,'Physical Effects-Numbers'!$B$1:$AU$172,$B121,FALSE)&lt;0,HLOOKUP(AK$4,'Physical Effects-Numbers'!$B$1:$AU$172,$B121,FALSE),""))</f>
        <v/>
      </c>
      <c r="AL121" s="488" t="str">
        <f>IF(AL$4="","",IF(HLOOKUP(AL$4,'Physical Effects-Numbers'!$B$1:$AU$172,$B121,FALSE)&lt;0,HLOOKUP(AL$4,'Physical Effects-Numbers'!$B$1:$AU$172,$B121,FALSE),""))</f>
        <v/>
      </c>
      <c r="AM121" s="488" t="str">
        <f>IF(AM$4="","",IF(HLOOKUP(AM$4,'Physical Effects-Numbers'!$B$1:$AU$172,$B121,FALSE)&lt;0,HLOOKUP(AM$4,'Physical Effects-Numbers'!$B$1:$AU$172,$B121,FALSE),""))</f>
        <v/>
      </c>
      <c r="AN121" s="488" t="str">
        <f>IF(AN$4="","",IF(HLOOKUP(AN$4,'Physical Effects-Numbers'!$B$1:$AU$172,$B121,FALSE)&lt;0,HLOOKUP(AN$4,'Physical Effects-Numbers'!$B$1:$AU$172,$B121,FALSE),""))</f>
        <v/>
      </c>
      <c r="AO121" s="488" t="str">
        <f>IF(AO$4="","",IF(HLOOKUP(AO$4,'Physical Effects-Numbers'!$B$1:$AU$172,$B121,FALSE)&lt;0,HLOOKUP(AO$4,'Physical Effects-Numbers'!$B$1:$AU$172,$B121,FALSE),""))</f>
        <v/>
      </c>
      <c r="AP121" s="488" t="str">
        <f>IF(AP$4="","",IF(HLOOKUP(AP$4,'Physical Effects-Numbers'!$B$1:$AU$172,$B121,FALSE)&lt;0,HLOOKUP(AP$4,'Physical Effects-Numbers'!$B$1:$AU$172,$B121,FALSE),""))</f>
        <v/>
      </c>
      <c r="AQ121" s="488" t="str">
        <f>IF(AQ$4="","",IF(HLOOKUP(AQ$4,'Physical Effects-Numbers'!$B$1:$AU$172,$B121,FALSE)&lt;0,HLOOKUP(AQ$4,'Physical Effects-Numbers'!$B$1:$AU$172,$B121,FALSE),""))</f>
        <v/>
      </c>
      <c r="AR121" s="488" t="str">
        <f>IF(AR$4="","",IF(HLOOKUP(AR$4,'Physical Effects-Numbers'!$B$1:$AU$172,$B121,FALSE)&lt;0,HLOOKUP(AR$4,'Physical Effects-Numbers'!$B$1:$AU$172,$B121,FALSE),""))</f>
        <v/>
      </c>
      <c r="AS121" s="488" t="str">
        <f>IF(AS$4="","",IF(HLOOKUP(AS$4,'Physical Effects-Numbers'!$B$1:$AU$172,$B121,FALSE)&lt;0,HLOOKUP(AS$4,'Physical Effects-Numbers'!$B$1:$AU$172,$B121,FALSE),""))</f>
        <v/>
      </c>
      <c r="AT121" s="488" t="str">
        <f>IF(AT$4="","",IF(HLOOKUP(AT$4,'Physical Effects-Numbers'!$B$1:$AU$172,$B121,FALSE)&lt;0,HLOOKUP(AT$4,'Physical Effects-Numbers'!$B$1:$AU$172,$B121,FALSE),""))</f>
        <v/>
      </c>
      <c r="AU121" s="488" t="str">
        <f>IF(AU$4="","",IF(HLOOKUP(AU$4,'Physical Effects-Numbers'!$B$1:$AU$172,$B121,FALSE)&lt;0,HLOOKUP(AU$4,'Physical Effects-Numbers'!$B$1:$AU$172,$B121,FALSE),""))</f>
        <v/>
      </c>
      <c r="AV121" s="488" t="str">
        <f>IF(AV$4="","",IF(HLOOKUP(AV$4,'Physical Effects-Numbers'!$B$1:$AU$167,$B121,FALSE)&lt;0,HLOOKUP(AV$4,'Physical Effects-Numbers'!$B$1:$AU$167,$B121,FALSE),""))</f>
        <v/>
      </c>
    </row>
    <row r="122" spans="2:48" x14ac:dyDescent="0.2">
      <c r="B122" s="487">
        <f t="shared" si="1"/>
        <v>119</v>
      </c>
      <c r="C122" s="486" t="str">
        <f>+'Physical Effects-Numbers'!B119</f>
        <v>Roofs and Covers</v>
      </c>
      <c r="D122" s="488" t="str">
        <f>IF(D$4="","",IF(HLOOKUP(D$4,'Physical Effects-Numbers'!$B$1:$AU$172,$B122,FALSE)&lt;0,HLOOKUP(D$4,'Physical Effects-Numbers'!$B$1:$AU$172,$B122,FALSE),""))</f>
        <v/>
      </c>
      <c r="E122" s="488" t="str">
        <f>IF(E$4="","",IF(HLOOKUP(E$4,'Physical Effects-Numbers'!$B$1:$AU$172,$B122,FALSE)&lt;0,HLOOKUP(E$4,'Physical Effects-Numbers'!$B$1:$AU$172,$B122,FALSE),""))</f>
        <v/>
      </c>
      <c r="F122" s="488" t="str">
        <f>IF(F$4="","",IF(HLOOKUP(F$4,'Physical Effects-Numbers'!$B$1:$AU$172,$B122,FALSE)&lt;0,HLOOKUP(F$4,'Physical Effects-Numbers'!$B$1:$AU$172,$B122,FALSE),""))</f>
        <v/>
      </c>
      <c r="G122" s="488" t="str">
        <f>IF(G$4="","",IF(HLOOKUP(G$4,'Physical Effects-Numbers'!$B$1:$AU$172,$B122,FALSE)&lt;0,HLOOKUP(G$4,'Physical Effects-Numbers'!$B$1:$AU$172,$B122,FALSE),""))</f>
        <v/>
      </c>
      <c r="H122" s="488" t="str">
        <f>IF(H$4="","",IF(HLOOKUP(H$4,'Physical Effects-Numbers'!$B$1:$AU$172,$B122,FALSE)&lt;0,HLOOKUP(H$4,'Physical Effects-Numbers'!$B$1:$AU$172,$B122,FALSE),""))</f>
        <v/>
      </c>
      <c r="I122" s="488" t="str">
        <f>IF(I$4="","",IF(HLOOKUP(I$4,'Physical Effects-Numbers'!$B$1:$AU$172,$B122,FALSE)&lt;0,HLOOKUP(I$4,'Physical Effects-Numbers'!$B$1:$AU$172,$B122,FALSE),""))</f>
        <v/>
      </c>
      <c r="J122" s="488" t="str">
        <f>IF(J$4="","",IF(HLOOKUP(J$4,'Physical Effects-Numbers'!$B$1:$AU$172,$B122,FALSE)&lt;0,HLOOKUP(J$4,'Physical Effects-Numbers'!$B$1:$AU$172,$B122,FALSE),""))</f>
        <v/>
      </c>
      <c r="K122" s="488" t="str">
        <f>IF(K$4="","",IF(HLOOKUP(K$4,'Physical Effects-Numbers'!$B$1:$AU$172,$B122,FALSE)&lt;0,HLOOKUP(K$4,'Physical Effects-Numbers'!$B$1:$AU$172,$B122,FALSE),""))</f>
        <v/>
      </c>
      <c r="L122" s="488" t="str">
        <f>IF(L$4="","",IF(HLOOKUP(L$4,'Physical Effects-Numbers'!$B$1:$AU$172,$B122,FALSE)&lt;0,HLOOKUP(L$4,'Physical Effects-Numbers'!$B$1:$AU$172,$B122,FALSE),""))</f>
        <v/>
      </c>
      <c r="M122" s="488" t="str">
        <f>IF(M$4="","",IF(HLOOKUP(M$4,'Physical Effects-Numbers'!$B$1:$AU$172,$B122,FALSE)&lt;0,HLOOKUP(M$4,'Physical Effects-Numbers'!$B$1:$AU$172,$B122,FALSE),""))</f>
        <v/>
      </c>
      <c r="N122" s="488">
        <f>IF(N$4="","",IF(HLOOKUP(N$4,'Physical Effects-Numbers'!$B$1:$AU$172,$B122,FALSE)&lt;0,HLOOKUP(N$4,'Physical Effects-Numbers'!$B$1:$AU$172,$B122,FALSE),""))</f>
        <v>-1</v>
      </c>
      <c r="O122" s="488" t="str">
        <f>IF(O$4="","",IF(HLOOKUP(O$4,'Physical Effects-Numbers'!$B$1:$AU$172,$B122,FALSE)&lt;0,HLOOKUP(O$4,'Physical Effects-Numbers'!$B$1:$AU$172,$B122,FALSE),""))</f>
        <v/>
      </c>
      <c r="P122" s="488" t="str">
        <f>IF(P$4="","",IF(HLOOKUP(P$4,'Physical Effects-Numbers'!$B$1:$AU$172,$B122,FALSE)&lt;0,HLOOKUP(P$4,'Physical Effects-Numbers'!$B$1:$AU$172,$B122,FALSE),""))</f>
        <v/>
      </c>
      <c r="Q122" s="488" t="str">
        <f>IF(Q$4="","",IF(HLOOKUP(Q$4,'Physical Effects-Numbers'!$B$1:$AU$172,$B122,FALSE)&lt;0,HLOOKUP(Q$4,'Physical Effects-Numbers'!$B$1:$AU$172,$B122,FALSE),""))</f>
        <v/>
      </c>
      <c r="R122" s="488" t="str">
        <f>IF(R$4="","",IF(HLOOKUP(R$4,'Physical Effects-Numbers'!$B$1:$AU$172,$B122,FALSE)&lt;0,HLOOKUP(R$4,'Physical Effects-Numbers'!$B$1:$AU$172,$B122,FALSE),""))</f>
        <v/>
      </c>
      <c r="S122" s="488" t="str">
        <f>IF(S$4="","",IF(HLOOKUP(S$4,'Physical Effects-Numbers'!$B$1:$AU$172,$B122,FALSE)&lt;0,HLOOKUP(S$4,'Physical Effects-Numbers'!$B$1:$AU$172,$B122,FALSE),""))</f>
        <v/>
      </c>
      <c r="T122" s="488" t="str">
        <f>IF(T$4="","",IF(HLOOKUP(T$4,'Physical Effects-Numbers'!$B$1:$AU$172,$B122,FALSE)&lt;0,HLOOKUP(T$4,'Physical Effects-Numbers'!$B$1:$AU$172,$B122,FALSE),""))</f>
        <v/>
      </c>
      <c r="U122" s="488" t="str">
        <f>IF(U$4="","",IF(HLOOKUP(U$4,'Physical Effects-Numbers'!$B$1:$AU$172,$B122,FALSE)&lt;0,HLOOKUP(U$4,'Physical Effects-Numbers'!$B$1:$AU$172,$B122,FALSE),""))</f>
        <v/>
      </c>
      <c r="V122" s="488" t="str">
        <f>IF(V$4="","",IF(HLOOKUP(V$4,'Physical Effects-Numbers'!$B$1:$AU$172,$B122,FALSE)&lt;0,HLOOKUP(V$4,'Physical Effects-Numbers'!$B$1:$AU$172,$B122,FALSE),""))</f>
        <v/>
      </c>
      <c r="W122" s="488" t="str">
        <f>IF(W$4="","",IF(HLOOKUP(W$4,'Physical Effects-Numbers'!$B$1:$AU$172,$B122,FALSE)&lt;0,HLOOKUP(W$4,'Physical Effects-Numbers'!$B$1:$AU$172,$B122,FALSE),""))</f>
        <v/>
      </c>
      <c r="X122" s="488" t="str">
        <f>IF(X$4="","",IF(HLOOKUP(X$4,'Physical Effects-Numbers'!$B$1:$AU$172,$B122,FALSE)&lt;0,HLOOKUP(X$4,'Physical Effects-Numbers'!$B$1:$AU$172,$B122,FALSE),""))</f>
        <v/>
      </c>
      <c r="Y122" s="488" t="str">
        <f>IF(Y$4="","",IF(HLOOKUP(Y$4,'Physical Effects-Numbers'!$B$1:$AU$172,$B122,FALSE)&lt;0,HLOOKUP(Y$4,'Physical Effects-Numbers'!$B$1:$AU$172,$B122,FALSE),""))</f>
        <v/>
      </c>
      <c r="Z122" s="488" t="str">
        <f>IF(Z$4="","",IF(HLOOKUP(Z$4,'Physical Effects-Numbers'!$B$1:$AU$172,$B122,FALSE)&lt;0,HLOOKUP(Z$4,'Physical Effects-Numbers'!$B$1:$AU$172,$B122,FALSE),""))</f>
        <v/>
      </c>
      <c r="AA122" s="488" t="str">
        <f>IF(AA$4="","",IF(HLOOKUP(AA$4,'Physical Effects-Numbers'!$B$1:$AU$172,$B122,FALSE)&lt;0,HLOOKUP(AA$4,'Physical Effects-Numbers'!$B$1:$AU$172,$B122,FALSE),""))</f>
        <v/>
      </c>
      <c r="AB122" s="488" t="str">
        <f>IF(AB$4="","",IF(HLOOKUP(AB$4,'Physical Effects-Numbers'!$B$1:$AU$172,$B122,FALSE)&lt;0,HLOOKUP(AB$4,'Physical Effects-Numbers'!$B$1:$AU$172,$B122,FALSE),""))</f>
        <v/>
      </c>
      <c r="AC122" s="488" t="str">
        <f>IF(AC$4="","",IF(HLOOKUP(AC$4,'Physical Effects-Numbers'!$B$1:$AU$172,$B122,FALSE)&lt;0,HLOOKUP(AC$4,'Physical Effects-Numbers'!$B$1:$AU$172,$B122,FALSE),""))</f>
        <v/>
      </c>
      <c r="AD122" s="488" t="str">
        <f>IF(AD$4="","",IF(HLOOKUP(AD$4,'Physical Effects-Numbers'!$B$1:$AU$172,$B122,FALSE)&lt;0,HLOOKUP(AD$4,'Physical Effects-Numbers'!$B$1:$AU$172,$B122,FALSE),""))</f>
        <v/>
      </c>
      <c r="AE122" s="488" t="str">
        <f>IF(AE$4="","",IF(HLOOKUP(AE$4,'Physical Effects-Numbers'!$B$1:$AU$172,$B122,FALSE)&lt;0,HLOOKUP(AE$4,'Physical Effects-Numbers'!$B$1:$AU$172,$B122,FALSE),""))</f>
        <v/>
      </c>
      <c r="AF122" s="488" t="str">
        <f>IF(AF$4="","",IF(HLOOKUP(AF$4,'Physical Effects-Numbers'!$B$1:$AU$172,$B122,FALSE)&lt;0,HLOOKUP(AF$4,'Physical Effects-Numbers'!$B$1:$AU$172,$B122,FALSE),""))</f>
        <v/>
      </c>
      <c r="AG122" s="488" t="str">
        <f>IF(AG$4="","",IF(HLOOKUP(AG$4,'Physical Effects-Numbers'!$B$1:$AU$172,$B122,FALSE)&lt;0,HLOOKUP(AG$4,'Physical Effects-Numbers'!$B$1:$AU$172,$B122,FALSE),""))</f>
        <v/>
      </c>
      <c r="AH122" s="488" t="str">
        <f>IF(AH$4="","",IF(HLOOKUP(AH$4,'Physical Effects-Numbers'!$B$1:$AU$172,$B122,FALSE)&lt;0,HLOOKUP(AH$4,'Physical Effects-Numbers'!$B$1:$AU$172,$B122,FALSE),""))</f>
        <v/>
      </c>
      <c r="AI122" s="488" t="str">
        <f>IF(AI$4="","",IF(HLOOKUP(AI$4,'Physical Effects-Numbers'!$B$1:$AU$172,$B122,FALSE)&lt;0,HLOOKUP(AI$4,'Physical Effects-Numbers'!$B$1:$AU$172,$B122,FALSE),""))</f>
        <v/>
      </c>
      <c r="AJ122" s="488" t="str">
        <f>IF(AJ$4="","",IF(HLOOKUP(AJ$4,'Physical Effects-Numbers'!$B$1:$AU$172,$B122,FALSE)&lt;0,HLOOKUP(AJ$4,'Physical Effects-Numbers'!$B$1:$AU$172,$B122,FALSE),""))</f>
        <v/>
      </c>
      <c r="AK122" s="488" t="str">
        <f>IF(AK$4="","",IF(HLOOKUP(AK$4,'Physical Effects-Numbers'!$B$1:$AU$172,$B122,FALSE)&lt;0,HLOOKUP(AK$4,'Physical Effects-Numbers'!$B$1:$AU$172,$B122,FALSE),""))</f>
        <v/>
      </c>
      <c r="AL122" s="488" t="str">
        <f>IF(AL$4="","",IF(HLOOKUP(AL$4,'Physical Effects-Numbers'!$B$1:$AU$172,$B122,FALSE)&lt;0,HLOOKUP(AL$4,'Physical Effects-Numbers'!$B$1:$AU$172,$B122,FALSE),""))</f>
        <v/>
      </c>
      <c r="AM122" s="488" t="str">
        <f>IF(AM$4="","",IF(HLOOKUP(AM$4,'Physical Effects-Numbers'!$B$1:$AU$172,$B122,FALSE)&lt;0,HLOOKUP(AM$4,'Physical Effects-Numbers'!$B$1:$AU$172,$B122,FALSE),""))</f>
        <v/>
      </c>
      <c r="AN122" s="488" t="str">
        <f>IF(AN$4="","",IF(HLOOKUP(AN$4,'Physical Effects-Numbers'!$B$1:$AU$172,$B122,FALSE)&lt;0,HLOOKUP(AN$4,'Physical Effects-Numbers'!$B$1:$AU$172,$B122,FALSE),""))</f>
        <v/>
      </c>
      <c r="AO122" s="488" t="str">
        <f>IF(AO$4="","",IF(HLOOKUP(AO$4,'Physical Effects-Numbers'!$B$1:$AU$172,$B122,FALSE)&lt;0,HLOOKUP(AO$4,'Physical Effects-Numbers'!$B$1:$AU$172,$B122,FALSE),""))</f>
        <v/>
      </c>
      <c r="AP122" s="488" t="str">
        <f>IF(AP$4="","",IF(HLOOKUP(AP$4,'Physical Effects-Numbers'!$B$1:$AU$172,$B122,FALSE)&lt;0,HLOOKUP(AP$4,'Physical Effects-Numbers'!$B$1:$AU$172,$B122,FALSE),""))</f>
        <v/>
      </c>
      <c r="AQ122" s="488" t="str">
        <f>IF(AQ$4="","",IF(HLOOKUP(AQ$4,'Physical Effects-Numbers'!$B$1:$AU$172,$B122,FALSE)&lt;0,HLOOKUP(AQ$4,'Physical Effects-Numbers'!$B$1:$AU$172,$B122,FALSE),""))</f>
        <v/>
      </c>
      <c r="AR122" s="488" t="str">
        <f>IF(AR$4="","",IF(HLOOKUP(AR$4,'Physical Effects-Numbers'!$B$1:$AU$172,$B122,FALSE)&lt;0,HLOOKUP(AR$4,'Physical Effects-Numbers'!$B$1:$AU$172,$B122,FALSE),""))</f>
        <v/>
      </c>
      <c r="AS122" s="488" t="str">
        <f>IF(AS$4="","",IF(HLOOKUP(AS$4,'Physical Effects-Numbers'!$B$1:$AU$172,$B122,FALSE)&lt;0,HLOOKUP(AS$4,'Physical Effects-Numbers'!$B$1:$AU$172,$B122,FALSE),""))</f>
        <v/>
      </c>
      <c r="AT122" s="488" t="str">
        <f>IF(AT$4="","",IF(HLOOKUP(AT$4,'Physical Effects-Numbers'!$B$1:$AU$172,$B122,FALSE)&lt;0,HLOOKUP(AT$4,'Physical Effects-Numbers'!$B$1:$AU$172,$B122,FALSE),""))</f>
        <v/>
      </c>
      <c r="AU122" s="488" t="str">
        <f>IF(AU$4="","",IF(HLOOKUP(AU$4,'Physical Effects-Numbers'!$B$1:$AU$172,$B122,FALSE)&lt;0,HLOOKUP(AU$4,'Physical Effects-Numbers'!$B$1:$AU$172,$B122,FALSE),""))</f>
        <v/>
      </c>
      <c r="AV122" s="488" t="str">
        <f>IF(AV$4="","",IF(HLOOKUP(AV$4,'Physical Effects-Numbers'!$B$1:$AU$167,$B122,FALSE)&lt;0,HLOOKUP(AV$4,'Physical Effects-Numbers'!$B$1:$AU$167,$B122,FALSE),""))</f>
        <v/>
      </c>
    </row>
    <row r="123" spans="2:48" x14ac:dyDescent="0.2">
      <c r="B123" s="487">
        <f t="shared" si="1"/>
        <v>120</v>
      </c>
      <c r="C123" s="486" t="str">
        <f>+'Physical Effects-Numbers'!B120</f>
        <v>Row Arrangement</v>
      </c>
      <c r="D123" s="488" t="str">
        <f>IF(D$4="","",IF(HLOOKUP(D$4,'Physical Effects-Numbers'!$B$1:$AU$172,$B123,FALSE)&lt;0,HLOOKUP(D$4,'Physical Effects-Numbers'!$B$1:$AU$172,$B123,FALSE),""))</f>
        <v/>
      </c>
      <c r="E123" s="488" t="str">
        <f>IF(E$4="","",IF(HLOOKUP(E$4,'Physical Effects-Numbers'!$B$1:$AU$172,$B123,FALSE)&lt;0,HLOOKUP(E$4,'Physical Effects-Numbers'!$B$1:$AU$172,$B123,FALSE),""))</f>
        <v/>
      </c>
      <c r="F123" s="488" t="str">
        <f>IF(F$4="","",IF(HLOOKUP(F$4,'Physical Effects-Numbers'!$B$1:$AU$172,$B123,FALSE)&lt;0,HLOOKUP(F$4,'Physical Effects-Numbers'!$B$1:$AU$172,$B123,FALSE),""))</f>
        <v/>
      </c>
      <c r="G123" s="488" t="str">
        <f>IF(G$4="","",IF(HLOOKUP(G$4,'Physical Effects-Numbers'!$B$1:$AU$172,$B123,FALSE)&lt;0,HLOOKUP(G$4,'Physical Effects-Numbers'!$B$1:$AU$172,$B123,FALSE),""))</f>
        <v/>
      </c>
      <c r="H123" s="488" t="str">
        <f>IF(H$4="","",IF(HLOOKUP(H$4,'Physical Effects-Numbers'!$B$1:$AU$172,$B123,FALSE)&lt;0,HLOOKUP(H$4,'Physical Effects-Numbers'!$B$1:$AU$172,$B123,FALSE),""))</f>
        <v/>
      </c>
      <c r="I123" s="488" t="str">
        <f>IF(I$4="","",IF(HLOOKUP(I$4,'Physical Effects-Numbers'!$B$1:$AU$172,$B123,FALSE)&lt;0,HLOOKUP(I$4,'Physical Effects-Numbers'!$B$1:$AU$172,$B123,FALSE),""))</f>
        <v/>
      </c>
      <c r="J123" s="488" t="str">
        <f>IF(J$4="","",IF(HLOOKUP(J$4,'Physical Effects-Numbers'!$B$1:$AU$172,$B123,FALSE)&lt;0,HLOOKUP(J$4,'Physical Effects-Numbers'!$B$1:$AU$172,$B123,FALSE),""))</f>
        <v/>
      </c>
      <c r="K123" s="488" t="str">
        <f>IF(K$4="","",IF(HLOOKUP(K$4,'Physical Effects-Numbers'!$B$1:$AU$172,$B123,FALSE)&lt;0,HLOOKUP(K$4,'Physical Effects-Numbers'!$B$1:$AU$172,$B123,FALSE),""))</f>
        <v/>
      </c>
      <c r="L123" s="488" t="str">
        <f>IF(L$4="","",IF(HLOOKUP(L$4,'Physical Effects-Numbers'!$B$1:$AU$172,$B123,FALSE)&lt;0,HLOOKUP(L$4,'Physical Effects-Numbers'!$B$1:$AU$172,$B123,FALSE),""))</f>
        <v/>
      </c>
      <c r="M123" s="488">
        <f>IF(M$4="","",IF(HLOOKUP(M$4,'Physical Effects-Numbers'!$B$1:$AU$172,$B123,FALSE)&lt;0,HLOOKUP(M$4,'Physical Effects-Numbers'!$B$1:$AU$172,$B123,FALSE),""))</f>
        <v>-1</v>
      </c>
      <c r="N123" s="488" t="str">
        <f>IF(N$4="","",IF(HLOOKUP(N$4,'Physical Effects-Numbers'!$B$1:$AU$172,$B123,FALSE)&lt;0,HLOOKUP(N$4,'Physical Effects-Numbers'!$B$1:$AU$172,$B123,FALSE),""))</f>
        <v/>
      </c>
      <c r="O123" s="488">
        <f>IF(O$4="","",IF(HLOOKUP(O$4,'Physical Effects-Numbers'!$B$1:$AU$172,$B123,FALSE)&lt;0,HLOOKUP(O$4,'Physical Effects-Numbers'!$B$1:$AU$172,$B123,FALSE),""))</f>
        <v>-1</v>
      </c>
      <c r="P123" s="488" t="str">
        <f>IF(P$4="","",IF(HLOOKUP(P$4,'Physical Effects-Numbers'!$B$1:$AU$172,$B123,FALSE)&lt;0,HLOOKUP(P$4,'Physical Effects-Numbers'!$B$1:$AU$172,$B123,FALSE),""))</f>
        <v/>
      </c>
      <c r="Q123" s="488" t="str">
        <f>IF(Q$4="","",IF(HLOOKUP(Q$4,'Physical Effects-Numbers'!$B$1:$AU$172,$B123,FALSE)&lt;0,HLOOKUP(Q$4,'Physical Effects-Numbers'!$B$1:$AU$172,$B123,FALSE),""))</f>
        <v/>
      </c>
      <c r="R123" s="488" t="str">
        <f>IF(R$4="","",IF(HLOOKUP(R$4,'Physical Effects-Numbers'!$B$1:$AU$172,$B123,FALSE)&lt;0,HLOOKUP(R$4,'Physical Effects-Numbers'!$B$1:$AU$172,$B123,FALSE),""))</f>
        <v/>
      </c>
      <c r="S123" s="488" t="str">
        <f>IF(S$4="","",IF(HLOOKUP(S$4,'Physical Effects-Numbers'!$B$1:$AU$172,$B123,FALSE)&lt;0,HLOOKUP(S$4,'Physical Effects-Numbers'!$B$1:$AU$172,$B123,FALSE),""))</f>
        <v/>
      </c>
      <c r="T123" s="488">
        <f>IF(T$4="","",IF(HLOOKUP(T$4,'Physical Effects-Numbers'!$B$1:$AU$172,$B123,FALSE)&lt;0,HLOOKUP(T$4,'Physical Effects-Numbers'!$B$1:$AU$172,$B123,FALSE),""))</f>
        <v>-1</v>
      </c>
      <c r="U123" s="488">
        <f>IF(U$4="","",IF(HLOOKUP(U$4,'Physical Effects-Numbers'!$B$1:$AU$172,$B123,FALSE)&lt;0,HLOOKUP(U$4,'Physical Effects-Numbers'!$B$1:$AU$172,$B123,FALSE),""))</f>
        <v>-2</v>
      </c>
      <c r="V123" s="488" t="str">
        <f>IF(V$4="","",IF(HLOOKUP(V$4,'Physical Effects-Numbers'!$B$1:$AU$172,$B123,FALSE)&lt;0,HLOOKUP(V$4,'Physical Effects-Numbers'!$B$1:$AU$172,$B123,FALSE),""))</f>
        <v/>
      </c>
      <c r="W123" s="488" t="str">
        <f>IF(W$4="","",IF(HLOOKUP(W$4,'Physical Effects-Numbers'!$B$1:$AU$172,$B123,FALSE)&lt;0,HLOOKUP(W$4,'Physical Effects-Numbers'!$B$1:$AU$172,$B123,FALSE),""))</f>
        <v/>
      </c>
      <c r="X123" s="488" t="str">
        <f>IF(X$4="","",IF(HLOOKUP(X$4,'Physical Effects-Numbers'!$B$1:$AU$172,$B123,FALSE)&lt;0,HLOOKUP(X$4,'Physical Effects-Numbers'!$B$1:$AU$172,$B123,FALSE),""))</f>
        <v/>
      </c>
      <c r="Y123" s="488" t="str">
        <f>IF(Y$4="","",IF(HLOOKUP(Y$4,'Physical Effects-Numbers'!$B$1:$AU$172,$B123,FALSE)&lt;0,HLOOKUP(Y$4,'Physical Effects-Numbers'!$B$1:$AU$172,$B123,FALSE),""))</f>
        <v/>
      </c>
      <c r="Z123" s="488" t="str">
        <f>IF(Z$4="","",IF(HLOOKUP(Z$4,'Physical Effects-Numbers'!$B$1:$AU$172,$B123,FALSE)&lt;0,HLOOKUP(Z$4,'Physical Effects-Numbers'!$B$1:$AU$172,$B123,FALSE),""))</f>
        <v/>
      </c>
      <c r="AA123" s="488" t="str">
        <f>IF(AA$4="","",IF(HLOOKUP(AA$4,'Physical Effects-Numbers'!$B$1:$AU$172,$B123,FALSE)&lt;0,HLOOKUP(AA$4,'Physical Effects-Numbers'!$B$1:$AU$172,$B123,FALSE),""))</f>
        <v/>
      </c>
      <c r="AB123" s="488" t="str">
        <f>IF(AB$4="","",IF(HLOOKUP(AB$4,'Physical Effects-Numbers'!$B$1:$AU$172,$B123,FALSE)&lt;0,HLOOKUP(AB$4,'Physical Effects-Numbers'!$B$1:$AU$172,$B123,FALSE),""))</f>
        <v/>
      </c>
      <c r="AC123" s="488" t="str">
        <f>IF(AC$4="","",IF(HLOOKUP(AC$4,'Physical Effects-Numbers'!$B$1:$AU$172,$B123,FALSE)&lt;0,HLOOKUP(AC$4,'Physical Effects-Numbers'!$B$1:$AU$172,$B123,FALSE),""))</f>
        <v/>
      </c>
      <c r="AD123" s="488" t="str">
        <f>IF(AD$4="","",IF(HLOOKUP(AD$4,'Physical Effects-Numbers'!$B$1:$AU$172,$B123,FALSE)&lt;0,HLOOKUP(AD$4,'Physical Effects-Numbers'!$B$1:$AU$172,$B123,FALSE),""))</f>
        <v/>
      </c>
      <c r="AE123" s="488" t="str">
        <f>IF(AE$4="","",IF(HLOOKUP(AE$4,'Physical Effects-Numbers'!$B$1:$AU$172,$B123,FALSE)&lt;0,HLOOKUP(AE$4,'Physical Effects-Numbers'!$B$1:$AU$172,$B123,FALSE),""))</f>
        <v/>
      </c>
      <c r="AF123" s="488" t="str">
        <f>IF(AF$4="","",IF(HLOOKUP(AF$4,'Physical Effects-Numbers'!$B$1:$AU$172,$B123,FALSE)&lt;0,HLOOKUP(AF$4,'Physical Effects-Numbers'!$B$1:$AU$172,$B123,FALSE),""))</f>
        <v/>
      </c>
      <c r="AG123" s="488" t="str">
        <f>IF(AG$4="","",IF(HLOOKUP(AG$4,'Physical Effects-Numbers'!$B$1:$AU$172,$B123,FALSE)&lt;0,HLOOKUP(AG$4,'Physical Effects-Numbers'!$B$1:$AU$172,$B123,FALSE),""))</f>
        <v/>
      </c>
      <c r="AH123" s="488" t="str">
        <f>IF(AH$4="","",IF(HLOOKUP(AH$4,'Physical Effects-Numbers'!$B$1:$AU$172,$B123,FALSE)&lt;0,HLOOKUP(AH$4,'Physical Effects-Numbers'!$B$1:$AU$172,$B123,FALSE),""))</f>
        <v/>
      </c>
      <c r="AI123" s="488" t="str">
        <f>IF(AI$4="","",IF(HLOOKUP(AI$4,'Physical Effects-Numbers'!$B$1:$AU$172,$B123,FALSE)&lt;0,HLOOKUP(AI$4,'Physical Effects-Numbers'!$B$1:$AU$172,$B123,FALSE),""))</f>
        <v/>
      </c>
      <c r="AJ123" s="488" t="str">
        <f>IF(AJ$4="","",IF(HLOOKUP(AJ$4,'Physical Effects-Numbers'!$B$1:$AU$172,$B123,FALSE)&lt;0,HLOOKUP(AJ$4,'Physical Effects-Numbers'!$B$1:$AU$172,$B123,FALSE),""))</f>
        <v/>
      </c>
      <c r="AK123" s="488" t="str">
        <f>IF(AK$4="","",IF(HLOOKUP(AK$4,'Physical Effects-Numbers'!$B$1:$AU$172,$B123,FALSE)&lt;0,HLOOKUP(AK$4,'Physical Effects-Numbers'!$B$1:$AU$172,$B123,FALSE),""))</f>
        <v/>
      </c>
      <c r="AL123" s="488" t="str">
        <f>IF(AL$4="","",IF(HLOOKUP(AL$4,'Physical Effects-Numbers'!$B$1:$AU$172,$B123,FALSE)&lt;0,HLOOKUP(AL$4,'Physical Effects-Numbers'!$B$1:$AU$172,$B123,FALSE),""))</f>
        <v/>
      </c>
      <c r="AM123" s="488" t="str">
        <f>IF(AM$4="","",IF(HLOOKUP(AM$4,'Physical Effects-Numbers'!$B$1:$AU$172,$B123,FALSE)&lt;0,HLOOKUP(AM$4,'Physical Effects-Numbers'!$B$1:$AU$172,$B123,FALSE),""))</f>
        <v/>
      </c>
      <c r="AN123" s="488" t="str">
        <f>IF(AN$4="","",IF(HLOOKUP(AN$4,'Physical Effects-Numbers'!$B$1:$AU$172,$B123,FALSE)&lt;0,HLOOKUP(AN$4,'Physical Effects-Numbers'!$B$1:$AU$172,$B123,FALSE),""))</f>
        <v/>
      </c>
      <c r="AO123" s="488" t="str">
        <f>IF(AO$4="","",IF(HLOOKUP(AO$4,'Physical Effects-Numbers'!$B$1:$AU$172,$B123,FALSE)&lt;0,HLOOKUP(AO$4,'Physical Effects-Numbers'!$B$1:$AU$172,$B123,FALSE),""))</f>
        <v/>
      </c>
      <c r="AP123" s="488" t="str">
        <f>IF(AP$4="","",IF(HLOOKUP(AP$4,'Physical Effects-Numbers'!$B$1:$AU$172,$B123,FALSE)&lt;0,HLOOKUP(AP$4,'Physical Effects-Numbers'!$B$1:$AU$172,$B123,FALSE),""))</f>
        <v/>
      </c>
      <c r="AQ123" s="488" t="str">
        <f>IF(AQ$4="","",IF(HLOOKUP(AQ$4,'Physical Effects-Numbers'!$B$1:$AU$172,$B123,FALSE)&lt;0,HLOOKUP(AQ$4,'Physical Effects-Numbers'!$B$1:$AU$172,$B123,FALSE),""))</f>
        <v/>
      </c>
      <c r="AR123" s="488" t="str">
        <f>IF(AR$4="","",IF(HLOOKUP(AR$4,'Physical Effects-Numbers'!$B$1:$AU$172,$B123,FALSE)&lt;0,HLOOKUP(AR$4,'Physical Effects-Numbers'!$B$1:$AU$172,$B123,FALSE),""))</f>
        <v/>
      </c>
      <c r="AS123" s="488" t="str">
        <f>IF(AS$4="","",IF(HLOOKUP(AS$4,'Physical Effects-Numbers'!$B$1:$AU$172,$B123,FALSE)&lt;0,HLOOKUP(AS$4,'Physical Effects-Numbers'!$B$1:$AU$172,$B123,FALSE),""))</f>
        <v/>
      </c>
      <c r="AT123" s="488" t="str">
        <f>IF(AT$4="","",IF(HLOOKUP(AT$4,'Physical Effects-Numbers'!$B$1:$AU$172,$B123,FALSE)&lt;0,HLOOKUP(AT$4,'Physical Effects-Numbers'!$B$1:$AU$172,$B123,FALSE),""))</f>
        <v/>
      </c>
      <c r="AU123" s="488" t="str">
        <f>IF(AU$4="","",IF(HLOOKUP(AU$4,'Physical Effects-Numbers'!$B$1:$AU$172,$B123,FALSE)&lt;0,HLOOKUP(AU$4,'Physical Effects-Numbers'!$B$1:$AU$172,$B123,FALSE),""))</f>
        <v/>
      </c>
      <c r="AV123" s="488" t="str">
        <f>IF(AV$4="","",IF(HLOOKUP(AV$4,'Physical Effects-Numbers'!$B$1:$AU$167,$B123,FALSE)&lt;0,HLOOKUP(AV$4,'Physical Effects-Numbers'!$B$1:$AU$167,$B123,FALSE),""))</f>
        <v/>
      </c>
    </row>
    <row r="124" spans="2:48" x14ac:dyDescent="0.2">
      <c r="B124" s="487">
        <f t="shared" si="1"/>
        <v>121</v>
      </c>
      <c r="C124" s="486" t="str">
        <f>+'Physical Effects-Numbers'!B121</f>
        <v>Salinity and Sodic Soil Management</v>
      </c>
      <c r="D124" s="488" t="str">
        <f>IF(D$4="","",IF(HLOOKUP(D$4,'Physical Effects-Numbers'!$B$1:$AU$172,$B124,FALSE)&lt;0,HLOOKUP(D$4,'Physical Effects-Numbers'!$B$1:$AU$172,$B124,FALSE),""))</f>
        <v/>
      </c>
      <c r="E124" s="488" t="str">
        <f>IF(E$4="","",IF(HLOOKUP(E$4,'Physical Effects-Numbers'!$B$1:$AU$172,$B124,FALSE)&lt;0,HLOOKUP(E$4,'Physical Effects-Numbers'!$B$1:$AU$172,$B124,FALSE),""))</f>
        <v/>
      </c>
      <c r="F124" s="488" t="str">
        <f>IF(F$4="","",IF(HLOOKUP(F$4,'Physical Effects-Numbers'!$B$1:$AU$172,$B124,FALSE)&lt;0,HLOOKUP(F$4,'Physical Effects-Numbers'!$B$1:$AU$172,$B124,FALSE),""))</f>
        <v/>
      </c>
      <c r="G124" s="488" t="str">
        <f>IF(G$4="","",IF(HLOOKUP(G$4,'Physical Effects-Numbers'!$B$1:$AU$172,$B124,FALSE)&lt;0,HLOOKUP(G$4,'Physical Effects-Numbers'!$B$1:$AU$172,$B124,FALSE),""))</f>
        <v/>
      </c>
      <c r="H124" s="488" t="str">
        <f>IF(H$4="","",IF(HLOOKUP(H$4,'Physical Effects-Numbers'!$B$1:$AU$172,$B124,FALSE)&lt;0,HLOOKUP(H$4,'Physical Effects-Numbers'!$B$1:$AU$172,$B124,FALSE),""))</f>
        <v/>
      </c>
      <c r="I124" s="488" t="str">
        <f>IF(I$4="","",IF(HLOOKUP(I$4,'Physical Effects-Numbers'!$B$1:$AU$172,$B124,FALSE)&lt;0,HLOOKUP(I$4,'Physical Effects-Numbers'!$B$1:$AU$172,$B124,FALSE),""))</f>
        <v/>
      </c>
      <c r="J124" s="488" t="str">
        <f>IF(J$4="","",IF(HLOOKUP(J$4,'Physical Effects-Numbers'!$B$1:$AU$172,$B124,FALSE)&lt;0,HLOOKUP(J$4,'Physical Effects-Numbers'!$B$1:$AU$172,$B124,FALSE),""))</f>
        <v/>
      </c>
      <c r="K124" s="488" t="str">
        <f>IF(K$4="","",IF(HLOOKUP(K$4,'Physical Effects-Numbers'!$B$1:$AU$172,$B124,FALSE)&lt;0,HLOOKUP(K$4,'Physical Effects-Numbers'!$B$1:$AU$172,$B124,FALSE),""))</f>
        <v/>
      </c>
      <c r="L124" s="488" t="str">
        <f>IF(L$4="","",IF(HLOOKUP(L$4,'Physical Effects-Numbers'!$B$1:$AU$172,$B124,FALSE)&lt;0,HLOOKUP(L$4,'Physical Effects-Numbers'!$B$1:$AU$172,$B124,FALSE),""))</f>
        <v/>
      </c>
      <c r="M124" s="488" t="str">
        <f>IF(M$4="","",IF(HLOOKUP(M$4,'Physical Effects-Numbers'!$B$1:$AU$172,$B124,FALSE)&lt;0,HLOOKUP(M$4,'Physical Effects-Numbers'!$B$1:$AU$172,$B124,FALSE),""))</f>
        <v/>
      </c>
      <c r="N124" s="488" t="str">
        <f>IF(N$4="","",IF(HLOOKUP(N$4,'Physical Effects-Numbers'!$B$1:$AU$172,$B124,FALSE)&lt;0,HLOOKUP(N$4,'Physical Effects-Numbers'!$B$1:$AU$172,$B124,FALSE),""))</f>
        <v/>
      </c>
      <c r="O124" s="488" t="str">
        <f>IF(O$4="","",IF(HLOOKUP(O$4,'Physical Effects-Numbers'!$B$1:$AU$172,$B124,FALSE)&lt;0,HLOOKUP(O$4,'Physical Effects-Numbers'!$B$1:$AU$172,$B124,FALSE),""))</f>
        <v/>
      </c>
      <c r="P124" s="488" t="str">
        <f>IF(P$4="","",IF(HLOOKUP(P$4,'Physical Effects-Numbers'!$B$1:$AU$172,$B124,FALSE)&lt;0,HLOOKUP(P$4,'Physical Effects-Numbers'!$B$1:$AU$172,$B124,FALSE),""))</f>
        <v/>
      </c>
      <c r="Q124" s="488" t="str">
        <f>IF(Q$4="","",IF(HLOOKUP(Q$4,'Physical Effects-Numbers'!$B$1:$AU$172,$B124,FALSE)&lt;0,HLOOKUP(Q$4,'Physical Effects-Numbers'!$B$1:$AU$172,$B124,FALSE),""))</f>
        <v/>
      </c>
      <c r="R124" s="488" t="str">
        <f>IF(R$4="","",IF(HLOOKUP(R$4,'Physical Effects-Numbers'!$B$1:$AU$172,$B124,FALSE)&lt;0,HLOOKUP(R$4,'Physical Effects-Numbers'!$B$1:$AU$172,$B124,FALSE),""))</f>
        <v/>
      </c>
      <c r="S124" s="488" t="str">
        <f>IF(S$4="","",IF(HLOOKUP(S$4,'Physical Effects-Numbers'!$B$1:$AU$172,$B124,FALSE)&lt;0,HLOOKUP(S$4,'Physical Effects-Numbers'!$B$1:$AU$172,$B124,FALSE),""))</f>
        <v/>
      </c>
      <c r="T124" s="488" t="str">
        <f>IF(T$4="","",IF(HLOOKUP(T$4,'Physical Effects-Numbers'!$B$1:$AU$172,$B124,FALSE)&lt;0,HLOOKUP(T$4,'Physical Effects-Numbers'!$B$1:$AU$172,$B124,FALSE),""))</f>
        <v/>
      </c>
      <c r="U124" s="488" t="str">
        <f>IF(U$4="","",IF(HLOOKUP(U$4,'Physical Effects-Numbers'!$B$1:$AU$172,$B124,FALSE)&lt;0,HLOOKUP(U$4,'Physical Effects-Numbers'!$B$1:$AU$172,$B124,FALSE),""))</f>
        <v/>
      </c>
      <c r="V124" s="488" t="str">
        <f>IF(V$4="","",IF(HLOOKUP(V$4,'Physical Effects-Numbers'!$B$1:$AU$172,$B124,FALSE)&lt;0,HLOOKUP(V$4,'Physical Effects-Numbers'!$B$1:$AU$172,$B124,FALSE),""))</f>
        <v/>
      </c>
      <c r="W124" s="488">
        <f>IF(W$4="","",IF(HLOOKUP(W$4,'Physical Effects-Numbers'!$B$1:$AU$172,$B124,FALSE)&lt;0,HLOOKUP(W$4,'Physical Effects-Numbers'!$B$1:$AU$172,$B124,FALSE),""))</f>
        <v>-2</v>
      </c>
      <c r="X124" s="488">
        <f>IF(X$4="","",IF(HLOOKUP(X$4,'Physical Effects-Numbers'!$B$1:$AU$172,$B124,FALSE)&lt;0,HLOOKUP(X$4,'Physical Effects-Numbers'!$B$1:$AU$172,$B124,FALSE),""))</f>
        <v>-2</v>
      </c>
      <c r="Y124" s="488" t="str">
        <f>IF(Y$4="","",IF(HLOOKUP(Y$4,'Physical Effects-Numbers'!$B$1:$AU$172,$B124,FALSE)&lt;0,HLOOKUP(Y$4,'Physical Effects-Numbers'!$B$1:$AU$172,$B124,FALSE),""))</f>
        <v/>
      </c>
      <c r="Z124" s="488">
        <f>IF(Z$4="","",IF(HLOOKUP(Z$4,'Physical Effects-Numbers'!$B$1:$AU$172,$B124,FALSE)&lt;0,HLOOKUP(Z$4,'Physical Effects-Numbers'!$B$1:$AU$172,$B124,FALSE),""))</f>
        <v>-1</v>
      </c>
      <c r="AA124" s="488" t="str">
        <f>IF(AA$4="","",IF(HLOOKUP(AA$4,'Physical Effects-Numbers'!$B$1:$AU$172,$B124,FALSE)&lt;0,HLOOKUP(AA$4,'Physical Effects-Numbers'!$B$1:$AU$172,$B124,FALSE),""))</f>
        <v/>
      </c>
      <c r="AB124" s="488" t="str">
        <f>IF(AB$4="","",IF(HLOOKUP(AB$4,'Physical Effects-Numbers'!$B$1:$AU$172,$B124,FALSE)&lt;0,HLOOKUP(AB$4,'Physical Effects-Numbers'!$B$1:$AU$172,$B124,FALSE),""))</f>
        <v/>
      </c>
      <c r="AC124" s="488" t="str">
        <f>IF(AC$4="","",IF(HLOOKUP(AC$4,'Physical Effects-Numbers'!$B$1:$AU$172,$B124,FALSE)&lt;0,HLOOKUP(AC$4,'Physical Effects-Numbers'!$B$1:$AU$172,$B124,FALSE),""))</f>
        <v/>
      </c>
      <c r="AD124" s="488">
        <f>IF(AD$4="","",IF(HLOOKUP(AD$4,'Physical Effects-Numbers'!$B$1:$AU$172,$B124,FALSE)&lt;0,HLOOKUP(AD$4,'Physical Effects-Numbers'!$B$1:$AU$172,$B124,FALSE),""))</f>
        <v>-1</v>
      </c>
      <c r="AE124" s="488" t="str">
        <f>IF(AE$4="","",IF(HLOOKUP(AE$4,'Physical Effects-Numbers'!$B$1:$AU$172,$B124,FALSE)&lt;0,HLOOKUP(AE$4,'Physical Effects-Numbers'!$B$1:$AU$172,$B124,FALSE),""))</f>
        <v/>
      </c>
      <c r="AF124" s="488" t="str">
        <f>IF(AF$4="","",IF(HLOOKUP(AF$4,'Physical Effects-Numbers'!$B$1:$AU$172,$B124,FALSE)&lt;0,HLOOKUP(AF$4,'Physical Effects-Numbers'!$B$1:$AU$172,$B124,FALSE),""))</f>
        <v/>
      </c>
      <c r="AG124" s="488" t="str">
        <f>IF(AG$4="","",IF(HLOOKUP(AG$4,'Physical Effects-Numbers'!$B$1:$AU$172,$B124,FALSE)&lt;0,HLOOKUP(AG$4,'Physical Effects-Numbers'!$B$1:$AU$172,$B124,FALSE),""))</f>
        <v/>
      </c>
      <c r="AH124" s="488" t="str">
        <f>IF(AH$4="","",IF(HLOOKUP(AH$4,'Physical Effects-Numbers'!$B$1:$AU$172,$B124,FALSE)&lt;0,HLOOKUP(AH$4,'Physical Effects-Numbers'!$B$1:$AU$172,$B124,FALSE),""))</f>
        <v/>
      </c>
      <c r="AI124" s="488" t="str">
        <f>IF(AI$4="","",IF(HLOOKUP(AI$4,'Physical Effects-Numbers'!$B$1:$AU$172,$B124,FALSE)&lt;0,HLOOKUP(AI$4,'Physical Effects-Numbers'!$B$1:$AU$172,$B124,FALSE),""))</f>
        <v/>
      </c>
      <c r="AJ124" s="488" t="str">
        <f>IF(AJ$4="","",IF(HLOOKUP(AJ$4,'Physical Effects-Numbers'!$B$1:$AU$172,$B124,FALSE)&lt;0,HLOOKUP(AJ$4,'Physical Effects-Numbers'!$B$1:$AU$172,$B124,FALSE),""))</f>
        <v/>
      </c>
      <c r="AK124" s="488" t="str">
        <f>IF(AK$4="","",IF(HLOOKUP(AK$4,'Physical Effects-Numbers'!$B$1:$AU$172,$B124,FALSE)&lt;0,HLOOKUP(AK$4,'Physical Effects-Numbers'!$B$1:$AU$172,$B124,FALSE),""))</f>
        <v/>
      </c>
      <c r="AL124" s="488" t="str">
        <f>IF(AL$4="","",IF(HLOOKUP(AL$4,'Physical Effects-Numbers'!$B$1:$AU$172,$B124,FALSE)&lt;0,HLOOKUP(AL$4,'Physical Effects-Numbers'!$B$1:$AU$172,$B124,FALSE),""))</f>
        <v/>
      </c>
      <c r="AM124" s="488" t="str">
        <f>IF(AM$4="","",IF(HLOOKUP(AM$4,'Physical Effects-Numbers'!$B$1:$AU$172,$B124,FALSE)&lt;0,HLOOKUP(AM$4,'Physical Effects-Numbers'!$B$1:$AU$172,$B124,FALSE),""))</f>
        <v/>
      </c>
      <c r="AN124" s="488" t="str">
        <f>IF(AN$4="","",IF(HLOOKUP(AN$4,'Physical Effects-Numbers'!$B$1:$AU$172,$B124,FALSE)&lt;0,HLOOKUP(AN$4,'Physical Effects-Numbers'!$B$1:$AU$172,$B124,FALSE),""))</f>
        <v/>
      </c>
      <c r="AO124" s="488" t="str">
        <f>IF(AO$4="","",IF(HLOOKUP(AO$4,'Physical Effects-Numbers'!$B$1:$AU$172,$B124,FALSE)&lt;0,HLOOKUP(AO$4,'Physical Effects-Numbers'!$B$1:$AU$172,$B124,FALSE),""))</f>
        <v/>
      </c>
      <c r="AP124" s="488" t="str">
        <f>IF(AP$4="","",IF(HLOOKUP(AP$4,'Physical Effects-Numbers'!$B$1:$AU$172,$B124,FALSE)&lt;0,HLOOKUP(AP$4,'Physical Effects-Numbers'!$B$1:$AU$172,$B124,FALSE),""))</f>
        <v/>
      </c>
      <c r="AQ124" s="488" t="str">
        <f>IF(AQ$4="","",IF(HLOOKUP(AQ$4,'Physical Effects-Numbers'!$B$1:$AU$172,$B124,FALSE)&lt;0,HLOOKUP(AQ$4,'Physical Effects-Numbers'!$B$1:$AU$172,$B124,FALSE),""))</f>
        <v/>
      </c>
      <c r="AR124" s="488" t="str">
        <f>IF(AR$4="","",IF(HLOOKUP(AR$4,'Physical Effects-Numbers'!$B$1:$AU$172,$B124,FALSE)&lt;0,HLOOKUP(AR$4,'Physical Effects-Numbers'!$B$1:$AU$172,$B124,FALSE),""))</f>
        <v/>
      </c>
      <c r="AS124" s="488" t="str">
        <f>IF(AS$4="","",IF(HLOOKUP(AS$4,'Physical Effects-Numbers'!$B$1:$AU$172,$B124,FALSE)&lt;0,HLOOKUP(AS$4,'Physical Effects-Numbers'!$B$1:$AU$172,$B124,FALSE),""))</f>
        <v/>
      </c>
      <c r="AT124" s="488" t="str">
        <f>IF(AT$4="","",IF(HLOOKUP(AT$4,'Physical Effects-Numbers'!$B$1:$AU$172,$B124,FALSE)&lt;0,HLOOKUP(AT$4,'Physical Effects-Numbers'!$B$1:$AU$172,$B124,FALSE),""))</f>
        <v/>
      </c>
      <c r="AU124" s="488" t="str">
        <f>IF(AU$4="","",IF(HLOOKUP(AU$4,'Physical Effects-Numbers'!$B$1:$AU$172,$B124,FALSE)&lt;0,HLOOKUP(AU$4,'Physical Effects-Numbers'!$B$1:$AU$172,$B124,FALSE),""))</f>
        <v/>
      </c>
      <c r="AV124" s="488" t="str">
        <f>IF(AV$4="","",IF(HLOOKUP(AV$4,'Physical Effects-Numbers'!$B$1:$AU$167,$B124,FALSE)&lt;0,HLOOKUP(AV$4,'Physical Effects-Numbers'!$B$1:$AU$167,$B124,FALSE),""))</f>
        <v/>
      </c>
    </row>
    <row r="125" spans="2:48" x14ac:dyDescent="0.2">
      <c r="B125" s="487">
        <f t="shared" si="1"/>
        <v>122</v>
      </c>
      <c r="C125" s="486" t="str">
        <f>+'Physical Effects-Numbers'!B122</f>
        <v>Saturated Buffer</v>
      </c>
      <c r="D125" s="488" t="str">
        <f>IF(D$4="","",IF(HLOOKUP(D$4,'Physical Effects-Numbers'!$B$1:$AU$172,$B125,FALSE)&lt;0,HLOOKUP(D$4,'Physical Effects-Numbers'!$B$1:$AU$172,$B125,FALSE),""))</f>
        <v/>
      </c>
      <c r="E125" s="488" t="str">
        <f>IF(E$4="","",IF(HLOOKUP(E$4,'Physical Effects-Numbers'!$B$1:$AU$172,$B125,FALSE)&lt;0,HLOOKUP(E$4,'Physical Effects-Numbers'!$B$1:$AU$172,$B125,FALSE),""))</f>
        <v/>
      </c>
      <c r="F125" s="488" t="str">
        <f>IF(F$4="","",IF(HLOOKUP(F$4,'Physical Effects-Numbers'!$B$1:$AU$172,$B125,FALSE)&lt;0,HLOOKUP(F$4,'Physical Effects-Numbers'!$B$1:$AU$172,$B125,FALSE),""))</f>
        <v/>
      </c>
      <c r="G125" s="488" t="str">
        <f>IF(G$4="","",IF(HLOOKUP(G$4,'Physical Effects-Numbers'!$B$1:$AU$172,$B125,FALSE)&lt;0,HLOOKUP(G$4,'Physical Effects-Numbers'!$B$1:$AU$172,$B125,FALSE),""))</f>
        <v/>
      </c>
      <c r="H125" s="488" t="str">
        <f>IF(H$4="","",IF(HLOOKUP(H$4,'Physical Effects-Numbers'!$B$1:$AU$172,$B125,FALSE)&lt;0,HLOOKUP(H$4,'Physical Effects-Numbers'!$B$1:$AU$172,$B125,FALSE),""))</f>
        <v/>
      </c>
      <c r="I125" s="488" t="str">
        <f>IF(I$4="","",IF(HLOOKUP(I$4,'Physical Effects-Numbers'!$B$1:$AU$172,$B125,FALSE)&lt;0,HLOOKUP(I$4,'Physical Effects-Numbers'!$B$1:$AU$172,$B125,FALSE),""))</f>
        <v/>
      </c>
      <c r="J125" s="488" t="str">
        <f>IF(J$4="","",IF(HLOOKUP(J$4,'Physical Effects-Numbers'!$B$1:$AU$172,$B125,FALSE)&lt;0,HLOOKUP(J$4,'Physical Effects-Numbers'!$B$1:$AU$172,$B125,FALSE),""))</f>
        <v/>
      </c>
      <c r="K125" s="488" t="str">
        <f>IF(K$4="","",IF(HLOOKUP(K$4,'Physical Effects-Numbers'!$B$1:$AU$172,$B125,FALSE)&lt;0,HLOOKUP(K$4,'Physical Effects-Numbers'!$B$1:$AU$172,$B125,FALSE),""))</f>
        <v/>
      </c>
      <c r="L125" s="488" t="str">
        <f>IF(L$4="","",IF(HLOOKUP(L$4,'Physical Effects-Numbers'!$B$1:$AU$172,$B125,FALSE)&lt;0,HLOOKUP(L$4,'Physical Effects-Numbers'!$B$1:$AU$172,$B125,FALSE),""))</f>
        <v/>
      </c>
      <c r="M125" s="488" t="str">
        <f>IF(M$4="","",IF(HLOOKUP(M$4,'Physical Effects-Numbers'!$B$1:$AU$172,$B125,FALSE)&lt;0,HLOOKUP(M$4,'Physical Effects-Numbers'!$B$1:$AU$172,$B125,FALSE),""))</f>
        <v/>
      </c>
      <c r="N125" s="488" t="str">
        <f>IF(N$4="","",IF(HLOOKUP(N$4,'Physical Effects-Numbers'!$B$1:$AU$172,$B125,FALSE)&lt;0,HLOOKUP(N$4,'Physical Effects-Numbers'!$B$1:$AU$172,$B125,FALSE),""))</f>
        <v/>
      </c>
      <c r="O125" s="488" t="str">
        <f>IF(O$4="","",IF(HLOOKUP(O$4,'Physical Effects-Numbers'!$B$1:$AU$172,$B125,FALSE)&lt;0,HLOOKUP(O$4,'Physical Effects-Numbers'!$B$1:$AU$172,$B125,FALSE),""))</f>
        <v/>
      </c>
      <c r="P125" s="488" t="str">
        <f>IF(P$4="","",IF(HLOOKUP(P$4,'Physical Effects-Numbers'!$B$1:$AU$172,$B125,FALSE)&lt;0,HLOOKUP(P$4,'Physical Effects-Numbers'!$B$1:$AU$172,$B125,FALSE),""))</f>
        <v/>
      </c>
      <c r="Q125" s="488" t="str">
        <f>IF(Q$4="","",IF(HLOOKUP(Q$4,'Physical Effects-Numbers'!$B$1:$AU$172,$B125,FALSE)&lt;0,HLOOKUP(Q$4,'Physical Effects-Numbers'!$B$1:$AU$172,$B125,FALSE),""))</f>
        <v/>
      </c>
      <c r="R125" s="488" t="str">
        <f>IF(R$4="","",IF(HLOOKUP(R$4,'Physical Effects-Numbers'!$B$1:$AU$172,$B125,FALSE)&lt;0,HLOOKUP(R$4,'Physical Effects-Numbers'!$B$1:$AU$172,$B125,FALSE),""))</f>
        <v/>
      </c>
      <c r="S125" s="488" t="str">
        <f>IF(S$4="","",IF(HLOOKUP(S$4,'Physical Effects-Numbers'!$B$1:$AU$172,$B125,FALSE)&lt;0,HLOOKUP(S$4,'Physical Effects-Numbers'!$B$1:$AU$172,$B125,FALSE),""))</f>
        <v/>
      </c>
      <c r="T125" s="488" t="str">
        <f>IF(T$4="","",IF(HLOOKUP(T$4,'Physical Effects-Numbers'!$B$1:$AU$172,$B125,FALSE)&lt;0,HLOOKUP(T$4,'Physical Effects-Numbers'!$B$1:$AU$172,$B125,FALSE),""))</f>
        <v/>
      </c>
      <c r="U125" s="488" t="str">
        <f>IF(U$4="","",IF(HLOOKUP(U$4,'Physical Effects-Numbers'!$B$1:$AU$172,$B125,FALSE)&lt;0,HLOOKUP(U$4,'Physical Effects-Numbers'!$B$1:$AU$172,$B125,FALSE),""))</f>
        <v/>
      </c>
      <c r="V125" s="488" t="str">
        <f>IF(V$4="","",IF(HLOOKUP(V$4,'Physical Effects-Numbers'!$B$1:$AU$172,$B125,FALSE)&lt;0,HLOOKUP(V$4,'Physical Effects-Numbers'!$B$1:$AU$172,$B125,FALSE),""))</f>
        <v/>
      </c>
      <c r="W125" s="488" t="str">
        <f>IF(W$4="","",IF(HLOOKUP(W$4,'Physical Effects-Numbers'!$B$1:$AU$172,$B125,FALSE)&lt;0,HLOOKUP(W$4,'Physical Effects-Numbers'!$B$1:$AU$172,$B125,FALSE),""))</f>
        <v/>
      </c>
      <c r="X125" s="488" t="str">
        <f>IF(X$4="","",IF(HLOOKUP(X$4,'Physical Effects-Numbers'!$B$1:$AU$172,$B125,FALSE)&lt;0,HLOOKUP(X$4,'Physical Effects-Numbers'!$B$1:$AU$172,$B125,FALSE),""))</f>
        <v/>
      </c>
      <c r="Y125" s="488" t="str">
        <f>IF(Y$4="","",IF(HLOOKUP(Y$4,'Physical Effects-Numbers'!$B$1:$AU$172,$B125,FALSE)&lt;0,HLOOKUP(Y$4,'Physical Effects-Numbers'!$B$1:$AU$172,$B125,FALSE),""))</f>
        <v/>
      </c>
      <c r="Z125" s="488" t="str">
        <f>IF(Z$4="","",IF(HLOOKUP(Z$4,'Physical Effects-Numbers'!$B$1:$AU$172,$B125,FALSE)&lt;0,HLOOKUP(Z$4,'Physical Effects-Numbers'!$B$1:$AU$172,$B125,FALSE),""))</f>
        <v/>
      </c>
      <c r="AA125" s="488" t="str">
        <f>IF(AA$4="","",IF(HLOOKUP(AA$4,'Physical Effects-Numbers'!$B$1:$AU$172,$B125,FALSE)&lt;0,HLOOKUP(AA$4,'Physical Effects-Numbers'!$B$1:$AU$172,$B125,FALSE),""))</f>
        <v/>
      </c>
      <c r="AB125" s="488" t="str">
        <f>IF(AB$4="","",IF(HLOOKUP(AB$4,'Physical Effects-Numbers'!$B$1:$AU$172,$B125,FALSE)&lt;0,HLOOKUP(AB$4,'Physical Effects-Numbers'!$B$1:$AU$172,$B125,FALSE),""))</f>
        <v/>
      </c>
      <c r="AC125" s="488" t="str">
        <f>IF(AC$4="","",IF(HLOOKUP(AC$4,'Physical Effects-Numbers'!$B$1:$AU$172,$B125,FALSE)&lt;0,HLOOKUP(AC$4,'Physical Effects-Numbers'!$B$1:$AU$172,$B125,FALSE),""))</f>
        <v/>
      </c>
      <c r="AD125" s="488" t="str">
        <f>IF(AD$4="","",IF(HLOOKUP(AD$4,'Physical Effects-Numbers'!$B$1:$AU$172,$B125,FALSE)&lt;0,HLOOKUP(AD$4,'Physical Effects-Numbers'!$B$1:$AU$172,$B125,FALSE),""))</f>
        <v/>
      </c>
      <c r="AE125" s="488" t="str">
        <f>IF(AE$4="","",IF(HLOOKUP(AE$4,'Physical Effects-Numbers'!$B$1:$AU$172,$B125,FALSE)&lt;0,HLOOKUP(AE$4,'Physical Effects-Numbers'!$B$1:$AU$172,$B125,FALSE),""))</f>
        <v/>
      </c>
      <c r="AF125" s="488" t="str">
        <f>IF(AF$4="","",IF(HLOOKUP(AF$4,'Physical Effects-Numbers'!$B$1:$AU$172,$B125,FALSE)&lt;0,HLOOKUP(AF$4,'Physical Effects-Numbers'!$B$1:$AU$172,$B125,FALSE),""))</f>
        <v/>
      </c>
      <c r="AG125" s="488" t="str">
        <f>IF(AG$4="","",IF(HLOOKUP(AG$4,'Physical Effects-Numbers'!$B$1:$AU$172,$B125,FALSE)&lt;0,HLOOKUP(AG$4,'Physical Effects-Numbers'!$B$1:$AU$172,$B125,FALSE),""))</f>
        <v/>
      </c>
      <c r="AH125" s="488" t="str">
        <f>IF(AH$4="","",IF(HLOOKUP(AH$4,'Physical Effects-Numbers'!$B$1:$AU$172,$B125,FALSE)&lt;0,HLOOKUP(AH$4,'Physical Effects-Numbers'!$B$1:$AU$172,$B125,FALSE),""))</f>
        <v/>
      </c>
      <c r="AI125" s="488" t="str">
        <f>IF(AI$4="","",IF(HLOOKUP(AI$4,'Physical Effects-Numbers'!$B$1:$AU$172,$B125,FALSE)&lt;0,HLOOKUP(AI$4,'Physical Effects-Numbers'!$B$1:$AU$172,$B125,FALSE),""))</f>
        <v/>
      </c>
      <c r="AJ125" s="488" t="str">
        <f>IF(AJ$4="","",IF(HLOOKUP(AJ$4,'Physical Effects-Numbers'!$B$1:$AU$172,$B125,FALSE)&lt;0,HLOOKUP(AJ$4,'Physical Effects-Numbers'!$B$1:$AU$172,$B125,FALSE),""))</f>
        <v/>
      </c>
      <c r="AK125" s="488" t="str">
        <f>IF(AK$4="","",IF(HLOOKUP(AK$4,'Physical Effects-Numbers'!$B$1:$AU$172,$B125,FALSE)&lt;0,HLOOKUP(AK$4,'Physical Effects-Numbers'!$B$1:$AU$172,$B125,FALSE),""))</f>
        <v/>
      </c>
      <c r="AL125" s="488" t="str">
        <f>IF(AL$4="","",IF(HLOOKUP(AL$4,'Physical Effects-Numbers'!$B$1:$AU$172,$B125,FALSE)&lt;0,HLOOKUP(AL$4,'Physical Effects-Numbers'!$B$1:$AU$172,$B125,FALSE),""))</f>
        <v/>
      </c>
      <c r="AM125" s="488" t="str">
        <f>IF(AM$4="","",IF(HLOOKUP(AM$4,'Physical Effects-Numbers'!$B$1:$AU$172,$B125,FALSE)&lt;0,HLOOKUP(AM$4,'Physical Effects-Numbers'!$B$1:$AU$172,$B125,FALSE),""))</f>
        <v/>
      </c>
      <c r="AN125" s="488" t="str">
        <f>IF(AN$4="","",IF(HLOOKUP(AN$4,'Physical Effects-Numbers'!$B$1:$AU$172,$B125,FALSE)&lt;0,HLOOKUP(AN$4,'Physical Effects-Numbers'!$B$1:$AU$172,$B125,FALSE),""))</f>
        <v/>
      </c>
      <c r="AO125" s="488" t="str">
        <f>IF(AO$4="","",IF(HLOOKUP(AO$4,'Physical Effects-Numbers'!$B$1:$AU$172,$B125,FALSE)&lt;0,HLOOKUP(AO$4,'Physical Effects-Numbers'!$B$1:$AU$172,$B125,FALSE),""))</f>
        <v/>
      </c>
      <c r="AP125" s="488" t="str">
        <f>IF(AP$4="","",IF(HLOOKUP(AP$4,'Physical Effects-Numbers'!$B$1:$AU$172,$B125,FALSE)&lt;0,HLOOKUP(AP$4,'Physical Effects-Numbers'!$B$1:$AU$172,$B125,FALSE),""))</f>
        <v/>
      </c>
      <c r="AQ125" s="488" t="str">
        <f>IF(AQ$4="","",IF(HLOOKUP(AQ$4,'Physical Effects-Numbers'!$B$1:$AU$172,$B125,FALSE)&lt;0,HLOOKUP(AQ$4,'Physical Effects-Numbers'!$B$1:$AU$172,$B125,FALSE),""))</f>
        <v/>
      </c>
      <c r="AR125" s="488" t="str">
        <f>IF(AR$4="","",IF(HLOOKUP(AR$4,'Physical Effects-Numbers'!$B$1:$AU$172,$B125,FALSE)&lt;0,HLOOKUP(AR$4,'Physical Effects-Numbers'!$B$1:$AU$172,$B125,FALSE),""))</f>
        <v/>
      </c>
      <c r="AS125" s="488" t="str">
        <f>IF(AS$4="","",IF(HLOOKUP(AS$4,'Physical Effects-Numbers'!$B$1:$AU$172,$B125,FALSE)&lt;0,HLOOKUP(AS$4,'Physical Effects-Numbers'!$B$1:$AU$172,$B125,FALSE),""))</f>
        <v/>
      </c>
      <c r="AT125" s="488" t="str">
        <f>IF(AT$4="","",IF(HLOOKUP(AT$4,'Physical Effects-Numbers'!$B$1:$AU$172,$B125,FALSE)&lt;0,HLOOKUP(AT$4,'Physical Effects-Numbers'!$B$1:$AU$172,$B125,FALSE),""))</f>
        <v/>
      </c>
      <c r="AU125" s="488" t="str">
        <f>IF(AU$4="","",IF(HLOOKUP(AU$4,'Physical Effects-Numbers'!$B$1:$AU$172,$B125,FALSE)&lt;0,HLOOKUP(AU$4,'Physical Effects-Numbers'!$B$1:$AU$172,$B125,FALSE),""))</f>
        <v/>
      </c>
      <c r="AV125" s="488" t="str">
        <f>IF(AV$4="","",IF(HLOOKUP(AV$4,'Physical Effects-Numbers'!$B$1:$AU$167,$B125,FALSE)&lt;0,HLOOKUP(AV$4,'Physical Effects-Numbers'!$B$1:$AU$167,$B125,FALSE),""))</f>
        <v/>
      </c>
    </row>
    <row r="126" spans="2:48" x14ac:dyDescent="0.2">
      <c r="B126" s="487">
        <f t="shared" si="1"/>
        <v>123</v>
      </c>
      <c r="C126" s="486" t="str">
        <f>+'Physical Effects-Numbers'!B123</f>
        <v>Sediment Basin</v>
      </c>
      <c r="D126" s="488" t="str">
        <f>IF(D$4="","",IF(HLOOKUP(D$4,'Physical Effects-Numbers'!$B$1:$AU$172,$B126,FALSE)&lt;0,HLOOKUP(D$4,'Physical Effects-Numbers'!$B$1:$AU$172,$B126,FALSE),""))</f>
        <v/>
      </c>
      <c r="E126" s="488" t="str">
        <f>IF(E$4="","",IF(HLOOKUP(E$4,'Physical Effects-Numbers'!$B$1:$AU$172,$B126,FALSE)&lt;0,HLOOKUP(E$4,'Physical Effects-Numbers'!$B$1:$AU$172,$B126,FALSE),""))</f>
        <v/>
      </c>
      <c r="F126" s="488" t="str">
        <f>IF(F$4="","",IF(HLOOKUP(F$4,'Physical Effects-Numbers'!$B$1:$AU$172,$B126,FALSE)&lt;0,HLOOKUP(F$4,'Physical Effects-Numbers'!$B$1:$AU$172,$B126,FALSE),""))</f>
        <v/>
      </c>
      <c r="G126" s="488" t="str">
        <f>IF(G$4="","",IF(HLOOKUP(G$4,'Physical Effects-Numbers'!$B$1:$AU$172,$B126,FALSE)&lt;0,HLOOKUP(G$4,'Physical Effects-Numbers'!$B$1:$AU$172,$B126,FALSE),""))</f>
        <v/>
      </c>
      <c r="H126" s="488" t="str">
        <f>IF(H$4="","",IF(HLOOKUP(H$4,'Physical Effects-Numbers'!$B$1:$AU$172,$B126,FALSE)&lt;0,HLOOKUP(H$4,'Physical Effects-Numbers'!$B$1:$AU$172,$B126,FALSE),""))</f>
        <v/>
      </c>
      <c r="I126" s="488" t="str">
        <f>IF(I$4="","",IF(HLOOKUP(I$4,'Physical Effects-Numbers'!$B$1:$AU$172,$B126,FALSE)&lt;0,HLOOKUP(I$4,'Physical Effects-Numbers'!$B$1:$AU$172,$B126,FALSE),""))</f>
        <v/>
      </c>
      <c r="J126" s="488" t="str">
        <f>IF(J$4="","",IF(HLOOKUP(J$4,'Physical Effects-Numbers'!$B$1:$AU$172,$B126,FALSE)&lt;0,HLOOKUP(J$4,'Physical Effects-Numbers'!$B$1:$AU$172,$B126,FALSE),""))</f>
        <v/>
      </c>
      <c r="K126" s="488" t="str">
        <f>IF(K$4="","",IF(HLOOKUP(K$4,'Physical Effects-Numbers'!$B$1:$AU$172,$B126,FALSE)&lt;0,HLOOKUP(K$4,'Physical Effects-Numbers'!$B$1:$AU$172,$B126,FALSE),""))</f>
        <v/>
      </c>
      <c r="L126" s="488" t="str">
        <f>IF(L$4="","",IF(HLOOKUP(L$4,'Physical Effects-Numbers'!$B$1:$AU$172,$B126,FALSE)&lt;0,HLOOKUP(L$4,'Physical Effects-Numbers'!$B$1:$AU$172,$B126,FALSE),""))</f>
        <v/>
      </c>
      <c r="M126" s="488">
        <f>IF(M$4="","",IF(HLOOKUP(M$4,'Physical Effects-Numbers'!$B$1:$AU$172,$B126,FALSE)&lt;0,HLOOKUP(M$4,'Physical Effects-Numbers'!$B$1:$AU$172,$B126,FALSE),""))</f>
        <v>-2</v>
      </c>
      <c r="N126" s="488" t="str">
        <f>IF(N$4="","",IF(HLOOKUP(N$4,'Physical Effects-Numbers'!$B$1:$AU$172,$B126,FALSE)&lt;0,HLOOKUP(N$4,'Physical Effects-Numbers'!$B$1:$AU$172,$B126,FALSE),""))</f>
        <v/>
      </c>
      <c r="O126" s="488">
        <f>IF(O$4="","",IF(HLOOKUP(O$4,'Physical Effects-Numbers'!$B$1:$AU$172,$B126,FALSE)&lt;0,HLOOKUP(O$4,'Physical Effects-Numbers'!$B$1:$AU$172,$B126,FALSE),""))</f>
        <v>-2</v>
      </c>
      <c r="P126" s="488" t="str">
        <f>IF(P$4="","",IF(HLOOKUP(P$4,'Physical Effects-Numbers'!$B$1:$AU$172,$B126,FALSE)&lt;0,HLOOKUP(P$4,'Physical Effects-Numbers'!$B$1:$AU$172,$B126,FALSE),""))</f>
        <v/>
      </c>
      <c r="Q126" s="488" t="str">
        <f>IF(Q$4="","",IF(HLOOKUP(Q$4,'Physical Effects-Numbers'!$B$1:$AU$172,$B126,FALSE)&lt;0,HLOOKUP(Q$4,'Physical Effects-Numbers'!$B$1:$AU$172,$B126,FALSE),""))</f>
        <v/>
      </c>
      <c r="R126" s="488" t="str">
        <f>IF(R$4="","",IF(HLOOKUP(R$4,'Physical Effects-Numbers'!$B$1:$AU$172,$B126,FALSE)&lt;0,HLOOKUP(R$4,'Physical Effects-Numbers'!$B$1:$AU$172,$B126,FALSE),""))</f>
        <v/>
      </c>
      <c r="S126" s="488" t="str">
        <f>IF(S$4="","",IF(HLOOKUP(S$4,'Physical Effects-Numbers'!$B$1:$AU$172,$B126,FALSE)&lt;0,HLOOKUP(S$4,'Physical Effects-Numbers'!$B$1:$AU$172,$B126,FALSE),""))</f>
        <v/>
      </c>
      <c r="T126" s="488">
        <f>IF(T$4="","",IF(HLOOKUP(T$4,'Physical Effects-Numbers'!$B$1:$AU$172,$B126,FALSE)&lt;0,HLOOKUP(T$4,'Physical Effects-Numbers'!$B$1:$AU$172,$B126,FALSE),""))</f>
        <v>-1</v>
      </c>
      <c r="U126" s="488" t="str">
        <f>IF(U$4="","",IF(HLOOKUP(U$4,'Physical Effects-Numbers'!$B$1:$AU$172,$B126,FALSE)&lt;0,HLOOKUP(U$4,'Physical Effects-Numbers'!$B$1:$AU$172,$B126,FALSE),""))</f>
        <v/>
      </c>
      <c r="V126" s="488">
        <f>IF(V$4="","",IF(HLOOKUP(V$4,'Physical Effects-Numbers'!$B$1:$AU$172,$B126,FALSE)&lt;0,HLOOKUP(V$4,'Physical Effects-Numbers'!$B$1:$AU$172,$B126,FALSE),""))</f>
        <v>-1</v>
      </c>
      <c r="W126" s="488" t="str">
        <f>IF(W$4="","",IF(HLOOKUP(W$4,'Physical Effects-Numbers'!$B$1:$AU$172,$B126,FALSE)&lt;0,HLOOKUP(W$4,'Physical Effects-Numbers'!$B$1:$AU$172,$B126,FALSE),""))</f>
        <v/>
      </c>
      <c r="X126" s="488">
        <f>IF(X$4="","",IF(HLOOKUP(X$4,'Physical Effects-Numbers'!$B$1:$AU$172,$B126,FALSE)&lt;0,HLOOKUP(X$4,'Physical Effects-Numbers'!$B$1:$AU$172,$B126,FALSE),""))</f>
        <v>-1</v>
      </c>
      <c r="Y126" s="488" t="str">
        <f>IF(Y$4="","",IF(HLOOKUP(Y$4,'Physical Effects-Numbers'!$B$1:$AU$172,$B126,FALSE)&lt;0,HLOOKUP(Y$4,'Physical Effects-Numbers'!$B$1:$AU$172,$B126,FALSE),""))</f>
        <v/>
      </c>
      <c r="Z126" s="488">
        <f>IF(Z$4="","",IF(HLOOKUP(Z$4,'Physical Effects-Numbers'!$B$1:$AU$172,$B126,FALSE)&lt;0,HLOOKUP(Z$4,'Physical Effects-Numbers'!$B$1:$AU$172,$B126,FALSE),""))</f>
        <v>-1</v>
      </c>
      <c r="AA126" s="488" t="str">
        <f>IF(AA$4="","",IF(HLOOKUP(AA$4,'Physical Effects-Numbers'!$B$1:$AU$172,$B126,FALSE)&lt;0,HLOOKUP(AA$4,'Physical Effects-Numbers'!$B$1:$AU$172,$B126,FALSE),""))</f>
        <v/>
      </c>
      <c r="AB126" s="488" t="str">
        <f>IF(AB$4="","",IF(HLOOKUP(AB$4,'Physical Effects-Numbers'!$B$1:$AU$172,$B126,FALSE)&lt;0,HLOOKUP(AB$4,'Physical Effects-Numbers'!$B$1:$AU$172,$B126,FALSE),""))</f>
        <v/>
      </c>
      <c r="AC126" s="488" t="str">
        <f>IF(AC$4="","",IF(HLOOKUP(AC$4,'Physical Effects-Numbers'!$B$1:$AU$172,$B126,FALSE)&lt;0,HLOOKUP(AC$4,'Physical Effects-Numbers'!$B$1:$AU$172,$B126,FALSE),""))</f>
        <v/>
      </c>
      <c r="AD126" s="488">
        <f>IF(AD$4="","",IF(HLOOKUP(AD$4,'Physical Effects-Numbers'!$B$1:$AU$172,$B126,FALSE)&lt;0,HLOOKUP(AD$4,'Physical Effects-Numbers'!$B$1:$AU$172,$B126,FALSE),""))</f>
        <v>-1</v>
      </c>
      <c r="AE126" s="488" t="str">
        <f>IF(AE$4="","",IF(HLOOKUP(AE$4,'Physical Effects-Numbers'!$B$1:$AU$172,$B126,FALSE)&lt;0,HLOOKUP(AE$4,'Physical Effects-Numbers'!$B$1:$AU$172,$B126,FALSE),""))</f>
        <v/>
      </c>
      <c r="AF126" s="488" t="str">
        <f>IF(AF$4="","",IF(HLOOKUP(AF$4,'Physical Effects-Numbers'!$B$1:$AU$172,$B126,FALSE)&lt;0,HLOOKUP(AF$4,'Physical Effects-Numbers'!$B$1:$AU$172,$B126,FALSE),""))</f>
        <v/>
      </c>
      <c r="AG126" s="488" t="str">
        <f>IF(AG$4="","",IF(HLOOKUP(AG$4,'Physical Effects-Numbers'!$B$1:$AU$172,$B126,FALSE)&lt;0,HLOOKUP(AG$4,'Physical Effects-Numbers'!$B$1:$AU$172,$B126,FALSE),""))</f>
        <v/>
      </c>
      <c r="AH126" s="488" t="str">
        <f>IF(AH$4="","",IF(HLOOKUP(AH$4,'Physical Effects-Numbers'!$B$1:$AU$172,$B126,FALSE)&lt;0,HLOOKUP(AH$4,'Physical Effects-Numbers'!$B$1:$AU$172,$B126,FALSE),""))</f>
        <v/>
      </c>
      <c r="AI126" s="488" t="str">
        <f>IF(AI$4="","",IF(HLOOKUP(AI$4,'Physical Effects-Numbers'!$B$1:$AU$172,$B126,FALSE)&lt;0,HLOOKUP(AI$4,'Physical Effects-Numbers'!$B$1:$AU$172,$B126,FALSE),""))</f>
        <v/>
      </c>
      <c r="AJ126" s="488" t="str">
        <f>IF(AJ$4="","",IF(HLOOKUP(AJ$4,'Physical Effects-Numbers'!$B$1:$AU$172,$B126,FALSE)&lt;0,HLOOKUP(AJ$4,'Physical Effects-Numbers'!$B$1:$AU$172,$B126,FALSE),""))</f>
        <v/>
      </c>
      <c r="AK126" s="488" t="str">
        <f>IF(AK$4="","",IF(HLOOKUP(AK$4,'Physical Effects-Numbers'!$B$1:$AU$172,$B126,FALSE)&lt;0,HLOOKUP(AK$4,'Physical Effects-Numbers'!$B$1:$AU$172,$B126,FALSE),""))</f>
        <v/>
      </c>
      <c r="AL126" s="488" t="str">
        <f>IF(AL$4="","",IF(HLOOKUP(AL$4,'Physical Effects-Numbers'!$B$1:$AU$172,$B126,FALSE)&lt;0,HLOOKUP(AL$4,'Physical Effects-Numbers'!$B$1:$AU$172,$B126,FALSE),""))</f>
        <v/>
      </c>
      <c r="AM126" s="488">
        <f>IF(AM$4="","",IF(HLOOKUP(AM$4,'Physical Effects-Numbers'!$B$1:$AU$172,$B126,FALSE)&lt;0,HLOOKUP(AM$4,'Physical Effects-Numbers'!$B$1:$AU$172,$B126,FALSE),""))</f>
        <v>-1</v>
      </c>
      <c r="AN126" s="488">
        <f>IF(AN$4="","",IF(HLOOKUP(AN$4,'Physical Effects-Numbers'!$B$1:$AU$172,$B126,FALSE)&lt;0,HLOOKUP(AN$4,'Physical Effects-Numbers'!$B$1:$AU$172,$B126,FALSE),""))</f>
        <v>-1</v>
      </c>
      <c r="AO126" s="488" t="str">
        <f>IF(AO$4="","",IF(HLOOKUP(AO$4,'Physical Effects-Numbers'!$B$1:$AU$172,$B126,FALSE)&lt;0,HLOOKUP(AO$4,'Physical Effects-Numbers'!$B$1:$AU$172,$B126,FALSE),""))</f>
        <v/>
      </c>
      <c r="AP126" s="488" t="str">
        <f>IF(AP$4="","",IF(HLOOKUP(AP$4,'Physical Effects-Numbers'!$B$1:$AU$172,$B126,FALSE)&lt;0,HLOOKUP(AP$4,'Physical Effects-Numbers'!$B$1:$AU$172,$B126,FALSE),""))</f>
        <v/>
      </c>
      <c r="AQ126" s="488" t="str">
        <f>IF(AQ$4="","",IF(HLOOKUP(AQ$4,'Physical Effects-Numbers'!$B$1:$AU$172,$B126,FALSE)&lt;0,HLOOKUP(AQ$4,'Physical Effects-Numbers'!$B$1:$AU$172,$B126,FALSE),""))</f>
        <v/>
      </c>
      <c r="AR126" s="488" t="str">
        <f>IF(AR$4="","",IF(HLOOKUP(AR$4,'Physical Effects-Numbers'!$B$1:$AU$172,$B126,FALSE)&lt;0,HLOOKUP(AR$4,'Physical Effects-Numbers'!$B$1:$AU$172,$B126,FALSE),""))</f>
        <v/>
      </c>
      <c r="AS126" s="488" t="str">
        <f>IF(AS$4="","",IF(HLOOKUP(AS$4,'Physical Effects-Numbers'!$B$1:$AU$172,$B126,FALSE)&lt;0,HLOOKUP(AS$4,'Physical Effects-Numbers'!$B$1:$AU$172,$B126,FALSE),""))</f>
        <v/>
      </c>
      <c r="AT126" s="488" t="str">
        <f>IF(AT$4="","",IF(HLOOKUP(AT$4,'Physical Effects-Numbers'!$B$1:$AU$172,$B126,FALSE)&lt;0,HLOOKUP(AT$4,'Physical Effects-Numbers'!$B$1:$AU$172,$B126,FALSE),""))</f>
        <v/>
      </c>
      <c r="AU126" s="488" t="str">
        <f>IF(AU$4="","",IF(HLOOKUP(AU$4,'Physical Effects-Numbers'!$B$1:$AU$172,$B126,FALSE)&lt;0,HLOOKUP(AU$4,'Physical Effects-Numbers'!$B$1:$AU$172,$B126,FALSE),""))</f>
        <v/>
      </c>
      <c r="AV126" s="488" t="str">
        <f>IF(AV$4="","",IF(HLOOKUP(AV$4,'Physical Effects-Numbers'!$B$1:$AU$167,$B126,FALSE)&lt;0,HLOOKUP(AV$4,'Physical Effects-Numbers'!$B$1:$AU$167,$B126,FALSE),""))</f>
        <v/>
      </c>
    </row>
    <row r="127" spans="2:48" x14ac:dyDescent="0.2">
      <c r="B127" s="487">
        <f t="shared" si="1"/>
        <v>124</v>
      </c>
      <c r="C127" s="486" t="str">
        <f>+'Physical Effects-Numbers'!B124</f>
        <v>Shallow Water Development and Management</v>
      </c>
      <c r="D127" s="488" t="str">
        <f>IF(D$4="","",IF(HLOOKUP(D$4,'Physical Effects-Numbers'!$B$1:$AU$172,$B127,FALSE)&lt;0,HLOOKUP(D$4,'Physical Effects-Numbers'!$B$1:$AU$172,$B127,FALSE),""))</f>
        <v/>
      </c>
      <c r="E127" s="488" t="str">
        <f>IF(E$4="","",IF(HLOOKUP(E$4,'Physical Effects-Numbers'!$B$1:$AU$172,$B127,FALSE)&lt;0,HLOOKUP(E$4,'Physical Effects-Numbers'!$B$1:$AU$172,$B127,FALSE),""))</f>
        <v/>
      </c>
      <c r="F127" s="488" t="str">
        <f>IF(F$4="","",IF(HLOOKUP(F$4,'Physical Effects-Numbers'!$B$1:$AU$172,$B127,FALSE)&lt;0,HLOOKUP(F$4,'Physical Effects-Numbers'!$B$1:$AU$172,$B127,FALSE),""))</f>
        <v/>
      </c>
      <c r="G127" s="488" t="str">
        <f>IF(G$4="","",IF(HLOOKUP(G$4,'Physical Effects-Numbers'!$B$1:$AU$172,$B127,FALSE)&lt;0,HLOOKUP(G$4,'Physical Effects-Numbers'!$B$1:$AU$172,$B127,FALSE),""))</f>
        <v/>
      </c>
      <c r="H127" s="488" t="str">
        <f>IF(H$4="","",IF(HLOOKUP(H$4,'Physical Effects-Numbers'!$B$1:$AU$172,$B127,FALSE)&lt;0,HLOOKUP(H$4,'Physical Effects-Numbers'!$B$1:$AU$172,$B127,FALSE),""))</f>
        <v/>
      </c>
      <c r="I127" s="488" t="str">
        <f>IF(I$4="","",IF(HLOOKUP(I$4,'Physical Effects-Numbers'!$B$1:$AU$172,$B127,FALSE)&lt;0,HLOOKUP(I$4,'Physical Effects-Numbers'!$B$1:$AU$172,$B127,FALSE),""))</f>
        <v/>
      </c>
      <c r="J127" s="488" t="str">
        <f>IF(J$4="","",IF(HLOOKUP(J$4,'Physical Effects-Numbers'!$B$1:$AU$172,$B127,FALSE)&lt;0,HLOOKUP(J$4,'Physical Effects-Numbers'!$B$1:$AU$172,$B127,FALSE),""))</f>
        <v/>
      </c>
      <c r="K127" s="488" t="str">
        <f>IF(K$4="","",IF(HLOOKUP(K$4,'Physical Effects-Numbers'!$B$1:$AU$172,$B127,FALSE)&lt;0,HLOOKUP(K$4,'Physical Effects-Numbers'!$B$1:$AU$172,$B127,FALSE),""))</f>
        <v/>
      </c>
      <c r="L127" s="488" t="str">
        <f>IF(L$4="","",IF(HLOOKUP(L$4,'Physical Effects-Numbers'!$B$1:$AU$172,$B127,FALSE)&lt;0,HLOOKUP(L$4,'Physical Effects-Numbers'!$B$1:$AU$172,$B127,FALSE),""))</f>
        <v/>
      </c>
      <c r="M127" s="488" t="str">
        <f>IF(M$4="","",IF(HLOOKUP(M$4,'Physical Effects-Numbers'!$B$1:$AU$172,$B127,FALSE)&lt;0,HLOOKUP(M$4,'Physical Effects-Numbers'!$B$1:$AU$172,$B127,FALSE),""))</f>
        <v/>
      </c>
      <c r="N127" s="488" t="str">
        <f>IF(N$4="","",IF(HLOOKUP(N$4,'Physical Effects-Numbers'!$B$1:$AU$172,$B127,FALSE)&lt;0,HLOOKUP(N$4,'Physical Effects-Numbers'!$B$1:$AU$172,$B127,FALSE),""))</f>
        <v/>
      </c>
      <c r="O127" s="488" t="str">
        <f>IF(O$4="","",IF(HLOOKUP(O$4,'Physical Effects-Numbers'!$B$1:$AU$172,$B127,FALSE)&lt;0,HLOOKUP(O$4,'Physical Effects-Numbers'!$B$1:$AU$172,$B127,FALSE),""))</f>
        <v/>
      </c>
      <c r="P127" s="488" t="str">
        <f>IF(P$4="","",IF(HLOOKUP(P$4,'Physical Effects-Numbers'!$B$1:$AU$172,$B127,FALSE)&lt;0,HLOOKUP(P$4,'Physical Effects-Numbers'!$B$1:$AU$172,$B127,FALSE),""))</f>
        <v/>
      </c>
      <c r="Q127" s="488" t="str">
        <f>IF(Q$4="","",IF(HLOOKUP(Q$4,'Physical Effects-Numbers'!$B$1:$AU$172,$B127,FALSE)&lt;0,HLOOKUP(Q$4,'Physical Effects-Numbers'!$B$1:$AU$172,$B127,FALSE),""))</f>
        <v/>
      </c>
      <c r="R127" s="488" t="str">
        <f>IF(R$4="","",IF(HLOOKUP(R$4,'Physical Effects-Numbers'!$B$1:$AU$172,$B127,FALSE)&lt;0,HLOOKUP(R$4,'Physical Effects-Numbers'!$B$1:$AU$172,$B127,FALSE),""))</f>
        <v/>
      </c>
      <c r="S127" s="488" t="str">
        <f>IF(S$4="","",IF(HLOOKUP(S$4,'Physical Effects-Numbers'!$B$1:$AU$172,$B127,FALSE)&lt;0,HLOOKUP(S$4,'Physical Effects-Numbers'!$B$1:$AU$172,$B127,FALSE),""))</f>
        <v/>
      </c>
      <c r="T127" s="488" t="str">
        <f>IF(T$4="","",IF(HLOOKUP(T$4,'Physical Effects-Numbers'!$B$1:$AU$172,$B127,FALSE)&lt;0,HLOOKUP(T$4,'Physical Effects-Numbers'!$B$1:$AU$172,$B127,FALSE),""))</f>
        <v/>
      </c>
      <c r="U127" s="488" t="str">
        <f>IF(U$4="","",IF(HLOOKUP(U$4,'Physical Effects-Numbers'!$B$1:$AU$172,$B127,FALSE)&lt;0,HLOOKUP(U$4,'Physical Effects-Numbers'!$B$1:$AU$172,$B127,FALSE),""))</f>
        <v/>
      </c>
      <c r="V127" s="488" t="str">
        <f>IF(V$4="","",IF(HLOOKUP(V$4,'Physical Effects-Numbers'!$B$1:$AU$172,$B127,FALSE)&lt;0,HLOOKUP(V$4,'Physical Effects-Numbers'!$B$1:$AU$172,$B127,FALSE),""))</f>
        <v/>
      </c>
      <c r="W127" s="488" t="str">
        <f>IF(W$4="","",IF(HLOOKUP(W$4,'Physical Effects-Numbers'!$B$1:$AU$172,$B127,FALSE)&lt;0,HLOOKUP(W$4,'Physical Effects-Numbers'!$B$1:$AU$172,$B127,FALSE),""))</f>
        <v/>
      </c>
      <c r="X127" s="488">
        <f>IF(X$4="","",IF(HLOOKUP(X$4,'Physical Effects-Numbers'!$B$1:$AU$172,$B127,FALSE)&lt;0,HLOOKUP(X$4,'Physical Effects-Numbers'!$B$1:$AU$172,$B127,FALSE),""))</f>
        <v>-1</v>
      </c>
      <c r="Y127" s="488" t="str">
        <f>IF(Y$4="","",IF(HLOOKUP(Y$4,'Physical Effects-Numbers'!$B$1:$AU$172,$B127,FALSE)&lt;0,HLOOKUP(Y$4,'Physical Effects-Numbers'!$B$1:$AU$172,$B127,FALSE),""))</f>
        <v/>
      </c>
      <c r="Z127" s="488">
        <f>IF(Z$4="","",IF(HLOOKUP(Z$4,'Physical Effects-Numbers'!$B$1:$AU$172,$B127,FALSE)&lt;0,HLOOKUP(Z$4,'Physical Effects-Numbers'!$B$1:$AU$172,$B127,FALSE),""))</f>
        <v>-1</v>
      </c>
      <c r="AA127" s="488" t="str">
        <f>IF(AA$4="","",IF(HLOOKUP(AA$4,'Physical Effects-Numbers'!$B$1:$AU$172,$B127,FALSE)&lt;0,HLOOKUP(AA$4,'Physical Effects-Numbers'!$B$1:$AU$172,$B127,FALSE),""))</f>
        <v/>
      </c>
      <c r="AB127" s="488" t="str">
        <f>IF(AB$4="","",IF(HLOOKUP(AB$4,'Physical Effects-Numbers'!$B$1:$AU$172,$B127,FALSE)&lt;0,HLOOKUP(AB$4,'Physical Effects-Numbers'!$B$1:$AU$172,$B127,FALSE),""))</f>
        <v/>
      </c>
      <c r="AC127" s="488" t="str">
        <f>IF(AC$4="","",IF(HLOOKUP(AC$4,'Physical Effects-Numbers'!$B$1:$AU$172,$B127,FALSE)&lt;0,HLOOKUP(AC$4,'Physical Effects-Numbers'!$B$1:$AU$172,$B127,FALSE),""))</f>
        <v/>
      </c>
      <c r="AD127" s="488" t="str">
        <f>IF(AD$4="","",IF(HLOOKUP(AD$4,'Physical Effects-Numbers'!$B$1:$AU$172,$B127,FALSE)&lt;0,HLOOKUP(AD$4,'Physical Effects-Numbers'!$B$1:$AU$172,$B127,FALSE),""))</f>
        <v/>
      </c>
      <c r="AE127" s="488" t="str">
        <f>IF(AE$4="","",IF(HLOOKUP(AE$4,'Physical Effects-Numbers'!$B$1:$AU$172,$B127,FALSE)&lt;0,HLOOKUP(AE$4,'Physical Effects-Numbers'!$B$1:$AU$172,$B127,FALSE),""))</f>
        <v/>
      </c>
      <c r="AF127" s="488" t="str">
        <f>IF(AF$4="","",IF(HLOOKUP(AF$4,'Physical Effects-Numbers'!$B$1:$AU$172,$B127,FALSE)&lt;0,HLOOKUP(AF$4,'Physical Effects-Numbers'!$B$1:$AU$172,$B127,FALSE),""))</f>
        <v/>
      </c>
      <c r="AG127" s="488" t="str">
        <f>IF(AG$4="","",IF(HLOOKUP(AG$4,'Physical Effects-Numbers'!$B$1:$AU$172,$B127,FALSE)&lt;0,HLOOKUP(AG$4,'Physical Effects-Numbers'!$B$1:$AU$172,$B127,FALSE),""))</f>
        <v/>
      </c>
      <c r="AH127" s="488" t="str">
        <f>IF(AH$4="","",IF(HLOOKUP(AH$4,'Physical Effects-Numbers'!$B$1:$AU$172,$B127,FALSE)&lt;0,HLOOKUP(AH$4,'Physical Effects-Numbers'!$B$1:$AU$172,$B127,FALSE),""))</f>
        <v/>
      </c>
      <c r="AI127" s="488" t="str">
        <f>IF(AI$4="","",IF(HLOOKUP(AI$4,'Physical Effects-Numbers'!$B$1:$AU$172,$B127,FALSE)&lt;0,HLOOKUP(AI$4,'Physical Effects-Numbers'!$B$1:$AU$172,$B127,FALSE),""))</f>
        <v/>
      </c>
      <c r="AJ127" s="488" t="str">
        <f>IF(AJ$4="","",IF(HLOOKUP(AJ$4,'Physical Effects-Numbers'!$B$1:$AU$172,$B127,FALSE)&lt;0,HLOOKUP(AJ$4,'Physical Effects-Numbers'!$B$1:$AU$172,$B127,FALSE),""))</f>
        <v/>
      </c>
      <c r="AK127" s="488" t="str">
        <f>IF(AK$4="","",IF(HLOOKUP(AK$4,'Physical Effects-Numbers'!$B$1:$AU$172,$B127,FALSE)&lt;0,HLOOKUP(AK$4,'Physical Effects-Numbers'!$B$1:$AU$172,$B127,FALSE),""))</f>
        <v/>
      </c>
      <c r="AL127" s="488" t="str">
        <f>IF(AL$4="","",IF(HLOOKUP(AL$4,'Physical Effects-Numbers'!$B$1:$AU$172,$B127,FALSE)&lt;0,HLOOKUP(AL$4,'Physical Effects-Numbers'!$B$1:$AU$172,$B127,FALSE),""))</f>
        <v/>
      </c>
      <c r="AM127" s="488" t="str">
        <f>IF(AM$4="","",IF(HLOOKUP(AM$4,'Physical Effects-Numbers'!$B$1:$AU$172,$B127,FALSE)&lt;0,HLOOKUP(AM$4,'Physical Effects-Numbers'!$B$1:$AU$172,$B127,FALSE),""))</f>
        <v/>
      </c>
      <c r="AN127" s="488" t="str">
        <f>IF(AN$4="","",IF(HLOOKUP(AN$4,'Physical Effects-Numbers'!$B$1:$AU$172,$B127,FALSE)&lt;0,HLOOKUP(AN$4,'Physical Effects-Numbers'!$B$1:$AU$172,$B127,FALSE),""))</f>
        <v/>
      </c>
      <c r="AO127" s="488" t="str">
        <f>IF(AO$4="","",IF(HLOOKUP(AO$4,'Physical Effects-Numbers'!$B$1:$AU$172,$B127,FALSE)&lt;0,HLOOKUP(AO$4,'Physical Effects-Numbers'!$B$1:$AU$172,$B127,FALSE),""))</f>
        <v/>
      </c>
      <c r="AP127" s="488" t="str">
        <f>IF(AP$4="","",IF(HLOOKUP(AP$4,'Physical Effects-Numbers'!$B$1:$AU$172,$B127,FALSE)&lt;0,HLOOKUP(AP$4,'Physical Effects-Numbers'!$B$1:$AU$172,$B127,FALSE),""))</f>
        <v/>
      </c>
      <c r="AQ127" s="488" t="str">
        <f>IF(AQ$4="","",IF(HLOOKUP(AQ$4,'Physical Effects-Numbers'!$B$1:$AU$172,$B127,FALSE)&lt;0,HLOOKUP(AQ$4,'Physical Effects-Numbers'!$B$1:$AU$172,$B127,FALSE),""))</f>
        <v/>
      </c>
      <c r="AR127" s="488" t="str">
        <f>IF(AR$4="","",IF(HLOOKUP(AR$4,'Physical Effects-Numbers'!$B$1:$AU$172,$B127,FALSE)&lt;0,HLOOKUP(AR$4,'Physical Effects-Numbers'!$B$1:$AU$172,$B127,FALSE),""))</f>
        <v/>
      </c>
      <c r="AS127" s="488" t="str">
        <f>IF(AS$4="","",IF(HLOOKUP(AS$4,'Physical Effects-Numbers'!$B$1:$AU$172,$B127,FALSE)&lt;0,HLOOKUP(AS$4,'Physical Effects-Numbers'!$B$1:$AU$172,$B127,FALSE),""))</f>
        <v/>
      </c>
      <c r="AT127" s="488" t="str">
        <f>IF(AT$4="","",IF(HLOOKUP(AT$4,'Physical Effects-Numbers'!$B$1:$AU$172,$B127,FALSE)&lt;0,HLOOKUP(AT$4,'Physical Effects-Numbers'!$B$1:$AU$172,$B127,FALSE),""))</f>
        <v/>
      </c>
      <c r="AU127" s="488" t="str">
        <f>IF(AU$4="","",IF(HLOOKUP(AU$4,'Physical Effects-Numbers'!$B$1:$AU$172,$B127,FALSE)&lt;0,HLOOKUP(AU$4,'Physical Effects-Numbers'!$B$1:$AU$172,$B127,FALSE),""))</f>
        <v/>
      </c>
      <c r="AV127" s="488" t="str">
        <f>IF(AV$4="","",IF(HLOOKUP(AV$4,'Physical Effects-Numbers'!$B$1:$AU$167,$B127,FALSE)&lt;0,HLOOKUP(AV$4,'Physical Effects-Numbers'!$B$1:$AU$167,$B127,FALSE),""))</f>
        <v/>
      </c>
    </row>
    <row r="128" spans="2:48" x14ac:dyDescent="0.2">
      <c r="B128" s="487">
        <f t="shared" si="1"/>
        <v>125</v>
      </c>
      <c r="C128" s="486" t="str">
        <f>+'Physical Effects-Numbers'!B125</f>
        <v>Short Term Storage of Animal Waste and Byproducts</v>
      </c>
      <c r="D128" s="488" t="str">
        <f>IF(D$4="","",IF(HLOOKUP(D$4,'Physical Effects-Numbers'!$B$1:$AU$172,$B128,FALSE)&lt;0,HLOOKUP(D$4,'Physical Effects-Numbers'!$B$1:$AU$172,$B128,FALSE),""))</f>
        <v/>
      </c>
      <c r="E128" s="488" t="str">
        <f>IF(E$4="","",IF(HLOOKUP(E$4,'Physical Effects-Numbers'!$B$1:$AU$172,$B128,FALSE)&lt;0,HLOOKUP(E$4,'Physical Effects-Numbers'!$B$1:$AU$172,$B128,FALSE),""))</f>
        <v/>
      </c>
      <c r="F128" s="488" t="str">
        <f>IF(F$4="","",IF(HLOOKUP(F$4,'Physical Effects-Numbers'!$B$1:$AU$172,$B128,FALSE)&lt;0,HLOOKUP(F$4,'Physical Effects-Numbers'!$B$1:$AU$172,$B128,FALSE),""))</f>
        <v/>
      </c>
      <c r="G128" s="488" t="str">
        <f>IF(G$4="","",IF(HLOOKUP(G$4,'Physical Effects-Numbers'!$B$1:$AU$172,$B128,FALSE)&lt;0,HLOOKUP(G$4,'Physical Effects-Numbers'!$B$1:$AU$172,$B128,FALSE),""))</f>
        <v/>
      </c>
      <c r="H128" s="488" t="str">
        <f>IF(H$4="","",IF(HLOOKUP(H$4,'Physical Effects-Numbers'!$B$1:$AU$172,$B128,FALSE)&lt;0,HLOOKUP(H$4,'Physical Effects-Numbers'!$B$1:$AU$172,$B128,FALSE),""))</f>
        <v/>
      </c>
      <c r="I128" s="488" t="str">
        <f>IF(I$4="","",IF(HLOOKUP(I$4,'Physical Effects-Numbers'!$B$1:$AU$172,$B128,FALSE)&lt;0,HLOOKUP(I$4,'Physical Effects-Numbers'!$B$1:$AU$172,$B128,FALSE),""))</f>
        <v/>
      </c>
      <c r="J128" s="488" t="str">
        <f>IF(J$4="","",IF(HLOOKUP(J$4,'Physical Effects-Numbers'!$B$1:$AU$172,$B128,FALSE)&lt;0,HLOOKUP(J$4,'Physical Effects-Numbers'!$B$1:$AU$172,$B128,FALSE),""))</f>
        <v/>
      </c>
      <c r="K128" s="488" t="str">
        <f>IF(K$4="","",IF(HLOOKUP(K$4,'Physical Effects-Numbers'!$B$1:$AU$172,$B128,FALSE)&lt;0,HLOOKUP(K$4,'Physical Effects-Numbers'!$B$1:$AU$172,$B128,FALSE),""))</f>
        <v/>
      </c>
      <c r="L128" s="488" t="str">
        <f>IF(L$4="","",IF(HLOOKUP(L$4,'Physical Effects-Numbers'!$B$1:$AU$172,$B128,FALSE)&lt;0,HLOOKUP(L$4,'Physical Effects-Numbers'!$B$1:$AU$172,$B128,FALSE),""))</f>
        <v/>
      </c>
      <c r="M128" s="488" t="str">
        <f>IF(M$4="","",IF(HLOOKUP(M$4,'Physical Effects-Numbers'!$B$1:$AU$172,$B128,FALSE)&lt;0,HLOOKUP(M$4,'Physical Effects-Numbers'!$B$1:$AU$172,$B128,FALSE),""))</f>
        <v/>
      </c>
      <c r="N128" s="488" t="str">
        <f>IF(N$4="","",IF(HLOOKUP(N$4,'Physical Effects-Numbers'!$B$1:$AU$172,$B128,FALSE)&lt;0,HLOOKUP(N$4,'Physical Effects-Numbers'!$B$1:$AU$172,$B128,FALSE),""))</f>
        <v/>
      </c>
      <c r="O128" s="488" t="str">
        <f>IF(O$4="","",IF(HLOOKUP(O$4,'Physical Effects-Numbers'!$B$1:$AU$172,$B128,FALSE)&lt;0,HLOOKUP(O$4,'Physical Effects-Numbers'!$B$1:$AU$172,$B128,FALSE),""))</f>
        <v/>
      </c>
      <c r="P128" s="488" t="str">
        <f>IF(P$4="","",IF(HLOOKUP(P$4,'Physical Effects-Numbers'!$B$1:$AU$172,$B128,FALSE)&lt;0,HLOOKUP(P$4,'Physical Effects-Numbers'!$B$1:$AU$172,$B128,FALSE),""))</f>
        <v/>
      </c>
      <c r="Q128" s="488" t="str">
        <f>IF(Q$4="","",IF(HLOOKUP(Q$4,'Physical Effects-Numbers'!$B$1:$AU$172,$B128,FALSE)&lt;0,HLOOKUP(Q$4,'Physical Effects-Numbers'!$B$1:$AU$172,$B128,FALSE),""))</f>
        <v/>
      </c>
      <c r="R128" s="488" t="str">
        <f>IF(R$4="","",IF(HLOOKUP(R$4,'Physical Effects-Numbers'!$B$1:$AU$172,$B128,FALSE)&lt;0,HLOOKUP(R$4,'Physical Effects-Numbers'!$B$1:$AU$172,$B128,FALSE),""))</f>
        <v/>
      </c>
      <c r="S128" s="488" t="str">
        <f>IF(S$4="","",IF(HLOOKUP(S$4,'Physical Effects-Numbers'!$B$1:$AU$172,$B128,FALSE)&lt;0,HLOOKUP(S$4,'Physical Effects-Numbers'!$B$1:$AU$172,$B128,FALSE),""))</f>
        <v/>
      </c>
      <c r="T128" s="488" t="str">
        <f>IF(T$4="","",IF(HLOOKUP(T$4,'Physical Effects-Numbers'!$B$1:$AU$172,$B128,FALSE)&lt;0,HLOOKUP(T$4,'Physical Effects-Numbers'!$B$1:$AU$172,$B128,FALSE),""))</f>
        <v/>
      </c>
      <c r="U128" s="488" t="str">
        <f>IF(U$4="","",IF(HLOOKUP(U$4,'Physical Effects-Numbers'!$B$1:$AU$172,$B128,FALSE)&lt;0,HLOOKUP(U$4,'Physical Effects-Numbers'!$B$1:$AU$172,$B128,FALSE),""))</f>
        <v/>
      </c>
      <c r="V128" s="488" t="str">
        <f>IF(V$4="","",IF(HLOOKUP(V$4,'Physical Effects-Numbers'!$B$1:$AU$172,$B128,FALSE)&lt;0,HLOOKUP(V$4,'Physical Effects-Numbers'!$B$1:$AU$172,$B128,FALSE),""))</f>
        <v/>
      </c>
      <c r="W128" s="488" t="str">
        <f>IF(W$4="","",IF(HLOOKUP(W$4,'Physical Effects-Numbers'!$B$1:$AU$172,$B128,FALSE)&lt;0,HLOOKUP(W$4,'Physical Effects-Numbers'!$B$1:$AU$172,$B128,FALSE),""))</f>
        <v/>
      </c>
      <c r="X128" s="488" t="str">
        <f>IF(X$4="","",IF(HLOOKUP(X$4,'Physical Effects-Numbers'!$B$1:$AU$172,$B128,FALSE)&lt;0,HLOOKUP(X$4,'Physical Effects-Numbers'!$B$1:$AU$172,$B128,FALSE),""))</f>
        <v/>
      </c>
      <c r="Y128" s="488" t="str">
        <f>IF(Y$4="","",IF(HLOOKUP(Y$4,'Physical Effects-Numbers'!$B$1:$AU$172,$B128,FALSE)&lt;0,HLOOKUP(Y$4,'Physical Effects-Numbers'!$B$1:$AU$172,$B128,FALSE),""))</f>
        <v/>
      </c>
      <c r="Z128" s="488" t="str">
        <f>IF(Z$4="","",IF(HLOOKUP(Z$4,'Physical Effects-Numbers'!$B$1:$AU$172,$B128,FALSE)&lt;0,HLOOKUP(Z$4,'Physical Effects-Numbers'!$B$1:$AU$172,$B128,FALSE),""))</f>
        <v/>
      </c>
      <c r="AA128" s="488" t="str">
        <f>IF(AA$4="","",IF(HLOOKUP(AA$4,'Physical Effects-Numbers'!$B$1:$AU$172,$B128,FALSE)&lt;0,HLOOKUP(AA$4,'Physical Effects-Numbers'!$B$1:$AU$172,$B128,FALSE),""))</f>
        <v/>
      </c>
      <c r="AB128" s="488" t="str">
        <f>IF(AB$4="","",IF(HLOOKUP(AB$4,'Physical Effects-Numbers'!$B$1:$AU$172,$B128,FALSE)&lt;0,HLOOKUP(AB$4,'Physical Effects-Numbers'!$B$1:$AU$172,$B128,FALSE),""))</f>
        <v/>
      </c>
      <c r="AC128" s="488" t="str">
        <f>IF(AC$4="","",IF(HLOOKUP(AC$4,'Physical Effects-Numbers'!$B$1:$AU$172,$B128,FALSE)&lt;0,HLOOKUP(AC$4,'Physical Effects-Numbers'!$B$1:$AU$172,$B128,FALSE),""))</f>
        <v/>
      </c>
      <c r="AD128" s="488" t="str">
        <f>IF(AD$4="","",IF(HLOOKUP(AD$4,'Physical Effects-Numbers'!$B$1:$AU$172,$B128,FALSE)&lt;0,HLOOKUP(AD$4,'Physical Effects-Numbers'!$B$1:$AU$172,$B128,FALSE),""))</f>
        <v/>
      </c>
      <c r="AE128" s="488">
        <f>IF(AE$4="","",IF(HLOOKUP(AE$4,'Physical Effects-Numbers'!$B$1:$AU$172,$B128,FALSE)&lt;0,HLOOKUP(AE$4,'Physical Effects-Numbers'!$B$1:$AU$172,$B128,FALSE),""))</f>
        <v>-1</v>
      </c>
      <c r="AF128" s="488">
        <f>IF(AF$4="","",IF(HLOOKUP(AF$4,'Physical Effects-Numbers'!$B$1:$AU$172,$B128,FALSE)&lt;0,HLOOKUP(AF$4,'Physical Effects-Numbers'!$B$1:$AU$172,$B128,FALSE),""))</f>
        <v>-1</v>
      </c>
      <c r="AG128" s="488">
        <f>IF(AG$4="","",IF(HLOOKUP(AG$4,'Physical Effects-Numbers'!$B$1:$AU$172,$B128,FALSE)&lt;0,HLOOKUP(AG$4,'Physical Effects-Numbers'!$B$1:$AU$172,$B128,FALSE),""))</f>
        <v>-1</v>
      </c>
      <c r="AH128" s="488">
        <f>IF(AH$4="","",IF(HLOOKUP(AH$4,'Physical Effects-Numbers'!$B$1:$AU$172,$B128,FALSE)&lt;0,HLOOKUP(AH$4,'Physical Effects-Numbers'!$B$1:$AU$172,$B128,FALSE),""))</f>
        <v>-2</v>
      </c>
      <c r="AI128" s="488" t="str">
        <f>IF(AI$4="","",IF(HLOOKUP(AI$4,'Physical Effects-Numbers'!$B$1:$AU$172,$B128,FALSE)&lt;0,HLOOKUP(AI$4,'Physical Effects-Numbers'!$B$1:$AU$172,$B128,FALSE),""))</f>
        <v/>
      </c>
      <c r="AJ128" s="488" t="str">
        <f>IF(AJ$4="","",IF(HLOOKUP(AJ$4,'Physical Effects-Numbers'!$B$1:$AU$172,$B128,FALSE)&lt;0,HLOOKUP(AJ$4,'Physical Effects-Numbers'!$B$1:$AU$172,$B128,FALSE),""))</f>
        <v/>
      </c>
      <c r="AK128" s="488" t="str">
        <f>IF(AK$4="","",IF(HLOOKUP(AK$4,'Physical Effects-Numbers'!$B$1:$AU$172,$B128,FALSE)&lt;0,HLOOKUP(AK$4,'Physical Effects-Numbers'!$B$1:$AU$172,$B128,FALSE),""))</f>
        <v/>
      </c>
      <c r="AL128" s="488" t="str">
        <f>IF(AL$4="","",IF(HLOOKUP(AL$4,'Physical Effects-Numbers'!$B$1:$AU$172,$B128,FALSE)&lt;0,HLOOKUP(AL$4,'Physical Effects-Numbers'!$B$1:$AU$172,$B128,FALSE),""))</f>
        <v/>
      </c>
      <c r="AM128" s="488" t="str">
        <f>IF(AM$4="","",IF(HLOOKUP(AM$4,'Physical Effects-Numbers'!$B$1:$AU$172,$B128,FALSE)&lt;0,HLOOKUP(AM$4,'Physical Effects-Numbers'!$B$1:$AU$172,$B128,FALSE),""))</f>
        <v/>
      </c>
      <c r="AN128" s="488" t="str">
        <f>IF(AN$4="","",IF(HLOOKUP(AN$4,'Physical Effects-Numbers'!$B$1:$AU$172,$B128,FALSE)&lt;0,HLOOKUP(AN$4,'Physical Effects-Numbers'!$B$1:$AU$172,$B128,FALSE),""))</f>
        <v/>
      </c>
      <c r="AO128" s="488" t="str">
        <f>IF(AO$4="","",IF(HLOOKUP(AO$4,'Physical Effects-Numbers'!$B$1:$AU$172,$B128,FALSE)&lt;0,HLOOKUP(AO$4,'Physical Effects-Numbers'!$B$1:$AU$172,$B128,FALSE),""))</f>
        <v/>
      </c>
      <c r="AP128" s="488" t="str">
        <f>IF(AP$4="","",IF(HLOOKUP(AP$4,'Physical Effects-Numbers'!$B$1:$AU$172,$B128,FALSE)&lt;0,HLOOKUP(AP$4,'Physical Effects-Numbers'!$B$1:$AU$172,$B128,FALSE),""))</f>
        <v/>
      </c>
      <c r="AQ128" s="488" t="str">
        <f>IF(AQ$4="","",IF(HLOOKUP(AQ$4,'Physical Effects-Numbers'!$B$1:$AU$172,$B128,FALSE)&lt;0,HLOOKUP(AQ$4,'Physical Effects-Numbers'!$B$1:$AU$172,$B128,FALSE),""))</f>
        <v/>
      </c>
      <c r="AR128" s="488" t="str">
        <f>IF(AR$4="","",IF(HLOOKUP(AR$4,'Physical Effects-Numbers'!$B$1:$AU$172,$B128,FALSE)&lt;0,HLOOKUP(AR$4,'Physical Effects-Numbers'!$B$1:$AU$172,$B128,FALSE),""))</f>
        <v/>
      </c>
      <c r="AS128" s="488" t="str">
        <f>IF(AS$4="","",IF(HLOOKUP(AS$4,'Physical Effects-Numbers'!$B$1:$AU$172,$B128,FALSE)&lt;0,HLOOKUP(AS$4,'Physical Effects-Numbers'!$B$1:$AU$172,$B128,FALSE),""))</f>
        <v/>
      </c>
      <c r="AT128" s="488" t="str">
        <f>IF(AT$4="","",IF(HLOOKUP(AT$4,'Physical Effects-Numbers'!$B$1:$AU$172,$B128,FALSE)&lt;0,HLOOKUP(AT$4,'Physical Effects-Numbers'!$B$1:$AU$172,$B128,FALSE),""))</f>
        <v/>
      </c>
      <c r="AU128" s="488" t="str">
        <f>IF(AU$4="","",IF(HLOOKUP(AU$4,'Physical Effects-Numbers'!$B$1:$AU$172,$B128,FALSE)&lt;0,HLOOKUP(AU$4,'Physical Effects-Numbers'!$B$1:$AU$172,$B128,FALSE),""))</f>
        <v/>
      </c>
      <c r="AV128" s="488" t="str">
        <f>IF(AV$4="","",IF(HLOOKUP(AV$4,'Physical Effects-Numbers'!$B$1:$AU$167,$B128,FALSE)&lt;0,HLOOKUP(AV$4,'Physical Effects-Numbers'!$B$1:$AU$167,$B128,FALSE),""))</f>
        <v/>
      </c>
    </row>
    <row r="129" spans="2:48" x14ac:dyDescent="0.2">
      <c r="B129" s="487">
        <f t="shared" si="1"/>
        <v>126</v>
      </c>
      <c r="C129" s="486" t="str">
        <f>+'Physical Effects-Numbers'!B126</f>
        <v>Silvopasture Establishment</v>
      </c>
      <c r="D129" s="488" t="str">
        <f>IF(D$4="","",IF(HLOOKUP(D$4,'Physical Effects-Numbers'!$B$1:$AU$172,$B129,FALSE)&lt;0,HLOOKUP(D$4,'Physical Effects-Numbers'!$B$1:$AU$172,$B129,FALSE),""))</f>
        <v/>
      </c>
      <c r="E129" s="488" t="str">
        <f>IF(E$4="","",IF(HLOOKUP(E$4,'Physical Effects-Numbers'!$B$1:$AU$172,$B129,FALSE)&lt;0,HLOOKUP(E$4,'Physical Effects-Numbers'!$B$1:$AU$172,$B129,FALSE),""))</f>
        <v/>
      </c>
      <c r="F129" s="488" t="str">
        <f>IF(F$4="","",IF(HLOOKUP(F$4,'Physical Effects-Numbers'!$B$1:$AU$172,$B129,FALSE)&lt;0,HLOOKUP(F$4,'Physical Effects-Numbers'!$B$1:$AU$172,$B129,FALSE),""))</f>
        <v/>
      </c>
      <c r="G129" s="488" t="str">
        <f>IF(G$4="","",IF(HLOOKUP(G$4,'Physical Effects-Numbers'!$B$1:$AU$172,$B129,FALSE)&lt;0,HLOOKUP(G$4,'Physical Effects-Numbers'!$B$1:$AU$172,$B129,FALSE),""))</f>
        <v/>
      </c>
      <c r="H129" s="488" t="str">
        <f>IF(H$4="","",IF(HLOOKUP(H$4,'Physical Effects-Numbers'!$B$1:$AU$172,$B129,FALSE)&lt;0,HLOOKUP(H$4,'Physical Effects-Numbers'!$B$1:$AU$172,$B129,FALSE),""))</f>
        <v/>
      </c>
      <c r="I129" s="488" t="str">
        <f>IF(I$4="","",IF(HLOOKUP(I$4,'Physical Effects-Numbers'!$B$1:$AU$172,$B129,FALSE)&lt;0,HLOOKUP(I$4,'Physical Effects-Numbers'!$B$1:$AU$172,$B129,FALSE),""))</f>
        <v/>
      </c>
      <c r="J129" s="488" t="str">
        <f>IF(J$4="","",IF(HLOOKUP(J$4,'Physical Effects-Numbers'!$B$1:$AU$172,$B129,FALSE)&lt;0,HLOOKUP(J$4,'Physical Effects-Numbers'!$B$1:$AU$172,$B129,FALSE),""))</f>
        <v/>
      </c>
      <c r="K129" s="488" t="str">
        <f>IF(K$4="","",IF(HLOOKUP(K$4,'Physical Effects-Numbers'!$B$1:$AU$172,$B129,FALSE)&lt;0,HLOOKUP(K$4,'Physical Effects-Numbers'!$B$1:$AU$172,$B129,FALSE),""))</f>
        <v/>
      </c>
      <c r="L129" s="488" t="str">
        <f>IF(L$4="","",IF(HLOOKUP(L$4,'Physical Effects-Numbers'!$B$1:$AU$172,$B129,FALSE)&lt;0,HLOOKUP(L$4,'Physical Effects-Numbers'!$B$1:$AU$172,$B129,FALSE),""))</f>
        <v/>
      </c>
      <c r="M129" s="488" t="str">
        <f>IF(M$4="","",IF(HLOOKUP(M$4,'Physical Effects-Numbers'!$B$1:$AU$172,$B129,FALSE)&lt;0,HLOOKUP(M$4,'Physical Effects-Numbers'!$B$1:$AU$172,$B129,FALSE),""))</f>
        <v/>
      </c>
      <c r="N129" s="488" t="str">
        <f>IF(N$4="","",IF(HLOOKUP(N$4,'Physical Effects-Numbers'!$B$1:$AU$172,$B129,FALSE)&lt;0,HLOOKUP(N$4,'Physical Effects-Numbers'!$B$1:$AU$172,$B129,FALSE),""))</f>
        <v/>
      </c>
      <c r="O129" s="488" t="str">
        <f>IF(O$4="","",IF(HLOOKUP(O$4,'Physical Effects-Numbers'!$B$1:$AU$172,$B129,FALSE)&lt;0,HLOOKUP(O$4,'Physical Effects-Numbers'!$B$1:$AU$172,$B129,FALSE),""))</f>
        <v/>
      </c>
      <c r="P129" s="488" t="str">
        <f>IF(P$4="","",IF(HLOOKUP(P$4,'Physical Effects-Numbers'!$B$1:$AU$172,$B129,FALSE)&lt;0,HLOOKUP(P$4,'Physical Effects-Numbers'!$B$1:$AU$172,$B129,FALSE),""))</f>
        <v/>
      </c>
      <c r="Q129" s="488" t="str">
        <f>IF(Q$4="","",IF(HLOOKUP(Q$4,'Physical Effects-Numbers'!$B$1:$AU$172,$B129,FALSE)&lt;0,HLOOKUP(Q$4,'Physical Effects-Numbers'!$B$1:$AU$172,$B129,FALSE),""))</f>
        <v/>
      </c>
      <c r="R129" s="488" t="str">
        <f>IF(R$4="","",IF(HLOOKUP(R$4,'Physical Effects-Numbers'!$B$1:$AU$172,$B129,FALSE)&lt;0,HLOOKUP(R$4,'Physical Effects-Numbers'!$B$1:$AU$172,$B129,FALSE),""))</f>
        <v/>
      </c>
      <c r="S129" s="488" t="str">
        <f>IF(S$4="","",IF(HLOOKUP(S$4,'Physical Effects-Numbers'!$B$1:$AU$172,$B129,FALSE)&lt;0,HLOOKUP(S$4,'Physical Effects-Numbers'!$B$1:$AU$172,$B129,FALSE),""))</f>
        <v/>
      </c>
      <c r="T129" s="488" t="str">
        <f>IF(T$4="","",IF(HLOOKUP(T$4,'Physical Effects-Numbers'!$B$1:$AU$172,$B129,FALSE)&lt;0,HLOOKUP(T$4,'Physical Effects-Numbers'!$B$1:$AU$172,$B129,FALSE),""))</f>
        <v/>
      </c>
      <c r="U129" s="488" t="str">
        <f>IF(U$4="","",IF(HLOOKUP(U$4,'Physical Effects-Numbers'!$B$1:$AU$172,$B129,FALSE)&lt;0,HLOOKUP(U$4,'Physical Effects-Numbers'!$B$1:$AU$172,$B129,FALSE),""))</f>
        <v/>
      </c>
      <c r="V129" s="488" t="str">
        <f>IF(V$4="","",IF(HLOOKUP(V$4,'Physical Effects-Numbers'!$B$1:$AU$172,$B129,FALSE)&lt;0,HLOOKUP(V$4,'Physical Effects-Numbers'!$B$1:$AU$172,$B129,FALSE),""))</f>
        <v/>
      </c>
      <c r="W129" s="488" t="str">
        <f>IF(W$4="","",IF(HLOOKUP(W$4,'Physical Effects-Numbers'!$B$1:$AU$172,$B129,FALSE)&lt;0,HLOOKUP(W$4,'Physical Effects-Numbers'!$B$1:$AU$172,$B129,FALSE),""))</f>
        <v/>
      </c>
      <c r="X129" s="488" t="str">
        <f>IF(X$4="","",IF(HLOOKUP(X$4,'Physical Effects-Numbers'!$B$1:$AU$172,$B129,FALSE)&lt;0,HLOOKUP(X$4,'Physical Effects-Numbers'!$B$1:$AU$172,$B129,FALSE),""))</f>
        <v/>
      </c>
      <c r="Y129" s="488" t="str">
        <f>IF(Y$4="","",IF(HLOOKUP(Y$4,'Physical Effects-Numbers'!$B$1:$AU$172,$B129,FALSE)&lt;0,HLOOKUP(Y$4,'Physical Effects-Numbers'!$B$1:$AU$172,$B129,FALSE),""))</f>
        <v/>
      </c>
      <c r="Z129" s="488" t="str">
        <f>IF(Z$4="","",IF(HLOOKUP(Z$4,'Physical Effects-Numbers'!$B$1:$AU$172,$B129,FALSE)&lt;0,HLOOKUP(Z$4,'Physical Effects-Numbers'!$B$1:$AU$172,$B129,FALSE),""))</f>
        <v/>
      </c>
      <c r="AA129" s="488" t="str">
        <f>IF(AA$4="","",IF(HLOOKUP(AA$4,'Physical Effects-Numbers'!$B$1:$AU$172,$B129,FALSE)&lt;0,HLOOKUP(AA$4,'Physical Effects-Numbers'!$B$1:$AU$172,$B129,FALSE),""))</f>
        <v/>
      </c>
      <c r="AB129" s="488" t="str">
        <f>IF(AB$4="","",IF(HLOOKUP(AB$4,'Physical Effects-Numbers'!$B$1:$AU$172,$B129,FALSE)&lt;0,HLOOKUP(AB$4,'Physical Effects-Numbers'!$B$1:$AU$172,$B129,FALSE),""))</f>
        <v/>
      </c>
      <c r="AC129" s="488" t="str">
        <f>IF(AC$4="","",IF(HLOOKUP(AC$4,'Physical Effects-Numbers'!$B$1:$AU$172,$B129,FALSE)&lt;0,HLOOKUP(AC$4,'Physical Effects-Numbers'!$B$1:$AU$172,$B129,FALSE),""))</f>
        <v/>
      </c>
      <c r="AD129" s="488" t="str">
        <f>IF(AD$4="","",IF(HLOOKUP(AD$4,'Physical Effects-Numbers'!$B$1:$AU$172,$B129,FALSE)&lt;0,HLOOKUP(AD$4,'Physical Effects-Numbers'!$B$1:$AU$172,$B129,FALSE),""))</f>
        <v/>
      </c>
      <c r="AE129" s="488" t="str">
        <f>IF(AE$4="","",IF(HLOOKUP(AE$4,'Physical Effects-Numbers'!$B$1:$AU$172,$B129,FALSE)&lt;0,HLOOKUP(AE$4,'Physical Effects-Numbers'!$B$1:$AU$172,$B129,FALSE),""))</f>
        <v/>
      </c>
      <c r="AF129" s="488" t="str">
        <f>IF(AF$4="","",IF(HLOOKUP(AF$4,'Physical Effects-Numbers'!$B$1:$AU$172,$B129,FALSE)&lt;0,HLOOKUP(AF$4,'Physical Effects-Numbers'!$B$1:$AU$172,$B129,FALSE),""))</f>
        <v/>
      </c>
      <c r="AG129" s="488" t="str">
        <f>IF(AG$4="","",IF(HLOOKUP(AG$4,'Physical Effects-Numbers'!$B$1:$AU$172,$B129,FALSE)&lt;0,HLOOKUP(AG$4,'Physical Effects-Numbers'!$B$1:$AU$172,$B129,FALSE),""))</f>
        <v/>
      </c>
      <c r="AH129" s="488" t="str">
        <f>IF(AH$4="","",IF(HLOOKUP(AH$4,'Physical Effects-Numbers'!$B$1:$AU$172,$B129,FALSE)&lt;0,HLOOKUP(AH$4,'Physical Effects-Numbers'!$B$1:$AU$172,$B129,FALSE),""))</f>
        <v/>
      </c>
      <c r="AI129" s="488" t="str">
        <f>IF(AI$4="","",IF(HLOOKUP(AI$4,'Physical Effects-Numbers'!$B$1:$AU$172,$B129,FALSE)&lt;0,HLOOKUP(AI$4,'Physical Effects-Numbers'!$B$1:$AU$172,$B129,FALSE),""))</f>
        <v/>
      </c>
      <c r="AJ129" s="488">
        <f>IF(AJ$4="","",IF(HLOOKUP(AJ$4,'Physical Effects-Numbers'!$B$1:$AU$172,$B129,FALSE)&lt;0,HLOOKUP(AJ$4,'Physical Effects-Numbers'!$B$1:$AU$172,$B129,FALSE),""))</f>
        <v>-1</v>
      </c>
      <c r="AK129" s="488" t="str">
        <f>IF(AK$4="","",IF(HLOOKUP(AK$4,'Physical Effects-Numbers'!$B$1:$AU$172,$B129,FALSE)&lt;0,HLOOKUP(AK$4,'Physical Effects-Numbers'!$B$1:$AU$172,$B129,FALSE),""))</f>
        <v/>
      </c>
      <c r="AL129" s="488" t="str">
        <f>IF(AL$4="","",IF(HLOOKUP(AL$4,'Physical Effects-Numbers'!$B$1:$AU$172,$B129,FALSE)&lt;0,HLOOKUP(AL$4,'Physical Effects-Numbers'!$B$1:$AU$172,$B129,FALSE),""))</f>
        <v/>
      </c>
      <c r="AM129" s="488" t="str">
        <f>IF(AM$4="","",IF(HLOOKUP(AM$4,'Physical Effects-Numbers'!$B$1:$AU$172,$B129,FALSE)&lt;0,HLOOKUP(AM$4,'Physical Effects-Numbers'!$B$1:$AU$172,$B129,FALSE),""))</f>
        <v/>
      </c>
      <c r="AN129" s="488" t="str">
        <f>IF(AN$4="","",IF(HLOOKUP(AN$4,'Physical Effects-Numbers'!$B$1:$AU$172,$B129,FALSE)&lt;0,HLOOKUP(AN$4,'Physical Effects-Numbers'!$B$1:$AU$172,$B129,FALSE),""))</f>
        <v/>
      </c>
      <c r="AO129" s="488" t="str">
        <f>IF(AO$4="","",IF(HLOOKUP(AO$4,'Physical Effects-Numbers'!$B$1:$AU$172,$B129,FALSE)&lt;0,HLOOKUP(AO$4,'Physical Effects-Numbers'!$B$1:$AU$172,$B129,FALSE),""))</f>
        <v/>
      </c>
      <c r="AP129" s="488" t="str">
        <f>IF(AP$4="","",IF(HLOOKUP(AP$4,'Physical Effects-Numbers'!$B$1:$AU$172,$B129,FALSE)&lt;0,HLOOKUP(AP$4,'Physical Effects-Numbers'!$B$1:$AU$172,$B129,FALSE),""))</f>
        <v/>
      </c>
      <c r="AQ129" s="488" t="str">
        <f>IF(AQ$4="","",IF(HLOOKUP(AQ$4,'Physical Effects-Numbers'!$B$1:$AU$172,$B129,FALSE)&lt;0,HLOOKUP(AQ$4,'Physical Effects-Numbers'!$B$1:$AU$172,$B129,FALSE),""))</f>
        <v/>
      </c>
      <c r="AR129" s="488" t="str">
        <f>IF(AR$4="","",IF(HLOOKUP(AR$4,'Physical Effects-Numbers'!$B$1:$AU$172,$B129,FALSE)&lt;0,HLOOKUP(AR$4,'Physical Effects-Numbers'!$B$1:$AU$172,$B129,FALSE),""))</f>
        <v/>
      </c>
      <c r="AS129" s="488" t="str">
        <f>IF(AS$4="","",IF(HLOOKUP(AS$4,'Physical Effects-Numbers'!$B$1:$AU$172,$B129,FALSE)&lt;0,HLOOKUP(AS$4,'Physical Effects-Numbers'!$B$1:$AU$172,$B129,FALSE),""))</f>
        <v/>
      </c>
      <c r="AT129" s="488" t="str">
        <f>IF(AT$4="","",IF(HLOOKUP(AT$4,'Physical Effects-Numbers'!$B$1:$AU$172,$B129,FALSE)&lt;0,HLOOKUP(AT$4,'Physical Effects-Numbers'!$B$1:$AU$172,$B129,FALSE),""))</f>
        <v/>
      </c>
      <c r="AU129" s="488" t="str">
        <f>IF(AU$4="","",IF(HLOOKUP(AU$4,'Physical Effects-Numbers'!$B$1:$AU$172,$B129,FALSE)&lt;0,HLOOKUP(AU$4,'Physical Effects-Numbers'!$B$1:$AU$172,$B129,FALSE),""))</f>
        <v/>
      </c>
      <c r="AV129" s="488" t="str">
        <f>IF(AV$4="","",IF(HLOOKUP(AV$4,'Physical Effects-Numbers'!$B$1:$AU$167,$B129,FALSE)&lt;0,HLOOKUP(AV$4,'Physical Effects-Numbers'!$B$1:$AU$167,$B129,FALSE),""))</f>
        <v/>
      </c>
    </row>
    <row r="130" spans="2:48" x14ac:dyDescent="0.2">
      <c r="B130" s="487">
        <f t="shared" si="1"/>
        <v>127</v>
      </c>
      <c r="C130" s="486" t="str">
        <f>+'Physical Effects-Numbers'!B127</f>
        <v>Spoil Spreading</v>
      </c>
      <c r="D130" s="488" t="str">
        <f>IF(D$4="","",IF(HLOOKUP(D$4,'Physical Effects-Numbers'!$B$1:$AU$172,$B130,FALSE)&lt;0,HLOOKUP(D$4,'Physical Effects-Numbers'!$B$1:$AU$172,$B130,FALSE),""))</f>
        <v/>
      </c>
      <c r="E130" s="488" t="str">
        <f>IF(E$4="","",IF(HLOOKUP(E$4,'Physical Effects-Numbers'!$B$1:$AU$172,$B130,FALSE)&lt;0,HLOOKUP(E$4,'Physical Effects-Numbers'!$B$1:$AU$172,$B130,FALSE),""))</f>
        <v/>
      </c>
      <c r="F130" s="488" t="str">
        <f>IF(F$4="","",IF(HLOOKUP(F$4,'Physical Effects-Numbers'!$B$1:$AU$172,$B130,FALSE)&lt;0,HLOOKUP(F$4,'Physical Effects-Numbers'!$B$1:$AU$172,$B130,FALSE),""))</f>
        <v/>
      </c>
      <c r="G130" s="488" t="str">
        <f>IF(G$4="","",IF(HLOOKUP(G$4,'Physical Effects-Numbers'!$B$1:$AU$172,$B130,FALSE)&lt;0,HLOOKUP(G$4,'Physical Effects-Numbers'!$B$1:$AU$172,$B130,FALSE),""))</f>
        <v/>
      </c>
      <c r="H130" s="488" t="str">
        <f>IF(H$4="","",IF(HLOOKUP(H$4,'Physical Effects-Numbers'!$B$1:$AU$172,$B130,FALSE)&lt;0,HLOOKUP(H$4,'Physical Effects-Numbers'!$B$1:$AU$172,$B130,FALSE),""))</f>
        <v/>
      </c>
      <c r="I130" s="488" t="str">
        <f>IF(I$4="","",IF(HLOOKUP(I$4,'Physical Effects-Numbers'!$B$1:$AU$172,$B130,FALSE)&lt;0,HLOOKUP(I$4,'Physical Effects-Numbers'!$B$1:$AU$172,$B130,FALSE),""))</f>
        <v/>
      </c>
      <c r="J130" s="488">
        <f>IF(J$4="","",IF(HLOOKUP(J$4,'Physical Effects-Numbers'!$B$1:$AU$172,$B130,FALSE)&lt;0,HLOOKUP(J$4,'Physical Effects-Numbers'!$B$1:$AU$172,$B130,FALSE),""))</f>
        <v>-1</v>
      </c>
      <c r="K130" s="488" t="str">
        <f>IF(K$4="","",IF(HLOOKUP(K$4,'Physical Effects-Numbers'!$B$1:$AU$172,$B130,FALSE)&lt;0,HLOOKUP(K$4,'Physical Effects-Numbers'!$B$1:$AU$172,$B130,FALSE),""))</f>
        <v/>
      </c>
      <c r="L130" s="488" t="str">
        <f>IF(L$4="","",IF(HLOOKUP(L$4,'Physical Effects-Numbers'!$B$1:$AU$172,$B130,FALSE)&lt;0,HLOOKUP(L$4,'Physical Effects-Numbers'!$B$1:$AU$172,$B130,FALSE),""))</f>
        <v/>
      </c>
      <c r="M130" s="488" t="str">
        <f>IF(M$4="","",IF(HLOOKUP(M$4,'Physical Effects-Numbers'!$B$1:$AU$172,$B130,FALSE)&lt;0,HLOOKUP(M$4,'Physical Effects-Numbers'!$B$1:$AU$172,$B130,FALSE),""))</f>
        <v/>
      </c>
      <c r="N130" s="488" t="str">
        <f>IF(N$4="","",IF(HLOOKUP(N$4,'Physical Effects-Numbers'!$B$1:$AU$172,$B130,FALSE)&lt;0,HLOOKUP(N$4,'Physical Effects-Numbers'!$B$1:$AU$172,$B130,FALSE),""))</f>
        <v/>
      </c>
      <c r="O130" s="488" t="str">
        <f>IF(O$4="","",IF(HLOOKUP(O$4,'Physical Effects-Numbers'!$B$1:$AU$172,$B130,FALSE)&lt;0,HLOOKUP(O$4,'Physical Effects-Numbers'!$B$1:$AU$172,$B130,FALSE),""))</f>
        <v/>
      </c>
      <c r="P130" s="488" t="str">
        <f>IF(P$4="","",IF(HLOOKUP(P$4,'Physical Effects-Numbers'!$B$1:$AU$172,$B130,FALSE)&lt;0,HLOOKUP(P$4,'Physical Effects-Numbers'!$B$1:$AU$172,$B130,FALSE),""))</f>
        <v/>
      </c>
      <c r="Q130" s="488" t="str">
        <f>IF(Q$4="","",IF(HLOOKUP(Q$4,'Physical Effects-Numbers'!$B$1:$AU$172,$B130,FALSE)&lt;0,HLOOKUP(Q$4,'Physical Effects-Numbers'!$B$1:$AU$172,$B130,FALSE),""))</f>
        <v/>
      </c>
      <c r="R130" s="488" t="str">
        <f>IF(R$4="","",IF(HLOOKUP(R$4,'Physical Effects-Numbers'!$B$1:$AU$172,$B130,FALSE)&lt;0,HLOOKUP(R$4,'Physical Effects-Numbers'!$B$1:$AU$172,$B130,FALSE),""))</f>
        <v/>
      </c>
      <c r="S130" s="488" t="str">
        <f>IF(S$4="","",IF(HLOOKUP(S$4,'Physical Effects-Numbers'!$B$1:$AU$172,$B130,FALSE)&lt;0,HLOOKUP(S$4,'Physical Effects-Numbers'!$B$1:$AU$172,$B130,FALSE),""))</f>
        <v/>
      </c>
      <c r="T130" s="488" t="str">
        <f>IF(T$4="","",IF(HLOOKUP(T$4,'Physical Effects-Numbers'!$B$1:$AU$172,$B130,FALSE)&lt;0,HLOOKUP(T$4,'Physical Effects-Numbers'!$B$1:$AU$172,$B130,FALSE),""))</f>
        <v/>
      </c>
      <c r="U130" s="488" t="str">
        <f>IF(U$4="","",IF(HLOOKUP(U$4,'Physical Effects-Numbers'!$B$1:$AU$172,$B130,FALSE)&lt;0,HLOOKUP(U$4,'Physical Effects-Numbers'!$B$1:$AU$172,$B130,FALSE),""))</f>
        <v/>
      </c>
      <c r="V130" s="488" t="str">
        <f>IF(V$4="","",IF(HLOOKUP(V$4,'Physical Effects-Numbers'!$B$1:$AU$172,$B130,FALSE)&lt;0,HLOOKUP(V$4,'Physical Effects-Numbers'!$B$1:$AU$172,$B130,FALSE),""))</f>
        <v/>
      </c>
      <c r="W130" s="488" t="str">
        <f>IF(W$4="","",IF(HLOOKUP(W$4,'Physical Effects-Numbers'!$B$1:$AU$172,$B130,FALSE)&lt;0,HLOOKUP(W$4,'Physical Effects-Numbers'!$B$1:$AU$172,$B130,FALSE),""))</f>
        <v/>
      </c>
      <c r="X130" s="488" t="str">
        <f>IF(X$4="","",IF(HLOOKUP(X$4,'Physical Effects-Numbers'!$B$1:$AU$172,$B130,FALSE)&lt;0,HLOOKUP(X$4,'Physical Effects-Numbers'!$B$1:$AU$172,$B130,FALSE),""))</f>
        <v/>
      </c>
      <c r="Y130" s="488" t="str">
        <f>IF(Y$4="","",IF(HLOOKUP(Y$4,'Physical Effects-Numbers'!$B$1:$AU$172,$B130,FALSE)&lt;0,HLOOKUP(Y$4,'Physical Effects-Numbers'!$B$1:$AU$172,$B130,FALSE),""))</f>
        <v/>
      </c>
      <c r="Z130" s="488" t="str">
        <f>IF(Z$4="","",IF(HLOOKUP(Z$4,'Physical Effects-Numbers'!$B$1:$AU$172,$B130,FALSE)&lt;0,HLOOKUP(Z$4,'Physical Effects-Numbers'!$B$1:$AU$172,$B130,FALSE),""))</f>
        <v/>
      </c>
      <c r="AA130" s="488" t="str">
        <f>IF(AA$4="","",IF(HLOOKUP(AA$4,'Physical Effects-Numbers'!$B$1:$AU$172,$B130,FALSE)&lt;0,HLOOKUP(AA$4,'Physical Effects-Numbers'!$B$1:$AU$172,$B130,FALSE),""))</f>
        <v/>
      </c>
      <c r="AB130" s="488" t="str">
        <f>IF(AB$4="","",IF(HLOOKUP(AB$4,'Physical Effects-Numbers'!$B$1:$AU$172,$B130,FALSE)&lt;0,HLOOKUP(AB$4,'Physical Effects-Numbers'!$B$1:$AU$172,$B130,FALSE),""))</f>
        <v/>
      </c>
      <c r="AC130" s="488" t="str">
        <f>IF(AC$4="","",IF(HLOOKUP(AC$4,'Physical Effects-Numbers'!$B$1:$AU$172,$B130,FALSE)&lt;0,HLOOKUP(AC$4,'Physical Effects-Numbers'!$B$1:$AU$172,$B130,FALSE),""))</f>
        <v/>
      </c>
      <c r="AD130" s="488" t="str">
        <f>IF(AD$4="","",IF(HLOOKUP(AD$4,'Physical Effects-Numbers'!$B$1:$AU$172,$B130,FALSE)&lt;0,HLOOKUP(AD$4,'Physical Effects-Numbers'!$B$1:$AU$172,$B130,FALSE),""))</f>
        <v/>
      </c>
      <c r="AE130" s="488" t="str">
        <f>IF(AE$4="","",IF(HLOOKUP(AE$4,'Physical Effects-Numbers'!$B$1:$AU$172,$B130,FALSE)&lt;0,HLOOKUP(AE$4,'Physical Effects-Numbers'!$B$1:$AU$172,$B130,FALSE),""))</f>
        <v/>
      </c>
      <c r="AF130" s="488" t="str">
        <f>IF(AF$4="","",IF(HLOOKUP(AF$4,'Physical Effects-Numbers'!$B$1:$AU$172,$B130,FALSE)&lt;0,HLOOKUP(AF$4,'Physical Effects-Numbers'!$B$1:$AU$172,$B130,FALSE),""))</f>
        <v/>
      </c>
      <c r="AG130" s="488" t="str">
        <f>IF(AG$4="","",IF(HLOOKUP(AG$4,'Physical Effects-Numbers'!$B$1:$AU$172,$B130,FALSE)&lt;0,HLOOKUP(AG$4,'Physical Effects-Numbers'!$B$1:$AU$172,$B130,FALSE),""))</f>
        <v/>
      </c>
      <c r="AH130" s="488" t="str">
        <f>IF(AH$4="","",IF(HLOOKUP(AH$4,'Physical Effects-Numbers'!$B$1:$AU$172,$B130,FALSE)&lt;0,HLOOKUP(AH$4,'Physical Effects-Numbers'!$B$1:$AU$172,$B130,FALSE),""))</f>
        <v/>
      </c>
      <c r="AI130" s="488" t="str">
        <f>IF(AI$4="","",IF(HLOOKUP(AI$4,'Physical Effects-Numbers'!$B$1:$AU$172,$B130,FALSE)&lt;0,HLOOKUP(AI$4,'Physical Effects-Numbers'!$B$1:$AU$172,$B130,FALSE),""))</f>
        <v/>
      </c>
      <c r="AJ130" s="488" t="str">
        <f>IF(AJ$4="","",IF(HLOOKUP(AJ$4,'Physical Effects-Numbers'!$B$1:$AU$172,$B130,FALSE)&lt;0,HLOOKUP(AJ$4,'Physical Effects-Numbers'!$B$1:$AU$172,$B130,FALSE),""))</f>
        <v/>
      </c>
      <c r="AK130" s="488" t="str">
        <f>IF(AK$4="","",IF(HLOOKUP(AK$4,'Physical Effects-Numbers'!$B$1:$AU$172,$B130,FALSE)&lt;0,HLOOKUP(AK$4,'Physical Effects-Numbers'!$B$1:$AU$172,$B130,FALSE),""))</f>
        <v/>
      </c>
      <c r="AL130" s="488" t="str">
        <f>IF(AL$4="","",IF(HLOOKUP(AL$4,'Physical Effects-Numbers'!$B$1:$AU$172,$B130,FALSE)&lt;0,HLOOKUP(AL$4,'Physical Effects-Numbers'!$B$1:$AU$172,$B130,FALSE),""))</f>
        <v/>
      </c>
      <c r="AM130" s="488" t="str">
        <f>IF(AM$4="","",IF(HLOOKUP(AM$4,'Physical Effects-Numbers'!$B$1:$AU$172,$B130,FALSE)&lt;0,HLOOKUP(AM$4,'Physical Effects-Numbers'!$B$1:$AU$172,$B130,FALSE),""))</f>
        <v/>
      </c>
      <c r="AN130" s="488" t="str">
        <f>IF(AN$4="","",IF(HLOOKUP(AN$4,'Physical Effects-Numbers'!$B$1:$AU$172,$B130,FALSE)&lt;0,HLOOKUP(AN$4,'Physical Effects-Numbers'!$B$1:$AU$172,$B130,FALSE),""))</f>
        <v/>
      </c>
      <c r="AO130" s="488" t="str">
        <f>IF(AO$4="","",IF(HLOOKUP(AO$4,'Physical Effects-Numbers'!$B$1:$AU$172,$B130,FALSE)&lt;0,HLOOKUP(AO$4,'Physical Effects-Numbers'!$B$1:$AU$172,$B130,FALSE),""))</f>
        <v/>
      </c>
      <c r="AP130" s="488" t="str">
        <f>IF(AP$4="","",IF(HLOOKUP(AP$4,'Physical Effects-Numbers'!$B$1:$AU$172,$B130,FALSE)&lt;0,HLOOKUP(AP$4,'Physical Effects-Numbers'!$B$1:$AU$172,$B130,FALSE),""))</f>
        <v/>
      </c>
      <c r="AQ130" s="488" t="str">
        <f>IF(AQ$4="","",IF(HLOOKUP(AQ$4,'Physical Effects-Numbers'!$B$1:$AU$172,$B130,FALSE)&lt;0,HLOOKUP(AQ$4,'Physical Effects-Numbers'!$B$1:$AU$172,$B130,FALSE),""))</f>
        <v/>
      </c>
      <c r="AR130" s="488" t="str">
        <f>IF(AR$4="","",IF(HLOOKUP(AR$4,'Physical Effects-Numbers'!$B$1:$AU$172,$B130,FALSE)&lt;0,HLOOKUP(AR$4,'Physical Effects-Numbers'!$B$1:$AU$172,$B130,FALSE),""))</f>
        <v/>
      </c>
      <c r="AS130" s="488" t="str">
        <f>IF(AS$4="","",IF(HLOOKUP(AS$4,'Physical Effects-Numbers'!$B$1:$AU$172,$B130,FALSE)&lt;0,HLOOKUP(AS$4,'Physical Effects-Numbers'!$B$1:$AU$172,$B130,FALSE),""))</f>
        <v/>
      </c>
      <c r="AT130" s="488" t="str">
        <f>IF(AT$4="","",IF(HLOOKUP(AT$4,'Physical Effects-Numbers'!$B$1:$AU$172,$B130,FALSE)&lt;0,HLOOKUP(AT$4,'Physical Effects-Numbers'!$B$1:$AU$172,$B130,FALSE),""))</f>
        <v/>
      </c>
      <c r="AU130" s="488" t="str">
        <f>IF(AU$4="","",IF(HLOOKUP(AU$4,'Physical Effects-Numbers'!$B$1:$AU$172,$B130,FALSE)&lt;0,HLOOKUP(AU$4,'Physical Effects-Numbers'!$B$1:$AU$172,$B130,FALSE),""))</f>
        <v/>
      </c>
      <c r="AV130" s="488" t="str">
        <f>IF(AV$4="","",IF(HLOOKUP(AV$4,'Physical Effects-Numbers'!$B$1:$AU$167,$B130,FALSE)&lt;0,HLOOKUP(AV$4,'Physical Effects-Numbers'!$B$1:$AU$167,$B130,FALSE),""))</f>
        <v/>
      </c>
    </row>
    <row r="131" spans="2:48" x14ac:dyDescent="0.2">
      <c r="B131" s="487">
        <f t="shared" si="1"/>
        <v>128</v>
      </c>
      <c r="C131" s="486" t="str">
        <f>+'Physical Effects-Numbers'!B128</f>
        <v>Spring Development</v>
      </c>
      <c r="D131" s="488" t="str">
        <f>IF(D$4="","",IF(HLOOKUP(D$4,'Physical Effects-Numbers'!$B$1:$AU$172,$B131,FALSE)&lt;0,HLOOKUP(D$4,'Physical Effects-Numbers'!$B$1:$AU$172,$B131,FALSE),""))</f>
        <v/>
      </c>
      <c r="E131" s="488" t="str">
        <f>IF(E$4="","",IF(HLOOKUP(E$4,'Physical Effects-Numbers'!$B$1:$AU$172,$B131,FALSE)&lt;0,HLOOKUP(E$4,'Physical Effects-Numbers'!$B$1:$AU$172,$B131,FALSE),""))</f>
        <v/>
      </c>
      <c r="F131" s="488" t="str">
        <f>IF(F$4="","",IF(HLOOKUP(F$4,'Physical Effects-Numbers'!$B$1:$AU$172,$B131,FALSE)&lt;0,HLOOKUP(F$4,'Physical Effects-Numbers'!$B$1:$AU$172,$B131,FALSE),""))</f>
        <v/>
      </c>
      <c r="G131" s="488" t="str">
        <f>IF(G$4="","",IF(HLOOKUP(G$4,'Physical Effects-Numbers'!$B$1:$AU$172,$B131,FALSE)&lt;0,HLOOKUP(G$4,'Physical Effects-Numbers'!$B$1:$AU$172,$B131,FALSE),""))</f>
        <v/>
      </c>
      <c r="H131" s="488" t="str">
        <f>IF(H$4="","",IF(HLOOKUP(H$4,'Physical Effects-Numbers'!$B$1:$AU$172,$B131,FALSE)&lt;0,HLOOKUP(H$4,'Physical Effects-Numbers'!$B$1:$AU$172,$B131,FALSE),""))</f>
        <v/>
      </c>
      <c r="I131" s="488" t="str">
        <f>IF(I$4="","",IF(HLOOKUP(I$4,'Physical Effects-Numbers'!$B$1:$AU$172,$B131,FALSE)&lt;0,HLOOKUP(I$4,'Physical Effects-Numbers'!$B$1:$AU$172,$B131,FALSE),""))</f>
        <v/>
      </c>
      <c r="J131" s="488">
        <f>IF(J$4="","",IF(HLOOKUP(J$4,'Physical Effects-Numbers'!$B$1:$AU$172,$B131,FALSE)&lt;0,HLOOKUP(J$4,'Physical Effects-Numbers'!$B$1:$AU$172,$B131,FALSE),""))</f>
        <v>-1</v>
      </c>
      <c r="K131" s="488" t="str">
        <f>IF(K$4="","",IF(HLOOKUP(K$4,'Physical Effects-Numbers'!$B$1:$AU$172,$B131,FALSE)&lt;0,HLOOKUP(K$4,'Physical Effects-Numbers'!$B$1:$AU$172,$B131,FALSE),""))</f>
        <v/>
      </c>
      <c r="L131" s="488" t="str">
        <f>IF(L$4="","",IF(HLOOKUP(L$4,'Physical Effects-Numbers'!$B$1:$AU$172,$B131,FALSE)&lt;0,HLOOKUP(L$4,'Physical Effects-Numbers'!$B$1:$AU$172,$B131,FALSE),""))</f>
        <v/>
      </c>
      <c r="M131" s="488" t="str">
        <f>IF(M$4="","",IF(HLOOKUP(M$4,'Physical Effects-Numbers'!$B$1:$AU$172,$B131,FALSE)&lt;0,HLOOKUP(M$4,'Physical Effects-Numbers'!$B$1:$AU$172,$B131,FALSE),""))</f>
        <v/>
      </c>
      <c r="N131" s="488" t="str">
        <f>IF(N$4="","",IF(HLOOKUP(N$4,'Physical Effects-Numbers'!$B$1:$AU$172,$B131,FALSE)&lt;0,HLOOKUP(N$4,'Physical Effects-Numbers'!$B$1:$AU$172,$B131,FALSE),""))</f>
        <v/>
      </c>
      <c r="O131" s="488" t="str">
        <f>IF(O$4="","",IF(HLOOKUP(O$4,'Physical Effects-Numbers'!$B$1:$AU$172,$B131,FALSE)&lt;0,HLOOKUP(O$4,'Physical Effects-Numbers'!$B$1:$AU$172,$B131,FALSE),""))</f>
        <v/>
      </c>
      <c r="P131" s="488" t="str">
        <f>IF(P$4="","",IF(HLOOKUP(P$4,'Physical Effects-Numbers'!$B$1:$AU$172,$B131,FALSE)&lt;0,HLOOKUP(P$4,'Physical Effects-Numbers'!$B$1:$AU$172,$B131,FALSE),""))</f>
        <v/>
      </c>
      <c r="Q131" s="488" t="str">
        <f>IF(Q$4="","",IF(HLOOKUP(Q$4,'Physical Effects-Numbers'!$B$1:$AU$172,$B131,FALSE)&lt;0,HLOOKUP(Q$4,'Physical Effects-Numbers'!$B$1:$AU$172,$B131,FALSE),""))</f>
        <v/>
      </c>
      <c r="R131" s="488" t="str">
        <f>IF(R$4="","",IF(HLOOKUP(R$4,'Physical Effects-Numbers'!$B$1:$AU$172,$B131,FALSE)&lt;0,HLOOKUP(R$4,'Physical Effects-Numbers'!$B$1:$AU$172,$B131,FALSE),""))</f>
        <v/>
      </c>
      <c r="S131" s="488" t="str">
        <f>IF(S$4="","",IF(HLOOKUP(S$4,'Physical Effects-Numbers'!$B$1:$AU$172,$B131,FALSE)&lt;0,HLOOKUP(S$4,'Physical Effects-Numbers'!$B$1:$AU$172,$B131,FALSE),""))</f>
        <v/>
      </c>
      <c r="T131" s="488" t="str">
        <f>IF(T$4="","",IF(HLOOKUP(T$4,'Physical Effects-Numbers'!$B$1:$AU$172,$B131,FALSE)&lt;0,HLOOKUP(T$4,'Physical Effects-Numbers'!$B$1:$AU$172,$B131,FALSE),""))</f>
        <v/>
      </c>
      <c r="U131" s="488" t="str">
        <f>IF(U$4="","",IF(HLOOKUP(U$4,'Physical Effects-Numbers'!$B$1:$AU$172,$B131,FALSE)&lt;0,HLOOKUP(U$4,'Physical Effects-Numbers'!$B$1:$AU$172,$B131,FALSE),""))</f>
        <v/>
      </c>
      <c r="V131" s="488" t="str">
        <f>IF(V$4="","",IF(HLOOKUP(V$4,'Physical Effects-Numbers'!$B$1:$AU$172,$B131,FALSE)&lt;0,HLOOKUP(V$4,'Physical Effects-Numbers'!$B$1:$AU$172,$B131,FALSE),""))</f>
        <v/>
      </c>
      <c r="W131" s="488" t="str">
        <f>IF(W$4="","",IF(HLOOKUP(W$4,'Physical Effects-Numbers'!$B$1:$AU$172,$B131,FALSE)&lt;0,HLOOKUP(W$4,'Physical Effects-Numbers'!$B$1:$AU$172,$B131,FALSE),""))</f>
        <v/>
      </c>
      <c r="X131" s="488" t="str">
        <f>IF(X$4="","",IF(HLOOKUP(X$4,'Physical Effects-Numbers'!$B$1:$AU$172,$B131,FALSE)&lt;0,HLOOKUP(X$4,'Physical Effects-Numbers'!$B$1:$AU$172,$B131,FALSE),""))</f>
        <v/>
      </c>
      <c r="Y131" s="488" t="str">
        <f>IF(Y$4="","",IF(HLOOKUP(Y$4,'Physical Effects-Numbers'!$B$1:$AU$172,$B131,FALSE)&lt;0,HLOOKUP(Y$4,'Physical Effects-Numbers'!$B$1:$AU$172,$B131,FALSE),""))</f>
        <v/>
      </c>
      <c r="Z131" s="488" t="str">
        <f>IF(Z$4="","",IF(HLOOKUP(Z$4,'Physical Effects-Numbers'!$B$1:$AU$172,$B131,FALSE)&lt;0,HLOOKUP(Z$4,'Physical Effects-Numbers'!$B$1:$AU$172,$B131,FALSE),""))</f>
        <v/>
      </c>
      <c r="AA131" s="488" t="str">
        <f>IF(AA$4="","",IF(HLOOKUP(AA$4,'Physical Effects-Numbers'!$B$1:$AU$172,$B131,FALSE)&lt;0,HLOOKUP(AA$4,'Physical Effects-Numbers'!$B$1:$AU$172,$B131,FALSE),""))</f>
        <v/>
      </c>
      <c r="AB131" s="488" t="str">
        <f>IF(AB$4="","",IF(HLOOKUP(AB$4,'Physical Effects-Numbers'!$B$1:$AU$172,$B131,FALSE)&lt;0,HLOOKUP(AB$4,'Physical Effects-Numbers'!$B$1:$AU$172,$B131,FALSE),""))</f>
        <v/>
      </c>
      <c r="AC131" s="488" t="str">
        <f>IF(AC$4="","",IF(HLOOKUP(AC$4,'Physical Effects-Numbers'!$B$1:$AU$172,$B131,FALSE)&lt;0,HLOOKUP(AC$4,'Physical Effects-Numbers'!$B$1:$AU$172,$B131,FALSE),""))</f>
        <v/>
      </c>
      <c r="AD131" s="488" t="str">
        <f>IF(AD$4="","",IF(HLOOKUP(AD$4,'Physical Effects-Numbers'!$B$1:$AU$172,$B131,FALSE)&lt;0,HLOOKUP(AD$4,'Physical Effects-Numbers'!$B$1:$AU$172,$B131,FALSE),""))</f>
        <v/>
      </c>
      <c r="AE131" s="488" t="str">
        <f>IF(AE$4="","",IF(HLOOKUP(AE$4,'Physical Effects-Numbers'!$B$1:$AU$172,$B131,FALSE)&lt;0,HLOOKUP(AE$4,'Physical Effects-Numbers'!$B$1:$AU$172,$B131,FALSE),""))</f>
        <v/>
      </c>
      <c r="AF131" s="488" t="str">
        <f>IF(AF$4="","",IF(HLOOKUP(AF$4,'Physical Effects-Numbers'!$B$1:$AU$172,$B131,FALSE)&lt;0,HLOOKUP(AF$4,'Physical Effects-Numbers'!$B$1:$AU$172,$B131,FALSE),""))</f>
        <v/>
      </c>
      <c r="AG131" s="488" t="str">
        <f>IF(AG$4="","",IF(HLOOKUP(AG$4,'Physical Effects-Numbers'!$B$1:$AU$172,$B131,FALSE)&lt;0,HLOOKUP(AG$4,'Physical Effects-Numbers'!$B$1:$AU$172,$B131,FALSE),""))</f>
        <v/>
      </c>
      <c r="AH131" s="488" t="str">
        <f>IF(AH$4="","",IF(HLOOKUP(AH$4,'Physical Effects-Numbers'!$B$1:$AU$172,$B131,FALSE)&lt;0,HLOOKUP(AH$4,'Physical Effects-Numbers'!$B$1:$AU$172,$B131,FALSE),""))</f>
        <v/>
      </c>
      <c r="AI131" s="488" t="str">
        <f>IF(AI$4="","",IF(HLOOKUP(AI$4,'Physical Effects-Numbers'!$B$1:$AU$172,$B131,FALSE)&lt;0,HLOOKUP(AI$4,'Physical Effects-Numbers'!$B$1:$AU$172,$B131,FALSE),""))</f>
        <v/>
      </c>
      <c r="AJ131" s="488" t="str">
        <f>IF(AJ$4="","",IF(HLOOKUP(AJ$4,'Physical Effects-Numbers'!$B$1:$AU$172,$B131,FALSE)&lt;0,HLOOKUP(AJ$4,'Physical Effects-Numbers'!$B$1:$AU$172,$B131,FALSE),""))</f>
        <v/>
      </c>
      <c r="AK131" s="488" t="str">
        <f>IF(AK$4="","",IF(HLOOKUP(AK$4,'Physical Effects-Numbers'!$B$1:$AU$172,$B131,FALSE)&lt;0,HLOOKUP(AK$4,'Physical Effects-Numbers'!$B$1:$AU$172,$B131,FALSE),""))</f>
        <v/>
      </c>
      <c r="AL131" s="488" t="str">
        <f>IF(AL$4="","",IF(HLOOKUP(AL$4,'Physical Effects-Numbers'!$B$1:$AU$172,$B131,FALSE)&lt;0,HLOOKUP(AL$4,'Physical Effects-Numbers'!$B$1:$AU$172,$B131,FALSE),""))</f>
        <v/>
      </c>
      <c r="AM131" s="488" t="str">
        <f>IF(AM$4="","",IF(HLOOKUP(AM$4,'Physical Effects-Numbers'!$B$1:$AU$172,$B131,FALSE)&lt;0,HLOOKUP(AM$4,'Physical Effects-Numbers'!$B$1:$AU$172,$B131,FALSE),""))</f>
        <v/>
      </c>
      <c r="AN131" s="488" t="str">
        <f>IF(AN$4="","",IF(HLOOKUP(AN$4,'Physical Effects-Numbers'!$B$1:$AU$172,$B131,FALSE)&lt;0,HLOOKUP(AN$4,'Physical Effects-Numbers'!$B$1:$AU$172,$B131,FALSE),""))</f>
        <v/>
      </c>
      <c r="AO131" s="488" t="str">
        <f>IF(AO$4="","",IF(HLOOKUP(AO$4,'Physical Effects-Numbers'!$B$1:$AU$172,$B131,FALSE)&lt;0,HLOOKUP(AO$4,'Physical Effects-Numbers'!$B$1:$AU$172,$B131,FALSE),""))</f>
        <v/>
      </c>
      <c r="AP131" s="488" t="str">
        <f>IF(AP$4="","",IF(HLOOKUP(AP$4,'Physical Effects-Numbers'!$B$1:$AU$172,$B131,FALSE)&lt;0,HLOOKUP(AP$4,'Physical Effects-Numbers'!$B$1:$AU$172,$B131,FALSE),""))</f>
        <v/>
      </c>
      <c r="AQ131" s="488" t="str">
        <f>IF(AQ$4="","",IF(HLOOKUP(AQ$4,'Physical Effects-Numbers'!$B$1:$AU$172,$B131,FALSE)&lt;0,HLOOKUP(AQ$4,'Physical Effects-Numbers'!$B$1:$AU$172,$B131,FALSE),""))</f>
        <v/>
      </c>
      <c r="AR131" s="488" t="str">
        <f>IF(AR$4="","",IF(HLOOKUP(AR$4,'Physical Effects-Numbers'!$B$1:$AU$172,$B131,FALSE)&lt;0,HLOOKUP(AR$4,'Physical Effects-Numbers'!$B$1:$AU$172,$B131,FALSE),""))</f>
        <v/>
      </c>
      <c r="AS131" s="488" t="str">
        <f>IF(AS$4="","",IF(HLOOKUP(AS$4,'Physical Effects-Numbers'!$B$1:$AU$172,$B131,FALSE)&lt;0,HLOOKUP(AS$4,'Physical Effects-Numbers'!$B$1:$AU$172,$B131,FALSE),""))</f>
        <v/>
      </c>
      <c r="AT131" s="488" t="str">
        <f>IF(AT$4="","",IF(HLOOKUP(AT$4,'Physical Effects-Numbers'!$B$1:$AU$172,$B131,FALSE)&lt;0,HLOOKUP(AT$4,'Physical Effects-Numbers'!$B$1:$AU$172,$B131,FALSE),""))</f>
        <v/>
      </c>
      <c r="AU131" s="488" t="str">
        <f>IF(AU$4="","",IF(HLOOKUP(AU$4,'Physical Effects-Numbers'!$B$1:$AU$172,$B131,FALSE)&lt;0,HLOOKUP(AU$4,'Physical Effects-Numbers'!$B$1:$AU$172,$B131,FALSE),""))</f>
        <v/>
      </c>
      <c r="AV131" s="488" t="str">
        <f>IF(AV$4="","",IF(HLOOKUP(AV$4,'Physical Effects-Numbers'!$B$1:$AU$167,$B131,FALSE)&lt;0,HLOOKUP(AV$4,'Physical Effects-Numbers'!$B$1:$AU$167,$B131,FALSE),""))</f>
        <v/>
      </c>
    </row>
    <row r="132" spans="2:48" x14ac:dyDescent="0.2">
      <c r="B132" s="487">
        <f t="shared" si="1"/>
        <v>129</v>
      </c>
      <c r="C132" s="486" t="str">
        <f>+'Physical Effects-Numbers'!B129</f>
        <v>Sprinkler System</v>
      </c>
      <c r="D132" s="488" t="str">
        <f>IF(D$4="","",IF(HLOOKUP(D$4,'Physical Effects-Numbers'!$B$1:$AU$172,$B132,FALSE)&lt;0,HLOOKUP(D$4,'Physical Effects-Numbers'!$B$1:$AU$172,$B132,FALSE),""))</f>
        <v/>
      </c>
      <c r="E132" s="488" t="str">
        <f>IF(E$4="","",IF(HLOOKUP(E$4,'Physical Effects-Numbers'!$B$1:$AU$172,$B132,FALSE)&lt;0,HLOOKUP(E$4,'Physical Effects-Numbers'!$B$1:$AU$172,$B132,FALSE),""))</f>
        <v/>
      </c>
      <c r="F132" s="488" t="str">
        <f>IF(F$4="","",IF(HLOOKUP(F$4,'Physical Effects-Numbers'!$B$1:$AU$172,$B132,FALSE)&lt;0,HLOOKUP(F$4,'Physical Effects-Numbers'!$B$1:$AU$172,$B132,FALSE),""))</f>
        <v/>
      </c>
      <c r="G132" s="488" t="str">
        <f>IF(G$4="","",IF(HLOOKUP(G$4,'Physical Effects-Numbers'!$B$1:$AU$172,$B132,FALSE)&lt;0,HLOOKUP(G$4,'Physical Effects-Numbers'!$B$1:$AU$172,$B132,FALSE),""))</f>
        <v/>
      </c>
      <c r="H132" s="488" t="str">
        <f>IF(H$4="","",IF(HLOOKUP(H$4,'Physical Effects-Numbers'!$B$1:$AU$172,$B132,FALSE)&lt;0,HLOOKUP(H$4,'Physical Effects-Numbers'!$B$1:$AU$172,$B132,FALSE),""))</f>
        <v/>
      </c>
      <c r="I132" s="488" t="str">
        <f>IF(I$4="","",IF(HLOOKUP(I$4,'Physical Effects-Numbers'!$B$1:$AU$172,$B132,FALSE)&lt;0,HLOOKUP(I$4,'Physical Effects-Numbers'!$B$1:$AU$172,$B132,FALSE),""))</f>
        <v/>
      </c>
      <c r="J132" s="488">
        <f>IF(J$4="","",IF(HLOOKUP(J$4,'Physical Effects-Numbers'!$B$1:$AU$172,$B132,FALSE)&lt;0,HLOOKUP(J$4,'Physical Effects-Numbers'!$B$1:$AU$172,$B132,FALSE),""))</f>
        <v>-1</v>
      </c>
      <c r="K132" s="488" t="str">
        <f>IF(K$4="","",IF(HLOOKUP(K$4,'Physical Effects-Numbers'!$B$1:$AU$172,$B132,FALSE)&lt;0,HLOOKUP(K$4,'Physical Effects-Numbers'!$B$1:$AU$172,$B132,FALSE),""))</f>
        <v/>
      </c>
      <c r="L132" s="488" t="str">
        <f>IF(L$4="","",IF(HLOOKUP(L$4,'Physical Effects-Numbers'!$B$1:$AU$172,$B132,FALSE)&lt;0,HLOOKUP(L$4,'Physical Effects-Numbers'!$B$1:$AU$172,$B132,FALSE),""))</f>
        <v/>
      </c>
      <c r="M132" s="488" t="str">
        <f>IF(M$4="","",IF(HLOOKUP(M$4,'Physical Effects-Numbers'!$B$1:$AU$172,$B132,FALSE)&lt;0,HLOOKUP(M$4,'Physical Effects-Numbers'!$B$1:$AU$172,$B132,FALSE),""))</f>
        <v/>
      </c>
      <c r="N132" s="488" t="str">
        <f>IF(N$4="","",IF(HLOOKUP(N$4,'Physical Effects-Numbers'!$B$1:$AU$172,$B132,FALSE)&lt;0,HLOOKUP(N$4,'Physical Effects-Numbers'!$B$1:$AU$172,$B132,FALSE),""))</f>
        <v/>
      </c>
      <c r="O132" s="488" t="str">
        <f>IF(O$4="","",IF(HLOOKUP(O$4,'Physical Effects-Numbers'!$B$1:$AU$172,$B132,FALSE)&lt;0,HLOOKUP(O$4,'Physical Effects-Numbers'!$B$1:$AU$172,$B132,FALSE),""))</f>
        <v/>
      </c>
      <c r="P132" s="488" t="str">
        <f>IF(P$4="","",IF(HLOOKUP(P$4,'Physical Effects-Numbers'!$B$1:$AU$172,$B132,FALSE)&lt;0,HLOOKUP(P$4,'Physical Effects-Numbers'!$B$1:$AU$172,$B132,FALSE),""))</f>
        <v/>
      </c>
      <c r="Q132" s="488" t="str">
        <f>IF(Q$4="","",IF(HLOOKUP(Q$4,'Physical Effects-Numbers'!$B$1:$AU$172,$B132,FALSE)&lt;0,HLOOKUP(Q$4,'Physical Effects-Numbers'!$B$1:$AU$172,$B132,FALSE),""))</f>
        <v/>
      </c>
      <c r="R132" s="488" t="str">
        <f>IF(R$4="","",IF(HLOOKUP(R$4,'Physical Effects-Numbers'!$B$1:$AU$172,$B132,FALSE)&lt;0,HLOOKUP(R$4,'Physical Effects-Numbers'!$B$1:$AU$172,$B132,FALSE),""))</f>
        <v/>
      </c>
      <c r="S132" s="488" t="str">
        <f>IF(S$4="","",IF(HLOOKUP(S$4,'Physical Effects-Numbers'!$B$1:$AU$172,$B132,FALSE)&lt;0,HLOOKUP(S$4,'Physical Effects-Numbers'!$B$1:$AU$172,$B132,FALSE),""))</f>
        <v/>
      </c>
      <c r="T132" s="488" t="str">
        <f>IF(T$4="","",IF(HLOOKUP(T$4,'Physical Effects-Numbers'!$B$1:$AU$172,$B132,FALSE)&lt;0,HLOOKUP(T$4,'Physical Effects-Numbers'!$B$1:$AU$172,$B132,FALSE),""))</f>
        <v/>
      </c>
      <c r="U132" s="488" t="str">
        <f>IF(U$4="","",IF(HLOOKUP(U$4,'Physical Effects-Numbers'!$B$1:$AU$172,$B132,FALSE)&lt;0,HLOOKUP(U$4,'Physical Effects-Numbers'!$B$1:$AU$172,$B132,FALSE),""))</f>
        <v/>
      </c>
      <c r="V132" s="488" t="str">
        <f>IF(V$4="","",IF(HLOOKUP(V$4,'Physical Effects-Numbers'!$B$1:$AU$172,$B132,FALSE)&lt;0,HLOOKUP(V$4,'Physical Effects-Numbers'!$B$1:$AU$172,$B132,FALSE),""))</f>
        <v/>
      </c>
      <c r="W132" s="488" t="str">
        <f>IF(W$4="","",IF(HLOOKUP(W$4,'Physical Effects-Numbers'!$B$1:$AU$172,$B132,FALSE)&lt;0,HLOOKUP(W$4,'Physical Effects-Numbers'!$B$1:$AU$172,$B132,FALSE),""))</f>
        <v/>
      </c>
      <c r="X132" s="488" t="str">
        <f>IF(X$4="","",IF(HLOOKUP(X$4,'Physical Effects-Numbers'!$B$1:$AU$172,$B132,FALSE)&lt;0,HLOOKUP(X$4,'Physical Effects-Numbers'!$B$1:$AU$172,$B132,FALSE),""))</f>
        <v/>
      </c>
      <c r="Y132" s="488" t="str">
        <f>IF(Y$4="","",IF(HLOOKUP(Y$4,'Physical Effects-Numbers'!$B$1:$AU$172,$B132,FALSE)&lt;0,HLOOKUP(Y$4,'Physical Effects-Numbers'!$B$1:$AU$172,$B132,FALSE),""))</f>
        <v/>
      </c>
      <c r="Z132" s="488" t="str">
        <f>IF(Z$4="","",IF(HLOOKUP(Z$4,'Physical Effects-Numbers'!$B$1:$AU$172,$B132,FALSE)&lt;0,HLOOKUP(Z$4,'Physical Effects-Numbers'!$B$1:$AU$172,$B132,FALSE),""))</f>
        <v/>
      </c>
      <c r="AA132" s="488" t="str">
        <f>IF(AA$4="","",IF(HLOOKUP(AA$4,'Physical Effects-Numbers'!$B$1:$AU$172,$B132,FALSE)&lt;0,HLOOKUP(AA$4,'Physical Effects-Numbers'!$B$1:$AU$172,$B132,FALSE),""))</f>
        <v/>
      </c>
      <c r="AB132" s="488" t="str">
        <f>IF(AB$4="","",IF(HLOOKUP(AB$4,'Physical Effects-Numbers'!$B$1:$AU$172,$B132,FALSE)&lt;0,HLOOKUP(AB$4,'Physical Effects-Numbers'!$B$1:$AU$172,$B132,FALSE),""))</f>
        <v/>
      </c>
      <c r="AC132" s="488" t="str">
        <f>IF(AC$4="","",IF(HLOOKUP(AC$4,'Physical Effects-Numbers'!$B$1:$AU$172,$B132,FALSE)&lt;0,HLOOKUP(AC$4,'Physical Effects-Numbers'!$B$1:$AU$172,$B132,FALSE),""))</f>
        <v/>
      </c>
      <c r="AD132" s="488" t="str">
        <f>IF(AD$4="","",IF(HLOOKUP(AD$4,'Physical Effects-Numbers'!$B$1:$AU$172,$B132,FALSE)&lt;0,HLOOKUP(AD$4,'Physical Effects-Numbers'!$B$1:$AU$172,$B132,FALSE),""))</f>
        <v/>
      </c>
      <c r="AE132" s="488" t="str">
        <f>IF(AE$4="","",IF(HLOOKUP(AE$4,'Physical Effects-Numbers'!$B$1:$AU$172,$B132,FALSE)&lt;0,HLOOKUP(AE$4,'Physical Effects-Numbers'!$B$1:$AU$172,$B132,FALSE),""))</f>
        <v/>
      </c>
      <c r="AF132" s="488" t="str">
        <f>IF(AF$4="","",IF(HLOOKUP(AF$4,'Physical Effects-Numbers'!$B$1:$AU$172,$B132,FALSE)&lt;0,HLOOKUP(AF$4,'Physical Effects-Numbers'!$B$1:$AU$172,$B132,FALSE),""))</f>
        <v/>
      </c>
      <c r="AG132" s="488" t="str">
        <f>IF(AG$4="","",IF(HLOOKUP(AG$4,'Physical Effects-Numbers'!$B$1:$AU$172,$B132,FALSE)&lt;0,HLOOKUP(AG$4,'Physical Effects-Numbers'!$B$1:$AU$172,$B132,FALSE),""))</f>
        <v/>
      </c>
      <c r="AH132" s="488" t="str">
        <f>IF(AH$4="","",IF(HLOOKUP(AH$4,'Physical Effects-Numbers'!$B$1:$AU$172,$B132,FALSE)&lt;0,HLOOKUP(AH$4,'Physical Effects-Numbers'!$B$1:$AU$172,$B132,FALSE),""))</f>
        <v/>
      </c>
      <c r="AI132" s="488" t="str">
        <f>IF(AI$4="","",IF(HLOOKUP(AI$4,'Physical Effects-Numbers'!$B$1:$AU$172,$B132,FALSE)&lt;0,HLOOKUP(AI$4,'Physical Effects-Numbers'!$B$1:$AU$172,$B132,FALSE),""))</f>
        <v/>
      </c>
      <c r="AJ132" s="488" t="str">
        <f>IF(AJ$4="","",IF(HLOOKUP(AJ$4,'Physical Effects-Numbers'!$B$1:$AU$172,$B132,FALSE)&lt;0,HLOOKUP(AJ$4,'Physical Effects-Numbers'!$B$1:$AU$172,$B132,FALSE),""))</f>
        <v/>
      </c>
      <c r="AK132" s="488" t="str">
        <f>IF(AK$4="","",IF(HLOOKUP(AK$4,'Physical Effects-Numbers'!$B$1:$AU$172,$B132,FALSE)&lt;0,HLOOKUP(AK$4,'Physical Effects-Numbers'!$B$1:$AU$172,$B132,FALSE),""))</f>
        <v/>
      </c>
      <c r="AL132" s="488" t="str">
        <f>IF(AL$4="","",IF(HLOOKUP(AL$4,'Physical Effects-Numbers'!$B$1:$AU$172,$B132,FALSE)&lt;0,HLOOKUP(AL$4,'Physical Effects-Numbers'!$B$1:$AU$172,$B132,FALSE),""))</f>
        <v/>
      </c>
      <c r="AM132" s="488" t="str">
        <f>IF(AM$4="","",IF(HLOOKUP(AM$4,'Physical Effects-Numbers'!$B$1:$AU$172,$B132,FALSE)&lt;0,HLOOKUP(AM$4,'Physical Effects-Numbers'!$B$1:$AU$172,$B132,FALSE),""))</f>
        <v/>
      </c>
      <c r="AN132" s="488" t="str">
        <f>IF(AN$4="","",IF(HLOOKUP(AN$4,'Physical Effects-Numbers'!$B$1:$AU$172,$B132,FALSE)&lt;0,HLOOKUP(AN$4,'Physical Effects-Numbers'!$B$1:$AU$172,$B132,FALSE),""))</f>
        <v/>
      </c>
      <c r="AO132" s="488" t="str">
        <f>IF(AO$4="","",IF(HLOOKUP(AO$4,'Physical Effects-Numbers'!$B$1:$AU$172,$B132,FALSE)&lt;0,HLOOKUP(AO$4,'Physical Effects-Numbers'!$B$1:$AU$172,$B132,FALSE),""))</f>
        <v/>
      </c>
      <c r="AP132" s="488" t="str">
        <f>IF(AP$4="","",IF(HLOOKUP(AP$4,'Physical Effects-Numbers'!$B$1:$AU$172,$B132,FALSE)&lt;0,HLOOKUP(AP$4,'Physical Effects-Numbers'!$B$1:$AU$172,$B132,FALSE),""))</f>
        <v/>
      </c>
      <c r="AQ132" s="488" t="str">
        <f>IF(AQ$4="","",IF(HLOOKUP(AQ$4,'Physical Effects-Numbers'!$B$1:$AU$172,$B132,FALSE)&lt;0,HLOOKUP(AQ$4,'Physical Effects-Numbers'!$B$1:$AU$172,$B132,FALSE),""))</f>
        <v/>
      </c>
      <c r="AR132" s="488" t="str">
        <f>IF(AR$4="","",IF(HLOOKUP(AR$4,'Physical Effects-Numbers'!$B$1:$AU$172,$B132,FALSE)&lt;0,HLOOKUP(AR$4,'Physical Effects-Numbers'!$B$1:$AU$172,$B132,FALSE),""))</f>
        <v/>
      </c>
      <c r="AS132" s="488" t="str">
        <f>IF(AS$4="","",IF(HLOOKUP(AS$4,'Physical Effects-Numbers'!$B$1:$AU$172,$B132,FALSE)&lt;0,HLOOKUP(AS$4,'Physical Effects-Numbers'!$B$1:$AU$172,$B132,FALSE),""))</f>
        <v/>
      </c>
      <c r="AT132" s="488" t="str">
        <f>IF(AT$4="","",IF(HLOOKUP(AT$4,'Physical Effects-Numbers'!$B$1:$AU$172,$B132,FALSE)&lt;0,HLOOKUP(AT$4,'Physical Effects-Numbers'!$B$1:$AU$172,$B132,FALSE),""))</f>
        <v/>
      </c>
      <c r="AU132" s="488" t="str">
        <f>IF(AU$4="","",IF(HLOOKUP(AU$4,'Physical Effects-Numbers'!$B$1:$AU$172,$B132,FALSE)&lt;0,HLOOKUP(AU$4,'Physical Effects-Numbers'!$B$1:$AU$172,$B132,FALSE),""))</f>
        <v/>
      </c>
      <c r="AV132" s="488" t="str">
        <f>IF(AV$4="","",IF(HLOOKUP(AV$4,'Physical Effects-Numbers'!$B$1:$AU$167,$B132,FALSE)&lt;0,HLOOKUP(AV$4,'Physical Effects-Numbers'!$B$1:$AU$167,$B132,FALSE),""))</f>
        <v/>
      </c>
    </row>
    <row r="133" spans="2:48" x14ac:dyDescent="0.2">
      <c r="B133" s="487">
        <f t="shared" si="1"/>
        <v>130</v>
      </c>
      <c r="C133" s="486" t="str">
        <f>+'Physical Effects-Numbers'!B130</f>
        <v>Stormwater Runoff Control</v>
      </c>
      <c r="D133" s="488" t="str">
        <f>IF(D$4="","",IF(HLOOKUP(D$4,'Physical Effects-Numbers'!$B$1:$AU$172,$B133,FALSE)&lt;0,HLOOKUP(D$4,'Physical Effects-Numbers'!$B$1:$AU$172,$B133,FALSE),""))</f>
        <v/>
      </c>
      <c r="E133" s="488" t="str">
        <f>IF(E$4="","",IF(HLOOKUP(E$4,'Physical Effects-Numbers'!$B$1:$AU$172,$B133,FALSE)&lt;0,HLOOKUP(E$4,'Physical Effects-Numbers'!$B$1:$AU$172,$B133,FALSE),""))</f>
        <v/>
      </c>
      <c r="F133" s="488" t="str">
        <f>IF(F$4="","",IF(HLOOKUP(F$4,'Physical Effects-Numbers'!$B$1:$AU$172,$B133,FALSE)&lt;0,HLOOKUP(F$4,'Physical Effects-Numbers'!$B$1:$AU$172,$B133,FALSE),""))</f>
        <v/>
      </c>
      <c r="G133" s="488" t="str">
        <f>IF(G$4="","",IF(HLOOKUP(G$4,'Physical Effects-Numbers'!$B$1:$AU$172,$B133,FALSE)&lt;0,HLOOKUP(G$4,'Physical Effects-Numbers'!$B$1:$AU$172,$B133,FALSE),""))</f>
        <v/>
      </c>
      <c r="H133" s="488" t="str">
        <f>IF(H$4="","",IF(HLOOKUP(H$4,'Physical Effects-Numbers'!$B$1:$AU$172,$B133,FALSE)&lt;0,HLOOKUP(H$4,'Physical Effects-Numbers'!$B$1:$AU$172,$B133,FALSE),""))</f>
        <v/>
      </c>
      <c r="I133" s="488" t="str">
        <f>IF(I$4="","",IF(HLOOKUP(I$4,'Physical Effects-Numbers'!$B$1:$AU$172,$B133,FALSE)&lt;0,HLOOKUP(I$4,'Physical Effects-Numbers'!$B$1:$AU$172,$B133,FALSE),""))</f>
        <v/>
      </c>
      <c r="J133" s="488" t="str">
        <f>IF(J$4="","",IF(HLOOKUP(J$4,'Physical Effects-Numbers'!$B$1:$AU$172,$B133,FALSE)&lt;0,HLOOKUP(J$4,'Physical Effects-Numbers'!$B$1:$AU$172,$B133,FALSE),""))</f>
        <v/>
      </c>
      <c r="K133" s="488" t="str">
        <f>IF(K$4="","",IF(HLOOKUP(K$4,'Physical Effects-Numbers'!$B$1:$AU$172,$B133,FALSE)&lt;0,HLOOKUP(K$4,'Physical Effects-Numbers'!$B$1:$AU$172,$B133,FALSE),""))</f>
        <v/>
      </c>
      <c r="L133" s="488" t="str">
        <f>IF(L$4="","",IF(HLOOKUP(L$4,'Physical Effects-Numbers'!$B$1:$AU$172,$B133,FALSE)&lt;0,HLOOKUP(L$4,'Physical Effects-Numbers'!$B$1:$AU$172,$B133,FALSE),""))</f>
        <v/>
      </c>
      <c r="M133" s="488">
        <f>IF(M$4="","",IF(HLOOKUP(M$4,'Physical Effects-Numbers'!$B$1:$AU$172,$B133,FALSE)&lt;0,HLOOKUP(M$4,'Physical Effects-Numbers'!$B$1:$AU$172,$B133,FALSE),""))</f>
        <v>-1</v>
      </c>
      <c r="N133" s="488" t="str">
        <f>IF(N$4="","",IF(HLOOKUP(N$4,'Physical Effects-Numbers'!$B$1:$AU$172,$B133,FALSE)&lt;0,HLOOKUP(N$4,'Physical Effects-Numbers'!$B$1:$AU$172,$B133,FALSE),""))</f>
        <v/>
      </c>
      <c r="O133" s="488">
        <f>IF(O$4="","",IF(HLOOKUP(O$4,'Physical Effects-Numbers'!$B$1:$AU$172,$B133,FALSE)&lt;0,HLOOKUP(O$4,'Physical Effects-Numbers'!$B$1:$AU$172,$B133,FALSE),""))</f>
        <v>-1</v>
      </c>
      <c r="P133" s="488" t="str">
        <f>IF(P$4="","",IF(HLOOKUP(P$4,'Physical Effects-Numbers'!$B$1:$AU$172,$B133,FALSE)&lt;0,HLOOKUP(P$4,'Physical Effects-Numbers'!$B$1:$AU$172,$B133,FALSE),""))</f>
        <v/>
      </c>
      <c r="Q133" s="488" t="str">
        <f>IF(Q$4="","",IF(HLOOKUP(Q$4,'Physical Effects-Numbers'!$B$1:$AU$172,$B133,FALSE)&lt;0,HLOOKUP(Q$4,'Physical Effects-Numbers'!$B$1:$AU$172,$B133,FALSE),""))</f>
        <v/>
      </c>
      <c r="R133" s="488" t="str">
        <f>IF(R$4="","",IF(HLOOKUP(R$4,'Physical Effects-Numbers'!$B$1:$AU$172,$B133,FALSE)&lt;0,HLOOKUP(R$4,'Physical Effects-Numbers'!$B$1:$AU$172,$B133,FALSE),""))</f>
        <v/>
      </c>
      <c r="S133" s="488" t="str">
        <f>IF(S$4="","",IF(HLOOKUP(S$4,'Physical Effects-Numbers'!$B$1:$AU$172,$B133,FALSE)&lt;0,HLOOKUP(S$4,'Physical Effects-Numbers'!$B$1:$AU$172,$B133,FALSE),""))</f>
        <v/>
      </c>
      <c r="T133" s="488" t="str">
        <f>IF(T$4="","",IF(HLOOKUP(T$4,'Physical Effects-Numbers'!$B$1:$AU$172,$B133,FALSE)&lt;0,HLOOKUP(T$4,'Physical Effects-Numbers'!$B$1:$AU$172,$B133,FALSE),""))</f>
        <v/>
      </c>
      <c r="U133" s="488" t="str">
        <f>IF(U$4="","",IF(HLOOKUP(U$4,'Physical Effects-Numbers'!$B$1:$AU$172,$B133,FALSE)&lt;0,HLOOKUP(U$4,'Physical Effects-Numbers'!$B$1:$AU$172,$B133,FALSE),""))</f>
        <v/>
      </c>
      <c r="V133" s="488" t="str">
        <f>IF(V$4="","",IF(HLOOKUP(V$4,'Physical Effects-Numbers'!$B$1:$AU$172,$B133,FALSE)&lt;0,HLOOKUP(V$4,'Physical Effects-Numbers'!$B$1:$AU$172,$B133,FALSE),""))</f>
        <v/>
      </c>
      <c r="W133" s="488" t="str">
        <f>IF(W$4="","",IF(HLOOKUP(W$4,'Physical Effects-Numbers'!$B$1:$AU$172,$B133,FALSE)&lt;0,HLOOKUP(W$4,'Physical Effects-Numbers'!$B$1:$AU$172,$B133,FALSE),""))</f>
        <v/>
      </c>
      <c r="X133" s="488" t="str">
        <f>IF(X$4="","",IF(HLOOKUP(X$4,'Physical Effects-Numbers'!$B$1:$AU$172,$B133,FALSE)&lt;0,HLOOKUP(X$4,'Physical Effects-Numbers'!$B$1:$AU$172,$B133,FALSE),""))</f>
        <v/>
      </c>
      <c r="Y133" s="488" t="str">
        <f>IF(Y$4="","",IF(HLOOKUP(Y$4,'Physical Effects-Numbers'!$B$1:$AU$172,$B133,FALSE)&lt;0,HLOOKUP(Y$4,'Physical Effects-Numbers'!$B$1:$AU$172,$B133,FALSE),""))</f>
        <v/>
      </c>
      <c r="Z133" s="488" t="str">
        <f>IF(Z$4="","",IF(HLOOKUP(Z$4,'Physical Effects-Numbers'!$B$1:$AU$172,$B133,FALSE)&lt;0,HLOOKUP(Z$4,'Physical Effects-Numbers'!$B$1:$AU$172,$B133,FALSE),""))</f>
        <v/>
      </c>
      <c r="AA133" s="488" t="str">
        <f>IF(AA$4="","",IF(HLOOKUP(AA$4,'Physical Effects-Numbers'!$B$1:$AU$172,$B133,FALSE)&lt;0,HLOOKUP(AA$4,'Physical Effects-Numbers'!$B$1:$AU$172,$B133,FALSE),""))</f>
        <v/>
      </c>
      <c r="AB133" s="488" t="str">
        <f>IF(AB$4="","",IF(HLOOKUP(AB$4,'Physical Effects-Numbers'!$B$1:$AU$172,$B133,FALSE)&lt;0,HLOOKUP(AB$4,'Physical Effects-Numbers'!$B$1:$AU$172,$B133,FALSE),""))</f>
        <v/>
      </c>
      <c r="AC133" s="488" t="str">
        <f>IF(AC$4="","",IF(HLOOKUP(AC$4,'Physical Effects-Numbers'!$B$1:$AU$172,$B133,FALSE)&lt;0,HLOOKUP(AC$4,'Physical Effects-Numbers'!$B$1:$AU$172,$B133,FALSE),""))</f>
        <v/>
      </c>
      <c r="AD133" s="488" t="str">
        <f>IF(AD$4="","",IF(HLOOKUP(AD$4,'Physical Effects-Numbers'!$B$1:$AU$172,$B133,FALSE)&lt;0,HLOOKUP(AD$4,'Physical Effects-Numbers'!$B$1:$AU$172,$B133,FALSE),""))</f>
        <v/>
      </c>
      <c r="AE133" s="488" t="str">
        <f>IF(AE$4="","",IF(HLOOKUP(AE$4,'Physical Effects-Numbers'!$B$1:$AU$172,$B133,FALSE)&lt;0,HLOOKUP(AE$4,'Physical Effects-Numbers'!$B$1:$AU$172,$B133,FALSE),""))</f>
        <v/>
      </c>
      <c r="AF133" s="488" t="str">
        <f>IF(AF$4="","",IF(HLOOKUP(AF$4,'Physical Effects-Numbers'!$B$1:$AU$172,$B133,FALSE)&lt;0,HLOOKUP(AF$4,'Physical Effects-Numbers'!$B$1:$AU$172,$B133,FALSE),""))</f>
        <v/>
      </c>
      <c r="AG133" s="488" t="str">
        <f>IF(AG$4="","",IF(HLOOKUP(AG$4,'Physical Effects-Numbers'!$B$1:$AU$172,$B133,FALSE)&lt;0,HLOOKUP(AG$4,'Physical Effects-Numbers'!$B$1:$AU$172,$B133,FALSE),""))</f>
        <v/>
      </c>
      <c r="AH133" s="488" t="str">
        <f>IF(AH$4="","",IF(HLOOKUP(AH$4,'Physical Effects-Numbers'!$B$1:$AU$172,$B133,FALSE)&lt;0,HLOOKUP(AH$4,'Physical Effects-Numbers'!$B$1:$AU$172,$B133,FALSE),""))</f>
        <v/>
      </c>
      <c r="AI133" s="488" t="str">
        <f>IF(AI$4="","",IF(HLOOKUP(AI$4,'Physical Effects-Numbers'!$B$1:$AU$172,$B133,FALSE)&lt;0,HLOOKUP(AI$4,'Physical Effects-Numbers'!$B$1:$AU$172,$B133,FALSE),""))</f>
        <v/>
      </c>
      <c r="AJ133" s="488" t="str">
        <f>IF(AJ$4="","",IF(HLOOKUP(AJ$4,'Physical Effects-Numbers'!$B$1:$AU$172,$B133,FALSE)&lt;0,HLOOKUP(AJ$4,'Physical Effects-Numbers'!$B$1:$AU$172,$B133,FALSE),""))</f>
        <v/>
      </c>
      <c r="AK133" s="488" t="str">
        <f>IF(AK$4="","",IF(HLOOKUP(AK$4,'Physical Effects-Numbers'!$B$1:$AU$172,$B133,FALSE)&lt;0,HLOOKUP(AK$4,'Physical Effects-Numbers'!$B$1:$AU$172,$B133,FALSE),""))</f>
        <v/>
      </c>
      <c r="AL133" s="488" t="str">
        <f>IF(AL$4="","",IF(HLOOKUP(AL$4,'Physical Effects-Numbers'!$B$1:$AU$172,$B133,FALSE)&lt;0,HLOOKUP(AL$4,'Physical Effects-Numbers'!$B$1:$AU$172,$B133,FALSE),""))</f>
        <v/>
      </c>
      <c r="AM133" s="488" t="str">
        <f>IF(AM$4="","",IF(HLOOKUP(AM$4,'Physical Effects-Numbers'!$B$1:$AU$172,$B133,FALSE)&lt;0,HLOOKUP(AM$4,'Physical Effects-Numbers'!$B$1:$AU$172,$B133,FALSE),""))</f>
        <v/>
      </c>
      <c r="AN133" s="488" t="str">
        <f>IF(AN$4="","",IF(HLOOKUP(AN$4,'Physical Effects-Numbers'!$B$1:$AU$172,$B133,FALSE)&lt;0,HLOOKUP(AN$4,'Physical Effects-Numbers'!$B$1:$AU$172,$B133,FALSE),""))</f>
        <v/>
      </c>
      <c r="AO133" s="488" t="str">
        <f>IF(AO$4="","",IF(HLOOKUP(AO$4,'Physical Effects-Numbers'!$B$1:$AU$172,$B133,FALSE)&lt;0,HLOOKUP(AO$4,'Physical Effects-Numbers'!$B$1:$AU$172,$B133,FALSE),""))</f>
        <v/>
      </c>
      <c r="AP133" s="488" t="str">
        <f>IF(AP$4="","",IF(HLOOKUP(AP$4,'Physical Effects-Numbers'!$B$1:$AU$172,$B133,FALSE)&lt;0,HLOOKUP(AP$4,'Physical Effects-Numbers'!$B$1:$AU$172,$B133,FALSE),""))</f>
        <v/>
      </c>
      <c r="AQ133" s="488" t="str">
        <f>IF(AQ$4="","",IF(HLOOKUP(AQ$4,'Physical Effects-Numbers'!$B$1:$AU$172,$B133,FALSE)&lt;0,HLOOKUP(AQ$4,'Physical Effects-Numbers'!$B$1:$AU$172,$B133,FALSE),""))</f>
        <v/>
      </c>
      <c r="AR133" s="488" t="str">
        <f>IF(AR$4="","",IF(HLOOKUP(AR$4,'Physical Effects-Numbers'!$B$1:$AU$172,$B133,FALSE)&lt;0,HLOOKUP(AR$4,'Physical Effects-Numbers'!$B$1:$AU$172,$B133,FALSE),""))</f>
        <v/>
      </c>
      <c r="AS133" s="488" t="str">
        <f>IF(AS$4="","",IF(HLOOKUP(AS$4,'Physical Effects-Numbers'!$B$1:$AU$172,$B133,FALSE)&lt;0,HLOOKUP(AS$4,'Physical Effects-Numbers'!$B$1:$AU$172,$B133,FALSE),""))</f>
        <v/>
      </c>
      <c r="AT133" s="488" t="str">
        <f>IF(AT$4="","",IF(HLOOKUP(AT$4,'Physical Effects-Numbers'!$B$1:$AU$172,$B133,FALSE)&lt;0,HLOOKUP(AT$4,'Physical Effects-Numbers'!$B$1:$AU$172,$B133,FALSE),""))</f>
        <v/>
      </c>
      <c r="AU133" s="488" t="str">
        <f>IF(AU$4="","",IF(HLOOKUP(AU$4,'Physical Effects-Numbers'!$B$1:$AU$172,$B133,FALSE)&lt;0,HLOOKUP(AU$4,'Physical Effects-Numbers'!$B$1:$AU$172,$B133,FALSE),""))</f>
        <v/>
      </c>
      <c r="AV133" s="488" t="str">
        <f>IF(AV$4="","",IF(HLOOKUP(AV$4,'Physical Effects-Numbers'!$B$1:$AU$167,$B133,FALSE)&lt;0,HLOOKUP(AV$4,'Physical Effects-Numbers'!$B$1:$AU$167,$B133,FALSE),""))</f>
        <v/>
      </c>
    </row>
    <row r="134" spans="2:48" x14ac:dyDescent="0.2">
      <c r="B134" s="487">
        <f t="shared" si="1"/>
        <v>131</v>
      </c>
      <c r="C134" s="486" t="str">
        <f>+'Physical Effects-Numbers'!B131</f>
        <v>Streambank and Shoreline Protection</v>
      </c>
      <c r="D134" s="488" t="str">
        <f>IF(D$4="","",IF(HLOOKUP(D$4,'Physical Effects-Numbers'!$B$1:$AU$172,$B134,FALSE)&lt;0,HLOOKUP(D$4,'Physical Effects-Numbers'!$B$1:$AU$172,$B134,FALSE),""))</f>
        <v/>
      </c>
      <c r="E134" s="488" t="str">
        <f>IF(E$4="","",IF(HLOOKUP(E$4,'Physical Effects-Numbers'!$B$1:$AU$172,$B134,FALSE)&lt;0,HLOOKUP(E$4,'Physical Effects-Numbers'!$B$1:$AU$172,$B134,FALSE),""))</f>
        <v/>
      </c>
      <c r="F134" s="488" t="str">
        <f>IF(F$4="","",IF(HLOOKUP(F$4,'Physical Effects-Numbers'!$B$1:$AU$172,$B134,FALSE)&lt;0,HLOOKUP(F$4,'Physical Effects-Numbers'!$B$1:$AU$172,$B134,FALSE),""))</f>
        <v/>
      </c>
      <c r="G134" s="488" t="str">
        <f>IF(G$4="","",IF(HLOOKUP(G$4,'Physical Effects-Numbers'!$B$1:$AU$172,$B134,FALSE)&lt;0,HLOOKUP(G$4,'Physical Effects-Numbers'!$B$1:$AU$172,$B134,FALSE),""))</f>
        <v/>
      </c>
      <c r="H134" s="488" t="str">
        <f>IF(H$4="","",IF(HLOOKUP(H$4,'Physical Effects-Numbers'!$B$1:$AU$172,$B134,FALSE)&lt;0,HLOOKUP(H$4,'Physical Effects-Numbers'!$B$1:$AU$172,$B134,FALSE),""))</f>
        <v/>
      </c>
      <c r="I134" s="488" t="str">
        <f>IF(I$4="","",IF(HLOOKUP(I$4,'Physical Effects-Numbers'!$B$1:$AU$172,$B134,FALSE)&lt;0,HLOOKUP(I$4,'Physical Effects-Numbers'!$B$1:$AU$172,$B134,FALSE),""))</f>
        <v/>
      </c>
      <c r="J134" s="488" t="str">
        <f>IF(J$4="","",IF(HLOOKUP(J$4,'Physical Effects-Numbers'!$B$1:$AU$172,$B134,FALSE)&lt;0,HLOOKUP(J$4,'Physical Effects-Numbers'!$B$1:$AU$172,$B134,FALSE),""))</f>
        <v/>
      </c>
      <c r="K134" s="488" t="str">
        <f>IF(K$4="","",IF(HLOOKUP(K$4,'Physical Effects-Numbers'!$B$1:$AU$172,$B134,FALSE)&lt;0,HLOOKUP(K$4,'Physical Effects-Numbers'!$B$1:$AU$172,$B134,FALSE),""))</f>
        <v/>
      </c>
      <c r="L134" s="488" t="str">
        <f>IF(L$4="","",IF(HLOOKUP(L$4,'Physical Effects-Numbers'!$B$1:$AU$172,$B134,FALSE)&lt;0,HLOOKUP(L$4,'Physical Effects-Numbers'!$B$1:$AU$172,$B134,FALSE),""))</f>
        <v/>
      </c>
      <c r="M134" s="488" t="str">
        <f>IF(M$4="","",IF(HLOOKUP(M$4,'Physical Effects-Numbers'!$B$1:$AU$172,$B134,FALSE)&lt;0,HLOOKUP(M$4,'Physical Effects-Numbers'!$B$1:$AU$172,$B134,FALSE),""))</f>
        <v/>
      </c>
      <c r="N134" s="488" t="str">
        <f>IF(N$4="","",IF(HLOOKUP(N$4,'Physical Effects-Numbers'!$B$1:$AU$172,$B134,FALSE)&lt;0,HLOOKUP(N$4,'Physical Effects-Numbers'!$B$1:$AU$172,$B134,FALSE),""))</f>
        <v/>
      </c>
      <c r="O134" s="488" t="str">
        <f>IF(O$4="","",IF(HLOOKUP(O$4,'Physical Effects-Numbers'!$B$1:$AU$172,$B134,FALSE)&lt;0,HLOOKUP(O$4,'Physical Effects-Numbers'!$B$1:$AU$172,$B134,FALSE),""))</f>
        <v/>
      </c>
      <c r="P134" s="488" t="str">
        <f>IF(P$4="","",IF(HLOOKUP(P$4,'Physical Effects-Numbers'!$B$1:$AU$172,$B134,FALSE)&lt;0,HLOOKUP(P$4,'Physical Effects-Numbers'!$B$1:$AU$172,$B134,FALSE),""))</f>
        <v/>
      </c>
      <c r="Q134" s="488" t="str">
        <f>IF(Q$4="","",IF(HLOOKUP(Q$4,'Physical Effects-Numbers'!$B$1:$AU$172,$B134,FALSE)&lt;0,HLOOKUP(Q$4,'Physical Effects-Numbers'!$B$1:$AU$172,$B134,FALSE),""))</f>
        <v/>
      </c>
      <c r="R134" s="488" t="str">
        <f>IF(R$4="","",IF(HLOOKUP(R$4,'Physical Effects-Numbers'!$B$1:$AU$172,$B134,FALSE)&lt;0,HLOOKUP(R$4,'Physical Effects-Numbers'!$B$1:$AU$172,$B134,FALSE),""))</f>
        <v/>
      </c>
      <c r="S134" s="488" t="str">
        <f>IF(S$4="","",IF(HLOOKUP(S$4,'Physical Effects-Numbers'!$B$1:$AU$172,$B134,FALSE)&lt;0,HLOOKUP(S$4,'Physical Effects-Numbers'!$B$1:$AU$172,$B134,FALSE),""))</f>
        <v/>
      </c>
      <c r="T134" s="488" t="str">
        <f>IF(T$4="","",IF(HLOOKUP(T$4,'Physical Effects-Numbers'!$B$1:$AU$172,$B134,FALSE)&lt;0,HLOOKUP(T$4,'Physical Effects-Numbers'!$B$1:$AU$172,$B134,FALSE),""))</f>
        <v/>
      </c>
      <c r="U134" s="488" t="str">
        <f>IF(U$4="","",IF(HLOOKUP(U$4,'Physical Effects-Numbers'!$B$1:$AU$172,$B134,FALSE)&lt;0,HLOOKUP(U$4,'Physical Effects-Numbers'!$B$1:$AU$172,$B134,FALSE),""))</f>
        <v/>
      </c>
      <c r="V134" s="488" t="str">
        <f>IF(V$4="","",IF(HLOOKUP(V$4,'Physical Effects-Numbers'!$B$1:$AU$172,$B134,FALSE)&lt;0,HLOOKUP(V$4,'Physical Effects-Numbers'!$B$1:$AU$172,$B134,FALSE),""))</f>
        <v/>
      </c>
      <c r="W134" s="488" t="str">
        <f>IF(W$4="","",IF(HLOOKUP(W$4,'Physical Effects-Numbers'!$B$1:$AU$172,$B134,FALSE)&lt;0,HLOOKUP(W$4,'Physical Effects-Numbers'!$B$1:$AU$172,$B134,FALSE),""))</f>
        <v/>
      </c>
      <c r="X134" s="488" t="str">
        <f>IF(X$4="","",IF(HLOOKUP(X$4,'Physical Effects-Numbers'!$B$1:$AU$172,$B134,FALSE)&lt;0,HLOOKUP(X$4,'Physical Effects-Numbers'!$B$1:$AU$172,$B134,FALSE),""))</f>
        <v/>
      </c>
      <c r="Y134" s="488" t="str">
        <f>IF(Y$4="","",IF(HLOOKUP(Y$4,'Physical Effects-Numbers'!$B$1:$AU$172,$B134,FALSE)&lt;0,HLOOKUP(Y$4,'Physical Effects-Numbers'!$B$1:$AU$172,$B134,FALSE),""))</f>
        <v/>
      </c>
      <c r="Z134" s="488" t="str">
        <f>IF(Z$4="","",IF(HLOOKUP(Z$4,'Physical Effects-Numbers'!$B$1:$AU$172,$B134,FALSE)&lt;0,HLOOKUP(Z$4,'Physical Effects-Numbers'!$B$1:$AU$172,$B134,FALSE),""))</f>
        <v/>
      </c>
      <c r="AA134" s="488" t="str">
        <f>IF(AA$4="","",IF(HLOOKUP(AA$4,'Physical Effects-Numbers'!$B$1:$AU$172,$B134,FALSE)&lt;0,HLOOKUP(AA$4,'Physical Effects-Numbers'!$B$1:$AU$172,$B134,FALSE),""))</f>
        <v/>
      </c>
      <c r="AB134" s="488" t="str">
        <f>IF(AB$4="","",IF(HLOOKUP(AB$4,'Physical Effects-Numbers'!$B$1:$AU$172,$B134,FALSE)&lt;0,HLOOKUP(AB$4,'Physical Effects-Numbers'!$B$1:$AU$172,$B134,FALSE),""))</f>
        <v/>
      </c>
      <c r="AC134" s="488" t="str">
        <f>IF(AC$4="","",IF(HLOOKUP(AC$4,'Physical Effects-Numbers'!$B$1:$AU$172,$B134,FALSE)&lt;0,HLOOKUP(AC$4,'Physical Effects-Numbers'!$B$1:$AU$172,$B134,FALSE),""))</f>
        <v/>
      </c>
      <c r="AD134" s="488" t="str">
        <f>IF(AD$4="","",IF(HLOOKUP(AD$4,'Physical Effects-Numbers'!$B$1:$AU$172,$B134,FALSE)&lt;0,HLOOKUP(AD$4,'Physical Effects-Numbers'!$B$1:$AU$172,$B134,FALSE),""))</f>
        <v/>
      </c>
      <c r="AE134" s="488" t="str">
        <f>IF(AE$4="","",IF(HLOOKUP(AE$4,'Physical Effects-Numbers'!$B$1:$AU$172,$B134,FALSE)&lt;0,HLOOKUP(AE$4,'Physical Effects-Numbers'!$B$1:$AU$172,$B134,FALSE),""))</f>
        <v/>
      </c>
      <c r="AF134" s="488" t="str">
        <f>IF(AF$4="","",IF(HLOOKUP(AF$4,'Physical Effects-Numbers'!$B$1:$AU$172,$B134,FALSE)&lt;0,HLOOKUP(AF$4,'Physical Effects-Numbers'!$B$1:$AU$172,$B134,FALSE),""))</f>
        <v/>
      </c>
      <c r="AG134" s="488" t="str">
        <f>IF(AG$4="","",IF(HLOOKUP(AG$4,'Physical Effects-Numbers'!$B$1:$AU$172,$B134,FALSE)&lt;0,HLOOKUP(AG$4,'Physical Effects-Numbers'!$B$1:$AU$172,$B134,FALSE),""))</f>
        <v/>
      </c>
      <c r="AH134" s="488" t="str">
        <f>IF(AH$4="","",IF(HLOOKUP(AH$4,'Physical Effects-Numbers'!$B$1:$AU$172,$B134,FALSE)&lt;0,HLOOKUP(AH$4,'Physical Effects-Numbers'!$B$1:$AU$172,$B134,FALSE),""))</f>
        <v/>
      </c>
      <c r="AI134" s="488" t="str">
        <f>IF(AI$4="","",IF(HLOOKUP(AI$4,'Physical Effects-Numbers'!$B$1:$AU$172,$B134,FALSE)&lt;0,HLOOKUP(AI$4,'Physical Effects-Numbers'!$B$1:$AU$172,$B134,FALSE),""))</f>
        <v/>
      </c>
      <c r="AJ134" s="488" t="str">
        <f>IF(AJ$4="","",IF(HLOOKUP(AJ$4,'Physical Effects-Numbers'!$B$1:$AU$172,$B134,FALSE)&lt;0,HLOOKUP(AJ$4,'Physical Effects-Numbers'!$B$1:$AU$172,$B134,FALSE),""))</f>
        <v/>
      </c>
      <c r="AK134" s="488" t="str">
        <f>IF(AK$4="","",IF(HLOOKUP(AK$4,'Physical Effects-Numbers'!$B$1:$AU$172,$B134,FALSE)&lt;0,HLOOKUP(AK$4,'Physical Effects-Numbers'!$B$1:$AU$172,$B134,FALSE),""))</f>
        <v/>
      </c>
      <c r="AL134" s="488" t="str">
        <f>IF(AL$4="","",IF(HLOOKUP(AL$4,'Physical Effects-Numbers'!$B$1:$AU$172,$B134,FALSE)&lt;0,HLOOKUP(AL$4,'Physical Effects-Numbers'!$B$1:$AU$172,$B134,FALSE),""))</f>
        <v/>
      </c>
      <c r="AM134" s="488" t="str">
        <f>IF(AM$4="","",IF(HLOOKUP(AM$4,'Physical Effects-Numbers'!$B$1:$AU$172,$B134,FALSE)&lt;0,HLOOKUP(AM$4,'Physical Effects-Numbers'!$B$1:$AU$172,$B134,FALSE),""))</f>
        <v/>
      </c>
      <c r="AN134" s="488" t="str">
        <f>IF(AN$4="","",IF(HLOOKUP(AN$4,'Physical Effects-Numbers'!$B$1:$AU$172,$B134,FALSE)&lt;0,HLOOKUP(AN$4,'Physical Effects-Numbers'!$B$1:$AU$172,$B134,FALSE),""))</f>
        <v/>
      </c>
      <c r="AO134" s="488" t="str">
        <f>IF(AO$4="","",IF(HLOOKUP(AO$4,'Physical Effects-Numbers'!$B$1:$AU$172,$B134,FALSE)&lt;0,HLOOKUP(AO$4,'Physical Effects-Numbers'!$B$1:$AU$172,$B134,FALSE),""))</f>
        <v/>
      </c>
      <c r="AP134" s="488" t="str">
        <f>IF(AP$4="","",IF(HLOOKUP(AP$4,'Physical Effects-Numbers'!$B$1:$AU$172,$B134,FALSE)&lt;0,HLOOKUP(AP$4,'Physical Effects-Numbers'!$B$1:$AU$172,$B134,FALSE),""))</f>
        <v/>
      </c>
      <c r="AQ134" s="488" t="str">
        <f>IF(AQ$4="","",IF(HLOOKUP(AQ$4,'Physical Effects-Numbers'!$B$1:$AU$172,$B134,FALSE)&lt;0,HLOOKUP(AQ$4,'Physical Effects-Numbers'!$B$1:$AU$172,$B134,FALSE),""))</f>
        <v/>
      </c>
      <c r="AR134" s="488" t="str">
        <f>IF(AR$4="","",IF(HLOOKUP(AR$4,'Physical Effects-Numbers'!$B$1:$AU$172,$B134,FALSE)&lt;0,HLOOKUP(AR$4,'Physical Effects-Numbers'!$B$1:$AU$172,$B134,FALSE),""))</f>
        <v/>
      </c>
      <c r="AS134" s="488" t="str">
        <f>IF(AS$4="","",IF(HLOOKUP(AS$4,'Physical Effects-Numbers'!$B$1:$AU$172,$B134,FALSE)&lt;0,HLOOKUP(AS$4,'Physical Effects-Numbers'!$B$1:$AU$172,$B134,FALSE),""))</f>
        <v/>
      </c>
      <c r="AT134" s="488" t="str">
        <f>IF(AT$4="","",IF(HLOOKUP(AT$4,'Physical Effects-Numbers'!$B$1:$AU$172,$B134,FALSE)&lt;0,HLOOKUP(AT$4,'Physical Effects-Numbers'!$B$1:$AU$172,$B134,FALSE),""))</f>
        <v/>
      </c>
      <c r="AU134" s="488" t="str">
        <f>IF(AU$4="","",IF(HLOOKUP(AU$4,'Physical Effects-Numbers'!$B$1:$AU$172,$B134,FALSE)&lt;0,HLOOKUP(AU$4,'Physical Effects-Numbers'!$B$1:$AU$172,$B134,FALSE),""))</f>
        <v/>
      </c>
      <c r="AV134" s="488" t="str">
        <f>IF(AV$4="","",IF(HLOOKUP(AV$4,'Physical Effects-Numbers'!$B$1:$AU$167,$B134,FALSE)&lt;0,HLOOKUP(AV$4,'Physical Effects-Numbers'!$B$1:$AU$167,$B134,FALSE),""))</f>
        <v/>
      </c>
    </row>
    <row r="135" spans="2:48" x14ac:dyDescent="0.2">
      <c r="B135" s="487">
        <f t="shared" ref="B135:B175" si="2">+B134+1</f>
        <v>132</v>
      </c>
      <c r="C135" s="486" t="str">
        <f>+'Physical Effects-Numbers'!B132</f>
        <v>Stream Crossing</v>
      </c>
      <c r="D135" s="488" t="str">
        <f>IF(D$4="","",IF(HLOOKUP(D$4,'Physical Effects-Numbers'!$B$1:$AU$172,$B135,FALSE)&lt;0,HLOOKUP(D$4,'Physical Effects-Numbers'!$B$1:$AU$172,$B135,FALSE),""))</f>
        <v/>
      </c>
      <c r="E135" s="488" t="str">
        <f>IF(E$4="","",IF(HLOOKUP(E$4,'Physical Effects-Numbers'!$B$1:$AU$172,$B135,FALSE)&lt;0,HLOOKUP(E$4,'Physical Effects-Numbers'!$B$1:$AU$172,$B135,FALSE),""))</f>
        <v/>
      </c>
      <c r="F135" s="488" t="str">
        <f>IF(F$4="","",IF(HLOOKUP(F$4,'Physical Effects-Numbers'!$B$1:$AU$172,$B135,FALSE)&lt;0,HLOOKUP(F$4,'Physical Effects-Numbers'!$B$1:$AU$172,$B135,FALSE),""))</f>
        <v/>
      </c>
      <c r="G135" s="488" t="str">
        <f>IF(G$4="","",IF(HLOOKUP(G$4,'Physical Effects-Numbers'!$B$1:$AU$172,$B135,FALSE)&lt;0,HLOOKUP(G$4,'Physical Effects-Numbers'!$B$1:$AU$172,$B135,FALSE),""))</f>
        <v/>
      </c>
      <c r="H135" s="488" t="str">
        <f>IF(H$4="","",IF(HLOOKUP(H$4,'Physical Effects-Numbers'!$B$1:$AU$172,$B135,FALSE)&lt;0,HLOOKUP(H$4,'Physical Effects-Numbers'!$B$1:$AU$172,$B135,FALSE),""))</f>
        <v/>
      </c>
      <c r="I135" s="488" t="str">
        <f>IF(I$4="","",IF(HLOOKUP(I$4,'Physical Effects-Numbers'!$B$1:$AU$172,$B135,FALSE)&lt;0,HLOOKUP(I$4,'Physical Effects-Numbers'!$B$1:$AU$172,$B135,FALSE),""))</f>
        <v/>
      </c>
      <c r="J135" s="488" t="str">
        <f>IF(J$4="","",IF(HLOOKUP(J$4,'Physical Effects-Numbers'!$B$1:$AU$172,$B135,FALSE)&lt;0,HLOOKUP(J$4,'Physical Effects-Numbers'!$B$1:$AU$172,$B135,FALSE),""))</f>
        <v/>
      </c>
      <c r="K135" s="488" t="str">
        <f>IF(K$4="","",IF(HLOOKUP(K$4,'Physical Effects-Numbers'!$B$1:$AU$172,$B135,FALSE)&lt;0,HLOOKUP(K$4,'Physical Effects-Numbers'!$B$1:$AU$172,$B135,FALSE),""))</f>
        <v/>
      </c>
      <c r="L135" s="488" t="str">
        <f>IF(L$4="","",IF(HLOOKUP(L$4,'Physical Effects-Numbers'!$B$1:$AU$172,$B135,FALSE)&lt;0,HLOOKUP(L$4,'Physical Effects-Numbers'!$B$1:$AU$172,$B135,FALSE),""))</f>
        <v/>
      </c>
      <c r="M135" s="488" t="str">
        <f>IF(M$4="","",IF(HLOOKUP(M$4,'Physical Effects-Numbers'!$B$1:$AU$172,$B135,FALSE)&lt;0,HLOOKUP(M$4,'Physical Effects-Numbers'!$B$1:$AU$172,$B135,FALSE),""))</f>
        <v/>
      </c>
      <c r="N135" s="488" t="str">
        <f>IF(N$4="","",IF(HLOOKUP(N$4,'Physical Effects-Numbers'!$B$1:$AU$172,$B135,FALSE)&lt;0,HLOOKUP(N$4,'Physical Effects-Numbers'!$B$1:$AU$172,$B135,FALSE),""))</f>
        <v/>
      </c>
      <c r="O135" s="488" t="str">
        <f>IF(O$4="","",IF(HLOOKUP(O$4,'Physical Effects-Numbers'!$B$1:$AU$172,$B135,FALSE)&lt;0,HLOOKUP(O$4,'Physical Effects-Numbers'!$B$1:$AU$172,$B135,FALSE),""))</f>
        <v/>
      </c>
      <c r="P135" s="488" t="str">
        <f>IF(P$4="","",IF(HLOOKUP(P$4,'Physical Effects-Numbers'!$B$1:$AU$172,$B135,FALSE)&lt;0,HLOOKUP(P$4,'Physical Effects-Numbers'!$B$1:$AU$172,$B135,FALSE),""))</f>
        <v/>
      </c>
      <c r="Q135" s="488" t="str">
        <f>IF(Q$4="","",IF(HLOOKUP(Q$4,'Physical Effects-Numbers'!$B$1:$AU$172,$B135,FALSE)&lt;0,HLOOKUP(Q$4,'Physical Effects-Numbers'!$B$1:$AU$172,$B135,FALSE),""))</f>
        <v/>
      </c>
      <c r="R135" s="488" t="str">
        <f>IF(R$4="","",IF(HLOOKUP(R$4,'Physical Effects-Numbers'!$B$1:$AU$172,$B135,FALSE)&lt;0,HLOOKUP(R$4,'Physical Effects-Numbers'!$B$1:$AU$172,$B135,FALSE),""))</f>
        <v/>
      </c>
      <c r="S135" s="488" t="str">
        <f>IF(S$4="","",IF(HLOOKUP(S$4,'Physical Effects-Numbers'!$B$1:$AU$172,$B135,FALSE)&lt;0,HLOOKUP(S$4,'Physical Effects-Numbers'!$B$1:$AU$172,$B135,FALSE),""))</f>
        <v/>
      </c>
      <c r="T135" s="488" t="str">
        <f>IF(T$4="","",IF(HLOOKUP(T$4,'Physical Effects-Numbers'!$B$1:$AU$172,$B135,FALSE)&lt;0,HLOOKUP(T$4,'Physical Effects-Numbers'!$B$1:$AU$172,$B135,FALSE),""))</f>
        <v/>
      </c>
      <c r="U135" s="488" t="str">
        <f>IF(U$4="","",IF(HLOOKUP(U$4,'Physical Effects-Numbers'!$B$1:$AU$172,$B135,FALSE)&lt;0,HLOOKUP(U$4,'Physical Effects-Numbers'!$B$1:$AU$172,$B135,FALSE),""))</f>
        <v/>
      </c>
      <c r="V135" s="488" t="str">
        <f>IF(V$4="","",IF(HLOOKUP(V$4,'Physical Effects-Numbers'!$B$1:$AU$172,$B135,FALSE)&lt;0,HLOOKUP(V$4,'Physical Effects-Numbers'!$B$1:$AU$172,$B135,FALSE),""))</f>
        <v/>
      </c>
      <c r="W135" s="488" t="str">
        <f>IF(W$4="","",IF(HLOOKUP(W$4,'Physical Effects-Numbers'!$B$1:$AU$172,$B135,FALSE)&lt;0,HLOOKUP(W$4,'Physical Effects-Numbers'!$B$1:$AU$172,$B135,FALSE),""))</f>
        <v/>
      </c>
      <c r="X135" s="488" t="str">
        <f>IF(X$4="","",IF(HLOOKUP(X$4,'Physical Effects-Numbers'!$B$1:$AU$172,$B135,FALSE)&lt;0,HLOOKUP(X$4,'Physical Effects-Numbers'!$B$1:$AU$172,$B135,FALSE),""))</f>
        <v/>
      </c>
      <c r="Y135" s="488">
        <f>IF(Y$4="","",IF(HLOOKUP(Y$4,'Physical Effects-Numbers'!$B$1:$AU$172,$B135,FALSE)&lt;0,HLOOKUP(Y$4,'Physical Effects-Numbers'!$B$1:$AU$172,$B135,FALSE),""))</f>
        <v>-3</v>
      </c>
      <c r="Z135" s="488" t="str">
        <f>IF(Z$4="","",IF(HLOOKUP(Z$4,'Physical Effects-Numbers'!$B$1:$AU$172,$B135,FALSE)&lt;0,HLOOKUP(Z$4,'Physical Effects-Numbers'!$B$1:$AU$172,$B135,FALSE),""))</f>
        <v/>
      </c>
      <c r="AA135" s="488" t="str">
        <f>IF(AA$4="","",IF(HLOOKUP(AA$4,'Physical Effects-Numbers'!$B$1:$AU$172,$B135,FALSE)&lt;0,HLOOKUP(AA$4,'Physical Effects-Numbers'!$B$1:$AU$172,$B135,FALSE),""))</f>
        <v/>
      </c>
      <c r="AB135" s="488" t="str">
        <f>IF(AB$4="","",IF(HLOOKUP(AB$4,'Physical Effects-Numbers'!$B$1:$AU$172,$B135,FALSE)&lt;0,HLOOKUP(AB$4,'Physical Effects-Numbers'!$B$1:$AU$172,$B135,FALSE),""))</f>
        <v/>
      </c>
      <c r="AC135" s="488" t="str">
        <f>IF(AC$4="","",IF(HLOOKUP(AC$4,'Physical Effects-Numbers'!$B$1:$AU$172,$B135,FALSE)&lt;0,HLOOKUP(AC$4,'Physical Effects-Numbers'!$B$1:$AU$172,$B135,FALSE),""))</f>
        <v/>
      </c>
      <c r="AD135" s="488" t="str">
        <f>IF(AD$4="","",IF(HLOOKUP(AD$4,'Physical Effects-Numbers'!$B$1:$AU$172,$B135,FALSE)&lt;0,HLOOKUP(AD$4,'Physical Effects-Numbers'!$B$1:$AU$172,$B135,FALSE),""))</f>
        <v/>
      </c>
      <c r="AE135" s="488" t="str">
        <f>IF(AE$4="","",IF(HLOOKUP(AE$4,'Physical Effects-Numbers'!$B$1:$AU$172,$B135,FALSE)&lt;0,HLOOKUP(AE$4,'Physical Effects-Numbers'!$B$1:$AU$172,$B135,FALSE),""))</f>
        <v/>
      </c>
      <c r="AF135" s="488" t="str">
        <f>IF(AF$4="","",IF(HLOOKUP(AF$4,'Physical Effects-Numbers'!$B$1:$AU$172,$B135,FALSE)&lt;0,HLOOKUP(AF$4,'Physical Effects-Numbers'!$B$1:$AU$172,$B135,FALSE),""))</f>
        <v/>
      </c>
      <c r="AG135" s="488" t="str">
        <f>IF(AG$4="","",IF(HLOOKUP(AG$4,'Physical Effects-Numbers'!$B$1:$AU$172,$B135,FALSE)&lt;0,HLOOKUP(AG$4,'Physical Effects-Numbers'!$B$1:$AU$172,$B135,FALSE),""))</f>
        <v/>
      </c>
      <c r="AH135" s="488" t="str">
        <f>IF(AH$4="","",IF(HLOOKUP(AH$4,'Physical Effects-Numbers'!$B$1:$AU$172,$B135,FALSE)&lt;0,HLOOKUP(AH$4,'Physical Effects-Numbers'!$B$1:$AU$172,$B135,FALSE),""))</f>
        <v/>
      </c>
      <c r="AI135" s="488" t="str">
        <f>IF(AI$4="","",IF(HLOOKUP(AI$4,'Physical Effects-Numbers'!$B$1:$AU$172,$B135,FALSE)&lt;0,HLOOKUP(AI$4,'Physical Effects-Numbers'!$B$1:$AU$172,$B135,FALSE),""))</f>
        <v/>
      </c>
      <c r="AJ135" s="488" t="str">
        <f>IF(AJ$4="","",IF(HLOOKUP(AJ$4,'Physical Effects-Numbers'!$B$1:$AU$172,$B135,FALSE)&lt;0,HLOOKUP(AJ$4,'Physical Effects-Numbers'!$B$1:$AU$172,$B135,FALSE),""))</f>
        <v/>
      </c>
      <c r="AK135" s="488" t="str">
        <f>IF(AK$4="","",IF(HLOOKUP(AK$4,'Physical Effects-Numbers'!$B$1:$AU$172,$B135,FALSE)&lt;0,HLOOKUP(AK$4,'Physical Effects-Numbers'!$B$1:$AU$172,$B135,FALSE),""))</f>
        <v/>
      </c>
      <c r="AL135" s="488" t="str">
        <f>IF(AL$4="","",IF(HLOOKUP(AL$4,'Physical Effects-Numbers'!$B$1:$AU$172,$B135,FALSE)&lt;0,HLOOKUP(AL$4,'Physical Effects-Numbers'!$B$1:$AU$172,$B135,FALSE),""))</f>
        <v/>
      </c>
      <c r="AM135" s="488" t="str">
        <f>IF(AM$4="","",IF(HLOOKUP(AM$4,'Physical Effects-Numbers'!$B$1:$AU$172,$B135,FALSE)&lt;0,HLOOKUP(AM$4,'Physical Effects-Numbers'!$B$1:$AU$172,$B135,FALSE),""))</f>
        <v/>
      </c>
      <c r="AN135" s="488" t="str">
        <f>IF(AN$4="","",IF(HLOOKUP(AN$4,'Physical Effects-Numbers'!$B$1:$AU$172,$B135,FALSE)&lt;0,HLOOKUP(AN$4,'Physical Effects-Numbers'!$B$1:$AU$172,$B135,FALSE),""))</f>
        <v/>
      </c>
      <c r="AO135" s="488" t="str">
        <f>IF(AO$4="","",IF(HLOOKUP(AO$4,'Physical Effects-Numbers'!$B$1:$AU$172,$B135,FALSE)&lt;0,HLOOKUP(AO$4,'Physical Effects-Numbers'!$B$1:$AU$172,$B135,FALSE),""))</f>
        <v/>
      </c>
      <c r="AP135" s="488" t="str">
        <f>IF(AP$4="","",IF(HLOOKUP(AP$4,'Physical Effects-Numbers'!$B$1:$AU$172,$B135,FALSE)&lt;0,HLOOKUP(AP$4,'Physical Effects-Numbers'!$B$1:$AU$172,$B135,FALSE),""))</f>
        <v/>
      </c>
      <c r="AQ135" s="488" t="str">
        <f>IF(AQ$4="","",IF(HLOOKUP(AQ$4,'Physical Effects-Numbers'!$B$1:$AU$172,$B135,FALSE)&lt;0,HLOOKUP(AQ$4,'Physical Effects-Numbers'!$B$1:$AU$172,$B135,FALSE),""))</f>
        <v/>
      </c>
      <c r="AR135" s="488" t="str">
        <f>IF(AR$4="","",IF(HLOOKUP(AR$4,'Physical Effects-Numbers'!$B$1:$AU$172,$B135,FALSE)&lt;0,HLOOKUP(AR$4,'Physical Effects-Numbers'!$B$1:$AU$172,$B135,FALSE),""))</f>
        <v/>
      </c>
      <c r="AS135" s="488" t="str">
        <f>IF(AS$4="","",IF(HLOOKUP(AS$4,'Physical Effects-Numbers'!$B$1:$AU$172,$B135,FALSE)&lt;0,HLOOKUP(AS$4,'Physical Effects-Numbers'!$B$1:$AU$172,$B135,FALSE),""))</f>
        <v/>
      </c>
      <c r="AT135" s="488" t="str">
        <f>IF(AT$4="","",IF(HLOOKUP(AT$4,'Physical Effects-Numbers'!$B$1:$AU$172,$B135,FALSE)&lt;0,HLOOKUP(AT$4,'Physical Effects-Numbers'!$B$1:$AU$172,$B135,FALSE),""))</f>
        <v/>
      </c>
      <c r="AU135" s="488" t="str">
        <f>IF(AU$4="","",IF(HLOOKUP(AU$4,'Physical Effects-Numbers'!$B$1:$AU$172,$B135,FALSE)&lt;0,HLOOKUP(AU$4,'Physical Effects-Numbers'!$B$1:$AU$172,$B135,FALSE),""))</f>
        <v/>
      </c>
      <c r="AV135" s="488" t="str">
        <f>IF(AV$4="","",IF(HLOOKUP(AV$4,'Physical Effects-Numbers'!$B$1:$AU$167,$B135,FALSE)&lt;0,HLOOKUP(AV$4,'Physical Effects-Numbers'!$B$1:$AU$167,$B135,FALSE),""))</f>
        <v/>
      </c>
    </row>
    <row r="136" spans="2:48" x14ac:dyDescent="0.2">
      <c r="B136" s="487">
        <f t="shared" si="2"/>
        <v>133</v>
      </c>
      <c r="C136" s="486" t="str">
        <f>+'Physical Effects-Numbers'!B133</f>
        <v>Stream Habitat Improvement and Management</v>
      </c>
      <c r="D136" s="488" t="str">
        <f>IF(D$4="","",IF(HLOOKUP(D$4,'Physical Effects-Numbers'!$B$1:$AU$172,$B136,FALSE)&lt;0,HLOOKUP(D$4,'Physical Effects-Numbers'!$B$1:$AU$172,$B136,FALSE),""))</f>
        <v/>
      </c>
      <c r="E136" s="488" t="str">
        <f>IF(E$4="","",IF(HLOOKUP(E$4,'Physical Effects-Numbers'!$B$1:$AU$172,$B136,FALSE)&lt;0,HLOOKUP(E$4,'Physical Effects-Numbers'!$B$1:$AU$172,$B136,FALSE),""))</f>
        <v/>
      </c>
      <c r="F136" s="488" t="str">
        <f>IF(F$4="","",IF(HLOOKUP(F$4,'Physical Effects-Numbers'!$B$1:$AU$172,$B136,FALSE)&lt;0,HLOOKUP(F$4,'Physical Effects-Numbers'!$B$1:$AU$172,$B136,FALSE),""))</f>
        <v/>
      </c>
      <c r="G136" s="488" t="str">
        <f>IF(G$4="","",IF(HLOOKUP(G$4,'Physical Effects-Numbers'!$B$1:$AU$172,$B136,FALSE)&lt;0,HLOOKUP(G$4,'Physical Effects-Numbers'!$B$1:$AU$172,$B136,FALSE),""))</f>
        <v/>
      </c>
      <c r="H136" s="488" t="str">
        <f>IF(H$4="","",IF(HLOOKUP(H$4,'Physical Effects-Numbers'!$B$1:$AU$172,$B136,FALSE)&lt;0,HLOOKUP(H$4,'Physical Effects-Numbers'!$B$1:$AU$172,$B136,FALSE),""))</f>
        <v/>
      </c>
      <c r="I136" s="488" t="str">
        <f>IF(I$4="","",IF(HLOOKUP(I$4,'Physical Effects-Numbers'!$B$1:$AU$172,$B136,FALSE)&lt;0,HLOOKUP(I$4,'Physical Effects-Numbers'!$B$1:$AU$172,$B136,FALSE),""))</f>
        <v/>
      </c>
      <c r="J136" s="488" t="str">
        <f>IF(J$4="","",IF(HLOOKUP(J$4,'Physical Effects-Numbers'!$B$1:$AU$172,$B136,FALSE)&lt;0,HLOOKUP(J$4,'Physical Effects-Numbers'!$B$1:$AU$172,$B136,FALSE),""))</f>
        <v/>
      </c>
      <c r="K136" s="488" t="str">
        <f>IF(K$4="","",IF(HLOOKUP(K$4,'Physical Effects-Numbers'!$B$1:$AU$172,$B136,FALSE)&lt;0,HLOOKUP(K$4,'Physical Effects-Numbers'!$B$1:$AU$172,$B136,FALSE),""))</f>
        <v/>
      </c>
      <c r="L136" s="488" t="str">
        <f>IF(L$4="","",IF(HLOOKUP(L$4,'Physical Effects-Numbers'!$B$1:$AU$172,$B136,FALSE)&lt;0,HLOOKUP(L$4,'Physical Effects-Numbers'!$B$1:$AU$172,$B136,FALSE),""))</f>
        <v/>
      </c>
      <c r="M136" s="488" t="str">
        <f>IF(M$4="","",IF(HLOOKUP(M$4,'Physical Effects-Numbers'!$B$1:$AU$172,$B136,FALSE)&lt;0,HLOOKUP(M$4,'Physical Effects-Numbers'!$B$1:$AU$172,$B136,FALSE),""))</f>
        <v/>
      </c>
      <c r="N136" s="488" t="str">
        <f>IF(N$4="","",IF(HLOOKUP(N$4,'Physical Effects-Numbers'!$B$1:$AU$172,$B136,FALSE)&lt;0,HLOOKUP(N$4,'Physical Effects-Numbers'!$B$1:$AU$172,$B136,FALSE),""))</f>
        <v/>
      </c>
      <c r="O136" s="488" t="str">
        <f>IF(O$4="","",IF(HLOOKUP(O$4,'Physical Effects-Numbers'!$B$1:$AU$172,$B136,FALSE)&lt;0,HLOOKUP(O$4,'Physical Effects-Numbers'!$B$1:$AU$172,$B136,FALSE),""))</f>
        <v/>
      </c>
      <c r="P136" s="488" t="str">
        <f>IF(P$4="","",IF(HLOOKUP(P$4,'Physical Effects-Numbers'!$B$1:$AU$172,$B136,FALSE)&lt;0,HLOOKUP(P$4,'Physical Effects-Numbers'!$B$1:$AU$172,$B136,FALSE),""))</f>
        <v/>
      </c>
      <c r="Q136" s="488" t="str">
        <f>IF(Q$4="","",IF(HLOOKUP(Q$4,'Physical Effects-Numbers'!$B$1:$AU$172,$B136,FALSE)&lt;0,HLOOKUP(Q$4,'Physical Effects-Numbers'!$B$1:$AU$172,$B136,FALSE),""))</f>
        <v/>
      </c>
      <c r="R136" s="488" t="str">
        <f>IF(R$4="","",IF(HLOOKUP(R$4,'Physical Effects-Numbers'!$B$1:$AU$172,$B136,FALSE)&lt;0,HLOOKUP(R$4,'Physical Effects-Numbers'!$B$1:$AU$172,$B136,FALSE),""))</f>
        <v/>
      </c>
      <c r="S136" s="488" t="str">
        <f>IF(S$4="","",IF(HLOOKUP(S$4,'Physical Effects-Numbers'!$B$1:$AU$172,$B136,FALSE)&lt;0,HLOOKUP(S$4,'Physical Effects-Numbers'!$B$1:$AU$172,$B136,FALSE),""))</f>
        <v/>
      </c>
      <c r="T136" s="488" t="str">
        <f>IF(T$4="","",IF(HLOOKUP(T$4,'Physical Effects-Numbers'!$B$1:$AU$172,$B136,FALSE)&lt;0,HLOOKUP(T$4,'Physical Effects-Numbers'!$B$1:$AU$172,$B136,FALSE),""))</f>
        <v/>
      </c>
      <c r="U136" s="488" t="str">
        <f>IF(U$4="","",IF(HLOOKUP(U$4,'Physical Effects-Numbers'!$B$1:$AU$172,$B136,FALSE)&lt;0,HLOOKUP(U$4,'Physical Effects-Numbers'!$B$1:$AU$172,$B136,FALSE),""))</f>
        <v/>
      </c>
      <c r="V136" s="488" t="str">
        <f>IF(V$4="","",IF(HLOOKUP(V$4,'Physical Effects-Numbers'!$B$1:$AU$172,$B136,FALSE)&lt;0,HLOOKUP(V$4,'Physical Effects-Numbers'!$B$1:$AU$172,$B136,FALSE),""))</f>
        <v/>
      </c>
      <c r="W136" s="488" t="str">
        <f>IF(W$4="","",IF(HLOOKUP(W$4,'Physical Effects-Numbers'!$B$1:$AU$172,$B136,FALSE)&lt;0,HLOOKUP(W$4,'Physical Effects-Numbers'!$B$1:$AU$172,$B136,FALSE),""))</f>
        <v/>
      </c>
      <c r="X136" s="488" t="str">
        <f>IF(X$4="","",IF(HLOOKUP(X$4,'Physical Effects-Numbers'!$B$1:$AU$172,$B136,FALSE)&lt;0,HLOOKUP(X$4,'Physical Effects-Numbers'!$B$1:$AU$172,$B136,FALSE),""))</f>
        <v/>
      </c>
      <c r="Y136" s="488" t="str">
        <f>IF(Y$4="","",IF(HLOOKUP(Y$4,'Physical Effects-Numbers'!$B$1:$AU$172,$B136,FALSE)&lt;0,HLOOKUP(Y$4,'Physical Effects-Numbers'!$B$1:$AU$172,$B136,FALSE),""))</f>
        <v/>
      </c>
      <c r="Z136" s="488" t="str">
        <f>IF(Z$4="","",IF(HLOOKUP(Z$4,'Physical Effects-Numbers'!$B$1:$AU$172,$B136,FALSE)&lt;0,HLOOKUP(Z$4,'Physical Effects-Numbers'!$B$1:$AU$172,$B136,FALSE),""))</f>
        <v/>
      </c>
      <c r="AA136" s="488" t="str">
        <f>IF(AA$4="","",IF(HLOOKUP(AA$4,'Physical Effects-Numbers'!$B$1:$AU$172,$B136,FALSE)&lt;0,HLOOKUP(AA$4,'Physical Effects-Numbers'!$B$1:$AU$172,$B136,FALSE),""))</f>
        <v/>
      </c>
      <c r="AB136" s="488" t="str">
        <f>IF(AB$4="","",IF(HLOOKUP(AB$4,'Physical Effects-Numbers'!$B$1:$AU$172,$B136,FALSE)&lt;0,HLOOKUP(AB$4,'Physical Effects-Numbers'!$B$1:$AU$172,$B136,FALSE),""))</f>
        <v/>
      </c>
      <c r="AC136" s="488" t="str">
        <f>IF(AC$4="","",IF(HLOOKUP(AC$4,'Physical Effects-Numbers'!$B$1:$AU$172,$B136,FALSE)&lt;0,HLOOKUP(AC$4,'Physical Effects-Numbers'!$B$1:$AU$172,$B136,FALSE),""))</f>
        <v/>
      </c>
      <c r="AD136" s="488" t="str">
        <f>IF(AD$4="","",IF(HLOOKUP(AD$4,'Physical Effects-Numbers'!$B$1:$AU$172,$B136,FALSE)&lt;0,HLOOKUP(AD$4,'Physical Effects-Numbers'!$B$1:$AU$172,$B136,FALSE),""))</f>
        <v/>
      </c>
      <c r="AE136" s="488" t="str">
        <f>IF(AE$4="","",IF(HLOOKUP(AE$4,'Physical Effects-Numbers'!$B$1:$AU$172,$B136,FALSE)&lt;0,HLOOKUP(AE$4,'Physical Effects-Numbers'!$B$1:$AU$172,$B136,FALSE),""))</f>
        <v/>
      </c>
      <c r="AF136" s="488" t="str">
        <f>IF(AF$4="","",IF(HLOOKUP(AF$4,'Physical Effects-Numbers'!$B$1:$AU$172,$B136,FALSE)&lt;0,HLOOKUP(AF$4,'Physical Effects-Numbers'!$B$1:$AU$172,$B136,FALSE),""))</f>
        <v/>
      </c>
      <c r="AG136" s="488" t="str">
        <f>IF(AG$4="","",IF(HLOOKUP(AG$4,'Physical Effects-Numbers'!$B$1:$AU$172,$B136,FALSE)&lt;0,HLOOKUP(AG$4,'Physical Effects-Numbers'!$B$1:$AU$172,$B136,FALSE),""))</f>
        <v/>
      </c>
      <c r="AH136" s="488" t="str">
        <f>IF(AH$4="","",IF(HLOOKUP(AH$4,'Physical Effects-Numbers'!$B$1:$AU$172,$B136,FALSE)&lt;0,HLOOKUP(AH$4,'Physical Effects-Numbers'!$B$1:$AU$172,$B136,FALSE),""))</f>
        <v/>
      </c>
      <c r="AI136" s="488" t="str">
        <f>IF(AI$4="","",IF(HLOOKUP(AI$4,'Physical Effects-Numbers'!$B$1:$AU$172,$B136,FALSE)&lt;0,HLOOKUP(AI$4,'Physical Effects-Numbers'!$B$1:$AU$172,$B136,FALSE),""))</f>
        <v/>
      </c>
      <c r="AJ136" s="488" t="str">
        <f>IF(AJ$4="","",IF(HLOOKUP(AJ$4,'Physical Effects-Numbers'!$B$1:$AU$172,$B136,FALSE)&lt;0,HLOOKUP(AJ$4,'Physical Effects-Numbers'!$B$1:$AU$172,$B136,FALSE),""))</f>
        <v/>
      </c>
      <c r="AK136" s="488" t="str">
        <f>IF(AK$4="","",IF(HLOOKUP(AK$4,'Physical Effects-Numbers'!$B$1:$AU$172,$B136,FALSE)&lt;0,HLOOKUP(AK$4,'Physical Effects-Numbers'!$B$1:$AU$172,$B136,FALSE),""))</f>
        <v/>
      </c>
      <c r="AL136" s="488" t="str">
        <f>IF(AL$4="","",IF(HLOOKUP(AL$4,'Physical Effects-Numbers'!$B$1:$AU$172,$B136,FALSE)&lt;0,HLOOKUP(AL$4,'Physical Effects-Numbers'!$B$1:$AU$172,$B136,FALSE),""))</f>
        <v/>
      </c>
      <c r="AM136" s="488" t="str">
        <f>IF(AM$4="","",IF(HLOOKUP(AM$4,'Physical Effects-Numbers'!$B$1:$AU$172,$B136,FALSE)&lt;0,HLOOKUP(AM$4,'Physical Effects-Numbers'!$B$1:$AU$172,$B136,FALSE),""))</f>
        <v/>
      </c>
      <c r="AN136" s="488" t="str">
        <f>IF(AN$4="","",IF(HLOOKUP(AN$4,'Physical Effects-Numbers'!$B$1:$AU$172,$B136,FALSE)&lt;0,HLOOKUP(AN$4,'Physical Effects-Numbers'!$B$1:$AU$172,$B136,FALSE),""))</f>
        <v/>
      </c>
      <c r="AO136" s="488" t="str">
        <f>IF(AO$4="","",IF(HLOOKUP(AO$4,'Physical Effects-Numbers'!$B$1:$AU$172,$B136,FALSE)&lt;0,HLOOKUP(AO$4,'Physical Effects-Numbers'!$B$1:$AU$172,$B136,FALSE),""))</f>
        <v/>
      </c>
      <c r="AP136" s="488" t="str">
        <f>IF(AP$4="","",IF(HLOOKUP(AP$4,'Physical Effects-Numbers'!$B$1:$AU$172,$B136,FALSE)&lt;0,HLOOKUP(AP$4,'Physical Effects-Numbers'!$B$1:$AU$172,$B136,FALSE),""))</f>
        <v/>
      </c>
      <c r="AQ136" s="488" t="str">
        <f>IF(AQ$4="","",IF(HLOOKUP(AQ$4,'Physical Effects-Numbers'!$B$1:$AU$172,$B136,FALSE)&lt;0,HLOOKUP(AQ$4,'Physical Effects-Numbers'!$B$1:$AU$172,$B136,FALSE),""))</f>
        <v/>
      </c>
      <c r="AR136" s="488" t="str">
        <f>IF(AR$4="","",IF(HLOOKUP(AR$4,'Physical Effects-Numbers'!$B$1:$AU$172,$B136,FALSE)&lt;0,HLOOKUP(AR$4,'Physical Effects-Numbers'!$B$1:$AU$172,$B136,FALSE),""))</f>
        <v/>
      </c>
      <c r="AS136" s="488" t="str">
        <f>IF(AS$4="","",IF(HLOOKUP(AS$4,'Physical Effects-Numbers'!$B$1:$AU$172,$B136,FALSE)&lt;0,HLOOKUP(AS$4,'Physical Effects-Numbers'!$B$1:$AU$172,$B136,FALSE),""))</f>
        <v/>
      </c>
      <c r="AT136" s="488" t="str">
        <f>IF(AT$4="","",IF(HLOOKUP(AT$4,'Physical Effects-Numbers'!$B$1:$AU$172,$B136,FALSE)&lt;0,HLOOKUP(AT$4,'Physical Effects-Numbers'!$B$1:$AU$172,$B136,FALSE),""))</f>
        <v/>
      </c>
      <c r="AU136" s="488" t="str">
        <f>IF(AU$4="","",IF(HLOOKUP(AU$4,'Physical Effects-Numbers'!$B$1:$AU$172,$B136,FALSE)&lt;0,HLOOKUP(AU$4,'Physical Effects-Numbers'!$B$1:$AU$172,$B136,FALSE),""))</f>
        <v/>
      </c>
      <c r="AV136" s="488" t="str">
        <f>IF(AV$4="","",IF(HLOOKUP(AV$4,'Physical Effects-Numbers'!$B$1:$AU$167,$B136,FALSE)&lt;0,HLOOKUP(AV$4,'Physical Effects-Numbers'!$B$1:$AU$167,$B136,FALSE),""))</f>
        <v/>
      </c>
    </row>
    <row r="137" spans="2:48" x14ac:dyDescent="0.2">
      <c r="B137" s="487">
        <f t="shared" si="2"/>
        <v>134</v>
      </c>
      <c r="C137" s="486" t="str">
        <f>+'Physical Effects-Numbers'!B134</f>
        <v>Stripcropping</v>
      </c>
      <c r="D137" s="488" t="str">
        <f>IF(D$4="","",IF(HLOOKUP(D$4,'Physical Effects-Numbers'!$B$1:$AU$172,$B137,FALSE)&lt;0,HLOOKUP(D$4,'Physical Effects-Numbers'!$B$1:$AU$172,$B137,FALSE),""))</f>
        <v/>
      </c>
      <c r="E137" s="488" t="str">
        <f>IF(E$4="","",IF(HLOOKUP(E$4,'Physical Effects-Numbers'!$B$1:$AU$172,$B137,FALSE)&lt;0,HLOOKUP(E$4,'Physical Effects-Numbers'!$B$1:$AU$172,$B137,FALSE),""))</f>
        <v/>
      </c>
      <c r="F137" s="488" t="str">
        <f>IF(F$4="","",IF(HLOOKUP(F$4,'Physical Effects-Numbers'!$B$1:$AU$172,$B137,FALSE)&lt;0,HLOOKUP(F$4,'Physical Effects-Numbers'!$B$1:$AU$172,$B137,FALSE),""))</f>
        <v/>
      </c>
      <c r="G137" s="488" t="str">
        <f>IF(G$4="","",IF(HLOOKUP(G$4,'Physical Effects-Numbers'!$B$1:$AU$172,$B137,FALSE)&lt;0,HLOOKUP(G$4,'Physical Effects-Numbers'!$B$1:$AU$172,$B137,FALSE),""))</f>
        <v/>
      </c>
      <c r="H137" s="488" t="str">
        <f>IF(H$4="","",IF(HLOOKUP(H$4,'Physical Effects-Numbers'!$B$1:$AU$172,$B137,FALSE)&lt;0,HLOOKUP(H$4,'Physical Effects-Numbers'!$B$1:$AU$172,$B137,FALSE),""))</f>
        <v/>
      </c>
      <c r="I137" s="488" t="str">
        <f>IF(I$4="","",IF(HLOOKUP(I$4,'Physical Effects-Numbers'!$B$1:$AU$172,$B137,FALSE)&lt;0,HLOOKUP(I$4,'Physical Effects-Numbers'!$B$1:$AU$172,$B137,FALSE),""))</f>
        <v/>
      </c>
      <c r="J137" s="488" t="str">
        <f>IF(J$4="","",IF(HLOOKUP(J$4,'Physical Effects-Numbers'!$B$1:$AU$172,$B137,FALSE)&lt;0,HLOOKUP(J$4,'Physical Effects-Numbers'!$B$1:$AU$172,$B137,FALSE),""))</f>
        <v/>
      </c>
      <c r="K137" s="488" t="str">
        <f>IF(K$4="","",IF(HLOOKUP(K$4,'Physical Effects-Numbers'!$B$1:$AU$172,$B137,FALSE)&lt;0,HLOOKUP(K$4,'Physical Effects-Numbers'!$B$1:$AU$172,$B137,FALSE),""))</f>
        <v/>
      </c>
      <c r="L137" s="488" t="str">
        <f>IF(L$4="","",IF(HLOOKUP(L$4,'Physical Effects-Numbers'!$B$1:$AU$172,$B137,FALSE)&lt;0,HLOOKUP(L$4,'Physical Effects-Numbers'!$B$1:$AU$172,$B137,FALSE),""))</f>
        <v/>
      </c>
      <c r="M137" s="488">
        <f>IF(M$4="","",IF(HLOOKUP(M$4,'Physical Effects-Numbers'!$B$1:$AU$172,$B137,FALSE)&lt;0,HLOOKUP(M$4,'Physical Effects-Numbers'!$B$1:$AU$172,$B137,FALSE),""))</f>
        <v>-2</v>
      </c>
      <c r="N137" s="488" t="str">
        <f>IF(N$4="","",IF(HLOOKUP(N$4,'Physical Effects-Numbers'!$B$1:$AU$172,$B137,FALSE)&lt;0,HLOOKUP(N$4,'Physical Effects-Numbers'!$B$1:$AU$172,$B137,FALSE),""))</f>
        <v/>
      </c>
      <c r="O137" s="488">
        <f>IF(O$4="","",IF(HLOOKUP(O$4,'Physical Effects-Numbers'!$B$1:$AU$172,$B137,FALSE)&lt;0,HLOOKUP(O$4,'Physical Effects-Numbers'!$B$1:$AU$172,$B137,FALSE),""))</f>
        <v>-1</v>
      </c>
      <c r="P137" s="488" t="str">
        <f>IF(P$4="","",IF(HLOOKUP(P$4,'Physical Effects-Numbers'!$B$1:$AU$172,$B137,FALSE)&lt;0,HLOOKUP(P$4,'Physical Effects-Numbers'!$B$1:$AU$172,$B137,FALSE),""))</f>
        <v/>
      </c>
      <c r="Q137" s="488" t="str">
        <f>IF(Q$4="","",IF(HLOOKUP(Q$4,'Physical Effects-Numbers'!$B$1:$AU$172,$B137,FALSE)&lt;0,HLOOKUP(Q$4,'Physical Effects-Numbers'!$B$1:$AU$172,$B137,FALSE),""))</f>
        <v/>
      </c>
      <c r="R137" s="488" t="str">
        <f>IF(R$4="","",IF(HLOOKUP(R$4,'Physical Effects-Numbers'!$B$1:$AU$172,$B137,FALSE)&lt;0,HLOOKUP(R$4,'Physical Effects-Numbers'!$B$1:$AU$172,$B137,FALSE),""))</f>
        <v/>
      </c>
      <c r="S137" s="488" t="str">
        <f>IF(S$4="","",IF(HLOOKUP(S$4,'Physical Effects-Numbers'!$B$1:$AU$172,$B137,FALSE)&lt;0,HLOOKUP(S$4,'Physical Effects-Numbers'!$B$1:$AU$172,$B137,FALSE),""))</f>
        <v/>
      </c>
      <c r="T137" s="488" t="str">
        <f>IF(T$4="","",IF(HLOOKUP(T$4,'Physical Effects-Numbers'!$B$1:$AU$172,$B137,FALSE)&lt;0,HLOOKUP(T$4,'Physical Effects-Numbers'!$B$1:$AU$172,$B137,FALSE),""))</f>
        <v/>
      </c>
      <c r="U137" s="488" t="str">
        <f>IF(U$4="","",IF(HLOOKUP(U$4,'Physical Effects-Numbers'!$B$1:$AU$172,$B137,FALSE)&lt;0,HLOOKUP(U$4,'Physical Effects-Numbers'!$B$1:$AU$172,$B137,FALSE),""))</f>
        <v/>
      </c>
      <c r="V137" s="488" t="str">
        <f>IF(V$4="","",IF(HLOOKUP(V$4,'Physical Effects-Numbers'!$B$1:$AU$172,$B137,FALSE)&lt;0,HLOOKUP(V$4,'Physical Effects-Numbers'!$B$1:$AU$172,$B137,FALSE),""))</f>
        <v/>
      </c>
      <c r="W137" s="488" t="str">
        <f>IF(W$4="","",IF(HLOOKUP(W$4,'Physical Effects-Numbers'!$B$1:$AU$172,$B137,FALSE)&lt;0,HLOOKUP(W$4,'Physical Effects-Numbers'!$B$1:$AU$172,$B137,FALSE),""))</f>
        <v/>
      </c>
      <c r="X137" s="488">
        <f>IF(X$4="","",IF(HLOOKUP(X$4,'Physical Effects-Numbers'!$B$1:$AU$172,$B137,FALSE)&lt;0,HLOOKUP(X$4,'Physical Effects-Numbers'!$B$1:$AU$172,$B137,FALSE),""))</f>
        <v>-1</v>
      </c>
      <c r="Y137" s="488" t="str">
        <f>IF(Y$4="","",IF(HLOOKUP(Y$4,'Physical Effects-Numbers'!$B$1:$AU$172,$B137,FALSE)&lt;0,HLOOKUP(Y$4,'Physical Effects-Numbers'!$B$1:$AU$172,$B137,FALSE),""))</f>
        <v/>
      </c>
      <c r="Z137" s="488" t="str">
        <f>IF(Z$4="","",IF(HLOOKUP(Z$4,'Physical Effects-Numbers'!$B$1:$AU$172,$B137,FALSE)&lt;0,HLOOKUP(Z$4,'Physical Effects-Numbers'!$B$1:$AU$172,$B137,FALSE),""))</f>
        <v/>
      </c>
      <c r="AA137" s="488" t="str">
        <f>IF(AA$4="","",IF(HLOOKUP(AA$4,'Physical Effects-Numbers'!$B$1:$AU$172,$B137,FALSE)&lt;0,HLOOKUP(AA$4,'Physical Effects-Numbers'!$B$1:$AU$172,$B137,FALSE),""))</f>
        <v/>
      </c>
      <c r="AB137" s="488" t="str">
        <f>IF(AB$4="","",IF(HLOOKUP(AB$4,'Physical Effects-Numbers'!$B$1:$AU$172,$B137,FALSE)&lt;0,HLOOKUP(AB$4,'Physical Effects-Numbers'!$B$1:$AU$172,$B137,FALSE),""))</f>
        <v/>
      </c>
      <c r="AC137" s="488" t="str">
        <f>IF(AC$4="","",IF(HLOOKUP(AC$4,'Physical Effects-Numbers'!$B$1:$AU$172,$B137,FALSE)&lt;0,HLOOKUP(AC$4,'Physical Effects-Numbers'!$B$1:$AU$172,$B137,FALSE),""))</f>
        <v/>
      </c>
      <c r="AD137" s="488" t="str">
        <f>IF(AD$4="","",IF(HLOOKUP(AD$4,'Physical Effects-Numbers'!$B$1:$AU$172,$B137,FALSE)&lt;0,HLOOKUP(AD$4,'Physical Effects-Numbers'!$B$1:$AU$172,$B137,FALSE),""))</f>
        <v/>
      </c>
      <c r="AE137" s="488" t="str">
        <f>IF(AE$4="","",IF(HLOOKUP(AE$4,'Physical Effects-Numbers'!$B$1:$AU$172,$B137,FALSE)&lt;0,HLOOKUP(AE$4,'Physical Effects-Numbers'!$B$1:$AU$172,$B137,FALSE),""))</f>
        <v/>
      </c>
      <c r="AF137" s="488" t="str">
        <f>IF(AF$4="","",IF(HLOOKUP(AF$4,'Physical Effects-Numbers'!$B$1:$AU$172,$B137,FALSE)&lt;0,HLOOKUP(AF$4,'Physical Effects-Numbers'!$B$1:$AU$172,$B137,FALSE),""))</f>
        <v/>
      </c>
      <c r="AG137" s="488" t="str">
        <f>IF(AG$4="","",IF(HLOOKUP(AG$4,'Physical Effects-Numbers'!$B$1:$AU$172,$B137,FALSE)&lt;0,HLOOKUP(AG$4,'Physical Effects-Numbers'!$B$1:$AU$172,$B137,FALSE),""))</f>
        <v/>
      </c>
      <c r="AH137" s="488" t="str">
        <f>IF(AH$4="","",IF(HLOOKUP(AH$4,'Physical Effects-Numbers'!$B$1:$AU$172,$B137,FALSE)&lt;0,HLOOKUP(AH$4,'Physical Effects-Numbers'!$B$1:$AU$172,$B137,FALSE),""))</f>
        <v/>
      </c>
      <c r="AI137" s="488" t="str">
        <f>IF(AI$4="","",IF(HLOOKUP(AI$4,'Physical Effects-Numbers'!$B$1:$AU$172,$B137,FALSE)&lt;0,HLOOKUP(AI$4,'Physical Effects-Numbers'!$B$1:$AU$172,$B137,FALSE),""))</f>
        <v/>
      </c>
      <c r="AJ137" s="488" t="str">
        <f>IF(AJ$4="","",IF(HLOOKUP(AJ$4,'Physical Effects-Numbers'!$B$1:$AU$172,$B137,FALSE)&lt;0,HLOOKUP(AJ$4,'Physical Effects-Numbers'!$B$1:$AU$172,$B137,FALSE),""))</f>
        <v/>
      </c>
      <c r="AK137" s="488" t="str">
        <f>IF(AK$4="","",IF(HLOOKUP(AK$4,'Physical Effects-Numbers'!$B$1:$AU$172,$B137,FALSE)&lt;0,HLOOKUP(AK$4,'Physical Effects-Numbers'!$B$1:$AU$172,$B137,FALSE),""))</f>
        <v/>
      </c>
      <c r="AL137" s="488" t="str">
        <f>IF(AL$4="","",IF(HLOOKUP(AL$4,'Physical Effects-Numbers'!$B$1:$AU$172,$B137,FALSE)&lt;0,HLOOKUP(AL$4,'Physical Effects-Numbers'!$B$1:$AU$172,$B137,FALSE),""))</f>
        <v/>
      </c>
      <c r="AM137" s="488" t="str">
        <f>IF(AM$4="","",IF(HLOOKUP(AM$4,'Physical Effects-Numbers'!$B$1:$AU$172,$B137,FALSE)&lt;0,HLOOKUP(AM$4,'Physical Effects-Numbers'!$B$1:$AU$172,$B137,FALSE),""))</f>
        <v/>
      </c>
      <c r="AN137" s="488" t="str">
        <f>IF(AN$4="","",IF(HLOOKUP(AN$4,'Physical Effects-Numbers'!$B$1:$AU$172,$B137,FALSE)&lt;0,HLOOKUP(AN$4,'Physical Effects-Numbers'!$B$1:$AU$172,$B137,FALSE),""))</f>
        <v/>
      </c>
      <c r="AO137" s="488" t="str">
        <f>IF(AO$4="","",IF(HLOOKUP(AO$4,'Physical Effects-Numbers'!$B$1:$AU$172,$B137,FALSE)&lt;0,HLOOKUP(AO$4,'Physical Effects-Numbers'!$B$1:$AU$172,$B137,FALSE),""))</f>
        <v/>
      </c>
      <c r="AP137" s="488" t="str">
        <f>IF(AP$4="","",IF(HLOOKUP(AP$4,'Physical Effects-Numbers'!$B$1:$AU$172,$B137,FALSE)&lt;0,HLOOKUP(AP$4,'Physical Effects-Numbers'!$B$1:$AU$172,$B137,FALSE),""))</f>
        <v/>
      </c>
      <c r="AQ137" s="488" t="str">
        <f>IF(AQ$4="","",IF(HLOOKUP(AQ$4,'Physical Effects-Numbers'!$B$1:$AU$172,$B137,FALSE)&lt;0,HLOOKUP(AQ$4,'Physical Effects-Numbers'!$B$1:$AU$172,$B137,FALSE),""))</f>
        <v/>
      </c>
      <c r="AR137" s="488" t="str">
        <f>IF(AR$4="","",IF(HLOOKUP(AR$4,'Physical Effects-Numbers'!$B$1:$AU$172,$B137,FALSE)&lt;0,HLOOKUP(AR$4,'Physical Effects-Numbers'!$B$1:$AU$172,$B137,FALSE),""))</f>
        <v/>
      </c>
      <c r="AS137" s="488" t="str">
        <f>IF(AS$4="","",IF(HLOOKUP(AS$4,'Physical Effects-Numbers'!$B$1:$AU$172,$B137,FALSE)&lt;0,HLOOKUP(AS$4,'Physical Effects-Numbers'!$B$1:$AU$172,$B137,FALSE),""))</f>
        <v/>
      </c>
      <c r="AT137" s="488" t="str">
        <f>IF(AT$4="","",IF(HLOOKUP(AT$4,'Physical Effects-Numbers'!$B$1:$AU$172,$B137,FALSE)&lt;0,HLOOKUP(AT$4,'Physical Effects-Numbers'!$B$1:$AU$172,$B137,FALSE),""))</f>
        <v/>
      </c>
      <c r="AU137" s="488" t="str">
        <f>IF(AU$4="","",IF(HLOOKUP(AU$4,'Physical Effects-Numbers'!$B$1:$AU$172,$B137,FALSE)&lt;0,HLOOKUP(AU$4,'Physical Effects-Numbers'!$B$1:$AU$172,$B137,FALSE),""))</f>
        <v/>
      </c>
      <c r="AV137" s="488" t="str">
        <f>IF(AV$4="","",IF(HLOOKUP(AV$4,'Physical Effects-Numbers'!$B$1:$AU$167,$B137,FALSE)&lt;0,HLOOKUP(AV$4,'Physical Effects-Numbers'!$B$1:$AU$167,$B137,FALSE),""))</f>
        <v/>
      </c>
    </row>
    <row r="138" spans="2:48" x14ac:dyDescent="0.2">
      <c r="B138" s="487">
        <f t="shared" si="2"/>
        <v>135</v>
      </c>
      <c r="C138" s="486" t="str">
        <f>+'Physical Effects-Numbers'!B135</f>
        <v>Structure for Water Control</v>
      </c>
      <c r="D138" s="488" t="str">
        <f>IF(D$4="","",IF(HLOOKUP(D$4,'Physical Effects-Numbers'!$B$1:$AU$172,$B138,FALSE)&lt;0,HLOOKUP(D$4,'Physical Effects-Numbers'!$B$1:$AU$172,$B138,FALSE),""))</f>
        <v/>
      </c>
      <c r="E138" s="488" t="str">
        <f>IF(E$4="","",IF(HLOOKUP(E$4,'Physical Effects-Numbers'!$B$1:$AU$172,$B138,FALSE)&lt;0,HLOOKUP(E$4,'Physical Effects-Numbers'!$B$1:$AU$172,$B138,FALSE),""))</f>
        <v/>
      </c>
      <c r="F138" s="488" t="str">
        <f>IF(F$4="","",IF(HLOOKUP(F$4,'Physical Effects-Numbers'!$B$1:$AU$172,$B138,FALSE)&lt;0,HLOOKUP(F$4,'Physical Effects-Numbers'!$B$1:$AU$172,$B138,FALSE),""))</f>
        <v/>
      </c>
      <c r="G138" s="488" t="str">
        <f>IF(G$4="","",IF(HLOOKUP(G$4,'Physical Effects-Numbers'!$B$1:$AU$172,$B138,FALSE)&lt;0,HLOOKUP(G$4,'Physical Effects-Numbers'!$B$1:$AU$172,$B138,FALSE),""))</f>
        <v/>
      </c>
      <c r="H138" s="488" t="str">
        <f>IF(H$4="","",IF(HLOOKUP(H$4,'Physical Effects-Numbers'!$B$1:$AU$172,$B138,FALSE)&lt;0,HLOOKUP(H$4,'Physical Effects-Numbers'!$B$1:$AU$172,$B138,FALSE),""))</f>
        <v/>
      </c>
      <c r="I138" s="488" t="str">
        <f>IF(I$4="","",IF(HLOOKUP(I$4,'Physical Effects-Numbers'!$B$1:$AU$172,$B138,FALSE)&lt;0,HLOOKUP(I$4,'Physical Effects-Numbers'!$B$1:$AU$172,$B138,FALSE),""))</f>
        <v/>
      </c>
      <c r="J138" s="488" t="str">
        <f>IF(J$4="","",IF(HLOOKUP(J$4,'Physical Effects-Numbers'!$B$1:$AU$172,$B138,FALSE)&lt;0,HLOOKUP(J$4,'Physical Effects-Numbers'!$B$1:$AU$172,$B138,FALSE),""))</f>
        <v/>
      </c>
      <c r="K138" s="488" t="str">
        <f>IF(K$4="","",IF(HLOOKUP(K$4,'Physical Effects-Numbers'!$B$1:$AU$172,$B138,FALSE)&lt;0,HLOOKUP(K$4,'Physical Effects-Numbers'!$B$1:$AU$172,$B138,FALSE),""))</f>
        <v/>
      </c>
      <c r="L138" s="488" t="str">
        <f>IF(L$4="","",IF(HLOOKUP(L$4,'Physical Effects-Numbers'!$B$1:$AU$172,$B138,FALSE)&lt;0,HLOOKUP(L$4,'Physical Effects-Numbers'!$B$1:$AU$172,$B138,FALSE),""))</f>
        <v/>
      </c>
      <c r="M138" s="488" t="str">
        <f>IF(M$4="","",IF(HLOOKUP(M$4,'Physical Effects-Numbers'!$B$1:$AU$172,$B138,FALSE)&lt;0,HLOOKUP(M$4,'Physical Effects-Numbers'!$B$1:$AU$172,$B138,FALSE),""))</f>
        <v/>
      </c>
      <c r="N138" s="488" t="str">
        <f>IF(N$4="","",IF(HLOOKUP(N$4,'Physical Effects-Numbers'!$B$1:$AU$172,$B138,FALSE)&lt;0,HLOOKUP(N$4,'Physical Effects-Numbers'!$B$1:$AU$172,$B138,FALSE),""))</f>
        <v/>
      </c>
      <c r="O138" s="488" t="str">
        <f>IF(O$4="","",IF(HLOOKUP(O$4,'Physical Effects-Numbers'!$B$1:$AU$172,$B138,FALSE)&lt;0,HLOOKUP(O$4,'Physical Effects-Numbers'!$B$1:$AU$172,$B138,FALSE),""))</f>
        <v/>
      </c>
      <c r="P138" s="488" t="str">
        <f>IF(P$4="","",IF(HLOOKUP(P$4,'Physical Effects-Numbers'!$B$1:$AU$172,$B138,FALSE)&lt;0,HLOOKUP(P$4,'Physical Effects-Numbers'!$B$1:$AU$172,$B138,FALSE),""))</f>
        <v/>
      </c>
      <c r="Q138" s="488" t="str">
        <f>IF(Q$4="","",IF(HLOOKUP(Q$4,'Physical Effects-Numbers'!$B$1:$AU$172,$B138,FALSE)&lt;0,HLOOKUP(Q$4,'Physical Effects-Numbers'!$B$1:$AU$172,$B138,FALSE),""))</f>
        <v/>
      </c>
      <c r="R138" s="488" t="str">
        <f>IF(R$4="","",IF(HLOOKUP(R$4,'Physical Effects-Numbers'!$B$1:$AU$172,$B138,FALSE)&lt;0,HLOOKUP(R$4,'Physical Effects-Numbers'!$B$1:$AU$172,$B138,FALSE),""))</f>
        <v/>
      </c>
      <c r="S138" s="488" t="str">
        <f>IF(S$4="","",IF(HLOOKUP(S$4,'Physical Effects-Numbers'!$B$1:$AU$172,$B138,FALSE)&lt;0,HLOOKUP(S$4,'Physical Effects-Numbers'!$B$1:$AU$172,$B138,FALSE),""))</f>
        <v/>
      </c>
      <c r="T138" s="488" t="str">
        <f>IF(T$4="","",IF(HLOOKUP(T$4,'Physical Effects-Numbers'!$B$1:$AU$172,$B138,FALSE)&lt;0,HLOOKUP(T$4,'Physical Effects-Numbers'!$B$1:$AU$172,$B138,FALSE),""))</f>
        <v/>
      </c>
      <c r="U138" s="488" t="str">
        <f>IF(U$4="","",IF(HLOOKUP(U$4,'Physical Effects-Numbers'!$B$1:$AU$172,$B138,FALSE)&lt;0,HLOOKUP(U$4,'Physical Effects-Numbers'!$B$1:$AU$172,$B138,FALSE),""))</f>
        <v/>
      </c>
      <c r="V138" s="488" t="str">
        <f>IF(V$4="","",IF(HLOOKUP(V$4,'Physical Effects-Numbers'!$B$1:$AU$172,$B138,FALSE)&lt;0,HLOOKUP(V$4,'Physical Effects-Numbers'!$B$1:$AU$172,$B138,FALSE),""))</f>
        <v/>
      </c>
      <c r="W138" s="488" t="str">
        <f>IF(W$4="","",IF(HLOOKUP(W$4,'Physical Effects-Numbers'!$B$1:$AU$172,$B138,FALSE)&lt;0,HLOOKUP(W$4,'Physical Effects-Numbers'!$B$1:$AU$172,$B138,FALSE),""))</f>
        <v/>
      </c>
      <c r="X138" s="488" t="str">
        <f>IF(X$4="","",IF(HLOOKUP(X$4,'Physical Effects-Numbers'!$B$1:$AU$172,$B138,FALSE)&lt;0,HLOOKUP(X$4,'Physical Effects-Numbers'!$B$1:$AU$172,$B138,FALSE),""))</f>
        <v/>
      </c>
      <c r="Y138" s="488" t="str">
        <f>IF(Y$4="","",IF(HLOOKUP(Y$4,'Physical Effects-Numbers'!$B$1:$AU$172,$B138,FALSE)&lt;0,HLOOKUP(Y$4,'Physical Effects-Numbers'!$B$1:$AU$172,$B138,FALSE),""))</f>
        <v/>
      </c>
      <c r="Z138" s="488" t="str">
        <f>IF(Z$4="","",IF(HLOOKUP(Z$4,'Physical Effects-Numbers'!$B$1:$AU$172,$B138,FALSE)&lt;0,HLOOKUP(Z$4,'Physical Effects-Numbers'!$B$1:$AU$172,$B138,FALSE),""))</f>
        <v/>
      </c>
      <c r="AA138" s="488" t="str">
        <f>IF(AA$4="","",IF(HLOOKUP(AA$4,'Physical Effects-Numbers'!$B$1:$AU$172,$B138,FALSE)&lt;0,HLOOKUP(AA$4,'Physical Effects-Numbers'!$B$1:$AU$172,$B138,FALSE),""))</f>
        <v/>
      </c>
      <c r="AB138" s="488" t="str">
        <f>IF(AB$4="","",IF(HLOOKUP(AB$4,'Physical Effects-Numbers'!$B$1:$AU$172,$B138,FALSE)&lt;0,HLOOKUP(AB$4,'Physical Effects-Numbers'!$B$1:$AU$172,$B138,FALSE),""))</f>
        <v/>
      </c>
      <c r="AC138" s="488" t="str">
        <f>IF(AC$4="","",IF(HLOOKUP(AC$4,'Physical Effects-Numbers'!$B$1:$AU$172,$B138,FALSE)&lt;0,HLOOKUP(AC$4,'Physical Effects-Numbers'!$B$1:$AU$172,$B138,FALSE),""))</f>
        <v/>
      </c>
      <c r="AD138" s="488" t="str">
        <f>IF(AD$4="","",IF(HLOOKUP(AD$4,'Physical Effects-Numbers'!$B$1:$AU$172,$B138,FALSE)&lt;0,HLOOKUP(AD$4,'Physical Effects-Numbers'!$B$1:$AU$172,$B138,FALSE),""))</f>
        <v/>
      </c>
      <c r="AE138" s="488" t="str">
        <f>IF(AE$4="","",IF(HLOOKUP(AE$4,'Physical Effects-Numbers'!$B$1:$AU$172,$B138,FALSE)&lt;0,HLOOKUP(AE$4,'Physical Effects-Numbers'!$B$1:$AU$172,$B138,FALSE),""))</f>
        <v/>
      </c>
      <c r="AF138" s="488" t="str">
        <f>IF(AF$4="","",IF(HLOOKUP(AF$4,'Physical Effects-Numbers'!$B$1:$AU$172,$B138,FALSE)&lt;0,HLOOKUP(AF$4,'Physical Effects-Numbers'!$B$1:$AU$172,$B138,FALSE),""))</f>
        <v/>
      </c>
      <c r="AG138" s="488" t="str">
        <f>IF(AG$4="","",IF(HLOOKUP(AG$4,'Physical Effects-Numbers'!$B$1:$AU$172,$B138,FALSE)&lt;0,HLOOKUP(AG$4,'Physical Effects-Numbers'!$B$1:$AU$172,$B138,FALSE),""))</f>
        <v/>
      </c>
      <c r="AH138" s="488" t="str">
        <f>IF(AH$4="","",IF(HLOOKUP(AH$4,'Physical Effects-Numbers'!$B$1:$AU$172,$B138,FALSE)&lt;0,HLOOKUP(AH$4,'Physical Effects-Numbers'!$B$1:$AU$172,$B138,FALSE),""))</f>
        <v/>
      </c>
      <c r="AI138" s="488" t="str">
        <f>IF(AI$4="","",IF(HLOOKUP(AI$4,'Physical Effects-Numbers'!$B$1:$AU$172,$B138,FALSE)&lt;0,HLOOKUP(AI$4,'Physical Effects-Numbers'!$B$1:$AU$172,$B138,FALSE),""))</f>
        <v/>
      </c>
      <c r="AJ138" s="488" t="str">
        <f>IF(AJ$4="","",IF(HLOOKUP(AJ$4,'Physical Effects-Numbers'!$B$1:$AU$172,$B138,FALSE)&lt;0,HLOOKUP(AJ$4,'Physical Effects-Numbers'!$B$1:$AU$172,$B138,FALSE),""))</f>
        <v/>
      </c>
      <c r="AK138" s="488" t="str">
        <f>IF(AK$4="","",IF(HLOOKUP(AK$4,'Physical Effects-Numbers'!$B$1:$AU$172,$B138,FALSE)&lt;0,HLOOKUP(AK$4,'Physical Effects-Numbers'!$B$1:$AU$172,$B138,FALSE),""))</f>
        <v/>
      </c>
      <c r="AL138" s="488" t="str">
        <f>IF(AL$4="","",IF(HLOOKUP(AL$4,'Physical Effects-Numbers'!$B$1:$AU$172,$B138,FALSE)&lt;0,HLOOKUP(AL$4,'Physical Effects-Numbers'!$B$1:$AU$172,$B138,FALSE),""))</f>
        <v/>
      </c>
      <c r="AM138" s="488" t="str">
        <f>IF(AM$4="","",IF(HLOOKUP(AM$4,'Physical Effects-Numbers'!$B$1:$AU$172,$B138,FALSE)&lt;0,HLOOKUP(AM$4,'Physical Effects-Numbers'!$B$1:$AU$172,$B138,FALSE),""))</f>
        <v/>
      </c>
      <c r="AN138" s="488" t="str">
        <f>IF(AN$4="","",IF(HLOOKUP(AN$4,'Physical Effects-Numbers'!$B$1:$AU$172,$B138,FALSE)&lt;0,HLOOKUP(AN$4,'Physical Effects-Numbers'!$B$1:$AU$172,$B138,FALSE),""))</f>
        <v/>
      </c>
      <c r="AO138" s="488" t="str">
        <f>IF(AO$4="","",IF(HLOOKUP(AO$4,'Physical Effects-Numbers'!$B$1:$AU$172,$B138,FALSE)&lt;0,HLOOKUP(AO$4,'Physical Effects-Numbers'!$B$1:$AU$172,$B138,FALSE),""))</f>
        <v/>
      </c>
      <c r="AP138" s="488" t="str">
        <f>IF(AP$4="","",IF(HLOOKUP(AP$4,'Physical Effects-Numbers'!$B$1:$AU$172,$B138,FALSE)&lt;0,HLOOKUP(AP$4,'Physical Effects-Numbers'!$B$1:$AU$172,$B138,FALSE),""))</f>
        <v/>
      </c>
      <c r="AQ138" s="488" t="str">
        <f>IF(AQ$4="","",IF(HLOOKUP(AQ$4,'Physical Effects-Numbers'!$B$1:$AU$172,$B138,FALSE)&lt;0,HLOOKUP(AQ$4,'Physical Effects-Numbers'!$B$1:$AU$172,$B138,FALSE),""))</f>
        <v/>
      </c>
      <c r="AR138" s="488" t="str">
        <f>IF(AR$4="","",IF(HLOOKUP(AR$4,'Physical Effects-Numbers'!$B$1:$AU$172,$B138,FALSE)&lt;0,HLOOKUP(AR$4,'Physical Effects-Numbers'!$B$1:$AU$172,$B138,FALSE),""))</f>
        <v/>
      </c>
      <c r="AS138" s="488" t="str">
        <f>IF(AS$4="","",IF(HLOOKUP(AS$4,'Physical Effects-Numbers'!$B$1:$AU$172,$B138,FALSE)&lt;0,HLOOKUP(AS$4,'Physical Effects-Numbers'!$B$1:$AU$172,$B138,FALSE),""))</f>
        <v/>
      </c>
      <c r="AT138" s="488" t="str">
        <f>IF(AT$4="","",IF(HLOOKUP(AT$4,'Physical Effects-Numbers'!$B$1:$AU$172,$B138,FALSE)&lt;0,HLOOKUP(AT$4,'Physical Effects-Numbers'!$B$1:$AU$172,$B138,FALSE),""))</f>
        <v/>
      </c>
      <c r="AU138" s="488" t="str">
        <f>IF(AU$4="","",IF(HLOOKUP(AU$4,'Physical Effects-Numbers'!$B$1:$AU$172,$B138,FALSE)&lt;0,HLOOKUP(AU$4,'Physical Effects-Numbers'!$B$1:$AU$172,$B138,FALSE),""))</f>
        <v/>
      </c>
      <c r="AV138" s="488" t="str">
        <f>IF(AV$4="","",IF(HLOOKUP(AV$4,'Physical Effects-Numbers'!$B$1:$AU$167,$B138,FALSE)&lt;0,HLOOKUP(AV$4,'Physical Effects-Numbers'!$B$1:$AU$167,$B138,FALSE),""))</f>
        <v/>
      </c>
    </row>
    <row r="139" spans="2:48" x14ac:dyDescent="0.2">
      <c r="B139" s="487">
        <f t="shared" si="2"/>
        <v>136</v>
      </c>
      <c r="C139" s="486" t="str">
        <f>+'Physical Effects-Numbers'!B136</f>
        <v>Structures for Wildlife</v>
      </c>
      <c r="D139" s="488" t="str">
        <f>IF(D$4="","",IF(HLOOKUP(D$4,'Physical Effects-Numbers'!$B$1:$AU$172,$B139,FALSE)&lt;0,HLOOKUP(D$4,'Physical Effects-Numbers'!$B$1:$AU$172,$B139,FALSE),""))</f>
        <v/>
      </c>
      <c r="E139" s="488" t="str">
        <f>IF(E$4="","",IF(HLOOKUP(E$4,'Physical Effects-Numbers'!$B$1:$AU$172,$B139,FALSE)&lt;0,HLOOKUP(E$4,'Physical Effects-Numbers'!$B$1:$AU$172,$B139,FALSE),""))</f>
        <v/>
      </c>
      <c r="F139" s="488" t="str">
        <f>IF(F$4="","",IF(HLOOKUP(F$4,'Physical Effects-Numbers'!$B$1:$AU$172,$B139,FALSE)&lt;0,HLOOKUP(F$4,'Physical Effects-Numbers'!$B$1:$AU$172,$B139,FALSE),""))</f>
        <v/>
      </c>
      <c r="G139" s="488" t="str">
        <f>IF(G$4="","",IF(HLOOKUP(G$4,'Physical Effects-Numbers'!$B$1:$AU$172,$B139,FALSE)&lt;0,HLOOKUP(G$4,'Physical Effects-Numbers'!$B$1:$AU$172,$B139,FALSE),""))</f>
        <v/>
      </c>
      <c r="H139" s="488" t="str">
        <f>IF(H$4="","",IF(HLOOKUP(H$4,'Physical Effects-Numbers'!$B$1:$AU$172,$B139,FALSE)&lt;0,HLOOKUP(H$4,'Physical Effects-Numbers'!$B$1:$AU$172,$B139,FALSE),""))</f>
        <v/>
      </c>
      <c r="I139" s="488" t="str">
        <f>IF(I$4="","",IF(HLOOKUP(I$4,'Physical Effects-Numbers'!$B$1:$AU$172,$B139,FALSE)&lt;0,HLOOKUP(I$4,'Physical Effects-Numbers'!$B$1:$AU$172,$B139,FALSE),""))</f>
        <v/>
      </c>
      <c r="J139" s="488" t="str">
        <f>IF(J$4="","",IF(HLOOKUP(J$4,'Physical Effects-Numbers'!$B$1:$AU$172,$B139,FALSE)&lt;0,HLOOKUP(J$4,'Physical Effects-Numbers'!$B$1:$AU$172,$B139,FALSE),""))</f>
        <v/>
      </c>
      <c r="K139" s="488" t="str">
        <f>IF(K$4="","",IF(HLOOKUP(K$4,'Physical Effects-Numbers'!$B$1:$AU$172,$B139,FALSE)&lt;0,HLOOKUP(K$4,'Physical Effects-Numbers'!$B$1:$AU$172,$B139,FALSE),""))</f>
        <v/>
      </c>
      <c r="L139" s="488" t="str">
        <f>IF(L$4="","",IF(HLOOKUP(L$4,'Physical Effects-Numbers'!$B$1:$AU$172,$B139,FALSE)&lt;0,HLOOKUP(L$4,'Physical Effects-Numbers'!$B$1:$AU$172,$B139,FALSE),""))</f>
        <v/>
      </c>
      <c r="M139" s="488" t="str">
        <f>IF(M$4="","",IF(HLOOKUP(M$4,'Physical Effects-Numbers'!$B$1:$AU$172,$B139,FALSE)&lt;0,HLOOKUP(M$4,'Physical Effects-Numbers'!$B$1:$AU$172,$B139,FALSE),""))</f>
        <v/>
      </c>
      <c r="N139" s="488" t="str">
        <f>IF(N$4="","",IF(HLOOKUP(N$4,'Physical Effects-Numbers'!$B$1:$AU$172,$B139,FALSE)&lt;0,HLOOKUP(N$4,'Physical Effects-Numbers'!$B$1:$AU$172,$B139,FALSE),""))</f>
        <v/>
      </c>
      <c r="O139" s="488" t="str">
        <f>IF(O$4="","",IF(HLOOKUP(O$4,'Physical Effects-Numbers'!$B$1:$AU$172,$B139,FALSE)&lt;0,HLOOKUP(O$4,'Physical Effects-Numbers'!$B$1:$AU$172,$B139,FALSE),""))</f>
        <v/>
      </c>
      <c r="P139" s="488" t="str">
        <f>IF(P$4="","",IF(HLOOKUP(P$4,'Physical Effects-Numbers'!$B$1:$AU$172,$B139,FALSE)&lt;0,HLOOKUP(P$4,'Physical Effects-Numbers'!$B$1:$AU$172,$B139,FALSE),""))</f>
        <v/>
      </c>
      <c r="Q139" s="488" t="str">
        <f>IF(Q$4="","",IF(HLOOKUP(Q$4,'Physical Effects-Numbers'!$B$1:$AU$172,$B139,FALSE)&lt;0,HLOOKUP(Q$4,'Physical Effects-Numbers'!$B$1:$AU$172,$B139,FALSE),""))</f>
        <v/>
      </c>
      <c r="R139" s="488" t="str">
        <f>IF(R$4="","",IF(HLOOKUP(R$4,'Physical Effects-Numbers'!$B$1:$AU$172,$B139,FALSE)&lt;0,HLOOKUP(R$4,'Physical Effects-Numbers'!$B$1:$AU$172,$B139,FALSE),""))</f>
        <v/>
      </c>
      <c r="S139" s="488" t="str">
        <f>IF(S$4="","",IF(HLOOKUP(S$4,'Physical Effects-Numbers'!$B$1:$AU$172,$B139,FALSE)&lt;0,HLOOKUP(S$4,'Physical Effects-Numbers'!$B$1:$AU$172,$B139,FALSE),""))</f>
        <v/>
      </c>
      <c r="T139" s="488" t="str">
        <f>IF(T$4="","",IF(HLOOKUP(T$4,'Physical Effects-Numbers'!$B$1:$AU$172,$B139,FALSE)&lt;0,HLOOKUP(T$4,'Physical Effects-Numbers'!$B$1:$AU$172,$B139,FALSE),""))</f>
        <v/>
      </c>
      <c r="U139" s="488" t="str">
        <f>IF(U$4="","",IF(HLOOKUP(U$4,'Physical Effects-Numbers'!$B$1:$AU$172,$B139,FALSE)&lt;0,HLOOKUP(U$4,'Physical Effects-Numbers'!$B$1:$AU$172,$B139,FALSE),""))</f>
        <v/>
      </c>
      <c r="V139" s="488" t="str">
        <f>IF(V$4="","",IF(HLOOKUP(V$4,'Physical Effects-Numbers'!$B$1:$AU$172,$B139,FALSE)&lt;0,HLOOKUP(V$4,'Physical Effects-Numbers'!$B$1:$AU$172,$B139,FALSE),""))</f>
        <v/>
      </c>
      <c r="W139" s="488" t="str">
        <f>IF(W$4="","",IF(HLOOKUP(W$4,'Physical Effects-Numbers'!$B$1:$AU$172,$B139,FALSE)&lt;0,HLOOKUP(W$4,'Physical Effects-Numbers'!$B$1:$AU$172,$B139,FALSE),""))</f>
        <v/>
      </c>
      <c r="X139" s="488" t="str">
        <f>IF(X$4="","",IF(HLOOKUP(X$4,'Physical Effects-Numbers'!$B$1:$AU$172,$B139,FALSE)&lt;0,HLOOKUP(X$4,'Physical Effects-Numbers'!$B$1:$AU$172,$B139,FALSE),""))</f>
        <v/>
      </c>
      <c r="Y139" s="488" t="str">
        <f>IF(Y$4="","",IF(HLOOKUP(Y$4,'Physical Effects-Numbers'!$B$1:$AU$172,$B139,FALSE)&lt;0,HLOOKUP(Y$4,'Physical Effects-Numbers'!$B$1:$AU$172,$B139,FALSE),""))</f>
        <v/>
      </c>
      <c r="Z139" s="488" t="str">
        <f>IF(Z$4="","",IF(HLOOKUP(Z$4,'Physical Effects-Numbers'!$B$1:$AU$172,$B139,FALSE)&lt;0,HLOOKUP(Z$4,'Physical Effects-Numbers'!$B$1:$AU$172,$B139,FALSE),""))</f>
        <v/>
      </c>
      <c r="AA139" s="488" t="str">
        <f>IF(AA$4="","",IF(HLOOKUP(AA$4,'Physical Effects-Numbers'!$B$1:$AU$172,$B139,FALSE)&lt;0,HLOOKUP(AA$4,'Physical Effects-Numbers'!$B$1:$AU$172,$B139,FALSE),""))</f>
        <v/>
      </c>
      <c r="AB139" s="488" t="str">
        <f>IF(AB$4="","",IF(HLOOKUP(AB$4,'Physical Effects-Numbers'!$B$1:$AU$172,$B139,FALSE)&lt;0,HLOOKUP(AB$4,'Physical Effects-Numbers'!$B$1:$AU$172,$B139,FALSE),""))</f>
        <v/>
      </c>
      <c r="AC139" s="488" t="str">
        <f>IF(AC$4="","",IF(HLOOKUP(AC$4,'Physical Effects-Numbers'!$B$1:$AU$172,$B139,FALSE)&lt;0,HLOOKUP(AC$4,'Physical Effects-Numbers'!$B$1:$AU$172,$B139,FALSE),""))</f>
        <v/>
      </c>
      <c r="AD139" s="488" t="str">
        <f>IF(AD$4="","",IF(HLOOKUP(AD$4,'Physical Effects-Numbers'!$B$1:$AU$172,$B139,FALSE)&lt;0,HLOOKUP(AD$4,'Physical Effects-Numbers'!$B$1:$AU$172,$B139,FALSE),""))</f>
        <v/>
      </c>
      <c r="AE139" s="488" t="str">
        <f>IF(AE$4="","",IF(HLOOKUP(AE$4,'Physical Effects-Numbers'!$B$1:$AU$172,$B139,FALSE)&lt;0,HLOOKUP(AE$4,'Physical Effects-Numbers'!$B$1:$AU$172,$B139,FALSE),""))</f>
        <v/>
      </c>
      <c r="AF139" s="488" t="str">
        <f>IF(AF$4="","",IF(HLOOKUP(AF$4,'Physical Effects-Numbers'!$B$1:$AU$172,$B139,FALSE)&lt;0,HLOOKUP(AF$4,'Physical Effects-Numbers'!$B$1:$AU$172,$B139,FALSE),""))</f>
        <v/>
      </c>
      <c r="AG139" s="488" t="str">
        <f>IF(AG$4="","",IF(HLOOKUP(AG$4,'Physical Effects-Numbers'!$B$1:$AU$172,$B139,FALSE)&lt;0,HLOOKUP(AG$4,'Physical Effects-Numbers'!$B$1:$AU$172,$B139,FALSE),""))</f>
        <v/>
      </c>
      <c r="AH139" s="488" t="str">
        <f>IF(AH$4="","",IF(HLOOKUP(AH$4,'Physical Effects-Numbers'!$B$1:$AU$172,$B139,FALSE)&lt;0,HLOOKUP(AH$4,'Physical Effects-Numbers'!$B$1:$AU$172,$B139,FALSE),""))</f>
        <v/>
      </c>
      <c r="AI139" s="488" t="str">
        <f>IF(AI$4="","",IF(HLOOKUP(AI$4,'Physical Effects-Numbers'!$B$1:$AU$172,$B139,FALSE)&lt;0,HLOOKUP(AI$4,'Physical Effects-Numbers'!$B$1:$AU$172,$B139,FALSE),""))</f>
        <v/>
      </c>
      <c r="AJ139" s="488" t="str">
        <f>IF(AJ$4="","",IF(HLOOKUP(AJ$4,'Physical Effects-Numbers'!$B$1:$AU$172,$B139,FALSE)&lt;0,HLOOKUP(AJ$4,'Physical Effects-Numbers'!$B$1:$AU$172,$B139,FALSE),""))</f>
        <v/>
      </c>
      <c r="AK139" s="488" t="str">
        <f>IF(AK$4="","",IF(HLOOKUP(AK$4,'Physical Effects-Numbers'!$B$1:$AU$172,$B139,FALSE)&lt;0,HLOOKUP(AK$4,'Physical Effects-Numbers'!$B$1:$AU$172,$B139,FALSE),""))</f>
        <v/>
      </c>
      <c r="AL139" s="488" t="str">
        <f>IF(AL$4="","",IF(HLOOKUP(AL$4,'Physical Effects-Numbers'!$B$1:$AU$172,$B139,FALSE)&lt;0,HLOOKUP(AL$4,'Physical Effects-Numbers'!$B$1:$AU$172,$B139,FALSE),""))</f>
        <v/>
      </c>
      <c r="AM139" s="488" t="str">
        <f>IF(AM$4="","",IF(HLOOKUP(AM$4,'Physical Effects-Numbers'!$B$1:$AU$172,$B139,FALSE)&lt;0,HLOOKUP(AM$4,'Physical Effects-Numbers'!$B$1:$AU$172,$B139,FALSE),""))</f>
        <v/>
      </c>
      <c r="AN139" s="488" t="str">
        <f>IF(AN$4="","",IF(HLOOKUP(AN$4,'Physical Effects-Numbers'!$B$1:$AU$172,$B139,FALSE)&lt;0,HLOOKUP(AN$4,'Physical Effects-Numbers'!$B$1:$AU$172,$B139,FALSE),""))</f>
        <v/>
      </c>
      <c r="AO139" s="488" t="str">
        <f>IF(AO$4="","",IF(HLOOKUP(AO$4,'Physical Effects-Numbers'!$B$1:$AU$172,$B139,FALSE)&lt;0,HLOOKUP(AO$4,'Physical Effects-Numbers'!$B$1:$AU$172,$B139,FALSE),""))</f>
        <v/>
      </c>
      <c r="AP139" s="488" t="str">
        <f>IF(AP$4="","",IF(HLOOKUP(AP$4,'Physical Effects-Numbers'!$B$1:$AU$172,$B139,FALSE)&lt;0,HLOOKUP(AP$4,'Physical Effects-Numbers'!$B$1:$AU$172,$B139,FALSE),""))</f>
        <v/>
      </c>
      <c r="AQ139" s="488" t="str">
        <f>IF(AQ$4="","",IF(HLOOKUP(AQ$4,'Physical Effects-Numbers'!$B$1:$AU$172,$B139,FALSE)&lt;0,HLOOKUP(AQ$4,'Physical Effects-Numbers'!$B$1:$AU$172,$B139,FALSE),""))</f>
        <v/>
      </c>
      <c r="AR139" s="488" t="str">
        <f>IF(AR$4="","",IF(HLOOKUP(AR$4,'Physical Effects-Numbers'!$B$1:$AU$172,$B139,FALSE)&lt;0,HLOOKUP(AR$4,'Physical Effects-Numbers'!$B$1:$AU$172,$B139,FALSE),""))</f>
        <v/>
      </c>
      <c r="AS139" s="488" t="str">
        <f>IF(AS$4="","",IF(HLOOKUP(AS$4,'Physical Effects-Numbers'!$B$1:$AU$172,$B139,FALSE)&lt;0,HLOOKUP(AS$4,'Physical Effects-Numbers'!$B$1:$AU$172,$B139,FALSE),""))</f>
        <v/>
      </c>
      <c r="AT139" s="488" t="str">
        <f>IF(AT$4="","",IF(HLOOKUP(AT$4,'Physical Effects-Numbers'!$B$1:$AU$172,$B139,FALSE)&lt;0,HLOOKUP(AT$4,'Physical Effects-Numbers'!$B$1:$AU$172,$B139,FALSE),""))</f>
        <v/>
      </c>
      <c r="AU139" s="488" t="str">
        <f>IF(AU$4="","",IF(HLOOKUP(AU$4,'Physical Effects-Numbers'!$B$1:$AU$172,$B139,FALSE)&lt;0,HLOOKUP(AU$4,'Physical Effects-Numbers'!$B$1:$AU$172,$B139,FALSE),""))</f>
        <v/>
      </c>
      <c r="AV139" s="488" t="str">
        <f>IF(AV$4="","",IF(HLOOKUP(AV$4,'Physical Effects-Numbers'!$B$1:$AU$167,$B139,FALSE)&lt;0,HLOOKUP(AV$4,'Physical Effects-Numbers'!$B$1:$AU$167,$B139,FALSE),""))</f>
        <v/>
      </c>
    </row>
    <row r="140" spans="2:48" x14ac:dyDescent="0.2">
      <c r="B140" s="487">
        <f t="shared" si="2"/>
        <v>137</v>
      </c>
      <c r="C140" s="486" t="str">
        <f>+'Physical Effects-Numbers'!B137</f>
        <v>Subsurface Drain</v>
      </c>
      <c r="D140" s="488" t="str">
        <f>IF(D$4="","",IF(HLOOKUP(D$4,'Physical Effects-Numbers'!$B$1:$AU$172,$B140,FALSE)&lt;0,HLOOKUP(D$4,'Physical Effects-Numbers'!$B$1:$AU$172,$B140,FALSE),""))</f>
        <v/>
      </c>
      <c r="E140" s="488">
        <f>IF(E$4="","",IF(HLOOKUP(E$4,'Physical Effects-Numbers'!$B$1:$AU$172,$B140,FALSE)&lt;0,HLOOKUP(E$4,'Physical Effects-Numbers'!$B$1:$AU$172,$B140,FALSE),""))</f>
        <v>-1</v>
      </c>
      <c r="F140" s="488" t="str">
        <f>IF(F$4="","",IF(HLOOKUP(F$4,'Physical Effects-Numbers'!$B$1:$AU$172,$B140,FALSE)&lt;0,HLOOKUP(F$4,'Physical Effects-Numbers'!$B$1:$AU$172,$B140,FALSE),""))</f>
        <v/>
      </c>
      <c r="G140" s="488" t="str">
        <f>IF(G$4="","",IF(HLOOKUP(G$4,'Physical Effects-Numbers'!$B$1:$AU$172,$B140,FALSE)&lt;0,HLOOKUP(G$4,'Physical Effects-Numbers'!$B$1:$AU$172,$B140,FALSE),""))</f>
        <v/>
      </c>
      <c r="H140" s="488" t="str">
        <f>IF(H$4="","",IF(HLOOKUP(H$4,'Physical Effects-Numbers'!$B$1:$AU$172,$B140,FALSE)&lt;0,HLOOKUP(H$4,'Physical Effects-Numbers'!$B$1:$AU$172,$B140,FALSE),""))</f>
        <v/>
      </c>
      <c r="I140" s="488">
        <f>IF(I$4="","",IF(HLOOKUP(I$4,'Physical Effects-Numbers'!$B$1:$AU$172,$B140,FALSE)&lt;0,HLOOKUP(I$4,'Physical Effects-Numbers'!$B$1:$AU$172,$B140,FALSE),""))</f>
        <v>-2</v>
      </c>
      <c r="J140" s="488" t="str">
        <f>IF(J$4="","",IF(HLOOKUP(J$4,'Physical Effects-Numbers'!$B$1:$AU$172,$B140,FALSE)&lt;0,HLOOKUP(J$4,'Physical Effects-Numbers'!$B$1:$AU$172,$B140,FALSE),""))</f>
        <v/>
      </c>
      <c r="K140" s="488">
        <f>IF(K$4="","",IF(HLOOKUP(K$4,'Physical Effects-Numbers'!$B$1:$AU$172,$B140,FALSE)&lt;0,HLOOKUP(K$4,'Physical Effects-Numbers'!$B$1:$AU$172,$B140,FALSE),""))</f>
        <v>-2</v>
      </c>
      <c r="L140" s="488" t="str">
        <f>IF(L$4="","",IF(HLOOKUP(L$4,'Physical Effects-Numbers'!$B$1:$AU$172,$B140,FALSE)&lt;0,HLOOKUP(L$4,'Physical Effects-Numbers'!$B$1:$AU$172,$B140,FALSE),""))</f>
        <v/>
      </c>
      <c r="M140" s="488" t="str">
        <f>IF(M$4="","",IF(HLOOKUP(M$4,'Physical Effects-Numbers'!$B$1:$AU$172,$B140,FALSE)&lt;0,HLOOKUP(M$4,'Physical Effects-Numbers'!$B$1:$AU$172,$B140,FALSE),""))</f>
        <v/>
      </c>
      <c r="N140" s="488" t="str">
        <f>IF(N$4="","",IF(HLOOKUP(N$4,'Physical Effects-Numbers'!$B$1:$AU$172,$B140,FALSE)&lt;0,HLOOKUP(N$4,'Physical Effects-Numbers'!$B$1:$AU$172,$B140,FALSE),""))</f>
        <v/>
      </c>
      <c r="O140" s="488" t="str">
        <f>IF(O$4="","",IF(HLOOKUP(O$4,'Physical Effects-Numbers'!$B$1:$AU$172,$B140,FALSE)&lt;0,HLOOKUP(O$4,'Physical Effects-Numbers'!$B$1:$AU$172,$B140,FALSE),""))</f>
        <v/>
      </c>
      <c r="P140" s="488" t="str">
        <f>IF(P$4="","",IF(HLOOKUP(P$4,'Physical Effects-Numbers'!$B$1:$AU$172,$B140,FALSE)&lt;0,HLOOKUP(P$4,'Physical Effects-Numbers'!$B$1:$AU$172,$B140,FALSE),""))</f>
        <v/>
      </c>
      <c r="Q140" s="488" t="str">
        <f>IF(Q$4="","",IF(HLOOKUP(Q$4,'Physical Effects-Numbers'!$B$1:$AU$172,$B140,FALSE)&lt;0,HLOOKUP(Q$4,'Physical Effects-Numbers'!$B$1:$AU$172,$B140,FALSE),""))</f>
        <v/>
      </c>
      <c r="R140" s="488" t="str">
        <f>IF(R$4="","",IF(HLOOKUP(R$4,'Physical Effects-Numbers'!$B$1:$AU$172,$B140,FALSE)&lt;0,HLOOKUP(R$4,'Physical Effects-Numbers'!$B$1:$AU$172,$B140,FALSE),""))</f>
        <v/>
      </c>
      <c r="S140" s="488" t="str">
        <f>IF(S$4="","",IF(HLOOKUP(S$4,'Physical Effects-Numbers'!$B$1:$AU$172,$B140,FALSE)&lt;0,HLOOKUP(S$4,'Physical Effects-Numbers'!$B$1:$AU$172,$B140,FALSE),""))</f>
        <v/>
      </c>
      <c r="T140" s="488" t="str">
        <f>IF(T$4="","",IF(HLOOKUP(T$4,'Physical Effects-Numbers'!$B$1:$AU$172,$B140,FALSE)&lt;0,HLOOKUP(T$4,'Physical Effects-Numbers'!$B$1:$AU$172,$B140,FALSE),""))</f>
        <v/>
      </c>
      <c r="U140" s="488">
        <f>IF(U$4="","",IF(HLOOKUP(U$4,'Physical Effects-Numbers'!$B$1:$AU$172,$B140,FALSE)&lt;0,HLOOKUP(U$4,'Physical Effects-Numbers'!$B$1:$AU$172,$B140,FALSE),""))</f>
        <v>-2</v>
      </c>
      <c r="V140" s="488" t="str">
        <f>IF(V$4="","",IF(HLOOKUP(V$4,'Physical Effects-Numbers'!$B$1:$AU$172,$B140,FALSE)&lt;0,HLOOKUP(V$4,'Physical Effects-Numbers'!$B$1:$AU$172,$B140,FALSE),""))</f>
        <v/>
      </c>
      <c r="W140" s="488">
        <f>IF(W$4="","",IF(HLOOKUP(W$4,'Physical Effects-Numbers'!$B$1:$AU$172,$B140,FALSE)&lt;0,HLOOKUP(W$4,'Physical Effects-Numbers'!$B$1:$AU$172,$B140,FALSE),""))</f>
        <v>-2</v>
      </c>
      <c r="X140" s="488" t="str">
        <f>IF(X$4="","",IF(HLOOKUP(X$4,'Physical Effects-Numbers'!$B$1:$AU$172,$B140,FALSE)&lt;0,HLOOKUP(X$4,'Physical Effects-Numbers'!$B$1:$AU$172,$B140,FALSE),""))</f>
        <v/>
      </c>
      <c r="Y140" s="488" t="str">
        <f>IF(Y$4="","",IF(HLOOKUP(Y$4,'Physical Effects-Numbers'!$B$1:$AU$172,$B140,FALSE)&lt;0,HLOOKUP(Y$4,'Physical Effects-Numbers'!$B$1:$AU$172,$B140,FALSE),""))</f>
        <v/>
      </c>
      <c r="Z140" s="488" t="str">
        <f>IF(Z$4="","",IF(HLOOKUP(Z$4,'Physical Effects-Numbers'!$B$1:$AU$172,$B140,FALSE)&lt;0,HLOOKUP(Z$4,'Physical Effects-Numbers'!$B$1:$AU$172,$B140,FALSE),""))</f>
        <v/>
      </c>
      <c r="AA140" s="488" t="str">
        <f>IF(AA$4="","",IF(HLOOKUP(AA$4,'Physical Effects-Numbers'!$B$1:$AU$172,$B140,FALSE)&lt;0,HLOOKUP(AA$4,'Physical Effects-Numbers'!$B$1:$AU$172,$B140,FALSE),""))</f>
        <v/>
      </c>
      <c r="AB140" s="488" t="str">
        <f>IF(AB$4="","",IF(HLOOKUP(AB$4,'Physical Effects-Numbers'!$B$1:$AU$172,$B140,FALSE)&lt;0,HLOOKUP(AB$4,'Physical Effects-Numbers'!$B$1:$AU$172,$B140,FALSE),""))</f>
        <v/>
      </c>
      <c r="AC140" s="488" t="str">
        <f>IF(AC$4="","",IF(HLOOKUP(AC$4,'Physical Effects-Numbers'!$B$1:$AU$172,$B140,FALSE)&lt;0,HLOOKUP(AC$4,'Physical Effects-Numbers'!$B$1:$AU$172,$B140,FALSE),""))</f>
        <v/>
      </c>
      <c r="AD140" s="488" t="str">
        <f>IF(AD$4="","",IF(HLOOKUP(AD$4,'Physical Effects-Numbers'!$B$1:$AU$172,$B140,FALSE)&lt;0,HLOOKUP(AD$4,'Physical Effects-Numbers'!$B$1:$AU$172,$B140,FALSE),""))</f>
        <v/>
      </c>
      <c r="AE140" s="488" t="str">
        <f>IF(AE$4="","",IF(HLOOKUP(AE$4,'Physical Effects-Numbers'!$B$1:$AU$172,$B140,FALSE)&lt;0,HLOOKUP(AE$4,'Physical Effects-Numbers'!$B$1:$AU$172,$B140,FALSE),""))</f>
        <v/>
      </c>
      <c r="AF140" s="488" t="str">
        <f>IF(AF$4="","",IF(HLOOKUP(AF$4,'Physical Effects-Numbers'!$B$1:$AU$172,$B140,FALSE)&lt;0,HLOOKUP(AF$4,'Physical Effects-Numbers'!$B$1:$AU$172,$B140,FALSE),""))</f>
        <v/>
      </c>
      <c r="AG140" s="488" t="str">
        <f>IF(AG$4="","",IF(HLOOKUP(AG$4,'Physical Effects-Numbers'!$B$1:$AU$172,$B140,FALSE)&lt;0,HLOOKUP(AG$4,'Physical Effects-Numbers'!$B$1:$AU$172,$B140,FALSE),""))</f>
        <v/>
      </c>
      <c r="AH140" s="488" t="str">
        <f>IF(AH$4="","",IF(HLOOKUP(AH$4,'Physical Effects-Numbers'!$B$1:$AU$172,$B140,FALSE)&lt;0,HLOOKUP(AH$4,'Physical Effects-Numbers'!$B$1:$AU$172,$B140,FALSE),""))</f>
        <v/>
      </c>
      <c r="AI140" s="488" t="str">
        <f>IF(AI$4="","",IF(HLOOKUP(AI$4,'Physical Effects-Numbers'!$B$1:$AU$172,$B140,FALSE)&lt;0,HLOOKUP(AI$4,'Physical Effects-Numbers'!$B$1:$AU$172,$B140,FALSE),""))</f>
        <v/>
      </c>
      <c r="AJ140" s="488" t="str">
        <f>IF(AJ$4="","",IF(HLOOKUP(AJ$4,'Physical Effects-Numbers'!$B$1:$AU$172,$B140,FALSE)&lt;0,HLOOKUP(AJ$4,'Physical Effects-Numbers'!$B$1:$AU$172,$B140,FALSE),""))</f>
        <v/>
      </c>
      <c r="AK140" s="488" t="str">
        <f>IF(AK$4="","",IF(HLOOKUP(AK$4,'Physical Effects-Numbers'!$B$1:$AU$172,$B140,FALSE)&lt;0,HLOOKUP(AK$4,'Physical Effects-Numbers'!$B$1:$AU$172,$B140,FALSE),""))</f>
        <v/>
      </c>
      <c r="AL140" s="488" t="str">
        <f>IF(AL$4="","",IF(HLOOKUP(AL$4,'Physical Effects-Numbers'!$B$1:$AU$172,$B140,FALSE)&lt;0,HLOOKUP(AL$4,'Physical Effects-Numbers'!$B$1:$AU$172,$B140,FALSE),""))</f>
        <v/>
      </c>
      <c r="AM140" s="488" t="str">
        <f>IF(AM$4="","",IF(HLOOKUP(AM$4,'Physical Effects-Numbers'!$B$1:$AU$172,$B140,FALSE)&lt;0,HLOOKUP(AM$4,'Physical Effects-Numbers'!$B$1:$AU$172,$B140,FALSE),""))</f>
        <v/>
      </c>
      <c r="AN140" s="488" t="str">
        <f>IF(AN$4="","",IF(HLOOKUP(AN$4,'Physical Effects-Numbers'!$B$1:$AU$172,$B140,FALSE)&lt;0,HLOOKUP(AN$4,'Physical Effects-Numbers'!$B$1:$AU$172,$B140,FALSE),""))</f>
        <v/>
      </c>
      <c r="AO140" s="488" t="str">
        <f>IF(AO$4="","",IF(HLOOKUP(AO$4,'Physical Effects-Numbers'!$B$1:$AU$172,$B140,FALSE)&lt;0,HLOOKUP(AO$4,'Physical Effects-Numbers'!$B$1:$AU$172,$B140,FALSE),""))</f>
        <v/>
      </c>
      <c r="AP140" s="488" t="str">
        <f>IF(AP$4="","",IF(HLOOKUP(AP$4,'Physical Effects-Numbers'!$B$1:$AU$172,$B140,FALSE)&lt;0,HLOOKUP(AP$4,'Physical Effects-Numbers'!$B$1:$AU$172,$B140,FALSE),""))</f>
        <v/>
      </c>
      <c r="AQ140" s="488" t="str">
        <f>IF(AQ$4="","",IF(HLOOKUP(AQ$4,'Physical Effects-Numbers'!$B$1:$AU$172,$B140,FALSE)&lt;0,HLOOKUP(AQ$4,'Physical Effects-Numbers'!$B$1:$AU$172,$B140,FALSE),""))</f>
        <v/>
      </c>
      <c r="AR140" s="488" t="str">
        <f>IF(AR$4="","",IF(HLOOKUP(AR$4,'Physical Effects-Numbers'!$B$1:$AU$172,$B140,FALSE)&lt;0,HLOOKUP(AR$4,'Physical Effects-Numbers'!$B$1:$AU$172,$B140,FALSE),""))</f>
        <v/>
      </c>
      <c r="AS140" s="488" t="str">
        <f>IF(AS$4="","",IF(HLOOKUP(AS$4,'Physical Effects-Numbers'!$B$1:$AU$172,$B140,FALSE)&lt;0,HLOOKUP(AS$4,'Physical Effects-Numbers'!$B$1:$AU$172,$B140,FALSE),""))</f>
        <v/>
      </c>
      <c r="AT140" s="488" t="str">
        <f>IF(AT$4="","",IF(HLOOKUP(AT$4,'Physical Effects-Numbers'!$B$1:$AU$172,$B140,FALSE)&lt;0,HLOOKUP(AT$4,'Physical Effects-Numbers'!$B$1:$AU$172,$B140,FALSE),""))</f>
        <v/>
      </c>
      <c r="AU140" s="488" t="str">
        <f>IF(AU$4="","",IF(HLOOKUP(AU$4,'Physical Effects-Numbers'!$B$1:$AU$172,$B140,FALSE)&lt;0,HLOOKUP(AU$4,'Physical Effects-Numbers'!$B$1:$AU$172,$B140,FALSE),""))</f>
        <v/>
      </c>
      <c r="AV140" s="488" t="str">
        <f>IF(AV$4="","",IF(HLOOKUP(AV$4,'Physical Effects-Numbers'!$B$1:$AU$167,$B140,FALSE)&lt;0,HLOOKUP(AV$4,'Physical Effects-Numbers'!$B$1:$AU$167,$B140,FALSE),""))</f>
        <v/>
      </c>
    </row>
    <row r="141" spans="2:48" x14ac:dyDescent="0.2">
      <c r="B141" s="487">
        <f t="shared" si="2"/>
        <v>138</v>
      </c>
      <c r="C141" s="486" t="str">
        <f>+'Physical Effects-Numbers'!B138</f>
        <v>Surface Drainage, Field Ditch</v>
      </c>
      <c r="D141" s="488" t="str">
        <f>IF(D$4="","",IF(HLOOKUP(D$4,'Physical Effects-Numbers'!$B$1:$AU$172,$B141,FALSE)&lt;0,HLOOKUP(D$4,'Physical Effects-Numbers'!$B$1:$AU$172,$B141,FALSE),""))</f>
        <v/>
      </c>
      <c r="E141" s="488">
        <f>IF(E$4="","",IF(HLOOKUP(E$4,'Physical Effects-Numbers'!$B$1:$AU$172,$B141,FALSE)&lt;0,HLOOKUP(E$4,'Physical Effects-Numbers'!$B$1:$AU$172,$B141,FALSE),""))</f>
        <v>-1</v>
      </c>
      <c r="F141" s="488" t="str">
        <f>IF(F$4="","",IF(HLOOKUP(F$4,'Physical Effects-Numbers'!$B$1:$AU$172,$B141,FALSE)&lt;0,HLOOKUP(F$4,'Physical Effects-Numbers'!$B$1:$AU$172,$B141,FALSE),""))</f>
        <v/>
      </c>
      <c r="G141" s="488" t="str">
        <f>IF(G$4="","",IF(HLOOKUP(G$4,'Physical Effects-Numbers'!$B$1:$AU$172,$B141,FALSE)&lt;0,HLOOKUP(G$4,'Physical Effects-Numbers'!$B$1:$AU$172,$B141,FALSE),""))</f>
        <v/>
      </c>
      <c r="H141" s="488" t="str">
        <f>IF(H$4="","",IF(HLOOKUP(H$4,'Physical Effects-Numbers'!$B$1:$AU$172,$B141,FALSE)&lt;0,HLOOKUP(H$4,'Physical Effects-Numbers'!$B$1:$AU$172,$B141,FALSE),""))</f>
        <v/>
      </c>
      <c r="I141" s="488">
        <f>IF(I$4="","",IF(HLOOKUP(I$4,'Physical Effects-Numbers'!$B$1:$AU$172,$B141,FALSE)&lt;0,HLOOKUP(I$4,'Physical Effects-Numbers'!$B$1:$AU$172,$B141,FALSE),""))</f>
        <v>-2</v>
      </c>
      <c r="J141" s="488" t="str">
        <f>IF(J$4="","",IF(HLOOKUP(J$4,'Physical Effects-Numbers'!$B$1:$AU$172,$B141,FALSE)&lt;0,HLOOKUP(J$4,'Physical Effects-Numbers'!$B$1:$AU$172,$B141,FALSE),""))</f>
        <v/>
      </c>
      <c r="K141" s="488">
        <f>IF(K$4="","",IF(HLOOKUP(K$4,'Physical Effects-Numbers'!$B$1:$AU$172,$B141,FALSE)&lt;0,HLOOKUP(K$4,'Physical Effects-Numbers'!$B$1:$AU$172,$B141,FALSE),""))</f>
        <v>-1</v>
      </c>
      <c r="L141" s="488" t="str">
        <f>IF(L$4="","",IF(HLOOKUP(L$4,'Physical Effects-Numbers'!$B$1:$AU$172,$B141,FALSE)&lt;0,HLOOKUP(L$4,'Physical Effects-Numbers'!$B$1:$AU$172,$B141,FALSE),""))</f>
        <v/>
      </c>
      <c r="M141" s="488" t="str">
        <f>IF(M$4="","",IF(HLOOKUP(M$4,'Physical Effects-Numbers'!$B$1:$AU$172,$B141,FALSE)&lt;0,HLOOKUP(M$4,'Physical Effects-Numbers'!$B$1:$AU$172,$B141,FALSE),""))</f>
        <v/>
      </c>
      <c r="N141" s="488" t="str">
        <f>IF(N$4="","",IF(HLOOKUP(N$4,'Physical Effects-Numbers'!$B$1:$AU$172,$B141,FALSE)&lt;0,HLOOKUP(N$4,'Physical Effects-Numbers'!$B$1:$AU$172,$B141,FALSE),""))</f>
        <v/>
      </c>
      <c r="O141" s="488" t="str">
        <f>IF(O$4="","",IF(HLOOKUP(O$4,'Physical Effects-Numbers'!$B$1:$AU$172,$B141,FALSE)&lt;0,HLOOKUP(O$4,'Physical Effects-Numbers'!$B$1:$AU$172,$B141,FALSE),""))</f>
        <v/>
      </c>
      <c r="P141" s="488" t="str">
        <f>IF(P$4="","",IF(HLOOKUP(P$4,'Physical Effects-Numbers'!$B$1:$AU$172,$B141,FALSE)&lt;0,HLOOKUP(P$4,'Physical Effects-Numbers'!$B$1:$AU$172,$B141,FALSE),""))</f>
        <v/>
      </c>
      <c r="Q141" s="488" t="str">
        <f>IF(Q$4="","",IF(HLOOKUP(Q$4,'Physical Effects-Numbers'!$B$1:$AU$172,$B141,FALSE)&lt;0,HLOOKUP(Q$4,'Physical Effects-Numbers'!$B$1:$AU$172,$B141,FALSE),""))</f>
        <v/>
      </c>
      <c r="R141" s="488" t="str">
        <f>IF(R$4="","",IF(HLOOKUP(R$4,'Physical Effects-Numbers'!$B$1:$AU$172,$B141,FALSE)&lt;0,HLOOKUP(R$4,'Physical Effects-Numbers'!$B$1:$AU$172,$B141,FALSE),""))</f>
        <v/>
      </c>
      <c r="S141" s="488" t="str">
        <f>IF(S$4="","",IF(HLOOKUP(S$4,'Physical Effects-Numbers'!$B$1:$AU$172,$B141,FALSE)&lt;0,HLOOKUP(S$4,'Physical Effects-Numbers'!$B$1:$AU$172,$B141,FALSE),""))</f>
        <v/>
      </c>
      <c r="T141" s="488" t="str">
        <f>IF(T$4="","",IF(HLOOKUP(T$4,'Physical Effects-Numbers'!$B$1:$AU$172,$B141,FALSE)&lt;0,HLOOKUP(T$4,'Physical Effects-Numbers'!$B$1:$AU$172,$B141,FALSE),""))</f>
        <v/>
      </c>
      <c r="U141" s="488">
        <f>IF(U$4="","",IF(HLOOKUP(U$4,'Physical Effects-Numbers'!$B$1:$AU$172,$B141,FALSE)&lt;0,HLOOKUP(U$4,'Physical Effects-Numbers'!$B$1:$AU$172,$B141,FALSE),""))</f>
        <v>-2</v>
      </c>
      <c r="V141" s="488" t="str">
        <f>IF(V$4="","",IF(HLOOKUP(V$4,'Physical Effects-Numbers'!$B$1:$AU$172,$B141,FALSE)&lt;0,HLOOKUP(V$4,'Physical Effects-Numbers'!$B$1:$AU$172,$B141,FALSE),""))</f>
        <v/>
      </c>
      <c r="W141" s="488">
        <f>IF(W$4="","",IF(HLOOKUP(W$4,'Physical Effects-Numbers'!$B$1:$AU$172,$B141,FALSE)&lt;0,HLOOKUP(W$4,'Physical Effects-Numbers'!$B$1:$AU$172,$B141,FALSE),""))</f>
        <v>-2</v>
      </c>
      <c r="X141" s="488" t="str">
        <f>IF(X$4="","",IF(HLOOKUP(X$4,'Physical Effects-Numbers'!$B$1:$AU$172,$B141,FALSE)&lt;0,HLOOKUP(X$4,'Physical Effects-Numbers'!$B$1:$AU$172,$B141,FALSE),""))</f>
        <v/>
      </c>
      <c r="Y141" s="488">
        <f>IF(Y$4="","",IF(HLOOKUP(Y$4,'Physical Effects-Numbers'!$B$1:$AU$172,$B141,FALSE)&lt;0,HLOOKUP(Y$4,'Physical Effects-Numbers'!$B$1:$AU$172,$B141,FALSE),""))</f>
        <v>-2</v>
      </c>
      <c r="Z141" s="488" t="str">
        <f>IF(Z$4="","",IF(HLOOKUP(Z$4,'Physical Effects-Numbers'!$B$1:$AU$172,$B141,FALSE)&lt;0,HLOOKUP(Z$4,'Physical Effects-Numbers'!$B$1:$AU$172,$B141,FALSE),""))</f>
        <v/>
      </c>
      <c r="AA141" s="488" t="str">
        <f>IF(AA$4="","",IF(HLOOKUP(AA$4,'Physical Effects-Numbers'!$B$1:$AU$172,$B141,FALSE)&lt;0,HLOOKUP(AA$4,'Physical Effects-Numbers'!$B$1:$AU$172,$B141,FALSE),""))</f>
        <v/>
      </c>
      <c r="AB141" s="488" t="str">
        <f>IF(AB$4="","",IF(HLOOKUP(AB$4,'Physical Effects-Numbers'!$B$1:$AU$172,$B141,FALSE)&lt;0,HLOOKUP(AB$4,'Physical Effects-Numbers'!$B$1:$AU$172,$B141,FALSE),""))</f>
        <v/>
      </c>
      <c r="AC141" s="488">
        <f>IF(AC$4="","",IF(HLOOKUP(AC$4,'Physical Effects-Numbers'!$B$1:$AU$172,$B141,FALSE)&lt;0,HLOOKUP(AC$4,'Physical Effects-Numbers'!$B$1:$AU$172,$B141,FALSE),""))</f>
        <v>-2</v>
      </c>
      <c r="AD141" s="488" t="str">
        <f>IF(AD$4="","",IF(HLOOKUP(AD$4,'Physical Effects-Numbers'!$B$1:$AU$172,$B141,FALSE)&lt;0,HLOOKUP(AD$4,'Physical Effects-Numbers'!$B$1:$AU$172,$B141,FALSE),""))</f>
        <v/>
      </c>
      <c r="AE141" s="488" t="str">
        <f>IF(AE$4="","",IF(HLOOKUP(AE$4,'Physical Effects-Numbers'!$B$1:$AU$172,$B141,FALSE)&lt;0,HLOOKUP(AE$4,'Physical Effects-Numbers'!$B$1:$AU$172,$B141,FALSE),""))</f>
        <v/>
      </c>
      <c r="AF141" s="488" t="str">
        <f>IF(AF$4="","",IF(HLOOKUP(AF$4,'Physical Effects-Numbers'!$B$1:$AU$172,$B141,FALSE)&lt;0,HLOOKUP(AF$4,'Physical Effects-Numbers'!$B$1:$AU$172,$B141,FALSE),""))</f>
        <v/>
      </c>
      <c r="AG141" s="488" t="str">
        <f>IF(AG$4="","",IF(HLOOKUP(AG$4,'Physical Effects-Numbers'!$B$1:$AU$172,$B141,FALSE)&lt;0,HLOOKUP(AG$4,'Physical Effects-Numbers'!$B$1:$AU$172,$B141,FALSE),""))</f>
        <v/>
      </c>
      <c r="AH141" s="488" t="str">
        <f>IF(AH$4="","",IF(HLOOKUP(AH$4,'Physical Effects-Numbers'!$B$1:$AU$172,$B141,FALSE)&lt;0,HLOOKUP(AH$4,'Physical Effects-Numbers'!$B$1:$AU$172,$B141,FALSE),""))</f>
        <v/>
      </c>
      <c r="AI141" s="488" t="str">
        <f>IF(AI$4="","",IF(HLOOKUP(AI$4,'Physical Effects-Numbers'!$B$1:$AU$172,$B141,FALSE)&lt;0,HLOOKUP(AI$4,'Physical Effects-Numbers'!$B$1:$AU$172,$B141,FALSE),""))</f>
        <v/>
      </c>
      <c r="AJ141" s="488" t="str">
        <f>IF(AJ$4="","",IF(HLOOKUP(AJ$4,'Physical Effects-Numbers'!$B$1:$AU$172,$B141,FALSE)&lt;0,HLOOKUP(AJ$4,'Physical Effects-Numbers'!$B$1:$AU$172,$B141,FALSE),""))</f>
        <v/>
      </c>
      <c r="AK141" s="488" t="str">
        <f>IF(AK$4="","",IF(HLOOKUP(AK$4,'Physical Effects-Numbers'!$B$1:$AU$172,$B141,FALSE)&lt;0,HLOOKUP(AK$4,'Physical Effects-Numbers'!$B$1:$AU$172,$B141,FALSE),""))</f>
        <v/>
      </c>
      <c r="AL141" s="488" t="str">
        <f>IF(AL$4="","",IF(HLOOKUP(AL$4,'Physical Effects-Numbers'!$B$1:$AU$172,$B141,FALSE)&lt;0,HLOOKUP(AL$4,'Physical Effects-Numbers'!$B$1:$AU$172,$B141,FALSE),""))</f>
        <v/>
      </c>
      <c r="AM141" s="488" t="str">
        <f>IF(AM$4="","",IF(HLOOKUP(AM$4,'Physical Effects-Numbers'!$B$1:$AU$172,$B141,FALSE)&lt;0,HLOOKUP(AM$4,'Physical Effects-Numbers'!$B$1:$AU$172,$B141,FALSE),""))</f>
        <v/>
      </c>
      <c r="AN141" s="488" t="str">
        <f>IF(AN$4="","",IF(HLOOKUP(AN$4,'Physical Effects-Numbers'!$B$1:$AU$172,$B141,FALSE)&lt;0,HLOOKUP(AN$4,'Physical Effects-Numbers'!$B$1:$AU$172,$B141,FALSE),""))</f>
        <v/>
      </c>
      <c r="AO141" s="488" t="str">
        <f>IF(AO$4="","",IF(HLOOKUP(AO$4,'Physical Effects-Numbers'!$B$1:$AU$172,$B141,FALSE)&lt;0,HLOOKUP(AO$4,'Physical Effects-Numbers'!$B$1:$AU$172,$B141,FALSE),""))</f>
        <v/>
      </c>
      <c r="AP141" s="488" t="str">
        <f>IF(AP$4="","",IF(HLOOKUP(AP$4,'Physical Effects-Numbers'!$B$1:$AU$172,$B141,FALSE)&lt;0,HLOOKUP(AP$4,'Physical Effects-Numbers'!$B$1:$AU$172,$B141,FALSE),""))</f>
        <v/>
      </c>
      <c r="AQ141" s="488" t="str">
        <f>IF(AQ$4="","",IF(HLOOKUP(AQ$4,'Physical Effects-Numbers'!$B$1:$AU$172,$B141,FALSE)&lt;0,HLOOKUP(AQ$4,'Physical Effects-Numbers'!$B$1:$AU$172,$B141,FALSE),""))</f>
        <v/>
      </c>
      <c r="AR141" s="488" t="str">
        <f>IF(AR$4="","",IF(HLOOKUP(AR$4,'Physical Effects-Numbers'!$B$1:$AU$172,$B141,FALSE)&lt;0,HLOOKUP(AR$4,'Physical Effects-Numbers'!$B$1:$AU$172,$B141,FALSE),""))</f>
        <v/>
      </c>
      <c r="AS141" s="488" t="str">
        <f>IF(AS$4="","",IF(HLOOKUP(AS$4,'Physical Effects-Numbers'!$B$1:$AU$172,$B141,FALSE)&lt;0,HLOOKUP(AS$4,'Physical Effects-Numbers'!$B$1:$AU$172,$B141,FALSE),""))</f>
        <v/>
      </c>
      <c r="AT141" s="488" t="str">
        <f>IF(AT$4="","",IF(HLOOKUP(AT$4,'Physical Effects-Numbers'!$B$1:$AU$172,$B141,FALSE)&lt;0,HLOOKUP(AT$4,'Physical Effects-Numbers'!$B$1:$AU$172,$B141,FALSE),""))</f>
        <v/>
      </c>
      <c r="AU141" s="488" t="str">
        <f>IF(AU$4="","",IF(HLOOKUP(AU$4,'Physical Effects-Numbers'!$B$1:$AU$172,$B141,FALSE)&lt;0,HLOOKUP(AU$4,'Physical Effects-Numbers'!$B$1:$AU$172,$B141,FALSE),""))</f>
        <v/>
      </c>
      <c r="AV141" s="488" t="str">
        <f>IF(AV$4="","",IF(HLOOKUP(AV$4,'Physical Effects-Numbers'!$B$1:$AU$167,$B141,FALSE)&lt;0,HLOOKUP(AV$4,'Physical Effects-Numbers'!$B$1:$AU$167,$B141,FALSE),""))</f>
        <v/>
      </c>
    </row>
    <row r="142" spans="2:48" x14ac:dyDescent="0.2">
      <c r="B142" s="487">
        <f t="shared" si="2"/>
        <v>139</v>
      </c>
      <c r="C142" s="486" t="str">
        <f>+'Physical Effects-Numbers'!B139</f>
        <v>Surface Drainage, Main or Lateral</v>
      </c>
      <c r="D142" s="488" t="str">
        <f>IF(D$4="","",IF(HLOOKUP(D$4,'Physical Effects-Numbers'!$B$1:$AU$172,$B142,FALSE)&lt;0,HLOOKUP(D$4,'Physical Effects-Numbers'!$B$1:$AU$172,$B142,FALSE),""))</f>
        <v/>
      </c>
      <c r="E142" s="488">
        <f>IF(E$4="","",IF(HLOOKUP(E$4,'Physical Effects-Numbers'!$B$1:$AU$172,$B142,FALSE)&lt;0,HLOOKUP(E$4,'Physical Effects-Numbers'!$B$1:$AU$172,$B142,FALSE),""))</f>
        <v>-1</v>
      </c>
      <c r="F142" s="488" t="str">
        <f>IF(F$4="","",IF(HLOOKUP(F$4,'Physical Effects-Numbers'!$B$1:$AU$172,$B142,FALSE)&lt;0,HLOOKUP(F$4,'Physical Effects-Numbers'!$B$1:$AU$172,$B142,FALSE),""))</f>
        <v/>
      </c>
      <c r="G142" s="488" t="str">
        <f>IF(G$4="","",IF(HLOOKUP(G$4,'Physical Effects-Numbers'!$B$1:$AU$172,$B142,FALSE)&lt;0,HLOOKUP(G$4,'Physical Effects-Numbers'!$B$1:$AU$172,$B142,FALSE),""))</f>
        <v/>
      </c>
      <c r="H142" s="488" t="str">
        <f>IF(H$4="","",IF(HLOOKUP(H$4,'Physical Effects-Numbers'!$B$1:$AU$172,$B142,FALSE)&lt;0,HLOOKUP(H$4,'Physical Effects-Numbers'!$B$1:$AU$172,$B142,FALSE),""))</f>
        <v/>
      </c>
      <c r="I142" s="488" t="str">
        <f>IF(I$4="","",IF(HLOOKUP(I$4,'Physical Effects-Numbers'!$B$1:$AU$172,$B142,FALSE)&lt;0,HLOOKUP(I$4,'Physical Effects-Numbers'!$B$1:$AU$172,$B142,FALSE),""))</f>
        <v/>
      </c>
      <c r="J142" s="488" t="str">
        <f>IF(J$4="","",IF(HLOOKUP(J$4,'Physical Effects-Numbers'!$B$1:$AU$172,$B142,FALSE)&lt;0,HLOOKUP(J$4,'Physical Effects-Numbers'!$B$1:$AU$172,$B142,FALSE),""))</f>
        <v/>
      </c>
      <c r="K142" s="488" t="str">
        <f>IF(K$4="","",IF(HLOOKUP(K$4,'Physical Effects-Numbers'!$B$1:$AU$172,$B142,FALSE)&lt;0,HLOOKUP(K$4,'Physical Effects-Numbers'!$B$1:$AU$172,$B142,FALSE),""))</f>
        <v/>
      </c>
      <c r="L142" s="488" t="str">
        <f>IF(L$4="","",IF(HLOOKUP(L$4,'Physical Effects-Numbers'!$B$1:$AU$172,$B142,FALSE)&lt;0,HLOOKUP(L$4,'Physical Effects-Numbers'!$B$1:$AU$172,$B142,FALSE),""))</f>
        <v/>
      </c>
      <c r="M142" s="488" t="str">
        <f>IF(M$4="","",IF(HLOOKUP(M$4,'Physical Effects-Numbers'!$B$1:$AU$172,$B142,FALSE)&lt;0,HLOOKUP(M$4,'Physical Effects-Numbers'!$B$1:$AU$172,$B142,FALSE),""))</f>
        <v/>
      </c>
      <c r="N142" s="488" t="str">
        <f>IF(N$4="","",IF(HLOOKUP(N$4,'Physical Effects-Numbers'!$B$1:$AU$172,$B142,FALSE)&lt;0,HLOOKUP(N$4,'Physical Effects-Numbers'!$B$1:$AU$172,$B142,FALSE),""))</f>
        <v/>
      </c>
      <c r="O142" s="488" t="str">
        <f>IF(O$4="","",IF(HLOOKUP(O$4,'Physical Effects-Numbers'!$B$1:$AU$172,$B142,FALSE)&lt;0,HLOOKUP(O$4,'Physical Effects-Numbers'!$B$1:$AU$172,$B142,FALSE),""))</f>
        <v/>
      </c>
      <c r="P142" s="488" t="str">
        <f>IF(P$4="","",IF(HLOOKUP(P$4,'Physical Effects-Numbers'!$B$1:$AU$172,$B142,FALSE)&lt;0,HLOOKUP(P$4,'Physical Effects-Numbers'!$B$1:$AU$172,$B142,FALSE),""))</f>
        <v/>
      </c>
      <c r="Q142" s="488" t="str">
        <f>IF(Q$4="","",IF(HLOOKUP(Q$4,'Physical Effects-Numbers'!$B$1:$AU$172,$B142,FALSE)&lt;0,HLOOKUP(Q$4,'Physical Effects-Numbers'!$B$1:$AU$172,$B142,FALSE),""))</f>
        <v/>
      </c>
      <c r="R142" s="488" t="str">
        <f>IF(R$4="","",IF(HLOOKUP(R$4,'Physical Effects-Numbers'!$B$1:$AU$172,$B142,FALSE)&lt;0,HLOOKUP(R$4,'Physical Effects-Numbers'!$B$1:$AU$172,$B142,FALSE),""))</f>
        <v/>
      </c>
      <c r="S142" s="488" t="str">
        <f>IF(S$4="","",IF(HLOOKUP(S$4,'Physical Effects-Numbers'!$B$1:$AU$172,$B142,FALSE)&lt;0,HLOOKUP(S$4,'Physical Effects-Numbers'!$B$1:$AU$172,$B142,FALSE),""))</f>
        <v/>
      </c>
      <c r="T142" s="488" t="str">
        <f>IF(T$4="","",IF(HLOOKUP(T$4,'Physical Effects-Numbers'!$B$1:$AU$172,$B142,FALSE)&lt;0,HLOOKUP(T$4,'Physical Effects-Numbers'!$B$1:$AU$172,$B142,FALSE),""))</f>
        <v/>
      </c>
      <c r="U142" s="488">
        <f>IF(U$4="","",IF(HLOOKUP(U$4,'Physical Effects-Numbers'!$B$1:$AU$172,$B142,FALSE)&lt;0,HLOOKUP(U$4,'Physical Effects-Numbers'!$B$1:$AU$172,$B142,FALSE),""))</f>
        <v>-2</v>
      </c>
      <c r="V142" s="488" t="str">
        <f>IF(V$4="","",IF(HLOOKUP(V$4,'Physical Effects-Numbers'!$B$1:$AU$172,$B142,FALSE)&lt;0,HLOOKUP(V$4,'Physical Effects-Numbers'!$B$1:$AU$172,$B142,FALSE),""))</f>
        <v/>
      </c>
      <c r="W142" s="488">
        <f>IF(W$4="","",IF(HLOOKUP(W$4,'Physical Effects-Numbers'!$B$1:$AU$172,$B142,FALSE)&lt;0,HLOOKUP(W$4,'Physical Effects-Numbers'!$B$1:$AU$172,$B142,FALSE),""))</f>
        <v>-2</v>
      </c>
      <c r="X142" s="488" t="str">
        <f>IF(X$4="","",IF(HLOOKUP(X$4,'Physical Effects-Numbers'!$B$1:$AU$172,$B142,FALSE)&lt;0,HLOOKUP(X$4,'Physical Effects-Numbers'!$B$1:$AU$172,$B142,FALSE),""))</f>
        <v/>
      </c>
      <c r="Y142" s="488">
        <f>IF(Y$4="","",IF(HLOOKUP(Y$4,'Physical Effects-Numbers'!$B$1:$AU$172,$B142,FALSE)&lt;0,HLOOKUP(Y$4,'Physical Effects-Numbers'!$B$1:$AU$172,$B142,FALSE),""))</f>
        <v>-2</v>
      </c>
      <c r="Z142" s="488" t="str">
        <f>IF(Z$4="","",IF(HLOOKUP(Z$4,'Physical Effects-Numbers'!$B$1:$AU$172,$B142,FALSE)&lt;0,HLOOKUP(Z$4,'Physical Effects-Numbers'!$B$1:$AU$172,$B142,FALSE),""))</f>
        <v/>
      </c>
      <c r="AA142" s="488">
        <f>IF(AA$4="","",IF(HLOOKUP(AA$4,'Physical Effects-Numbers'!$B$1:$AU$172,$B142,FALSE)&lt;0,HLOOKUP(AA$4,'Physical Effects-Numbers'!$B$1:$AU$172,$B142,FALSE),""))</f>
        <v>-1</v>
      </c>
      <c r="AB142" s="488" t="str">
        <f>IF(AB$4="","",IF(HLOOKUP(AB$4,'Physical Effects-Numbers'!$B$1:$AU$172,$B142,FALSE)&lt;0,HLOOKUP(AB$4,'Physical Effects-Numbers'!$B$1:$AU$172,$B142,FALSE),""))</f>
        <v/>
      </c>
      <c r="AC142" s="488">
        <f>IF(AC$4="","",IF(HLOOKUP(AC$4,'Physical Effects-Numbers'!$B$1:$AU$172,$B142,FALSE)&lt;0,HLOOKUP(AC$4,'Physical Effects-Numbers'!$B$1:$AU$172,$B142,FALSE),""))</f>
        <v>-2</v>
      </c>
      <c r="AD142" s="488" t="str">
        <f>IF(AD$4="","",IF(HLOOKUP(AD$4,'Physical Effects-Numbers'!$B$1:$AU$172,$B142,FALSE)&lt;0,HLOOKUP(AD$4,'Physical Effects-Numbers'!$B$1:$AU$172,$B142,FALSE),""))</f>
        <v/>
      </c>
      <c r="AE142" s="488" t="str">
        <f>IF(AE$4="","",IF(HLOOKUP(AE$4,'Physical Effects-Numbers'!$B$1:$AU$172,$B142,FALSE)&lt;0,HLOOKUP(AE$4,'Physical Effects-Numbers'!$B$1:$AU$172,$B142,FALSE),""))</f>
        <v/>
      </c>
      <c r="AF142" s="488" t="str">
        <f>IF(AF$4="","",IF(HLOOKUP(AF$4,'Physical Effects-Numbers'!$B$1:$AU$172,$B142,FALSE)&lt;0,HLOOKUP(AF$4,'Physical Effects-Numbers'!$B$1:$AU$172,$B142,FALSE),""))</f>
        <v/>
      </c>
      <c r="AG142" s="488" t="str">
        <f>IF(AG$4="","",IF(HLOOKUP(AG$4,'Physical Effects-Numbers'!$B$1:$AU$172,$B142,FALSE)&lt;0,HLOOKUP(AG$4,'Physical Effects-Numbers'!$B$1:$AU$172,$B142,FALSE),""))</f>
        <v/>
      </c>
      <c r="AH142" s="488" t="str">
        <f>IF(AH$4="","",IF(HLOOKUP(AH$4,'Physical Effects-Numbers'!$B$1:$AU$172,$B142,FALSE)&lt;0,HLOOKUP(AH$4,'Physical Effects-Numbers'!$B$1:$AU$172,$B142,FALSE),""))</f>
        <v/>
      </c>
      <c r="AI142" s="488" t="str">
        <f>IF(AI$4="","",IF(HLOOKUP(AI$4,'Physical Effects-Numbers'!$B$1:$AU$172,$B142,FALSE)&lt;0,HLOOKUP(AI$4,'Physical Effects-Numbers'!$B$1:$AU$172,$B142,FALSE),""))</f>
        <v/>
      </c>
      <c r="AJ142" s="488" t="str">
        <f>IF(AJ$4="","",IF(HLOOKUP(AJ$4,'Physical Effects-Numbers'!$B$1:$AU$172,$B142,FALSE)&lt;0,HLOOKUP(AJ$4,'Physical Effects-Numbers'!$B$1:$AU$172,$B142,FALSE),""))</f>
        <v/>
      </c>
      <c r="AK142" s="488" t="str">
        <f>IF(AK$4="","",IF(HLOOKUP(AK$4,'Physical Effects-Numbers'!$B$1:$AU$172,$B142,FALSE)&lt;0,HLOOKUP(AK$4,'Physical Effects-Numbers'!$B$1:$AU$172,$B142,FALSE),""))</f>
        <v/>
      </c>
      <c r="AL142" s="488" t="str">
        <f>IF(AL$4="","",IF(HLOOKUP(AL$4,'Physical Effects-Numbers'!$B$1:$AU$172,$B142,FALSE)&lt;0,HLOOKUP(AL$4,'Physical Effects-Numbers'!$B$1:$AU$172,$B142,FALSE),""))</f>
        <v/>
      </c>
      <c r="AM142" s="488" t="str">
        <f>IF(AM$4="","",IF(HLOOKUP(AM$4,'Physical Effects-Numbers'!$B$1:$AU$172,$B142,FALSE)&lt;0,HLOOKUP(AM$4,'Physical Effects-Numbers'!$B$1:$AU$172,$B142,FALSE),""))</f>
        <v/>
      </c>
      <c r="AN142" s="488" t="str">
        <f>IF(AN$4="","",IF(HLOOKUP(AN$4,'Physical Effects-Numbers'!$B$1:$AU$172,$B142,FALSE)&lt;0,HLOOKUP(AN$4,'Physical Effects-Numbers'!$B$1:$AU$172,$B142,FALSE),""))</f>
        <v/>
      </c>
      <c r="AO142" s="488" t="str">
        <f>IF(AO$4="","",IF(HLOOKUP(AO$4,'Physical Effects-Numbers'!$B$1:$AU$172,$B142,FALSE)&lt;0,HLOOKUP(AO$4,'Physical Effects-Numbers'!$B$1:$AU$172,$B142,FALSE),""))</f>
        <v/>
      </c>
      <c r="AP142" s="488" t="str">
        <f>IF(AP$4="","",IF(HLOOKUP(AP$4,'Physical Effects-Numbers'!$B$1:$AU$172,$B142,FALSE)&lt;0,HLOOKUP(AP$4,'Physical Effects-Numbers'!$B$1:$AU$172,$B142,FALSE),""))</f>
        <v/>
      </c>
      <c r="AQ142" s="488" t="str">
        <f>IF(AQ$4="","",IF(HLOOKUP(AQ$4,'Physical Effects-Numbers'!$B$1:$AU$172,$B142,FALSE)&lt;0,HLOOKUP(AQ$4,'Physical Effects-Numbers'!$B$1:$AU$172,$B142,FALSE),""))</f>
        <v/>
      </c>
      <c r="AR142" s="488" t="str">
        <f>IF(AR$4="","",IF(HLOOKUP(AR$4,'Physical Effects-Numbers'!$B$1:$AU$172,$B142,FALSE)&lt;0,HLOOKUP(AR$4,'Physical Effects-Numbers'!$B$1:$AU$172,$B142,FALSE),""))</f>
        <v/>
      </c>
      <c r="AS142" s="488" t="str">
        <f>IF(AS$4="","",IF(HLOOKUP(AS$4,'Physical Effects-Numbers'!$B$1:$AU$172,$B142,FALSE)&lt;0,HLOOKUP(AS$4,'Physical Effects-Numbers'!$B$1:$AU$172,$B142,FALSE),""))</f>
        <v/>
      </c>
      <c r="AT142" s="488" t="str">
        <f>IF(AT$4="","",IF(HLOOKUP(AT$4,'Physical Effects-Numbers'!$B$1:$AU$172,$B142,FALSE)&lt;0,HLOOKUP(AT$4,'Physical Effects-Numbers'!$B$1:$AU$172,$B142,FALSE),""))</f>
        <v/>
      </c>
      <c r="AU142" s="488" t="str">
        <f>IF(AU$4="","",IF(HLOOKUP(AU$4,'Physical Effects-Numbers'!$B$1:$AU$172,$B142,FALSE)&lt;0,HLOOKUP(AU$4,'Physical Effects-Numbers'!$B$1:$AU$172,$B142,FALSE),""))</f>
        <v/>
      </c>
      <c r="AV142" s="488" t="str">
        <f>IF(AV$4="","",IF(HLOOKUP(AV$4,'Physical Effects-Numbers'!$B$1:$AU$167,$B142,FALSE)&lt;0,HLOOKUP(AV$4,'Physical Effects-Numbers'!$B$1:$AU$167,$B142,FALSE),""))</f>
        <v/>
      </c>
    </row>
    <row r="143" spans="2:48" x14ac:dyDescent="0.2">
      <c r="B143" s="487">
        <f t="shared" si="2"/>
        <v>140</v>
      </c>
      <c r="C143" s="486" t="str">
        <f>+'Physical Effects-Numbers'!B140</f>
        <v>Surface Roughening</v>
      </c>
      <c r="D143" s="488" t="str">
        <f>IF(D$4="","",IF(HLOOKUP(D$4,'Physical Effects-Numbers'!$B$1:$AU$172,$B143,FALSE)&lt;0,HLOOKUP(D$4,'Physical Effects-Numbers'!$B$1:$AU$172,$B143,FALSE),""))</f>
        <v/>
      </c>
      <c r="E143" s="488" t="str">
        <f>IF(E$4="","",IF(HLOOKUP(E$4,'Physical Effects-Numbers'!$B$1:$AU$172,$B143,FALSE)&lt;0,HLOOKUP(E$4,'Physical Effects-Numbers'!$B$1:$AU$172,$B143,FALSE),""))</f>
        <v/>
      </c>
      <c r="F143" s="488" t="str">
        <f>IF(F$4="","",IF(HLOOKUP(F$4,'Physical Effects-Numbers'!$B$1:$AU$172,$B143,FALSE)&lt;0,HLOOKUP(F$4,'Physical Effects-Numbers'!$B$1:$AU$172,$B143,FALSE),""))</f>
        <v/>
      </c>
      <c r="G143" s="488" t="str">
        <f>IF(G$4="","",IF(HLOOKUP(G$4,'Physical Effects-Numbers'!$B$1:$AU$172,$B143,FALSE)&lt;0,HLOOKUP(G$4,'Physical Effects-Numbers'!$B$1:$AU$172,$B143,FALSE),""))</f>
        <v/>
      </c>
      <c r="H143" s="488" t="str">
        <f>IF(H$4="","",IF(HLOOKUP(H$4,'Physical Effects-Numbers'!$B$1:$AU$172,$B143,FALSE)&lt;0,HLOOKUP(H$4,'Physical Effects-Numbers'!$B$1:$AU$172,$B143,FALSE),""))</f>
        <v/>
      </c>
      <c r="I143" s="488" t="str">
        <f>IF(I$4="","",IF(HLOOKUP(I$4,'Physical Effects-Numbers'!$B$1:$AU$172,$B143,FALSE)&lt;0,HLOOKUP(I$4,'Physical Effects-Numbers'!$B$1:$AU$172,$B143,FALSE),""))</f>
        <v/>
      </c>
      <c r="J143" s="488" t="str">
        <f>IF(J$4="","",IF(HLOOKUP(J$4,'Physical Effects-Numbers'!$B$1:$AU$172,$B143,FALSE)&lt;0,HLOOKUP(J$4,'Physical Effects-Numbers'!$B$1:$AU$172,$B143,FALSE),""))</f>
        <v/>
      </c>
      <c r="K143" s="488" t="str">
        <f>IF(K$4="","",IF(HLOOKUP(K$4,'Physical Effects-Numbers'!$B$1:$AU$172,$B143,FALSE)&lt;0,HLOOKUP(K$4,'Physical Effects-Numbers'!$B$1:$AU$172,$B143,FALSE),""))</f>
        <v/>
      </c>
      <c r="L143" s="488" t="str">
        <f>IF(L$4="","",IF(HLOOKUP(L$4,'Physical Effects-Numbers'!$B$1:$AU$172,$B143,FALSE)&lt;0,HLOOKUP(L$4,'Physical Effects-Numbers'!$B$1:$AU$172,$B143,FALSE),""))</f>
        <v/>
      </c>
      <c r="M143" s="488" t="str">
        <f>IF(M$4="","",IF(HLOOKUP(M$4,'Physical Effects-Numbers'!$B$1:$AU$172,$B143,FALSE)&lt;0,HLOOKUP(M$4,'Physical Effects-Numbers'!$B$1:$AU$172,$B143,FALSE),""))</f>
        <v/>
      </c>
      <c r="N143" s="488" t="str">
        <f>IF(N$4="","",IF(HLOOKUP(N$4,'Physical Effects-Numbers'!$B$1:$AU$172,$B143,FALSE)&lt;0,HLOOKUP(N$4,'Physical Effects-Numbers'!$B$1:$AU$172,$B143,FALSE),""))</f>
        <v/>
      </c>
      <c r="O143" s="488" t="str">
        <f>IF(O$4="","",IF(HLOOKUP(O$4,'Physical Effects-Numbers'!$B$1:$AU$172,$B143,FALSE)&lt;0,HLOOKUP(O$4,'Physical Effects-Numbers'!$B$1:$AU$172,$B143,FALSE),""))</f>
        <v/>
      </c>
      <c r="P143" s="488" t="str">
        <f>IF(P$4="","",IF(HLOOKUP(P$4,'Physical Effects-Numbers'!$B$1:$AU$172,$B143,FALSE)&lt;0,HLOOKUP(P$4,'Physical Effects-Numbers'!$B$1:$AU$172,$B143,FALSE),""))</f>
        <v/>
      </c>
      <c r="Q143" s="488" t="str">
        <f>IF(Q$4="","",IF(HLOOKUP(Q$4,'Physical Effects-Numbers'!$B$1:$AU$172,$B143,FALSE)&lt;0,HLOOKUP(Q$4,'Physical Effects-Numbers'!$B$1:$AU$172,$B143,FALSE),""))</f>
        <v/>
      </c>
      <c r="R143" s="488" t="str">
        <f>IF(R$4="","",IF(HLOOKUP(R$4,'Physical Effects-Numbers'!$B$1:$AU$172,$B143,FALSE)&lt;0,HLOOKUP(R$4,'Physical Effects-Numbers'!$B$1:$AU$172,$B143,FALSE),""))</f>
        <v/>
      </c>
      <c r="S143" s="488" t="str">
        <f>IF(S$4="","",IF(HLOOKUP(S$4,'Physical Effects-Numbers'!$B$1:$AU$172,$B143,FALSE)&lt;0,HLOOKUP(S$4,'Physical Effects-Numbers'!$B$1:$AU$172,$B143,FALSE),""))</f>
        <v/>
      </c>
      <c r="T143" s="488" t="str">
        <f>IF(T$4="","",IF(HLOOKUP(T$4,'Physical Effects-Numbers'!$B$1:$AU$172,$B143,FALSE)&lt;0,HLOOKUP(T$4,'Physical Effects-Numbers'!$B$1:$AU$172,$B143,FALSE),""))</f>
        <v/>
      </c>
      <c r="U143" s="488" t="str">
        <f>IF(U$4="","",IF(HLOOKUP(U$4,'Physical Effects-Numbers'!$B$1:$AU$172,$B143,FALSE)&lt;0,HLOOKUP(U$4,'Physical Effects-Numbers'!$B$1:$AU$172,$B143,FALSE),""))</f>
        <v/>
      </c>
      <c r="V143" s="488" t="str">
        <f>IF(V$4="","",IF(HLOOKUP(V$4,'Physical Effects-Numbers'!$B$1:$AU$172,$B143,FALSE)&lt;0,HLOOKUP(V$4,'Physical Effects-Numbers'!$B$1:$AU$172,$B143,FALSE),""))</f>
        <v/>
      </c>
      <c r="W143" s="488" t="str">
        <f>IF(W$4="","",IF(HLOOKUP(W$4,'Physical Effects-Numbers'!$B$1:$AU$172,$B143,FALSE)&lt;0,HLOOKUP(W$4,'Physical Effects-Numbers'!$B$1:$AU$172,$B143,FALSE),""))</f>
        <v/>
      </c>
      <c r="X143" s="488" t="str">
        <f>IF(X$4="","",IF(HLOOKUP(X$4,'Physical Effects-Numbers'!$B$1:$AU$172,$B143,FALSE)&lt;0,HLOOKUP(X$4,'Physical Effects-Numbers'!$B$1:$AU$172,$B143,FALSE),""))</f>
        <v/>
      </c>
      <c r="Y143" s="488" t="str">
        <f>IF(Y$4="","",IF(HLOOKUP(Y$4,'Physical Effects-Numbers'!$B$1:$AU$172,$B143,FALSE)&lt;0,HLOOKUP(Y$4,'Physical Effects-Numbers'!$B$1:$AU$172,$B143,FALSE),""))</f>
        <v/>
      </c>
      <c r="Z143" s="488">
        <f>IF(Z$4="","",IF(HLOOKUP(Z$4,'Physical Effects-Numbers'!$B$1:$AU$172,$B143,FALSE)&lt;0,HLOOKUP(Z$4,'Physical Effects-Numbers'!$B$1:$AU$172,$B143,FALSE),""))</f>
        <v>-1</v>
      </c>
      <c r="AA143" s="488" t="str">
        <f>IF(AA$4="","",IF(HLOOKUP(AA$4,'Physical Effects-Numbers'!$B$1:$AU$172,$B143,FALSE)&lt;0,HLOOKUP(AA$4,'Physical Effects-Numbers'!$B$1:$AU$172,$B143,FALSE),""))</f>
        <v/>
      </c>
      <c r="AB143" s="488" t="str">
        <f>IF(AB$4="","",IF(HLOOKUP(AB$4,'Physical Effects-Numbers'!$B$1:$AU$172,$B143,FALSE)&lt;0,HLOOKUP(AB$4,'Physical Effects-Numbers'!$B$1:$AU$172,$B143,FALSE),""))</f>
        <v/>
      </c>
      <c r="AC143" s="488" t="str">
        <f>IF(AC$4="","",IF(HLOOKUP(AC$4,'Physical Effects-Numbers'!$B$1:$AU$172,$B143,FALSE)&lt;0,HLOOKUP(AC$4,'Physical Effects-Numbers'!$B$1:$AU$172,$B143,FALSE),""))</f>
        <v/>
      </c>
      <c r="AD143" s="488" t="str">
        <f>IF(AD$4="","",IF(HLOOKUP(AD$4,'Physical Effects-Numbers'!$B$1:$AU$172,$B143,FALSE)&lt;0,HLOOKUP(AD$4,'Physical Effects-Numbers'!$B$1:$AU$172,$B143,FALSE),""))</f>
        <v/>
      </c>
      <c r="AE143" s="488" t="str">
        <f>IF(AE$4="","",IF(HLOOKUP(AE$4,'Physical Effects-Numbers'!$B$1:$AU$172,$B143,FALSE)&lt;0,HLOOKUP(AE$4,'Physical Effects-Numbers'!$B$1:$AU$172,$B143,FALSE),""))</f>
        <v/>
      </c>
      <c r="AF143" s="488" t="str">
        <f>IF(AF$4="","",IF(HLOOKUP(AF$4,'Physical Effects-Numbers'!$B$1:$AU$172,$B143,FALSE)&lt;0,HLOOKUP(AF$4,'Physical Effects-Numbers'!$B$1:$AU$172,$B143,FALSE),""))</f>
        <v/>
      </c>
      <c r="AG143" s="488">
        <f>IF(AG$4="","",IF(HLOOKUP(AG$4,'Physical Effects-Numbers'!$B$1:$AU$172,$B143,FALSE)&lt;0,HLOOKUP(AG$4,'Physical Effects-Numbers'!$B$1:$AU$172,$B143,FALSE),""))</f>
        <v>-1</v>
      </c>
      <c r="AH143" s="488" t="str">
        <f>IF(AH$4="","",IF(HLOOKUP(AH$4,'Physical Effects-Numbers'!$B$1:$AU$172,$B143,FALSE)&lt;0,HLOOKUP(AH$4,'Physical Effects-Numbers'!$B$1:$AU$172,$B143,FALSE),""))</f>
        <v/>
      </c>
      <c r="AI143" s="488" t="str">
        <f>IF(AI$4="","",IF(HLOOKUP(AI$4,'Physical Effects-Numbers'!$B$1:$AU$172,$B143,FALSE)&lt;0,HLOOKUP(AI$4,'Physical Effects-Numbers'!$B$1:$AU$172,$B143,FALSE),""))</f>
        <v/>
      </c>
      <c r="AJ143" s="488" t="str">
        <f>IF(AJ$4="","",IF(HLOOKUP(AJ$4,'Physical Effects-Numbers'!$B$1:$AU$172,$B143,FALSE)&lt;0,HLOOKUP(AJ$4,'Physical Effects-Numbers'!$B$1:$AU$172,$B143,FALSE),""))</f>
        <v/>
      </c>
      <c r="AK143" s="488" t="str">
        <f>IF(AK$4="","",IF(HLOOKUP(AK$4,'Physical Effects-Numbers'!$B$1:$AU$172,$B143,FALSE)&lt;0,HLOOKUP(AK$4,'Physical Effects-Numbers'!$B$1:$AU$172,$B143,FALSE),""))</f>
        <v/>
      </c>
      <c r="AL143" s="488" t="str">
        <f>IF(AL$4="","",IF(HLOOKUP(AL$4,'Physical Effects-Numbers'!$B$1:$AU$172,$B143,FALSE)&lt;0,HLOOKUP(AL$4,'Physical Effects-Numbers'!$B$1:$AU$172,$B143,FALSE),""))</f>
        <v/>
      </c>
      <c r="AM143" s="488" t="str">
        <f>IF(AM$4="","",IF(HLOOKUP(AM$4,'Physical Effects-Numbers'!$B$1:$AU$172,$B143,FALSE)&lt;0,HLOOKUP(AM$4,'Physical Effects-Numbers'!$B$1:$AU$172,$B143,FALSE),""))</f>
        <v/>
      </c>
      <c r="AN143" s="488" t="str">
        <f>IF(AN$4="","",IF(HLOOKUP(AN$4,'Physical Effects-Numbers'!$B$1:$AU$172,$B143,FALSE)&lt;0,HLOOKUP(AN$4,'Physical Effects-Numbers'!$B$1:$AU$172,$B143,FALSE),""))</f>
        <v/>
      </c>
      <c r="AO143" s="488" t="str">
        <f>IF(AO$4="","",IF(HLOOKUP(AO$4,'Physical Effects-Numbers'!$B$1:$AU$172,$B143,FALSE)&lt;0,HLOOKUP(AO$4,'Physical Effects-Numbers'!$B$1:$AU$172,$B143,FALSE),""))</f>
        <v/>
      </c>
      <c r="AP143" s="488" t="str">
        <f>IF(AP$4="","",IF(HLOOKUP(AP$4,'Physical Effects-Numbers'!$B$1:$AU$172,$B143,FALSE)&lt;0,HLOOKUP(AP$4,'Physical Effects-Numbers'!$B$1:$AU$172,$B143,FALSE),""))</f>
        <v/>
      </c>
      <c r="AQ143" s="488" t="str">
        <f>IF(AQ$4="","",IF(HLOOKUP(AQ$4,'Physical Effects-Numbers'!$B$1:$AU$172,$B143,FALSE)&lt;0,HLOOKUP(AQ$4,'Physical Effects-Numbers'!$B$1:$AU$172,$B143,FALSE),""))</f>
        <v/>
      </c>
      <c r="AR143" s="488" t="str">
        <f>IF(AR$4="","",IF(HLOOKUP(AR$4,'Physical Effects-Numbers'!$B$1:$AU$172,$B143,FALSE)&lt;0,HLOOKUP(AR$4,'Physical Effects-Numbers'!$B$1:$AU$172,$B143,FALSE),""))</f>
        <v/>
      </c>
      <c r="AS143" s="488" t="str">
        <f>IF(AS$4="","",IF(HLOOKUP(AS$4,'Physical Effects-Numbers'!$B$1:$AU$172,$B143,FALSE)&lt;0,HLOOKUP(AS$4,'Physical Effects-Numbers'!$B$1:$AU$172,$B143,FALSE),""))</f>
        <v/>
      </c>
      <c r="AT143" s="488">
        <f>IF(AT$4="","",IF(HLOOKUP(AT$4,'Physical Effects-Numbers'!$B$1:$AU$172,$B143,FALSE)&lt;0,HLOOKUP(AT$4,'Physical Effects-Numbers'!$B$1:$AU$172,$B143,FALSE),""))</f>
        <v>-3</v>
      </c>
      <c r="AU143" s="488">
        <f>IF(AU$4="","",IF(HLOOKUP(AU$4,'Physical Effects-Numbers'!$B$1:$AU$172,$B143,FALSE)&lt;0,HLOOKUP(AU$4,'Physical Effects-Numbers'!$B$1:$AU$172,$B143,FALSE),""))</f>
        <v>-3</v>
      </c>
      <c r="AV143" s="488" t="str">
        <f>IF(AV$4="","",IF(HLOOKUP(AV$4,'Physical Effects-Numbers'!$B$1:$AU$167,$B143,FALSE)&lt;0,HLOOKUP(AV$4,'Physical Effects-Numbers'!$B$1:$AU$167,$B143,FALSE),""))</f>
        <v/>
      </c>
    </row>
    <row r="144" spans="2:48" x14ac:dyDescent="0.2">
      <c r="B144" s="487">
        <f t="shared" si="2"/>
        <v>141</v>
      </c>
      <c r="C144" s="486" t="str">
        <f>+'Physical Effects-Numbers'!B141</f>
        <v>Terrace</v>
      </c>
      <c r="D144" s="488" t="str">
        <f>IF(D$4="","",IF(HLOOKUP(D$4,'Physical Effects-Numbers'!$B$1:$AU$172,$B144,FALSE)&lt;0,HLOOKUP(D$4,'Physical Effects-Numbers'!$B$1:$AU$172,$B144,FALSE),""))</f>
        <v/>
      </c>
      <c r="E144" s="488" t="str">
        <f>IF(E$4="","",IF(HLOOKUP(E$4,'Physical Effects-Numbers'!$B$1:$AU$172,$B144,FALSE)&lt;0,HLOOKUP(E$4,'Physical Effects-Numbers'!$B$1:$AU$172,$B144,FALSE),""))</f>
        <v/>
      </c>
      <c r="F144" s="488" t="str">
        <f>IF(F$4="","",IF(HLOOKUP(F$4,'Physical Effects-Numbers'!$B$1:$AU$172,$B144,FALSE)&lt;0,HLOOKUP(F$4,'Physical Effects-Numbers'!$B$1:$AU$172,$B144,FALSE),""))</f>
        <v/>
      </c>
      <c r="G144" s="488" t="str">
        <f>IF(G$4="","",IF(HLOOKUP(G$4,'Physical Effects-Numbers'!$B$1:$AU$172,$B144,FALSE)&lt;0,HLOOKUP(G$4,'Physical Effects-Numbers'!$B$1:$AU$172,$B144,FALSE),""))</f>
        <v/>
      </c>
      <c r="H144" s="488" t="str">
        <f>IF(H$4="","",IF(HLOOKUP(H$4,'Physical Effects-Numbers'!$B$1:$AU$172,$B144,FALSE)&lt;0,HLOOKUP(H$4,'Physical Effects-Numbers'!$B$1:$AU$172,$B144,FALSE),""))</f>
        <v/>
      </c>
      <c r="I144" s="488" t="str">
        <f>IF(I$4="","",IF(HLOOKUP(I$4,'Physical Effects-Numbers'!$B$1:$AU$172,$B144,FALSE)&lt;0,HLOOKUP(I$4,'Physical Effects-Numbers'!$B$1:$AU$172,$B144,FALSE),""))</f>
        <v/>
      </c>
      <c r="J144" s="488">
        <f>IF(J$4="","",IF(HLOOKUP(J$4,'Physical Effects-Numbers'!$B$1:$AU$172,$B144,FALSE)&lt;0,HLOOKUP(J$4,'Physical Effects-Numbers'!$B$1:$AU$172,$B144,FALSE),""))</f>
        <v>-1</v>
      </c>
      <c r="K144" s="488" t="str">
        <f>IF(K$4="","",IF(HLOOKUP(K$4,'Physical Effects-Numbers'!$B$1:$AU$172,$B144,FALSE)&lt;0,HLOOKUP(K$4,'Physical Effects-Numbers'!$B$1:$AU$172,$B144,FALSE),""))</f>
        <v/>
      </c>
      <c r="L144" s="488" t="str">
        <f>IF(L$4="","",IF(HLOOKUP(L$4,'Physical Effects-Numbers'!$B$1:$AU$172,$B144,FALSE)&lt;0,HLOOKUP(L$4,'Physical Effects-Numbers'!$B$1:$AU$172,$B144,FALSE),""))</f>
        <v/>
      </c>
      <c r="M144" s="488">
        <f>IF(M$4="","",IF(HLOOKUP(M$4,'Physical Effects-Numbers'!$B$1:$AU$172,$B144,FALSE)&lt;0,HLOOKUP(M$4,'Physical Effects-Numbers'!$B$1:$AU$172,$B144,FALSE),""))</f>
        <v>-1</v>
      </c>
      <c r="N144" s="488" t="str">
        <f>IF(N$4="","",IF(HLOOKUP(N$4,'Physical Effects-Numbers'!$B$1:$AU$172,$B144,FALSE)&lt;0,HLOOKUP(N$4,'Physical Effects-Numbers'!$B$1:$AU$172,$B144,FALSE),""))</f>
        <v/>
      </c>
      <c r="O144" s="488">
        <f>IF(O$4="","",IF(HLOOKUP(O$4,'Physical Effects-Numbers'!$B$1:$AU$172,$B144,FALSE)&lt;0,HLOOKUP(O$4,'Physical Effects-Numbers'!$B$1:$AU$172,$B144,FALSE),""))</f>
        <v>-1</v>
      </c>
      <c r="P144" s="488">
        <f>IF(P$4="","",IF(HLOOKUP(P$4,'Physical Effects-Numbers'!$B$1:$AU$172,$B144,FALSE)&lt;0,HLOOKUP(P$4,'Physical Effects-Numbers'!$B$1:$AU$172,$B144,FALSE),""))</f>
        <v>-1</v>
      </c>
      <c r="Q144" s="488" t="str">
        <f>IF(Q$4="","",IF(HLOOKUP(Q$4,'Physical Effects-Numbers'!$B$1:$AU$172,$B144,FALSE)&lt;0,HLOOKUP(Q$4,'Physical Effects-Numbers'!$B$1:$AU$172,$B144,FALSE),""))</f>
        <v/>
      </c>
      <c r="R144" s="488" t="str">
        <f>IF(R$4="","",IF(HLOOKUP(R$4,'Physical Effects-Numbers'!$B$1:$AU$172,$B144,FALSE)&lt;0,HLOOKUP(R$4,'Physical Effects-Numbers'!$B$1:$AU$172,$B144,FALSE),""))</f>
        <v/>
      </c>
      <c r="S144" s="488" t="str">
        <f>IF(S$4="","",IF(HLOOKUP(S$4,'Physical Effects-Numbers'!$B$1:$AU$172,$B144,FALSE)&lt;0,HLOOKUP(S$4,'Physical Effects-Numbers'!$B$1:$AU$172,$B144,FALSE),""))</f>
        <v/>
      </c>
      <c r="T144" s="488">
        <f>IF(T$4="","",IF(HLOOKUP(T$4,'Physical Effects-Numbers'!$B$1:$AU$172,$B144,FALSE)&lt;0,HLOOKUP(T$4,'Physical Effects-Numbers'!$B$1:$AU$172,$B144,FALSE),""))</f>
        <v>-2</v>
      </c>
      <c r="U144" s="488" t="str">
        <f>IF(U$4="","",IF(HLOOKUP(U$4,'Physical Effects-Numbers'!$B$1:$AU$172,$B144,FALSE)&lt;0,HLOOKUP(U$4,'Physical Effects-Numbers'!$B$1:$AU$172,$B144,FALSE),""))</f>
        <v/>
      </c>
      <c r="V144" s="488">
        <f>IF(V$4="","",IF(HLOOKUP(V$4,'Physical Effects-Numbers'!$B$1:$AU$172,$B144,FALSE)&lt;0,HLOOKUP(V$4,'Physical Effects-Numbers'!$B$1:$AU$172,$B144,FALSE),""))</f>
        <v>-2</v>
      </c>
      <c r="W144" s="488" t="str">
        <f>IF(W$4="","",IF(HLOOKUP(W$4,'Physical Effects-Numbers'!$B$1:$AU$172,$B144,FALSE)&lt;0,HLOOKUP(W$4,'Physical Effects-Numbers'!$B$1:$AU$172,$B144,FALSE),""))</f>
        <v/>
      </c>
      <c r="X144" s="488">
        <f>IF(X$4="","",IF(HLOOKUP(X$4,'Physical Effects-Numbers'!$B$1:$AU$172,$B144,FALSE)&lt;0,HLOOKUP(X$4,'Physical Effects-Numbers'!$B$1:$AU$172,$B144,FALSE),""))</f>
        <v>-2</v>
      </c>
      <c r="Y144" s="488" t="str">
        <f>IF(Y$4="","",IF(HLOOKUP(Y$4,'Physical Effects-Numbers'!$B$1:$AU$172,$B144,FALSE)&lt;0,HLOOKUP(Y$4,'Physical Effects-Numbers'!$B$1:$AU$172,$B144,FALSE),""))</f>
        <v/>
      </c>
      <c r="Z144" s="488">
        <f>IF(Z$4="","",IF(HLOOKUP(Z$4,'Physical Effects-Numbers'!$B$1:$AU$172,$B144,FALSE)&lt;0,HLOOKUP(Z$4,'Physical Effects-Numbers'!$B$1:$AU$172,$B144,FALSE),""))</f>
        <v>-1</v>
      </c>
      <c r="AA144" s="488" t="str">
        <f>IF(AA$4="","",IF(HLOOKUP(AA$4,'Physical Effects-Numbers'!$B$1:$AU$172,$B144,FALSE)&lt;0,HLOOKUP(AA$4,'Physical Effects-Numbers'!$B$1:$AU$172,$B144,FALSE),""))</f>
        <v/>
      </c>
      <c r="AB144" s="488" t="str">
        <f>IF(AB$4="","",IF(HLOOKUP(AB$4,'Physical Effects-Numbers'!$B$1:$AU$172,$B144,FALSE)&lt;0,HLOOKUP(AB$4,'Physical Effects-Numbers'!$B$1:$AU$172,$B144,FALSE),""))</f>
        <v/>
      </c>
      <c r="AC144" s="488" t="str">
        <f>IF(AC$4="","",IF(HLOOKUP(AC$4,'Physical Effects-Numbers'!$B$1:$AU$172,$B144,FALSE)&lt;0,HLOOKUP(AC$4,'Physical Effects-Numbers'!$B$1:$AU$172,$B144,FALSE),""))</f>
        <v/>
      </c>
      <c r="AD144" s="488">
        <f>IF(AD$4="","",IF(HLOOKUP(AD$4,'Physical Effects-Numbers'!$B$1:$AU$172,$B144,FALSE)&lt;0,HLOOKUP(AD$4,'Physical Effects-Numbers'!$B$1:$AU$172,$B144,FALSE),""))</f>
        <v>-1</v>
      </c>
      <c r="AE144" s="488" t="str">
        <f>IF(AE$4="","",IF(HLOOKUP(AE$4,'Physical Effects-Numbers'!$B$1:$AU$172,$B144,FALSE)&lt;0,HLOOKUP(AE$4,'Physical Effects-Numbers'!$B$1:$AU$172,$B144,FALSE),""))</f>
        <v/>
      </c>
      <c r="AF144" s="488" t="str">
        <f>IF(AF$4="","",IF(HLOOKUP(AF$4,'Physical Effects-Numbers'!$B$1:$AU$172,$B144,FALSE)&lt;0,HLOOKUP(AF$4,'Physical Effects-Numbers'!$B$1:$AU$172,$B144,FALSE),""))</f>
        <v/>
      </c>
      <c r="AG144" s="488" t="str">
        <f>IF(AG$4="","",IF(HLOOKUP(AG$4,'Physical Effects-Numbers'!$B$1:$AU$172,$B144,FALSE)&lt;0,HLOOKUP(AG$4,'Physical Effects-Numbers'!$B$1:$AU$172,$B144,FALSE),""))</f>
        <v/>
      </c>
      <c r="AH144" s="488" t="str">
        <f>IF(AH$4="","",IF(HLOOKUP(AH$4,'Physical Effects-Numbers'!$B$1:$AU$172,$B144,FALSE)&lt;0,HLOOKUP(AH$4,'Physical Effects-Numbers'!$B$1:$AU$172,$B144,FALSE),""))</f>
        <v/>
      </c>
      <c r="AI144" s="488" t="str">
        <f>IF(AI$4="","",IF(HLOOKUP(AI$4,'Physical Effects-Numbers'!$B$1:$AU$172,$B144,FALSE)&lt;0,HLOOKUP(AI$4,'Physical Effects-Numbers'!$B$1:$AU$172,$B144,FALSE),""))</f>
        <v/>
      </c>
      <c r="AJ144" s="488" t="str">
        <f>IF(AJ$4="","",IF(HLOOKUP(AJ$4,'Physical Effects-Numbers'!$B$1:$AU$172,$B144,FALSE)&lt;0,HLOOKUP(AJ$4,'Physical Effects-Numbers'!$B$1:$AU$172,$B144,FALSE),""))</f>
        <v/>
      </c>
      <c r="AK144" s="488" t="str">
        <f>IF(AK$4="","",IF(HLOOKUP(AK$4,'Physical Effects-Numbers'!$B$1:$AU$172,$B144,FALSE)&lt;0,HLOOKUP(AK$4,'Physical Effects-Numbers'!$B$1:$AU$172,$B144,FALSE),""))</f>
        <v/>
      </c>
      <c r="AL144" s="488" t="str">
        <f>IF(AL$4="","",IF(HLOOKUP(AL$4,'Physical Effects-Numbers'!$B$1:$AU$172,$B144,FALSE)&lt;0,HLOOKUP(AL$4,'Physical Effects-Numbers'!$B$1:$AU$172,$B144,FALSE),""))</f>
        <v/>
      </c>
      <c r="AM144" s="488" t="str">
        <f>IF(AM$4="","",IF(HLOOKUP(AM$4,'Physical Effects-Numbers'!$B$1:$AU$172,$B144,FALSE)&lt;0,HLOOKUP(AM$4,'Physical Effects-Numbers'!$B$1:$AU$172,$B144,FALSE),""))</f>
        <v/>
      </c>
      <c r="AN144" s="488" t="str">
        <f>IF(AN$4="","",IF(HLOOKUP(AN$4,'Physical Effects-Numbers'!$B$1:$AU$172,$B144,FALSE)&lt;0,HLOOKUP(AN$4,'Physical Effects-Numbers'!$B$1:$AU$172,$B144,FALSE),""))</f>
        <v/>
      </c>
      <c r="AO144" s="488" t="str">
        <f>IF(AO$4="","",IF(HLOOKUP(AO$4,'Physical Effects-Numbers'!$B$1:$AU$172,$B144,FALSE)&lt;0,HLOOKUP(AO$4,'Physical Effects-Numbers'!$B$1:$AU$172,$B144,FALSE),""))</f>
        <v/>
      </c>
      <c r="AP144" s="488" t="str">
        <f>IF(AP$4="","",IF(HLOOKUP(AP$4,'Physical Effects-Numbers'!$B$1:$AU$172,$B144,FALSE)&lt;0,HLOOKUP(AP$4,'Physical Effects-Numbers'!$B$1:$AU$172,$B144,FALSE),""))</f>
        <v/>
      </c>
      <c r="AQ144" s="488" t="str">
        <f>IF(AQ$4="","",IF(HLOOKUP(AQ$4,'Physical Effects-Numbers'!$B$1:$AU$172,$B144,FALSE)&lt;0,HLOOKUP(AQ$4,'Physical Effects-Numbers'!$B$1:$AU$172,$B144,FALSE),""))</f>
        <v/>
      </c>
      <c r="AR144" s="488" t="str">
        <f>IF(AR$4="","",IF(HLOOKUP(AR$4,'Physical Effects-Numbers'!$B$1:$AU$172,$B144,FALSE)&lt;0,HLOOKUP(AR$4,'Physical Effects-Numbers'!$B$1:$AU$172,$B144,FALSE),""))</f>
        <v/>
      </c>
      <c r="AS144" s="488" t="str">
        <f>IF(AS$4="","",IF(HLOOKUP(AS$4,'Physical Effects-Numbers'!$B$1:$AU$172,$B144,FALSE)&lt;0,HLOOKUP(AS$4,'Physical Effects-Numbers'!$B$1:$AU$172,$B144,FALSE),""))</f>
        <v/>
      </c>
      <c r="AT144" s="488" t="str">
        <f>IF(AT$4="","",IF(HLOOKUP(AT$4,'Physical Effects-Numbers'!$B$1:$AU$172,$B144,FALSE)&lt;0,HLOOKUP(AT$4,'Physical Effects-Numbers'!$B$1:$AU$172,$B144,FALSE),""))</f>
        <v/>
      </c>
      <c r="AU144" s="488" t="str">
        <f>IF(AU$4="","",IF(HLOOKUP(AU$4,'Physical Effects-Numbers'!$B$1:$AU$172,$B144,FALSE)&lt;0,HLOOKUP(AU$4,'Physical Effects-Numbers'!$B$1:$AU$172,$B144,FALSE),""))</f>
        <v/>
      </c>
      <c r="AV144" s="488" t="str">
        <f>IF(AV$4="","",IF(HLOOKUP(AV$4,'Physical Effects-Numbers'!$B$1:$AU$167,$B144,FALSE)&lt;0,HLOOKUP(AV$4,'Physical Effects-Numbers'!$B$1:$AU$167,$B144,FALSE),""))</f>
        <v/>
      </c>
    </row>
    <row r="145" spans="2:48" x14ac:dyDescent="0.2">
      <c r="B145" s="487">
        <f t="shared" si="2"/>
        <v>142</v>
      </c>
      <c r="C145" s="486" t="str">
        <f>+'Physical Effects-Numbers'!B142</f>
        <v>Trails and Walkways</v>
      </c>
      <c r="D145" s="488" t="str">
        <f>IF(D$4="","",IF(HLOOKUP(D$4,'Physical Effects-Numbers'!$B$1:$AU$172,$B145,FALSE)&lt;0,HLOOKUP(D$4,'Physical Effects-Numbers'!$B$1:$AU$172,$B145,FALSE),""))</f>
        <v/>
      </c>
      <c r="E145" s="488" t="str">
        <f>IF(E$4="","",IF(HLOOKUP(E$4,'Physical Effects-Numbers'!$B$1:$AU$172,$B145,FALSE)&lt;0,HLOOKUP(E$4,'Physical Effects-Numbers'!$B$1:$AU$172,$B145,FALSE),""))</f>
        <v/>
      </c>
      <c r="F145" s="488" t="str">
        <f>IF(F$4="","",IF(HLOOKUP(F$4,'Physical Effects-Numbers'!$B$1:$AU$172,$B145,FALSE)&lt;0,HLOOKUP(F$4,'Physical Effects-Numbers'!$B$1:$AU$172,$B145,FALSE),""))</f>
        <v/>
      </c>
      <c r="G145" s="488" t="str">
        <f>IF(G$4="","",IF(HLOOKUP(G$4,'Physical Effects-Numbers'!$B$1:$AU$172,$B145,FALSE)&lt;0,HLOOKUP(G$4,'Physical Effects-Numbers'!$B$1:$AU$172,$B145,FALSE),""))</f>
        <v/>
      </c>
      <c r="H145" s="488" t="str">
        <f>IF(H$4="","",IF(HLOOKUP(H$4,'Physical Effects-Numbers'!$B$1:$AU$172,$B145,FALSE)&lt;0,HLOOKUP(H$4,'Physical Effects-Numbers'!$B$1:$AU$172,$B145,FALSE),""))</f>
        <v/>
      </c>
      <c r="I145" s="488" t="str">
        <f>IF(I$4="","",IF(HLOOKUP(I$4,'Physical Effects-Numbers'!$B$1:$AU$172,$B145,FALSE)&lt;0,HLOOKUP(I$4,'Physical Effects-Numbers'!$B$1:$AU$172,$B145,FALSE),""))</f>
        <v/>
      </c>
      <c r="J145" s="488" t="str">
        <f>IF(J$4="","",IF(HLOOKUP(J$4,'Physical Effects-Numbers'!$B$1:$AU$172,$B145,FALSE)&lt;0,HLOOKUP(J$4,'Physical Effects-Numbers'!$B$1:$AU$172,$B145,FALSE),""))</f>
        <v/>
      </c>
      <c r="K145" s="488" t="str">
        <f>IF(K$4="","",IF(HLOOKUP(K$4,'Physical Effects-Numbers'!$B$1:$AU$172,$B145,FALSE)&lt;0,HLOOKUP(K$4,'Physical Effects-Numbers'!$B$1:$AU$172,$B145,FALSE),""))</f>
        <v/>
      </c>
      <c r="L145" s="488" t="str">
        <f>IF(L$4="","",IF(HLOOKUP(L$4,'Physical Effects-Numbers'!$B$1:$AU$172,$B145,FALSE)&lt;0,HLOOKUP(L$4,'Physical Effects-Numbers'!$B$1:$AU$172,$B145,FALSE),""))</f>
        <v/>
      </c>
      <c r="M145" s="488" t="str">
        <f>IF(M$4="","",IF(HLOOKUP(M$4,'Physical Effects-Numbers'!$B$1:$AU$172,$B145,FALSE)&lt;0,HLOOKUP(M$4,'Physical Effects-Numbers'!$B$1:$AU$172,$B145,FALSE),""))</f>
        <v/>
      </c>
      <c r="N145" s="488" t="str">
        <f>IF(N$4="","",IF(HLOOKUP(N$4,'Physical Effects-Numbers'!$B$1:$AU$172,$B145,FALSE)&lt;0,HLOOKUP(N$4,'Physical Effects-Numbers'!$B$1:$AU$172,$B145,FALSE),""))</f>
        <v/>
      </c>
      <c r="O145" s="488" t="str">
        <f>IF(O$4="","",IF(HLOOKUP(O$4,'Physical Effects-Numbers'!$B$1:$AU$172,$B145,FALSE)&lt;0,HLOOKUP(O$4,'Physical Effects-Numbers'!$B$1:$AU$172,$B145,FALSE),""))</f>
        <v/>
      </c>
      <c r="P145" s="488" t="str">
        <f>IF(P$4="","",IF(HLOOKUP(P$4,'Physical Effects-Numbers'!$B$1:$AU$172,$B145,FALSE)&lt;0,HLOOKUP(P$4,'Physical Effects-Numbers'!$B$1:$AU$172,$B145,FALSE),""))</f>
        <v/>
      </c>
      <c r="Q145" s="488" t="str">
        <f>IF(Q$4="","",IF(HLOOKUP(Q$4,'Physical Effects-Numbers'!$B$1:$AU$172,$B145,FALSE)&lt;0,HLOOKUP(Q$4,'Physical Effects-Numbers'!$B$1:$AU$172,$B145,FALSE),""))</f>
        <v/>
      </c>
      <c r="R145" s="488" t="str">
        <f>IF(R$4="","",IF(HLOOKUP(R$4,'Physical Effects-Numbers'!$B$1:$AU$172,$B145,FALSE)&lt;0,HLOOKUP(R$4,'Physical Effects-Numbers'!$B$1:$AU$172,$B145,FALSE),""))</f>
        <v/>
      </c>
      <c r="S145" s="488" t="str">
        <f>IF(S$4="","",IF(HLOOKUP(S$4,'Physical Effects-Numbers'!$B$1:$AU$172,$B145,FALSE)&lt;0,HLOOKUP(S$4,'Physical Effects-Numbers'!$B$1:$AU$172,$B145,FALSE),""))</f>
        <v/>
      </c>
      <c r="T145" s="488" t="str">
        <f>IF(T$4="","",IF(HLOOKUP(T$4,'Physical Effects-Numbers'!$B$1:$AU$172,$B145,FALSE)&lt;0,HLOOKUP(T$4,'Physical Effects-Numbers'!$B$1:$AU$172,$B145,FALSE),""))</f>
        <v/>
      </c>
      <c r="U145" s="488" t="str">
        <f>IF(U$4="","",IF(HLOOKUP(U$4,'Physical Effects-Numbers'!$B$1:$AU$172,$B145,FALSE)&lt;0,HLOOKUP(U$4,'Physical Effects-Numbers'!$B$1:$AU$172,$B145,FALSE),""))</f>
        <v/>
      </c>
      <c r="V145" s="488" t="str">
        <f>IF(V$4="","",IF(HLOOKUP(V$4,'Physical Effects-Numbers'!$B$1:$AU$172,$B145,FALSE)&lt;0,HLOOKUP(V$4,'Physical Effects-Numbers'!$B$1:$AU$172,$B145,FALSE),""))</f>
        <v/>
      </c>
      <c r="W145" s="488" t="str">
        <f>IF(W$4="","",IF(HLOOKUP(W$4,'Physical Effects-Numbers'!$B$1:$AU$172,$B145,FALSE)&lt;0,HLOOKUP(W$4,'Physical Effects-Numbers'!$B$1:$AU$172,$B145,FALSE),""))</f>
        <v/>
      </c>
      <c r="X145" s="488" t="str">
        <f>IF(X$4="","",IF(HLOOKUP(X$4,'Physical Effects-Numbers'!$B$1:$AU$172,$B145,FALSE)&lt;0,HLOOKUP(X$4,'Physical Effects-Numbers'!$B$1:$AU$172,$B145,FALSE),""))</f>
        <v/>
      </c>
      <c r="Y145" s="488" t="str">
        <f>IF(Y$4="","",IF(HLOOKUP(Y$4,'Physical Effects-Numbers'!$B$1:$AU$172,$B145,FALSE)&lt;0,HLOOKUP(Y$4,'Physical Effects-Numbers'!$B$1:$AU$172,$B145,FALSE),""))</f>
        <v/>
      </c>
      <c r="Z145" s="488" t="str">
        <f>IF(Z$4="","",IF(HLOOKUP(Z$4,'Physical Effects-Numbers'!$B$1:$AU$172,$B145,FALSE)&lt;0,HLOOKUP(Z$4,'Physical Effects-Numbers'!$B$1:$AU$172,$B145,FALSE),""))</f>
        <v/>
      </c>
      <c r="AA145" s="488" t="str">
        <f>IF(AA$4="","",IF(HLOOKUP(AA$4,'Physical Effects-Numbers'!$B$1:$AU$172,$B145,FALSE)&lt;0,HLOOKUP(AA$4,'Physical Effects-Numbers'!$B$1:$AU$172,$B145,FALSE),""))</f>
        <v/>
      </c>
      <c r="AB145" s="488" t="str">
        <f>IF(AB$4="","",IF(HLOOKUP(AB$4,'Physical Effects-Numbers'!$B$1:$AU$172,$B145,FALSE)&lt;0,HLOOKUP(AB$4,'Physical Effects-Numbers'!$B$1:$AU$172,$B145,FALSE),""))</f>
        <v/>
      </c>
      <c r="AC145" s="488" t="str">
        <f>IF(AC$4="","",IF(HLOOKUP(AC$4,'Physical Effects-Numbers'!$B$1:$AU$172,$B145,FALSE)&lt;0,HLOOKUP(AC$4,'Physical Effects-Numbers'!$B$1:$AU$172,$B145,FALSE),""))</f>
        <v/>
      </c>
      <c r="AD145" s="488" t="str">
        <f>IF(AD$4="","",IF(HLOOKUP(AD$4,'Physical Effects-Numbers'!$B$1:$AU$172,$B145,FALSE)&lt;0,HLOOKUP(AD$4,'Physical Effects-Numbers'!$B$1:$AU$172,$B145,FALSE),""))</f>
        <v/>
      </c>
      <c r="AE145" s="488" t="str">
        <f>IF(AE$4="","",IF(HLOOKUP(AE$4,'Physical Effects-Numbers'!$B$1:$AU$172,$B145,FALSE)&lt;0,HLOOKUP(AE$4,'Physical Effects-Numbers'!$B$1:$AU$172,$B145,FALSE),""))</f>
        <v/>
      </c>
      <c r="AF145" s="488" t="str">
        <f>IF(AF$4="","",IF(HLOOKUP(AF$4,'Physical Effects-Numbers'!$B$1:$AU$172,$B145,FALSE)&lt;0,HLOOKUP(AF$4,'Physical Effects-Numbers'!$B$1:$AU$172,$B145,FALSE),""))</f>
        <v/>
      </c>
      <c r="AG145" s="488" t="str">
        <f>IF(AG$4="","",IF(HLOOKUP(AG$4,'Physical Effects-Numbers'!$B$1:$AU$172,$B145,FALSE)&lt;0,HLOOKUP(AG$4,'Physical Effects-Numbers'!$B$1:$AU$172,$B145,FALSE),""))</f>
        <v/>
      </c>
      <c r="AH145" s="488" t="str">
        <f>IF(AH$4="","",IF(HLOOKUP(AH$4,'Physical Effects-Numbers'!$B$1:$AU$172,$B145,FALSE)&lt;0,HLOOKUP(AH$4,'Physical Effects-Numbers'!$B$1:$AU$172,$B145,FALSE),""))</f>
        <v/>
      </c>
      <c r="AI145" s="488" t="str">
        <f>IF(AI$4="","",IF(HLOOKUP(AI$4,'Physical Effects-Numbers'!$B$1:$AU$172,$B145,FALSE)&lt;0,HLOOKUP(AI$4,'Physical Effects-Numbers'!$B$1:$AU$172,$B145,FALSE),""))</f>
        <v/>
      </c>
      <c r="AJ145" s="488" t="str">
        <f>IF(AJ$4="","",IF(HLOOKUP(AJ$4,'Physical Effects-Numbers'!$B$1:$AU$172,$B145,FALSE)&lt;0,HLOOKUP(AJ$4,'Physical Effects-Numbers'!$B$1:$AU$172,$B145,FALSE),""))</f>
        <v/>
      </c>
      <c r="AK145" s="488" t="str">
        <f>IF(AK$4="","",IF(HLOOKUP(AK$4,'Physical Effects-Numbers'!$B$1:$AU$172,$B145,FALSE)&lt;0,HLOOKUP(AK$4,'Physical Effects-Numbers'!$B$1:$AU$172,$B145,FALSE),""))</f>
        <v/>
      </c>
      <c r="AL145" s="488" t="str">
        <f>IF(AL$4="","",IF(HLOOKUP(AL$4,'Physical Effects-Numbers'!$B$1:$AU$172,$B145,FALSE)&lt;0,HLOOKUP(AL$4,'Physical Effects-Numbers'!$B$1:$AU$172,$B145,FALSE),""))</f>
        <v/>
      </c>
      <c r="AM145" s="488" t="str">
        <f>IF(AM$4="","",IF(HLOOKUP(AM$4,'Physical Effects-Numbers'!$B$1:$AU$172,$B145,FALSE)&lt;0,HLOOKUP(AM$4,'Physical Effects-Numbers'!$B$1:$AU$172,$B145,FALSE),""))</f>
        <v/>
      </c>
      <c r="AN145" s="488" t="str">
        <f>IF(AN$4="","",IF(HLOOKUP(AN$4,'Physical Effects-Numbers'!$B$1:$AU$172,$B145,FALSE)&lt;0,HLOOKUP(AN$4,'Physical Effects-Numbers'!$B$1:$AU$172,$B145,FALSE),""))</f>
        <v/>
      </c>
      <c r="AO145" s="488" t="str">
        <f>IF(AO$4="","",IF(HLOOKUP(AO$4,'Physical Effects-Numbers'!$B$1:$AU$172,$B145,FALSE)&lt;0,HLOOKUP(AO$4,'Physical Effects-Numbers'!$B$1:$AU$172,$B145,FALSE),""))</f>
        <v/>
      </c>
      <c r="AP145" s="488" t="str">
        <f>IF(AP$4="","",IF(HLOOKUP(AP$4,'Physical Effects-Numbers'!$B$1:$AU$172,$B145,FALSE)&lt;0,HLOOKUP(AP$4,'Physical Effects-Numbers'!$B$1:$AU$172,$B145,FALSE),""))</f>
        <v/>
      </c>
      <c r="AQ145" s="488" t="str">
        <f>IF(AQ$4="","",IF(HLOOKUP(AQ$4,'Physical Effects-Numbers'!$B$1:$AU$172,$B145,FALSE)&lt;0,HLOOKUP(AQ$4,'Physical Effects-Numbers'!$B$1:$AU$172,$B145,FALSE),""))</f>
        <v/>
      </c>
      <c r="AR145" s="488" t="str">
        <f>IF(AR$4="","",IF(HLOOKUP(AR$4,'Physical Effects-Numbers'!$B$1:$AU$172,$B145,FALSE)&lt;0,HLOOKUP(AR$4,'Physical Effects-Numbers'!$B$1:$AU$172,$B145,FALSE),""))</f>
        <v/>
      </c>
      <c r="AS145" s="488" t="str">
        <f>IF(AS$4="","",IF(HLOOKUP(AS$4,'Physical Effects-Numbers'!$B$1:$AU$172,$B145,FALSE)&lt;0,HLOOKUP(AS$4,'Physical Effects-Numbers'!$B$1:$AU$172,$B145,FALSE),""))</f>
        <v/>
      </c>
      <c r="AT145" s="488" t="str">
        <f>IF(AT$4="","",IF(HLOOKUP(AT$4,'Physical Effects-Numbers'!$B$1:$AU$172,$B145,FALSE)&lt;0,HLOOKUP(AT$4,'Physical Effects-Numbers'!$B$1:$AU$172,$B145,FALSE),""))</f>
        <v/>
      </c>
      <c r="AU145" s="488" t="str">
        <f>IF(AU$4="","",IF(HLOOKUP(AU$4,'Physical Effects-Numbers'!$B$1:$AU$172,$B145,FALSE)&lt;0,HLOOKUP(AU$4,'Physical Effects-Numbers'!$B$1:$AU$172,$B145,FALSE),""))</f>
        <v/>
      </c>
      <c r="AV145" s="488" t="str">
        <f>IF(AV$4="","",IF(HLOOKUP(AV$4,'Physical Effects-Numbers'!$B$1:$AU$167,$B145,FALSE)&lt;0,HLOOKUP(AV$4,'Physical Effects-Numbers'!$B$1:$AU$167,$B145,FALSE),""))</f>
        <v/>
      </c>
    </row>
    <row r="146" spans="2:48" x14ac:dyDescent="0.2">
      <c r="B146" s="487">
        <f t="shared" si="2"/>
        <v>143</v>
      </c>
      <c r="C146" s="486" t="str">
        <f>+'Physical Effects-Numbers'!B143</f>
        <v>Tree/Shrub Establishment</v>
      </c>
      <c r="D146" s="488" t="str">
        <f>IF(D$4="","",IF(HLOOKUP(D$4,'Physical Effects-Numbers'!$B$1:$AU$172,$B146,FALSE)&lt;0,HLOOKUP(D$4,'Physical Effects-Numbers'!$B$1:$AU$172,$B146,FALSE),""))</f>
        <v/>
      </c>
      <c r="E146" s="488" t="str">
        <f>IF(E$4="","",IF(HLOOKUP(E$4,'Physical Effects-Numbers'!$B$1:$AU$172,$B146,FALSE)&lt;0,HLOOKUP(E$4,'Physical Effects-Numbers'!$B$1:$AU$172,$B146,FALSE),""))</f>
        <v/>
      </c>
      <c r="F146" s="488" t="str">
        <f>IF(F$4="","",IF(HLOOKUP(F$4,'Physical Effects-Numbers'!$B$1:$AU$172,$B146,FALSE)&lt;0,HLOOKUP(F$4,'Physical Effects-Numbers'!$B$1:$AU$172,$B146,FALSE),""))</f>
        <v/>
      </c>
      <c r="G146" s="488" t="str">
        <f>IF(G$4="","",IF(HLOOKUP(G$4,'Physical Effects-Numbers'!$B$1:$AU$172,$B146,FALSE)&lt;0,HLOOKUP(G$4,'Physical Effects-Numbers'!$B$1:$AU$172,$B146,FALSE),""))</f>
        <v/>
      </c>
      <c r="H146" s="488" t="str">
        <f>IF(H$4="","",IF(HLOOKUP(H$4,'Physical Effects-Numbers'!$B$1:$AU$172,$B146,FALSE)&lt;0,HLOOKUP(H$4,'Physical Effects-Numbers'!$B$1:$AU$172,$B146,FALSE),""))</f>
        <v/>
      </c>
      <c r="I146" s="488" t="str">
        <f>IF(I$4="","",IF(HLOOKUP(I$4,'Physical Effects-Numbers'!$B$1:$AU$172,$B146,FALSE)&lt;0,HLOOKUP(I$4,'Physical Effects-Numbers'!$B$1:$AU$172,$B146,FALSE),""))</f>
        <v/>
      </c>
      <c r="J146" s="488" t="str">
        <f>IF(J$4="","",IF(HLOOKUP(J$4,'Physical Effects-Numbers'!$B$1:$AU$172,$B146,FALSE)&lt;0,HLOOKUP(J$4,'Physical Effects-Numbers'!$B$1:$AU$172,$B146,FALSE),""))</f>
        <v/>
      </c>
      <c r="K146" s="488" t="str">
        <f>IF(K$4="","",IF(HLOOKUP(K$4,'Physical Effects-Numbers'!$B$1:$AU$172,$B146,FALSE)&lt;0,HLOOKUP(K$4,'Physical Effects-Numbers'!$B$1:$AU$172,$B146,FALSE),""))</f>
        <v/>
      </c>
      <c r="L146" s="488" t="str">
        <f>IF(L$4="","",IF(HLOOKUP(L$4,'Physical Effects-Numbers'!$B$1:$AU$172,$B146,FALSE)&lt;0,HLOOKUP(L$4,'Physical Effects-Numbers'!$B$1:$AU$172,$B146,FALSE),""))</f>
        <v/>
      </c>
      <c r="M146" s="488" t="str">
        <f>IF(M$4="","",IF(HLOOKUP(M$4,'Physical Effects-Numbers'!$B$1:$AU$172,$B146,FALSE)&lt;0,HLOOKUP(M$4,'Physical Effects-Numbers'!$B$1:$AU$172,$B146,FALSE),""))</f>
        <v/>
      </c>
      <c r="N146" s="488" t="str">
        <f>IF(N$4="","",IF(HLOOKUP(N$4,'Physical Effects-Numbers'!$B$1:$AU$172,$B146,FALSE)&lt;0,HLOOKUP(N$4,'Physical Effects-Numbers'!$B$1:$AU$172,$B146,FALSE),""))</f>
        <v/>
      </c>
      <c r="O146" s="488" t="str">
        <f>IF(O$4="","",IF(HLOOKUP(O$4,'Physical Effects-Numbers'!$B$1:$AU$172,$B146,FALSE)&lt;0,HLOOKUP(O$4,'Physical Effects-Numbers'!$B$1:$AU$172,$B146,FALSE),""))</f>
        <v/>
      </c>
      <c r="P146" s="488" t="str">
        <f>IF(P$4="","",IF(HLOOKUP(P$4,'Physical Effects-Numbers'!$B$1:$AU$172,$B146,FALSE)&lt;0,HLOOKUP(P$4,'Physical Effects-Numbers'!$B$1:$AU$172,$B146,FALSE),""))</f>
        <v/>
      </c>
      <c r="Q146" s="488" t="str">
        <f>IF(Q$4="","",IF(HLOOKUP(Q$4,'Physical Effects-Numbers'!$B$1:$AU$172,$B146,FALSE)&lt;0,HLOOKUP(Q$4,'Physical Effects-Numbers'!$B$1:$AU$172,$B146,FALSE),""))</f>
        <v/>
      </c>
      <c r="R146" s="488" t="str">
        <f>IF(R$4="","",IF(HLOOKUP(R$4,'Physical Effects-Numbers'!$B$1:$AU$172,$B146,FALSE)&lt;0,HLOOKUP(R$4,'Physical Effects-Numbers'!$B$1:$AU$172,$B146,FALSE),""))</f>
        <v/>
      </c>
      <c r="S146" s="488" t="str">
        <f>IF(S$4="","",IF(HLOOKUP(S$4,'Physical Effects-Numbers'!$B$1:$AU$172,$B146,FALSE)&lt;0,HLOOKUP(S$4,'Physical Effects-Numbers'!$B$1:$AU$172,$B146,FALSE),""))</f>
        <v/>
      </c>
      <c r="T146" s="488" t="str">
        <f>IF(T$4="","",IF(HLOOKUP(T$4,'Physical Effects-Numbers'!$B$1:$AU$172,$B146,FALSE)&lt;0,HLOOKUP(T$4,'Physical Effects-Numbers'!$B$1:$AU$172,$B146,FALSE),""))</f>
        <v/>
      </c>
      <c r="U146" s="488" t="str">
        <f>IF(U$4="","",IF(HLOOKUP(U$4,'Physical Effects-Numbers'!$B$1:$AU$172,$B146,FALSE)&lt;0,HLOOKUP(U$4,'Physical Effects-Numbers'!$B$1:$AU$172,$B146,FALSE),""))</f>
        <v/>
      </c>
      <c r="V146" s="488" t="str">
        <f>IF(V$4="","",IF(HLOOKUP(V$4,'Physical Effects-Numbers'!$B$1:$AU$172,$B146,FALSE)&lt;0,HLOOKUP(V$4,'Physical Effects-Numbers'!$B$1:$AU$172,$B146,FALSE),""))</f>
        <v/>
      </c>
      <c r="W146" s="488" t="str">
        <f>IF(W$4="","",IF(HLOOKUP(W$4,'Physical Effects-Numbers'!$B$1:$AU$172,$B146,FALSE)&lt;0,HLOOKUP(W$4,'Physical Effects-Numbers'!$B$1:$AU$172,$B146,FALSE),""))</f>
        <v/>
      </c>
      <c r="X146" s="488" t="str">
        <f>IF(X$4="","",IF(HLOOKUP(X$4,'Physical Effects-Numbers'!$B$1:$AU$172,$B146,FALSE)&lt;0,HLOOKUP(X$4,'Physical Effects-Numbers'!$B$1:$AU$172,$B146,FALSE),""))</f>
        <v/>
      </c>
      <c r="Y146" s="488" t="str">
        <f>IF(Y$4="","",IF(HLOOKUP(Y$4,'Physical Effects-Numbers'!$B$1:$AU$172,$B146,FALSE)&lt;0,HLOOKUP(Y$4,'Physical Effects-Numbers'!$B$1:$AU$172,$B146,FALSE),""))</f>
        <v/>
      </c>
      <c r="Z146" s="488" t="str">
        <f>IF(Z$4="","",IF(HLOOKUP(Z$4,'Physical Effects-Numbers'!$B$1:$AU$172,$B146,FALSE)&lt;0,HLOOKUP(Z$4,'Physical Effects-Numbers'!$B$1:$AU$172,$B146,FALSE),""))</f>
        <v/>
      </c>
      <c r="AA146" s="488" t="str">
        <f>IF(AA$4="","",IF(HLOOKUP(AA$4,'Physical Effects-Numbers'!$B$1:$AU$172,$B146,FALSE)&lt;0,HLOOKUP(AA$4,'Physical Effects-Numbers'!$B$1:$AU$172,$B146,FALSE),""))</f>
        <v/>
      </c>
      <c r="AB146" s="488" t="str">
        <f>IF(AB$4="","",IF(HLOOKUP(AB$4,'Physical Effects-Numbers'!$B$1:$AU$172,$B146,FALSE)&lt;0,HLOOKUP(AB$4,'Physical Effects-Numbers'!$B$1:$AU$172,$B146,FALSE),""))</f>
        <v/>
      </c>
      <c r="AC146" s="488" t="str">
        <f>IF(AC$4="","",IF(HLOOKUP(AC$4,'Physical Effects-Numbers'!$B$1:$AU$172,$B146,FALSE)&lt;0,HLOOKUP(AC$4,'Physical Effects-Numbers'!$B$1:$AU$172,$B146,FALSE),""))</f>
        <v/>
      </c>
      <c r="AD146" s="488" t="str">
        <f>IF(AD$4="","",IF(HLOOKUP(AD$4,'Physical Effects-Numbers'!$B$1:$AU$172,$B146,FALSE)&lt;0,HLOOKUP(AD$4,'Physical Effects-Numbers'!$B$1:$AU$172,$B146,FALSE),""))</f>
        <v/>
      </c>
      <c r="AE146" s="488" t="str">
        <f>IF(AE$4="","",IF(HLOOKUP(AE$4,'Physical Effects-Numbers'!$B$1:$AU$172,$B146,FALSE)&lt;0,HLOOKUP(AE$4,'Physical Effects-Numbers'!$B$1:$AU$172,$B146,FALSE),""))</f>
        <v/>
      </c>
      <c r="AF146" s="488" t="str">
        <f>IF(AF$4="","",IF(HLOOKUP(AF$4,'Physical Effects-Numbers'!$B$1:$AU$172,$B146,FALSE)&lt;0,HLOOKUP(AF$4,'Physical Effects-Numbers'!$B$1:$AU$172,$B146,FALSE),""))</f>
        <v/>
      </c>
      <c r="AG146" s="488" t="str">
        <f>IF(AG$4="","",IF(HLOOKUP(AG$4,'Physical Effects-Numbers'!$B$1:$AU$172,$B146,FALSE)&lt;0,HLOOKUP(AG$4,'Physical Effects-Numbers'!$B$1:$AU$172,$B146,FALSE),""))</f>
        <v/>
      </c>
      <c r="AH146" s="488" t="str">
        <f>IF(AH$4="","",IF(HLOOKUP(AH$4,'Physical Effects-Numbers'!$B$1:$AU$172,$B146,FALSE)&lt;0,HLOOKUP(AH$4,'Physical Effects-Numbers'!$B$1:$AU$172,$B146,FALSE),""))</f>
        <v/>
      </c>
      <c r="AI146" s="488" t="str">
        <f>IF(AI$4="","",IF(HLOOKUP(AI$4,'Physical Effects-Numbers'!$B$1:$AU$172,$B146,FALSE)&lt;0,HLOOKUP(AI$4,'Physical Effects-Numbers'!$B$1:$AU$172,$B146,FALSE),""))</f>
        <v/>
      </c>
      <c r="AJ146" s="488" t="str">
        <f>IF(AJ$4="","",IF(HLOOKUP(AJ$4,'Physical Effects-Numbers'!$B$1:$AU$172,$B146,FALSE)&lt;0,HLOOKUP(AJ$4,'Physical Effects-Numbers'!$B$1:$AU$172,$B146,FALSE),""))</f>
        <v/>
      </c>
      <c r="AK146" s="488" t="str">
        <f>IF(AK$4="","",IF(HLOOKUP(AK$4,'Physical Effects-Numbers'!$B$1:$AU$172,$B146,FALSE)&lt;0,HLOOKUP(AK$4,'Physical Effects-Numbers'!$B$1:$AU$172,$B146,FALSE),""))</f>
        <v/>
      </c>
      <c r="AL146" s="488" t="str">
        <f>IF(AL$4="","",IF(HLOOKUP(AL$4,'Physical Effects-Numbers'!$B$1:$AU$172,$B146,FALSE)&lt;0,HLOOKUP(AL$4,'Physical Effects-Numbers'!$B$1:$AU$172,$B146,FALSE),""))</f>
        <v/>
      </c>
      <c r="AM146" s="488" t="str">
        <f>IF(AM$4="","",IF(HLOOKUP(AM$4,'Physical Effects-Numbers'!$B$1:$AU$172,$B146,FALSE)&lt;0,HLOOKUP(AM$4,'Physical Effects-Numbers'!$B$1:$AU$172,$B146,FALSE),""))</f>
        <v/>
      </c>
      <c r="AN146" s="488" t="str">
        <f>IF(AN$4="","",IF(HLOOKUP(AN$4,'Physical Effects-Numbers'!$B$1:$AU$172,$B146,FALSE)&lt;0,HLOOKUP(AN$4,'Physical Effects-Numbers'!$B$1:$AU$172,$B146,FALSE),""))</f>
        <v/>
      </c>
      <c r="AO146" s="488" t="str">
        <f>IF(AO$4="","",IF(HLOOKUP(AO$4,'Physical Effects-Numbers'!$B$1:$AU$172,$B146,FALSE)&lt;0,HLOOKUP(AO$4,'Physical Effects-Numbers'!$B$1:$AU$172,$B146,FALSE),""))</f>
        <v/>
      </c>
      <c r="AP146" s="488" t="str">
        <f>IF(AP$4="","",IF(HLOOKUP(AP$4,'Physical Effects-Numbers'!$B$1:$AU$172,$B146,FALSE)&lt;0,HLOOKUP(AP$4,'Physical Effects-Numbers'!$B$1:$AU$172,$B146,FALSE),""))</f>
        <v/>
      </c>
      <c r="AQ146" s="488" t="str">
        <f>IF(AQ$4="","",IF(HLOOKUP(AQ$4,'Physical Effects-Numbers'!$B$1:$AU$172,$B146,FALSE)&lt;0,HLOOKUP(AQ$4,'Physical Effects-Numbers'!$B$1:$AU$172,$B146,FALSE),""))</f>
        <v/>
      </c>
      <c r="AR146" s="488" t="str">
        <f>IF(AR$4="","",IF(HLOOKUP(AR$4,'Physical Effects-Numbers'!$B$1:$AU$172,$B146,FALSE)&lt;0,HLOOKUP(AR$4,'Physical Effects-Numbers'!$B$1:$AU$172,$B146,FALSE),""))</f>
        <v/>
      </c>
      <c r="AS146" s="488" t="str">
        <f>IF(AS$4="","",IF(HLOOKUP(AS$4,'Physical Effects-Numbers'!$B$1:$AU$172,$B146,FALSE)&lt;0,HLOOKUP(AS$4,'Physical Effects-Numbers'!$B$1:$AU$172,$B146,FALSE),""))</f>
        <v/>
      </c>
      <c r="AT146" s="488" t="str">
        <f>IF(AT$4="","",IF(HLOOKUP(AT$4,'Physical Effects-Numbers'!$B$1:$AU$172,$B146,FALSE)&lt;0,HLOOKUP(AT$4,'Physical Effects-Numbers'!$B$1:$AU$172,$B146,FALSE),""))</f>
        <v/>
      </c>
      <c r="AU146" s="488" t="str">
        <f>IF(AU$4="","",IF(HLOOKUP(AU$4,'Physical Effects-Numbers'!$B$1:$AU$172,$B146,FALSE)&lt;0,HLOOKUP(AU$4,'Physical Effects-Numbers'!$B$1:$AU$172,$B146,FALSE),""))</f>
        <v/>
      </c>
      <c r="AV146" s="488" t="str">
        <f>IF(AV$4="","",IF(HLOOKUP(AV$4,'Physical Effects-Numbers'!$B$1:$AU$167,$B146,FALSE)&lt;0,HLOOKUP(AV$4,'Physical Effects-Numbers'!$B$1:$AU$167,$B146,FALSE),""))</f>
        <v/>
      </c>
    </row>
    <row r="147" spans="2:48" x14ac:dyDescent="0.2">
      <c r="B147" s="487">
        <f t="shared" si="2"/>
        <v>144</v>
      </c>
      <c r="C147" s="486" t="str">
        <f>+'Physical Effects-Numbers'!B144</f>
        <v>Tree/Shrub Site Preparation</v>
      </c>
      <c r="D147" s="488">
        <f>IF(D$4="","",IF(HLOOKUP(D$4,'Physical Effects-Numbers'!$B$1:$AU$172,$B147,FALSE)&lt;0,HLOOKUP(D$4,'Physical Effects-Numbers'!$B$1:$AU$172,$B147,FALSE),""))</f>
        <v>-1</v>
      </c>
      <c r="E147" s="488">
        <f>IF(E$4="","",IF(HLOOKUP(E$4,'Physical Effects-Numbers'!$B$1:$AU$172,$B147,FALSE)&lt;0,HLOOKUP(E$4,'Physical Effects-Numbers'!$B$1:$AU$172,$B147,FALSE),""))</f>
        <v>-1</v>
      </c>
      <c r="F147" s="488">
        <f>IF(F$4="","",IF(HLOOKUP(F$4,'Physical Effects-Numbers'!$B$1:$AU$172,$B147,FALSE)&lt;0,HLOOKUP(F$4,'Physical Effects-Numbers'!$B$1:$AU$172,$B147,FALSE),""))</f>
        <v>-2</v>
      </c>
      <c r="G147" s="488">
        <f>IF(G$4="","",IF(HLOOKUP(G$4,'Physical Effects-Numbers'!$B$1:$AU$172,$B147,FALSE)&lt;0,HLOOKUP(G$4,'Physical Effects-Numbers'!$B$1:$AU$172,$B147,FALSE),""))</f>
        <v>-1</v>
      </c>
      <c r="H147" s="488" t="str">
        <f>IF(H$4="","",IF(HLOOKUP(H$4,'Physical Effects-Numbers'!$B$1:$AU$172,$B147,FALSE)&lt;0,HLOOKUP(H$4,'Physical Effects-Numbers'!$B$1:$AU$172,$B147,FALSE),""))</f>
        <v/>
      </c>
      <c r="I147" s="488">
        <f>IF(I$4="","",IF(HLOOKUP(I$4,'Physical Effects-Numbers'!$B$1:$AU$172,$B147,FALSE)&lt;0,HLOOKUP(I$4,'Physical Effects-Numbers'!$B$1:$AU$172,$B147,FALSE),""))</f>
        <v>-2</v>
      </c>
      <c r="J147" s="488">
        <f>IF(J$4="","",IF(HLOOKUP(J$4,'Physical Effects-Numbers'!$B$1:$AU$172,$B147,FALSE)&lt;0,HLOOKUP(J$4,'Physical Effects-Numbers'!$B$1:$AU$172,$B147,FALSE),""))</f>
        <v>-1</v>
      </c>
      <c r="K147" s="488" t="str">
        <f>IF(K$4="","",IF(HLOOKUP(K$4,'Physical Effects-Numbers'!$B$1:$AU$172,$B147,FALSE)&lt;0,HLOOKUP(K$4,'Physical Effects-Numbers'!$B$1:$AU$172,$B147,FALSE),""))</f>
        <v/>
      </c>
      <c r="L147" s="488" t="str">
        <f>IF(L$4="","",IF(HLOOKUP(L$4,'Physical Effects-Numbers'!$B$1:$AU$172,$B147,FALSE)&lt;0,HLOOKUP(L$4,'Physical Effects-Numbers'!$B$1:$AU$172,$B147,FALSE),""))</f>
        <v/>
      </c>
      <c r="M147" s="488" t="str">
        <f>IF(M$4="","",IF(HLOOKUP(M$4,'Physical Effects-Numbers'!$B$1:$AU$172,$B147,FALSE)&lt;0,HLOOKUP(M$4,'Physical Effects-Numbers'!$B$1:$AU$172,$B147,FALSE),""))</f>
        <v/>
      </c>
      <c r="N147" s="488" t="str">
        <f>IF(N$4="","",IF(HLOOKUP(N$4,'Physical Effects-Numbers'!$B$1:$AU$172,$B147,FALSE)&lt;0,HLOOKUP(N$4,'Physical Effects-Numbers'!$B$1:$AU$172,$B147,FALSE),""))</f>
        <v/>
      </c>
      <c r="O147" s="488" t="str">
        <f>IF(O$4="","",IF(HLOOKUP(O$4,'Physical Effects-Numbers'!$B$1:$AU$172,$B147,FALSE)&lt;0,HLOOKUP(O$4,'Physical Effects-Numbers'!$B$1:$AU$172,$B147,FALSE),""))</f>
        <v/>
      </c>
      <c r="P147" s="488" t="str">
        <f>IF(P$4="","",IF(HLOOKUP(P$4,'Physical Effects-Numbers'!$B$1:$AU$172,$B147,FALSE)&lt;0,HLOOKUP(P$4,'Physical Effects-Numbers'!$B$1:$AU$172,$B147,FALSE),""))</f>
        <v/>
      </c>
      <c r="Q147" s="488" t="str">
        <f>IF(Q$4="","",IF(HLOOKUP(Q$4,'Physical Effects-Numbers'!$B$1:$AU$172,$B147,FALSE)&lt;0,HLOOKUP(Q$4,'Physical Effects-Numbers'!$B$1:$AU$172,$B147,FALSE),""))</f>
        <v/>
      </c>
      <c r="R147" s="488" t="str">
        <f>IF(R$4="","",IF(HLOOKUP(R$4,'Physical Effects-Numbers'!$B$1:$AU$172,$B147,FALSE)&lt;0,HLOOKUP(R$4,'Physical Effects-Numbers'!$B$1:$AU$172,$B147,FALSE),""))</f>
        <v/>
      </c>
      <c r="S147" s="488">
        <f>IF(S$4="","",IF(HLOOKUP(S$4,'Physical Effects-Numbers'!$B$1:$AU$172,$B147,FALSE)&lt;0,HLOOKUP(S$4,'Physical Effects-Numbers'!$B$1:$AU$172,$B147,FALSE),""))</f>
        <v>-1</v>
      </c>
      <c r="T147" s="488">
        <f>IF(T$4="","",IF(HLOOKUP(T$4,'Physical Effects-Numbers'!$B$1:$AU$172,$B147,FALSE)&lt;0,HLOOKUP(T$4,'Physical Effects-Numbers'!$B$1:$AU$172,$B147,FALSE),""))</f>
        <v>-1</v>
      </c>
      <c r="U147" s="488" t="str">
        <f>IF(U$4="","",IF(HLOOKUP(U$4,'Physical Effects-Numbers'!$B$1:$AU$172,$B147,FALSE)&lt;0,HLOOKUP(U$4,'Physical Effects-Numbers'!$B$1:$AU$172,$B147,FALSE),""))</f>
        <v/>
      </c>
      <c r="V147" s="488" t="str">
        <f>IF(V$4="","",IF(HLOOKUP(V$4,'Physical Effects-Numbers'!$B$1:$AU$172,$B147,FALSE)&lt;0,HLOOKUP(V$4,'Physical Effects-Numbers'!$B$1:$AU$172,$B147,FALSE),""))</f>
        <v/>
      </c>
      <c r="W147" s="488" t="str">
        <f>IF(W$4="","",IF(HLOOKUP(W$4,'Physical Effects-Numbers'!$B$1:$AU$172,$B147,FALSE)&lt;0,HLOOKUP(W$4,'Physical Effects-Numbers'!$B$1:$AU$172,$B147,FALSE),""))</f>
        <v/>
      </c>
      <c r="X147" s="488" t="str">
        <f>IF(X$4="","",IF(HLOOKUP(X$4,'Physical Effects-Numbers'!$B$1:$AU$172,$B147,FALSE)&lt;0,HLOOKUP(X$4,'Physical Effects-Numbers'!$B$1:$AU$172,$B147,FALSE),""))</f>
        <v/>
      </c>
      <c r="Y147" s="488" t="str">
        <f>IF(Y$4="","",IF(HLOOKUP(Y$4,'Physical Effects-Numbers'!$B$1:$AU$172,$B147,FALSE)&lt;0,HLOOKUP(Y$4,'Physical Effects-Numbers'!$B$1:$AU$172,$B147,FALSE),""))</f>
        <v/>
      </c>
      <c r="Z147" s="488" t="str">
        <f>IF(Z$4="","",IF(HLOOKUP(Z$4,'Physical Effects-Numbers'!$B$1:$AU$172,$B147,FALSE)&lt;0,HLOOKUP(Z$4,'Physical Effects-Numbers'!$B$1:$AU$172,$B147,FALSE),""))</f>
        <v/>
      </c>
      <c r="AA147" s="488">
        <f>IF(AA$4="","",IF(HLOOKUP(AA$4,'Physical Effects-Numbers'!$B$1:$AU$172,$B147,FALSE)&lt;0,HLOOKUP(AA$4,'Physical Effects-Numbers'!$B$1:$AU$172,$B147,FALSE),""))</f>
        <v>-1</v>
      </c>
      <c r="AB147" s="488" t="str">
        <f>IF(AB$4="","",IF(HLOOKUP(AB$4,'Physical Effects-Numbers'!$B$1:$AU$172,$B147,FALSE)&lt;0,HLOOKUP(AB$4,'Physical Effects-Numbers'!$B$1:$AU$172,$B147,FALSE),""))</f>
        <v/>
      </c>
      <c r="AC147" s="488" t="str">
        <f>IF(AC$4="","",IF(HLOOKUP(AC$4,'Physical Effects-Numbers'!$B$1:$AU$172,$B147,FALSE)&lt;0,HLOOKUP(AC$4,'Physical Effects-Numbers'!$B$1:$AU$172,$B147,FALSE),""))</f>
        <v/>
      </c>
      <c r="AD147" s="488" t="str">
        <f>IF(AD$4="","",IF(HLOOKUP(AD$4,'Physical Effects-Numbers'!$B$1:$AU$172,$B147,FALSE)&lt;0,HLOOKUP(AD$4,'Physical Effects-Numbers'!$B$1:$AU$172,$B147,FALSE),""))</f>
        <v/>
      </c>
      <c r="AE147" s="488" t="str">
        <f>IF(AE$4="","",IF(HLOOKUP(AE$4,'Physical Effects-Numbers'!$B$1:$AU$172,$B147,FALSE)&lt;0,HLOOKUP(AE$4,'Physical Effects-Numbers'!$B$1:$AU$172,$B147,FALSE),""))</f>
        <v/>
      </c>
      <c r="AF147" s="488" t="str">
        <f>IF(AF$4="","",IF(HLOOKUP(AF$4,'Physical Effects-Numbers'!$B$1:$AU$172,$B147,FALSE)&lt;0,HLOOKUP(AF$4,'Physical Effects-Numbers'!$B$1:$AU$172,$B147,FALSE),""))</f>
        <v/>
      </c>
      <c r="AG147" s="488" t="str">
        <f>IF(AG$4="","",IF(HLOOKUP(AG$4,'Physical Effects-Numbers'!$B$1:$AU$172,$B147,FALSE)&lt;0,HLOOKUP(AG$4,'Physical Effects-Numbers'!$B$1:$AU$172,$B147,FALSE),""))</f>
        <v/>
      </c>
      <c r="AH147" s="488" t="str">
        <f>IF(AH$4="","",IF(HLOOKUP(AH$4,'Physical Effects-Numbers'!$B$1:$AU$172,$B147,FALSE)&lt;0,HLOOKUP(AH$4,'Physical Effects-Numbers'!$B$1:$AU$172,$B147,FALSE),""))</f>
        <v/>
      </c>
      <c r="AI147" s="488" t="str">
        <f>IF(AI$4="","",IF(HLOOKUP(AI$4,'Physical Effects-Numbers'!$B$1:$AU$172,$B147,FALSE)&lt;0,HLOOKUP(AI$4,'Physical Effects-Numbers'!$B$1:$AU$172,$B147,FALSE),""))</f>
        <v/>
      </c>
      <c r="AJ147" s="488" t="str">
        <f>IF(AJ$4="","",IF(HLOOKUP(AJ$4,'Physical Effects-Numbers'!$B$1:$AU$172,$B147,FALSE)&lt;0,HLOOKUP(AJ$4,'Physical Effects-Numbers'!$B$1:$AU$172,$B147,FALSE),""))</f>
        <v/>
      </c>
      <c r="AK147" s="488" t="str">
        <f>IF(AK$4="","",IF(HLOOKUP(AK$4,'Physical Effects-Numbers'!$B$1:$AU$172,$B147,FALSE)&lt;0,HLOOKUP(AK$4,'Physical Effects-Numbers'!$B$1:$AU$172,$B147,FALSE),""))</f>
        <v/>
      </c>
      <c r="AL147" s="488" t="str">
        <f>IF(AL$4="","",IF(HLOOKUP(AL$4,'Physical Effects-Numbers'!$B$1:$AU$172,$B147,FALSE)&lt;0,HLOOKUP(AL$4,'Physical Effects-Numbers'!$B$1:$AU$172,$B147,FALSE),""))</f>
        <v/>
      </c>
      <c r="AM147" s="488" t="str">
        <f>IF(AM$4="","",IF(HLOOKUP(AM$4,'Physical Effects-Numbers'!$B$1:$AU$172,$B147,FALSE)&lt;0,HLOOKUP(AM$4,'Physical Effects-Numbers'!$B$1:$AU$172,$B147,FALSE),""))</f>
        <v/>
      </c>
      <c r="AN147" s="488" t="str">
        <f>IF(AN$4="","",IF(HLOOKUP(AN$4,'Physical Effects-Numbers'!$B$1:$AU$172,$B147,FALSE)&lt;0,HLOOKUP(AN$4,'Physical Effects-Numbers'!$B$1:$AU$172,$B147,FALSE),""))</f>
        <v/>
      </c>
      <c r="AO147" s="488" t="str">
        <f>IF(AO$4="","",IF(HLOOKUP(AO$4,'Physical Effects-Numbers'!$B$1:$AU$172,$B147,FALSE)&lt;0,HLOOKUP(AO$4,'Physical Effects-Numbers'!$B$1:$AU$172,$B147,FALSE),""))</f>
        <v/>
      </c>
      <c r="AP147" s="488" t="str">
        <f>IF(AP$4="","",IF(HLOOKUP(AP$4,'Physical Effects-Numbers'!$B$1:$AU$172,$B147,FALSE)&lt;0,HLOOKUP(AP$4,'Physical Effects-Numbers'!$B$1:$AU$172,$B147,FALSE),""))</f>
        <v/>
      </c>
      <c r="AQ147" s="488" t="str">
        <f>IF(AQ$4="","",IF(HLOOKUP(AQ$4,'Physical Effects-Numbers'!$B$1:$AU$172,$B147,FALSE)&lt;0,HLOOKUP(AQ$4,'Physical Effects-Numbers'!$B$1:$AU$172,$B147,FALSE),""))</f>
        <v/>
      </c>
      <c r="AR147" s="488" t="str">
        <f>IF(AR$4="","",IF(HLOOKUP(AR$4,'Physical Effects-Numbers'!$B$1:$AU$172,$B147,FALSE)&lt;0,HLOOKUP(AR$4,'Physical Effects-Numbers'!$B$1:$AU$172,$B147,FALSE),""))</f>
        <v/>
      </c>
      <c r="AS147" s="488" t="str">
        <f>IF(AS$4="","",IF(HLOOKUP(AS$4,'Physical Effects-Numbers'!$B$1:$AU$172,$B147,FALSE)&lt;0,HLOOKUP(AS$4,'Physical Effects-Numbers'!$B$1:$AU$172,$B147,FALSE),""))</f>
        <v/>
      </c>
      <c r="AT147" s="488" t="str">
        <f>IF(AT$4="","",IF(HLOOKUP(AT$4,'Physical Effects-Numbers'!$B$1:$AU$172,$B147,FALSE)&lt;0,HLOOKUP(AT$4,'Physical Effects-Numbers'!$B$1:$AU$172,$B147,FALSE),""))</f>
        <v/>
      </c>
      <c r="AU147" s="488" t="str">
        <f>IF(AU$4="","",IF(HLOOKUP(AU$4,'Physical Effects-Numbers'!$B$1:$AU$172,$B147,FALSE)&lt;0,HLOOKUP(AU$4,'Physical Effects-Numbers'!$B$1:$AU$172,$B147,FALSE),""))</f>
        <v/>
      </c>
      <c r="AV147" s="488" t="str">
        <f>IF(AV$4="","",IF(HLOOKUP(AV$4,'Physical Effects-Numbers'!$B$1:$AU$167,$B147,FALSE)&lt;0,HLOOKUP(AV$4,'Physical Effects-Numbers'!$B$1:$AU$167,$B147,FALSE),""))</f>
        <v/>
      </c>
    </row>
    <row r="148" spans="2:48" x14ac:dyDescent="0.2">
      <c r="B148" s="487">
        <f t="shared" si="2"/>
        <v>145</v>
      </c>
      <c r="C148" s="486" t="str">
        <f>+'Physical Effects-Numbers'!B145</f>
        <v>Tree/Shrub Pruning</v>
      </c>
      <c r="D148" s="488" t="str">
        <f>IF(D$4="","",IF(HLOOKUP(D$4,'Physical Effects-Numbers'!$B$1:$AU$172,$B148,FALSE)&lt;0,HLOOKUP(D$4,'Physical Effects-Numbers'!$B$1:$AU$172,$B148,FALSE),""))</f>
        <v/>
      </c>
      <c r="E148" s="488" t="str">
        <f>IF(E$4="","",IF(HLOOKUP(E$4,'Physical Effects-Numbers'!$B$1:$AU$172,$B148,FALSE)&lt;0,HLOOKUP(E$4,'Physical Effects-Numbers'!$B$1:$AU$172,$B148,FALSE),""))</f>
        <v/>
      </c>
      <c r="F148" s="488" t="str">
        <f>IF(F$4="","",IF(HLOOKUP(F$4,'Physical Effects-Numbers'!$B$1:$AU$172,$B148,FALSE)&lt;0,HLOOKUP(F$4,'Physical Effects-Numbers'!$B$1:$AU$172,$B148,FALSE),""))</f>
        <v/>
      </c>
      <c r="G148" s="488" t="str">
        <f>IF(G$4="","",IF(HLOOKUP(G$4,'Physical Effects-Numbers'!$B$1:$AU$172,$B148,FALSE)&lt;0,HLOOKUP(G$4,'Physical Effects-Numbers'!$B$1:$AU$172,$B148,FALSE),""))</f>
        <v/>
      </c>
      <c r="H148" s="488" t="str">
        <f>IF(H$4="","",IF(HLOOKUP(H$4,'Physical Effects-Numbers'!$B$1:$AU$172,$B148,FALSE)&lt;0,HLOOKUP(H$4,'Physical Effects-Numbers'!$B$1:$AU$172,$B148,FALSE),""))</f>
        <v/>
      </c>
      <c r="I148" s="488" t="str">
        <f>IF(I$4="","",IF(HLOOKUP(I$4,'Physical Effects-Numbers'!$B$1:$AU$172,$B148,FALSE)&lt;0,HLOOKUP(I$4,'Physical Effects-Numbers'!$B$1:$AU$172,$B148,FALSE),""))</f>
        <v/>
      </c>
      <c r="J148" s="488" t="str">
        <f>IF(J$4="","",IF(HLOOKUP(J$4,'Physical Effects-Numbers'!$B$1:$AU$172,$B148,FALSE)&lt;0,HLOOKUP(J$4,'Physical Effects-Numbers'!$B$1:$AU$172,$B148,FALSE),""))</f>
        <v/>
      </c>
      <c r="K148" s="488" t="str">
        <f>IF(K$4="","",IF(HLOOKUP(K$4,'Physical Effects-Numbers'!$B$1:$AU$172,$B148,FALSE)&lt;0,HLOOKUP(K$4,'Physical Effects-Numbers'!$B$1:$AU$172,$B148,FALSE),""))</f>
        <v/>
      </c>
      <c r="L148" s="488" t="str">
        <f>IF(L$4="","",IF(HLOOKUP(L$4,'Physical Effects-Numbers'!$B$1:$AU$172,$B148,FALSE)&lt;0,HLOOKUP(L$4,'Physical Effects-Numbers'!$B$1:$AU$172,$B148,FALSE),""))</f>
        <v/>
      </c>
      <c r="M148" s="488" t="str">
        <f>IF(M$4="","",IF(HLOOKUP(M$4,'Physical Effects-Numbers'!$B$1:$AU$172,$B148,FALSE)&lt;0,HLOOKUP(M$4,'Physical Effects-Numbers'!$B$1:$AU$172,$B148,FALSE),""))</f>
        <v/>
      </c>
      <c r="N148" s="488" t="str">
        <f>IF(N$4="","",IF(HLOOKUP(N$4,'Physical Effects-Numbers'!$B$1:$AU$172,$B148,FALSE)&lt;0,HLOOKUP(N$4,'Physical Effects-Numbers'!$B$1:$AU$172,$B148,FALSE),""))</f>
        <v/>
      </c>
      <c r="O148" s="488" t="str">
        <f>IF(O$4="","",IF(HLOOKUP(O$4,'Physical Effects-Numbers'!$B$1:$AU$172,$B148,FALSE)&lt;0,HLOOKUP(O$4,'Physical Effects-Numbers'!$B$1:$AU$172,$B148,FALSE),""))</f>
        <v/>
      </c>
      <c r="P148" s="488" t="str">
        <f>IF(P$4="","",IF(HLOOKUP(P$4,'Physical Effects-Numbers'!$B$1:$AU$172,$B148,FALSE)&lt;0,HLOOKUP(P$4,'Physical Effects-Numbers'!$B$1:$AU$172,$B148,FALSE),""))</f>
        <v/>
      </c>
      <c r="Q148" s="488" t="str">
        <f>IF(Q$4="","",IF(HLOOKUP(Q$4,'Physical Effects-Numbers'!$B$1:$AU$172,$B148,FALSE)&lt;0,HLOOKUP(Q$4,'Physical Effects-Numbers'!$B$1:$AU$172,$B148,FALSE),""))</f>
        <v/>
      </c>
      <c r="R148" s="488" t="str">
        <f>IF(R$4="","",IF(HLOOKUP(R$4,'Physical Effects-Numbers'!$B$1:$AU$172,$B148,FALSE)&lt;0,HLOOKUP(R$4,'Physical Effects-Numbers'!$B$1:$AU$172,$B148,FALSE),""))</f>
        <v/>
      </c>
      <c r="S148" s="488" t="str">
        <f>IF(S$4="","",IF(HLOOKUP(S$4,'Physical Effects-Numbers'!$B$1:$AU$172,$B148,FALSE)&lt;0,HLOOKUP(S$4,'Physical Effects-Numbers'!$B$1:$AU$172,$B148,FALSE),""))</f>
        <v/>
      </c>
      <c r="T148" s="488" t="str">
        <f>IF(T$4="","",IF(HLOOKUP(T$4,'Physical Effects-Numbers'!$B$1:$AU$172,$B148,FALSE)&lt;0,HLOOKUP(T$4,'Physical Effects-Numbers'!$B$1:$AU$172,$B148,FALSE),""))</f>
        <v/>
      </c>
      <c r="U148" s="488" t="str">
        <f>IF(U$4="","",IF(HLOOKUP(U$4,'Physical Effects-Numbers'!$B$1:$AU$172,$B148,FALSE)&lt;0,HLOOKUP(U$4,'Physical Effects-Numbers'!$B$1:$AU$172,$B148,FALSE),""))</f>
        <v/>
      </c>
      <c r="V148" s="488" t="str">
        <f>IF(V$4="","",IF(HLOOKUP(V$4,'Physical Effects-Numbers'!$B$1:$AU$172,$B148,FALSE)&lt;0,HLOOKUP(V$4,'Physical Effects-Numbers'!$B$1:$AU$172,$B148,FALSE),""))</f>
        <v/>
      </c>
      <c r="W148" s="488" t="str">
        <f>IF(W$4="","",IF(HLOOKUP(W$4,'Physical Effects-Numbers'!$B$1:$AU$172,$B148,FALSE)&lt;0,HLOOKUP(W$4,'Physical Effects-Numbers'!$B$1:$AU$172,$B148,FALSE),""))</f>
        <v/>
      </c>
      <c r="X148" s="488" t="str">
        <f>IF(X$4="","",IF(HLOOKUP(X$4,'Physical Effects-Numbers'!$B$1:$AU$172,$B148,FALSE)&lt;0,HLOOKUP(X$4,'Physical Effects-Numbers'!$B$1:$AU$172,$B148,FALSE),""))</f>
        <v/>
      </c>
      <c r="Y148" s="488" t="str">
        <f>IF(Y$4="","",IF(HLOOKUP(Y$4,'Physical Effects-Numbers'!$B$1:$AU$172,$B148,FALSE)&lt;0,HLOOKUP(Y$4,'Physical Effects-Numbers'!$B$1:$AU$172,$B148,FALSE),""))</f>
        <v/>
      </c>
      <c r="Z148" s="488" t="str">
        <f>IF(Z$4="","",IF(HLOOKUP(Z$4,'Physical Effects-Numbers'!$B$1:$AU$172,$B148,FALSE)&lt;0,HLOOKUP(Z$4,'Physical Effects-Numbers'!$B$1:$AU$172,$B148,FALSE),""))</f>
        <v/>
      </c>
      <c r="AA148" s="488" t="str">
        <f>IF(AA$4="","",IF(HLOOKUP(AA$4,'Physical Effects-Numbers'!$B$1:$AU$172,$B148,FALSE)&lt;0,HLOOKUP(AA$4,'Physical Effects-Numbers'!$B$1:$AU$172,$B148,FALSE),""))</f>
        <v/>
      </c>
      <c r="AB148" s="488" t="str">
        <f>IF(AB$4="","",IF(HLOOKUP(AB$4,'Physical Effects-Numbers'!$B$1:$AU$172,$B148,FALSE)&lt;0,HLOOKUP(AB$4,'Physical Effects-Numbers'!$B$1:$AU$172,$B148,FALSE),""))</f>
        <v/>
      </c>
      <c r="AC148" s="488" t="str">
        <f>IF(AC$4="","",IF(HLOOKUP(AC$4,'Physical Effects-Numbers'!$B$1:$AU$172,$B148,FALSE)&lt;0,HLOOKUP(AC$4,'Physical Effects-Numbers'!$B$1:$AU$172,$B148,FALSE),""))</f>
        <v/>
      </c>
      <c r="AD148" s="488" t="str">
        <f>IF(AD$4="","",IF(HLOOKUP(AD$4,'Physical Effects-Numbers'!$B$1:$AU$172,$B148,FALSE)&lt;0,HLOOKUP(AD$4,'Physical Effects-Numbers'!$B$1:$AU$172,$B148,FALSE),""))</f>
        <v/>
      </c>
      <c r="AE148" s="488" t="str">
        <f>IF(AE$4="","",IF(HLOOKUP(AE$4,'Physical Effects-Numbers'!$B$1:$AU$172,$B148,FALSE)&lt;0,HLOOKUP(AE$4,'Physical Effects-Numbers'!$B$1:$AU$172,$B148,FALSE),""))</f>
        <v/>
      </c>
      <c r="AF148" s="488" t="str">
        <f>IF(AF$4="","",IF(HLOOKUP(AF$4,'Physical Effects-Numbers'!$B$1:$AU$172,$B148,FALSE)&lt;0,HLOOKUP(AF$4,'Physical Effects-Numbers'!$B$1:$AU$172,$B148,FALSE),""))</f>
        <v/>
      </c>
      <c r="AG148" s="488" t="str">
        <f>IF(AG$4="","",IF(HLOOKUP(AG$4,'Physical Effects-Numbers'!$B$1:$AU$172,$B148,FALSE)&lt;0,HLOOKUP(AG$4,'Physical Effects-Numbers'!$B$1:$AU$172,$B148,FALSE),""))</f>
        <v/>
      </c>
      <c r="AH148" s="488" t="str">
        <f>IF(AH$4="","",IF(HLOOKUP(AH$4,'Physical Effects-Numbers'!$B$1:$AU$172,$B148,FALSE)&lt;0,HLOOKUP(AH$4,'Physical Effects-Numbers'!$B$1:$AU$172,$B148,FALSE),""))</f>
        <v/>
      </c>
      <c r="AI148" s="488" t="str">
        <f>IF(AI$4="","",IF(HLOOKUP(AI$4,'Physical Effects-Numbers'!$B$1:$AU$172,$B148,FALSE)&lt;0,HLOOKUP(AI$4,'Physical Effects-Numbers'!$B$1:$AU$172,$B148,FALSE),""))</f>
        <v/>
      </c>
      <c r="AJ148" s="488" t="str">
        <f>IF(AJ$4="","",IF(HLOOKUP(AJ$4,'Physical Effects-Numbers'!$B$1:$AU$172,$B148,FALSE)&lt;0,HLOOKUP(AJ$4,'Physical Effects-Numbers'!$B$1:$AU$172,$B148,FALSE),""))</f>
        <v/>
      </c>
      <c r="AK148" s="488" t="str">
        <f>IF(AK$4="","",IF(HLOOKUP(AK$4,'Physical Effects-Numbers'!$B$1:$AU$172,$B148,FALSE)&lt;0,HLOOKUP(AK$4,'Physical Effects-Numbers'!$B$1:$AU$172,$B148,FALSE),""))</f>
        <v/>
      </c>
      <c r="AL148" s="488" t="str">
        <f>IF(AL$4="","",IF(HLOOKUP(AL$4,'Physical Effects-Numbers'!$B$1:$AU$172,$B148,FALSE)&lt;0,HLOOKUP(AL$4,'Physical Effects-Numbers'!$B$1:$AU$172,$B148,FALSE),""))</f>
        <v/>
      </c>
      <c r="AM148" s="488" t="str">
        <f>IF(AM$4="","",IF(HLOOKUP(AM$4,'Physical Effects-Numbers'!$B$1:$AU$172,$B148,FALSE)&lt;0,HLOOKUP(AM$4,'Physical Effects-Numbers'!$B$1:$AU$172,$B148,FALSE),""))</f>
        <v/>
      </c>
      <c r="AN148" s="488" t="str">
        <f>IF(AN$4="","",IF(HLOOKUP(AN$4,'Physical Effects-Numbers'!$B$1:$AU$172,$B148,FALSE)&lt;0,HLOOKUP(AN$4,'Physical Effects-Numbers'!$B$1:$AU$172,$B148,FALSE),""))</f>
        <v/>
      </c>
      <c r="AO148" s="488" t="str">
        <f>IF(AO$4="","",IF(HLOOKUP(AO$4,'Physical Effects-Numbers'!$B$1:$AU$172,$B148,FALSE)&lt;0,HLOOKUP(AO$4,'Physical Effects-Numbers'!$B$1:$AU$172,$B148,FALSE),""))</f>
        <v/>
      </c>
      <c r="AP148" s="488" t="str">
        <f>IF(AP$4="","",IF(HLOOKUP(AP$4,'Physical Effects-Numbers'!$B$1:$AU$172,$B148,FALSE)&lt;0,HLOOKUP(AP$4,'Physical Effects-Numbers'!$B$1:$AU$172,$B148,FALSE),""))</f>
        <v/>
      </c>
      <c r="AQ148" s="488" t="str">
        <f>IF(AQ$4="","",IF(HLOOKUP(AQ$4,'Physical Effects-Numbers'!$B$1:$AU$172,$B148,FALSE)&lt;0,HLOOKUP(AQ$4,'Physical Effects-Numbers'!$B$1:$AU$172,$B148,FALSE),""))</f>
        <v/>
      </c>
      <c r="AR148" s="488" t="str">
        <f>IF(AR$4="","",IF(HLOOKUP(AR$4,'Physical Effects-Numbers'!$B$1:$AU$172,$B148,FALSE)&lt;0,HLOOKUP(AR$4,'Physical Effects-Numbers'!$B$1:$AU$172,$B148,FALSE),""))</f>
        <v/>
      </c>
      <c r="AS148" s="488" t="str">
        <f>IF(AS$4="","",IF(HLOOKUP(AS$4,'Physical Effects-Numbers'!$B$1:$AU$172,$B148,FALSE)&lt;0,HLOOKUP(AS$4,'Physical Effects-Numbers'!$B$1:$AU$172,$B148,FALSE),""))</f>
        <v/>
      </c>
      <c r="AT148" s="488" t="str">
        <f>IF(AT$4="","",IF(HLOOKUP(AT$4,'Physical Effects-Numbers'!$B$1:$AU$172,$B148,FALSE)&lt;0,HLOOKUP(AT$4,'Physical Effects-Numbers'!$B$1:$AU$172,$B148,FALSE),""))</f>
        <v/>
      </c>
      <c r="AU148" s="488" t="str">
        <f>IF(AU$4="","",IF(HLOOKUP(AU$4,'Physical Effects-Numbers'!$B$1:$AU$172,$B148,FALSE)&lt;0,HLOOKUP(AU$4,'Physical Effects-Numbers'!$B$1:$AU$172,$B148,FALSE),""))</f>
        <v/>
      </c>
      <c r="AV148" s="488" t="str">
        <f>IF(AV$4="","",IF(HLOOKUP(AV$4,'Physical Effects-Numbers'!$B$1:$AU$167,$B148,FALSE)&lt;0,HLOOKUP(AV$4,'Physical Effects-Numbers'!$B$1:$AU$167,$B148,FALSE),""))</f>
        <v/>
      </c>
    </row>
    <row r="149" spans="2:48" x14ac:dyDescent="0.2">
      <c r="B149" s="487">
        <f t="shared" si="2"/>
        <v>146</v>
      </c>
      <c r="C149" s="486" t="str">
        <f>+'Physical Effects-Numbers'!B146</f>
        <v>Underground Outlet</v>
      </c>
      <c r="D149" s="488" t="str">
        <f>IF(D$4="","",IF(HLOOKUP(D$4,'Physical Effects-Numbers'!$B$1:$AU$172,$B149,FALSE)&lt;0,HLOOKUP(D$4,'Physical Effects-Numbers'!$B$1:$AU$172,$B149,FALSE),""))</f>
        <v/>
      </c>
      <c r="E149" s="488" t="str">
        <f>IF(E$4="","",IF(HLOOKUP(E$4,'Physical Effects-Numbers'!$B$1:$AU$172,$B149,FALSE)&lt;0,HLOOKUP(E$4,'Physical Effects-Numbers'!$B$1:$AU$172,$B149,FALSE),""))</f>
        <v/>
      </c>
      <c r="F149" s="488" t="str">
        <f>IF(F$4="","",IF(HLOOKUP(F$4,'Physical Effects-Numbers'!$B$1:$AU$172,$B149,FALSE)&lt;0,HLOOKUP(F$4,'Physical Effects-Numbers'!$B$1:$AU$172,$B149,FALSE),""))</f>
        <v/>
      </c>
      <c r="G149" s="488" t="str">
        <f>IF(G$4="","",IF(HLOOKUP(G$4,'Physical Effects-Numbers'!$B$1:$AU$172,$B149,FALSE)&lt;0,HLOOKUP(G$4,'Physical Effects-Numbers'!$B$1:$AU$172,$B149,FALSE),""))</f>
        <v/>
      </c>
      <c r="H149" s="488">
        <f>IF(H$4="","",IF(HLOOKUP(H$4,'Physical Effects-Numbers'!$B$1:$AU$172,$B149,FALSE)&lt;0,HLOOKUP(H$4,'Physical Effects-Numbers'!$B$1:$AU$172,$B149,FALSE),""))</f>
        <v>-1</v>
      </c>
      <c r="I149" s="488" t="str">
        <f>IF(I$4="","",IF(HLOOKUP(I$4,'Physical Effects-Numbers'!$B$1:$AU$172,$B149,FALSE)&lt;0,HLOOKUP(I$4,'Physical Effects-Numbers'!$B$1:$AU$172,$B149,FALSE),""))</f>
        <v/>
      </c>
      <c r="J149" s="488" t="str">
        <f>IF(J$4="","",IF(HLOOKUP(J$4,'Physical Effects-Numbers'!$B$1:$AU$172,$B149,FALSE)&lt;0,HLOOKUP(J$4,'Physical Effects-Numbers'!$B$1:$AU$172,$B149,FALSE),""))</f>
        <v/>
      </c>
      <c r="K149" s="488" t="str">
        <f>IF(K$4="","",IF(HLOOKUP(K$4,'Physical Effects-Numbers'!$B$1:$AU$172,$B149,FALSE)&lt;0,HLOOKUP(K$4,'Physical Effects-Numbers'!$B$1:$AU$172,$B149,FALSE),""))</f>
        <v/>
      </c>
      <c r="L149" s="488" t="str">
        <f>IF(L$4="","",IF(HLOOKUP(L$4,'Physical Effects-Numbers'!$B$1:$AU$172,$B149,FALSE)&lt;0,HLOOKUP(L$4,'Physical Effects-Numbers'!$B$1:$AU$172,$B149,FALSE),""))</f>
        <v/>
      </c>
      <c r="M149" s="488" t="str">
        <f>IF(M$4="","",IF(HLOOKUP(M$4,'Physical Effects-Numbers'!$B$1:$AU$172,$B149,FALSE)&lt;0,HLOOKUP(M$4,'Physical Effects-Numbers'!$B$1:$AU$172,$B149,FALSE),""))</f>
        <v/>
      </c>
      <c r="N149" s="488" t="str">
        <f>IF(N$4="","",IF(HLOOKUP(N$4,'Physical Effects-Numbers'!$B$1:$AU$172,$B149,FALSE)&lt;0,HLOOKUP(N$4,'Physical Effects-Numbers'!$B$1:$AU$172,$B149,FALSE),""))</f>
        <v/>
      </c>
      <c r="O149" s="488" t="str">
        <f>IF(O$4="","",IF(HLOOKUP(O$4,'Physical Effects-Numbers'!$B$1:$AU$172,$B149,FALSE)&lt;0,HLOOKUP(O$4,'Physical Effects-Numbers'!$B$1:$AU$172,$B149,FALSE),""))</f>
        <v/>
      </c>
      <c r="P149" s="488" t="str">
        <f>IF(P$4="","",IF(HLOOKUP(P$4,'Physical Effects-Numbers'!$B$1:$AU$172,$B149,FALSE)&lt;0,HLOOKUP(P$4,'Physical Effects-Numbers'!$B$1:$AU$172,$B149,FALSE),""))</f>
        <v/>
      </c>
      <c r="Q149" s="488" t="str">
        <f>IF(Q$4="","",IF(HLOOKUP(Q$4,'Physical Effects-Numbers'!$B$1:$AU$172,$B149,FALSE)&lt;0,HLOOKUP(Q$4,'Physical Effects-Numbers'!$B$1:$AU$172,$B149,FALSE),""))</f>
        <v/>
      </c>
      <c r="R149" s="488" t="str">
        <f>IF(R$4="","",IF(HLOOKUP(R$4,'Physical Effects-Numbers'!$B$1:$AU$172,$B149,FALSE)&lt;0,HLOOKUP(R$4,'Physical Effects-Numbers'!$B$1:$AU$172,$B149,FALSE),""))</f>
        <v/>
      </c>
      <c r="S149" s="488">
        <f>IF(S$4="","",IF(HLOOKUP(S$4,'Physical Effects-Numbers'!$B$1:$AU$172,$B149,FALSE)&lt;0,HLOOKUP(S$4,'Physical Effects-Numbers'!$B$1:$AU$172,$B149,FALSE),""))</f>
        <v>-1</v>
      </c>
      <c r="T149" s="488" t="str">
        <f>IF(T$4="","",IF(HLOOKUP(T$4,'Physical Effects-Numbers'!$B$1:$AU$172,$B149,FALSE)&lt;0,HLOOKUP(T$4,'Physical Effects-Numbers'!$B$1:$AU$172,$B149,FALSE),""))</f>
        <v/>
      </c>
      <c r="U149" s="488">
        <f>IF(U$4="","",IF(HLOOKUP(U$4,'Physical Effects-Numbers'!$B$1:$AU$172,$B149,FALSE)&lt;0,HLOOKUP(U$4,'Physical Effects-Numbers'!$B$1:$AU$172,$B149,FALSE),""))</f>
        <v>-1</v>
      </c>
      <c r="V149" s="488" t="str">
        <f>IF(V$4="","",IF(HLOOKUP(V$4,'Physical Effects-Numbers'!$B$1:$AU$172,$B149,FALSE)&lt;0,HLOOKUP(V$4,'Physical Effects-Numbers'!$B$1:$AU$172,$B149,FALSE),""))</f>
        <v/>
      </c>
      <c r="W149" s="488" t="str">
        <f>IF(W$4="","",IF(HLOOKUP(W$4,'Physical Effects-Numbers'!$B$1:$AU$172,$B149,FALSE)&lt;0,HLOOKUP(W$4,'Physical Effects-Numbers'!$B$1:$AU$172,$B149,FALSE),""))</f>
        <v/>
      </c>
      <c r="X149" s="488" t="str">
        <f>IF(X$4="","",IF(HLOOKUP(X$4,'Physical Effects-Numbers'!$B$1:$AU$172,$B149,FALSE)&lt;0,HLOOKUP(X$4,'Physical Effects-Numbers'!$B$1:$AU$172,$B149,FALSE),""))</f>
        <v/>
      </c>
      <c r="Y149" s="488">
        <f>IF(Y$4="","",IF(HLOOKUP(Y$4,'Physical Effects-Numbers'!$B$1:$AU$172,$B149,FALSE)&lt;0,HLOOKUP(Y$4,'Physical Effects-Numbers'!$B$1:$AU$172,$B149,FALSE),""))</f>
        <v>-1</v>
      </c>
      <c r="Z149" s="488" t="str">
        <f>IF(Z$4="","",IF(HLOOKUP(Z$4,'Physical Effects-Numbers'!$B$1:$AU$172,$B149,FALSE)&lt;0,HLOOKUP(Z$4,'Physical Effects-Numbers'!$B$1:$AU$172,$B149,FALSE),""))</f>
        <v/>
      </c>
      <c r="AA149" s="488" t="str">
        <f>IF(AA$4="","",IF(HLOOKUP(AA$4,'Physical Effects-Numbers'!$B$1:$AU$172,$B149,FALSE)&lt;0,HLOOKUP(AA$4,'Physical Effects-Numbers'!$B$1:$AU$172,$B149,FALSE),""))</f>
        <v/>
      </c>
      <c r="AB149" s="488" t="str">
        <f>IF(AB$4="","",IF(HLOOKUP(AB$4,'Physical Effects-Numbers'!$B$1:$AU$172,$B149,FALSE)&lt;0,HLOOKUP(AB$4,'Physical Effects-Numbers'!$B$1:$AU$172,$B149,FALSE),""))</f>
        <v/>
      </c>
      <c r="AC149" s="488" t="str">
        <f>IF(AC$4="","",IF(HLOOKUP(AC$4,'Physical Effects-Numbers'!$B$1:$AU$172,$B149,FALSE)&lt;0,HLOOKUP(AC$4,'Physical Effects-Numbers'!$B$1:$AU$172,$B149,FALSE),""))</f>
        <v/>
      </c>
      <c r="AD149" s="488" t="str">
        <f>IF(AD$4="","",IF(HLOOKUP(AD$4,'Physical Effects-Numbers'!$B$1:$AU$172,$B149,FALSE)&lt;0,HLOOKUP(AD$4,'Physical Effects-Numbers'!$B$1:$AU$172,$B149,FALSE),""))</f>
        <v/>
      </c>
      <c r="AE149" s="488" t="str">
        <f>IF(AE$4="","",IF(HLOOKUP(AE$4,'Physical Effects-Numbers'!$B$1:$AU$172,$B149,FALSE)&lt;0,HLOOKUP(AE$4,'Physical Effects-Numbers'!$B$1:$AU$172,$B149,FALSE),""))</f>
        <v/>
      </c>
      <c r="AF149" s="488" t="str">
        <f>IF(AF$4="","",IF(HLOOKUP(AF$4,'Physical Effects-Numbers'!$B$1:$AU$172,$B149,FALSE)&lt;0,HLOOKUP(AF$4,'Physical Effects-Numbers'!$B$1:$AU$172,$B149,FALSE),""))</f>
        <v/>
      </c>
      <c r="AG149" s="488" t="str">
        <f>IF(AG$4="","",IF(HLOOKUP(AG$4,'Physical Effects-Numbers'!$B$1:$AU$172,$B149,FALSE)&lt;0,HLOOKUP(AG$4,'Physical Effects-Numbers'!$B$1:$AU$172,$B149,FALSE),""))</f>
        <v/>
      </c>
      <c r="AH149" s="488" t="str">
        <f>IF(AH$4="","",IF(HLOOKUP(AH$4,'Physical Effects-Numbers'!$B$1:$AU$172,$B149,FALSE)&lt;0,HLOOKUP(AH$4,'Physical Effects-Numbers'!$B$1:$AU$172,$B149,FALSE),""))</f>
        <v/>
      </c>
      <c r="AI149" s="488" t="str">
        <f>IF(AI$4="","",IF(HLOOKUP(AI$4,'Physical Effects-Numbers'!$B$1:$AU$172,$B149,FALSE)&lt;0,HLOOKUP(AI$4,'Physical Effects-Numbers'!$B$1:$AU$172,$B149,FALSE),""))</f>
        <v/>
      </c>
      <c r="AJ149" s="488" t="str">
        <f>IF(AJ$4="","",IF(HLOOKUP(AJ$4,'Physical Effects-Numbers'!$B$1:$AU$172,$B149,FALSE)&lt;0,HLOOKUP(AJ$4,'Physical Effects-Numbers'!$B$1:$AU$172,$B149,FALSE),""))</f>
        <v/>
      </c>
      <c r="AK149" s="488" t="str">
        <f>IF(AK$4="","",IF(HLOOKUP(AK$4,'Physical Effects-Numbers'!$B$1:$AU$172,$B149,FALSE)&lt;0,HLOOKUP(AK$4,'Physical Effects-Numbers'!$B$1:$AU$172,$B149,FALSE),""))</f>
        <v/>
      </c>
      <c r="AL149" s="488" t="str">
        <f>IF(AL$4="","",IF(HLOOKUP(AL$4,'Physical Effects-Numbers'!$B$1:$AU$172,$B149,FALSE)&lt;0,HLOOKUP(AL$4,'Physical Effects-Numbers'!$B$1:$AU$172,$B149,FALSE),""))</f>
        <v/>
      </c>
      <c r="AM149" s="488" t="str">
        <f>IF(AM$4="","",IF(HLOOKUP(AM$4,'Physical Effects-Numbers'!$B$1:$AU$172,$B149,FALSE)&lt;0,HLOOKUP(AM$4,'Physical Effects-Numbers'!$B$1:$AU$172,$B149,FALSE),""))</f>
        <v/>
      </c>
      <c r="AN149" s="488" t="str">
        <f>IF(AN$4="","",IF(HLOOKUP(AN$4,'Physical Effects-Numbers'!$B$1:$AU$172,$B149,FALSE)&lt;0,HLOOKUP(AN$4,'Physical Effects-Numbers'!$B$1:$AU$172,$B149,FALSE),""))</f>
        <v/>
      </c>
      <c r="AO149" s="488" t="str">
        <f>IF(AO$4="","",IF(HLOOKUP(AO$4,'Physical Effects-Numbers'!$B$1:$AU$172,$B149,FALSE)&lt;0,HLOOKUP(AO$4,'Physical Effects-Numbers'!$B$1:$AU$172,$B149,FALSE),""))</f>
        <v/>
      </c>
      <c r="AP149" s="488" t="str">
        <f>IF(AP$4="","",IF(HLOOKUP(AP$4,'Physical Effects-Numbers'!$B$1:$AU$172,$B149,FALSE)&lt;0,HLOOKUP(AP$4,'Physical Effects-Numbers'!$B$1:$AU$172,$B149,FALSE),""))</f>
        <v/>
      </c>
      <c r="AQ149" s="488" t="str">
        <f>IF(AQ$4="","",IF(HLOOKUP(AQ$4,'Physical Effects-Numbers'!$B$1:$AU$172,$B149,FALSE)&lt;0,HLOOKUP(AQ$4,'Physical Effects-Numbers'!$B$1:$AU$172,$B149,FALSE),""))</f>
        <v/>
      </c>
      <c r="AR149" s="488" t="str">
        <f>IF(AR$4="","",IF(HLOOKUP(AR$4,'Physical Effects-Numbers'!$B$1:$AU$172,$B149,FALSE)&lt;0,HLOOKUP(AR$4,'Physical Effects-Numbers'!$B$1:$AU$172,$B149,FALSE),""))</f>
        <v/>
      </c>
      <c r="AS149" s="488" t="str">
        <f>IF(AS$4="","",IF(HLOOKUP(AS$4,'Physical Effects-Numbers'!$B$1:$AU$172,$B149,FALSE)&lt;0,HLOOKUP(AS$4,'Physical Effects-Numbers'!$B$1:$AU$172,$B149,FALSE),""))</f>
        <v/>
      </c>
      <c r="AT149" s="488" t="str">
        <f>IF(AT$4="","",IF(HLOOKUP(AT$4,'Physical Effects-Numbers'!$B$1:$AU$172,$B149,FALSE)&lt;0,HLOOKUP(AT$4,'Physical Effects-Numbers'!$B$1:$AU$172,$B149,FALSE),""))</f>
        <v/>
      </c>
      <c r="AU149" s="488" t="str">
        <f>IF(AU$4="","",IF(HLOOKUP(AU$4,'Physical Effects-Numbers'!$B$1:$AU$172,$B149,FALSE)&lt;0,HLOOKUP(AU$4,'Physical Effects-Numbers'!$B$1:$AU$172,$B149,FALSE),""))</f>
        <v/>
      </c>
      <c r="AV149" s="488" t="str">
        <f>IF(AV$4="","",IF(HLOOKUP(AV$4,'Physical Effects-Numbers'!$B$1:$AU$167,$B149,FALSE)&lt;0,HLOOKUP(AV$4,'Physical Effects-Numbers'!$B$1:$AU$167,$B149,FALSE),""))</f>
        <v/>
      </c>
    </row>
    <row r="150" spans="2:48" x14ac:dyDescent="0.2">
      <c r="B150" s="487">
        <f t="shared" si="2"/>
        <v>147</v>
      </c>
      <c r="C150" s="486" t="str">
        <f>+'Physical Effects-Numbers'!B147</f>
        <v>Upland Wildlife Habitat Management</v>
      </c>
      <c r="D150" s="488" t="str">
        <f>IF(D$4="","",IF(HLOOKUP(D$4,'Physical Effects-Numbers'!$B$1:$AU$172,$B150,FALSE)&lt;0,HLOOKUP(D$4,'Physical Effects-Numbers'!$B$1:$AU$172,$B150,FALSE),""))</f>
        <v/>
      </c>
      <c r="E150" s="488" t="str">
        <f>IF(E$4="","",IF(HLOOKUP(E$4,'Physical Effects-Numbers'!$B$1:$AU$172,$B150,FALSE)&lt;0,HLOOKUP(E$4,'Physical Effects-Numbers'!$B$1:$AU$172,$B150,FALSE),""))</f>
        <v/>
      </c>
      <c r="F150" s="488" t="str">
        <f>IF(F$4="","",IF(HLOOKUP(F$4,'Physical Effects-Numbers'!$B$1:$AU$172,$B150,FALSE)&lt;0,HLOOKUP(F$4,'Physical Effects-Numbers'!$B$1:$AU$172,$B150,FALSE),""))</f>
        <v/>
      </c>
      <c r="G150" s="488" t="str">
        <f>IF(G$4="","",IF(HLOOKUP(G$4,'Physical Effects-Numbers'!$B$1:$AU$172,$B150,FALSE)&lt;0,HLOOKUP(G$4,'Physical Effects-Numbers'!$B$1:$AU$172,$B150,FALSE),""))</f>
        <v/>
      </c>
      <c r="H150" s="488" t="str">
        <f>IF(H$4="","",IF(HLOOKUP(H$4,'Physical Effects-Numbers'!$B$1:$AU$172,$B150,FALSE)&lt;0,HLOOKUP(H$4,'Physical Effects-Numbers'!$B$1:$AU$172,$B150,FALSE),""))</f>
        <v/>
      </c>
      <c r="I150" s="488" t="str">
        <f>IF(I$4="","",IF(HLOOKUP(I$4,'Physical Effects-Numbers'!$B$1:$AU$172,$B150,FALSE)&lt;0,HLOOKUP(I$4,'Physical Effects-Numbers'!$B$1:$AU$172,$B150,FALSE),""))</f>
        <v/>
      </c>
      <c r="J150" s="488" t="str">
        <f>IF(J$4="","",IF(HLOOKUP(J$4,'Physical Effects-Numbers'!$B$1:$AU$172,$B150,FALSE)&lt;0,HLOOKUP(J$4,'Physical Effects-Numbers'!$B$1:$AU$172,$B150,FALSE),""))</f>
        <v/>
      </c>
      <c r="K150" s="488" t="str">
        <f>IF(K$4="","",IF(HLOOKUP(K$4,'Physical Effects-Numbers'!$B$1:$AU$172,$B150,FALSE)&lt;0,HLOOKUP(K$4,'Physical Effects-Numbers'!$B$1:$AU$172,$B150,FALSE),""))</f>
        <v/>
      </c>
      <c r="L150" s="488" t="str">
        <f>IF(L$4="","",IF(HLOOKUP(L$4,'Physical Effects-Numbers'!$B$1:$AU$172,$B150,FALSE)&lt;0,HLOOKUP(L$4,'Physical Effects-Numbers'!$B$1:$AU$172,$B150,FALSE),""))</f>
        <v/>
      </c>
      <c r="M150" s="488" t="str">
        <f>IF(M$4="","",IF(HLOOKUP(M$4,'Physical Effects-Numbers'!$B$1:$AU$172,$B150,FALSE)&lt;0,HLOOKUP(M$4,'Physical Effects-Numbers'!$B$1:$AU$172,$B150,FALSE),""))</f>
        <v/>
      </c>
      <c r="N150" s="488">
        <f>IF(N$4="","",IF(HLOOKUP(N$4,'Physical Effects-Numbers'!$B$1:$AU$172,$B150,FALSE)&lt;0,HLOOKUP(N$4,'Physical Effects-Numbers'!$B$1:$AU$172,$B150,FALSE),""))</f>
        <v>-3</v>
      </c>
      <c r="O150" s="488" t="str">
        <f>IF(O$4="","",IF(HLOOKUP(O$4,'Physical Effects-Numbers'!$B$1:$AU$172,$B150,FALSE)&lt;0,HLOOKUP(O$4,'Physical Effects-Numbers'!$B$1:$AU$172,$B150,FALSE),""))</f>
        <v/>
      </c>
      <c r="P150" s="488" t="str">
        <f>IF(P$4="","",IF(HLOOKUP(P$4,'Physical Effects-Numbers'!$B$1:$AU$172,$B150,FALSE)&lt;0,HLOOKUP(P$4,'Physical Effects-Numbers'!$B$1:$AU$172,$B150,FALSE),""))</f>
        <v/>
      </c>
      <c r="Q150" s="488" t="str">
        <f>IF(Q$4="","",IF(HLOOKUP(Q$4,'Physical Effects-Numbers'!$B$1:$AU$172,$B150,FALSE)&lt;0,HLOOKUP(Q$4,'Physical Effects-Numbers'!$B$1:$AU$172,$B150,FALSE),""))</f>
        <v/>
      </c>
      <c r="R150" s="488" t="str">
        <f>IF(R$4="","",IF(HLOOKUP(R$4,'Physical Effects-Numbers'!$B$1:$AU$172,$B150,FALSE)&lt;0,HLOOKUP(R$4,'Physical Effects-Numbers'!$B$1:$AU$172,$B150,FALSE),""))</f>
        <v/>
      </c>
      <c r="S150" s="488" t="str">
        <f>IF(S$4="","",IF(HLOOKUP(S$4,'Physical Effects-Numbers'!$B$1:$AU$172,$B150,FALSE)&lt;0,HLOOKUP(S$4,'Physical Effects-Numbers'!$B$1:$AU$172,$B150,FALSE),""))</f>
        <v/>
      </c>
      <c r="T150" s="488" t="str">
        <f>IF(T$4="","",IF(HLOOKUP(T$4,'Physical Effects-Numbers'!$B$1:$AU$172,$B150,FALSE)&lt;0,HLOOKUP(T$4,'Physical Effects-Numbers'!$B$1:$AU$172,$B150,FALSE),""))</f>
        <v/>
      </c>
      <c r="U150" s="488" t="str">
        <f>IF(U$4="","",IF(HLOOKUP(U$4,'Physical Effects-Numbers'!$B$1:$AU$172,$B150,FALSE)&lt;0,HLOOKUP(U$4,'Physical Effects-Numbers'!$B$1:$AU$172,$B150,FALSE),""))</f>
        <v/>
      </c>
      <c r="V150" s="488" t="str">
        <f>IF(V$4="","",IF(HLOOKUP(V$4,'Physical Effects-Numbers'!$B$1:$AU$172,$B150,FALSE)&lt;0,HLOOKUP(V$4,'Physical Effects-Numbers'!$B$1:$AU$172,$B150,FALSE),""))</f>
        <v/>
      </c>
      <c r="W150" s="488" t="str">
        <f>IF(W$4="","",IF(HLOOKUP(W$4,'Physical Effects-Numbers'!$B$1:$AU$172,$B150,FALSE)&lt;0,HLOOKUP(W$4,'Physical Effects-Numbers'!$B$1:$AU$172,$B150,FALSE),""))</f>
        <v/>
      </c>
      <c r="X150" s="488" t="str">
        <f>IF(X$4="","",IF(HLOOKUP(X$4,'Physical Effects-Numbers'!$B$1:$AU$172,$B150,FALSE)&lt;0,HLOOKUP(X$4,'Physical Effects-Numbers'!$B$1:$AU$172,$B150,FALSE),""))</f>
        <v/>
      </c>
      <c r="Y150" s="488" t="str">
        <f>IF(Y$4="","",IF(HLOOKUP(Y$4,'Physical Effects-Numbers'!$B$1:$AU$172,$B150,FALSE)&lt;0,HLOOKUP(Y$4,'Physical Effects-Numbers'!$B$1:$AU$172,$B150,FALSE),""))</f>
        <v/>
      </c>
      <c r="Z150" s="488" t="str">
        <f>IF(Z$4="","",IF(HLOOKUP(Z$4,'Physical Effects-Numbers'!$B$1:$AU$172,$B150,FALSE)&lt;0,HLOOKUP(Z$4,'Physical Effects-Numbers'!$B$1:$AU$172,$B150,FALSE),""))</f>
        <v/>
      </c>
      <c r="AA150" s="488" t="str">
        <f>IF(AA$4="","",IF(HLOOKUP(AA$4,'Physical Effects-Numbers'!$B$1:$AU$172,$B150,FALSE)&lt;0,HLOOKUP(AA$4,'Physical Effects-Numbers'!$B$1:$AU$172,$B150,FALSE),""))</f>
        <v/>
      </c>
      <c r="AB150" s="488" t="str">
        <f>IF(AB$4="","",IF(HLOOKUP(AB$4,'Physical Effects-Numbers'!$B$1:$AU$172,$B150,FALSE)&lt;0,HLOOKUP(AB$4,'Physical Effects-Numbers'!$B$1:$AU$172,$B150,FALSE),""))</f>
        <v/>
      </c>
      <c r="AC150" s="488" t="str">
        <f>IF(AC$4="","",IF(HLOOKUP(AC$4,'Physical Effects-Numbers'!$B$1:$AU$172,$B150,FALSE)&lt;0,HLOOKUP(AC$4,'Physical Effects-Numbers'!$B$1:$AU$172,$B150,FALSE),""))</f>
        <v/>
      </c>
      <c r="AD150" s="488" t="str">
        <f>IF(AD$4="","",IF(HLOOKUP(AD$4,'Physical Effects-Numbers'!$B$1:$AU$172,$B150,FALSE)&lt;0,HLOOKUP(AD$4,'Physical Effects-Numbers'!$B$1:$AU$172,$B150,FALSE),""))</f>
        <v/>
      </c>
      <c r="AE150" s="488" t="str">
        <f>IF(AE$4="","",IF(HLOOKUP(AE$4,'Physical Effects-Numbers'!$B$1:$AU$172,$B150,FALSE)&lt;0,HLOOKUP(AE$4,'Physical Effects-Numbers'!$B$1:$AU$172,$B150,FALSE),""))</f>
        <v/>
      </c>
      <c r="AF150" s="488" t="str">
        <f>IF(AF$4="","",IF(HLOOKUP(AF$4,'Physical Effects-Numbers'!$B$1:$AU$172,$B150,FALSE)&lt;0,HLOOKUP(AF$4,'Physical Effects-Numbers'!$B$1:$AU$172,$B150,FALSE),""))</f>
        <v/>
      </c>
      <c r="AG150" s="488" t="str">
        <f>IF(AG$4="","",IF(HLOOKUP(AG$4,'Physical Effects-Numbers'!$B$1:$AU$172,$B150,FALSE)&lt;0,HLOOKUP(AG$4,'Physical Effects-Numbers'!$B$1:$AU$172,$B150,FALSE),""))</f>
        <v/>
      </c>
      <c r="AH150" s="488" t="str">
        <f>IF(AH$4="","",IF(HLOOKUP(AH$4,'Physical Effects-Numbers'!$B$1:$AU$172,$B150,FALSE)&lt;0,HLOOKUP(AH$4,'Physical Effects-Numbers'!$B$1:$AU$172,$B150,FALSE),""))</f>
        <v/>
      </c>
      <c r="AI150" s="488" t="str">
        <f>IF(AI$4="","",IF(HLOOKUP(AI$4,'Physical Effects-Numbers'!$B$1:$AU$172,$B150,FALSE)&lt;0,HLOOKUP(AI$4,'Physical Effects-Numbers'!$B$1:$AU$172,$B150,FALSE),""))</f>
        <v/>
      </c>
      <c r="AJ150" s="488" t="str">
        <f>IF(AJ$4="","",IF(HLOOKUP(AJ$4,'Physical Effects-Numbers'!$B$1:$AU$172,$B150,FALSE)&lt;0,HLOOKUP(AJ$4,'Physical Effects-Numbers'!$B$1:$AU$172,$B150,FALSE),""))</f>
        <v/>
      </c>
      <c r="AK150" s="488" t="str">
        <f>IF(AK$4="","",IF(HLOOKUP(AK$4,'Physical Effects-Numbers'!$B$1:$AU$172,$B150,FALSE)&lt;0,HLOOKUP(AK$4,'Physical Effects-Numbers'!$B$1:$AU$172,$B150,FALSE),""))</f>
        <v/>
      </c>
      <c r="AL150" s="488" t="str">
        <f>IF(AL$4="","",IF(HLOOKUP(AL$4,'Physical Effects-Numbers'!$B$1:$AU$172,$B150,FALSE)&lt;0,HLOOKUP(AL$4,'Physical Effects-Numbers'!$B$1:$AU$172,$B150,FALSE),""))</f>
        <v/>
      </c>
      <c r="AM150" s="488" t="str">
        <f>IF(AM$4="","",IF(HLOOKUP(AM$4,'Physical Effects-Numbers'!$B$1:$AU$172,$B150,FALSE)&lt;0,HLOOKUP(AM$4,'Physical Effects-Numbers'!$B$1:$AU$172,$B150,FALSE),""))</f>
        <v/>
      </c>
      <c r="AN150" s="488" t="str">
        <f>IF(AN$4="","",IF(HLOOKUP(AN$4,'Physical Effects-Numbers'!$B$1:$AU$172,$B150,FALSE)&lt;0,HLOOKUP(AN$4,'Physical Effects-Numbers'!$B$1:$AU$172,$B150,FALSE),""))</f>
        <v/>
      </c>
      <c r="AO150" s="488" t="str">
        <f>IF(AO$4="","",IF(HLOOKUP(AO$4,'Physical Effects-Numbers'!$B$1:$AU$172,$B150,FALSE)&lt;0,HLOOKUP(AO$4,'Physical Effects-Numbers'!$B$1:$AU$172,$B150,FALSE),""))</f>
        <v/>
      </c>
      <c r="AP150" s="488" t="str">
        <f>IF(AP$4="","",IF(HLOOKUP(AP$4,'Physical Effects-Numbers'!$B$1:$AU$172,$B150,FALSE)&lt;0,HLOOKUP(AP$4,'Physical Effects-Numbers'!$B$1:$AU$172,$B150,FALSE),""))</f>
        <v/>
      </c>
      <c r="AQ150" s="488" t="str">
        <f>IF(AQ$4="","",IF(HLOOKUP(AQ$4,'Physical Effects-Numbers'!$B$1:$AU$172,$B150,FALSE)&lt;0,HLOOKUP(AQ$4,'Physical Effects-Numbers'!$B$1:$AU$172,$B150,FALSE),""))</f>
        <v/>
      </c>
      <c r="AR150" s="488" t="str">
        <f>IF(AR$4="","",IF(HLOOKUP(AR$4,'Physical Effects-Numbers'!$B$1:$AU$172,$B150,FALSE)&lt;0,HLOOKUP(AR$4,'Physical Effects-Numbers'!$B$1:$AU$172,$B150,FALSE),""))</f>
        <v/>
      </c>
      <c r="AS150" s="488" t="str">
        <f>IF(AS$4="","",IF(HLOOKUP(AS$4,'Physical Effects-Numbers'!$B$1:$AU$172,$B150,FALSE)&lt;0,HLOOKUP(AS$4,'Physical Effects-Numbers'!$B$1:$AU$172,$B150,FALSE),""))</f>
        <v/>
      </c>
      <c r="AT150" s="488" t="str">
        <f>IF(AT$4="","",IF(HLOOKUP(AT$4,'Physical Effects-Numbers'!$B$1:$AU$172,$B150,FALSE)&lt;0,HLOOKUP(AT$4,'Physical Effects-Numbers'!$B$1:$AU$172,$B150,FALSE),""))</f>
        <v/>
      </c>
      <c r="AU150" s="488" t="str">
        <f>IF(AU$4="","",IF(HLOOKUP(AU$4,'Physical Effects-Numbers'!$B$1:$AU$172,$B150,FALSE)&lt;0,HLOOKUP(AU$4,'Physical Effects-Numbers'!$B$1:$AU$172,$B150,FALSE),""))</f>
        <v/>
      </c>
      <c r="AV150" s="488" t="str">
        <f>IF(AV$4="","",IF(HLOOKUP(AV$4,'Physical Effects-Numbers'!$B$1:$AU$167,$B150,FALSE)&lt;0,HLOOKUP(AV$4,'Physical Effects-Numbers'!$B$1:$AU$167,$B150,FALSE),""))</f>
        <v/>
      </c>
    </row>
    <row r="151" spans="2:48" x14ac:dyDescent="0.2">
      <c r="B151" s="487">
        <f t="shared" si="2"/>
        <v>148</v>
      </c>
      <c r="C151" s="486" t="str">
        <f>+'Physical Effects-Numbers'!B148</f>
        <v xml:space="preserve">Vegetated Treatment Area </v>
      </c>
      <c r="D151" s="488" t="str">
        <f>IF(D$4="","",IF(HLOOKUP(D$4,'Physical Effects-Numbers'!$B$1:$AU$172,$B151,FALSE)&lt;0,HLOOKUP(D$4,'Physical Effects-Numbers'!$B$1:$AU$172,$B151,FALSE),""))</f>
        <v/>
      </c>
      <c r="E151" s="488" t="str">
        <f>IF(E$4="","",IF(HLOOKUP(E$4,'Physical Effects-Numbers'!$B$1:$AU$172,$B151,FALSE)&lt;0,HLOOKUP(E$4,'Physical Effects-Numbers'!$B$1:$AU$172,$B151,FALSE),""))</f>
        <v/>
      </c>
      <c r="F151" s="488" t="str">
        <f>IF(F$4="","",IF(HLOOKUP(F$4,'Physical Effects-Numbers'!$B$1:$AU$172,$B151,FALSE)&lt;0,HLOOKUP(F$4,'Physical Effects-Numbers'!$B$1:$AU$172,$B151,FALSE),""))</f>
        <v/>
      </c>
      <c r="G151" s="488" t="str">
        <f>IF(G$4="","",IF(HLOOKUP(G$4,'Physical Effects-Numbers'!$B$1:$AU$172,$B151,FALSE)&lt;0,HLOOKUP(G$4,'Physical Effects-Numbers'!$B$1:$AU$172,$B151,FALSE),""))</f>
        <v/>
      </c>
      <c r="H151" s="488" t="str">
        <f>IF(H$4="","",IF(HLOOKUP(H$4,'Physical Effects-Numbers'!$B$1:$AU$172,$B151,FALSE)&lt;0,HLOOKUP(H$4,'Physical Effects-Numbers'!$B$1:$AU$172,$B151,FALSE),""))</f>
        <v/>
      </c>
      <c r="I151" s="488" t="str">
        <f>IF(I$4="","",IF(HLOOKUP(I$4,'Physical Effects-Numbers'!$B$1:$AU$172,$B151,FALSE)&lt;0,HLOOKUP(I$4,'Physical Effects-Numbers'!$B$1:$AU$172,$B151,FALSE),""))</f>
        <v/>
      </c>
      <c r="J151" s="488" t="str">
        <f>IF(J$4="","",IF(HLOOKUP(J$4,'Physical Effects-Numbers'!$B$1:$AU$172,$B151,FALSE)&lt;0,HLOOKUP(J$4,'Physical Effects-Numbers'!$B$1:$AU$172,$B151,FALSE),""))</f>
        <v/>
      </c>
      <c r="K151" s="488" t="str">
        <f>IF(K$4="","",IF(HLOOKUP(K$4,'Physical Effects-Numbers'!$B$1:$AU$172,$B151,FALSE)&lt;0,HLOOKUP(K$4,'Physical Effects-Numbers'!$B$1:$AU$172,$B151,FALSE),""))</f>
        <v/>
      </c>
      <c r="L151" s="488">
        <f>IF(L$4="","",IF(HLOOKUP(L$4,'Physical Effects-Numbers'!$B$1:$AU$172,$B151,FALSE)&lt;0,HLOOKUP(L$4,'Physical Effects-Numbers'!$B$1:$AU$172,$B151,FALSE),""))</f>
        <v>-2</v>
      </c>
      <c r="M151" s="488">
        <f>IF(M$4="","",IF(HLOOKUP(M$4,'Physical Effects-Numbers'!$B$1:$AU$172,$B151,FALSE)&lt;0,HLOOKUP(M$4,'Physical Effects-Numbers'!$B$1:$AU$172,$B151,FALSE),""))</f>
        <v>-1</v>
      </c>
      <c r="N151" s="488" t="str">
        <f>IF(N$4="","",IF(HLOOKUP(N$4,'Physical Effects-Numbers'!$B$1:$AU$172,$B151,FALSE)&lt;0,HLOOKUP(N$4,'Physical Effects-Numbers'!$B$1:$AU$172,$B151,FALSE),""))</f>
        <v/>
      </c>
      <c r="O151" s="488">
        <f>IF(O$4="","",IF(HLOOKUP(O$4,'Physical Effects-Numbers'!$B$1:$AU$172,$B151,FALSE)&lt;0,HLOOKUP(O$4,'Physical Effects-Numbers'!$B$1:$AU$172,$B151,FALSE),""))</f>
        <v>-2</v>
      </c>
      <c r="P151" s="488" t="str">
        <f>IF(P$4="","",IF(HLOOKUP(P$4,'Physical Effects-Numbers'!$B$1:$AU$172,$B151,FALSE)&lt;0,HLOOKUP(P$4,'Physical Effects-Numbers'!$B$1:$AU$172,$B151,FALSE),""))</f>
        <v/>
      </c>
      <c r="Q151" s="488" t="str">
        <f>IF(Q$4="","",IF(HLOOKUP(Q$4,'Physical Effects-Numbers'!$B$1:$AU$172,$B151,FALSE)&lt;0,HLOOKUP(Q$4,'Physical Effects-Numbers'!$B$1:$AU$172,$B151,FALSE),""))</f>
        <v/>
      </c>
      <c r="R151" s="488" t="str">
        <f>IF(R$4="","",IF(HLOOKUP(R$4,'Physical Effects-Numbers'!$B$1:$AU$172,$B151,FALSE)&lt;0,HLOOKUP(R$4,'Physical Effects-Numbers'!$B$1:$AU$172,$B151,FALSE),""))</f>
        <v/>
      </c>
      <c r="S151" s="488" t="str">
        <f>IF(S$4="","",IF(HLOOKUP(S$4,'Physical Effects-Numbers'!$B$1:$AU$172,$B151,FALSE)&lt;0,HLOOKUP(S$4,'Physical Effects-Numbers'!$B$1:$AU$172,$B151,FALSE),""))</f>
        <v/>
      </c>
      <c r="T151" s="488" t="str">
        <f>IF(T$4="","",IF(HLOOKUP(T$4,'Physical Effects-Numbers'!$B$1:$AU$172,$B151,FALSE)&lt;0,HLOOKUP(T$4,'Physical Effects-Numbers'!$B$1:$AU$172,$B151,FALSE),""))</f>
        <v/>
      </c>
      <c r="U151" s="488" t="str">
        <f>IF(U$4="","",IF(HLOOKUP(U$4,'Physical Effects-Numbers'!$B$1:$AU$172,$B151,FALSE)&lt;0,HLOOKUP(U$4,'Physical Effects-Numbers'!$B$1:$AU$172,$B151,FALSE),""))</f>
        <v/>
      </c>
      <c r="V151" s="488">
        <f>IF(V$4="","",IF(HLOOKUP(V$4,'Physical Effects-Numbers'!$B$1:$AU$172,$B151,FALSE)&lt;0,HLOOKUP(V$4,'Physical Effects-Numbers'!$B$1:$AU$172,$B151,FALSE),""))</f>
        <v>-2</v>
      </c>
      <c r="W151" s="488" t="str">
        <f>IF(W$4="","",IF(HLOOKUP(W$4,'Physical Effects-Numbers'!$B$1:$AU$172,$B151,FALSE)&lt;0,HLOOKUP(W$4,'Physical Effects-Numbers'!$B$1:$AU$172,$B151,FALSE),""))</f>
        <v/>
      </c>
      <c r="X151" s="488">
        <f>IF(X$4="","",IF(HLOOKUP(X$4,'Physical Effects-Numbers'!$B$1:$AU$172,$B151,FALSE)&lt;0,HLOOKUP(X$4,'Physical Effects-Numbers'!$B$1:$AU$172,$B151,FALSE),""))</f>
        <v>-2</v>
      </c>
      <c r="Y151" s="488" t="str">
        <f>IF(Y$4="","",IF(HLOOKUP(Y$4,'Physical Effects-Numbers'!$B$1:$AU$172,$B151,FALSE)&lt;0,HLOOKUP(Y$4,'Physical Effects-Numbers'!$B$1:$AU$172,$B151,FALSE),""))</f>
        <v/>
      </c>
      <c r="Z151" s="488" t="str">
        <f>IF(Z$4="","",IF(HLOOKUP(Z$4,'Physical Effects-Numbers'!$B$1:$AU$172,$B151,FALSE)&lt;0,HLOOKUP(Z$4,'Physical Effects-Numbers'!$B$1:$AU$172,$B151,FALSE),""))</f>
        <v/>
      </c>
      <c r="AA151" s="488" t="str">
        <f>IF(AA$4="","",IF(HLOOKUP(AA$4,'Physical Effects-Numbers'!$B$1:$AU$172,$B151,FALSE)&lt;0,HLOOKUP(AA$4,'Physical Effects-Numbers'!$B$1:$AU$172,$B151,FALSE),""))</f>
        <v/>
      </c>
      <c r="AB151" s="488" t="str">
        <f>IF(AB$4="","",IF(HLOOKUP(AB$4,'Physical Effects-Numbers'!$B$1:$AU$172,$B151,FALSE)&lt;0,HLOOKUP(AB$4,'Physical Effects-Numbers'!$B$1:$AU$172,$B151,FALSE),""))</f>
        <v/>
      </c>
      <c r="AC151" s="488" t="str">
        <f>IF(AC$4="","",IF(HLOOKUP(AC$4,'Physical Effects-Numbers'!$B$1:$AU$172,$B151,FALSE)&lt;0,HLOOKUP(AC$4,'Physical Effects-Numbers'!$B$1:$AU$172,$B151,FALSE),""))</f>
        <v/>
      </c>
      <c r="AD151" s="488" t="str">
        <f>IF(AD$4="","",IF(HLOOKUP(AD$4,'Physical Effects-Numbers'!$B$1:$AU$172,$B151,FALSE)&lt;0,HLOOKUP(AD$4,'Physical Effects-Numbers'!$B$1:$AU$172,$B151,FALSE),""))</f>
        <v/>
      </c>
      <c r="AE151" s="488" t="str">
        <f>IF(AE$4="","",IF(HLOOKUP(AE$4,'Physical Effects-Numbers'!$B$1:$AU$172,$B151,FALSE)&lt;0,HLOOKUP(AE$4,'Physical Effects-Numbers'!$B$1:$AU$172,$B151,FALSE),""))</f>
        <v/>
      </c>
      <c r="AF151" s="488" t="str">
        <f>IF(AF$4="","",IF(HLOOKUP(AF$4,'Physical Effects-Numbers'!$B$1:$AU$172,$B151,FALSE)&lt;0,HLOOKUP(AF$4,'Physical Effects-Numbers'!$B$1:$AU$172,$B151,FALSE),""))</f>
        <v/>
      </c>
      <c r="AG151" s="488" t="str">
        <f>IF(AG$4="","",IF(HLOOKUP(AG$4,'Physical Effects-Numbers'!$B$1:$AU$172,$B151,FALSE)&lt;0,HLOOKUP(AG$4,'Physical Effects-Numbers'!$B$1:$AU$172,$B151,FALSE),""))</f>
        <v/>
      </c>
      <c r="AH151" s="488" t="str">
        <f>IF(AH$4="","",IF(HLOOKUP(AH$4,'Physical Effects-Numbers'!$B$1:$AU$172,$B151,FALSE)&lt;0,HLOOKUP(AH$4,'Physical Effects-Numbers'!$B$1:$AU$172,$B151,FALSE),""))</f>
        <v/>
      </c>
      <c r="AI151" s="488" t="str">
        <f>IF(AI$4="","",IF(HLOOKUP(AI$4,'Physical Effects-Numbers'!$B$1:$AU$172,$B151,FALSE)&lt;0,HLOOKUP(AI$4,'Physical Effects-Numbers'!$B$1:$AU$172,$B151,FALSE),""))</f>
        <v/>
      </c>
      <c r="AJ151" s="488" t="str">
        <f>IF(AJ$4="","",IF(HLOOKUP(AJ$4,'Physical Effects-Numbers'!$B$1:$AU$172,$B151,FALSE)&lt;0,HLOOKUP(AJ$4,'Physical Effects-Numbers'!$B$1:$AU$172,$B151,FALSE),""))</f>
        <v/>
      </c>
      <c r="AK151" s="488" t="str">
        <f>IF(AK$4="","",IF(HLOOKUP(AK$4,'Physical Effects-Numbers'!$B$1:$AU$172,$B151,FALSE)&lt;0,HLOOKUP(AK$4,'Physical Effects-Numbers'!$B$1:$AU$172,$B151,FALSE),""))</f>
        <v/>
      </c>
      <c r="AL151" s="488" t="str">
        <f>IF(AL$4="","",IF(HLOOKUP(AL$4,'Physical Effects-Numbers'!$B$1:$AU$172,$B151,FALSE)&lt;0,HLOOKUP(AL$4,'Physical Effects-Numbers'!$B$1:$AU$172,$B151,FALSE),""))</f>
        <v/>
      </c>
      <c r="AM151" s="488" t="str">
        <f>IF(AM$4="","",IF(HLOOKUP(AM$4,'Physical Effects-Numbers'!$B$1:$AU$172,$B151,FALSE)&lt;0,HLOOKUP(AM$4,'Physical Effects-Numbers'!$B$1:$AU$172,$B151,FALSE),""))</f>
        <v/>
      </c>
      <c r="AN151" s="488" t="str">
        <f>IF(AN$4="","",IF(HLOOKUP(AN$4,'Physical Effects-Numbers'!$B$1:$AU$172,$B151,FALSE)&lt;0,HLOOKUP(AN$4,'Physical Effects-Numbers'!$B$1:$AU$172,$B151,FALSE),""))</f>
        <v/>
      </c>
      <c r="AO151" s="488" t="str">
        <f>IF(AO$4="","",IF(HLOOKUP(AO$4,'Physical Effects-Numbers'!$B$1:$AU$172,$B151,FALSE)&lt;0,HLOOKUP(AO$4,'Physical Effects-Numbers'!$B$1:$AU$172,$B151,FALSE),""))</f>
        <v/>
      </c>
      <c r="AP151" s="488" t="str">
        <f>IF(AP$4="","",IF(HLOOKUP(AP$4,'Physical Effects-Numbers'!$B$1:$AU$172,$B151,FALSE)&lt;0,HLOOKUP(AP$4,'Physical Effects-Numbers'!$B$1:$AU$172,$B151,FALSE),""))</f>
        <v/>
      </c>
      <c r="AQ151" s="488" t="str">
        <f>IF(AQ$4="","",IF(HLOOKUP(AQ$4,'Physical Effects-Numbers'!$B$1:$AU$172,$B151,FALSE)&lt;0,HLOOKUP(AQ$4,'Physical Effects-Numbers'!$B$1:$AU$172,$B151,FALSE),""))</f>
        <v/>
      </c>
      <c r="AR151" s="488" t="str">
        <f>IF(AR$4="","",IF(HLOOKUP(AR$4,'Physical Effects-Numbers'!$B$1:$AU$172,$B151,FALSE)&lt;0,HLOOKUP(AR$4,'Physical Effects-Numbers'!$B$1:$AU$172,$B151,FALSE),""))</f>
        <v/>
      </c>
      <c r="AS151" s="488" t="str">
        <f>IF(AS$4="","",IF(HLOOKUP(AS$4,'Physical Effects-Numbers'!$B$1:$AU$172,$B151,FALSE)&lt;0,HLOOKUP(AS$4,'Physical Effects-Numbers'!$B$1:$AU$172,$B151,FALSE),""))</f>
        <v/>
      </c>
      <c r="AT151" s="488" t="str">
        <f>IF(AT$4="","",IF(HLOOKUP(AT$4,'Physical Effects-Numbers'!$B$1:$AU$172,$B151,FALSE)&lt;0,HLOOKUP(AT$4,'Physical Effects-Numbers'!$B$1:$AU$172,$B151,FALSE),""))</f>
        <v/>
      </c>
      <c r="AU151" s="488" t="str">
        <f>IF(AU$4="","",IF(HLOOKUP(AU$4,'Physical Effects-Numbers'!$B$1:$AU$172,$B151,FALSE)&lt;0,HLOOKUP(AU$4,'Physical Effects-Numbers'!$B$1:$AU$172,$B151,FALSE),""))</f>
        <v/>
      </c>
      <c r="AV151" s="488" t="str">
        <f>IF(AV$4="","",IF(HLOOKUP(AV$4,'Physical Effects-Numbers'!$B$1:$AU$167,$B151,FALSE)&lt;0,HLOOKUP(AV$4,'Physical Effects-Numbers'!$B$1:$AU$167,$B151,FALSE),""))</f>
        <v/>
      </c>
    </row>
    <row r="152" spans="2:48" x14ac:dyDescent="0.2">
      <c r="B152" s="487">
        <f t="shared" si="2"/>
        <v>149</v>
      </c>
      <c r="C152" s="486" t="str">
        <f>+'Physical Effects-Numbers'!B149</f>
        <v>Vegetative Barrier</v>
      </c>
      <c r="D152" s="488" t="str">
        <f>IF(D$4="","",IF(HLOOKUP(D$4,'Physical Effects-Numbers'!$B$1:$AU$172,$B152,FALSE)&lt;0,HLOOKUP(D$4,'Physical Effects-Numbers'!$B$1:$AU$172,$B152,FALSE),""))</f>
        <v/>
      </c>
      <c r="E152" s="488" t="str">
        <f>IF(E$4="","",IF(HLOOKUP(E$4,'Physical Effects-Numbers'!$B$1:$AU$172,$B152,FALSE)&lt;0,HLOOKUP(E$4,'Physical Effects-Numbers'!$B$1:$AU$172,$B152,FALSE),""))</f>
        <v/>
      </c>
      <c r="F152" s="488" t="str">
        <f>IF(F$4="","",IF(HLOOKUP(F$4,'Physical Effects-Numbers'!$B$1:$AU$172,$B152,FALSE)&lt;0,HLOOKUP(F$4,'Physical Effects-Numbers'!$B$1:$AU$172,$B152,FALSE),""))</f>
        <v/>
      </c>
      <c r="G152" s="488" t="str">
        <f>IF(G$4="","",IF(HLOOKUP(G$4,'Physical Effects-Numbers'!$B$1:$AU$172,$B152,FALSE)&lt;0,HLOOKUP(G$4,'Physical Effects-Numbers'!$B$1:$AU$172,$B152,FALSE),""))</f>
        <v/>
      </c>
      <c r="H152" s="488" t="str">
        <f>IF(H$4="","",IF(HLOOKUP(H$4,'Physical Effects-Numbers'!$B$1:$AU$172,$B152,FALSE)&lt;0,HLOOKUP(H$4,'Physical Effects-Numbers'!$B$1:$AU$172,$B152,FALSE),""))</f>
        <v/>
      </c>
      <c r="I152" s="488" t="str">
        <f>IF(I$4="","",IF(HLOOKUP(I$4,'Physical Effects-Numbers'!$B$1:$AU$172,$B152,FALSE)&lt;0,HLOOKUP(I$4,'Physical Effects-Numbers'!$B$1:$AU$172,$B152,FALSE),""))</f>
        <v/>
      </c>
      <c r="J152" s="488" t="str">
        <f>IF(J$4="","",IF(HLOOKUP(J$4,'Physical Effects-Numbers'!$B$1:$AU$172,$B152,FALSE)&lt;0,HLOOKUP(J$4,'Physical Effects-Numbers'!$B$1:$AU$172,$B152,FALSE),""))</f>
        <v/>
      </c>
      <c r="K152" s="488" t="str">
        <f>IF(K$4="","",IF(HLOOKUP(K$4,'Physical Effects-Numbers'!$B$1:$AU$172,$B152,FALSE)&lt;0,HLOOKUP(K$4,'Physical Effects-Numbers'!$B$1:$AU$172,$B152,FALSE),""))</f>
        <v/>
      </c>
      <c r="L152" s="488">
        <f>IF(L$4="","",IF(HLOOKUP(L$4,'Physical Effects-Numbers'!$B$1:$AU$172,$B152,FALSE)&lt;0,HLOOKUP(L$4,'Physical Effects-Numbers'!$B$1:$AU$172,$B152,FALSE),""))</f>
        <v>-2</v>
      </c>
      <c r="M152" s="488" t="str">
        <f>IF(M$4="","",IF(HLOOKUP(M$4,'Physical Effects-Numbers'!$B$1:$AU$172,$B152,FALSE)&lt;0,HLOOKUP(M$4,'Physical Effects-Numbers'!$B$1:$AU$172,$B152,FALSE),""))</f>
        <v/>
      </c>
      <c r="N152" s="488" t="str">
        <f>IF(N$4="","",IF(HLOOKUP(N$4,'Physical Effects-Numbers'!$B$1:$AU$172,$B152,FALSE)&lt;0,HLOOKUP(N$4,'Physical Effects-Numbers'!$B$1:$AU$172,$B152,FALSE),""))</f>
        <v/>
      </c>
      <c r="O152" s="488" t="str">
        <f>IF(O$4="","",IF(HLOOKUP(O$4,'Physical Effects-Numbers'!$B$1:$AU$172,$B152,FALSE)&lt;0,HLOOKUP(O$4,'Physical Effects-Numbers'!$B$1:$AU$172,$B152,FALSE),""))</f>
        <v/>
      </c>
      <c r="P152" s="488" t="str">
        <f>IF(P$4="","",IF(HLOOKUP(P$4,'Physical Effects-Numbers'!$B$1:$AU$172,$B152,FALSE)&lt;0,HLOOKUP(P$4,'Physical Effects-Numbers'!$B$1:$AU$172,$B152,FALSE),""))</f>
        <v/>
      </c>
      <c r="Q152" s="488" t="str">
        <f>IF(Q$4="","",IF(HLOOKUP(Q$4,'Physical Effects-Numbers'!$B$1:$AU$172,$B152,FALSE)&lt;0,HLOOKUP(Q$4,'Physical Effects-Numbers'!$B$1:$AU$172,$B152,FALSE),""))</f>
        <v/>
      </c>
      <c r="R152" s="488" t="str">
        <f>IF(R$4="","",IF(HLOOKUP(R$4,'Physical Effects-Numbers'!$B$1:$AU$172,$B152,FALSE)&lt;0,HLOOKUP(R$4,'Physical Effects-Numbers'!$B$1:$AU$172,$B152,FALSE),""))</f>
        <v/>
      </c>
      <c r="S152" s="488" t="str">
        <f>IF(S$4="","",IF(HLOOKUP(S$4,'Physical Effects-Numbers'!$B$1:$AU$172,$B152,FALSE)&lt;0,HLOOKUP(S$4,'Physical Effects-Numbers'!$B$1:$AU$172,$B152,FALSE),""))</f>
        <v/>
      </c>
      <c r="T152" s="488" t="str">
        <f>IF(T$4="","",IF(HLOOKUP(T$4,'Physical Effects-Numbers'!$B$1:$AU$172,$B152,FALSE)&lt;0,HLOOKUP(T$4,'Physical Effects-Numbers'!$B$1:$AU$172,$B152,FALSE),""))</f>
        <v/>
      </c>
      <c r="U152" s="488" t="str">
        <f>IF(U$4="","",IF(HLOOKUP(U$4,'Physical Effects-Numbers'!$B$1:$AU$172,$B152,FALSE)&lt;0,HLOOKUP(U$4,'Physical Effects-Numbers'!$B$1:$AU$172,$B152,FALSE),""))</f>
        <v/>
      </c>
      <c r="V152" s="488" t="str">
        <f>IF(V$4="","",IF(HLOOKUP(V$4,'Physical Effects-Numbers'!$B$1:$AU$172,$B152,FALSE)&lt;0,HLOOKUP(V$4,'Physical Effects-Numbers'!$B$1:$AU$172,$B152,FALSE),""))</f>
        <v/>
      </c>
      <c r="W152" s="488" t="str">
        <f>IF(W$4="","",IF(HLOOKUP(W$4,'Physical Effects-Numbers'!$B$1:$AU$172,$B152,FALSE)&lt;0,HLOOKUP(W$4,'Physical Effects-Numbers'!$B$1:$AU$172,$B152,FALSE),""))</f>
        <v/>
      </c>
      <c r="X152" s="488" t="str">
        <f>IF(X$4="","",IF(HLOOKUP(X$4,'Physical Effects-Numbers'!$B$1:$AU$172,$B152,FALSE)&lt;0,HLOOKUP(X$4,'Physical Effects-Numbers'!$B$1:$AU$172,$B152,FALSE),""))</f>
        <v/>
      </c>
      <c r="Y152" s="488" t="str">
        <f>IF(Y$4="","",IF(HLOOKUP(Y$4,'Physical Effects-Numbers'!$B$1:$AU$172,$B152,FALSE)&lt;0,HLOOKUP(Y$4,'Physical Effects-Numbers'!$B$1:$AU$172,$B152,FALSE),""))</f>
        <v/>
      </c>
      <c r="Z152" s="488" t="str">
        <f>IF(Z$4="","",IF(HLOOKUP(Z$4,'Physical Effects-Numbers'!$B$1:$AU$172,$B152,FALSE)&lt;0,HLOOKUP(Z$4,'Physical Effects-Numbers'!$B$1:$AU$172,$B152,FALSE),""))</f>
        <v/>
      </c>
      <c r="AA152" s="488" t="str">
        <f>IF(AA$4="","",IF(HLOOKUP(AA$4,'Physical Effects-Numbers'!$B$1:$AU$172,$B152,FALSE)&lt;0,HLOOKUP(AA$4,'Physical Effects-Numbers'!$B$1:$AU$172,$B152,FALSE),""))</f>
        <v/>
      </c>
      <c r="AB152" s="488" t="str">
        <f>IF(AB$4="","",IF(HLOOKUP(AB$4,'Physical Effects-Numbers'!$B$1:$AU$172,$B152,FALSE)&lt;0,HLOOKUP(AB$4,'Physical Effects-Numbers'!$B$1:$AU$172,$B152,FALSE),""))</f>
        <v/>
      </c>
      <c r="AC152" s="488" t="str">
        <f>IF(AC$4="","",IF(HLOOKUP(AC$4,'Physical Effects-Numbers'!$B$1:$AU$172,$B152,FALSE)&lt;0,HLOOKUP(AC$4,'Physical Effects-Numbers'!$B$1:$AU$172,$B152,FALSE),""))</f>
        <v/>
      </c>
      <c r="AD152" s="488" t="str">
        <f>IF(AD$4="","",IF(HLOOKUP(AD$4,'Physical Effects-Numbers'!$B$1:$AU$172,$B152,FALSE)&lt;0,HLOOKUP(AD$4,'Physical Effects-Numbers'!$B$1:$AU$172,$B152,FALSE),""))</f>
        <v/>
      </c>
      <c r="AE152" s="488" t="str">
        <f>IF(AE$4="","",IF(HLOOKUP(AE$4,'Physical Effects-Numbers'!$B$1:$AU$172,$B152,FALSE)&lt;0,HLOOKUP(AE$4,'Physical Effects-Numbers'!$B$1:$AU$172,$B152,FALSE),""))</f>
        <v/>
      </c>
      <c r="AF152" s="488" t="str">
        <f>IF(AF$4="","",IF(HLOOKUP(AF$4,'Physical Effects-Numbers'!$B$1:$AU$172,$B152,FALSE)&lt;0,HLOOKUP(AF$4,'Physical Effects-Numbers'!$B$1:$AU$172,$B152,FALSE),""))</f>
        <v/>
      </c>
      <c r="AG152" s="488" t="str">
        <f>IF(AG$4="","",IF(HLOOKUP(AG$4,'Physical Effects-Numbers'!$B$1:$AU$172,$B152,FALSE)&lt;0,HLOOKUP(AG$4,'Physical Effects-Numbers'!$B$1:$AU$172,$B152,FALSE),""))</f>
        <v/>
      </c>
      <c r="AH152" s="488" t="str">
        <f>IF(AH$4="","",IF(HLOOKUP(AH$4,'Physical Effects-Numbers'!$B$1:$AU$172,$B152,FALSE)&lt;0,HLOOKUP(AH$4,'Physical Effects-Numbers'!$B$1:$AU$172,$B152,FALSE),""))</f>
        <v/>
      </c>
      <c r="AI152" s="488" t="str">
        <f>IF(AI$4="","",IF(HLOOKUP(AI$4,'Physical Effects-Numbers'!$B$1:$AU$172,$B152,FALSE)&lt;0,HLOOKUP(AI$4,'Physical Effects-Numbers'!$B$1:$AU$172,$B152,FALSE),""))</f>
        <v/>
      </c>
      <c r="AJ152" s="488" t="str">
        <f>IF(AJ$4="","",IF(HLOOKUP(AJ$4,'Physical Effects-Numbers'!$B$1:$AU$172,$B152,FALSE)&lt;0,HLOOKUP(AJ$4,'Physical Effects-Numbers'!$B$1:$AU$172,$B152,FALSE),""))</f>
        <v/>
      </c>
      <c r="AK152" s="488" t="str">
        <f>IF(AK$4="","",IF(HLOOKUP(AK$4,'Physical Effects-Numbers'!$B$1:$AU$172,$B152,FALSE)&lt;0,HLOOKUP(AK$4,'Physical Effects-Numbers'!$B$1:$AU$172,$B152,FALSE),""))</f>
        <v/>
      </c>
      <c r="AL152" s="488" t="str">
        <f>IF(AL$4="","",IF(HLOOKUP(AL$4,'Physical Effects-Numbers'!$B$1:$AU$172,$B152,FALSE)&lt;0,HLOOKUP(AL$4,'Physical Effects-Numbers'!$B$1:$AU$172,$B152,FALSE),""))</f>
        <v/>
      </c>
      <c r="AM152" s="488" t="str">
        <f>IF(AM$4="","",IF(HLOOKUP(AM$4,'Physical Effects-Numbers'!$B$1:$AU$172,$B152,FALSE)&lt;0,HLOOKUP(AM$4,'Physical Effects-Numbers'!$B$1:$AU$172,$B152,FALSE),""))</f>
        <v/>
      </c>
      <c r="AN152" s="488" t="str">
        <f>IF(AN$4="","",IF(HLOOKUP(AN$4,'Physical Effects-Numbers'!$B$1:$AU$172,$B152,FALSE)&lt;0,HLOOKUP(AN$4,'Physical Effects-Numbers'!$B$1:$AU$172,$B152,FALSE),""))</f>
        <v/>
      </c>
      <c r="AO152" s="488" t="str">
        <f>IF(AO$4="","",IF(HLOOKUP(AO$4,'Physical Effects-Numbers'!$B$1:$AU$172,$B152,FALSE)&lt;0,HLOOKUP(AO$4,'Physical Effects-Numbers'!$B$1:$AU$172,$B152,FALSE),""))</f>
        <v/>
      </c>
      <c r="AP152" s="488" t="str">
        <f>IF(AP$4="","",IF(HLOOKUP(AP$4,'Physical Effects-Numbers'!$B$1:$AU$172,$B152,FALSE)&lt;0,HLOOKUP(AP$4,'Physical Effects-Numbers'!$B$1:$AU$172,$B152,FALSE),""))</f>
        <v/>
      </c>
      <c r="AQ152" s="488" t="str">
        <f>IF(AQ$4="","",IF(HLOOKUP(AQ$4,'Physical Effects-Numbers'!$B$1:$AU$172,$B152,FALSE)&lt;0,HLOOKUP(AQ$4,'Physical Effects-Numbers'!$B$1:$AU$172,$B152,FALSE),""))</f>
        <v/>
      </c>
      <c r="AR152" s="488" t="str">
        <f>IF(AR$4="","",IF(HLOOKUP(AR$4,'Physical Effects-Numbers'!$B$1:$AU$172,$B152,FALSE)&lt;0,HLOOKUP(AR$4,'Physical Effects-Numbers'!$B$1:$AU$172,$B152,FALSE),""))</f>
        <v/>
      </c>
      <c r="AS152" s="488" t="str">
        <f>IF(AS$4="","",IF(HLOOKUP(AS$4,'Physical Effects-Numbers'!$B$1:$AU$172,$B152,FALSE)&lt;0,HLOOKUP(AS$4,'Physical Effects-Numbers'!$B$1:$AU$172,$B152,FALSE),""))</f>
        <v/>
      </c>
      <c r="AT152" s="488" t="str">
        <f>IF(AT$4="","",IF(HLOOKUP(AT$4,'Physical Effects-Numbers'!$B$1:$AU$172,$B152,FALSE)&lt;0,HLOOKUP(AT$4,'Physical Effects-Numbers'!$B$1:$AU$172,$B152,FALSE),""))</f>
        <v/>
      </c>
      <c r="AU152" s="488" t="str">
        <f>IF(AU$4="","",IF(HLOOKUP(AU$4,'Physical Effects-Numbers'!$B$1:$AU$172,$B152,FALSE)&lt;0,HLOOKUP(AU$4,'Physical Effects-Numbers'!$B$1:$AU$172,$B152,FALSE),""))</f>
        <v/>
      </c>
      <c r="AV152" s="488" t="str">
        <f>IF(AV$4="","",IF(HLOOKUP(AV$4,'Physical Effects-Numbers'!$B$1:$AU$167,$B152,FALSE)&lt;0,HLOOKUP(AV$4,'Physical Effects-Numbers'!$B$1:$AU$167,$B152,FALSE),""))</f>
        <v/>
      </c>
    </row>
    <row r="153" spans="2:48" x14ac:dyDescent="0.2">
      <c r="B153" s="487">
        <f t="shared" si="2"/>
        <v>150</v>
      </c>
      <c r="C153" s="486" t="str">
        <f>+'Physical Effects-Numbers'!B150</f>
        <v>Vertical Drain</v>
      </c>
      <c r="D153" s="488" t="str">
        <f>IF(D$4="","",IF(HLOOKUP(D$4,'Physical Effects-Numbers'!$B$1:$AU$172,$B153,FALSE)&lt;0,HLOOKUP(D$4,'Physical Effects-Numbers'!$B$1:$AU$172,$B153,FALSE),""))</f>
        <v/>
      </c>
      <c r="E153" s="488" t="str">
        <f>IF(E$4="","",IF(HLOOKUP(E$4,'Physical Effects-Numbers'!$B$1:$AU$172,$B153,FALSE)&lt;0,HLOOKUP(E$4,'Physical Effects-Numbers'!$B$1:$AU$172,$B153,FALSE),""))</f>
        <v/>
      </c>
      <c r="F153" s="488" t="str">
        <f>IF(F$4="","",IF(HLOOKUP(F$4,'Physical Effects-Numbers'!$B$1:$AU$172,$B153,FALSE)&lt;0,HLOOKUP(F$4,'Physical Effects-Numbers'!$B$1:$AU$172,$B153,FALSE),""))</f>
        <v/>
      </c>
      <c r="G153" s="488" t="str">
        <f>IF(G$4="","",IF(HLOOKUP(G$4,'Physical Effects-Numbers'!$B$1:$AU$172,$B153,FALSE)&lt;0,HLOOKUP(G$4,'Physical Effects-Numbers'!$B$1:$AU$172,$B153,FALSE),""))</f>
        <v/>
      </c>
      <c r="H153" s="488" t="str">
        <f>IF(H$4="","",IF(HLOOKUP(H$4,'Physical Effects-Numbers'!$B$1:$AU$172,$B153,FALSE)&lt;0,HLOOKUP(H$4,'Physical Effects-Numbers'!$B$1:$AU$172,$B153,FALSE),""))</f>
        <v/>
      </c>
      <c r="I153" s="488" t="str">
        <f>IF(I$4="","",IF(HLOOKUP(I$4,'Physical Effects-Numbers'!$B$1:$AU$172,$B153,FALSE)&lt;0,HLOOKUP(I$4,'Physical Effects-Numbers'!$B$1:$AU$172,$B153,FALSE),""))</f>
        <v/>
      </c>
      <c r="J153" s="488" t="str">
        <f>IF(J$4="","",IF(HLOOKUP(J$4,'Physical Effects-Numbers'!$B$1:$AU$172,$B153,FALSE)&lt;0,HLOOKUP(J$4,'Physical Effects-Numbers'!$B$1:$AU$172,$B153,FALSE),""))</f>
        <v/>
      </c>
      <c r="K153" s="488" t="str">
        <f>IF(K$4="","",IF(HLOOKUP(K$4,'Physical Effects-Numbers'!$B$1:$AU$172,$B153,FALSE)&lt;0,HLOOKUP(K$4,'Physical Effects-Numbers'!$B$1:$AU$172,$B153,FALSE),""))</f>
        <v/>
      </c>
      <c r="L153" s="488" t="str">
        <f>IF(L$4="","",IF(HLOOKUP(L$4,'Physical Effects-Numbers'!$B$1:$AU$172,$B153,FALSE)&lt;0,HLOOKUP(L$4,'Physical Effects-Numbers'!$B$1:$AU$172,$B153,FALSE),""))</f>
        <v/>
      </c>
      <c r="M153" s="488" t="str">
        <f>IF(M$4="","",IF(HLOOKUP(M$4,'Physical Effects-Numbers'!$B$1:$AU$172,$B153,FALSE)&lt;0,HLOOKUP(M$4,'Physical Effects-Numbers'!$B$1:$AU$172,$B153,FALSE),""))</f>
        <v/>
      </c>
      <c r="N153" s="488" t="str">
        <f>IF(N$4="","",IF(HLOOKUP(N$4,'Physical Effects-Numbers'!$B$1:$AU$172,$B153,FALSE)&lt;0,HLOOKUP(N$4,'Physical Effects-Numbers'!$B$1:$AU$172,$B153,FALSE),""))</f>
        <v/>
      </c>
      <c r="O153" s="488">
        <f>IF(O$4="","",IF(HLOOKUP(O$4,'Physical Effects-Numbers'!$B$1:$AU$172,$B153,FALSE)&lt;0,HLOOKUP(O$4,'Physical Effects-Numbers'!$B$1:$AU$172,$B153,FALSE),""))</f>
        <v>-2</v>
      </c>
      <c r="P153" s="488" t="str">
        <f>IF(P$4="","",IF(HLOOKUP(P$4,'Physical Effects-Numbers'!$B$1:$AU$172,$B153,FALSE)&lt;0,HLOOKUP(P$4,'Physical Effects-Numbers'!$B$1:$AU$172,$B153,FALSE),""))</f>
        <v/>
      </c>
      <c r="Q153" s="488" t="str">
        <f>IF(Q$4="","",IF(HLOOKUP(Q$4,'Physical Effects-Numbers'!$B$1:$AU$172,$B153,FALSE)&lt;0,HLOOKUP(Q$4,'Physical Effects-Numbers'!$B$1:$AU$172,$B153,FALSE),""))</f>
        <v/>
      </c>
      <c r="R153" s="488" t="str">
        <f>IF(R$4="","",IF(HLOOKUP(R$4,'Physical Effects-Numbers'!$B$1:$AU$172,$B153,FALSE)&lt;0,HLOOKUP(R$4,'Physical Effects-Numbers'!$B$1:$AU$172,$B153,FALSE),""))</f>
        <v/>
      </c>
      <c r="S153" s="488" t="str">
        <f>IF(S$4="","",IF(HLOOKUP(S$4,'Physical Effects-Numbers'!$B$1:$AU$172,$B153,FALSE)&lt;0,HLOOKUP(S$4,'Physical Effects-Numbers'!$B$1:$AU$172,$B153,FALSE),""))</f>
        <v/>
      </c>
      <c r="T153" s="488">
        <f>IF(T$4="","",IF(HLOOKUP(T$4,'Physical Effects-Numbers'!$B$1:$AU$172,$B153,FALSE)&lt;0,HLOOKUP(T$4,'Physical Effects-Numbers'!$B$1:$AU$172,$B153,FALSE),""))</f>
        <v>-2</v>
      </c>
      <c r="U153" s="488" t="str">
        <f>IF(U$4="","",IF(HLOOKUP(U$4,'Physical Effects-Numbers'!$B$1:$AU$172,$B153,FALSE)&lt;0,HLOOKUP(U$4,'Physical Effects-Numbers'!$B$1:$AU$172,$B153,FALSE),""))</f>
        <v/>
      </c>
      <c r="V153" s="488">
        <f>IF(V$4="","",IF(HLOOKUP(V$4,'Physical Effects-Numbers'!$B$1:$AU$172,$B153,FALSE)&lt;0,HLOOKUP(V$4,'Physical Effects-Numbers'!$B$1:$AU$172,$B153,FALSE),""))</f>
        <v>-2</v>
      </c>
      <c r="W153" s="488" t="str">
        <f>IF(W$4="","",IF(HLOOKUP(W$4,'Physical Effects-Numbers'!$B$1:$AU$172,$B153,FALSE)&lt;0,HLOOKUP(W$4,'Physical Effects-Numbers'!$B$1:$AU$172,$B153,FALSE),""))</f>
        <v/>
      </c>
      <c r="X153" s="488">
        <f>IF(X$4="","",IF(HLOOKUP(X$4,'Physical Effects-Numbers'!$B$1:$AU$172,$B153,FALSE)&lt;0,HLOOKUP(X$4,'Physical Effects-Numbers'!$B$1:$AU$172,$B153,FALSE),""))</f>
        <v>-1</v>
      </c>
      <c r="Y153" s="488" t="str">
        <f>IF(Y$4="","",IF(HLOOKUP(Y$4,'Physical Effects-Numbers'!$B$1:$AU$172,$B153,FALSE)&lt;0,HLOOKUP(Y$4,'Physical Effects-Numbers'!$B$1:$AU$172,$B153,FALSE),""))</f>
        <v/>
      </c>
      <c r="Z153" s="488">
        <f>IF(Z$4="","",IF(HLOOKUP(Z$4,'Physical Effects-Numbers'!$B$1:$AU$172,$B153,FALSE)&lt;0,HLOOKUP(Z$4,'Physical Effects-Numbers'!$B$1:$AU$172,$B153,FALSE),""))</f>
        <v>-1</v>
      </c>
      <c r="AA153" s="488" t="str">
        <f>IF(AA$4="","",IF(HLOOKUP(AA$4,'Physical Effects-Numbers'!$B$1:$AU$172,$B153,FALSE)&lt;0,HLOOKUP(AA$4,'Physical Effects-Numbers'!$B$1:$AU$172,$B153,FALSE),""))</f>
        <v/>
      </c>
      <c r="AB153" s="488" t="str">
        <f>IF(AB$4="","",IF(HLOOKUP(AB$4,'Physical Effects-Numbers'!$B$1:$AU$172,$B153,FALSE)&lt;0,HLOOKUP(AB$4,'Physical Effects-Numbers'!$B$1:$AU$172,$B153,FALSE),""))</f>
        <v/>
      </c>
      <c r="AC153" s="488" t="str">
        <f>IF(AC$4="","",IF(HLOOKUP(AC$4,'Physical Effects-Numbers'!$B$1:$AU$172,$B153,FALSE)&lt;0,HLOOKUP(AC$4,'Physical Effects-Numbers'!$B$1:$AU$172,$B153,FALSE),""))</f>
        <v/>
      </c>
      <c r="AD153" s="488">
        <f>IF(AD$4="","",IF(HLOOKUP(AD$4,'Physical Effects-Numbers'!$B$1:$AU$172,$B153,FALSE)&lt;0,HLOOKUP(AD$4,'Physical Effects-Numbers'!$B$1:$AU$172,$B153,FALSE),""))</f>
        <v>-1</v>
      </c>
      <c r="AE153" s="488" t="str">
        <f>IF(AE$4="","",IF(HLOOKUP(AE$4,'Physical Effects-Numbers'!$B$1:$AU$172,$B153,FALSE)&lt;0,HLOOKUP(AE$4,'Physical Effects-Numbers'!$B$1:$AU$172,$B153,FALSE),""))</f>
        <v/>
      </c>
      <c r="AF153" s="488" t="str">
        <f>IF(AF$4="","",IF(HLOOKUP(AF$4,'Physical Effects-Numbers'!$B$1:$AU$172,$B153,FALSE)&lt;0,HLOOKUP(AF$4,'Physical Effects-Numbers'!$B$1:$AU$172,$B153,FALSE),""))</f>
        <v/>
      </c>
      <c r="AG153" s="488" t="str">
        <f>IF(AG$4="","",IF(HLOOKUP(AG$4,'Physical Effects-Numbers'!$B$1:$AU$172,$B153,FALSE)&lt;0,HLOOKUP(AG$4,'Physical Effects-Numbers'!$B$1:$AU$172,$B153,FALSE),""))</f>
        <v/>
      </c>
      <c r="AH153" s="488" t="str">
        <f>IF(AH$4="","",IF(HLOOKUP(AH$4,'Physical Effects-Numbers'!$B$1:$AU$172,$B153,FALSE)&lt;0,HLOOKUP(AH$4,'Physical Effects-Numbers'!$B$1:$AU$172,$B153,FALSE),""))</f>
        <v/>
      </c>
      <c r="AI153" s="488" t="str">
        <f>IF(AI$4="","",IF(HLOOKUP(AI$4,'Physical Effects-Numbers'!$B$1:$AU$172,$B153,FALSE)&lt;0,HLOOKUP(AI$4,'Physical Effects-Numbers'!$B$1:$AU$172,$B153,FALSE),""))</f>
        <v/>
      </c>
      <c r="AJ153" s="488" t="str">
        <f>IF(AJ$4="","",IF(HLOOKUP(AJ$4,'Physical Effects-Numbers'!$B$1:$AU$172,$B153,FALSE)&lt;0,HLOOKUP(AJ$4,'Physical Effects-Numbers'!$B$1:$AU$172,$B153,FALSE),""))</f>
        <v/>
      </c>
      <c r="AK153" s="488" t="str">
        <f>IF(AK$4="","",IF(HLOOKUP(AK$4,'Physical Effects-Numbers'!$B$1:$AU$172,$B153,FALSE)&lt;0,HLOOKUP(AK$4,'Physical Effects-Numbers'!$B$1:$AU$172,$B153,FALSE),""))</f>
        <v/>
      </c>
      <c r="AL153" s="488" t="str">
        <f>IF(AL$4="","",IF(HLOOKUP(AL$4,'Physical Effects-Numbers'!$B$1:$AU$172,$B153,FALSE)&lt;0,HLOOKUP(AL$4,'Physical Effects-Numbers'!$B$1:$AU$172,$B153,FALSE),""))</f>
        <v/>
      </c>
      <c r="AM153" s="488" t="str">
        <f>IF(AM$4="","",IF(HLOOKUP(AM$4,'Physical Effects-Numbers'!$B$1:$AU$172,$B153,FALSE)&lt;0,HLOOKUP(AM$4,'Physical Effects-Numbers'!$B$1:$AU$172,$B153,FALSE),""))</f>
        <v/>
      </c>
      <c r="AN153" s="488" t="str">
        <f>IF(AN$4="","",IF(HLOOKUP(AN$4,'Physical Effects-Numbers'!$B$1:$AU$172,$B153,FALSE)&lt;0,HLOOKUP(AN$4,'Physical Effects-Numbers'!$B$1:$AU$172,$B153,FALSE),""))</f>
        <v/>
      </c>
      <c r="AO153" s="488" t="str">
        <f>IF(AO$4="","",IF(HLOOKUP(AO$4,'Physical Effects-Numbers'!$B$1:$AU$172,$B153,FALSE)&lt;0,HLOOKUP(AO$4,'Physical Effects-Numbers'!$B$1:$AU$172,$B153,FALSE),""))</f>
        <v/>
      </c>
      <c r="AP153" s="488" t="str">
        <f>IF(AP$4="","",IF(HLOOKUP(AP$4,'Physical Effects-Numbers'!$B$1:$AU$172,$B153,FALSE)&lt;0,HLOOKUP(AP$4,'Physical Effects-Numbers'!$B$1:$AU$172,$B153,FALSE),""))</f>
        <v/>
      </c>
      <c r="AQ153" s="488" t="str">
        <f>IF(AQ$4="","",IF(HLOOKUP(AQ$4,'Physical Effects-Numbers'!$B$1:$AU$172,$B153,FALSE)&lt;0,HLOOKUP(AQ$4,'Physical Effects-Numbers'!$B$1:$AU$172,$B153,FALSE),""))</f>
        <v/>
      </c>
      <c r="AR153" s="488" t="str">
        <f>IF(AR$4="","",IF(HLOOKUP(AR$4,'Physical Effects-Numbers'!$B$1:$AU$172,$B153,FALSE)&lt;0,HLOOKUP(AR$4,'Physical Effects-Numbers'!$B$1:$AU$172,$B153,FALSE),""))</f>
        <v/>
      </c>
      <c r="AS153" s="488" t="str">
        <f>IF(AS$4="","",IF(HLOOKUP(AS$4,'Physical Effects-Numbers'!$B$1:$AU$172,$B153,FALSE)&lt;0,HLOOKUP(AS$4,'Physical Effects-Numbers'!$B$1:$AU$172,$B153,FALSE),""))</f>
        <v/>
      </c>
      <c r="AT153" s="488" t="str">
        <f>IF(AT$4="","",IF(HLOOKUP(AT$4,'Physical Effects-Numbers'!$B$1:$AU$172,$B153,FALSE)&lt;0,HLOOKUP(AT$4,'Physical Effects-Numbers'!$B$1:$AU$172,$B153,FALSE),""))</f>
        <v/>
      </c>
      <c r="AU153" s="488" t="str">
        <f>IF(AU$4="","",IF(HLOOKUP(AU$4,'Physical Effects-Numbers'!$B$1:$AU$172,$B153,FALSE)&lt;0,HLOOKUP(AU$4,'Physical Effects-Numbers'!$B$1:$AU$172,$B153,FALSE),""))</f>
        <v/>
      </c>
      <c r="AV153" s="488" t="str">
        <f>IF(AV$4="","",IF(HLOOKUP(AV$4,'Physical Effects-Numbers'!$B$1:$AU$167,$B153,FALSE)&lt;0,HLOOKUP(AV$4,'Physical Effects-Numbers'!$B$1:$AU$167,$B153,FALSE),""))</f>
        <v/>
      </c>
    </row>
    <row r="154" spans="2:48" x14ac:dyDescent="0.2">
      <c r="B154" s="487">
        <f t="shared" si="2"/>
        <v>151</v>
      </c>
      <c r="C154" s="486" t="str">
        <f>+'Physical Effects-Numbers'!B151</f>
        <v>Waste Facility Closure</v>
      </c>
      <c r="D154" s="488" t="str">
        <f>IF(D$4="","",IF(HLOOKUP(D$4,'Physical Effects-Numbers'!$B$1:$AU$172,$B154,FALSE)&lt;0,HLOOKUP(D$4,'Physical Effects-Numbers'!$B$1:$AU$172,$B154,FALSE),""))</f>
        <v/>
      </c>
      <c r="E154" s="488" t="str">
        <f>IF(E$4="","",IF(HLOOKUP(E$4,'Physical Effects-Numbers'!$B$1:$AU$172,$B154,FALSE)&lt;0,HLOOKUP(E$4,'Physical Effects-Numbers'!$B$1:$AU$172,$B154,FALSE),""))</f>
        <v/>
      </c>
      <c r="F154" s="488" t="str">
        <f>IF(F$4="","",IF(HLOOKUP(F$4,'Physical Effects-Numbers'!$B$1:$AU$172,$B154,FALSE)&lt;0,HLOOKUP(F$4,'Physical Effects-Numbers'!$B$1:$AU$172,$B154,FALSE),""))</f>
        <v/>
      </c>
      <c r="G154" s="488" t="str">
        <f>IF(G$4="","",IF(HLOOKUP(G$4,'Physical Effects-Numbers'!$B$1:$AU$172,$B154,FALSE)&lt;0,HLOOKUP(G$4,'Physical Effects-Numbers'!$B$1:$AU$172,$B154,FALSE),""))</f>
        <v/>
      </c>
      <c r="H154" s="488" t="str">
        <f>IF(H$4="","",IF(HLOOKUP(H$4,'Physical Effects-Numbers'!$B$1:$AU$172,$B154,FALSE)&lt;0,HLOOKUP(H$4,'Physical Effects-Numbers'!$B$1:$AU$172,$B154,FALSE),""))</f>
        <v/>
      </c>
      <c r="I154" s="488" t="str">
        <f>IF(I$4="","",IF(HLOOKUP(I$4,'Physical Effects-Numbers'!$B$1:$AU$172,$B154,FALSE)&lt;0,HLOOKUP(I$4,'Physical Effects-Numbers'!$B$1:$AU$172,$B154,FALSE),""))</f>
        <v/>
      </c>
      <c r="J154" s="488" t="str">
        <f>IF(J$4="","",IF(HLOOKUP(J$4,'Physical Effects-Numbers'!$B$1:$AU$172,$B154,FALSE)&lt;0,HLOOKUP(J$4,'Physical Effects-Numbers'!$B$1:$AU$172,$B154,FALSE),""))</f>
        <v/>
      </c>
      <c r="K154" s="488" t="str">
        <f>IF(K$4="","",IF(HLOOKUP(K$4,'Physical Effects-Numbers'!$B$1:$AU$172,$B154,FALSE)&lt;0,HLOOKUP(K$4,'Physical Effects-Numbers'!$B$1:$AU$172,$B154,FALSE),""))</f>
        <v/>
      </c>
      <c r="L154" s="488" t="str">
        <f>IF(L$4="","",IF(HLOOKUP(L$4,'Physical Effects-Numbers'!$B$1:$AU$172,$B154,FALSE)&lt;0,HLOOKUP(L$4,'Physical Effects-Numbers'!$B$1:$AU$172,$B154,FALSE),""))</f>
        <v/>
      </c>
      <c r="M154" s="488" t="str">
        <f>IF(M$4="","",IF(HLOOKUP(M$4,'Physical Effects-Numbers'!$B$1:$AU$172,$B154,FALSE)&lt;0,HLOOKUP(M$4,'Physical Effects-Numbers'!$B$1:$AU$172,$B154,FALSE),""))</f>
        <v/>
      </c>
      <c r="N154" s="488" t="str">
        <f>IF(N$4="","",IF(HLOOKUP(N$4,'Physical Effects-Numbers'!$B$1:$AU$172,$B154,FALSE)&lt;0,HLOOKUP(N$4,'Physical Effects-Numbers'!$B$1:$AU$172,$B154,FALSE),""))</f>
        <v/>
      </c>
      <c r="O154" s="488" t="str">
        <f>IF(O$4="","",IF(HLOOKUP(O$4,'Physical Effects-Numbers'!$B$1:$AU$172,$B154,FALSE)&lt;0,HLOOKUP(O$4,'Physical Effects-Numbers'!$B$1:$AU$172,$B154,FALSE),""))</f>
        <v/>
      </c>
      <c r="P154" s="488" t="str">
        <f>IF(P$4="","",IF(HLOOKUP(P$4,'Physical Effects-Numbers'!$B$1:$AU$172,$B154,FALSE)&lt;0,HLOOKUP(P$4,'Physical Effects-Numbers'!$B$1:$AU$172,$B154,FALSE),""))</f>
        <v/>
      </c>
      <c r="Q154" s="488" t="str">
        <f>IF(Q$4="","",IF(HLOOKUP(Q$4,'Physical Effects-Numbers'!$B$1:$AU$172,$B154,FALSE)&lt;0,HLOOKUP(Q$4,'Physical Effects-Numbers'!$B$1:$AU$172,$B154,FALSE),""))</f>
        <v/>
      </c>
      <c r="R154" s="488" t="str">
        <f>IF(R$4="","",IF(HLOOKUP(R$4,'Physical Effects-Numbers'!$B$1:$AU$172,$B154,FALSE)&lt;0,HLOOKUP(R$4,'Physical Effects-Numbers'!$B$1:$AU$172,$B154,FALSE),""))</f>
        <v/>
      </c>
      <c r="S154" s="488" t="str">
        <f>IF(S$4="","",IF(HLOOKUP(S$4,'Physical Effects-Numbers'!$B$1:$AU$172,$B154,FALSE)&lt;0,HLOOKUP(S$4,'Physical Effects-Numbers'!$B$1:$AU$172,$B154,FALSE),""))</f>
        <v/>
      </c>
      <c r="T154" s="488" t="str">
        <f>IF(T$4="","",IF(HLOOKUP(T$4,'Physical Effects-Numbers'!$B$1:$AU$172,$B154,FALSE)&lt;0,HLOOKUP(T$4,'Physical Effects-Numbers'!$B$1:$AU$172,$B154,FALSE),""))</f>
        <v/>
      </c>
      <c r="U154" s="488" t="str">
        <f>IF(U$4="","",IF(HLOOKUP(U$4,'Physical Effects-Numbers'!$B$1:$AU$172,$B154,FALSE)&lt;0,HLOOKUP(U$4,'Physical Effects-Numbers'!$B$1:$AU$172,$B154,FALSE),""))</f>
        <v/>
      </c>
      <c r="V154" s="488" t="str">
        <f>IF(V$4="","",IF(HLOOKUP(V$4,'Physical Effects-Numbers'!$B$1:$AU$172,$B154,FALSE)&lt;0,HLOOKUP(V$4,'Physical Effects-Numbers'!$B$1:$AU$172,$B154,FALSE),""))</f>
        <v/>
      </c>
      <c r="W154" s="488" t="str">
        <f>IF(W$4="","",IF(HLOOKUP(W$4,'Physical Effects-Numbers'!$B$1:$AU$172,$B154,FALSE)&lt;0,HLOOKUP(W$4,'Physical Effects-Numbers'!$B$1:$AU$172,$B154,FALSE),""))</f>
        <v/>
      </c>
      <c r="X154" s="488" t="str">
        <f>IF(X$4="","",IF(HLOOKUP(X$4,'Physical Effects-Numbers'!$B$1:$AU$172,$B154,FALSE)&lt;0,HLOOKUP(X$4,'Physical Effects-Numbers'!$B$1:$AU$172,$B154,FALSE),""))</f>
        <v/>
      </c>
      <c r="Y154" s="488" t="str">
        <f>IF(Y$4="","",IF(HLOOKUP(Y$4,'Physical Effects-Numbers'!$B$1:$AU$172,$B154,FALSE)&lt;0,HLOOKUP(Y$4,'Physical Effects-Numbers'!$B$1:$AU$172,$B154,FALSE),""))</f>
        <v/>
      </c>
      <c r="Z154" s="488" t="str">
        <f>IF(Z$4="","",IF(HLOOKUP(Z$4,'Physical Effects-Numbers'!$B$1:$AU$172,$B154,FALSE)&lt;0,HLOOKUP(Z$4,'Physical Effects-Numbers'!$B$1:$AU$172,$B154,FALSE),""))</f>
        <v/>
      </c>
      <c r="AA154" s="488" t="str">
        <f>IF(AA$4="","",IF(HLOOKUP(AA$4,'Physical Effects-Numbers'!$B$1:$AU$172,$B154,FALSE)&lt;0,HLOOKUP(AA$4,'Physical Effects-Numbers'!$B$1:$AU$172,$B154,FALSE),""))</f>
        <v/>
      </c>
      <c r="AB154" s="488" t="str">
        <f>IF(AB$4="","",IF(HLOOKUP(AB$4,'Physical Effects-Numbers'!$B$1:$AU$172,$B154,FALSE)&lt;0,HLOOKUP(AB$4,'Physical Effects-Numbers'!$B$1:$AU$172,$B154,FALSE),""))</f>
        <v/>
      </c>
      <c r="AC154" s="488" t="str">
        <f>IF(AC$4="","",IF(HLOOKUP(AC$4,'Physical Effects-Numbers'!$B$1:$AU$172,$B154,FALSE)&lt;0,HLOOKUP(AC$4,'Physical Effects-Numbers'!$B$1:$AU$172,$B154,FALSE),""))</f>
        <v/>
      </c>
      <c r="AD154" s="488" t="str">
        <f>IF(AD$4="","",IF(HLOOKUP(AD$4,'Physical Effects-Numbers'!$B$1:$AU$172,$B154,FALSE)&lt;0,HLOOKUP(AD$4,'Physical Effects-Numbers'!$B$1:$AU$172,$B154,FALSE),""))</f>
        <v/>
      </c>
      <c r="AE154" s="488" t="str">
        <f>IF(AE$4="","",IF(HLOOKUP(AE$4,'Physical Effects-Numbers'!$B$1:$AU$172,$B154,FALSE)&lt;0,HLOOKUP(AE$4,'Physical Effects-Numbers'!$B$1:$AU$172,$B154,FALSE),""))</f>
        <v/>
      </c>
      <c r="AF154" s="488" t="str">
        <f>IF(AF$4="","",IF(HLOOKUP(AF$4,'Physical Effects-Numbers'!$B$1:$AU$172,$B154,FALSE)&lt;0,HLOOKUP(AF$4,'Physical Effects-Numbers'!$B$1:$AU$172,$B154,FALSE),""))</f>
        <v/>
      </c>
      <c r="AG154" s="488" t="str">
        <f>IF(AG$4="","",IF(HLOOKUP(AG$4,'Physical Effects-Numbers'!$B$1:$AU$172,$B154,FALSE)&lt;0,HLOOKUP(AG$4,'Physical Effects-Numbers'!$B$1:$AU$172,$B154,FALSE),""))</f>
        <v/>
      </c>
      <c r="AH154" s="488" t="str">
        <f>IF(AH$4="","",IF(HLOOKUP(AH$4,'Physical Effects-Numbers'!$B$1:$AU$172,$B154,FALSE)&lt;0,HLOOKUP(AH$4,'Physical Effects-Numbers'!$B$1:$AU$172,$B154,FALSE),""))</f>
        <v/>
      </c>
      <c r="AI154" s="488" t="str">
        <f>IF(AI$4="","",IF(HLOOKUP(AI$4,'Physical Effects-Numbers'!$B$1:$AU$172,$B154,FALSE)&lt;0,HLOOKUP(AI$4,'Physical Effects-Numbers'!$B$1:$AU$172,$B154,FALSE),""))</f>
        <v/>
      </c>
      <c r="AJ154" s="488" t="str">
        <f>IF(AJ$4="","",IF(HLOOKUP(AJ$4,'Physical Effects-Numbers'!$B$1:$AU$172,$B154,FALSE)&lt;0,HLOOKUP(AJ$4,'Physical Effects-Numbers'!$B$1:$AU$172,$B154,FALSE),""))</f>
        <v/>
      </c>
      <c r="AK154" s="488" t="str">
        <f>IF(AK$4="","",IF(HLOOKUP(AK$4,'Physical Effects-Numbers'!$B$1:$AU$172,$B154,FALSE)&lt;0,HLOOKUP(AK$4,'Physical Effects-Numbers'!$B$1:$AU$172,$B154,FALSE),""))</f>
        <v/>
      </c>
      <c r="AL154" s="488" t="str">
        <f>IF(AL$4="","",IF(HLOOKUP(AL$4,'Physical Effects-Numbers'!$B$1:$AU$172,$B154,FALSE)&lt;0,HLOOKUP(AL$4,'Physical Effects-Numbers'!$B$1:$AU$172,$B154,FALSE),""))</f>
        <v/>
      </c>
      <c r="AM154" s="488" t="str">
        <f>IF(AM$4="","",IF(HLOOKUP(AM$4,'Physical Effects-Numbers'!$B$1:$AU$172,$B154,FALSE)&lt;0,HLOOKUP(AM$4,'Physical Effects-Numbers'!$B$1:$AU$172,$B154,FALSE),""))</f>
        <v/>
      </c>
      <c r="AN154" s="488" t="str">
        <f>IF(AN$4="","",IF(HLOOKUP(AN$4,'Physical Effects-Numbers'!$B$1:$AU$172,$B154,FALSE)&lt;0,HLOOKUP(AN$4,'Physical Effects-Numbers'!$B$1:$AU$172,$B154,FALSE),""))</f>
        <v/>
      </c>
      <c r="AO154" s="488" t="str">
        <f>IF(AO$4="","",IF(HLOOKUP(AO$4,'Physical Effects-Numbers'!$B$1:$AU$172,$B154,FALSE)&lt;0,HLOOKUP(AO$4,'Physical Effects-Numbers'!$B$1:$AU$172,$B154,FALSE),""))</f>
        <v/>
      </c>
      <c r="AP154" s="488" t="str">
        <f>IF(AP$4="","",IF(HLOOKUP(AP$4,'Physical Effects-Numbers'!$B$1:$AU$172,$B154,FALSE)&lt;0,HLOOKUP(AP$4,'Physical Effects-Numbers'!$B$1:$AU$172,$B154,FALSE),""))</f>
        <v/>
      </c>
      <c r="AQ154" s="488" t="str">
        <f>IF(AQ$4="","",IF(HLOOKUP(AQ$4,'Physical Effects-Numbers'!$B$1:$AU$172,$B154,FALSE)&lt;0,HLOOKUP(AQ$4,'Physical Effects-Numbers'!$B$1:$AU$172,$B154,FALSE),""))</f>
        <v/>
      </c>
      <c r="AR154" s="488" t="str">
        <f>IF(AR$4="","",IF(HLOOKUP(AR$4,'Physical Effects-Numbers'!$B$1:$AU$172,$B154,FALSE)&lt;0,HLOOKUP(AR$4,'Physical Effects-Numbers'!$B$1:$AU$172,$B154,FALSE),""))</f>
        <v/>
      </c>
      <c r="AS154" s="488" t="str">
        <f>IF(AS$4="","",IF(HLOOKUP(AS$4,'Physical Effects-Numbers'!$B$1:$AU$172,$B154,FALSE)&lt;0,HLOOKUP(AS$4,'Physical Effects-Numbers'!$B$1:$AU$172,$B154,FALSE),""))</f>
        <v/>
      </c>
      <c r="AT154" s="488" t="str">
        <f>IF(AT$4="","",IF(HLOOKUP(AT$4,'Physical Effects-Numbers'!$B$1:$AU$172,$B154,FALSE)&lt;0,HLOOKUP(AT$4,'Physical Effects-Numbers'!$B$1:$AU$172,$B154,FALSE),""))</f>
        <v/>
      </c>
      <c r="AU154" s="488" t="str">
        <f>IF(AU$4="","",IF(HLOOKUP(AU$4,'Physical Effects-Numbers'!$B$1:$AU$172,$B154,FALSE)&lt;0,HLOOKUP(AU$4,'Physical Effects-Numbers'!$B$1:$AU$172,$B154,FALSE),""))</f>
        <v/>
      </c>
      <c r="AV154" s="488" t="str">
        <f>IF(AV$4="","",IF(HLOOKUP(AV$4,'Physical Effects-Numbers'!$B$1:$AU$167,$B154,FALSE)&lt;0,HLOOKUP(AV$4,'Physical Effects-Numbers'!$B$1:$AU$167,$B154,FALSE),""))</f>
        <v/>
      </c>
    </row>
    <row r="155" spans="2:48" x14ac:dyDescent="0.2">
      <c r="B155" s="487">
        <f t="shared" si="2"/>
        <v>152</v>
      </c>
      <c r="C155" s="486" t="str">
        <f>+'Physical Effects-Numbers'!B152</f>
        <v>Waste Recycling</v>
      </c>
      <c r="D155" s="488" t="str">
        <f>IF(D$4="","",IF(HLOOKUP(D$4,'Physical Effects-Numbers'!$B$1:$AU$172,$B155,FALSE)&lt;0,HLOOKUP(D$4,'Physical Effects-Numbers'!$B$1:$AU$172,$B155,FALSE),""))</f>
        <v/>
      </c>
      <c r="E155" s="488" t="str">
        <f>IF(E$4="","",IF(HLOOKUP(E$4,'Physical Effects-Numbers'!$B$1:$AU$172,$B155,FALSE)&lt;0,HLOOKUP(E$4,'Physical Effects-Numbers'!$B$1:$AU$172,$B155,FALSE),""))</f>
        <v/>
      </c>
      <c r="F155" s="488" t="str">
        <f>IF(F$4="","",IF(HLOOKUP(F$4,'Physical Effects-Numbers'!$B$1:$AU$172,$B155,FALSE)&lt;0,HLOOKUP(F$4,'Physical Effects-Numbers'!$B$1:$AU$172,$B155,FALSE),""))</f>
        <v/>
      </c>
      <c r="G155" s="488" t="str">
        <f>IF(G$4="","",IF(HLOOKUP(G$4,'Physical Effects-Numbers'!$B$1:$AU$172,$B155,FALSE)&lt;0,HLOOKUP(G$4,'Physical Effects-Numbers'!$B$1:$AU$172,$B155,FALSE),""))</f>
        <v/>
      </c>
      <c r="H155" s="488" t="str">
        <f>IF(H$4="","",IF(HLOOKUP(H$4,'Physical Effects-Numbers'!$B$1:$AU$172,$B155,FALSE)&lt;0,HLOOKUP(H$4,'Physical Effects-Numbers'!$B$1:$AU$172,$B155,FALSE),""))</f>
        <v/>
      </c>
      <c r="I155" s="488" t="str">
        <f>IF(I$4="","",IF(HLOOKUP(I$4,'Physical Effects-Numbers'!$B$1:$AU$172,$B155,FALSE)&lt;0,HLOOKUP(I$4,'Physical Effects-Numbers'!$B$1:$AU$172,$B155,FALSE),""))</f>
        <v/>
      </c>
      <c r="J155" s="488" t="str">
        <f>IF(J$4="","",IF(HLOOKUP(J$4,'Physical Effects-Numbers'!$B$1:$AU$172,$B155,FALSE)&lt;0,HLOOKUP(J$4,'Physical Effects-Numbers'!$B$1:$AU$172,$B155,FALSE),""))</f>
        <v/>
      </c>
      <c r="K155" s="488" t="str">
        <f>IF(K$4="","",IF(HLOOKUP(K$4,'Physical Effects-Numbers'!$B$1:$AU$172,$B155,FALSE)&lt;0,HLOOKUP(K$4,'Physical Effects-Numbers'!$B$1:$AU$172,$B155,FALSE),""))</f>
        <v/>
      </c>
      <c r="L155" s="488" t="str">
        <f>IF(L$4="","",IF(HLOOKUP(L$4,'Physical Effects-Numbers'!$B$1:$AU$172,$B155,FALSE)&lt;0,HLOOKUP(L$4,'Physical Effects-Numbers'!$B$1:$AU$172,$B155,FALSE),""))</f>
        <v/>
      </c>
      <c r="M155" s="488" t="str">
        <f>IF(M$4="","",IF(HLOOKUP(M$4,'Physical Effects-Numbers'!$B$1:$AU$172,$B155,FALSE)&lt;0,HLOOKUP(M$4,'Physical Effects-Numbers'!$B$1:$AU$172,$B155,FALSE),""))</f>
        <v/>
      </c>
      <c r="N155" s="488" t="str">
        <f>IF(N$4="","",IF(HLOOKUP(N$4,'Physical Effects-Numbers'!$B$1:$AU$172,$B155,FALSE)&lt;0,HLOOKUP(N$4,'Physical Effects-Numbers'!$B$1:$AU$172,$B155,FALSE),""))</f>
        <v/>
      </c>
      <c r="O155" s="488" t="str">
        <f>IF(O$4="","",IF(HLOOKUP(O$4,'Physical Effects-Numbers'!$B$1:$AU$172,$B155,FALSE)&lt;0,HLOOKUP(O$4,'Physical Effects-Numbers'!$B$1:$AU$172,$B155,FALSE),""))</f>
        <v/>
      </c>
      <c r="P155" s="488" t="str">
        <f>IF(P$4="","",IF(HLOOKUP(P$4,'Physical Effects-Numbers'!$B$1:$AU$172,$B155,FALSE)&lt;0,HLOOKUP(P$4,'Physical Effects-Numbers'!$B$1:$AU$172,$B155,FALSE),""))</f>
        <v/>
      </c>
      <c r="Q155" s="488" t="str">
        <f>IF(Q$4="","",IF(HLOOKUP(Q$4,'Physical Effects-Numbers'!$B$1:$AU$172,$B155,FALSE)&lt;0,HLOOKUP(Q$4,'Physical Effects-Numbers'!$B$1:$AU$172,$B155,FALSE),""))</f>
        <v/>
      </c>
      <c r="R155" s="488" t="str">
        <f>IF(R$4="","",IF(HLOOKUP(R$4,'Physical Effects-Numbers'!$B$1:$AU$172,$B155,FALSE)&lt;0,HLOOKUP(R$4,'Physical Effects-Numbers'!$B$1:$AU$172,$B155,FALSE),""))</f>
        <v/>
      </c>
      <c r="S155" s="488" t="str">
        <f>IF(S$4="","",IF(HLOOKUP(S$4,'Physical Effects-Numbers'!$B$1:$AU$172,$B155,FALSE)&lt;0,HLOOKUP(S$4,'Physical Effects-Numbers'!$B$1:$AU$172,$B155,FALSE),""))</f>
        <v/>
      </c>
      <c r="T155" s="488" t="str">
        <f>IF(T$4="","",IF(HLOOKUP(T$4,'Physical Effects-Numbers'!$B$1:$AU$172,$B155,FALSE)&lt;0,HLOOKUP(T$4,'Physical Effects-Numbers'!$B$1:$AU$172,$B155,FALSE),""))</f>
        <v/>
      </c>
      <c r="U155" s="488" t="str">
        <f>IF(U$4="","",IF(HLOOKUP(U$4,'Physical Effects-Numbers'!$B$1:$AU$172,$B155,FALSE)&lt;0,HLOOKUP(U$4,'Physical Effects-Numbers'!$B$1:$AU$172,$B155,FALSE),""))</f>
        <v/>
      </c>
      <c r="V155" s="488" t="str">
        <f>IF(V$4="","",IF(HLOOKUP(V$4,'Physical Effects-Numbers'!$B$1:$AU$172,$B155,FALSE)&lt;0,HLOOKUP(V$4,'Physical Effects-Numbers'!$B$1:$AU$172,$B155,FALSE),""))</f>
        <v/>
      </c>
      <c r="W155" s="488" t="str">
        <f>IF(W$4="","",IF(HLOOKUP(W$4,'Physical Effects-Numbers'!$B$1:$AU$172,$B155,FALSE)&lt;0,HLOOKUP(W$4,'Physical Effects-Numbers'!$B$1:$AU$172,$B155,FALSE),""))</f>
        <v/>
      </c>
      <c r="X155" s="488" t="str">
        <f>IF(X$4="","",IF(HLOOKUP(X$4,'Physical Effects-Numbers'!$B$1:$AU$172,$B155,FALSE)&lt;0,HLOOKUP(X$4,'Physical Effects-Numbers'!$B$1:$AU$172,$B155,FALSE),""))</f>
        <v/>
      </c>
      <c r="Y155" s="488" t="str">
        <f>IF(Y$4="","",IF(HLOOKUP(Y$4,'Physical Effects-Numbers'!$B$1:$AU$172,$B155,FALSE)&lt;0,HLOOKUP(Y$4,'Physical Effects-Numbers'!$B$1:$AU$172,$B155,FALSE),""))</f>
        <v/>
      </c>
      <c r="Z155" s="488" t="str">
        <f>IF(Z$4="","",IF(HLOOKUP(Z$4,'Physical Effects-Numbers'!$B$1:$AU$172,$B155,FALSE)&lt;0,HLOOKUP(Z$4,'Physical Effects-Numbers'!$B$1:$AU$172,$B155,FALSE),""))</f>
        <v/>
      </c>
      <c r="AA155" s="488" t="str">
        <f>IF(AA$4="","",IF(HLOOKUP(AA$4,'Physical Effects-Numbers'!$B$1:$AU$172,$B155,FALSE)&lt;0,HLOOKUP(AA$4,'Physical Effects-Numbers'!$B$1:$AU$172,$B155,FALSE),""))</f>
        <v/>
      </c>
      <c r="AB155" s="488" t="str">
        <f>IF(AB$4="","",IF(HLOOKUP(AB$4,'Physical Effects-Numbers'!$B$1:$AU$172,$B155,FALSE)&lt;0,HLOOKUP(AB$4,'Physical Effects-Numbers'!$B$1:$AU$172,$B155,FALSE),""))</f>
        <v/>
      </c>
      <c r="AC155" s="488" t="str">
        <f>IF(AC$4="","",IF(HLOOKUP(AC$4,'Physical Effects-Numbers'!$B$1:$AU$172,$B155,FALSE)&lt;0,HLOOKUP(AC$4,'Physical Effects-Numbers'!$B$1:$AU$172,$B155,FALSE),""))</f>
        <v/>
      </c>
      <c r="AD155" s="488" t="str">
        <f>IF(AD$4="","",IF(HLOOKUP(AD$4,'Physical Effects-Numbers'!$B$1:$AU$172,$B155,FALSE)&lt;0,HLOOKUP(AD$4,'Physical Effects-Numbers'!$B$1:$AU$172,$B155,FALSE),""))</f>
        <v/>
      </c>
      <c r="AE155" s="488">
        <f>IF(AE$4="","",IF(HLOOKUP(AE$4,'Physical Effects-Numbers'!$B$1:$AU$172,$B155,FALSE)&lt;0,HLOOKUP(AE$4,'Physical Effects-Numbers'!$B$1:$AU$172,$B155,FALSE),""))</f>
        <v>-1</v>
      </c>
      <c r="AF155" s="488">
        <f>IF(AF$4="","",IF(HLOOKUP(AF$4,'Physical Effects-Numbers'!$B$1:$AU$172,$B155,FALSE)&lt;0,HLOOKUP(AF$4,'Physical Effects-Numbers'!$B$1:$AU$172,$B155,FALSE),""))</f>
        <v>-1</v>
      </c>
      <c r="AG155" s="488">
        <f>IF(AG$4="","",IF(HLOOKUP(AG$4,'Physical Effects-Numbers'!$B$1:$AU$172,$B155,FALSE)&lt;0,HLOOKUP(AG$4,'Physical Effects-Numbers'!$B$1:$AU$172,$B155,FALSE),""))</f>
        <v>-1</v>
      </c>
      <c r="AH155" s="488">
        <f>IF(AH$4="","",IF(HLOOKUP(AH$4,'Physical Effects-Numbers'!$B$1:$AU$172,$B155,FALSE)&lt;0,HLOOKUP(AH$4,'Physical Effects-Numbers'!$B$1:$AU$172,$B155,FALSE),""))</f>
        <v>-1</v>
      </c>
      <c r="AI155" s="488" t="str">
        <f>IF(AI$4="","",IF(HLOOKUP(AI$4,'Physical Effects-Numbers'!$B$1:$AU$172,$B155,FALSE)&lt;0,HLOOKUP(AI$4,'Physical Effects-Numbers'!$B$1:$AU$172,$B155,FALSE),""))</f>
        <v/>
      </c>
      <c r="AJ155" s="488" t="str">
        <f>IF(AJ$4="","",IF(HLOOKUP(AJ$4,'Physical Effects-Numbers'!$B$1:$AU$172,$B155,FALSE)&lt;0,HLOOKUP(AJ$4,'Physical Effects-Numbers'!$B$1:$AU$172,$B155,FALSE),""))</f>
        <v/>
      </c>
      <c r="AK155" s="488" t="str">
        <f>IF(AK$4="","",IF(HLOOKUP(AK$4,'Physical Effects-Numbers'!$B$1:$AU$172,$B155,FALSE)&lt;0,HLOOKUP(AK$4,'Physical Effects-Numbers'!$B$1:$AU$172,$B155,FALSE),""))</f>
        <v/>
      </c>
      <c r="AL155" s="488" t="str">
        <f>IF(AL$4="","",IF(HLOOKUP(AL$4,'Physical Effects-Numbers'!$B$1:$AU$172,$B155,FALSE)&lt;0,HLOOKUP(AL$4,'Physical Effects-Numbers'!$B$1:$AU$172,$B155,FALSE),""))</f>
        <v/>
      </c>
      <c r="AM155" s="488" t="str">
        <f>IF(AM$4="","",IF(HLOOKUP(AM$4,'Physical Effects-Numbers'!$B$1:$AU$172,$B155,FALSE)&lt;0,HLOOKUP(AM$4,'Physical Effects-Numbers'!$B$1:$AU$172,$B155,FALSE),""))</f>
        <v/>
      </c>
      <c r="AN155" s="488" t="str">
        <f>IF(AN$4="","",IF(HLOOKUP(AN$4,'Physical Effects-Numbers'!$B$1:$AU$172,$B155,FALSE)&lt;0,HLOOKUP(AN$4,'Physical Effects-Numbers'!$B$1:$AU$172,$B155,FALSE),""))</f>
        <v/>
      </c>
      <c r="AO155" s="488" t="str">
        <f>IF(AO$4="","",IF(HLOOKUP(AO$4,'Physical Effects-Numbers'!$B$1:$AU$172,$B155,FALSE)&lt;0,HLOOKUP(AO$4,'Physical Effects-Numbers'!$B$1:$AU$172,$B155,FALSE),""))</f>
        <v/>
      </c>
      <c r="AP155" s="488" t="str">
        <f>IF(AP$4="","",IF(HLOOKUP(AP$4,'Physical Effects-Numbers'!$B$1:$AU$172,$B155,FALSE)&lt;0,HLOOKUP(AP$4,'Physical Effects-Numbers'!$B$1:$AU$172,$B155,FALSE),""))</f>
        <v/>
      </c>
      <c r="AQ155" s="488" t="str">
        <f>IF(AQ$4="","",IF(HLOOKUP(AQ$4,'Physical Effects-Numbers'!$B$1:$AU$172,$B155,FALSE)&lt;0,HLOOKUP(AQ$4,'Physical Effects-Numbers'!$B$1:$AU$172,$B155,FALSE),""))</f>
        <v/>
      </c>
      <c r="AR155" s="488" t="str">
        <f>IF(AR$4="","",IF(HLOOKUP(AR$4,'Physical Effects-Numbers'!$B$1:$AU$172,$B155,FALSE)&lt;0,HLOOKUP(AR$4,'Physical Effects-Numbers'!$B$1:$AU$172,$B155,FALSE),""))</f>
        <v/>
      </c>
      <c r="AS155" s="488" t="str">
        <f>IF(AS$4="","",IF(HLOOKUP(AS$4,'Physical Effects-Numbers'!$B$1:$AU$172,$B155,FALSE)&lt;0,HLOOKUP(AS$4,'Physical Effects-Numbers'!$B$1:$AU$172,$B155,FALSE),""))</f>
        <v/>
      </c>
      <c r="AT155" s="488" t="str">
        <f>IF(AT$4="","",IF(HLOOKUP(AT$4,'Physical Effects-Numbers'!$B$1:$AU$172,$B155,FALSE)&lt;0,HLOOKUP(AT$4,'Physical Effects-Numbers'!$B$1:$AU$172,$B155,FALSE),""))</f>
        <v/>
      </c>
      <c r="AU155" s="488" t="str">
        <f>IF(AU$4="","",IF(HLOOKUP(AU$4,'Physical Effects-Numbers'!$B$1:$AU$172,$B155,FALSE)&lt;0,HLOOKUP(AU$4,'Physical Effects-Numbers'!$B$1:$AU$172,$B155,FALSE),""))</f>
        <v/>
      </c>
      <c r="AV155" s="488" t="str">
        <f>IF(AV$4="","",IF(HLOOKUP(AV$4,'Physical Effects-Numbers'!$B$1:$AU$167,$B155,FALSE)&lt;0,HLOOKUP(AV$4,'Physical Effects-Numbers'!$B$1:$AU$167,$B155,FALSE),""))</f>
        <v/>
      </c>
    </row>
    <row r="156" spans="2:48" x14ac:dyDescent="0.2">
      <c r="B156" s="487">
        <f t="shared" si="2"/>
        <v>153</v>
      </c>
      <c r="C156" s="486" t="str">
        <f>+'Physical Effects-Numbers'!B153</f>
        <v>Waste Separation Facility (no)</v>
      </c>
      <c r="D156" s="488" t="str">
        <f>IF(D$4="","",IF(HLOOKUP(D$4,'Physical Effects-Numbers'!$B$1:$AU$172,$B156,FALSE)&lt;0,HLOOKUP(D$4,'Physical Effects-Numbers'!$B$1:$AU$172,$B156,FALSE),""))</f>
        <v/>
      </c>
      <c r="E156" s="488" t="str">
        <f>IF(E$4="","",IF(HLOOKUP(E$4,'Physical Effects-Numbers'!$B$1:$AU$172,$B156,FALSE)&lt;0,HLOOKUP(E$4,'Physical Effects-Numbers'!$B$1:$AU$172,$B156,FALSE),""))</f>
        <v/>
      </c>
      <c r="F156" s="488" t="str">
        <f>IF(F$4="","",IF(HLOOKUP(F$4,'Physical Effects-Numbers'!$B$1:$AU$172,$B156,FALSE)&lt;0,HLOOKUP(F$4,'Physical Effects-Numbers'!$B$1:$AU$172,$B156,FALSE),""))</f>
        <v/>
      </c>
      <c r="G156" s="488" t="str">
        <f>IF(G$4="","",IF(HLOOKUP(G$4,'Physical Effects-Numbers'!$B$1:$AU$172,$B156,FALSE)&lt;0,HLOOKUP(G$4,'Physical Effects-Numbers'!$B$1:$AU$172,$B156,FALSE),""))</f>
        <v/>
      </c>
      <c r="H156" s="488" t="str">
        <f>IF(H$4="","",IF(HLOOKUP(H$4,'Physical Effects-Numbers'!$B$1:$AU$172,$B156,FALSE)&lt;0,HLOOKUP(H$4,'Physical Effects-Numbers'!$B$1:$AU$172,$B156,FALSE),""))</f>
        <v/>
      </c>
      <c r="I156" s="488" t="str">
        <f>IF(I$4="","",IF(HLOOKUP(I$4,'Physical Effects-Numbers'!$B$1:$AU$172,$B156,FALSE)&lt;0,HLOOKUP(I$4,'Physical Effects-Numbers'!$B$1:$AU$172,$B156,FALSE),""))</f>
        <v/>
      </c>
      <c r="J156" s="488" t="str">
        <f>IF(J$4="","",IF(HLOOKUP(J$4,'Physical Effects-Numbers'!$B$1:$AU$172,$B156,FALSE)&lt;0,HLOOKUP(J$4,'Physical Effects-Numbers'!$B$1:$AU$172,$B156,FALSE),""))</f>
        <v/>
      </c>
      <c r="K156" s="488" t="str">
        <f>IF(K$4="","",IF(HLOOKUP(K$4,'Physical Effects-Numbers'!$B$1:$AU$172,$B156,FALSE)&lt;0,HLOOKUP(K$4,'Physical Effects-Numbers'!$B$1:$AU$172,$B156,FALSE),""))</f>
        <v/>
      </c>
      <c r="L156" s="488" t="str">
        <f>IF(L$4="","",IF(HLOOKUP(L$4,'Physical Effects-Numbers'!$B$1:$AU$172,$B156,FALSE)&lt;0,HLOOKUP(L$4,'Physical Effects-Numbers'!$B$1:$AU$172,$B156,FALSE),""))</f>
        <v/>
      </c>
      <c r="M156" s="488" t="str">
        <f>IF(M$4="","",IF(HLOOKUP(M$4,'Physical Effects-Numbers'!$B$1:$AU$172,$B156,FALSE)&lt;0,HLOOKUP(M$4,'Physical Effects-Numbers'!$B$1:$AU$172,$B156,FALSE),""))</f>
        <v/>
      </c>
      <c r="N156" s="488" t="str">
        <f>IF(N$4="","",IF(HLOOKUP(N$4,'Physical Effects-Numbers'!$B$1:$AU$172,$B156,FALSE)&lt;0,HLOOKUP(N$4,'Physical Effects-Numbers'!$B$1:$AU$172,$B156,FALSE),""))</f>
        <v/>
      </c>
      <c r="O156" s="488" t="str">
        <f>IF(O$4="","",IF(HLOOKUP(O$4,'Physical Effects-Numbers'!$B$1:$AU$172,$B156,FALSE)&lt;0,HLOOKUP(O$4,'Physical Effects-Numbers'!$B$1:$AU$172,$B156,FALSE),""))</f>
        <v/>
      </c>
      <c r="P156" s="488" t="str">
        <f>IF(P$4="","",IF(HLOOKUP(P$4,'Physical Effects-Numbers'!$B$1:$AU$172,$B156,FALSE)&lt;0,HLOOKUP(P$4,'Physical Effects-Numbers'!$B$1:$AU$172,$B156,FALSE),""))</f>
        <v/>
      </c>
      <c r="Q156" s="488" t="str">
        <f>IF(Q$4="","",IF(HLOOKUP(Q$4,'Physical Effects-Numbers'!$B$1:$AU$172,$B156,FALSE)&lt;0,HLOOKUP(Q$4,'Physical Effects-Numbers'!$B$1:$AU$172,$B156,FALSE),""))</f>
        <v/>
      </c>
      <c r="R156" s="488" t="str">
        <f>IF(R$4="","",IF(HLOOKUP(R$4,'Physical Effects-Numbers'!$B$1:$AU$172,$B156,FALSE)&lt;0,HLOOKUP(R$4,'Physical Effects-Numbers'!$B$1:$AU$172,$B156,FALSE),""))</f>
        <v/>
      </c>
      <c r="S156" s="488" t="str">
        <f>IF(S$4="","",IF(HLOOKUP(S$4,'Physical Effects-Numbers'!$B$1:$AU$172,$B156,FALSE)&lt;0,HLOOKUP(S$4,'Physical Effects-Numbers'!$B$1:$AU$172,$B156,FALSE),""))</f>
        <v/>
      </c>
      <c r="T156" s="488" t="str">
        <f>IF(T$4="","",IF(HLOOKUP(T$4,'Physical Effects-Numbers'!$B$1:$AU$172,$B156,FALSE)&lt;0,HLOOKUP(T$4,'Physical Effects-Numbers'!$B$1:$AU$172,$B156,FALSE),""))</f>
        <v/>
      </c>
      <c r="U156" s="488" t="str">
        <f>IF(U$4="","",IF(HLOOKUP(U$4,'Physical Effects-Numbers'!$B$1:$AU$172,$B156,FALSE)&lt;0,HLOOKUP(U$4,'Physical Effects-Numbers'!$B$1:$AU$172,$B156,FALSE),""))</f>
        <v/>
      </c>
      <c r="V156" s="488" t="str">
        <f>IF(V$4="","",IF(HLOOKUP(V$4,'Physical Effects-Numbers'!$B$1:$AU$172,$B156,FALSE)&lt;0,HLOOKUP(V$4,'Physical Effects-Numbers'!$B$1:$AU$172,$B156,FALSE),""))</f>
        <v/>
      </c>
      <c r="W156" s="488" t="str">
        <f>IF(W$4="","",IF(HLOOKUP(W$4,'Physical Effects-Numbers'!$B$1:$AU$172,$B156,FALSE)&lt;0,HLOOKUP(W$4,'Physical Effects-Numbers'!$B$1:$AU$172,$B156,FALSE),""))</f>
        <v/>
      </c>
      <c r="X156" s="488" t="str">
        <f>IF(X$4="","",IF(HLOOKUP(X$4,'Physical Effects-Numbers'!$B$1:$AU$172,$B156,FALSE)&lt;0,HLOOKUP(X$4,'Physical Effects-Numbers'!$B$1:$AU$172,$B156,FALSE),""))</f>
        <v/>
      </c>
      <c r="Y156" s="488" t="str">
        <f>IF(Y$4="","",IF(HLOOKUP(Y$4,'Physical Effects-Numbers'!$B$1:$AU$172,$B156,FALSE)&lt;0,HLOOKUP(Y$4,'Physical Effects-Numbers'!$B$1:$AU$172,$B156,FALSE),""))</f>
        <v/>
      </c>
      <c r="Z156" s="488" t="str">
        <f>IF(Z$4="","",IF(HLOOKUP(Z$4,'Physical Effects-Numbers'!$B$1:$AU$172,$B156,FALSE)&lt;0,HLOOKUP(Z$4,'Physical Effects-Numbers'!$B$1:$AU$172,$B156,FALSE),""))</f>
        <v/>
      </c>
      <c r="AA156" s="488" t="str">
        <f>IF(AA$4="","",IF(HLOOKUP(AA$4,'Physical Effects-Numbers'!$B$1:$AU$172,$B156,FALSE)&lt;0,HLOOKUP(AA$4,'Physical Effects-Numbers'!$B$1:$AU$172,$B156,FALSE),""))</f>
        <v/>
      </c>
      <c r="AB156" s="488" t="str">
        <f>IF(AB$4="","",IF(HLOOKUP(AB$4,'Physical Effects-Numbers'!$B$1:$AU$172,$B156,FALSE)&lt;0,HLOOKUP(AB$4,'Physical Effects-Numbers'!$B$1:$AU$172,$B156,FALSE),""))</f>
        <v/>
      </c>
      <c r="AC156" s="488" t="str">
        <f>IF(AC$4="","",IF(HLOOKUP(AC$4,'Physical Effects-Numbers'!$B$1:$AU$172,$B156,FALSE)&lt;0,HLOOKUP(AC$4,'Physical Effects-Numbers'!$B$1:$AU$172,$B156,FALSE),""))</f>
        <v/>
      </c>
      <c r="AD156" s="488" t="str">
        <f>IF(AD$4="","",IF(HLOOKUP(AD$4,'Physical Effects-Numbers'!$B$1:$AU$172,$B156,FALSE)&lt;0,HLOOKUP(AD$4,'Physical Effects-Numbers'!$B$1:$AU$172,$B156,FALSE),""))</f>
        <v/>
      </c>
      <c r="AE156" s="488" t="str">
        <f>IF(AE$4="","",IF(HLOOKUP(AE$4,'Physical Effects-Numbers'!$B$1:$AU$172,$B156,FALSE)&lt;0,HLOOKUP(AE$4,'Physical Effects-Numbers'!$B$1:$AU$172,$B156,FALSE),""))</f>
        <v/>
      </c>
      <c r="AF156" s="488" t="str">
        <f>IF(AF$4="","",IF(HLOOKUP(AF$4,'Physical Effects-Numbers'!$B$1:$AU$172,$B156,FALSE)&lt;0,HLOOKUP(AF$4,'Physical Effects-Numbers'!$B$1:$AU$172,$B156,FALSE),""))</f>
        <v/>
      </c>
      <c r="AG156" s="488" t="str">
        <f>IF(AG$4="","",IF(HLOOKUP(AG$4,'Physical Effects-Numbers'!$B$1:$AU$172,$B156,FALSE)&lt;0,HLOOKUP(AG$4,'Physical Effects-Numbers'!$B$1:$AU$172,$B156,FALSE),""))</f>
        <v/>
      </c>
      <c r="AH156" s="488" t="str">
        <f>IF(AH$4="","",IF(HLOOKUP(AH$4,'Physical Effects-Numbers'!$B$1:$AU$172,$B156,FALSE)&lt;0,HLOOKUP(AH$4,'Physical Effects-Numbers'!$B$1:$AU$172,$B156,FALSE),""))</f>
        <v/>
      </c>
      <c r="AI156" s="488" t="str">
        <f>IF(AI$4="","",IF(HLOOKUP(AI$4,'Physical Effects-Numbers'!$B$1:$AU$172,$B156,FALSE)&lt;0,HLOOKUP(AI$4,'Physical Effects-Numbers'!$B$1:$AU$172,$B156,FALSE),""))</f>
        <v/>
      </c>
      <c r="AJ156" s="488" t="str">
        <f>IF(AJ$4="","",IF(HLOOKUP(AJ$4,'Physical Effects-Numbers'!$B$1:$AU$172,$B156,FALSE)&lt;0,HLOOKUP(AJ$4,'Physical Effects-Numbers'!$B$1:$AU$172,$B156,FALSE),""))</f>
        <v/>
      </c>
      <c r="AK156" s="488" t="str">
        <f>IF(AK$4="","",IF(HLOOKUP(AK$4,'Physical Effects-Numbers'!$B$1:$AU$172,$B156,FALSE)&lt;0,HLOOKUP(AK$4,'Physical Effects-Numbers'!$B$1:$AU$172,$B156,FALSE),""))</f>
        <v/>
      </c>
      <c r="AL156" s="488" t="str">
        <f>IF(AL$4="","",IF(HLOOKUP(AL$4,'Physical Effects-Numbers'!$B$1:$AU$172,$B156,FALSE)&lt;0,HLOOKUP(AL$4,'Physical Effects-Numbers'!$B$1:$AU$172,$B156,FALSE),""))</f>
        <v/>
      </c>
      <c r="AM156" s="488" t="str">
        <f>IF(AM$4="","",IF(HLOOKUP(AM$4,'Physical Effects-Numbers'!$B$1:$AU$172,$B156,FALSE)&lt;0,HLOOKUP(AM$4,'Physical Effects-Numbers'!$B$1:$AU$172,$B156,FALSE),""))</f>
        <v/>
      </c>
      <c r="AN156" s="488" t="str">
        <f>IF(AN$4="","",IF(HLOOKUP(AN$4,'Physical Effects-Numbers'!$B$1:$AU$172,$B156,FALSE)&lt;0,HLOOKUP(AN$4,'Physical Effects-Numbers'!$B$1:$AU$172,$B156,FALSE),""))</f>
        <v/>
      </c>
      <c r="AO156" s="488" t="str">
        <f>IF(AO$4="","",IF(HLOOKUP(AO$4,'Physical Effects-Numbers'!$B$1:$AU$172,$B156,FALSE)&lt;0,HLOOKUP(AO$4,'Physical Effects-Numbers'!$B$1:$AU$172,$B156,FALSE),""))</f>
        <v/>
      </c>
      <c r="AP156" s="488" t="str">
        <f>IF(AP$4="","",IF(HLOOKUP(AP$4,'Physical Effects-Numbers'!$B$1:$AU$172,$B156,FALSE)&lt;0,HLOOKUP(AP$4,'Physical Effects-Numbers'!$B$1:$AU$172,$B156,FALSE),""))</f>
        <v/>
      </c>
      <c r="AQ156" s="488" t="str">
        <f>IF(AQ$4="","",IF(HLOOKUP(AQ$4,'Physical Effects-Numbers'!$B$1:$AU$172,$B156,FALSE)&lt;0,HLOOKUP(AQ$4,'Physical Effects-Numbers'!$B$1:$AU$172,$B156,FALSE),""))</f>
        <v/>
      </c>
      <c r="AR156" s="488" t="str">
        <f>IF(AR$4="","",IF(HLOOKUP(AR$4,'Physical Effects-Numbers'!$B$1:$AU$172,$B156,FALSE)&lt;0,HLOOKUP(AR$4,'Physical Effects-Numbers'!$B$1:$AU$172,$B156,FALSE),""))</f>
        <v/>
      </c>
      <c r="AS156" s="488" t="str">
        <f>IF(AS$4="","",IF(HLOOKUP(AS$4,'Physical Effects-Numbers'!$B$1:$AU$172,$B156,FALSE)&lt;0,HLOOKUP(AS$4,'Physical Effects-Numbers'!$B$1:$AU$172,$B156,FALSE),""))</f>
        <v/>
      </c>
      <c r="AT156" s="488" t="str">
        <f>IF(AT$4="","",IF(HLOOKUP(AT$4,'Physical Effects-Numbers'!$B$1:$AU$172,$B156,FALSE)&lt;0,HLOOKUP(AT$4,'Physical Effects-Numbers'!$B$1:$AU$172,$B156,FALSE),""))</f>
        <v/>
      </c>
      <c r="AU156" s="488" t="str">
        <f>IF(AU$4="","",IF(HLOOKUP(AU$4,'Physical Effects-Numbers'!$B$1:$AU$172,$B156,FALSE)&lt;0,HLOOKUP(AU$4,'Physical Effects-Numbers'!$B$1:$AU$172,$B156,FALSE),""))</f>
        <v/>
      </c>
      <c r="AV156" s="488" t="str">
        <f>IF(AV$4="","",IF(HLOOKUP(AV$4,'Physical Effects-Numbers'!$B$1:$AU$167,$B156,FALSE)&lt;0,HLOOKUP(AV$4,'Physical Effects-Numbers'!$B$1:$AU$167,$B156,FALSE),""))</f>
        <v/>
      </c>
    </row>
    <row r="157" spans="2:48" x14ac:dyDescent="0.2">
      <c r="B157" s="487">
        <f t="shared" si="2"/>
        <v>154</v>
      </c>
      <c r="C157" s="486" t="str">
        <f>+'Physical Effects-Numbers'!B154</f>
        <v>Waste Storage Facility</v>
      </c>
      <c r="D157" s="488" t="str">
        <f>IF(D$4="","",IF(HLOOKUP(D$4,'Physical Effects-Numbers'!$B$1:$AU$172,$B157,FALSE)&lt;0,HLOOKUP(D$4,'Physical Effects-Numbers'!$B$1:$AU$172,$B157,FALSE),""))</f>
        <v/>
      </c>
      <c r="E157" s="488" t="str">
        <f>IF(E$4="","",IF(HLOOKUP(E$4,'Physical Effects-Numbers'!$B$1:$AU$172,$B157,FALSE)&lt;0,HLOOKUP(E$4,'Physical Effects-Numbers'!$B$1:$AU$172,$B157,FALSE),""))</f>
        <v/>
      </c>
      <c r="F157" s="488" t="str">
        <f>IF(F$4="","",IF(HLOOKUP(F$4,'Physical Effects-Numbers'!$B$1:$AU$172,$B157,FALSE)&lt;0,HLOOKUP(F$4,'Physical Effects-Numbers'!$B$1:$AU$172,$B157,FALSE),""))</f>
        <v/>
      </c>
      <c r="G157" s="488" t="str">
        <f>IF(G$4="","",IF(HLOOKUP(G$4,'Physical Effects-Numbers'!$B$1:$AU$172,$B157,FALSE)&lt;0,HLOOKUP(G$4,'Physical Effects-Numbers'!$B$1:$AU$172,$B157,FALSE),""))</f>
        <v/>
      </c>
      <c r="H157" s="488" t="str">
        <f>IF(H$4="","",IF(HLOOKUP(H$4,'Physical Effects-Numbers'!$B$1:$AU$172,$B157,FALSE)&lt;0,HLOOKUP(H$4,'Physical Effects-Numbers'!$B$1:$AU$172,$B157,FALSE),""))</f>
        <v/>
      </c>
      <c r="I157" s="488" t="str">
        <f>IF(I$4="","",IF(HLOOKUP(I$4,'Physical Effects-Numbers'!$B$1:$AU$172,$B157,FALSE)&lt;0,HLOOKUP(I$4,'Physical Effects-Numbers'!$B$1:$AU$172,$B157,FALSE),""))</f>
        <v/>
      </c>
      <c r="J157" s="488" t="str">
        <f>IF(J$4="","",IF(HLOOKUP(J$4,'Physical Effects-Numbers'!$B$1:$AU$172,$B157,FALSE)&lt;0,HLOOKUP(J$4,'Physical Effects-Numbers'!$B$1:$AU$172,$B157,FALSE),""))</f>
        <v/>
      </c>
      <c r="K157" s="488" t="str">
        <f>IF(K$4="","",IF(HLOOKUP(K$4,'Physical Effects-Numbers'!$B$1:$AU$172,$B157,FALSE)&lt;0,HLOOKUP(K$4,'Physical Effects-Numbers'!$B$1:$AU$172,$B157,FALSE),""))</f>
        <v/>
      </c>
      <c r="L157" s="488" t="str">
        <f>IF(L$4="","",IF(HLOOKUP(L$4,'Physical Effects-Numbers'!$B$1:$AU$172,$B157,FALSE)&lt;0,HLOOKUP(L$4,'Physical Effects-Numbers'!$B$1:$AU$172,$B157,FALSE),""))</f>
        <v/>
      </c>
      <c r="M157" s="488" t="str">
        <f>IF(M$4="","",IF(HLOOKUP(M$4,'Physical Effects-Numbers'!$B$1:$AU$172,$B157,FALSE)&lt;0,HLOOKUP(M$4,'Physical Effects-Numbers'!$B$1:$AU$172,$B157,FALSE),""))</f>
        <v/>
      </c>
      <c r="N157" s="488" t="str">
        <f>IF(N$4="","",IF(HLOOKUP(N$4,'Physical Effects-Numbers'!$B$1:$AU$172,$B157,FALSE)&lt;0,HLOOKUP(N$4,'Physical Effects-Numbers'!$B$1:$AU$172,$B157,FALSE),""))</f>
        <v/>
      </c>
      <c r="O157" s="488" t="str">
        <f>IF(O$4="","",IF(HLOOKUP(O$4,'Physical Effects-Numbers'!$B$1:$AU$172,$B157,FALSE)&lt;0,HLOOKUP(O$4,'Physical Effects-Numbers'!$B$1:$AU$172,$B157,FALSE),""))</f>
        <v/>
      </c>
      <c r="P157" s="488" t="str">
        <f>IF(P$4="","",IF(HLOOKUP(P$4,'Physical Effects-Numbers'!$B$1:$AU$172,$B157,FALSE)&lt;0,HLOOKUP(P$4,'Physical Effects-Numbers'!$B$1:$AU$172,$B157,FALSE),""))</f>
        <v/>
      </c>
      <c r="Q157" s="488" t="str">
        <f>IF(Q$4="","",IF(HLOOKUP(Q$4,'Physical Effects-Numbers'!$B$1:$AU$172,$B157,FALSE)&lt;0,HLOOKUP(Q$4,'Physical Effects-Numbers'!$B$1:$AU$172,$B157,FALSE),""))</f>
        <v/>
      </c>
      <c r="R157" s="488" t="str">
        <f>IF(R$4="","",IF(HLOOKUP(R$4,'Physical Effects-Numbers'!$B$1:$AU$172,$B157,FALSE)&lt;0,HLOOKUP(R$4,'Physical Effects-Numbers'!$B$1:$AU$172,$B157,FALSE),""))</f>
        <v/>
      </c>
      <c r="S157" s="488" t="str">
        <f>IF(S$4="","",IF(HLOOKUP(S$4,'Physical Effects-Numbers'!$B$1:$AU$172,$B157,FALSE)&lt;0,HLOOKUP(S$4,'Physical Effects-Numbers'!$B$1:$AU$172,$B157,FALSE),""))</f>
        <v/>
      </c>
      <c r="T157" s="488" t="str">
        <f>IF(T$4="","",IF(HLOOKUP(T$4,'Physical Effects-Numbers'!$B$1:$AU$172,$B157,FALSE)&lt;0,HLOOKUP(T$4,'Physical Effects-Numbers'!$B$1:$AU$172,$B157,FALSE),""))</f>
        <v/>
      </c>
      <c r="U157" s="488" t="str">
        <f>IF(U$4="","",IF(HLOOKUP(U$4,'Physical Effects-Numbers'!$B$1:$AU$172,$B157,FALSE)&lt;0,HLOOKUP(U$4,'Physical Effects-Numbers'!$B$1:$AU$172,$B157,FALSE),""))</f>
        <v/>
      </c>
      <c r="V157" s="488" t="str">
        <f>IF(V$4="","",IF(HLOOKUP(V$4,'Physical Effects-Numbers'!$B$1:$AU$172,$B157,FALSE)&lt;0,HLOOKUP(V$4,'Physical Effects-Numbers'!$B$1:$AU$172,$B157,FALSE),""))</f>
        <v/>
      </c>
      <c r="W157" s="488" t="str">
        <f>IF(W$4="","",IF(HLOOKUP(W$4,'Physical Effects-Numbers'!$B$1:$AU$172,$B157,FALSE)&lt;0,HLOOKUP(W$4,'Physical Effects-Numbers'!$B$1:$AU$172,$B157,FALSE),""))</f>
        <v/>
      </c>
      <c r="X157" s="488" t="str">
        <f>IF(X$4="","",IF(HLOOKUP(X$4,'Physical Effects-Numbers'!$B$1:$AU$172,$B157,FALSE)&lt;0,HLOOKUP(X$4,'Physical Effects-Numbers'!$B$1:$AU$172,$B157,FALSE),""))</f>
        <v/>
      </c>
      <c r="Y157" s="488" t="str">
        <f>IF(Y$4="","",IF(HLOOKUP(Y$4,'Physical Effects-Numbers'!$B$1:$AU$172,$B157,FALSE)&lt;0,HLOOKUP(Y$4,'Physical Effects-Numbers'!$B$1:$AU$172,$B157,FALSE),""))</f>
        <v/>
      </c>
      <c r="Z157" s="488" t="str">
        <f>IF(Z$4="","",IF(HLOOKUP(Z$4,'Physical Effects-Numbers'!$B$1:$AU$172,$B157,FALSE)&lt;0,HLOOKUP(Z$4,'Physical Effects-Numbers'!$B$1:$AU$172,$B157,FALSE),""))</f>
        <v/>
      </c>
      <c r="AA157" s="488" t="str">
        <f>IF(AA$4="","",IF(HLOOKUP(AA$4,'Physical Effects-Numbers'!$B$1:$AU$172,$B157,FALSE)&lt;0,HLOOKUP(AA$4,'Physical Effects-Numbers'!$B$1:$AU$172,$B157,FALSE),""))</f>
        <v/>
      </c>
      <c r="AB157" s="488" t="str">
        <f>IF(AB$4="","",IF(HLOOKUP(AB$4,'Physical Effects-Numbers'!$B$1:$AU$172,$B157,FALSE)&lt;0,HLOOKUP(AB$4,'Physical Effects-Numbers'!$B$1:$AU$172,$B157,FALSE),""))</f>
        <v/>
      </c>
      <c r="AC157" s="488" t="str">
        <f>IF(AC$4="","",IF(HLOOKUP(AC$4,'Physical Effects-Numbers'!$B$1:$AU$172,$B157,FALSE)&lt;0,HLOOKUP(AC$4,'Physical Effects-Numbers'!$B$1:$AU$172,$B157,FALSE),""))</f>
        <v/>
      </c>
      <c r="AD157" s="488" t="str">
        <f>IF(AD$4="","",IF(HLOOKUP(AD$4,'Physical Effects-Numbers'!$B$1:$AU$172,$B157,FALSE)&lt;0,HLOOKUP(AD$4,'Physical Effects-Numbers'!$B$1:$AU$172,$B157,FALSE),""))</f>
        <v/>
      </c>
      <c r="AE157" s="488">
        <f>IF(AE$4="","",IF(HLOOKUP(AE$4,'Physical Effects-Numbers'!$B$1:$AU$172,$B157,FALSE)&lt;0,HLOOKUP(AE$4,'Physical Effects-Numbers'!$B$1:$AU$172,$B157,FALSE),""))</f>
        <v>-1</v>
      </c>
      <c r="AF157" s="488">
        <f>IF(AF$4="","",IF(HLOOKUP(AF$4,'Physical Effects-Numbers'!$B$1:$AU$172,$B157,FALSE)&lt;0,HLOOKUP(AF$4,'Physical Effects-Numbers'!$B$1:$AU$172,$B157,FALSE),""))</f>
        <v>-1</v>
      </c>
      <c r="AG157" s="488">
        <f>IF(AG$4="","",IF(HLOOKUP(AG$4,'Physical Effects-Numbers'!$B$1:$AU$172,$B157,FALSE)&lt;0,HLOOKUP(AG$4,'Physical Effects-Numbers'!$B$1:$AU$172,$B157,FALSE),""))</f>
        <v>-1</v>
      </c>
      <c r="AH157" s="488">
        <f>IF(AH$4="","",IF(HLOOKUP(AH$4,'Physical Effects-Numbers'!$B$1:$AU$172,$B157,FALSE)&lt;0,HLOOKUP(AH$4,'Physical Effects-Numbers'!$B$1:$AU$172,$B157,FALSE),""))</f>
        <v>-2</v>
      </c>
      <c r="AI157" s="488" t="str">
        <f>IF(AI$4="","",IF(HLOOKUP(AI$4,'Physical Effects-Numbers'!$B$1:$AU$172,$B157,FALSE)&lt;0,HLOOKUP(AI$4,'Physical Effects-Numbers'!$B$1:$AU$172,$B157,FALSE),""))</f>
        <v/>
      </c>
      <c r="AJ157" s="488" t="str">
        <f>IF(AJ$4="","",IF(HLOOKUP(AJ$4,'Physical Effects-Numbers'!$B$1:$AU$172,$B157,FALSE)&lt;0,HLOOKUP(AJ$4,'Physical Effects-Numbers'!$B$1:$AU$172,$B157,FALSE),""))</f>
        <v/>
      </c>
      <c r="AK157" s="488" t="str">
        <f>IF(AK$4="","",IF(HLOOKUP(AK$4,'Physical Effects-Numbers'!$B$1:$AU$172,$B157,FALSE)&lt;0,HLOOKUP(AK$4,'Physical Effects-Numbers'!$B$1:$AU$172,$B157,FALSE),""))</f>
        <v/>
      </c>
      <c r="AL157" s="488" t="str">
        <f>IF(AL$4="","",IF(HLOOKUP(AL$4,'Physical Effects-Numbers'!$B$1:$AU$172,$B157,FALSE)&lt;0,HLOOKUP(AL$4,'Physical Effects-Numbers'!$B$1:$AU$172,$B157,FALSE),""))</f>
        <v/>
      </c>
      <c r="AM157" s="488" t="str">
        <f>IF(AM$4="","",IF(HLOOKUP(AM$4,'Physical Effects-Numbers'!$B$1:$AU$172,$B157,FALSE)&lt;0,HLOOKUP(AM$4,'Physical Effects-Numbers'!$B$1:$AU$172,$B157,FALSE),""))</f>
        <v/>
      </c>
      <c r="AN157" s="488" t="str">
        <f>IF(AN$4="","",IF(HLOOKUP(AN$4,'Physical Effects-Numbers'!$B$1:$AU$172,$B157,FALSE)&lt;0,HLOOKUP(AN$4,'Physical Effects-Numbers'!$B$1:$AU$172,$B157,FALSE),""))</f>
        <v/>
      </c>
      <c r="AO157" s="488" t="str">
        <f>IF(AO$4="","",IF(HLOOKUP(AO$4,'Physical Effects-Numbers'!$B$1:$AU$172,$B157,FALSE)&lt;0,HLOOKUP(AO$4,'Physical Effects-Numbers'!$B$1:$AU$172,$B157,FALSE),""))</f>
        <v/>
      </c>
      <c r="AP157" s="488" t="str">
        <f>IF(AP$4="","",IF(HLOOKUP(AP$4,'Physical Effects-Numbers'!$B$1:$AU$172,$B157,FALSE)&lt;0,HLOOKUP(AP$4,'Physical Effects-Numbers'!$B$1:$AU$172,$B157,FALSE),""))</f>
        <v/>
      </c>
      <c r="AQ157" s="488" t="str">
        <f>IF(AQ$4="","",IF(HLOOKUP(AQ$4,'Physical Effects-Numbers'!$B$1:$AU$172,$B157,FALSE)&lt;0,HLOOKUP(AQ$4,'Physical Effects-Numbers'!$B$1:$AU$172,$B157,FALSE),""))</f>
        <v/>
      </c>
      <c r="AR157" s="488" t="str">
        <f>IF(AR$4="","",IF(HLOOKUP(AR$4,'Physical Effects-Numbers'!$B$1:$AU$172,$B157,FALSE)&lt;0,HLOOKUP(AR$4,'Physical Effects-Numbers'!$B$1:$AU$172,$B157,FALSE),""))</f>
        <v/>
      </c>
      <c r="AS157" s="488" t="str">
        <f>IF(AS$4="","",IF(HLOOKUP(AS$4,'Physical Effects-Numbers'!$B$1:$AU$172,$B157,FALSE)&lt;0,HLOOKUP(AS$4,'Physical Effects-Numbers'!$B$1:$AU$172,$B157,FALSE),""))</f>
        <v/>
      </c>
      <c r="AT157" s="488" t="str">
        <f>IF(AT$4="","",IF(HLOOKUP(AT$4,'Physical Effects-Numbers'!$B$1:$AU$172,$B157,FALSE)&lt;0,HLOOKUP(AT$4,'Physical Effects-Numbers'!$B$1:$AU$172,$B157,FALSE),""))</f>
        <v/>
      </c>
      <c r="AU157" s="488" t="str">
        <f>IF(AU$4="","",IF(HLOOKUP(AU$4,'Physical Effects-Numbers'!$B$1:$AU$172,$B157,FALSE)&lt;0,HLOOKUP(AU$4,'Physical Effects-Numbers'!$B$1:$AU$172,$B157,FALSE),""))</f>
        <v/>
      </c>
      <c r="AV157" s="488" t="str">
        <f>IF(AV$4="","",IF(HLOOKUP(AV$4,'Physical Effects-Numbers'!$B$1:$AU$167,$B157,FALSE)&lt;0,HLOOKUP(AV$4,'Physical Effects-Numbers'!$B$1:$AU$167,$B157,FALSE),""))</f>
        <v/>
      </c>
    </row>
    <row r="158" spans="2:48" x14ac:dyDescent="0.2">
      <c r="B158" s="487">
        <f t="shared" si="2"/>
        <v>155</v>
      </c>
      <c r="C158" s="486" t="str">
        <f>+'Physical Effects-Numbers'!B155</f>
        <v>Waste Transfer</v>
      </c>
      <c r="D158" s="488">
        <f>IF(D$4="","",IF(HLOOKUP(D$4,'Physical Effects-Numbers'!$B$1:$AU$172,$B158,FALSE)&lt;0,HLOOKUP(D$4,'Physical Effects-Numbers'!$B$1:$AU$172,$B158,FALSE),""))</f>
        <v>-1</v>
      </c>
      <c r="E158" s="488">
        <f>IF(E$4="","",IF(HLOOKUP(E$4,'Physical Effects-Numbers'!$B$1:$AU$172,$B158,FALSE)&lt;0,HLOOKUP(E$4,'Physical Effects-Numbers'!$B$1:$AU$172,$B158,FALSE),""))</f>
        <v>-1</v>
      </c>
      <c r="F158" s="488">
        <f>IF(F$4="","",IF(HLOOKUP(F$4,'Physical Effects-Numbers'!$B$1:$AU$172,$B158,FALSE)&lt;0,HLOOKUP(F$4,'Physical Effects-Numbers'!$B$1:$AU$172,$B158,FALSE),""))</f>
        <v>-1</v>
      </c>
      <c r="G158" s="488" t="str">
        <f>IF(G$4="","",IF(HLOOKUP(G$4,'Physical Effects-Numbers'!$B$1:$AU$172,$B158,FALSE)&lt;0,HLOOKUP(G$4,'Physical Effects-Numbers'!$B$1:$AU$172,$B158,FALSE),""))</f>
        <v/>
      </c>
      <c r="H158" s="488" t="str">
        <f>IF(H$4="","",IF(HLOOKUP(H$4,'Physical Effects-Numbers'!$B$1:$AU$172,$B158,FALSE)&lt;0,HLOOKUP(H$4,'Physical Effects-Numbers'!$B$1:$AU$172,$B158,FALSE),""))</f>
        <v/>
      </c>
      <c r="I158" s="488" t="str">
        <f>IF(I$4="","",IF(HLOOKUP(I$4,'Physical Effects-Numbers'!$B$1:$AU$172,$B158,FALSE)&lt;0,HLOOKUP(I$4,'Physical Effects-Numbers'!$B$1:$AU$172,$B158,FALSE),""))</f>
        <v/>
      </c>
      <c r="J158" s="488">
        <f>IF(J$4="","",IF(HLOOKUP(J$4,'Physical Effects-Numbers'!$B$1:$AU$172,$B158,FALSE)&lt;0,HLOOKUP(J$4,'Physical Effects-Numbers'!$B$1:$AU$172,$B158,FALSE),""))</f>
        <v>-1</v>
      </c>
      <c r="K158" s="488" t="str">
        <f>IF(K$4="","",IF(HLOOKUP(K$4,'Physical Effects-Numbers'!$B$1:$AU$172,$B158,FALSE)&lt;0,HLOOKUP(K$4,'Physical Effects-Numbers'!$B$1:$AU$172,$B158,FALSE),""))</f>
        <v/>
      </c>
      <c r="L158" s="488" t="str">
        <f>IF(L$4="","",IF(HLOOKUP(L$4,'Physical Effects-Numbers'!$B$1:$AU$172,$B158,FALSE)&lt;0,HLOOKUP(L$4,'Physical Effects-Numbers'!$B$1:$AU$172,$B158,FALSE),""))</f>
        <v/>
      </c>
      <c r="M158" s="488" t="str">
        <f>IF(M$4="","",IF(HLOOKUP(M$4,'Physical Effects-Numbers'!$B$1:$AU$172,$B158,FALSE)&lt;0,HLOOKUP(M$4,'Physical Effects-Numbers'!$B$1:$AU$172,$B158,FALSE),""))</f>
        <v/>
      </c>
      <c r="N158" s="488" t="str">
        <f>IF(N$4="","",IF(HLOOKUP(N$4,'Physical Effects-Numbers'!$B$1:$AU$172,$B158,FALSE)&lt;0,HLOOKUP(N$4,'Physical Effects-Numbers'!$B$1:$AU$172,$B158,FALSE),""))</f>
        <v/>
      </c>
      <c r="O158" s="488" t="str">
        <f>IF(O$4="","",IF(HLOOKUP(O$4,'Physical Effects-Numbers'!$B$1:$AU$172,$B158,FALSE)&lt;0,HLOOKUP(O$4,'Physical Effects-Numbers'!$B$1:$AU$172,$B158,FALSE),""))</f>
        <v/>
      </c>
      <c r="P158" s="488" t="str">
        <f>IF(P$4="","",IF(HLOOKUP(P$4,'Physical Effects-Numbers'!$B$1:$AU$172,$B158,FALSE)&lt;0,HLOOKUP(P$4,'Physical Effects-Numbers'!$B$1:$AU$172,$B158,FALSE),""))</f>
        <v/>
      </c>
      <c r="Q158" s="488" t="str">
        <f>IF(Q$4="","",IF(HLOOKUP(Q$4,'Physical Effects-Numbers'!$B$1:$AU$172,$B158,FALSE)&lt;0,HLOOKUP(Q$4,'Physical Effects-Numbers'!$B$1:$AU$172,$B158,FALSE),""))</f>
        <v/>
      </c>
      <c r="R158" s="488" t="str">
        <f>IF(R$4="","",IF(HLOOKUP(R$4,'Physical Effects-Numbers'!$B$1:$AU$172,$B158,FALSE)&lt;0,HLOOKUP(R$4,'Physical Effects-Numbers'!$B$1:$AU$172,$B158,FALSE),""))</f>
        <v/>
      </c>
      <c r="S158" s="488" t="str">
        <f>IF(S$4="","",IF(HLOOKUP(S$4,'Physical Effects-Numbers'!$B$1:$AU$172,$B158,FALSE)&lt;0,HLOOKUP(S$4,'Physical Effects-Numbers'!$B$1:$AU$172,$B158,FALSE),""))</f>
        <v/>
      </c>
      <c r="T158" s="488" t="str">
        <f>IF(T$4="","",IF(HLOOKUP(T$4,'Physical Effects-Numbers'!$B$1:$AU$172,$B158,FALSE)&lt;0,HLOOKUP(T$4,'Physical Effects-Numbers'!$B$1:$AU$172,$B158,FALSE),""))</f>
        <v/>
      </c>
      <c r="U158" s="488" t="str">
        <f>IF(U$4="","",IF(HLOOKUP(U$4,'Physical Effects-Numbers'!$B$1:$AU$172,$B158,FALSE)&lt;0,HLOOKUP(U$4,'Physical Effects-Numbers'!$B$1:$AU$172,$B158,FALSE),""))</f>
        <v/>
      </c>
      <c r="V158" s="488" t="str">
        <f>IF(V$4="","",IF(HLOOKUP(V$4,'Physical Effects-Numbers'!$B$1:$AU$172,$B158,FALSE)&lt;0,HLOOKUP(V$4,'Physical Effects-Numbers'!$B$1:$AU$172,$B158,FALSE),""))</f>
        <v/>
      </c>
      <c r="W158" s="488" t="str">
        <f>IF(W$4="","",IF(HLOOKUP(W$4,'Physical Effects-Numbers'!$B$1:$AU$172,$B158,FALSE)&lt;0,HLOOKUP(W$4,'Physical Effects-Numbers'!$B$1:$AU$172,$B158,FALSE),""))</f>
        <v/>
      </c>
      <c r="X158" s="488" t="str">
        <f>IF(X$4="","",IF(HLOOKUP(X$4,'Physical Effects-Numbers'!$B$1:$AU$172,$B158,FALSE)&lt;0,HLOOKUP(X$4,'Physical Effects-Numbers'!$B$1:$AU$172,$B158,FALSE),""))</f>
        <v/>
      </c>
      <c r="Y158" s="488" t="str">
        <f>IF(Y$4="","",IF(HLOOKUP(Y$4,'Physical Effects-Numbers'!$B$1:$AU$172,$B158,FALSE)&lt;0,HLOOKUP(Y$4,'Physical Effects-Numbers'!$B$1:$AU$172,$B158,FALSE),""))</f>
        <v/>
      </c>
      <c r="Z158" s="488" t="str">
        <f>IF(Z$4="","",IF(HLOOKUP(Z$4,'Physical Effects-Numbers'!$B$1:$AU$172,$B158,FALSE)&lt;0,HLOOKUP(Z$4,'Physical Effects-Numbers'!$B$1:$AU$172,$B158,FALSE),""))</f>
        <v/>
      </c>
      <c r="AA158" s="488" t="str">
        <f>IF(AA$4="","",IF(HLOOKUP(AA$4,'Physical Effects-Numbers'!$B$1:$AU$172,$B158,FALSE)&lt;0,HLOOKUP(AA$4,'Physical Effects-Numbers'!$B$1:$AU$172,$B158,FALSE),""))</f>
        <v/>
      </c>
      <c r="AB158" s="488" t="str">
        <f>IF(AB$4="","",IF(HLOOKUP(AB$4,'Physical Effects-Numbers'!$B$1:$AU$172,$B158,FALSE)&lt;0,HLOOKUP(AB$4,'Physical Effects-Numbers'!$B$1:$AU$172,$B158,FALSE),""))</f>
        <v/>
      </c>
      <c r="AC158" s="488" t="str">
        <f>IF(AC$4="","",IF(HLOOKUP(AC$4,'Physical Effects-Numbers'!$B$1:$AU$172,$B158,FALSE)&lt;0,HLOOKUP(AC$4,'Physical Effects-Numbers'!$B$1:$AU$172,$B158,FALSE),""))</f>
        <v/>
      </c>
      <c r="AD158" s="488" t="str">
        <f>IF(AD$4="","",IF(HLOOKUP(AD$4,'Physical Effects-Numbers'!$B$1:$AU$172,$B158,FALSE)&lt;0,HLOOKUP(AD$4,'Physical Effects-Numbers'!$B$1:$AU$172,$B158,FALSE),""))</f>
        <v/>
      </c>
      <c r="AE158" s="488">
        <f>IF(AE$4="","",IF(HLOOKUP(AE$4,'Physical Effects-Numbers'!$B$1:$AU$172,$B158,FALSE)&lt;0,HLOOKUP(AE$4,'Physical Effects-Numbers'!$B$1:$AU$172,$B158,FALSE),""))</f>
        <v>-1</v>
      </c>
      <c r="AF158" s="488">
        <f>IF(AF$4="","",IF(HLOOKUP(AF$4,'Physical Effects-Numbers'!$B$1:$AU$172,$B158,FALSE)&lt;0,HLOOKUP(AF$4,'Physical Effects-Numbers'!$B$1:$AU$172,$B158,FALSE),""))</f>
        <v>-1</v>
      </c>
      <c r="AG158" s="488" t="str">
        <f>IF(AG$4="","",IF(HLOOKUP(AG$4,'Physical Effects-Numbers'!$B$1:$AU$172,$B158,FALSE)&lt;0,HLOOKUP(AG$4,'Physical Effects-Numbers'!$B$1:$AU$172,$B158,FALSE),""))</f>
        <v/>
      </c>
      <c r="AH158" s="488">
        <f>IF(AH$4="","",IF(HLOOKUP(AH$4,'Physical Effects-Numbers'!$B$1:$AU$172,$B158,FALSE)&lt;0,HLOOKUP(AH$4,'Physical Effects-Numbers'!$B$1:$AU$172,$B158,FALSE),""))</f>
        <v>-1</v>
      </c>
      <c r="AI158" s="488" t="str">
        <f>IF(AI$4="","",IF(HLOOKUP(AI$4,'Physical Effects-Numbers'!$B$1:$AU$172,$B158,FALSE)&lt;0,HLOOKUP(AI$4,'Physical Effects-Numbers'!$B$1:$AU$172,$B158,FALSE),""))</f>
        <v/>
      </c>
      <c r="AJ158" s="488" t="str">
        <f>IF(AJ$4="","",IF(HLOOKUP(AJ$4,'Physical Effects-Numbers'!$B$1:$AU$172,$B158,FALSE)&lt;0,HLOOKUP(AJ$4,'Physical Effects-Numbers'!$B$1:$AU$172,$B158,FALSE),""))</f>
        <v/>
      </c>
      <c r="AK158" s="488">
        <f>IF(AK$4="","",IF(HLOOKUP(AK$4,'Physical Effects-Numbers'!$B$1:$AU$172,$B158,FALSE)&lt;0,HLOOKUP(AK$4,'Physical Effects-Numbers'!$B$1:$AU$172,$B158,FALSE),""))</f>
        <v>-1</v>
      </c>
      <c r="AL158" s="488" t="str">
        <f>IF(AL$4="","",IF(HLOOKUP(AL$4,'Physical Effects-Numbers'!$B$1:$AU$172,$B158,FALSE)&lt;0,HLOOKUP(AL$4,'Physical Effects-Numbers'!$B$1:$AU$172,$B158,FALSE),""))</f>
        <v/>
      </c>
      <c r="AM158" s="488" t="str">
        <f>IF(AM$4="","",IF(HLOOKUP(AM$4,'Physical Effects-Numbers'!$B$1:$AU$172,$B158,FALSE)&lt;0,HLOOKUP(AM$4,'Physical Effects-Numbers'!$B$1:$AU$172,$B158,FALSE),""))</f>
        <v/>
      </c>
      <c r="AN158" s="488" t="str">
        <f>IF(AN$4="","",IF(HLOOKUP(AN$4,'Physical Effects-Numbers'!$B$1:$AU$172,$B158,FALSE)&lt;0,HLOOKUP(AN$4,'Physical Effects-Numbers'!$B$1:$AU$172,$B158,FALSE),""))</f>
        <v/>
      </c>
      <c r="AO158" s="488" t="str">
        <f>IF(AO$4="","",IF(HLOOKUP(AO$4,'Physical Effects-Numbers'!$B$1:$AU$172,$B158,FALSE)&lt;0,HLOOKUP(AO$4,'Physical Effects-Numbers'!$B$1:$AU$172,$B158,FALSE),""))</f>
        <v/>
      </c>
      <c r="AP158" s="488" t="str">
        <f>IF(AP$4="","",IF(HLOOKUP(AP$4,'Physical Effects-Numbers'!$B$1:$AU$172,$B158,FALSE)&lt;0,HLOOKUP(AP$4,'Physical Effects-Numbers'!$B$1:$AU$172,$B158,FALSE),""))</f>
        <v/>
      </c>
      <c r="AQ158" s="488" t="str">
        <f>IF(AQ$4="","",IF(HLOOKUP(AQ$4,'Physical Effects-Numbers'!$B$1:$AU$172,$B158,FALSE)&lt;0,HLOOKUP(AQ$4,'Physical Effects-Numbers'!$B$1:$AU$172,$B158,FALSE),""))</f>
        <v/>
      </c>
      <c r="AR158" s="488" t="str">
        <f>IF(AR$4="","",IF(HLOOKUP(AR$4,'Physical Effects-Numbers'!$B$1:$AU$172,$B158,FALSE)&lt;0,HLOOKUP(AR$4,'Physical Effects-Numbers'!$B$1:$AU$172,$B158,FALSE),""))</f>
        <v/>
      </c>
      <c r="AS158" s="488" t="str">
        <f>IF(AS$4="","",IF(HLOOKUP(AS$4,'Physical Effects-Numbers'!$B$1:$AU$172,$B158,FALSE)&lt;0,HLOOKUP(AS$4,'Physical Effects-Numbers'!$B$1:$AU$172,$B158,FALSE),""))</f>
        <v/>
      </c>
      <c r="AT158" s="488" t="str">
        <f>IF(AT$4="","",IF(HLOOKUP(AT$4,'Physical Effects-Numbers'!$B$1:$AU$172,$B158,FALSE)&lt;0,HLOOKUP(AT$4,'Physical Effects-Numbers'!$B$1:$AU$172,$B158,FALSE),""))</f>
        <v/>
      </c>
      <c r="AU158" s="488" t="str">
        <f>IF(AU$4="","",IF(HLOOKUP(AU$4,'Physical Effects-Numbers'!$B$1:$AU$172,$B158,FALSE)&lt;0,HLOOKUP(AU$4,'Physical Effects-Numbers'!$B$1:$AU$172,$B158,FALSE),""))</f>
        <v/>
      </c>
      <c r="AV158" s="488" t="str">
        <f>IF(AV$4="","",IF(HLOOKUP(AV$4,'Physical Effects-Numbers'!$B$1:$AU$167,$B158,FALSE)&lt;0,HLOOKUP(AV$4,'Physical Effects-Numbers'!$B$1:$AU$167,$B158,FALSE),""))</f>
        <v/>
      </c>
    </row>
    <row r="159" spans="2:48" x14ac:dyDescent="0.2">
      <c r="B159" s="487">
        <f t="shared" si="2"/>
        <v>156</v>
      </c>
      <c r="C159" s="486" t="str">
        <f>+'Physical Effects-Numbers'!B156</f>
        <v>Waste Treatment</v>
      </c>
      <c r="D159" s="488" t="str">
        <f>IF(D$4="","",IF(HLOOKUP(D$4,'Physical Effects-Numbers'!$B$1:$AU$172,$B159,FALSE)&lt;0,HLOOKUP(D$4,'Physical Effects-Numbers'!$B$1:$AU$172,$B159,FALSE),""))</f>
        <v/>
      </c>
      <c r="E159" s="488" t="str">
        <f>IF(E$4="","",IF(HLOOKUP(E$4,'Physical Effects-Numbers'!$B$1:$AU$172,$B159,FALSE)&lt;0,HLOOKUP(E$4,'Physical Effects-Numbers'!$B$1:$AU$172,$B159,FALSE),""))</f>
        <v/>
      </c>
      <c r="F159" s="488" t="str">
        <f>IF(F$4="","",IF(HLOOKUP(F$4,'Physical Effects-Numbers'!$B$1:$AU$172,$B159,FALSE)&lt;0,HLOOKUP(F$4,'Physical Effects-Numbers'!$B$1:$AU$172,$B159,FALSE),""))</f>
        <v/>
      </c>
      <c r="G159" s="488" t="str">
        <f>IF(G$4="","",IF(HLOOKUP(G$4,'Physical Effects-Numbers'!$B$1:$AU$172,$B159,FALSE)&lt;0,HLOOKUP(G$4,'Physical Effects-Numbers'!$B$1:$AU$172,$B159,FALSE),""))</f>
        <v/>
      </c>
      <c r="H159" s="488" t="str">
        <f>IF(H$4="","",IF(HLOOKUP(H$4,'Physical Effects-Numbers'!$B$1:$AU$172,$B159,FALSE)&lt;0,HLOOKUP(H$4,'Physical Effects-Numbers'!$B$1:$AU$172,$B159,FALSE),""))</f>
        <v/>
      </c>
      <c r="I159" s="488" t="str">
        <f>IF(I$4="","",IF(HLOOKUP(I$4,'Physical Effects-Numbers'!$B$1:$AU$172,$B159,FALSE)&lt;0,HLOOKUP(I$4,'Physical Effects-Numbers'!$B$1:$AU$172,$B159,FALSE),""))</f>
        <v/>
      </c>
      <c r="J159" s="488" t="str">
        <f>IF(J$4="","",IF(HLOOKUP(J$4,'Physical Effects-Numbers'!$B$1:$AU$172,$B159,FALSE)&lt;0,HLOOKUP(J$4,'Physical Effects-Numbers'!$B$1:$AU$172,$B159,FALSE),""))</f>
        <v/>
      </c>
      <c r="K159" s="488" t="str">
        <f>IF(K$4="","",IF(HLOOKUP(K$4,'Physical Effects-Numbers'!$B$1:$AU$172,$B159,FALSE)&lt;0,HLOOKUP(K$4,'Physical Effects-Numbers'!$B$1:$AU$172,$B159,FALSE),""))</f>
        <v/>
      </c>
      <c r="L159" s="488" t="str">
        <f>IF(L$4="","",IF(HLOOKUP(L$4,'Physical Effects-Numbers'!$B$1:$AU$172,$B159,FALSE)&lt;0,HLOOKUP(L$4,'Physical Effects-Numbers'!$B$1:$AU$172,$B159,FALSE),""))</f>
        <v/>
      </c>
      <c r="M159" s="488" t="str">
        <f>IF(M$4="","",IF(HLOOKUP(M$4,'Physical Effects-Numbers'!$B$1:$AU$172,$B159,FALSE)&lt;0,HLOOKUP(M$4,'Physical Effects-Numbers'!$B$1:$AU$172,$B159,FALSE),""))</f>
        <v/>
      </c>
      <c r="N159" s="488" t="str">
        <f>IF(N$4="","",IF(HLOOKUP(N$4,'Physical Effects-Numbers'!$B$1:$AU$172,$B159,FALSE)&lt;0,HLOOKUP(N$4,'Physical Effects-Numbers'!$B$1:$AU$172,$B159,FALSE),""))</f>
        <v/>
      </c>
      <c r="O159" s="488" t="str">
        <f>IF(O$4="","",IF(HLOOKUP(O$4,'Physical Effects-Numbers'!$B$1:$AU$172,$B159,FALSE)&lt;0,HLOOKUP(O$4,'Physical Effects-Numbers'!$B$1:$AU$172,$B159,FALSE),""))</f>
        <v/>
      </c>
      <c r="P159" s="488" t="str">
        <f>IF(P$4="","",IF(HLOOKUP(P$4,'Physical Effects-Numbers'!$B$1:$AU$172,$B159,FALSE)&lt;0,HLOOKUP(P$4,'Physical Effects-Numbers'!$B$1:$AU$172,$B159,FALSE),""))</f>
        <v/>
      </c>
      <c r="Q159" s="488" t="str">
        <f>IF(Q$4="","",IF(HLOOKUP(Q$4,'Physical Effects-Numbers'!$B$1:$AU$172,$B159,FALSE)&lt;0,HLOOKUP(Q$4,'Physical Effects-Numbers'!$B$1:$AU$172,$B159,FALSE),""))</f>
        <v/>
      </c>
      <c r="R159" s="488" t="str">
        <f>IF(R$4="","",IF(HLOOKUP(R$4,'Physical Effects-Numbers'!$B$1:$AU$172,$B159,FALSE)&lt;0,HLOOKUP(R$4,'Physical Effects-Numbers'!$B$1:$AU$172,$B159,FALSE),""))</f>
        <v/>
      </c>
      <c r="S159" s="488" t="str">
        <f>IF(S$4="","",IF(HLOOKUP(S$4,'Physical Effects-Numbers'!$B$1:$AU$172,$B159,FALSE)&lt;0,HLOOKUP(S$4,'Physical Effects-Numbers'!$B$1:$AU$172,$B159,FALSE),""))</f>
        <v/>
      </c>
      <c r="T159" s="488" t="str">
        <f>IF(T$4="","",IF(HLOOKUP(T$4,'Physical Effects-Numbers'!$B$1:$AU$172,$B159,FALSE)&lt;0,HLOOKUP(T$4,'Physical Effects-Numbers'!$B$1:$AU$172,$B159,FALSE),""))</f>
        <v/>
      </c>
      <c r="U159" s="488" t="str">
        <f>IF(U$4="","",IF(HLOOKUP(U$4,'Physical Effects-Numbers'!$B$1:$AU$172,$B159,FALSE)&lt;0,HLOOKUP(U$4,'Physical Effects-Numbers'!$B$1:$AU$172,$B159,FALSE),""))</f>
        <v/>
      </c>
      <c r="V159" s="488" t="str">
        <f>IF(V$4="","",IF(HLOOKUP(V$4,'Physical Effects-Numbers'!$B$1:$AU$172,$B159,FALSE)&lt;0,HLOOKUP(V$4,'Physical Effects-Numbers'!$B$1:$AU$172,$B159,FALSE),""))</f>
        <v/>
      </c>
      <c r="W159" s="488" t="str">
        <f>IF(W$4="","",IF(HLOOKUP(W$4,'Physical Effects-Numbers'!$B$1:$AU$172,$B159,FALSE)&lt;0,HLOOKUP(W$4,'Physical Effects-Numbers'!$B$1:$AU$172,$B159,FALSE),""))</f>
        <v/>
      </c>
      <c r="X159" s="488" t="str">
        <f>IF(X$4="","",IF(HLOOKUP(X$4,'Physical Effects-Numbers'!$B$1:$AU$172,$B159,FALSE)&lt;0,HLOOKUP(X$4,'Physical Effects-Numbers'!$B$1:$AU$172,$B159,FALSE),""))</f>
        <v/>
      </c>
      <c r="Y159" s="488" t="str">
        <f>IF(Y$4="","",IF(HLOOKUP(Y$4,'Physical Effects-Numbers'!$B$1:$AU$172,$B159,FALSE)&lt;0,HLOOKUP(Y$4,'Physical Effects-Numbers'!$B$1:$AU$172,$B159,FALSE),""))</f>
        <v/>
      </c>
      <c r="Z159" s="488" t="str">
        <f>IF(Z$4="","",IF(HLOOKUP(Z$4,'Physical Effects-Numbers'!$B$1:$AU$172,$B159,FALSE)&lt;0,HLOOKUP(Z$4,'Physical Effects-Numbers'!$B$1:$AU$172,$B159,FALSE),""))</f>
        <v/>
      </c>
      <c r="AA159" s="488" t="str">
        <f>IF(AA$4="","",IF(HLOOKUP(AA$4,'Physical Effects-Numbers'!$B$1:$AU$172,$B159,FALSE)&lt;0,HLOOKUP(AA$4,'Physical Effects-Numbers'!$B$1:$AU$172,$B159,FALSE),""))</f>
        <v/>
      </c>
      <c r="AB159" s="488" t="str">
        <f>IF(AB$4="","",IF(HLOOKUP(AB$4,'Physical Effects-Numbers'!$B$1:$AU$172,$B159,FALSE)&lt;0,HLOOKUP(AB$4,'Physical Effects-Numbers'!$B$1:$AU$172,$B159,FALSE),""))</f>
        <v/>
      </c>
      <c r="AC159" s="488" t="str">
        <f>IF(AC$4="","",IF(HLOOKUP(AC$4,'Physical Effects-Numbers'!$B$1:$AU$172,$B159,FALSE)&lt;0,HLOOKUP(AC$4,'Physical Effects-Numbers'!$B$1:$AU$172,$B159,FALSE),""))</f>
        <v/>
      </c>
      <c r="AD159" s="488" t="str">
        <f>IF(AD$4="","",IF(HLOOKUP(AD$4,'Physical Effects-Numbers'!$B$1:$AU$172,$B159,FALSE)&lt;0,HLOOKUP(AD$4,'Physical Effects-Numbers'!$B$1:$AU$172,$B159,FALSE),""))</f>
        <v/>
      </c>
      <c r="AE159" s="488" t="str">
        <f>IF(AE$4="","",IF(HLOOKUP(AE$4,'Physical Effects-Numbers'!$B$1:$AU$172,$B159,FALSE)&lt;0,HLOOKUP(AE$4,'Physical Effects-Numbers'!$B$1:$AU$172,$B159,FALSE),""))</f>
        <v/>
      </c>
      <c r="AF159" s="488" t="str">
        <f>IF(AF$4="","",IF(HLOOKUP(AF$4,'Physical Effects-Numbers'!$B$1:$AU$172,$B159,FALSE)&lt;0,HLOOKUP(AF$4,'Physical Effects-Numbers'!$B$1:$AU$172,$B159,FALSE),""))</f>
        <v/>
      </c>
      <c r="AG159" s="488" t="str">
        <f>IF(AG$4="","",IF(HLOOKUP(AG$4,'Physical Effects-Numbers'!$B$1:$AU$172,$B159,FALSE)&lt;0,HLOOKUP(AG$4,'Physical Effects-Numbers'!$B$1:$AU$172,$B159,FALSE),""))</f>
        <v/>
      </c>
      <c r="AH159" s="488" t="str">
        <f>IF(AH$4="","",IF(HLOOKUP(AH$4,'Physical Effects-Numbers'!$B$1:$AU$172,$B159,FALSE)&lt;0,HLOOKUP(AH$4,'Physical Effects-Numbers'!$B$1:$AU$172,$B159,FALSE),""))</f>
        <v/>
      </c>
      <c r="AI159" s="488" t="str">
        <f>IF(AI$4="","",IF(HLOOKUP(AI$4,'Physical Effects-Numbers'!$B$1:$AU$172,$B159,FALSE)&lt;0,HLOOKUP(AI$4,'Physical Effects-Numbers'!$B$1:$AU$172,$B159,FALSE),""))</f>
        <v/>
      </c>
      <c r="AJ159" s="488" t="str">
        <f>IF(AJ$4="","",IF(HLOOKUP(AJ$4,'Physical Effects-Numbers'!$B$1:$AU$172,$B159,FALSE)&lt;0,HLOOKUP(AJ$4,'Physical Effects-Numbers'!$B$1:$AU$172,$B159,FALSE),""))</f>
        <v/>
      </c>
      <c r="AK159" s="488" t="str">
        <f>IF(AK$4="","",IF(HLOOKUP(AK$4,'Physical Effects-Numbers'!$B$1:$AU$172,$B159,FALSE)&lt;0,HLOOKUP(AK$4,'Physical Effects-Numbers'!$B$1:$AU$172,$B159,FALSE),""))</f>
        <v/>
      </c>
      <c r="AL159" s="488" t="str">
        <f>IF(AL$4="","",IF(HLOOKUP(AL$4,'Physical Effects-Numbers'!$B$1:$AU$172,$B159,FALSE)&lt;0,HLOOKUP(AL$4,'Physical Effects-Numbers'!$B$1:$AU$172,$B159,FALSE),""))</f>
        <v/>
      </c>
      <c r="AM159" s="488" t="str">
        <f>IF(AM$4="","",IF(HLOOKUP(AM$4,'Physical Effects-Numbers'!$B$1:$AU$172,$B159,FALSE)&lt;0,HLOOKUP(AM$4,'Physical Effects-Numbers'!$B$1:$AU$172,$B159,FALSE),""))</f>
        <v/>
      </c>
      <c r="AN159" s="488" t="str">
        <f>IF(AN$4="","",IF(HLOOKUP(AN$4,'Physical Effects-Numbers'!$B$1:$AU$172,$B159,FALSE)&lt;0,HLOOKUP(AN$4,'Physical Effects-Numbers'!$B$1:$AU$172,$B159,FALSE),""))</f>
        <v/>
      </c>
      <c r="AO159" s="488" t="str">
        <f>IF(AO$4="","",IF(HLOOKUP(AO$4,'Physical Effects-Numbers'!$B$1:$AU$172,$B159,FALSE)&lt;0,HLOOKUP(AO$4,'Physical Effects-Numbers'!$B$1:$AU$172,$B159,FALSE),""))</f>
        <v/>
      </c>
      <c r="AP159" s="488" t="str">
        <f>IF(AP$4="","",IF(HLOOKUP(AP$4,'Physical Effects-Numbers'!$B$1:$AU$172,$B159,FALSE)&lt;0,HLOOKUP(AP$4,'Physical Effects-Numbers'!$B$1:$AU$172,$B159,FALSE),""))</f>
        <v/>
      </c>
      <c r="AQ159" s="488" t="str">
        <f>IF(AQ$4="","",IF(HLOOKUP(AQ$4,'Physical Effects-Numbers'!$B$1:$AU$172,$B159,FALSE)&lt;0,HLOOKUP(AQ$4,'Physical Effects-Numbers'!$B$1:$AU$172,$B159,FALSE),""))</f>
        <v/>
      </c>
      <c r="AR159" s="488" t="str">
        <f>IF(AR$4="","",IF(HLOOKUP(AR$4,'Physical Effects-Numbers'!$B$1:$AU$172,$B159,FALSE)&lt;0,HLOOKUP(AR$4,'Physical Effects-Numbers'!$B$1:$AU$172,$B159,FALSE),""))</f>
        <v/>
      </c>
      <c r="AS159" s="488" t="str">
        <f>IF(AS$4="","",IF(HLOOKUP(AS$4,'Physical Effects-Numbers'!$B$1:$AU$172,$B159,FALSE)&lt;0,HLOOKUP(AS$4,'Physical Effects-Numbers'!$B$1:$AU$172,$B159,FALSE),""))</f>
        <v/>
      </c>
      <c r="AT159" s="488" t="str">
        <f>IF(AT$4="","",IF(HLOOKUP(AT$4,'Physical Effects-Numbers'!$B$1:$AU$172,$B159,FALSE)&lt;0,HLOOKUP(AT$4,'Physical Effects-Numbers'!$B$1:$AU$172,$B159,FALSE),""))</f>
        <v/>
      </c>
      <c r="AU159" s="488" t="str">
        <f>IF(AU$4="","",IF(HLOOKUP(AU$4,'Physical Effects-Numbers'!$B$1:$AU$172,$B159,FALSE)&lt;0,HLOOKUP(AU$4,'Physical Effects-Numbers'!$B$1:$AU$172,$B159,FALSE),""))</f>
        <v/>
      </c>
      <c r="AV159" s="488" t="str">
        <f>IF(AV$4="","",IF(HLOOKUP(AV$4,'Physical Effects-Numbers'!$B$1:$AU$167,$B159,FALSE)&lt;0,HLOOKUP(AV$4,'Physical Effects-Numbers'!$B$1:$AU$167,$B159,FALSE),""))</f>
        <v/>
      </c>
    </row>
    <row r="160" spans="2:48" x14ac:dyDescent="0.2">
      <c r="B160" s="487">
        <f t="shared" si="2"/>
        <v>157</v>
      </c>
      <c r="C160" s="486" t="str">
        <f>+'Physical Effects-Numbers'!B157</f>
        <v>Waste Treatment Lagoon</v>
      </c>
      <c r="D160" s="488" t="str">
        <f>IF(D$4="","",IF(HLOOKUP(D$4,'Physical Effects-Numbers'!$B$1:$AU$172,$B160,FALSE)&lt;0,HLOOKUP(D$4,'Physical Effects-Numbers'!$B$1:$AU$172,$B160,FALSE),""))</f>
        <v/>
      </c>
      <c r="E160" s="488" t="str">
        <f>IF(E$4="","",IF(HLOOKUP(E$4,'Physical Effects-Numbers'!$B$1:$AU$172,$B160,FALSE)&lt;0,HLOOKUP(E$4,'Physical Effects-Numbers'!$B$1:$AU$172,$B160,FALSE),""))</f>
        <v/>
      </c>
      <c r="F160" s="488" t="str">
        <f>IF(F$4="","",IF(HLOOKUP(F$4,'Physical Effects-Numbers'!$B$1:$AU$172,$B160,FALSE)&lt;0,HLOOKUP(F$4,'Physical Effects-Numbers'!$B$1:$AU$172,$B160,FALSE),""))</f>
        <v/>
      </c>
      <c r="G160" s="488" t="str">
        <f>IF(G$4="","",IF(HLOOKUP(G$4,'Physical Effects-Numbers'!$B$1:$AU$172,$B160,FALSE)&lt;0,HLOOKUP(G$4,'Physical Effects-Numbers'!$B$1:$AU$172,$B160,FALSE),""))</f>
        <v/>
      </c>
      <c r="H160" s="488" t="str">
        <f>IF(H$4="","",IF(HLOOKUP(H$4,'Physical Effects-Numbers'!$B$1:$AU$172,$B160,FALSE)&lt;0,HLOOKUP(H$4,'Physical Effects-Numbers'!$B$1:$AU$172,$B160,FALSE),""))</f>
        <v/>
      </c>
      <c r="I160" s="488" t="str">
        <f>IF(I$4="","",IF(HLOOKUP(I$4,'Physical Effects-Numbers'!$B$1:$AU$172,$B160,FALSE)&lt;0,HLOOKUP(I$4,'Physical Effects-Numbers'!$B$1:$AU$172,$B160,FALSE),""))</f>
        <v/>
      </c>
      <c r="J160" s="488" t="str">
        <f>IF(J$4="","",IF(HLOOKUP(J$4,'Physical Effects-Numbers'!$B$1:$AU$172,$B160,FALSE)&lt;0,HLOOKUP(J$4,'Physical Effects-Numbers'!$B$1:$AU$172,$B160,FALSE),""))</f>
        <v/>
      </c>
      <c r="K160" s="488" t="str">
        <f>IF(K$4="","",IF(HLOOKUP(K$4,'Physical Effects-Numbers'!$B$1:$AU$172,$B160,FALSE)&lt;0,HLOOKUP(K$4,'Physical Effects-Numbers'!$B$1:$AU$172,$B160,FALSE),""))</f>
        <v/>
      </c>
      <c r="L160" s="488" t="str">
        <f>IF(L$4="","",IF(HLOOKUP(L$4,'Physical Effects-Numbers'!$B$1:$AU$172,$B160,FALSE)&lt;0,HLOOKUP(L$4,'Physical Effects-Numbers'!$B$1:$AU$172,$B160,FALSE),""))</f>
        <v/>
      </c>
      <c r="M160" s="488" t="str">
        <f>IF(M$4="","",IF(HLOOKUP(M$4,'Physical Effects-Numbers'!$B$1:$AU$172,$B160,FALSE)&lt;0,HLOOKUP(M$4,'Physical Effects-Numbers'!$B$1:$AU$172,$B160,FALSE),""))</f>
        <v/>
      </c>
      <c r="N160" s="488" t="str">
        <f>IF(N$4="","",IF(HLOOKUP(N$4,'Physical Effects-Numbers'!$B$1:$AU$172,$B160,FALSE)&lt;0,HLOOKUP(N$4,'Physical Effects-Numbers'!$B$1:$AU$172,$B160,FALSE),""))</f>
        <v/>
      </c>
      <c r="O160" s="488" t="str">
        <f>IF(O$4="","",IF(HLOOKUP(O$4,'Physical Effects-Numbers'!$B$1:$AU$172,$B160,FALSE)&lt;0,HLOOKUP(O$4,'Physical Effects-Numbers'!$B$1:$AU$172,$B160,FALSE),""))</f>
        <v/>
      </c>
      <c r="P160" s="488" t="str">
        <f>IF(P$4="","",IF(HLOOKUP(P$4,'Physical Effects-Numbers'!$B$1:$AU$172,$B160,FALSE)&lt;0,HLOOKUP(P$4,'Physical Effects-Numbers'!$B$1:$AU$172,$B160,FALSE),""))</f>
        <v/>
      </c>
      <c r="Q160" s="488" t="str">
        <f>IF(Q$4="","",IF(HLOOKUP(Q$4,'Physical Effects-Numbers'!$B$1:$AU$172,$B160,FALSE)&lt;0,HLOOKUP(Q$4,'Physical Effects-Numbers'!$B$1:$AU$172,$B160,FALSE),""))</f>
        <v/>
      </c>
      <c r="R160" s="488" t="str">
        <f>IF(R$4="","",IF(HLOOKUP(R$4,'Physical Effects-Numbers'!$B$1:$AU$172,$B160,FALSE)&lt;0,HLOOKUP(R$4,'Physical Effects-Numbers'!$B$1:$AU$172,$B160,FALSE),""))</f>
        <v/>
      </c>
      <c r="S160" s="488" t="str">
        <f>IF(S$4="","",IF(HLOOKUP(S$4,'Physical Effects-Numbers'!$B$1:$AU$172,$B160,FALSE)&lt;0,HLOOKUP(S$4,'Physical Effects-Numbers'!$B$1:$AU$172,$B160,FALSE),""))</f>
        <v/>
      </c>
      <c r="T160" s="488" t="str">
        <f>IF(T$4="","",IF(HLOOKUP(T$4,'Physical Effects-Numbers'!$B$1:$AU$172,$B160,FALSE)&lt;0,HLOOKUP(T$4,'Physical Effects-Numbers'!$B$1:$AU$172,$B160,FALSE),""))</f>
        <v/>
      </c>
      <c r="U160" s="488" t="str">
        <f>IF(U$4="","",IF(HLOOKUP(U$4,'Physical Effects-Numbers'!$B$1:$AU$172,$B160,FALSE)&lt;0,HLOOKUP(U$4,'Physical Effects-Numbers'!$B$1:$AU$172,$B160,FALSE),""))</f>
        <v/>
      </c>
      <c r="V160" s="488" t="str">
        <f>IF(V$4="","",IF(HLOOKUP(V$4,'Physical Effects-Numbers'!$B$1:$AU$172,$B160,FALSE)&lt;0,HLOOKUP(V$4,'Physical Effects-Numbers'!$B$1:$AU$172,$B160,FALSE),""))</f>
        <v/>
      </c>
      <c r="W160" s="488" t="str">
        <f>IF(W$4="","",IF(HLOOKUP(W$4,'Physical Effects-Numbers'!$B$1:$AU$172,$B160,FALSE)&lt;0,HLOOKUP(W$4,'Physical Effects-Numbers'!$B$1:$AU$172,$B160,FALSE),""))</f>
        <v/>
      </c>
      <c r="X160" s="488" t="str">
        <f>IF(X$4="","",IF(HLOOKUP(X$4,'Physical Effects-Numbers'!$B$1:$AU$172,$B160,FALSE)&lt;0,HLOOKUP(X$4,'Physical Effects-Numbers'!$B$1:$AU$172,$B160,FALSE),""))</f>
        <v/>
      </c>
      <c r="Y160" s="488" t="str">
        <f>IF(Y$4="","",IF(HLOOKUP(Y$4,'Physical Effects-Numbers'!$B$1:$AU$172,$B160,FALSE)&lt;0,HLOOKUP(Y$4,'Physical Effects-Numbers'!$B$1:$AU$172,$B160,FALSE),""))</f>
        <v/>
      </c>
      <c r="Z160" s="488" t="str">
        <f>IF(Z$4="","",IF(HLOOKUP(Z$4,'Physical Effects-Numbers'!$B$1:$AU$172,$B160,FALSE)&lt;0,HLOOKUP(Z$4,'Physical Effects-Numbers'!$B$1:$AU$172,$B160,FALSE),""))</f>
        <v/>
      </c>
      <c r="AA160" s="488" t="str">
        <f>IF(AA$4="","",IF(HLOOKUP(AA$4,'Physical Effects-Numbers'!$B$1:$AU$172,$B160,FALSE)&lt;0,HLOOKUP(AA$4,'Physical Effects-Numbers'!$B$1:$AU$172,$B160,FALSE),""))</f>
        <v/>
      </c>
      <c r="AB160" s="488" t="str">
        <f>IF(AB$4="","",IF(HLOOKUP(AB$4,'Physical Effects-Numbers'!$B$1:$AU$172,$B160,FALSE)&lt;0,HLOOKUP(AB$4,'Physical Effects-Numbers'!$B$1:$AU$172,$B160,FALSE),""))</f>
        <v/>
      </c>
      <c r="AC160" s="488" t="str">
        <f>IF(AC$4="","",IF(HLOOKUP(AC$4,'Physical Effects-Numbers'!$B$1:$AU$172,$B160,FALSE)&lt;0,HLOOKUP(AC$4,'Physical Effects-Numbers'!$B$1:$AU$172,$B160,FALSE),""))</f>
        <v/>
      </c>
      <c r="AD160" s="488" t="str">
        <f>IF(AD$4="","",IF(HLOOKUP(AD$4,'Physical Effects-Numbers'!$B$1:$AU$172,$B160,FALSE)&lt;0,HLOOKUP(AD$4,'Physical Effects-Numbers'!$B$1:$AU$172,$B160,FALSE),""))</f>
        <v/>
      </c>
      <c r="AE160" s="488">
        <f>IF(AE$4="","",IF(HLOOKUP(AE$4,'Physical Effects-Numbers'!$B$1:$AU$172,$B160,FALSE)&lt;0,HLOOKUP(AE$4,'Physical Effects-Numbers'!$B$1:$AU$172,$B160,FALSE),""))</f>
        <v>-1</v>
      </c>
      <c r="AF160" s="488" t="str">
        <f>IF(AF$4="","",IF(HLOOKUP(AF$4,'Physical Effects-Numbers'!$B$1:$AU$172,$B160,FALSE)&lt;0,HLOOKUP(AF$4,'Physical Effects-Numbers'!$B$1:$AU$172,$B160,FALSE),""))</f>
        <v/>
      </c>
      <c r="AG160" s="488">
        <f>IF(AG$4="","",IF(HLOOKUP(AG$4,'Physical Effects-Numbers'!$B$1:$AU$172,$B160,FALSE)&lt;0,HLOOKUP(AG$4,'Physical Effects-Numbers'!$B$1:$AU$172,$B160,FALSE),""))</f>
        <v>-3</v>
      </c>
      <c r="AH160" s="488">
        <f>IF(AH$4="","",IF(HLOOKUP(AH$4,'Physical Effects-Numbers'!$B$1:$AU$172,$B160,FALSE)&lt;0,HLOOKUP(AH$4,'Physical Effects-Numbers'!$B$1:$AU$172,$B160,FALSE),""))</f>
        <v>-1</v>
      </c>
      <c r="AI160" s="488" t="str">
        <f>IF(AI$4="","",IF(HLOOKUP(AI$4,'Physical Effects-Numbers'!$B$1:$AU$172,$B160,FALSE)&lt;0,HLOOKUP(AI$4,'Physical Effects-Numbers'!$B$1:$AU$172,$B160,FALSE),""))</f>
        <v/>
      </c>
      <c r="AJ160" s="488" t="str">
        <f>IF(AJ$4="","",IF(HLOOKUP(AJ$4,'Physical Effects-Numbers'!$B$1:$AU$172,$B160,FALSE)&lt;0,HLOOKUP(AJ$4,'Physical Effects-Numbers'!$B$1:$AU$172,$B160,FALSE),""))</f>
        <v/>
      </c>
      <c r="AK160" s="488" t="str">
        <f>IF(AK$4="","",IF(HLOOKUP(AK$4,'Physical Effects-Numbers'!$B$1:$AU$172,$B160,FALSE)&lt;0,HLOOKUP(AK$4,'Physical Effects-Numbers'!$B$1:$AU$172,$B160,FALSE),""))</f>
        <v/>
      </c>
      <c r="AL160" s="488" t="str">
        <f>IF(AL$4="","",IF(HLOOKUP(AL$4,'Physical Effects-Numbers'!$B$1:$AU$172,$B160,FALSE)&lt;0,HLOOKUP(AL$4,'Physical Effects-Numbers'!$B$1:$AU$172,$B160,FALSE),""))</f>
        <v/>
      </c>
      <c r="AM160" s="488" t="str">
        <f>IF(AM$4="","",IF(HLOOKUP(AM$4,'Physical Effects-Numbers'!$B$1:$AU$172,$B160,FALSE)&lt;0,HLOOKUP(AM$4,'Physical Effects-Numbers'!$B$1:$AU$172,$B160,FALSE),""))</f>
        <v/>
      </c>
      <c r="AN160" s="488" t="str">
        <f>IF(AN$4="","",IF(HLOOKUP(AN$4,'Physical Effects-Numbers'!$B$1:$AU$172,$B160,FALSE)&lt;0,HLOOKUP(AN$4,'Physical Effects-Numbers'!$B$1:$AU$172,$B160,FALSE),""))</f>
        <v/>
      </c>
      <c r="AO160" s="488" t="str">
        <f>IF(AO$4="","",IF(HLOOKUP(AO$4,'Physical Effects-Numbers'!$B$1:$AU$172,$B160,FALSE)&lt;0,HLOOKUP(AO$4,'Physical Effects-Numbers'!$B$1:$AU$172,$B160,FALSE),""))</f>
        <v/>
      </c>
      <c r="AP160" s="488" t="str">
        <f>IF(AP$4="","",IF(HLOOKUP(AP$4,'Physical Effects-Numbers'!$B$1:$AU$172,$B160,FALSE)&lt;0,HLOOKUP(AP$4,'Physical Effects-Numbers'!$B$1:$AU$172,$B160,FALSE),""))</f>
        <v/>
      </c>
      <c r="AQ160" s="488" t="str">
        <f>IF(AQ$4="","",IF(HLOOKUP(AQ$4,'Physical Effects-Numbers'!$B$1:$AU$172,$B160,FALSE)&lt;0,HLOOKUP(AQ$4,'Physical Effects-Numbers'!$B$1:$AU$172,$B160,FALSE),""))</f>
        <v/>
      </c>
      <c r="AR160" s="488" t="str">
        <f>IF(AR$4="","",IF(HLOOKUP(AR$4,'Physical Effects-Numbers'!$B$1:$AU$172,$B160,FALSE)&lt;0,HLOOKUP(AR$4,'Physical Effects-Numbers'!$B$1:$AU$172,$B160,FALSE),""))</f>
        <v/>
      </c>
      <c r="AS160" s="488" t="str">
        <f>IF(AS$4="","",IF(HLOOKUP(AS$4,'Physical Effects-Numbers'!$B$1:$AU$172,$B160,FALSE)&lt;0,HLOOKUP(AS$4,'Physical Effects-Numbers'!$B$1:$AU$172,$B160,FALSE),""))</f>
        <v/>
      </c>
      <c r="AT160" s="488" t="str">
        <f>IF(AT$4="","",IF(HLOOKUP(AT$4,'Physical Effects-Numbers'!$B$1:$AU$172,$B160,FALSE)&lt;0,HLOOKUP(AT$4,'Physical Effects-Numbers'!$B$1:$AU$172,$B160,FALSE),""))</f>
        <v/>
      </c>
      <c r="AU160" s="488" t="str">
        <f>IF(AU$4="","",IF(HLOOKUP(AU$4,'Physical Effects-Numbers'!$B$1:$AU$172,$B160,FALSE)&lt;0,HLOOKUP(AU$4,'Physical Effects-Numbers'!$B$1:$AU$172,$B160,FALSE),""))</f>
        <v/>
      </c>
      <c r="AV160" s="488" t="str">
        <f>IF(AV$4="","",IF(HLOOKUP(AV$4,'Physical Effects-Numbers'!$B$1:$AU$167,$B160,FALSE)&lt;0,HLOOKUP(AV$4,'Physical Effects-Numbers'!$B$1:$AU$167,$B160,FALSE),""))</f>
        <v/>
      </c>
    </row>
    <row r="161" spans="2:48" x14ac:dyDescent="0.2">
      <c r="B161" s="487">
        <f t="shared" si="2"/>
        <v>158</v>
      </c>
      <c r="C161" s="486" t="str">
        <f>+'Physical Effects-Numbers'!B158</f>
        <v>Water and Sediment Control Basin</v>
      </c>
      <c r="D161" s="488" t="str">
        <f>IF(D$4="","",IF(HLOOKUP(D$4,'Physical Effects-Numbers'!$B$1:$AU$172,$B161,FALSE)&lt;0,HLOOKUP(D$4,'Physical Effects-Numbers'!$B$1:$AU$172,$B161,FALSE),""))</f>
        <v/>
      </c>
      <c r="E161" s="488" t="str">
        <f>IF(E$4="","",IF(HLOOKUP(E$4,'Physical Effects-Numbers'!$B$1:$AU$172,$B161,FALSE)&lt;0,HLOOKUP(E$4,'Physical Effects-Numbers'!$B$1:$AU$172,$B161,FALSE),""))</f>
        <v/>
      </c>
      <c r="F161" s="488" t="str">
        <f>IF(F$4="","",IF(HLOOKUP(F$4,'Physical Effects-Numbers'!$B$1:$AU$172,$B161,FALSE)&lt;0,HLOOKUP(F$4,'Physical Effects-Numbers'!$B$1:$AU$172,$B161,FALSE),""))</f>
        <v/>
      </c>
      <c r="G161" s="488" t="str">
        <f>IF(G$4="","",IF(HLOOKUP(G$4,'Physical Effects-Numbers'!$B$1:$AU$172,$B161,FALSE)&lt;0,HLOOKUP(G$4,'Physical Effects-Numbers'!$B$1:$AU$172,$B161,FALSE),""))</f>
        <v/>
      </c>
      <c r="H161" s="488" t="str">
        <f>IF(H$4="","",IF(HLOOKUP(H$4,'Physical Effects-Numbers'!$B$1:$AU$172,$B161,FALSE)&lt;0,HLOOKUP(H$4,'Physical Effects-Numbers'!$B$1:$AU$172,$B161,FALSE),""))</f>
        <v/>
      </c>
      <c r="I161" s="488" t="str">
        <f>IF(I$4="","",IF(HLOOKUP(I$4,'Physical Effects-Numbers'!$B$1:$AU$172,$B161,FALSE)&lt;0,HLOOKUP(I$4,'Physical Effects-Numbers'!$B$1:$AU$172,$B161,FALSE),""))</f>
        <v/>
      </c>
      <c r="J161" s="488" t="str">
        <f>IF(J$4="","",IF(HLOOKUP(J$4,'Physical Effects-Numbers'!$B$1:$AU$172,$B161,FALSE)&lt;0,HLOOKUP(J$4,'Physical Effects-Numbers'!$B$1:$AU$172,$B161,FALSE),""))</f>
        <v/>
      </c>
      <c r="K161" s="488" t="str">
        <f>IF(K$4="","",IF(HLOOKUP(K$4,'Physical Effects-Numbers'!$B$1:$AU$172,$B161,FALSE)&lt;0,HLOOKUP(K$4,'Physical Effects-Numbers'!$B$1:$AU$172,$B161,FALSE),""))</f>
        <v/>
      </c>
      <c r="L161" s="488" t="str">
        <f>IF(L$4="","",IF(HLOOKUP(L$4,'Physical Effects-Numbers'!$B$1:$AU$172,$B161,FALSE)&lt;0,HLOOKUP(L$4,'Physical Effects-Numbers'!$B$1:$AU$172,$B161,FALSE),""))</f>
        <v/>
      </c>
      <c r="M161" s="488">
        <f>IF(M$4="","",IF(HLOOKUP(M$4,'Physical Effects-Numbers'!$B$1:$AU$172,$B161,FALSE)&lt;0,HLOOKUP(M$4,'Physical Effects-Numbers'!$B$1:$AU$172,$B161,FALSE),""))</f>
        <v>-2</v>
      </c>
      <c r="N161" s="488" t="str">
        <f>IF(N$4="","",IF(HLOOKUP(N$4,'Physical Effects-Numbers'!$B$1:$AU$172,$B161,FALSE)&lt;0,HLOOKUP(N$4,'Physical Effects-Numbers'!$B$1:$AU$172,$B161,FALSE),""))</f>
        <v/>
      </c>
      <c r="O161" s="488">
        <f>IF(O$4="","",IF(HLOOKUP(O$4,'Physical Effects-Numbers'!$B$1:$AU$172,$B161,FALSE)&lt;0,HLOOKUP(O$4,'Physical Effects-Numbers'!$B$1:$AU$172,$B161,FALSE),""))</f>
        <v>-2</v>
      </c>
      <c r="P161" s="488" t="str">
        <f>IF(P$4="","",IF(HLOOKUP(P$4,'Physical Effects-Numbers'!$B$1:$AU$172,$B161,FALSE)&lt;0,HLOOKUP(P$4,'Physical Effects-Numbers'!$B$1:$AU$172,$B161,FALSE),""))</f>
        <v/>
      </c>
      <c r="Q161" s="488" t="str">
        <f>IF(Q$4="","",IF(HLOOKUP(Q$4,'Physical Effects-Numbers'!$B$1:$AU$172,$B161,FALSE)&lt;0,HLOOKUP(Q$4,'Physical Effects-Numbers'!$B$1:$AU$172,$B161,FALSE),""))</f>
        <v/>
      </c>
      <c r="R161" s="488" t="str">
        <f>IF(R$4="","",IF(HLOOKUP(R$4,'Physical Effects-Numbers'!$B$1:$AU$172,$B161,FALSE)&lt;0,HLOOKUP(R$4,'Physical Effects-Numbers'!$B$1:$AU$172,$B161,FALSE),""))</f>
        <v/>
      </c>
      <c r="S161" s="488" t="str">
        <f>IF(S$4="","",IF(HLOOKUP(S$4,'Physical Effects-Numbers'!$B$1:$AU$172,$B161,FALSE)&lt;0,HLOOKUP(S$4,'Physical Effects-Numbers'!$B$1:$AU$172,$B161,FALSE),""))</f>
        <v/>
      </c>
      <c r="T161" s="488">
        <f>IF(T$4="","",IF(HLOOKUP(T$4,'Physical Effects-Numbers'!$B$1:$AU$172,$B161,FALSE)&lt;0,HLOOKUP(T$4,'Physical Effects-Numbers'!$B$1:$AU$172,$B161,FALSE),""))</f>
        <v>-1</v>
      </c>
      <c r="U161" s="488" t="str">
        <f>IF(U$4="","",IF(HLOOKUP(U$4,'Physical Effects-Numbers'!$B$1:$AU$172,$B161,FALSE)&lt;0,HLOOKUP(U$4,'Physical Effects-Numbers'!$B$1:$AU$172,$B161,FALSE),""))</f>
        <v/>
      </c>
      <c r="V161" s="488">
        <f>IF(V$4="","",IF(HLOOKUP(V$4,'Physical Effects-Numbers'!$B$1:$AU$172,$B161,FALSE)&lt;0,HLOOKUP(V$4,'Physical Effects-Numbers'!$B$1:$AU$172,$B161,FALSE),""))</f>
        <v>-1</v>
      </c>
      <c r="W161" s="488" t="str">
        <f>IF(W$4="","",IF(HLOOKUP(W$4,'Physical Effects-Numbers'!$B$1:$AU$172,$B161,FALSE)&lt;0,HLOOKUP(W$4,'Physical Effects-Numbers'!$B$1:$AU$172,$B161,FALSE),""))</f>
        <v/>
      </c>
      <c r="X161" s="488">
        <f>IF(X$4="","",IF(HLOOKUP(X$4,'Physical Effects-Numbers'!$B$1:$AU$172,$B161,FALSE)&lt;0,HLOOKUP(X$4,'Physical Effects-Numbers'!$B$1:$AU$172,$B161,FALSE),""))</f>
        <v>-1</v>
      </c>
      <c r="Y161" s="488" t="str">
        <f>IF(Y$4="","",IF(HLOOKUP(Y$4,'Physical Effects-Numbers'!$B$1:$AU$172,$B161,FALSE)&lt;0,HLOOKUP(Y$4,'Physical Effects-Numbers'!$B$1:$AU$172,$B161,FALSE),""))</f>
        <v/>
      </c>
      <c r="Z161" s="488">
        <f>IF(Z$4="","",IF(HLOOKUP(Z$4,'Physical Effects-Numbers'!$B$1:$AU$172,$B161,FALSE)&lt;0,HLOOKUP(Z$4,'Physical Effects-Numbers'!$B$1:$AU$172,$B161,FALSE),""))</f>
        <v>-1</v>
      </c>
      <c r="AA161" s="488" t="str">
        <f>IF(AA$4="","",IF(HLOOKUP(AA$4,'Physical Effects-Numbers'!$B$1:$AU$172,$B161,FALSE)&lt;0,HLOOKUP(AA$4,'Physical Effects-Numbers'!$B$1:$AU$172,$B161,FALSE),""))</f>
        <v/>
      </c>
      <c r="AB161" s="488">
        <f>IF(AB$4="","",IF(HLOOKUP(AB$4,'Physical Effects-Numbers'!$B$1:$AU$172,$B161,FALSE)&lt;0,HLOOKUP(AB$4,'Physical Effects-Numbers'!$B$1:$AU$172,$B161,FALSE),""))</f>
        <v>-2</v>
      </c>
      <c r="AC161" s="488" t="str">
        <f>IF(AC$4="","",IF(HLOOKUP(AC$4,'Physical Effects-Numbers'!$B$1:$AU$172,$B161,FALSE)&lt;0,HLOOKUP(AC$4,'Physical Effects-Numbers'!$B$1:$AU$172,$B161,FALSE),""))</f>
        <v/>
      </c>
      <c r="AD161" s="488">
        <f>IF(AD$4="","",IF(HLOOKUP(AD$4,'Physical Effects-Numbers'!$B$1:$AU$172,$B161,FALSE)&lt;0,HLOOKUP(AD$4,'Physical Effects-Numbers'!$B$1:$AU$172,$B161,FALSE),""))</f>
        <v>-1</v>
      </c>
      <c r="AE161" s="488" t="str">
        <f>IF(AE$4="","",IF(HLOOKUP(AE$4,'Physical Effects-Numbers'!$B$1:$AU$172,$B161,FALSE)&lt;0,HLOOKUP(AE$4,'Physical Effects-Numbers'!$B$1:$AU$172,$B161,FALSE),""))</f>
        <v/>
      </c>
      <c r="AF161" s="488" t="str">
        <f>IF(AF$4="","",IF(HLOOKUP(AF$4,'Physical Effects-Numbers'!$B$1:$AU$172,$B161,FALSE)&lt;0,HLOOKUP(AF$4,'Physical Effects-Numbers'!$B$1:$AU$172,$B161,FALSE),""))</f>
        <v/>
      </c>
      <c r="AG161" s="488" t="str">
        <f>IF(AG$4="","",IF(HLOOKUP(AG$4,'Physical Effects-Numbers'!$B$1:$AU$172,$B161,FALSE)&lt;0,HLOOKUP(AG$4,'Physical Effects-Numbers'!$B$1:$AU$172,$B161,FALSE),""))</f>
        <v/>
      </c>
      <c r="AH161" s="488" t="str">
        <f>IF(AH$4="","",IF(HLOOKUP(AH$4,'Physical Effects-Numbers'!$B$1:$AU$172,$B161,FALSE)&lt;0,HLOOKUP(AH$4,'Physical Effects-Numbers'!$B$1:$AU$172,$B161,FALSE),""))</f>
        <v/>
      </c>
      <c r="AI161" s="488" t="str">
        <f>IF(AI$4="","",IF(HLOOKUP(AI$4,'Physical Effects-Numbers'!$B$1:$AU$172,$B161,FALSE)&lt;0,HLOOKUP(AI$4,'Physical Effects-Numbers'!$B$1:$AU$172,$B161,FALSE),""))</f>
        <v/>
      </c>
      <c r="AJ161" s="488" t="str">
        <f>IF(AJ$4="","",IF(HLOOKUP(AJ$4,'Physical Effects-Numbers'!$B$1:$AU$172,$B161,FALSE)&lt;0,HLOOKUP(AJ$4,'Physical Effects-Numbers'!$B$1:$AU$172,$B161,FALSE),""))</f>
        <v/>
      </c>
      <c r="AK161" s="488" t="str">
        <f>IF(AK$4="","",IF(HLOOKUP(AK$4,'Physical Effects-Numbers'!$B$1:$AU$172,$B161,FALSE)&lt;0,HLOOKUP(AK$4,'Physical Effects-Numbers'!$B$1:$AU$172,$B161,FALSE),""))</f>
        <v/>
      </c>
      <c r="AL161" s="488" t="str">
        <f>IF(AL$4="","",IF(HLOOKUP(AL$4,'Physical Effects-Numbers'!$B$1:$AU$172,$B161,FALSE)&lt;0,HLOOKUP(AL$4,'Physical Effects-Numbers'!$B$1:$AU$172,$B161,FALSE),""))</f>
        <v/>
      </c>
      <c r="AM161" s="488" t="str">
        <f>IF(AM$4="","",IF(HLOOKUP(AM$4,'Physical Effects-Numbers'!$B$1:$AU$172,$B161,FALSE)&lt;0,HLOOKUP(AM$4,'Physical Effects-Numbers'!$B$1:$AU$172,$B161,FALSE),""))</f>
        <v/>
      </c>
      <c r="AN161" s="488" t="str">
        <f>IF(AN$4="","",IF(HLOOKUP(AN$4,'Physical Effects-Numbers'!$B$1:$AU$172,$B161,FALSE)&lt;0,HLOOKUP(AN$4,'Physical Effects-Numbers'!$B$1:$AU$172,$B161,FALSE),""))</f>
        <v/>
      </c>
      <c r="AO161" s="488" t="str">
        <f>IF(AO$4="","",IF(HLOOKUP(AO$4,'Physical Effects-Numbers'!$B$1:$AU$172,$B161,FALSE)&lt;0,HLOOKUP(AO$4,'Physical Effects-Numbers'!$B$1:$AU$172,$B161,FALSE),""))</f>
        <v/>
      </c>
      <c r="AP161" s="488" t="str">
        <f>IF(AP$4="","",IF(HLOOKUP(AP$4,'Physical Effects-Numbers'!$B$1:$AU$172,$B161,FALSE)&lt;0,HLOOKUP(AP$4,'Physical Effects-Numbers'!$B$1:$AU$172,$B161,FALSE),""))</f>
        <v/>
      </c>
      <c r="AQ161" s="488" t="str">
        <f>IF(AQ$4="","",IF(HLOOKUP(AQ$4,'Physical Effects-Numbers'!$B$1:$AU$172,$B161,FALSE)&lt;0,HLOOKUP(AQ$4,'Physical Effects-Numbers'!$B$1:$AU$172,$B161,FALSE),""))</f>
        <v/>
      </c>
      <c r="AR161" s="488" t="str">
        <f>IF(AR$4="","",IF(HLOOKUP(AR$4,'Physical Effects-Numbers'!$B$1:$AU$172,$B161,FALSE)&lt;0,HLOOKUP(AR$4,'Physical Effects-Numbers'!$B$1:$AU$172,$B161,FALSE),""))</f>
        <v/>
      </c>
      <c r="AS161" s="488" t="str">
        <f>IF(AS$4="","",IF(HLOOKUP(AS$4,'Physical Effects-Numbers'!$B$1:$AU$172,$B161,FALSE)&lt;0,HLOOKUP(AS$4,'Physical Effects-Numbers'!$B$1:$AU$172,$B161,FALSE),""))</f>
        <v/>
      </c>
      <c r="AT161" s="488" t="str">
        <f>IF(AT$4="","",IF(HLOOKUP(AT$4,'Physical Effects-Numbers'!$B$1:$AU$172,$B161,FALSE)&lt;0,HLOOKUP(AT$4,'Physical Effects-Numbers'!$B$1:$AU$172,$B161,FALSE),""))</f>
        <v/>
      </c>
      <c r="AU161" s="488" t="str">
        <f>IF(AU$4="","",IF(HLOOKUP(AU$4,'Physical Effects-Numbers'!$B$1:$AU$172,$B161,FALSE)&lt;0,HLOOKUP(AU$4,'Physical Effects-Numbers'!$B$1:$AU$172,$B161,FALSE),""))</f>
        <v/>
      </c>
      <c r="AV161" s="488" t="str">
        <f>IF(AV$4="","",IF(HLOOKUP(AV$4,'Physical Effects-Numbers'!$B$1:$AU$167,$B161,FALSE)&lt;0,HLOOKUP(AV$4,'Physical Effects-Numbers'!$B$1:$AU$167,$B161,FALSE),""))</f>
        <v/>
      </c>
    </row>
    <row r="162" spans="2:48" x14ac:dyDescent="0.2">
      <c r="B162" s="487">
        <f t="shared" si="2"/>
        <v>159</v>
      </c>
      <c r="C162" s="486" t="str">
        <f>+'Physical Effects-Numbers'!B159</f>
        <v>Water Harvesting Catchment</v>
      </c>
      <c r="D162" s="488" t="str">
        <f>IF(D$4="","",IF(HLOOKUP(D$4,'Physical Effects-Numbers'!$B$1:$AU$172,$B162,FALSE)&lt;0,HLOOKUP(D$4,'Physical Effects-Numbers'!$B$1:$AU$172,$B162,FALSE),""))</f>
        <v/>
      </c>
      <c r="E162" s="488" t="str">
        <f>IF(E$4="","",IF(HLOOKUP(E$4,'Physical Effects-Numbers'!$B$1:$AU$172,$B162,FALSE)&lt;0,HLOOKUP(E$4,'Physical Effects-Numbers'!$B$1:$AU$172,$B162,FALSE),""))</f>
        <v/>
      </c>
      <c r="F162" s="488" t="str">
        <f>IF(F$4="","",IF(HLOOKUP(F$4,'Physical Effects-Numbers'!$B$1:$AU$172,$B162,FALSE)&lt;0,HLOOKUP(F$4,'Physical Effects-Numbers'!$B$1:$AU$172,$B162,FALSE),""))</f>
        <v/>
      </c>
      <c r="G162" s="488" t="str">
        <f>IF(G$4="","",IF(HLOOKUP(G$4,'Physical Effects-Numbers'!$B$1:$AU$172,$B162,FALSE)&lt;0,HLOOKUP(G$4,'Physical Effects-Numbers'!$B$1:$AU$172,$B162,FALSE),""))</f>
        <v/>
      </c>
      <c r="H162" s="488" t="str">
        <f>IF(H$4="","",IF(HLOOKUP(H$4,'Physical Effects-Numbers'!$B$1:$AU$172,$B162,FALSE)&lt;0,HLOOKUP(H$4,'Physical Effects-Numbers'!$B$1:$AU$172,$B162,FALSE),""))</f>
        <v/>
      </c>
      <c r="I162" s="488" t="str">
        <f>IF(I$4="","",IF(HLOOKUP(I$4,'Physical Effects-Numbers'!$B$1:$AU$172,$B162,FALSE)&lt;0,HLOOKUP(I$4,'Physical Effects-Numbers'!$B$1:$AU$172,$B162,FALSE),""))</f>
        <v/>
      </c>
      <c r="J162" s="488" t="str">
        <f>IF(J$4="","",IF(HLOOKUP(J$4,'Physical Effects-Numbers'!$B$1:$AU$172,$B162,FALSE)&lt;0,HLOOKUP(J$4,'Physical Effects-Numbers'!$B$1:$AU$172,$B162,FALSE),""))</f>
        <v/>
      </c>
      <c r="K162" s="488" t="str">
        <f>IF(K$4="","",IF(HLOOKUP(K$4,'Physical Effects-Numbers'!$B$1:$AU$172,$B162,FALSE)&lt;0,HLOOKUP(K$4,'Physical Effects-Numbers'!$B$1:$AU$172,$B162,FALSE),""))</f>
        <v/>
      </c>
      <c r="L162" s="488" t="str">
        <f>IF(L$4="","",IF(HLOOKUP(L$4,'Physical Effects-Numbers'!$B$1:$AU$172,$B162,FALSE)&lt;0,HLOOKUP(L$4,'Physical Effects-Numbers'!$B$1:$AU$172,$B162,FALSE),""))</f>
        <v/>
      </c>
      <c r="M162" s="488" t="str">
        <f>IF(M$4="","",IF(HLOOKUP(M$4,'Physical Effects-Numbers'!$B$1:$AU$172,$B162,FALSE)&lt;0,HLOOKUP(M$4,'Physical Effects-Numbers'!$B$1:$AU$172,$B162,FALSE),""))</f>
        <v/>
      </c>
      <c r="N162" s="488" t="str">
        <f>IF(N$4="","",IF(HLOOKUP(N$4,'Physical Effects-Numbers'!$B$1:$AU$172,$B162,FALSE)&lt;0,HLOOKUP(N$4,'Physical Effects-Numbers'!$B$1:$AU$172,$B162,FALSE),""))</f>
        <v/>
      </c>
      <c r="O162" s="488" t="str">
        <f>IF(O$4="","",IF(HLOOKUP(O$4,'Physical Effects-Numbers'!$B$1:$AU$172,$B162,FALSE)&lt;0,HLOOKUP(O$4,'Physical Effects-Numbers'!$B$1:$AU$172,$B162,FALSE),""))</f>
        <v/>
      </c>
      <c r="P162" s="488" t="str">
        <f>IF(P$4="","",IF(HLOOKUP(P$4,'Physical Effects-Numbers'!$B$1:$AU$172,$B162,FALSE)&lt;0,HLOOKUP(P$4,'Physical Effects-Numbers'!$B$1:$AU$172,$B162,FALSE),""))</f>
        <v/>
      </c>
      <c r="Q162" s="488" t="str">
        <f>IF(Q$4="","",IF(HLOOKUP(Q$4,'Physical Effects-Numbers'!$B$1:$AU$172,$B162,FALSE)&lt;0,HLOOKUP(Q$4,'Physical Effects-Numbers'!$B$1:$AU$172,$B162,FALSE),""))</f>
        <v/>
      </c>
      <c r="R162" s="488" t="str">
        <f>IF(R$4="","",IF(HLOOKUP(R$4,'Physical Effects-Numbers'!$B$1:$AU$172,$B162,FALSE)&lt;0,HLOOKUP(R$4,'Physical Effects-Numbers'!$B$1:$AU$172,$B162,FALSE),""))</f>
        <v/>
      </c>
      <c r="S162" s="488" t="str">
        <f>IF(S$4="","",IF(HLOOKUP(S$4,'Physical Effects-Numbers'!$B$1:$AU$172,$B162,FALSE)&lt;0,HLOOKUP(S$4,'Physical Effects-Numbers'!$B$1:$AU$172,$B162,FALSE),""))</f>
        <v/>
      </c>
      <c r="T162" s="488" t="str">
        <f>IF(T$4="","",IF(HLOOKUP(T$4,'Physical Effects-Numbers'!$B$1:$AU$172,$B162,FALSE)&lt;0,HLOOKUP(T$4,'Physical Effects-Numbers'!$B$1:$AU$172,$B162,FALSE),""))</f>
        <v/>
      </c>
      <c r="U162" s="488" t="str">
        <f>IF(U$4="","",IF(HLOOKUP(U$4,'Physical Effects-Numbers'!$B$1:$AU$172,$B162,FALSE)&lt;0,HLOOKUP(U$4,'Physical Effects-Numbers'!$B$1:$AU$172,$B162,FALSE),""))</f>
        <v/>
      </c>
      <c r="V162" s="488" t="str">
        <f>IF(V$4="","",IF(HLOOKUP(V$4,'Physical Effects-Numbers'!$B$1:$AU$172,$B162,FALSE)&lt;0,HLOOKUP(V$4,'Physical Effects-Numbers'!$B$1:$AU$172,$B162,FALSE),""))</f>
        <v/>
      </c>
      <c r="W162" s="488" t="str">
        <f>IF(W$4="","",IF(HLOOKUP(W$4,'Physical Effects-Numbers'!$B$1:$AU$172,$B162,FALSE)&lt;0,HLOOKUP(W$4,'Physical Effects-Numbers'!$B$1:$AU$172,$B162,FALSE),""))</f>
        <v/>
      </c>
      <c r="X162" s="488" t="str">
        <f>IF(X$4="","",IF(HLOOKUP(X$4,'Physical Effects-Numbers'!$B$1:$AU$172,$B162,FALSE)&lt;0,HLOOKUP(X$4,'Physical Effects-Numbers'!$B$1:$AU$172,$B162,FALSE),""))</f>
        <v/>
      </c>
      <c r="Y162" s="488" t="str">
        <f>IF(Y$4="","",IF(HLOOKUP(Y$4,'Physical Effects-Numbers'!$B$1:$AU$172,$B162,FALSE)&lt;0,HLOOKUP(Y$4,'Physical Effects-Numbers'!$B$1:$AU$172,$B162,FALSE),""))</f>
        <v/>
      </c>
      <c r="Z162" s="488" t="str">
        <f>IF(Z$4="","",IF(HLOOKUP(Z$4,'Physical Effects-Numbers'!$B$1:$AU$172,$B162,FALSE)&lt;0,HLOOKUP(Z$4,'Physical Effects-Numbers'!$B$1:$AU$172,$B162,FALSE),""))</f>
        <v/>
      </c>
      <c r="AA162" s="488" t="str">
        <f>IF(AA$4="","",IF(HLOOKUP(AA$4,'Physical Effects-Numbers'!$B$1:$AU$172,$B162,FALSE)&lt;0,HLOOKUP(AA$4,'Physical Effects-Numbers'!$B$1:$AU$172,$B162,FALSE),""))</f>
        <v/>
      </c>
      <c r="AB162" s="488" t="str">
        <f>IF(AB$4="","",IF(HLOOKUP(AB$4,'Physical Effects-Numbers'!$B$1:$AU$172,$B162,FALSE)&lt;0,HLOOKUP(AB$4,'Physical Effects-Numbers'!$B$1:$AU$172,$B162,FALSE),""))</f>
        <v/>
      </c>
      <c r="AC162" s="488" t="str">
        <f>IF(AC$4="","",IF(HLOOKUP(AC$4,'Physical Effects-Numbers'!$B$1:$AU$172,$B162,FALSE)&lt;0,HLOOKUP(AC$4,'Physical Effects-Numbers'!$B$1:$AU$172,$B162,FALSE),""))</f>
        <v/>
      </c>
      <c r="AD162" s="488" t="str">
        <f>IF(AD$4="","",IF(HLOOKUP(AD$4,'Physical Effects-Numbers'!$B$1:$AU$172,$B162,FALSE)&lt;0,HLOOKUP(AD$4,'Physical Effects-Numbers'!$B$1:$AU$172,$B162,FALSE),""))</f>
        <v/>
      </c>
      <c r="AE162" s="488" t="str">
        <f>IF(AE$4="","",IF(HLOOKUP(AE$4,'Physical Effects-Numbers'!$B$1:$AU$172,$B162,FALSE)&lt;0,HLOOKUP(AE$4,'Physical Effects-Numbers'!$B$1:$AU$172,$B162,FALSE),""))</f>
        <v/>
      </c>
      <c r="AF162" s="488" t="str">
        <f>IF(AF$4="","",IF(HLOOKUP(AF$4,'Physical Effects-Numbers'!$B$1:$AU$172,$B162,FALSE)&lt;0,HLOOKUP(AF$4,'Physical Effects-Numbers'!$B$1:$AU$172,$B162,FALSE),""))</f>
        <v/>
      </c>
      <c r="AG162" s="488" t="str">
        <f>IF(AG$4="","",IF(HLOOKUP(AG$4,'Physical Effects-Numbers'!$B$1:$AU$172,$B162,FALSE)&lt;0,HLOOKUP(AG$4,'Physical Effects-Numbers'!$B$1:$AU$172,$B162,FALSE),""))</f>
        <v/>
      </c>
      <c r="AH162" s="488" t="str">
        <f>IF(AH$4="","",IF(HLOOKUP(AH$4,'Physical Effects-Numbers'!$B$1:$AU$172,$B162,FALSE)&lt;0,HLOOKUP(AH$4,'Physical Effects-Numbers'!$B$1:$AU$172,$B162,FALSE),""))</f>
        <v/>
      </c>
      <c r="AI162" s="488" t="str">
        <f>IF(AI$4="","",IF(HLOOKUP(AI$4,'Physical Effects-Numbers'!$B$1:$AU$172,$B162,FALSE)&lt;0,HLOOKUP(AI$4,'Physical Effects-Numbers'!$B$1:$AU$172,$B162,FALSE),""))</f>
        <v/>
      </c>
      <c r="AJ162" s="488" t="str">
        <f>IF(AJ$4="","",IF(HLOOKUP(AJ$4,'Physical Effects-Numbers'!$B$1:$AU$172,$B162,FALSE)&lt;0,HLOOKUP(AJ$4,'Physical Effects-Numbers'!$B$1:$AU$172,$B162,FALSE),""))</f>
        <v/>
      </c>
      <c r="AK162" s="488" t="str">
        <f>IF(AK$4="","",IF(HLOOKUP(AK$4,'Physical Effects-Numbers'!$B$1:$AU$172,$B162,FALSE)&lt;0,HLOOKUP(AK$4,'Physical Effects-Numbers'!$B$1:$AU$172,$B162,FALSE),""))</f>
        <v/>
      </c>
      <c r="AL162" s="488" t="str">
        <f>IF(AL$4="","",IF(HLOOKUP(AL$4,'Physical Effects-Numbers'!$B$1:$AU$172,$B162,FALSE)&lt;0,HLOOKUP(AL$4,'Physical Effects-Numbers'!$B$1:$AU$172,$B162,FALSE),""))</f>
        <v/>
      </c>
      <c r="AM162" s="488" t="str">
        <f>IF(AM$4="","",IF(HLOOKUP(AM$4,'Physical Effects-Numbers'!$B$1:$AU$172,$B162,FALSE)&lt;0,HLOOKUP(AM$4,'Physical Effects-Numbers'!$B$1:$AU$172,$B162,FALSE),""))</f>
        <v/>
      </c>
      <c r="AN162" s="488" t="str">
        <f>IF(AN$4="","",IF(HLOOKUP(AN$4,'Physical Effects-Numbers'!$B$1:$AU$172,$B162,FALSE)&lt;0,HLOOKUP(AN$4,'Physical Effects-Numbers'!$B$1:$AU$172,$B162,FALSE),""))</f>
        <v/>
      </c>
      <c r="AO162" s="488" t="str">
        <f>IF(AO$4="","",IF(HLOOKUP(AO$4,'Physical Effects-Numbers'!$B$1:$AU$172,$B162,FALSE)&lt;0,HLOOKUP(AO$4,'Physical Effects-Numbers'!$B$1:$AU$172,$B162,FALSE),""))</f>
        <v/>
      </c>
      <c r="AP162" s="488" t="str">
        <f>IF(AP$4="","",IF(HLOOKUP(AP$4,'Physical Effects-Numbers'!$B$1:$AU$172,$B162,FALSE)&lt;0,HLOOKUP(AP$4,'Physical Effects-Numbers'!$B$1:$AU$172,$B162,FALSE),""))</f>
        <v/>
      </c>
      <c r="AQ162" s="488" t="str">
        <f>IF(AQ$4="","",IF(HLOOKUP(AQ$4,'Physical Effects-Numbers'!$B$1:$AU$172,$B162,FALSE)&lt;0,HLOOKUP(AQ$4,'Physical Effects-Numbers'!$B$1:$AU$172,$B162,FALSE),""))</f>
        <v/>
      </c>
      <c r="AR162" s="488" t="str">
        <f>IF(AR$4="","",IF(HLOOKUP(AR$4,'Physical Effects-Numbers'!$B$1:$AU$172,$B162,FALSE)&lt;0,HLOOKUP(AR$4,'Physical Effects-Numbers'!$B$1:$AU$172,$B162,FALSE),""))</f>
        <v/>
      </c>
      <c r="AS162" s="488" t="str">
        <f>IF(AS$4="","",IF(HLOOKUP(AS$4,'Physical Effects-Numbers'!$B$1:$AU$172,$B162,FALSE)&lt;0,HLOOKUP(AS$4,'Physical Effects-Numbers'!$B$1:$AU$172,$B162,FALSE),""))</f>
        <v/>
      </c>
      <c r="AT162" s="488" t="str">
        <f>IF(AT$4="","",IF(HLOOKUP(AT$4,'Physical Effects-Numbers'!$B$1:$AU$172,$B162,FALSE)&lt;0,HLOOKUP(AT$4,'Physical Effects-Numbers'!$B$1:$AU$172,$B162,FALSE),""))</f>
        <v/>
      </c>
      <c r="AU162" s="488" t="str">
        <f>IF(AU$4="","",IF(HLOOKUP(AU$4,'Physical Effects-Numbers'!$B$1:$AU$172,$B162,FALSE)&lt;0,HLOOKUP(AU$4,'Physical Effects-Numbers'!$B$1:$AU$172,$B162,FALSE),""))</f>
        <v/>
      </c>
      <c r="AV162" s="488" t="str">
        <f>IF(AV$4="","",IF(HLOOKUP(AV$4,'Physical Effects-Numbers'!$B$1:$AU$167,$B162,FALSE)&lt;0,HLOOKUP(AV$4,'Physical Effects-Numbers'!$B$1:$AU$167,$B162,FALSE),""))</f>
        <v/>
      </c>
    </row>
    <row r="163" spans="2:48" x14ac:dyDescent="0.2">
      <c r="B163" s="487">
        <f t="shared" si="2"/>
        <v>160</v>
      </c>
      <c r="C163" s="486" t="str">
        <f>+'Physical Effects-Numbers'!B160</f>
        <v>Watering Facility</v>
      </c>
      <c r="D163" s="488" t="str">
        <f>IF(D$4="","",IF(HLOOKUP(D$4,'Physical Effects-Numbers'!$B$1:$AU$172,$B163,FALSE)&lt;0,HLOOKUP(D$4,'Physical Effects-Numbers'!$B$1:$AU$172,$B163,FALSE),""))</f>
        <v/>
      </c>
      <c r="E163" s="488" t="str">
        <f>IF(E$4="","",IF(HLOOKUP(E$4,'Physical Effects-Numbers'!$B$1:$AU$172,$B163,FALSE)&lt;0,HLOOKUP(E$4,'Physical Effects-Numbers'!$B$1:$AU$172,$B163,FALSE),""))</f>
        <v/>
      </c>
      <c r="F163" s="488" t="str">
        <f>IF(F$4="","",IF(HLOOKUP(F$4,'Physical Effects-Numbers'!$B$1:$AU$172,$B163,FALSE)&lt;0,HLOOKUP(F$4,'Physical Effects-Numbers'!$B$1:$AU$172,$B163,FALSE),""))</f>
        <v/>
      </c>
      <c r="G163" s="488" t="str">
        <f>IF(G$4="","",IF(HLOOKUP(G$4,'Physical Effects-Numbers'!$B$1:$AU$172,$B163,FALSE)&lt;0,HLOOKUP(G$4,'Physical Effects-Numbers'!$B$1:$AU$172,$B163,FALSE),""))</f>
        <v/>
      </c>
      <c r="H163" s="488" t="str">
        <f>IF(H$4="","",IF(HLOOKUP(H$4,'Physical Effects-Numbers'!$B$1:$AU$172,$B163,FALSE)&lt;0,HLOOKUP(H$4,'Physical Effects-Numbers'!$B$1:$AU$172,$B163,FALSE),""))</f>
        <v/>
      </c>
      <c r="I163" s="488" t="str">
        <f>IF(I$4="","",IF(HLOOKUP(I$4,'Physical Effects-Numbers'!$B$1:$AU$172,$B163,FALSE)&lt;0,HLOOKUP(I$4,'Physical Effects-Numbers'!$B$1:$AU$172,$B163,FALSE),""))</f>
        <v/>
      </c>
      <c r="J163" s="488" t="str">
        <f>IF(J$4="","",IF(HLOOKUP(J$4,'Physical Effects-Numbers'!$B$1:$AU$172,$B163,FALSE)&lt;0,HLOOKUP(J$4,'Physical Effects-Numbers'!$B$1:$AU$172,$B163,FALSE),""))</f>
        <v/>
      </c>
      <c r="K163" s="488" t="str">
        <f>IF(K$4="","",IF(HLOOKUP(K$4,'Physical Effects-Numbers'!$B$1:$AU$172,$B163,FALSE)&lt;0,HLOOKUP(K$4,'Physical Effects-Numbers'!$B$1:$AU$172,$B163,FALSE),""))</f>
        <v/>
      </c>
      <c r="L163" s="488" t="str">
        <f>IF(L$4="","",IF(HLOOKUP(L$4,'Physical Effects-Numbers'!$B$1:$AU$172,$B163,FALSE)&lt;0,HLOOKUP(L$4,'Physical Effects-Numbers'!$B$1:$AU$172,$B163,FALSE),""))</f>
        <v/>
      </c>
      <c r="M163" s="488" t="str">
        <f>IF(M$4="","",IF(HLOOKUP(M$4,'Physical Effects-Numbers'!$B$1:$AU$172,$B163,FALSE)&lt;0,HLOOKUP(M$4,'Physical Effects-Numbers'!$B$1:$AU$172,$B163,FALSE),""))</f>
        <v/>
      </c>
      <c r="N163" s="488" t="str">
        <f>IF(N$4="","",IF(HLOOKUP(N$4,'Physical Effects-Numbers'!$B$1:$AU$172,$B163,FALSE)&lt;0,HLOOKUP(N$4,'Physical Effects-Numbers'!$B$1:$AU$172,$B163,FALSE),""))</f>
        <v/>
      </c>
      <c r="O163" s="488" t="str">
        <f>IF(O$4="","",IF(HLOOKUP(O$4,'Physical Effects-Numbers'!$B$1:$AU$172,$B163,FALSE)&lt;0,HLOOKUP(O$4,'Physical Effects-Numbers'!$B$1:$AU$172,$B163,FALSE),""))</f>
        <v/>
      </c>
      <c r="P163" s="488" t="str">
        <f>IF(P$4="","",IF(HLOOKUP(P$4,'Physical Effects-Numbers'!$B$1:$AU$172,$B163,FALSE)&lt;0,HLOOKUP(P$4,'Physical Effects-Numbers'!$B$1:$AU$172,$B163,FALSE),""))</f>
        <v/>
      </c>
      <c r="Q163" s="488" t="str">
        <f>IF(Q$4="","",IF(HLOOKUP(Q$4,'Physical Effects-Numbers'!$B$1:$AU$172,$B163,FALSE)&lt;0,HLOOKUP(Q$4,'Physical Effects-Numbers'!$B$1:$AU$172,$B163,FALSE),""))</f>
        <v/>
      </c>
      <c r="R163" s="488" t="str">
        <f>IF(R$4="","",IF(HLOOKUP(R$4,'Physical Effects-Numbers'!$B$1:$AU$172,$B163,FALSE)&lt;0,HLOOKUP(R$4,'Physical Effects-Numbers'!$B$1:$AU$172,$B163,FALSE),""))</f>
        <v/>
      </c>
      <c r="S163" s="488" t="str">
        <f>IF(S$4="","",IF(HLOOKUP(S$4,'Physical Effects-Numbers'!$B$1:$AU$172,$B163,FALSE)&lt;0,HLOOKUP(S$4,'Physical Effects-Numbers'!$B$1:$AU$172,$B163,FALSE),""))</f>
        <v/>
      </c>
      <c r="T163" s="488" t="str">
        <f>IF(T$4="","",IF(HLOOKUP(T$4,'Physical Effects-Numbers'!$B$1:$AU$172,$B163,FALSE)&lt;0,HLOOKUP(T$4,'Physical Effects-Numbers'!$B$1:$AU$172,$B163,FALSE),""))</f>
        <v/>
      </c>
      <c r="U163" s="488" t="str">
        <f>IF(U$4="","",IF(HLOOKUP(U$4,'Physical Effects-Numbers'!$B$1:$AU$172,$B163,FALSE)&lt;0,HLOOKUP(U$4,'Physical Effects-Numbers'!$B$1:$AU$172,$B163,FALSE),""))</f>
        <v/>
      </c>
      <c r="V163" s="488" t="str">
        <f>IF(V$4="","",IF(HLOOKUP(V$4,'Physical Effects-Numbers'!$B$1:$AU$172,$B163,FALSE)&lt;0,HLOOKUP(V$4,'Physical Effects-Numbers'!$B$1:$AU$172,$B163,FALSE),""))</f>
        <v/>
      </c>
      <c r="W163" s="488" t="str">
        <f>IF(W$4="","",IF(HLOOKUP(W$4,'Physical Effects-Numbers'!$B$1:$AU$172,$B163,FALSE)&lt;0,HLOOKUP(W$4,'Physical Effects-Numbers'!$B$1:$AU$172,$B163,FALSE),""))</f>
        <v/>
      </c>
      <c r="X163" s="488" t="str">
        <f>IF(X$4="","",IF(HLOOKUP(X$4,'Physical Effects-Numbers'!$B$1:$AU$172,$B163,FALSE)&lt;0,HLOOKUP(X$4,'Physical Effects-Numbers'!$B$1:$AU$172,$B163,FALSE),""))</f>
        <v/>
      </c>
      <c r="Y163" s="488" t="str">
        <f>IF(Y$4="","",IF(HLOOKUP(Y$4,'Physical Effects-Numbers'!$B$1:$AU$172,$B163,FALSE)&lt;0,HLOOKUP(Y$4,'Physical Effects-Numbers'!$B$1:$AU$172,$B163,FALSE),""))</f>
        <v/>
      </c>
      <c r="Z163" s="488" t="str">
        <f>IF(Z$4="","",IF(HLOOKUP(Z$4,'Physical Effects-Numbers'!$B$1:$AU$172,$B163,FALSE)&lt;0,HLOOKUP(Z$4,'Physical Effects-Numbers'!$B$1:$AU$172,$B163,FALSE),""))</f>
        <v/>
      </c>
      <c r="AA163" s="488" t="str">
        <f>IF(AA$4="","",IF(HLOOKUP(AA$4,'Physical Effects-Numbers'!$B$1:$AU$172,$B163,FALSE)&lt;0,HLOOKUP(AA$4,'Physical Effects-Numbers'!$B$1:$AU$172,$B163,FALSE),""))</f>
        <v/>
      </c>
      <c r="AB163" s="488" t="str">
        <f>IF(AB$4="","",IF(HLOOKUP(AB$4,'Physical Effects-Numbers'!$B$1:$AU$172,$B163,FALSE)&lt;0,HLOOKUP(AB$4,'Physical Effects-Numbers'!$B$1:$AU$172,$B163,FALSE),""))</f>
        <v/>
      </c>
      <c r="AC163" s="488" t="str">
        <f>IF(AC$4="","",IF(HLOOKUP(AC$4,'Physical Effects-Numbers'!$B$1:$AU$172,$B163,FALSE)&lt;0,HLOOKUP(AC$4,'Physical Effects-Numbers'!$B$1:$AU$172,$B163,FALSE),""))</f>
        <v/>
      </c>
      <c r="AD163" s="488" t="str">
        <f>IF(AD$4="","",IF(HLOOKUP(AD$4,'Physical Effects-Numbers'!$B$1:$AU$172,$B163,FALSE)&lt;0,HLOOKUP(AD$4,'Physical Effects-Numbers'!$B$1:$AU$172,$B163,FALSE),""))</f>
        <v/>
      </c>
      <c r="AE163" s="488" t="str">
        <f>IF(AE$4="","",IF(HLOOKUP(AE$4,'Physical Effects-Numbers'!$B$1:$AU$172,$B163,FALSE)&lt;0,HLOOKUP(AE$4,'Physical Effects-Numbers'!$B$1:$AU$172,$B163,FALSE),""))</f>
        <v/>
      </c>
      <c r="AF163" s="488" t="str">
        <f>IF(AF$4="","",IF(HLOOKUP(AF$4,'Physical Effects-Numbers'!$B$1:$AU$172,$B163,FALSE)&lt;0,HLOOKUP(AF$4,'Physical Effects-Numbers'!$B$1:$AU$172,$B163,FALSE),""))</f>
        <v/>
      </c>
      <c r="AG163" s="488" t="str">
        <f>IF(AG$4="","",IF(HLOOKUP(AG$4,'Physical Effects-Numbers'!$B$1:$AU$172,$B163,FALSE)&lt;0,HLOOKUP(AG$4,'Physical Effects-Numbers'!$B$1:$AU$172,$B163,FALSE),""))</f>
        <v/>
      </c>
      <c r="AH163" s="488" t="str">
        <f>IF(AH$4="","",IF(HLOOKUP(AH$4,'Physical Effects-Numbers'!$B$1:$AU$172,$B163,FALSE)&lt;0,HLOOKUP(AH$4,'Physical Effects-Numbers'!$B$1:$AU$172,$B163,FALSE),""))</f>
        <v/>
      </c>
      <c r="AI163" s="488" t="str">
        <f>IF(AI$4="","",IF(HLOOKUP(AI$4,'Physical Effects-Numbers'!$B$1:$AU$172,$B163,FALSE)&lt;0,HLOOKUP(AI$4,'Physical Effects-Numbers'!$B$1:$AU$172,$B163,FALSE),""))</f>
        <v/>
      </c>
      <c r="AJ163" s="488" t="str">
        <f>IF(AJ$4="","",IF(HLOOKUP(AJ$4,'Physical Effects-Numbers'!$B$1:$AU$172,$B163,FALSE)&lt;0,HLOOKUP(AJ$4,'Physical Effects-Numbers'!$B$1:$AU$172,$B163,FALSE),""))</f>
        <v/>
      </c>
      <c r="AK163" s="488" t="str">
        <f>IF(AK$4="","",IF(HLOOKUP(AK$4,'Physical Effects-Numbers'!$B$1:$AU$172,$B163,FALSE)&lt;0,HLOOKUP(AK$4,'Physical Effects-Numbers'!$B$1:$AU$172,$B163,FALSE),""))</f>
        <v/>
      </c>
      <c r="AL163" s="488" t="str">
        <f>IF(AL$4="","",IF(HLOOKUP(AL$4,'Physical Effects-Numbers'!$B$1:$AU$172,$B163,FALSE)&lt;0,HLOOKUP(AL$4,'Physical Effects-Numbers'!$B$1:$AU$172,$B163,FALSE),""))</f>
        <v/>
      </c>
      <c r="AM163" s="488" t="str">
        <f>IF(AM$4="","",IF(HLOOKUP(AM$4,'Physical Effects-Numbers'!$B$1:$AU$172,$B163,FALSE)&lt;0,HLOOKUP(AM$4,'Physical Effects-Numbers'!$B$1:$AU$172,$B163,FALSE),""))</f>
        <v/>
      </c>
      <c r="AN163" s="488" t="str">
        <f>IF(AN$4="","",IF(HLOOKUP(AN$4,'Physical Effects-Numbers'!$B$1:$AU$172,$B163,FALSE)&lt;0,HLOOKUP(AN$4,'Physical Effects-Numbers'!$B$1:$AU$172,$B163,FALSE),""))</f>
        <v/>
      </c>
      <c r="AO163" s="488" t="str">
        <f>IF(AO$4="","",IF(HLOOKUP(AO$4,'Physical Effects-Numbers'!$B$1:$AU$172,$B163,FALSE)&lt;0,HLOOKUP(AO$4,'Physical Effects-Numbers'!$B$1:$AU$172,$B163,FALSE),""))</f>
        <v/>
      </c>
      <c r="AP163" s="488" t="str">
        <f>IF(AP$4="","",IF(HLOOKUP(AP$4,'Physical Effects-Numbers'!$B$1:$AU$172,$B163,FALSE)&lt;0,HLOOKUP(AP$4,'Physical Effects-Numbers'!$B$1:$AU$172,$B163,FALSE),""))</f>
        <v/>
      </c>
      <c r="AQ163" s="488" t="str">
        <f>IF(AQ$4="","",IF(HLOOKUP(AQ$4,'Physical Effects-Numbers'!$B$1:$AU$172,$B163,FALSE)&lt;0,HLOOKUP(AQ$4,'Physical Effects-Numbers'!$B$1:$AU$172,$B163,FALSE),""))</f>
        <v/>
      </c>
      <c r="AR163" s="488" t="str">
        <f>IF(AR$4="","",IF(HLOOKUP(AR$4,'Physical Effects-Numbers'!$B$1:$AU$172,$B163,FALSE)&lt;0,HLOOKUP(AR$4,'Physical Effects-Numbers'!$B$1:$AU$172,$B163,FALSE),""))</f>
        <v/>
      </c>
      <c r="AS163" s="488" t="str">
        <f>IF(AS$4="","",IF(HLOOKUP(AS$4,'Physical Effects-Numbers'!$B$1:$AU$172,$B163,FALSE)&lt;0,HLOOKUP(AS$4,'Physical Effects-Numbers'!$B$1:$AU$172,$B163,FALSE),""))</f>
        <v/>
      </c>
      <c r="AT163" s="488" t="str">
        <f>IF(AT$4="","",IF(HLOOKUP(AT$4,'Physical Effects-Numbers'!$B$1:$AU$172,$B163,FALSE)&lt;0,HLOOKUP(AT$4,'Physical Effects-Numbers'!$B$1:$AU$172,$B163,FALSE),""))</f>
        <v/>
      </c>
      <c r="AU163" s="488" t="str">
        <f>IF(AU$4="","",IF(HLOOKUP(AU$4,'Physical Effects-Numbers'!$B$1:$AU$172,$B163,FALSE)&lt;0,HLOOKUP(AU$4,'Physical Effects-Numbers'!$B$1:$AU$172,$B163,FALSE),""))</f>
        <v/>
      </c>
      <c r="AV163" s="488" t="str">
        <f>IF(AV$4="","",IF(HLOOKUP(AV$4,'Physical Effects-Numbers'!$B$1:$AU$167,$B163,FALSE)&lt;0,HLOOKUP(AV$4,'Physical Effects-Numbers'!$B$1:$AU$167,$B163,FALSE),""))</f>
        <v/>
      </c>
    </row>
    <row r="164" spans="2:48" x14ac:dyDescent="0.2">
      <c r="B164" s="487">
        <f t="shared" si="2"/>
        <v>161</v>
      </c>
      <c r="C164" s="486" t="str">
        <f>+'Physical Effects-Numbers'!B161</f>
        <v>Water Well</v>
      </c>
      <c r="D164" s="488" t="str">
        <f>IF(D$4="","",IF(HLOOKUP(D$4,'Physical Effects-Numbers'!$B$1:$AU$172,$B164,FALSE)&lt;0,HLOOKUP(D$4,'Physical Effects-Numbers'!$B$1:$AU$172,$B164,FALSE),""))</f>
        <v/>
      </c>
      <c r="E164" s="488" t="str">
        <f>IF(E$4="","",IF(HLOOKUP(E$4,'Physical Effects-Numbers'!$B$1:$AU$172,$B164,FALSE)&lt;0,HLOOKUP(E$4,'Physical Effects-Numbers'!$B$1:$AU$172,$B164,FALSE),""))</f>
        <v/>
      </c>
      <c r="F164" s="488" t="str">
        <f>IF(F$4="","",IF(HLOOKUP(F$4,'Physical Effects-Numbers'!$B$1:$AU$172,$B164,FALSE)&lt;0,HLOOKUP(F$4,'Physical Effects-Numbers'!$B$1:$AU$172,$B164,FALSE),""))</f>
        <v/>
      </c>
      <c r="G164" s="488" t="str">
        <f>IF(G$4="","",IF(HLOOKUP(G$4,'Physical Effects-Numbers'!$B$1:$AU$172,$B164,FALSE)&lt;0,HLOOKUP(G$4,'Physical Effects-Numbers'!$B$1:$AU$172,$B164,FALSE),""))</f>
        <v/>
      </c>
      <c r="H164" s="488" t="str">
        <f>IF(H$4="","",IF(HLOOKUP(H$4,'Physical Effects-Numbers'!$B$1:$AU$172,$B164,FALSE)&lt;0,HLOOKUP(H$4,'Physical Effects-Numbers'!$B$1:$AU$172,$B164,FALSE),""))</f>
        <v/>
      </c>
      <c r="I164" s="488" t="str">
        <f>IF(I$4="","",IF(HLOOKUP(I$4,'Physical Effects-Numbers'!$B$1:$AU$172,$B164,FALSE)&lt;0,HLOOKUP(I$4,'Physical Effects-Numbers'!$B$1:$AU$172,$B164,FALSE),""))</f>
        <v/>
      </c>
      <c r="J164" s="488" t="str">
        <f>IF(J$4="","",IF(HLOOKUP(J$4,'Physical Effects-Numbers'!$B$1:$AU$172,$B164,FALSE)&lt;0,HLOOKUP(J$4,'Physical Effects-Numbers'!$B$1:$AU$172,$B164,FALSE),""))</f>
        <v/>
      </c>
      <c r="K164" s="488" t="str">
        <f>IF(K$4="","",IF(HLOOKUP(K$4,'Physical Effects-Numbers'!$B$1:$AU$172,$B164,FALSE)&lt;0,HLOOKUP(K$4,'Physical Effects-Numbers'!$B$1:$AU$172,$B164,FALSE),""))</f>
        <v/>
      </c>
      <c r="L164" s="488" t="str">
        <f>IF(L$4="","",IF(HLOOKUP(L$4,'Physical Effects-Numbers'!$B$1:$AU$172,$B164,FALSE)&lt;0,HLOOKUP(L$4,'Physical Effects-Numbers'!$B$1:$AU$172,$B164,FALSE),""))</f>
        <v/>
      </c>
      <c r="M164" s="488" t="str">
        <f>IF(M$4="","",IF(HLOOKUP(M$4,'Physical Effects-Numbers'!$B$1:$AU$172,$B164,FALSE)&lt;0,HLOOKUP(M$4,'Physical Effects-Numbers'!$B$1:$AU$172,$B164,FALSE),""))</f>
        <v/>
      </c>
      <c r="N164" s="488" t="str">
        <f>IF(N$4="","",IF(HLOOKUP(N$4,'Physical Effects-Numbers'!$B$1:$AU$172,$B164,FALSE)&lt;0,HLOOKUP(N$4,'Physical Effects-Numbers'!$B$1:$AU$172,$B164,FALSE),""))</f>
        <v/>
      </c>
      <c r="O164" s="488" t="str">
        <f>IF(O$4="","",IF(HLOOKUP(O$4,'Physical Effects-Numbers'!$B$1:$AU$172,$B164,FALSE)&lt;0,HLOOKUP(O$4,'Physical Effects-Numbers'!$B$1:$AU$172,$B164,FALSE),""))</f>
        <v/>
      </c>
      <c r="P164" s="488" t="str">
        <f>IF(P$4="","",IF(HLOOKUP(P$4,'Physical Effects-Numbers'!$B$1:$AU$172,$B164,FALSE)&lt;0,HLOOKUP(P$4,'Physical Effects-Numbers'!$B$1:$AU$172,$B164,FALSE),""))</f>
        <v/>
      </c>
      <c r="Q164" s="488" t="str">
        <f>IF(Q$4="","",IF(HLOOKUP(Q$4,'Physical Effects-Numbers'!$B$1:$AU$172,$B164,FALSE)&lt;0,HLOOKUP(Q$4,'Physical Effects-Numbers'!$B$1:$AU$172,$B164,FALSE),""))</f>
        <v/>
      </c>
      <c r="R164" s="488" t="str">
        <f>IF(R$4="","",IF(HLOOKUP(R$4,'Physical Effects-Numbers'!$B$1:$AU$172,$B164,FALSE)&lt;0,HLOOKUP(R$4,'Physical Effects-Numbers'!$B$1:$AU$172,$B164,FALSE),""))</f>
        <v/>
      </c>
      <c r="S164" s="488" t="str">
        <f>IF(S$4="","",IF(HLOOKUP(S$4,'Physical Effects-Numbers'!$B$1:$AU$172,$B164,FALSE)&lt;0,HLOOKUP(S$4,'Physical Effects-Numbers'!$B$1:$AU$172,$B164,FALSE),""))</f>
        <v/>
      </c>
      <c r="T164" s="488" t="str">
        <f>IF(T$4="","",IF(HLOOKUP(T$4,'Physical Effects-Numbers'!$B$1:$AU$172,$B164,FALSE)&lt;0,HLOOKUP(T$4,'Physical Effects-Numbers'!$B$1:$AU$172,$B164,FALSE),""))</f>
        <v/>
      </c>
      <c r="U164" s="488" t="str">
        <f>IF(U$4="","",IF(HLOOKUP(U$4,'Physical Effects-Numbers'!$B$1:$AU$172,$B164,FALSE)&lt;0,HLOOKUP(U$4,'Physical Effects-Numbers'!$B$1:$AU$172,$B164,FALSE),""))</f>
        <v/>
      </c>
      <c r="V164" s="488" t="str">
        <f>IF(V$4="","",IF(HLOOKUP(V$4,'Physical Effects-Numbers'!$B$1:$AU$172,$B164,FALSE)&lt;0,HLOOKUP(V$4,'Physical Effects-Numbers'!$B$1:$AU$172,$B164,FALSE),""))</f>
        <v/>
      </c>
      <c r="W164" s="488" t="str">
        <f>IF(W$4="","",IF(HLOOKUP(W$4,'Physical Effects-Numbers'!$B$1:$AU$172,$B164,FALSE)&lt;0,HLOOKUP(W$4,'Physical Effects-Numbers'!$B$1:$AU$172,$B164,FALSE),""))</f>
        <v/>
      </c>
      <c r="X164" s="488" t="str">
        <f>IF(X$4="","",IF(HLOOKUP(X$4,'Physical Effects-Numbers'!$B$1:$AU$172,$B164,FALSE)&lt;0,HLOOKUP(X$4,'Physical Effects-Numbers'!$B$1:$AU$172,$B164,FALSE),""))</f>
        <v/>
      </c>
      <c r="Y164" s="488">
        <f>IF(Y$4="","",IF(HLOOKUP(Y$4,'Physical Effects-Numbers'!$B$1:$AU$172,$B164,FALSE)&lt;0,HLOOKUP(Y$4,'Physical Effects-Numbers'!$B$1:$AU$172,$B164,FALSE),""))</f>
        <v>-1</v>
      </c>
      <c r="Z164" s="488" t="str">
        <f>IF(Z$4="","",IF(HLOOKUP(Z$4,'Physical Effects-Numbers'!$B$1:$AU$172,$B164,FALSE)&lt;0,HLOOKUP(Z$4,'Physical Effects-Numbers'!$B$1:$AU$172,$B164,FALSE),""))</f>
        <v/>
      </c>
      <c r="AA164" s="488" t="str">
        <f>IF(AA$4="","",IF(HLOOKUP(AA$4,'Physical Effects-Numbers'!$B$1:$AU$172,$B164,FALSE)&lt;0,HLOOKUP(AA$4,'Physical Effects-Numbers'!$B$1:$AU$172,$B164,FALSE),""))</f>
        <v/>
      </c>
      <c r="AB164" s="488" t="str">
        <f>IF(AB$4="","",IF(HLOOKUP(AB$4,'Physical Effects-Numbers'!$B$1:$AU$172,$B164,FALSE)&lt;0,HLOOKUP(AB$4,'Physical Effects-Numbers'!$B$1:$AU$172,$B164,FALSE),""))</f>
        <v/>
      </c>
      <c r="AC164" s="488" t="str">
        <f>IF(AC$4="","",IF(HLOOKUP(AC$4,'Physical Effects-Numbers'!$B$1:$AU$172,$B164,FALSE)&lt;0,HLOOKUP(AC$4,'Physical Effects-Numbers'!$B$1:$AU$172,$B164,FALSE),""))</f>
        <v/>
      </c>
      <c r="AD164" s="488" t="str">
        <f>IF(AD$4="","",IF(HLOOKUP(AD$4,'Physical Effects-Numbers'!$B$1:$AU$172,$B164,FALSE)&lt;0,HLOOKUP(AD$4,'Physical Effects-Numbers'!$B$1:$AU$172,$B164,FALSE),""))</f>
        <v/>
      </c>
      <c r="AE164" s="488" t="str">
        <f>IF(AE$4="","",IF(HLOOKUP(AE$4,'Physical Effects-Numbers'!$B$1:$AU$172,$B164,FALSE)&lt;0,HLOOKUP(AE$4,'Physical Effects-Numbers'!$B$1:$AU$172,$B164,FALSE),""))</f>
        <v/>
      </c>
      <c r="AF164" s="488" t="str">
        <f>IF(AF$4="","",IF(HLOOKUP(AF$4,'Physical Effects-Numbers'!$B$1:$AU$172,$B164,FALSE)&lt;0,HLOOKUP(AF$4,'Physical Effects-Numbers'!$B$1:$AU$172,$B164,FALSE),""))</f>
        <v/>
      </c>
      <c r="AG164" s="488" t="str">
        <f>IF(AG$4="","",IF(HLOOKUP(AG$4,'Physical Effects-Numbers'!$B$1:$AU$172,$B164,FALSE)&lt;0,HLOOKUP(AG$4,'Physical Effects-Numbers'!$B$1:$AU$172,$B164,FALSE),""))</f>
        <v/>
      </c>
      <c r="AH164" s="488" t="str">
        <f>IF(AH$4="","",IF(HLOOKUP(AH$4,'Physical Effects-Numbers'!$B$1:$AU$172,$B164,FALSE)&lt;0,HLOOKUP(AH$4,'Physical Effects-Numbers'!$B$1:$AU$172,$B164,FALSE),""))</f>
        <v/>
      </c>
      <c r="AI164" s="488" t="str">
        <f>IF(AI$4="","",IF(HLOOKUP(AI$4,'Physical Effects-Numbers'!$B$1:$AU$172,$B164,FALSE)&lt;0,HLOOKUP(AI$4,'Physical Effects-Numbers'!$B$1:$AU$172,$B164,FALSE),""))</f>
        <v/>
      </c>
      <c r="AJ164" s="488" t="str">
        <f>IF(AJ$4="","",IF(HLOOKUP(AJ$4,'Physical Effects-Numbers'!$B$1:$AU$172,$B164,FALSE)&lt;0,HLOOKUP(AJ$4,'Physical Effects-Numbers'!$B$1:$AU$172,$B164,FALSE),""))</f>
        <v/>
      </c>
      <c r="AK164" s="488" t="str">
        <f>IF(AK$4="","",IF(HLOOKUP(AK$4,'Physical Effects-Numbers'!$B$1:$AU$172,$B164,FALSE)&lt;0,HLOOKUP(AK$4,'Physical Effects-Numbers'!$B$1:$AU$172,$B164,FALSE),""))</f>
        <v/>
      </c>
      <c r="AL164" s="488" t="str">
        <f>IF(AL$4="","",IF(HLOOKUP(AL$4,'Physical Effects-Numbers'!$B$1:$AU$172,$B164,FALSE)&lt;0,HLOOKUP(AL$4,'Physical Effects-Numbers'!$B$1:$AU$172,$B164,FALSE),""))</f>
        <v/>
      </c>
      <c r="AM164" s="488" t="str">
        <f>IF(AM$4="","",IF(HLOOKUP(AM$4,'Physical Effects-Numbers'!$B$1:$AU$172,$B164,FALSE)&lt;0,HLOOKUP(AM$4,'Physical Effects-Numbers'!$B$1:$AU$172,$B164,FALSE),""))</f>
        <v/>
      </c>
      <c r="AN164" s="488" t="str">
        <f>IF(AN$4="","",IF(HLOOKUP(AN$4,'Physical Effects-Numbers'!$B$1:$AU$172,$B164,FALSE)&lt;0,HLOOKUP(AN$4,'Physical Effects-Numbers'!$B$1:$AU$172,$B164,FALSE),""))</f>
        <v/>
      </c>
      <c r="AO164" s="488" t="str">
        <f>IF(AO$4="","",IF(HLOOKUP(AO$4,'Physical Effects-Numbers'!$B$1:$AU$172,$B164,FALSE)&lt;0,HLOOKUP(AO$4,'Physical Effects-Numbers'!$B$1:$AU$172,$B164,FALSE),""))</f>
        <v/>
      </c>
      <c r="AP164" s="488" t="str">
        <f>IF(AP$4="","",IF(HLOOKUP(AP$4,'Physical Effects-Numbers'!$B$1:$AU$172,$B164,FALSE)&lt;0,HLOOKUP(AP$4,'Physical Effects-Numbers'!$B$1:$AU$172,$B164,FALSE),""))</f>
        <v/>
      </c>
      <c r="AQ164" s="488" t="str">
        <f>IF(AQ$4="","",IF(HLOOKUP(AQ$4,'Physical Effects-Numbers'!$B$1:$AU$172,$B164,FALSE)&lt;0,HLOOKUP(AQ$4,'Physical Effects-Numbers'!$B$1:$AU$172,$B164,FALSE),""))</f>
        <v/>
      </c>
      <c r="AR164" s="488" t="str">
        <f>IF(AR$4="","",IF(HLOOKUP(AR$4,'Physical Effects-Numbers'!$B$1:$AU$172,$B164,FALSE)&lt;0,HLOOKUP(AR$4,'Physical Effects-Numbers'!$B$1:$AU$172,$B164,FALSE),""))</f>
        <v/>
      </c>
      <c r="AS164" s="488" t="str">
        <f>IF(AS$4="","",IF(HLOOKUP(AS$4,'Physical Effects-Numbers'!$B$1:$AU$172,$B164,FALSE)&lt;0,HLOOKUP(AS$4,'Physical Effects-Numbers'!$B$1:$AU$172,$B164,FALSE),""))</f>
        <v/>
      </c>
      <c r="AT164" s="488" t="str">
        <f>IF(AT$4="","",IF(HLOOKUP(AT$4,'Physical Effects-Numbers'!$B$1:$AU$172,$B164,FALSE)&lt;0,HLOOKUP(AT$4,'Physical Effects-Numbers'!$B$1:$AU$172,$B164,FALSE),""))</f>
        <v/>
      </c>
      <c r="AU164" s="488" t="str">
        <f>IF(AU$4="","",IF(HLOOKUP(AU$4,'Physical Effects-Numbers'!$B$1:$AU$172,$B164,FALSE)&lt;0,HLOOKUP(AU$4,'Physical Effects-Numbers'!$B$1:$AU$172,$B164,FALSE),""))</f>
        <v/>
      </c>
      <c r="AV164" s="488" t="str">
        <f>IF(AV$4="","",IF(HLOOKUP(AV$4,'Physical Effects-Numbers'!$B$1:$AU$167,$B164,FALSE)&lt;0,HLOOKUP(AV$4,'Physical Effects-Numbers'!$B$1:$AU$167,$B164,FALSE),""))</f>
        <v/>
      </c>
    </row>
    <row r="165" spans="2:48" x14ac:dyDescent="0.2">
      <c r="B165" s="487">
        <f t="shared" si="2"/>
        <v>162</v>
      </c>
      <c r="C165" s="486" t="str">
        <f>+'Physical Effects-Numbers'!B162</f>
        <v>Waterspreading</v>
      </c>
      <c r="D165" s="488" t="str">
        <f>IF(D$4="","",IF(HLOOKUP(D$4,'Physical Effects-Numbers'!$B$1:$AU$172,$B165,FALSE)&lt;0,HLOOKUP(D$4,'Physical Effects-Numbers'!$B$1:$AU$172,$B165,FALSE),""))</f>
        <v/>
      </c>
      <c r="E165" s="488" t="str">
        <f>IF(E$4="","",IF(HLOOKUP(E$4,'Physical Effects-Numbers'!$B$1:$AU$172,$B165,FALSE)&lt;0,HLOOKUP(E$4,'Physical Effects-Numbers'!$B$1:$AU$172,$B165,FALSE),""))</f>
        <v/>
      </c>
      <c r="F165" s="488" t="str">
        <f>IF(F$4="","",IF(HLOOKUP(F$4,'Physical Effects-Numbers'!$B$1:$AU$172,$B165,FALSE)&lt;0,HLOOKUP(F$4,'Physical Effects-Numbers'!$B$1:$AU$172,$B165,FALSE),""))</f>
        <v/>
      </c>
      <c r="G165" s="488">
        <f>IF(G$4="","",IF(HLOOKUP(G$4,'Physical Effects-Numbers'!$B$1:$AU$172,$B165,FALSE)&lt;0,HLOOKUP(G$4,'Physical Effects-Numbers'!$B$1:$AU$172,$B165,FALSE),""))</f>
        <v>-1</v>
      </c>
      <c r="H165" s="488" t="str">
        <f>IF(H$4="","",IF(HLOOKUP(H$4,'Physical Effects-Numbers'!$B$1:$AU$172,$B165,FALSE)&lt;0,HLOOKUP(H$4,'Physical Effects-Numbers'!$B$1:$AU$172,$B165,FALSE),""))</f>
        <v/>
      </c>
      <c r="I165" s="488" t="str">
        <f>IF(I$4="","",IF(HLOOKUP(I$4,'Physical Effects-Numbers'!$B$1:$AU$172,$B165,FALSE)&lt;0,HLOOKUP(I$4,'Physical Effects-Numbers'!$B$1:$AU$172,$B165,FALSE),""))</f>
        <v/>
      </c>
      <c r="J165" s="488" t="str">
        <f>IF(J$4="","",IF(HLOOKUP(J$4,'Physical Effects-Numbers'!$B$1:$AU$172,$B165,FALSE)&lt;0,HLOOKUP(J$4,'Physical Effects-Numbers'!$B$1:$AU$172,$B165,FALSE),""))</f>
        <v/>
      </c>
      <c r="K165" s="488" t="str">
        <f>IF(K$4="","",IF(HLOOKUP(K$4,'Physical Effects-Numbers'!$B$1:$AU$172,$B165,FALSE)&lt;0,HLOOKUP(K$4,'Physical Effects-Numbers'!$B$1:$AU$172,$B165,FALSE),""))</f>
        <v/>
      </c>
      <c r="L165" s="488" t="str">
        <f>IF(L$4="","",IF(HLOOKUP(L$4,'Physical Effects-Numbers'!$B$1:$AU$172,$B165,FALSE)&lt;0,HLOOKUP(L$4,'Physical Effects-Numbers'!$B$1:$AU$172,$B165,FALSE),""))</f>
        <v/>
      </c>
      <c r="M165" s="488" t="str">
        <f>IF(M$4="","",IF(HLOOKUP(M$4,'Physical Effects-Numbers'!$B$1:$AU$172,$B165,FALSE)&lt;0,HLOOKUP(M$4,'Physical Effects-Numbers'!$B$1:$AU$172,$B165,FALSE),""))</f>
        <v/>
      </c>
      <c r="N165" s="488" t="str">
        <f>IF(N$4="","",IF(HLOOKUP(N$4,'Physical Effects-Numbers'!$B$1:$AU$172,$B165,FALSE)&lt;0,HLOOKUP(N$4,'Physical Effects-Numbers'!$B$1:$AU$172,$B165,FALSE),""))</f>
        <v/>
      </c>
      <c r="O165" s="488">
        <f>IF(O$4="","",IF(HLOOKUP(O$4,'Physical Effects-Numbers'!$B$1:$AU$172,$B165,FALSE)&lt;0,HLOOKUP(O$4,'Physical Effects-Numbers'!$B$1:$AU$172,$B165,FALSE),""))</f>
        <v>-1</v>
      </c>
      <c r="P165" s="488" t="str">
        <f>IF(P$4="","",IF(HLOOKUP(P$4,'Physical Effects-Numbers'!$B$1:$AU$172,$B165,FALSE)&lt;0,HLOOKUP(P$4,'Physical Effects-Numbers'!$B$1:$AU$172,$B165,FALSE),""))</f>
        <v/>
      </c>
      <c r="Q165" s="488" t="str">
        <f>IF(Q$4="","",IF(HLOOKUP(Q$4,'Physical Effects-Numbers'!$B$1:$AU$172,$B165,FALSE)&lt;0,HLOOKUP(Q$4,'Physical Effects-Numbers'!$B$1:$AU$172,$B165,FALSE),""))</f>
        <v/>
      </c>
      <c r="R165" s="488" t="str">
        <f>IF(R$4="","",IF(HLOOKUP(R$4,'Physical Effects-Numbers'!$B$1:$AU$172,$B165,FALSE)&lt;0,HLOOKUP(R$4,'Physical Effects-Numbers'!$B$1:$AU$172,$B165,FALSE),""))</f>
        <v/>
      </c>
      <c r="S165" s="488" t="str">
        <f>IF(S$4="","",IF(HLOOKUP(S$4,'Physical Effects-Numbers'!$B$1:$AU$172,$B165,FALSE)&lt;0,HLOOKUP(S$4,'Physical Effects-Numbers'!$B$1:$AU$172,$B165,FALSE),""))</f>
        <v/>
      </c>
      <c r="T165" s="488">
        <f>IF(T$4="","",IF(HLOOKUP(T$4,'Physical Effects-Numbers'!$B$1:$AU$172,$B165,FALSE)&lt;0,HLOOKUP(T$4,'Physical Effects-Numbers'!$B$1:$AU$172,$B165,FALSE),""))</f>
        <v>-1</v>
      </c>
      <c r="U165" s="488" t="str">
        <f>IF(U$4="","",IF(HLOOKUP(U$4,'Physical Effects-Numbers'!$B$1:$AU$172,$B165,FALSE)&lt;0,HLOOKUP(U$4,'Physical Effects-Numbers'!$B$1:$AU$172,$B165,FALSE),""))</f>
        <v/>
      </c>
      <c r="V165" s="488">
        <f>IF(V$4="","",IF(HLOOKUP(V$4,'Physical Effects-Numbers'!$B$1:$AU$172,$B165,FALSE)&lt;0,HLOOKUP(V$4,'Physical Effects-Numbers'!$B$1:$AU$172,$B165,FALSE),""))</f>
        <v>-1</v>
      </c>
      <c r="W165" s="488" t="str">
        <f>IF(W$4="","",IF(HLOOKUP(W$4,'Physical Effects-Numbers'!$B$1:$AU$172,$B165,FALSE)&lt;0,HLOOKUP(W$4,'Physical Effects-Numbers'!$B$1:$AU$172,$B165,FALSE),""))</f>
        <v/>
      </c>
      <c r="X165" s="488">
        <f>IF(X$4="","",IF(HLOOKUP(X$4,'Physical Effects-Numbers'!$B$1:$AU$172,$B165,FALSE)&lt;0,HLOOKUP(X$4,'Physical Effects-Numbers'!$B$1:$AU$172,$B165,FALSE),""))</f>
        <v>-1</v>
      </c>
      <c r="Y165" s="488" t="str">
        <f>IF(Y$4="","",IF(HLOOKUP(Y$4,'Physical Effects-Numbers'!$B$1:$AU$172,$B165,FALSE)&lt;0,HLOOKUP(Y$4,'Physical Effects-Numbers'!$B$1:$AU$172,$B165,FALSE),""))</f>
        <v/>
      </c>
      <c r="Z165" s="488">
        <f>IF(Z$4="","",IF(HLOOKUP(Z$4,'Physical Effects-Numbers'!$B$1:$AU$172,$B165,FALSE)&lt;0,HLOOKUP(Z$4,'Physical Effects-Numbers'!$B$1:$AU$172,$B165,FALSE),""))</f>
        <v>-1</v>
      </c>
      <c r="AA165" s="488" t="str">
        <f>IF(AA$4="","",IF(HLOOKUP(AA$4,'Physical Effects-Numbers'!$B$1:$AU$172,$B165,FALSE)&lt;0,HLOOKUP(AA$4,'Physical Effects-Numbers'!$B$1:$AU$172,$B165,FALSE),""))</f>
        <v/>
      </c>
      <c r="AB165" s="488" t="str">
        <f>IF(AB$4="","",IF(HLOOKUP(AB$4,'Physical Effects-Numbers'!$B$1:$AU$172,$B165,FALSE)&lt;0,HLOOKUP(AB$4,'Physical Effects-Numbers'!$B$1:$AU$172,$B165,FALSE),""))</f>
        <v/>
      </c>
      <c r="AC165" s="488" t="str">
        <f>IF(AC$4="","",IF(HLOOKUP(AC$4,'Physical Effects-Numbers'!$B$1:$AU$172,$B165,FALSE)&lt;0,HLOOKUP(AC$4,'Physical Effects-Numbers'!$B$1:$AU$172,$B165,FALSE),""))</f>
        <v/>
      </c>
      <c r="AD165" s="488">
        <f>IF(AD$4="","",IF(HLOOKUP(AD$4,'Physical Effects-Numbers'!$B$1:$AU$172,$B165,FALSE)&lt;0,HLOOKUP(AD$4,'Physical Effects-Numbers'!$B$1:$AU$172,$B165,FALSE),""))</f>
        <v>-1</v>
      </c>
      <c r="AE165" s="488" t="str">
        <f>IF(AE$4="","",IF(HLOOKUP(AE$4,'Physical Effects-Numbers'!$B$1:$AU$172,$B165,FALSE)&lt;0,HLOOKUP(AE$4,'Physical Effects-Numbers'!$B$1:$AU$172,$B165,FALSE),""))</f>
        <v/>
      </c>
      <c r="AF165" s="488" t="str">
        <f>IF(AF$4="","",IF(HLOOKUP(AF$4,'Physical Effects-Numbers'!$B$1:$AU$172,$B165,FALSE)&lt;0,HLOOKUP(AF$4,'Physical Effects-Numbers'!$B$1:$AU$172,$B165,FALSE),""))</f>
        <v/>
      </c>
      <c r="AG165" s="488" t="str">
        <f>IF(AG$4="","",IF(HLOOKUP(AG$4,'Physical Effects-Numbers'!$B$1:$AU$172,$B165,FALSE)&lt;0,HLOOKUP(AG$4,'Physical Effects-Numbers'!$B$1:$AU$172,$B165,FALSE),""))</f>
        <v/>
      </c>
      <c r="AH165" s="488" t="str">
        <f>IF(AH$4="","",IF(HLOOKUP(AH$4,'Physical Effects-Numbers'!$B$1:$AU$172,$B165,FALSE)&lt;0,HLOOKUP(AH$4,'Physical Effects-Numbers'!$B$1:$AU$172,$B165,FALSE),""))</f>
        <v/>
      </c>
      <c r="AI165" s="488" t="str">
        <f>IF(AI$4="","",IF(HLOOKUP(AI$4,'Physical Effects-Numbers'!$B$1:$AU$172,$B165,FALSE)&lt;0,HLOOKUP(AI$4,'Physical Effects-Numbers'!$B$1:$AU$172,$B165,FALSE),""))</f>
        <v/>
      </c>
      <c r="AJ165" s="488" t="str">
        <f>IF(AJ$4="","",IF(HLOOKUP(AJ$4,'Physical Effects-Numbers'!$B$1:$AU$172,$B165,FALSE)&lt;0,HLOOKUP(AJ$4,'Physical Effects-Numbers'!$B$1:$AU$172,$B165,FALSE),""))</f>
        <v/>
      </c>
      <c r="AK165" s="488" t="str">
        <f>IF(AK$4="","",IF(HLOOKUP(AK$4,'Physical Effects-Numbers'!$B$1:$AU$172,$B165,FALSE)&lt;0,HLOOKUP(AK$4,'Physical Effects-Numbers'!$B$1:$AU$172,$B165,FALSE),""))</f>
        <v/>
      </c>
      <c r="AL165" s="488" t="str">
        <f>IF(AL$4="","",IF(HLOOKUP(AL$4,'Physical Effects-Numbers'!$B$1:$AU$172,$B165,FALSE)&lt;0,HLOOKUP(AL$4,'Physical Effects-Numbers'!$B$1:$AU$172,$B165,FALSE),""))</f>
        <v/>
      </c>
      <c r="AM165" s="488" t="str">
        <f>IF(AM$4="","",IF(HLOOKUP(AM$4,'Physical Effects-Numbers'!$B$1:$AU$172,$B165,FALSE)&lt;0,HLOOKUP(AM$4,'Physical Effects-Numbers'!$B$1:$AU$172,$B165,FALSE),""))</f>
        <v/>
      </c>
      <c r="AN165" s="488" t="str">
        <f>IF(AN$4="","",IF(HLOOKUP(AN$4,'Physical Effects-Numbers'!$B$1:$AU$172,$B165,FALSE)&lt;0,HLOOKUP(AN$4,'Physical Effects-Numbers'!$B$1:$AU$172,$B165,FALSE),""))</f>
        <v/>
      </c>
      <c r="AO165" s="488" t="str">
        <f>IF(AO$4="","",IF(HLOOKUP(AO$4,'Physical Effects-Numbers'!$B$1:$AU$172,$B165,FALSE)&lt;0,HLOOKUP(AO$4,'Physical Effects-Numbers'!$B$1:$AU$172,$B165,FALSE),""))</f>
        <v/>
      </c>
      <c r="AP165" s="488" t="str">
        <f>IF(AP$4="","",IF(HLOOKUP(AP$4,'Physical Effects-Numbers'!$B$1:$AU$172,$B165,FALSE)&lt;0,HLOOKUP(AP$4,'Physical Effects-Numbers'!$B$1:$AU$172,$B165,FALSE),""))</f>
        <v/>
      </c>
      <c r="AQ165" s="488" t="str">
        <f>IF(AQ$4="","",IF(HLOOKUP(AQ$4,'Physical Effects-Numbers'!$B$1:$AU$172,$B165,FALSE)&lt;0,HLOOKUP(AQ$4,'Physical Effects-Numbers'!$B$1:$AU$172,$B165,FALSE),""))</f>
        <v/>
      </c>
      <c r="AR165" s="488" t="str">
        <f>IF(AR$4="","",IF(HLOOKUP(AR$4,'Physical Effects-Numbers'!$B$1:$AU$172,$B165,FALSE)&lt;0,HLOOKUP(AR$4,'Physical Effects-Numbers'!$B$1:$AU$172,$B165,FALSE),""))</f>
        <v/>
      </c>
      <c r="AS165" s="488" t="str">
        <f>IF(AS$4="","",IF(HLOOKUP(AS$4,'Physical Effects-Numbers'!$B$1:$AU$172,$B165,FALSE)&lt;0,HLOOKUP(AS$4,'Physical Effects-Numbers'!$B$1:$AU$172,$B165,FALSE),""))</f>
        <v/>
      </c>
      <c r="AT165" s="488" t="str">
        <f>IF(AT$4="","",IF(HLOOKUP(AT$4,'Physical Effects-Numbers'!$B$1:$AU$172,$B165,FALSE)&lt;0,HLOOKUP(AT$4,'Physical Effects-Numbers'!$B$1:$AU$172,$B165,FALSE),""))</f>
        <v/>
      </c>
      <c r="AU165" s="488" t="str">
        <f>IF(AU$4="","",IF(HLOOKUP(AU$4,'Physical Effects-Numbers'!$B$1:$AU$172,$B165,FALSE)&lt;0,HLOOKUP(AU$4,'Physical Effects-Numbers'!$B$1:$AU$172,$B165,FALSE),""))</f>
        <v/>
      </c>
      <c r="AV165" s="488" t="str">
        <f>IF(AV$4="","",IF(HLOOKUP(AV$4,'Physical Effects-Numbers'!$B$1:$AU$167,$B165,FALSE)&lt;0,HLOOKUP(AV$4,'Physical Effects-Numbers'!$B$1:$AU$167,$B165,FALSE),""))</f>
        <v/>
      </c>
    </row>
    <row r="166" spans="2:48" x14ac:dyDescent="0.2">
      <c r="B166" s="487">
        <f t="shared" si="2"/>
        <v>163</v>
      </c>
      <c r="C166" s="486" t="str">
        <f>+'Physical Effects-Numbers'!B163</f>
        <v>Well Decommissioning</v>
      </c>
      <c r="D166" s="488" t="str">
        <f>IF(D$4="","",IF(HLOOKUP(D$4,'Physical Effects-Numbers'!$B$1:$AU$172,$B166,FALSE)&lt;0,HLOOKUP(D$4,'Physical Effects-Numbers'!$B$1:$AU$172,$B166,FALSE),""))</f>
        <v/>
      </c>
      <c r="E166" s="488" t="str">
        <f>IF(E$4="","",IF(HLOOKUP(E$4,'Physical Effects-Numbers'!$B$1:$AU$172,$B166,FALSE)&lt;0,HLOOKUP(E$4,'Physical Effects-Numbers'!$B$1:$AU$172,$B166,FALSE),""))</f>
        <v/>
      </c>
      <c r="F166" s="488" t="str">
        <f>IF(F$4="","",IF(HLOOKUP(F$4,'Physical Effects-Numbers'!$B$1:$AU$172,$B166,FALSE)&lt;0,HLOOKUP(F$4,'Physical Effects-Numbers'!$B$1:$AU$172,$B166,FALSE),""))</f>
        <v/>
      </c>
      <c r="G166" s="488" t="str">
        <f>IF(G$4="","",IF(HLOOKUP(G$4,'Physical Effects-Numbers'!$B$1:$AU$172,$B166,FALSE)&lt;0,HLOOKUP(G$4,'Physical Effects-Numbers'!$B$1:$AU$172,$B166,FALSE),""))</f>
        <v/>
      </c>
      <c r="H166" s="488" t="str">
        <f>IF(H$4="","",IF(HLOOKUP(H$4,'Physical Effects-Numbers'!$B$1:$AU$172,$B166,FALSE)&lt;0,HLOOKUP(H$4,'Physical Effects-Numbers'!$B$1:$AU$172,$B166,FALSE),""))</f>
        <v/>
      </c>
      <c r="I166" s="488" t="str">
        <f>IF(I$4="","",IF(HLOOKUP(I$4,'Physical Effects-Numbers'!$B$1:$AU$172,$B166,FALSE)&lt;0,HLOOKUP(I$4,'Physical Effects-Numbers'!$B$1:$AU$172,$B166,FALSE),""))</f>
        <v/>
      </c>
      <c r="J166" s="488" t="str">
        <f>IF(J$4="","",IF(HLOOKUP(J$4,'Physical Effects-Numbers'!$B$1:$AU$172,$B166,FALSE)&lt;0,HLOOKUP(J$4,'Physical Effects-Numbers'!$B$1:$AU$172,$B166,FALSE),""))</f>
        <v/>
      </c>
      <c r="K166" s="488" t="str">
        <f>IF(K$4="","",IF(HLOOKUP(K$4,'Physical Effects-Numbers'!$B$1:$AU$172,$B166,FALSE)&lt;0,HLOOKUP(K$4,'Physical Effects-Numbers'!$B$1:$AU$172,$B166,FALSE),""))</f>
        <v/>
      </c>
      <c r="L166" s="488" t="str">
        <f>IF(L$4="","",IF(HLOOKUP(L$4,'Physical Effects-Numbers'!$B$1:$AU$172,$B166,FALSE)&lt;0,HLOOKUP(L$4,'Physical Effects-Numbers'!$B$1:$AU$172,$B166,FALSE),""))</f>
        <v/>
      </c>
      <c r="M166" s="488" t="str">
        <f>IF(M$4="","",IF(HLOOKUP(M$4,'Physical Effects-Numbers'!$B$1:$AU$172,$B166,FALSE)&lt;0,HLOOKUP(M$4,'Physical Effects-Numbers'!$B$1:$AU$172,$B166,FALSE),""))</f>
        <v/>
      </c>
      <c r="N166" s="488" t="str">
        <f>IF(N$4="","",IF(HLOOKUP(N$4,'Physical Effects-Numbers'!$B$1:$AU$172,$B166,FALSE)&lt;0,HLOOKUP(N$4,'Physical Effects-Numbers'!$B$1:$AU$172,$B166,FALSE),""))</f>
        <v/>
      </c>
      <c r="O166" s="488" t="str">
        <f>IF(O$4="","",IF(HLOOKUP(O$4,'Physical Effects-Numbers'!$B$1:$AU$172,$B166,FALSE)&lt;0,HLOOKUP(O$4,'Physical Effects-Numbers'!$B$1:$AU$172,$B166,FALSE),""))</f>
        <v/>
      </c>
      <c r="P166" s="488" t="str">
        <f>IF(P$4="","",IF(HLOOKUP(P$4,'Physical Effects-Numbers'!$B$1:$AU$172,$B166,FALSE)&lt;0,HLOOKUP(P$4,'Physical Effects-Numbers'!$B$1:$AU$172,$B166,FALSE),""))</f>
        <v/>
      </c>
      <c r="Q166" s="488" t="str">
        <f>IF(Q$4="","",IF(HLOOKUP(Q$4,'Physical Effects-Numbers'!$B$1:$AU$172,$B166,FALSE)&lt;0,HLOOKUP(Q$4,'Physical Effects-Numbers'!$B$1:$AU$172,$B166,FALSE),""))</f>
        <v/>
      </c>
      <c r="R166" s="488" t="str">
        <f>IF(R$4="","",IF(HLOOKUP(R$4,'Physical Effects-Numbers'!$B$1:$AU$172,$B166,FALSE)&lt;0,HLOOKUP(R$4,'Physical Effects-Numbers'!$B$1:$AU$172,$B166,FALSE),""))</f>
        <v/>
      </c>
      <c r="S166" s="488" t="str">
        <f>IF(S$4="","",IF(HLOOKUP(S$4,'Physical Effects-Numbers'!$B$1:$AU$172,$B166,FALSE)&lt;0,HLOOKUP(S$4,'Physical Effects-Numbers'!$B$1:$AU$172,$B166,FALSE),""))</f>
        <v/>
      </c>
      <c r="T166" s="488" t="str">
        <f>IF(T$4="","",IF(HLOOKUP(T$4,'Physical Effects-Numbers'!$B$1:$AU$172,$B166,FALSE)&lt;0,HLOOKUP(T$4,'Physical Effects-Numbers'!$B$1:$AU$172,$B166,FALSE),""))</f>
        <v/>
      </c>
      <c r="U166" s="488" t="str">
        <f>IF(U$4="","",IF(HLOOKUP(U$4,'Physical Effects-Numbers'!$B$1:$AU$172,$B166,FALSE)&lt;0,HLOOKUP(U$4,'Physical Effects-Numbers'!$B$1:$AU$172,$B166,FALSE),""))</f>
        <v/>
      </c>
      <c r="V166" s="488" t="str">
        <f>IF(V$4="","",IF(HLOOKUP(V$4,'Physical Effects-Numbers'!$B$1:$AU$172,$B166,FALSE)&lt;0,HLOOKUP(V$4,'Physical Effects-Numbers'!$B$1:$AU$172,$B166,FALSE),""))</f>
        <v/>
      </c>
      <c r="W166" s="488" t="str">
        <f>IF(W$4="","",IF(HLOOKUP(W$4,'Physical Effects-Numbers'!$B$1:$AU$172,$B166,FALSE)&lt;0,HLOOKUP(W$4,'Physical Effects-Numbers'!$B$1:$AU$172,$B166,FALSE),""))</f>
        <v/>
      </c>
      <c r="X166" s="488" t="str">
        <f>IF(X$4="","",IF(HLOOKUP(X$4,'Physical Effects-Numbers'!$B$1:$AU$172,$B166,FALSE)&lt;0,HLOOKUP(X$4,'Physical Effects-Numbers'!$B$1:$AU$172,$B166,FALSE),""))</f>
        <v/>
      </c>
      <c r="Y166" s="488" t="str">
        <f>IF(Y$4="","",IF(HLOOKUP(Y$4,'Physical Effects-Numbers'!$B$1:$AU$172,$B166,FALSE)&lt;0,HLOOKUP(Y$4,'Physical Effects-Numbers'!$B$1:$AU$172,$B166,FALSE),""))</f>
        <v/>
      </c>
      <c r="Z166" s="488" t="str">
        <f>IF(Z$4="","",IF(HLOOKUP(Z$4,'Physical Effects-Numbers'!$B$1:$AU$172,$B166,FALSE)&lt;0,HLOOKUP(Z$4,'Physical Effects-Numbers'!$B$1:$AU$172,$B166,FALSE),""))</f>
        <v/>
      </c>
      <c r="AA166" s="488" t="str">
        <f>IF(AA$4="","",IF(HLOOKUP(AA$4,'Physical Effects-Numbers'!$B$1:$AU$172,$B166,FALSE)&lt;0,HLOOKUP(AA$4,'Physical Effects-Numbers'!$B$1:$AU$172,$B166,FALSE),""))</f>
        <v/>
      </c>
      <c r="AB166" s="488" t="str">
        <f>IF(AB$4="","",IF(HLOOKUP(AB$4,'Physical Effects-Numbers'!$B$1:$AU$172,$B166,FALSE)&lt;0,HLOOKUP(AB$4,'Physical Effects-Numbers'!$B$1:$AU$172,$B166,FALSE),""))</f>
        <v/>
      </c>
      <c r="AC166" s="488" t="str">
        <f>IF(AC$4="","",IF(HLOOKUP(AC$4,'Physical Effects-Numbers'!$B$1:$AU$172,$B166,FALSE)&lt;0,HLOOKUP(AC$4,'Physical Effects-Numbers'!$B$1:$AU$172,$B166,FALSE),""))</f>
        <v/>
      </c>
      <c r="AD166" s="488" t="str">
        <f>IF(AD$4="","",IF(HLOOKUP(AD$4,'Physical Effects-Numbers'!$B$1:$AU$172,$B166,FALSE)&lt;0,HLOOKUP(AD$4,'Physical Effects-Numbers'!$B$1:$AU$172,$B166,FALSE),""))</f>
        <v/>
      </c>
      <c r="AE166" s="488" t="str">
        <f>IF(AE$4="","",IF(HLOOKUP(AE$4,'Physical Effects-Numbers'!$B$1:$AU$172,$B166,FALSE)&lt;0,HLOOKUP(AE$4,'Physical Effects-Numbers'!$B$1:$AU$172,$B166,FALSE),""))</f>
        <v/>
      </c>
      <c r="AF166" s="488" t="str">
        <f>IF(AF$4="","",IF(HLOOKUP(AF$4,'Physical Effects-Numbers'!$B$1:$AU$172,$B166,FALSE)&lt;0,HLOOKUP(AF$4,'Physical Effects-Numbers'!$B$1:$AU$172,$B166,FALSE),""))</f>
        <v/>
      </c>
      <c r="AG166" s="488" t="str">
        <f>IF(AG$4="","",IF(HLOOKUP(AG$4,'Physical Effects-Numbers'!$B$1:$AU$172,$B166,FALSE)&lt;0,HLOOKUP(AG$4,'Physical Effects-Numbers'!$B$1:$AU$172,$B166,FALSE),""))</f>
        <v/>
      </c>
      <c r="AH166" s="488" t="str">
        <f>IF(AH$4="","",IF(HLOOKUP(AH$4,'Physical Effects-Numbers'!$B$1:$AU$172,$B166,FALSE)&lt;0,HLOOKUP(AH$4,'Physical Effects-Numbers'!$B$1:$AU$172,$B166,FALSE),""))</f>
        <v/>
      </c>
      <c r="AI166" s="488" t="str">
        <f>IF(AI$4="","",IF(HLOOKUP(AI$4,'Physical Effects-Numbers'!$B$1:$AU$172,$B166,FALSE)&lt;0,HLOOKUP(AI$4,'Physical Effects-Numbers'!$B$1:$AU$172,$B166,FALSE),""))</f>
        <v/>
      </c>
      <c r="AJ166" s="488" t="str">
        <f>IF(AJ$4="","",IF(HLOOKUP(AJ$4,'Physical Effects-Numbers'!$B$1:$AU$172,$B166,FALSE)&lt;0,HLOOKUP(AJ$4,'Physical Effects-Numbers'!$B$1:$AU$172,$B166,FALSE),""))</f>
        <v/>
      </c>
      <c r="AK166" s="488" t="str">
        <f>IF(AK$4="","",IF(HLOOKUP(AK$4,'Physical Effects-Numbers'!$B$1:$AU$172,$B166,FALSE)&lt;0,HLOOKUP(AK$4,'Physical Effects-Numbers'!$B$1:$AU$172,$B166,FALSE),""))</f>
        <v/>
      </c>
      <c r="AL166" s="488" t="str">
        <f>IF(AL$4="","",IF(HLOOKUP(AL$4,'Physical Effects-Numbers'!$B$1:$AU$172,$B166,FALSE)&lt;0,HLOOKUP(AL$4,'Physical Effects-Numbers'!$B$1:$AU$172,$B166,FALSE),""))</f>
        <v/>
      </c>
      <c r="AM166" s="488" t="str">
        <f>IF(AM$4="","",IF(HLOOKUP(AM$4,'Physical Effects-Numbers'!$B$1:$AU$172,$B166,FALSE)&lt;0,HLOOKUP(AM$4,'Physical Effects-Numbers'!$B$1:$AU$172,$B166,FALSE),""))</f>
        <v/>
      </c>
      <c r="AN166" s="488" t="str">
        <f>IF(AN$4="","",IF(HLOOKUP(AN$4,'Physical Effects-Numbers'!$B$1:$AU$172,$B166,FALSE)&lt;0,HLOOKUP(AN$4,'Physical Effects-Numbers'!$B$1:$AU$172,$B166,FALSE),""))</f>
        <v/>
      </c>
      <c r="AO166" s="488" t="str">
        <f>IF(AO$4="","",IF(HLOOKUP(AO$4,'Physical Effects-Numbers'!$B$1:$AU$172,$B166,FALSE)&lt;0,HLOOKUP(AO$4,'Physical Effects-Numbers'!$B$1:$AU$172,$B166,FALSE),""))</f>
        <v/>
      </c>
      <c r="AP166" s="488" t="str">
        <f>IF(AP$4="","",IF(HLOOKUP(AP$4,'Physical Effects-Numbers'!$B$1:$AU$172,$B166,FALSE)&lt;0,HLOOKUP(AP$4,'Physical Effects-Numbers'!$B$1:$AU$172,$B166,FALSE),""))</f>
        <v/>
      </c>
      <c r="AQ166" s="488" t="str">
        <f>IF(AQ$4="","",IF(HLOOKUP(AQ$4,'Physical Effects-Numbers'!$B$1:$AU$172,$B166,FALSE)&lt;0,HLOOKUP(AQ$4,'Physical Effects-Numbers'!$B$1:$AU$172,$B166,FALSE),""))</f>
        <v/>
      </c>
      <c r="AR166" s="488" t="str">
        <f>IF(AR$4="","",IF(HLOOKUP(AR$4,'Physical Effects-Numbers'!$B$1:$AU$172,$B166,FALSE)&lt;0,HLOOKUP(AR$4,'Physical Effects-Numbers'!$B$1:$AU$172,$B166,FALSE),""))</f>
        <v/>
      </c>
      <c r="AS166" s="488" t="str">
        <f>IF(AS$4="","",IF(HLOOKUP(AS$4,'Physical Effects-Numbers'!$B$1:$AU$172,$B166,FALSE)&lt;0,HLOOKUP(AS$4,'Physical Effects-Numbers'!$B$1:$AU$172,$B166,FALSE),""))</f>
        <v/>
      </c>
      <c r="AT166" s="488" t="str">
        <f>IF(AT$4="","",IF(HLOOKUP(AT$4,'Physical Effects-Numbers'!$B$1:$AU$172,$B166,FALSE)&lt;0,HLOOKUP(AT$4,'Physical Effects-Numbers'!$B$1:$AU$172,$B166,FALSE),""))</f>
        <v/>
      </c>
      <c r="AU166" s="488" t="str">
        <f>IF(AU$4="","",IF(HLOOKUP(AU$4,'Physical Effects-Numbers'!$B$1:$AU$172,$B166,FALSE)&lt;0,HLOOKUP(AU$4,'Physical Effects-Numbers'!$B$1:$AU$172,$B166,FALSE),""))</f>
        <v/>
      </c>
      <c r="AV166" s="488" t="str">
        <f>IF(AV$4="","",IF(HLOOKUP(AV$4,'Physical Effects-Numbers'!$B$1:$AU$167,$B166,FALSE)&lt;0,HLOOKUP(AV$4,'Physical Effects-Numbers'!$B$1:$AU$167,$B166,FALSE),""))</f>
        <v/>
      </c>
    </row>
    <row r="167" spans="2:48" x14ac:dyDescent="0.2">
      <c r="B167" s="487">
        <f t="shared" si="2"/>
        <v>164</v>
      </c>
      <c r="C167" s="486" t="str">
        <f>+'Physical Effects-Numbers'!B164</f>
        <v>Wetland Creation</v>
      </c>
      <c r="D167" s="488" t="str">
        <f>IF(D$4="","",IF(HLOOKUP(D$4,'Physical Effects-Numbers'!$B$1:$AU$172,$B167,FALSE)&lt;0,HLOOKUP(D$4,'Physical Effects-Numbers'!$B$1:$AU$172,$B167,FALSE),""))</f>
        <v/>
      </c>
      <c r="E167" s="488" t="str">
        <f>IF(E$4="","",IF(HLOOKUP(E$4,'Physical Effects-Numbers'!$B$1:$AU$172,$B167,FALSE)&lt;0,HLOOKUP(E$4,'Physical Effects-Numbers'!$B$1:$AU$172,$B167,FALSE),""))</f>
        <v/>
      </c>
      <c r="F167" s="488" t="str">
        <f>IF(F$4="","",IF(HLOOKUP(F$4,'Physical Effects-Numbers'!$B$1:$AU$172,$B167,FALSE)&lt;0,HLOOKUP(F$4,'Physical Effects-Numbers'!$B$1:$AU$172,$B167,FALSE),""))</f>
        <v/>
      </c>
      <c r="G167" s="488" t="str">
        <f>IF(G$4="","",IF(HLOOKUP(G$4,'Physical Effects-Numbers'!$B$1:$AU$172,$B167,FALSE)&lt;0,HLOOKUP(G$4,'Physical Effects-Numbers'!$B$1:$AU$172,$B167,FALSE),""))</f>
        <v/>
      </c>
      <c r="H167" s="488" t="str">
        <f>IF(H$4="","",IF(HLOOKUP(H$4,'Physical Effects-Numbers'!$B$1:$AU$172,$B167,FALSE)&lt;0,HLOOKUP(H$4,'Physical Effects-Numbers'!$B$1:$AU$172,$B167,FALSE),""))</f>
        <v/>
      </c>
      <c r="I167" s="488" t="str">
        <f>IF(I$4="","",IF(HLOOKUP(I$4,'Physical Effects-Numbers'!$B$1:$AU$172,$B167,FALSE)&lt;0,HLOOKUP(I$4,'Physical Effects-Numbers'!$B$1:$AU$172,$B167,FALSE),""))</f>
        <v/>
      </c>
      <c r="J167" s="488" t="str">
        <f>IF(J$4="","",IF(HLOOKUP(J$4,'Physical Effects-Numbers'!$B$1:$AU$172,$B167,FALSE)&lt;0,HLOOKUP(J$4,'Physical Effects-Numbers'!$B$1:$AU$172,$B167,FALSE),""))</f>
        <v/>
      </c>
      <c r="K167" s="488" t="str">
        <f>IF(K$4="","",IF(HLOOKUP(K$4,'Physical Effects-Numbers'!$B$1:$AU$172,$B167,FALSE)&lt;0,HLOOKUP(K$4,'Physical Effects-Numbers'!$B$1:$AU$172,$B167,FALSE),""))</f>
        <v/>
      </c>
      <c r="L167" s="488" t="str">
        <f>IF(L$4="","",IF(HLOOKUP(L$4,'Physical Effects-Numbers'!$B$1:$AU$172,$B167,FALSE)&lt;0,HLOOKUP(L$4,'Physical Effects-Numbers'!$B$1:$AU$172,$B167,FALSE),""))</f>
        <v/>
      </c>
      <c r="M167" s="488" t="str">
        <f>IF(M$4="","",IF(HLOOKUP(M$4,'Physical Effects-Numbers'!$B$1:$AU$172,$B167,FALSE)&lt;0,HLOOKUP(M$4,'Physical Effects-Numbers'!$B$1:$AU$172,$B167,FALSE),""))</f>
        <v/>
      </c>
      <c r="N167" s="488" t="str">
        <f>IF(N$4="","",IF(HLOOKUP(N$4,'Physical Effects-Numbers'!$B$1:$AU$172,$B167,FALSE)&lt;0,HLOOKUP(N$4,'Physical Effects-Numbers'!$B$1:$AU$172,$B167,FALSE),""))</f>
        <v/>
      </c>
      <c r="O167" s="488">
        <f>IF(O$4="","",IF(HLOOKUP(O$4,'Physical Effects-Numbers'!$B$1:$AU$172,$B167,FALSE)&lt;0,HLOOKUP(O$4,'Physical Effects-Numbers'!$B$1:$AU$172,$B167,FALSE),""))</f>
        <v>-1</v>
      </c>
      <c r="P167" s="488" t="str">
        <f>IF(P$4="","",IF(HLOOKUP(P$4,'Physical Effects-Numbers'!$B$1:$AU$172,$B167,FALSE)&lt;0,HLOOKUP(P$4,'Physical Effects-Numbers'!$B$1:$AU$172,$B167,FALSE),""))</f>
        <v/>
      </c>
      <c r="Q167" s="488" t="str">
        <f>IF(Q$4="","",IF(HLOOKUP(Q$4,'Physical Effects-Numbers'!$B$1:$AU$172,$B167,FALSE)&lt;0,HLOOKUP(Q$4,'Physical Effects-Numbers'!$B$1:$AU$172,$B167,FALSE),""))</f>
        <v/>
      </c>
      <c r="R167" s="488" t="str">
        <f>IF(R$4="","",IF(HLOOKUP(R$4,'Physical Effects-Numbers'!$B$1:$AU$172,$B167,FALSE)&lt;0,HLOOKUP(R$4,'Physical Effects-Numbers'!$B$1:$AU$172,$B167,FALSE),""))</f>
        <v/>
      </c>
      <c r="S167" s="488" t="str">
        <f>IF(S$4="","",IF(HLOOKUP(S$4,'Physical Effects-Numbers'!$B$1:$AU$172,$B167,FALSE)&lt;0,HLOOKUP(S$4,'Physical Effects-Numbers'!$B$1:$AU$172,$B167,FALSE),""))</f>
        <v/>
      </c>
      <c r="T167" s="488" t="str">
        <f>IF(T$4="","",IF(HLOOKUP(T$4,'Physical Effects-Numbers'!$B$1:$AU$172,$B167,FALSE)&lt;0,HLOOKUP(T$4,'Physical Effects-Numbers'!$B$1:$AU$172,$B167,FALSE),""))</f>
        <v/>
      </c>
      <c r="U167" s="488" t="str">
        <f>IF(U$4="","",IF(HLOOKUP(U$4,'Physical Effects-Numbers'!$B$1:$AU$172,$B167,FALSE)&lt;0,HLOOKUP(U$4,'Physical Effects-Numbers'!$B$1:$AU$172,$B167,FALSE),""))</f>
        <v/>
      </c>
      <c r="V167" s="488" t="str">
        <f>IF(V$4="","",IF(HLOOKUP(V$4,'Physical Effects-Numbers'!$B$1:$AU$172,$B167,FALSE)&lt;0,HLOOKUP(V$4,'Physical Effects-Numbers'!$B$1:$AU$172,$B167,FALSE),""))</f>
        <v/>
      </c>
      <c r="W167" s="488" t="str">
        <f>IF(W$4="","",IF(HLOOKUP(W$4,'Physical Effects-Numbers'!$B$1:$AU$172,$B167,FALSE)&lt;0,HLOOKUP(W$4,'Physical Effects-Numbers'!$B$1:$AU$172,$B167,FALSE),""))</f>
        <v/>
      </c>
      <c r="X167" s="488" t="str">
        <f>IF(X$4="","",IF(HLOOKUP(X$4,'Physical Effects-Numbers'!$B$1:$AU$172,$B167,FALSE)&lt;0,HLOOKUP(X$4,'Physical Effects-Numbers'!$B$1:$AU$172,$B167,FALSE),""))</f>
        <v/>
      </c>
      <c r="Y167" s="488" t="str">
        <f>IF(Y$4="","",IF(HLOOKUP(Y$4,'Physical Effects-Numbers'!$B$1:$AU$172,$B167,FALSE)&lt;0,HLOOKUP(Y$4,'Physical Effects-Numbers'!$B$1:$AU$172,$B167,FALSE),""))</f>
        <v/>
      </c>
      <c r="Z167" s="488" t="str">
        <f>IF(Z$4="","",IF(HLOOKUP(Z$4,'Physical Effects-Numbers'!$B$1:$AU$172,$B167,FALSE)&lt;0,HLOOKUP(Z$4,'Physical Effects-Numbers'!$B$1:$AU$172,$B167,FALSE),""))</f>
        <v/>
      </c>
      <c r="AA167" s="488" t="str">
        <f>IF(AA$4="","",IF(HLOOKUP(AA$4,'Physical Effects-Numbers'!$B$1:$AU$172,$B167,FALSE)&lt;0,HLOOKUP(AA$4,'Physical Effects-Numbers'!$B$1:$AU$172,$B167,FALSE),""))</f>
        <v/>
      </c>
      <c r="AB167" s="488" t="str">
        <f>IF(AB$4="","",IF(HLOOKUP(AB$4,'Physical Effects-Numbers'!$B$1:$AU$172,$B167,FALSE)&lt;0,HLOOKUP(AB$4,'Physical Effects-Numbers'!$B$1:$AU$172,$B167,FALSE),""))</f>
        <v/>
      </c>
      <c r="AC167" s="488" t="str">
        <f>IF(AC$4="","",IF(HLOOKUP(AC$4,'Physical Effects-Numbers'!$B$1:$AU$172,$B167,FALSE)&lt;0,HLOOKUP(AC$4,'Physical Effects-Numbers'!$B$1:$AU$172,$B167,FALSE),""))</f>
        <v/>
      </c>
      <c r="AD167" s="488" t="str">
        <f>IF(AD$4="","",IF(HLOOKUP(AD$4,'Physical Effects-Numbers'!$B$1:$AU$172,$B167,FALSE)&lt;0,HLOOKUP(AD$4,'Physical Effects-Numbers'!$B$1:$AU$172,$B167,FALSE),""))</f>
        <v/>
      </c>
      <c r="AE167" s="488" t="str">
        <f>IF(AE$4="","",IF(HLOOKUP(AE$4,'Physical Effects-Numbers'!$B$1:$AU$172,$B167,FALSE)&lt;0,HLOOKUP(AE$4,'Physical Effects-Numbers'!$B$1:$AU$172,$B167,FALSE),""))</f>
        <v/>
      </c>
      <c r="AF167" s="488" t="str">
        <f>IF(AF$4="","",IF(HLOOKUP(AF$4,'Physical Effects-Numbers'!$B$1:$AU$172,$B167,FALSE)&lt;0,HLOOKUP(AF$4,'Physical Effects-Numbers'!$B$1:$AU$172,$B167,FALSE),""))</f>
        <v/>
      </c>
      <c r="AG167" s="488" t="str">
        <f>IF(AG$4="","",IF(HLOOKUP(AG$4,'Physical Effects-Numbers'!$B$1:$AU$172,$B167,FALSE)&lt;0,HLOOKUP(AG$4,'Physical Effects-Numbers'!$B$1:$AU$172,$B167,FALSE),""))</f>
        <v/>
      </c>
      <c r="AH167" s="488">
        <f>IF(AH$4="","",IF(HLOOKUP(AH$4,'Physical Effects-Numbers'!$B$1:$AU$172,$B167,FALSE)&lt;0,HLOOKUP(AH$4,'Physical Effects-Numbers'!$B$1:$AU$172,$B167,FALSE),""))</f>
        <v>-1</v>
      </c>
      <c r="AI167" s="488" t="str">
        <f>IF(AI$4="","",IF(HLOOKUP(AI$4,'Physical Effects-Numbers'!$B$1:$AU$172,$B167,FALSE)&lt;0,HLOOKUP(AI$4,'Physical Effects-Numbers'!$B$1:$AU$172,$B167,FALSE),""))</f>
        <v/>
      </c>
      <c r="AJ167" s="488" t="str">
        <f>IF(AJ$4="","",IF(HLOOKUP(AJ$4,'Physical Effects-Numbers'!$B$1:$AU$172,$B167,FALSE)&lt;0,HLOOKUP(AJ$4,'Physical Effects-Numbers'!$B$1:$AU$172,$B167,FALSE),""))</f>
        <v/>
      </c>
      <c r="AK167" s="488" t="str">
        <f>IF(AK$4="","",IF(HLOOKUP(AK$4,'Physical Effects-Numbers'!$B$1:$AU$172,$B167,FALSE)&lt;0,HLOOKUP(AK$4,'Physical Effects-Numbers'!$B$1:$AU$172,$B167,FALSE),""))</f>
        <v/>
      </c>
      <c r="AL167" s="488" t="str">
        <f>IF(AL$4="","",IF(HLOOKUP(AL$4,'Physical Effects-Numbers'!$B$1:$AU$172,$B167,FALSE)&lt;0,HLOOKUP(AL$4,'Physical Effects-Numbers'!$B$1:$AU$172,$B167,FALSE),""))</f>
        <v/>
      </c>
      <c r="AM167" s="488" t="str">
        <f>IF(AM$4="","",IF(HLOOKUP(AM$4,'Physical Effects-Numbers'!$B$1:$AU$172,$B167,FALSE)&lt;0,HLOOKUP(AM$4,'Physical Effects-Numbers'!$B$1:$AU$172,$B167,FALSE),""))</f>
        <v/>
      </c>
      <c r="AN167" s="488" t="str">
        <f>IF(AN$4="","",IF(HLOOKUP(AN$4,'Physical Effects-Numbers'!$B$1:$AU$172,$B167,FALSE)&lt;0,HLOOKUP(AN$4,'Physical Effects-Numbers'!$B$1:$AU$172,$B167,FALSE),""))</f>
        <v/>
      </c>
      <c r="AO167" s="488" t="str">
        <f>IF(AO$4="","",IF(HLOOKUP(AO$4,'Physical Effects-Numbers'!$B$1:$AU$172,$B167,FALSE)&lt;0,HLOOKUP(AO$4,'Physical Effects-Numbers'!$B$1:$AU$172,$B167,FALSE),""))</f>
        <v/>
      </c>
      <c r="AP167" s="488" t="str">
        <f>IF(AP$4="","",IF(HLOOKUP(AP$4,'Physical Effects-Numbers'!$B$1:$AU$172,$B167,FALSE)&lt;0,HLOOKUP(AP$4,'Physical Effects-Numbers'!$B$1:$AU$172,$B167,FALSE),""))</f>
        <v/>
      </c>
      <c r="AQ167" s="488" t="str">
        <f>IF(AQ$4="","",IF(HLOOKUP(AQ$4,'Physical Effects-Numbers'!$B$1:$AU$172,$B167,FALSE)&lt;0,HLOOKUP(AQ$4,'Physical Effects-Numbers'!$B$1:$AU$172,$B167,FALSE),""))</f>
        <v/>
      </c>
      <c r="AR167" s="488" t="str">
        <f>IF(AR$4="","",IF(HLOOKUP(AR$4,'Physical Effects-Numbers'!$B$1:$AU$172,$B167,FALSE)&lt;0,HLOOKUP(AR$4,'Physical Effects-Numbers'!$B$1:$AU$172,$B167,FALSE),""))</f>
        <v/>
      </c>
      <c r="AS167" s="488" t="str">
        <f>IF(AS$4="","",IF(HLOOKUP(AS$4,'Physical Effects-Numbers'!$B$1:$AU$172,$B167,FALSE)&lt;0,HLOOKUP(AS$4,'Physical Effects-Numbers'!$B$1:$AU$172,$B167,FALSE),""))</f>
        <v/>
      </c>
      <c r="AT167" s="488" t="str">
        <f>IF(AT$4="","",IF(HLOOKUP(AT$4,'Physical Effects-Numbers'!$B$1:$AU$172,$B167,FALSE)&lt;0,HLOOKUP(AT$4,'Physical Effects-Numbers'!$B$1:$AU$172,$B167,FALSE),""))</f>
        <v/>
      </c>
      <c r="AU167" s="488" t="str">
        <f>IF(AU$4="","",IF(HLOOKUP(AU$4,'Physical Effects-Numbers'!$B$1:$AU$172,$B167,FALSE)&lt;0,HLOOKUP(AU$4,'Physical Effects-Numbers'!$B$1:$AU$172,$B167,FALSE),""))</f>
        <v/>
      </c>
      <c r="AV167" s="488" t="str">
        <f>IF(AV$4="","",IF(HLOOKUP(AV$4,'Physical Effects-Numbers'!$B$1:$AU$167,$B167,FALSE)&lt;0,HLOOKUP(AV$4,'Physical Effects-Numbers'!$B$1:$AU$167,$B167,FALSE),""))</f>
        <v/>
      </c>
    </row>
    <row r="168" spans="2:48" x14ac:dyDescent="0.2">
      <c r="B168" s="487">
        <f t="shared" si="2"/>
        <v>165</v>
      </c>
      <c r="C168" s="486" t="str">
        <f>+'Physical Effects-Numbers'!B165</f>
        <v>Wetland Enhancement</v>
      </c>
      <c r="D168" s="488" t="str">
        <f>IF(D$4="","",IF(HLOOKUP(D$4,'Physical Effects-Numbers'!$B$1:$AU$172,$B168,FALSE)&lt;0,HLOOKUP(D$4,'Physical Effects-Numbers'!$B$1:$AU$172,$B168,FALSE),""))</f>
        <v/>
      </c>
      <c r="E168" s="488" t="str">
        <f>IF(E$4="","",IF(HLOOKUP(E$4,'Physical Effects-Numbers'!$B$1:$AU$172,$B168,FALSE)&lt;0,HLOOKUP(E$4,'Physical Effects-Numbers'!$B$1:$AU$172,$B168,FALSE),""))</f>
        <v/>
      </c>
      <c r="F168" s="488" t="str">
        <f>IF(F$4="","",IF(HLOOKUP(F$4,'Physical Effects-Numbers'!$B$1:$AU$172,$B168,FALSE)&lt;0,HLOOKUP(F$4,'Physical Effects-Numbers'!$B$1:$AU$172,$B168,FALSE),""))</f>
        <v/>
      </c>
      <c r="G168" s="488" t="str">
        <f>IF(G$4="","",IF(HLOOKUP(G$4,'Physical Effects-Numbers'!$B$1:$AU$172,$B168,FALSE)&lt;0,HLOOKUP(G$4,'Physical Effects-Numbers'!$B$1:$AU$172,$B168,FALSE),""))</f>
        <v/>
      </c>
      <c r="H168" s="488" t="str">
        <f>IF(H$4="","",IF(HLOOKUP(H$4,'Physical Effects-Numbers'!$B$1:$AU$172,$B168,FALSE)&lt;0,HLOOKUP(H$4,'Physical Effects-Numbers'!$B$1:$AU$172,$B168,FALSE),""))</f>
        <v/>
      </c>
      <c r="I168" s="488" t="str">
        <f>IF(I$4="","",IF(HLOOKUP(I$4,'Physical Effects-Numbers'!$B$1:$AU$172,$B168,FALSE)&lt;0,HLOOKUP(I$4,'Physical Effects-Numbers'!$B$1:$AU$172,$B168,FALSE),""))</f>
        <v/>
      </c>
      <c r="J168" s="488" t="str">
        <f>IF(J$4="","",IF(HLOOKUP(J$4,'Physical Effects-Numbers'!$B$1:$AU$172,$B168,FALSE)&lt;0,HLOOKUP(J$4,'Physical Effects-Numbers'!$B$1:$AU$172,$B168,FALSE),""))</f>
        <v/>
      </c>
      <c r="K168" s="488" t="str">
        <f>IF(K$4="","",IF(HLOOKUP(K$4,'Physical Effects-Numbers'!$B$1:$AU$172,$B168,FALSE)&lt;0,HLOOKUP(K$4,'Physical Effects-Numbers'!$B$1:$AU$172,$B168,FALSE),""))</f>
        <v/>
      </c>
      <c r="L168" s="488" t="str">
        <f>IF(L$4="","",IF(HLOOKUP(L$4,'Physical Effects-Numbers'!$B$1:$AU$172,$B168,FALSE)&lt;0,HLOOKUP(L$4,'Physical Effects-Numbers'!$B$1:$AU$172,$B168,FALSE),""))</f>
        <v/>
      </c>
      <c r="M168" s="488" t="str">
        <f>IF(M$4="","",IF(HLOOKUP(M$4,'Physical Effects-Numbers'!$B$1:$AU$172,$B168,FALSE)&lt;0,HLOOKUP(M$4,'Physical Effects-Numbers'!$B$1:$AU$172,$B168,FALSE),""))</f>
        <v/>
      </c>
      <c r="N168" s="488" t="str">
        <f>IF(N$4="","",IF(HLOOKUP(N$4,'Physical Effects-Numbers'!$B$1:$AU$172,$B168,FALSE)&lt;0,HLOOKUP(N$4,'Physical Effects-Numbers'!$B$1:$AU$172,$B168,FALSE),""))</f>
        <v/>
      </c>
      <c r="O168" s="488" t="str">
        <f>IF(O$4="","",IF(HLOOKUP(O$4,'Physical Effects-Numbers'!$B$1:$AU$172,$B168,FALSE)&lt;0,HLOOKUP(O$4,'Physical Effects-Numbers'!$B$1:$AU$172,$B168,FALSE),""))</f>
        <v/>
      </c>
      <c r="P168" s="488" t="str">
        <f>IF(P$4="","",IF(HLOOKUP(P$4,'Physical Effects-Numbers'!$B$1:$AU$172,$B168,FALSE)&lt;0,HLOOKUP(P$4,'Physical Effects-Numbers'!$B$1:$AU$172,$B168,FALSE),""))</f>
        <v/>
      </c>
      <c r="Q168" s="488" t="str">
        <f>IF(Q$4="","",IF(HLOOKUP(Q$4,'Physical Effects-Numbers'!$B$1:$AU$172,$B168,FALSE)&lt;0,HLOOKUP(Q$4,'Physical Effects-Numbers'!$B$1:$AU$172,$B168,FALSE),""))</f>
        <v/>
      </c>
      <c r="R168" s="488" t="str">
        <f>IF(R$4="","",IF(HLOOKUP(R$4,'Physical Effects-Numbers'!$B$1:$AU$172,$B168,FALSE)&lt;0,HLOOKUP(R$4,'Physical Effects-Numbers'!$B$1:$AU$172,$B168,FALSE),""))</f>
        <v/>
      </c>
      <c r="S168" s="488" t="str">
        <f>IF(S$4="","",IF(HLOOKUP(S$4,'Physical Effects-Numbers'!$B$1:$AU$172,$B168,FALSE)&lt;0,HLOOKUP(S$4,'Physical Effects-Numbers'!$B$1:$AU$172,$B168,FALSE),""))</f>
        <v/>
      </c>
      <c r="T168" s="488" t="str">
        <f>IF(T$4="","",IF(HLOOKUP(T$4,'Physical Effects-Numbers'!$B$1:$AU$172,$B168,FALSE)&lt;0,HLOOKUP(T$4,'Physical Effects-Numbers'!$B$1:$AU$172,$B168,FALSE),""))</f>
        <v/>
      </c>
      <c r="U168" s="488" t="str">
        <f>IF(U$4="","",IF(HLOOKUP(U$4,'Physical Effects-Numbers'!$B$1:$AU$172,$B168,FALSE)&lt;0,HLOOKUP(U$4,'Physical Effects-Numbers'!$B$1:$AU$172,$B168,FALSE),""))</f>
        <v/>
      </c>
      <c r="V168" s="488" t="str">
        <f>IF(V$4="","",IF(HLOOKUP(V$4,'Physical Effects-Numbers'!$B$1:$AU$172,$B168,FALSE)&lt;0,HLOOKUP(V$4,'Physical Effects-Numbers'!$B$1:$AU$172,$B168,FALSE),""))</f>
        <v/>
      </c>
      <c r="W168" s="488" t="str">
        <f>IF(W$4="","",IF(HLOOKUP(W$4,'Physical Effects-Numbers'!$B$1:$AU$172,$B168,FALSE)&lt;0,HLOOKUP(W$4,'Physical Effects-Numbers'!$B$1:$AU$172,$B168,FALSE),""))</f>
        <v/>
      </c>
      <c r="X168" s="488" t="str">
        <f>IF(X$4="","",IF(HLOOKUP(X$4,'Physical Effects-Numbers'!$B$1:$AU$172,$B168,FALSE)&lt;0,HLOOKUP(X$4,'Physical Effects-Numbers'!$B$1:$AU$172,$B168,FALSE),""))</f>
        <v/>
      </c>
      <c r="Y168" s="488" t="str">
        <f>IF(Y$4="","",IF(HLOOKUP(Y$4,'Physical Effects-Numbers'!$B$1:$AU$172,$B168,FALSE)&lt;0,HLOOKUP(Y$4,'Physical Effects-Numbers'!$B$1:$AU$172,$B168,FALSE),""))</f>
        <v/>
      </c>
      <c r="Z168" s="488" t="str">
        <f>IF(Z$4="","",IF(HLOOKUP(Z$4,'Physical Effects-Numbers'!$B$1:$AU$172,$B168,FALSE)&lt;0,HLOOKUP(Z$4,'Physical Effects-Numbers'!$B$1:$AU$172,$B168,FALSE),""))</f>
        <v/>
      </c>
      <c r="AA168" s="488" t="str">
        <f>IF(AA$4="","",IF(HLOOKUP(AA$4,'Physical Effects-Numbers'!$B$1:$AU$172,$B168,FALSE)&lt;0,HLOOKUP(AA$4,'Physical Effects-Numbers'!$B$1:$AU$172,$B168,FALSE),""))</f>
        <v/>
      </c>
      <c r="AB168" s="488" t="str">
        <f>IF(AB$4="","",IF(HLOOKUP(AB$4,'Physical Effects-Numbers'!$B$1:$AU$172,$B168,FALSE)&lt;0,HLOOKUP(AB$4,'Physical Effects-Numbers'!$B$1:$AU$172,$B168,FALSE),""))</f>
        <v/>
      </c>
      <c r="AC168" s="488" t="str">
        <f>IF(AC$4="","",IF(HLOOKUP(AC$4,'Physical Effects-Numbers'!$B$1:$AU$172,$B168,FALSE)&lt;0,HLOOKUP(AC$4,'Physical Effects-Numbers'!$B$1:$AU$172,$B168,FALSE),""))</f>
        <v/>
      </c>
      <c r="AD168" s="488" t="str">
        <f>IF(AD$4="","",IF(HLOOKUP(AD$4,'Physical Effects-Numbers'!$B$1:$AU$172,$B168,FALSE)&lt;0,HLOOKUP(AD$4,'Physical Effects-Numbers'!$B$1:$AU$172,$B168,FALSE),""))</f>
        <v/>
      </c>
      <c r="AE168" s="488" t="str">
        <f>IF(AE$4="","",IF(HLOOKUP(AE$4,'Physical Effects-Numbers'!$B$1:$AU$172,$B168,FALSE)&lt;0,HLOOKUP(AE$4,'Physical Effects-Numbers'!$B$1:$AU$172,$B168,FALSE),""))</f>
        <v/>
      </c>
      <c r="AF168" s="488" t="str">
        <f>IF(AF$4="","",IF(HLOOKUP(AF$4,'Physical Effects-Numbers'!$B$1:$AU$172,$B168,FALSE)&lt;0,HLOOKUP(AF$4,'Physical Effects-Numbers'!$B$1:$AU$172,$B168,FALSE),""))</f>
        <v/>
      </c>
      <c r="AG168" s="488" t="str">
        <f>IF(AG$4="","",IF(HLOOKUP(AG$4,'Physical Effects-Numbers'!$B$1:$AU$172,$B168,FALSE)&lt;0,HLOOKUP(AG$4,'Physical Effects-Numbers'!$B$1:$AU$172,$B168,FALSE),""))</f>
        <v/>
      </c>
      <c r="AH168" s="488">
        <f>IF(AH$4="","",IF(HLOOKUP(AH$4,'Physical Effects-Numbers'!$B$1:$AU$172,$B168,FALSE)&lt;0,HLOOKUP(AH$4,'Physical Effects-Numbers'!$B$1:$AU$172,$B168,FALSE),""))</f>
        <v>-1</v>
      </c>
      <c r="AI168" s="488" t="str">
        <f>IF(AI$4="","",IF(HLOOKUP(AI$4,'Physical Effects-Numbers'!$B$1:$AU$172,$B168,FALSE)&lt;0,HLOOKUP(AI$4,'Physical Effects-Numbers'!$B$1:$AU$172,$B168,FALSE),""))</f>
        <v/>
      </c>
      <c r="AJ168" s="488" t="str">
        <f>IF(AJ$4="","",IF(HLOOKUP(AJ$4,'Physical Effects-Numbers'!$B$1:$AU$172,$B168,FALSE)&lt;0,HLOOKUP(AJ$4,'Physical Effects-Numbers'!$B$1:$AU$172,$B168,FALSE),""))</f>
        <v/>
      </c>
      <c r="AK168" s="488" t="str">
        <f>IF(AK$4="","",IF(HLOOKUP(AK$4,'Physical Effects-Numbers'!$B$1:$AU$172,$B168,FALSE)&lt;0,HLOOKUP(AK$4,'Physical Effects-Numbers'!$B$1:$AU$172,$B168,FALSE),""))</f>
        <v/>
      </c>
      <c r="AL168" s="488" t="str">
        <f>IF(AL$4="","",IF(HLOOKUP(AL$4,'Physical Effects-Numbers'!$B$1:$AU$172,$B168,FALSE)&lt;0,HLOOKUP(AL$4,'Physical Effects-Numbers'!$B$1:$AU$172,$B168,FALSE),""))</f>
        <v/>
      </c>
      <c r="AM168" s="488" t="str">
        <f>IF(AM$4="","",IF(HLOOKUP(AM$4,'Physical Effects-Numbers'!$B$1:$AU$172,$B168,FALSE)&lt;0,HLOOKUP(AM$4,'Physical Effects-Numbers'!$B$1:$AU$172,$B168,FALSE),""))</f>
        <v/>
      </c>
      <c r="AN168" s="488" t="str">
        <f>IF(AN$4="","",IF(HLOOKUP(AN$4,'Physical Effects-Numbers'!$B$1:$AU$172,$B168,FALSE)&lt;0,HLOOKUP(AN$4,'Physical Effects-Numbers'!$B$1:$AU$172,$B168,FALSE),""))</f>
        <v/>
      </c>
      <c r="AO168" s="488" t="str">
        <f>IF(AO$4="","",IF(HLOOKUP(AO$4,'Physical Effects-Numbers'!$B$1:$AU$172,$B168,FALSE)&lt;0,HLOOKUP(AO$4,'Physical Effects-Numbers'!$B$1:$AU$172,$B168,FALSE),""))</f>
        <v/>
      </c>
      <c r="AP168" s="488" t="str">
        <f>IF(AP$4="","",IF(HLOOKUP(AP$4,'Physical Effects-Numbers'!$B$1:$AU$172,$B168,FALSE)&lt;0,HLOOKUP(AP$4,'Physical Effects-Numbers'!$B$1:$AU$172,$B168,FALSE),""))</f>
        <v/>
      </c>
      <c r="AQ168" s="488" t="str">
        <f>IF(AQ$4="","",IF(HLOOKUP(AQ$4,'Physical Effects-Numbers'!$B$1:$AU$172,$B168,FALSE)&lt;0,HLOOKUP(AQ$4,'Physical Effects-Numbers'!$B$1:$AU$172,$B168,FALSE),""))</f>
        <v/>
      </c>
      <c r="AR168" s="488" t="str">
        <f>IF(AR$4="","",IF(HLOOKUP(AR$4,'Physical Effects-Numbers'!$B$1:$AU$172,$B168,FALSE)&lt;0,HLOOKUP(AR$4,'Physical Effects-Numbers'!$B$1:$AU$172,$B168,FALSE),""))</f>
        <v/>
      </c>
      <c r="AS168" s="488" t="str">
        <f>IF(AS$4="","",IF(HLOOKUP(AS$4,'Physical Effects-Numbers'!$B$1:$AU$172,$B168,FALSE)&lt;0,HLOOKUP(AS$4,'Physical Effects-Numbers'!$B$1:$AU$172,$B168,FALSE),""))</f>
        <v/>
      </c>
      <c r="AT168" s="488" t="str">
        <f>IF(AT$4="","",IF(HLOOKUP(AT$4,'Physical Effects-Numbers'!$B$1:$AU$172,$B168,FALSE)&lt;0,HLOOKUP(AT$4,'Physical Effects-Numbers'!$B$1:$AU$172,$B168,FALSE),""))</f>
        <v/>
      </c>
      <c r="AU168" s="488" t="str">
        <f>IF(AU$4="","",IF(HLOOKUP(AU$4,'Physical Effects-Numbers'!$B$1:$AU$172,$B168,FALSE)&lt;0,HLOOKUP(AU$4,'Physical Effects-Numbers'!$B$1:$AU$172,$B168,FALSE),""))</f>
        <v/>
      </c>
      <c r="AV168" s="488" t="str">
        <f>IF(AV$4="","",IF(HLOOKUP(AV$4,'Physical Effects-Numbers'!$B$1:$AU$167,$B168,FALSE)&lt;0,HLOOKUP(AV$4,'Physical Effects-Numbers'!$B$1:$AU$167,$B168,FALSE),""))</f>
        <v/>
      </c>
    </row>
    <row r="169" spans="2:48" x14ac:dyDescent="0.2">
      <c r="B169" s="487">
        <f t="shared" si="2"/>
        <v>166</v>
      </c>
      <c r="C169" s="486" t="str">
        <f>+'Physical Effects-Numbers'!B166</f>
        <v>Wetland Restoration</v>
      </c>
      <c r="D169" s="488" t="str">
        <f>IF(D$4="","",IF(HLOOKUP(D$4,'Physical Effects-Numbers'!$B$1:$AU$172,$B169,FALSE)&lt;0,HLOOKUP(D$4,'Physical Effects-Numbers'!$B$1:$AU$172,$B169,FALSE),""))</f>
        <v/>
      </c>
      <c r="E169" s="488" t="str">
        <f>IF(E$4="","",IF(HLOOKUP(E$4,'Physical Effects-Numbers'!$B$1:$AU$172,$B169,FALSE)&lt;0,HLOOKUP(E$4,'Physical Effects-Numbers'!$B$1:$AU$172,$B169,FALSE),""))</f>
        <v/>
      </c>
      <c r="F169" s="488" t="str">
        <f>IF(F$4="","",IF(HLOOKUP(F$4,'Physical Effects-Numbers'!$B$1:$AU$172,$B169,FALSE)&lt;0,HLOOKUP(F$4,'Physical Effects-Numbers'!$B$1:$AU$172,$B169,FALSE),""))</f>
        <v/>
      </c>
      <c r="G169" s="488" t="str">
        <f>IF(G$4="","",IF(HLOOKUP(G$4,'Physical Effects-Numbers'!$B$1:$AU$172,$B169,FALSE)&lt;0,HLOOKUP(G$4,'Physical Effects-Numbers'!$B$1:$AU$172,$B169,FALSE),""))</f>
        <v/>
      </c>
      <c r="H169" s="488" t="str">
        <f>IF(H$4="","",IF(HLOOKUP(H$4,'Physical Effects-Numbers'!$B$1:$AU$172,$B169,FALSE)&lt;0,HLOOKUP(H$4,'Physical Effects-Numbers'!$B$1:$AU$172,$B169,FALSE),""))</f>
        <v/>
      </c>
      <c r="I169" s="488" t="str">
        <f>IF(I$4="","",IF(HLOOKUP(I$4,'Physical Effects-Numbers'!$B$1:$AU$172,$B169,FALSE)&lt;0,HLOOKUP(I$4,'Physical Effects-Numbers'!$B$1:$AU$172,$B169,FALSE),""))</f>
        <v/>
      </c>
      <c r="J169" s="488" t="str">
        <f>IF(J$4="","",IF(HLOOKUP(J$4,'Physical Effects-Numbers'!$B$1:$AU$172,$B169,FALSE)&lt;0,HLOOKUP(J$4,'Physical Effects-Numbers'!$B$1:$AU$172,$B169,FALSE),""))</f>
        <v/>
      </c>
      <c r="K169" s="488" t="str">
        <f>IF(K$4="","",IF(HLOOKUP(K$4,'Physical Effects-Numbers'!$B$1:$AU$172,$B169,FALSE)&lt;0,HLOOKUP(K$4,'Physical Effects-Numbers'!$B$1:$AU$172,$B169,FALSE),""))</f>
        <v/>
      </c>
      <c r="L169" s="488" t="str">
        <f>IF(L$4="","",IF(HLOOKUP(L$4,'Physical Effects-Numbers'!$B$1:$AU$172,$B169,FALSE)&lt;0,HLOOKUP(L$4,'Physical Effects-Numbers'!$B$1:$AU$172,$B169,FALSE),""))</f>
        <v/>
      </c>
      <c r="M169" s="488" t="str">
        <f>IF(M$4="","",IF(HLOOKUP(M$4,'Physical Effects-Numbers'!$B$1:$AU$172,$B169,FALSE)&lt;0,HLOOKUP(M$4,'Physical Effects-Numbers'!$B$1:$AU$172,$B169,FALSE),""))</f>
        <v/>
      </c>
      <c r="N169" s="488" t="str">
        <f>IF(N$4="","",IF(HLOOKUP(N$4,'Physical Effects-Numbers'!$B$1:$AU$172,$B169,FALSE)&lt;0,HLOOKUP(N$4,'Physical Effects-Numbers'!$B$1:$AU$172,$B169,FALSE),""))</f>
        <v/>
      </c>
      <c r="O169" s="488" t="str">
        <f>IF(O$4="","",IF(HLOOKUP(O$4,'Physical Effects-Numbers'!$B$1:$AU$172,$B169,FALSE)&lt;0,HLOOKUP(O$4,'Physical Effects-Numbers'!$B$1:$AU$172,$B169,FALSE),""))</f>
        <v/>
      </c>
      <c r="P169" s="488" t="str">
        <f>IF(P$4="","",IF(HLOOKUP(P$4,'Physical Effects-Numbers'!$B$1:$AU$172,$B169,FALSE)&lt;0,HLOOKUP(P$4,'Physical Effects-Numbers'!$B$1:$AU$172,$B169,FALSE),""))</f>
        <v/>
      </c>
      <c r="Q169" s="488" t="str">
        <f>IF(Q$4="","",IF(HLOOKUP(Q$4,'Physical Effects-Numbers'!$B$1:$AU$172,$B169,FALSE)&lt;0,HLOOKUP(Q$4,'Physical Effects-Numbers'!$B$1:$AU$172,$B169,FALSE),""))</f>
        <v/>
      </c>
      <c r="R169" s="488" t="str">
        <f>IF(R$4="","",IF(HLOOKUP(R$4,'Physical Effects-Numbers'!$B$1:$AU$172,$B169,FALSE)&lt;0,HLOOKUP(R$4,'Physical Effects-Numbers'!$B$1:$AU$172,$B169,FALSE),""))</f>
        <v/>
      </c>
      <c r="S169" s="488" t="str">
        <f>IF(S$4="","",IF(HLOOKUP(S$4,'Physical Effects-Numbers'!$B$1:$AU$172,$B169,FALSE)&lt;0,HLOOKUP(S$4,'Physical Effects-Numbers'!$B$1:$AU$172,$B169,FALSE),""))</f>
        <v/>
      </c>
      <c r="T169" s="488" t="str">
        <f>IF(T$4="","",IF(HLOOKUP(T$4,'Physical Effects-Numbers'!$B$1:$AU$172,$B169,FALSE)&lt;0,HLOOKUP(T$4,'Physical Effects-Numbers'!$B$1:$AU$172,$B169,FALSE),""))</f>
        <v/>
      </c>
      <c r="U169" s="488" t="str">
        <f>IF(U$4="","",IF(HLOOKUP(U$4,'Physical Effects-Numbers'!$B$1:$AU$172,$B169,FALSE)&lt;0,HLOOKUP(U$4,'Physical Effects-Numbers'!$B$1:$AU$172,$B169,FALSE),""))</f>
        <v/>
      </c>
      <c r="V169" s="488" t="str">
        <f>IF(V$4="","",IF(HLOOKUP(V$4,'Physical Effects-Numbers'!$B$1:$AU$172,$B169,FALSE)&lt;0,HLOOKUP(V$4,'Physical Effects-Numbers'!$B$1:$AU$172,$B169,FALSE),""))</f>
        <v/>
      </c>
      <c r="W169" s="488" t="str">
        <f>IF(W$4="","",IF(HLOOKUP(W$4,'Physical Effects-Numbers'!$B$1:$AU$172,$B169,FALSE)&lt;0,HLOOKUP(W$4,'Physical Effects-Numbers'!$B$1:$AU$172,$B169,FALSE),""))</f>
        <v/>
      </c>
      <c r="X169" s="488" t="str">
        <f>IF(X$4="","",IF(HLOOKUP(X$4,'Physical Effects-Numbers'!$B$1:$AU$172,$B169,FALSE)&lt;0,HLOOKUP(X$4,'Physical Effects-Numbers'!$B$1:$AU$172,$B169,FALSE),""))</f>
        <v/>
      </c>
      <c r="Y169" s="488" t="str">
        <f>IF(Y$4="","",IF(HLOOKUP(Y$4,'Physical Effects-Numbers'!$B$1:$AU$172,$B169,FALSE)&lt;0,HLOOKUP(Y$4,'Physical Effects-Numbers'!$B$1:$AU$172,$B169,FALSE),""))</f>
        <v/>
      </c>
      <c r="Z169" s="488" t="str">
        <f>IF(Z$4="","",IF(HLOOKUP(Z$4,'Physical Effects-Numbers'!$B$1:$AU$172,$B169,FALSE)&lt;0,HLOOKUP(Z$4,'Physical Effects-Numbers'!$B$1:$AU$172,$B169,FALSE),""))</f>
        <v/>
      </c>
      <c r="AA169" s="488" t="str">
        <f>IF(AA$4="","",IF(HLOOKUP(AA$4,'Physical Effects-Numbers'!$B$1:$AU$172,$B169,FALSE)&lt;0,HLOOKUP(AA$4,'Physical Effects-Numbers'!$B$1:$AU$172,$B169,FALSE),""))</f>
        <v/>
      </c>
      <c r="AB169" s="488" t="str">
        <f>IF(AB$4="","",IF(HLOOKUP(AB$4,'Physical Effects-Numbers'!$B$1:$AU$172,$B169,FALSE)&lt;0,HLOOKUP(AB$4,'Physical Effects-Numbers'!$B$1:$AU$172,$B169,FALSE),""))</f>
        <v/>
      </c>
      <c r="AC169" s="488" t="str">
        <f>IF(AC$4="","",IF(HLOOKUP(AC$4,'Physical Effects-Numbers'!$B$1:$AU$172,$B169,FALSE)&lt;0,HLOOKUP(AC$4,'Physical Effects-Numbers'!$B$1:$AU$172,$B169,FALSE),""))</f>
        <v/>
      </c>
      <c r="AD169" s="488" t="str">
        <f>IF(AD$4="","",IF(HLOOKUP(AD$4,'Physical Effects-Numbers'!$B$1:$AU$172,$B169,FALSE)&lt;0,HLOOKUP(AD$4,'Physical Effects-Numbers'!$B$1:$AU$172,$B169,FALSE),""))</f>
        <v/>
      </c>
      <c r="AE169" s="488" t="str">
        <f>IF(AE$4="","",IF(HLOOKUP(AE$4,'Physical Effects-Numbers'!$B$1:$AU$172,$B169,FALSE)&lt;0,HLOOKUP(AE$4,'Physical Effects-Numbers'!$B$1:$AU$172,$B169,FALSE),""))</f>
        <v/>
      </c>
      <c r="AF169" s="488" t="str">
        <f>IF(AF$4="","",IF(HLOOKUP(AF$4,'Physical Effects-Numbers'!$B$1:$AU$172,$B169,FALSE)&lt;0,HLOOKUP(AF$4,'Physical Effects-Numbers'!$B$1:$AU$172,$B169,FALSE),""))</f>
        <v/>
      </c>
      <c r="AG169" s="488" t="str">
        <f>IF(AG$4="","",IF(HLOOKUP(AG$4,'Physical Effects-Numbers'!$B$1:$AU$172,$B169,FALSE)&lt;0,HLOOKUP(AG$4,'Physical Effects-Numbers'!$B$1:$AU$172,$B169,FALSE),""))</f>
        <v/>
      </c>
      <c r="AH169" s="488">
        <f>IF(AH$4="","",IF(HLOOKUP(AH$4,'Physical Effects-Numbers'!$B$1:$AU$172,$B169,FALSE)&lt;0,HLOOKUP(AH$4,'Physical Effects-Numbers'!$B$1:$AU$172,$B169,FALSE),""))</f>
        <v>-1</v>
      </c>
      <c r="AI169" s="488" t="str">
        <f>IF(AI$4="","",IF(HLOOKUP(AI$4,'Physical Effects-Numbers'!$B$1:$AU$172,$B169,FALSE)&lt;0,HLOOKUP(AI$4,'Physical Effects-Numbers'!$B$1:$AU$172,$B169,FALSE),""))</f>
        <v/>
      </c>
      <c r="AJ169" s="488" t="str">
        <f>IF(AJ$4="","",IF(HLOOKUP(AJ$4,'Physical Effects-Numbers'!$B$1:$AU$172,$B169,FALSE)&lt;0,HLOOKUP(AJ$4,'Physical Effects-Numbers'!$B$1:$AU$172,$B169,FALSE),""))</f>
        <v/>
      </c>
      <c r="AK169" s="488" t="str">
        <f>IF(AK$4="","",IF(HLOOKUP(AK$4,'Physical Effects-Numbers'!$B$1:$AU$172,$B169,FALSE)&lt;0,HLOOKUP(AK$4,'Physical Effects-Numbers'!$B$1:$AU$172,$B169,FALSE),""))</f>
        <v/>
      </c>
      <c r="AL169" s="488" t="str">
        <f>IF(AL$4="","",IF(HLOOKUP(AL$4,'Physical Effects-Numbers'!$B$1:$AU$172,$B169,FALSE)&lt;0,HLOOKUP(AL$4,'Physical Effects-Numbers'!$B$1:$AU$172,$B169,FALSE),""))</f>
        <v/>
      </c>
      <c r="AM169" s="488" t="str">
        <f>IF(AM$4="","",IF(HLOOKUP(AM$4,'Physical Effects-Numbers'!$B$1:$AU$172,$B169,FALSE)&lt;0,HLOOKUP(AM$4,'Physical Effects-Numbers'!$B$1:$AU$172,$B169,FALSE),""))</f>
        <v/>
      </c>
      <c r="AN169" s="488" t="str">
        <f>IF(AN$4="","",IF(HLOOKUP(AN$4,'Physical Effects-Numbers'!$B$1:$AU$172,$B169,FALSE)&lt;0,HLOOKUP(AN$4,'Physical Effects-Numbers'!$B$1:$AU$172,$B169,FALSE),""))</f>
        <v/>
      </c>
      <c r="AO169" s="488" t="str">
        <f>IF(AO$4="","",IF(HLOOKUP(AO$4,'Physical Effects-Numbers'!$B$1:$AU$172,$B169,FALSE)&lt;0,HLOOKUP(AO$4,'Physical Effects-Numbers'!$B$1:$AU$172,$B169,FALSE),""))</f>
        <v/>
      </c>
      <c r="AP169" s="488" t="str">
        <f>IF(AP$4="","",IF(HLOOKUP(AP$4,'Physical Effects-Numbers'!$B$1:$AU$172,$B169,FALSE)&lt;0,HLOOKUP(AP$4,'Physical Effects-Numbers'!$B$1:$AU$172,$B169,FALSE),""))</f>
        <v/>
      </c>
      <c r="AQ169" s="488" t="str">
        <f>IF(AQ$4="","",IF(HLOOKUP(AQ$4,'Physical Effects-Numbers'!$B$1:$AU$172,$B169,FALSE)&lt;0,HLOOKUP(AQ$4,'Physical Effects-Numbers'!$B$1:$AU$172,$B169,FALSE),""))</f>
        <v/>
      </c>
      <c r="AR169" s="488" t="str">
        <f>IF(AR$4="","",IF(HLOOKUP(AR$4,'Physical Effects-Numbers'!$B$1:$AU$172,$B169,FALSE)&lt;0,HLOOKUP(AR$4,'Physical Effects-Numbers'!$B$1:$AU$172,$B169,FALSE),""))</f>
        <v/>
      </c>
      <c r="AS169" s="488" t="str">
        <f>IF(AS$4="","",IF(HLOOKUP(AS$4,'Physical Effects-Numbers'!$B$1:$AU$172,$B169,FALSE)&lt;0,HLOOKUP(AS$4,'Physical Effects-Numbers'!$B$1:$AU$172,$B169,FALSE),""))</f>
        <v/>
      </c>
      <c r="AT169" s="488" t="str">
        <f>IF(AT$4="","",IF(HLOOKUP(AT$4,'Physical Effects-Numbers'!$B$1:$AU$172,$B169,FALSE)&lt;0,HLOOKUP(AT$4,'Physical Effects-Numbers'!$B$1:$AU$172,$B169,FALSE),""))</f>
        <v/>
      </c>
      <c r="AU169" s="488" t="str">
        <f>IF(AU$4="","",IF(HLOOKUP(AU$4,'Physical Effects-Numbers'!$B$1:$AU$172,$B169,FALSE)&lt;0,HLOOKUP(AU$4,'Physical Effects-Numbers'!$B$1:$AU$172,$B169,FALSE),""))</f>
        <v/>
      </c>
      <c r="AV169" s="488" t="str">
        <f>IF(AV$4="","",IF(HLOOKUP(AV$4,'Physical Effects-Numbers'!$B$1:$AU$167,$B169,FALSE)&lt;0,HLOOKUP(AV$4,'Physical Effects-Numbers'!$B$1:$AU$167,$B169,FALSE),""))</f>
        <v/>
      </c>
    </row>
    <row r="170" spans="2:48" x14ac:dyDescent="0.2">
      <c r="B170" s="487">
        <f t="shared" si="2"/>
        <v>167</v>
      </c>
      <c r="C170" s="486" t="str">
        <f>+'Physical Effects-Numbers'!B167</f>
        <v>Wetland Wildlife Habitat Management</v>
      </c>
      <c r="D170" s="488" t="str">
        <f>IF(D$4="","",IF(HLOOKUP(D$4,'Physical Effects-Numbers'!$B$1:$AU$172,$B170,FALSE)&lt;0,HLOOKUP(D$4,'Physical Effects-Numbers'!$B$1:$AU$172,$B170,FALSE),""))</f>
        <v/>
      </c>
      <c r="E170" s="488" t="str">
        <f>IF(E$4="","",IF(HLOOKUP(E$4,'Physical Effects-Numbers'!$B$1:$AU$172,$B170,FALSE)&lt;0,HLOOKUP(E$4,'Physical Effects-Numbers'!$B$1:$AU$172,$B170,FALSE),""))</f>
        <v/>
      </c>
      <c r="F170" s="488" t="str">
        <f>IF(F$4="","",IF(HLOOKUP(F$4,'Physical Effects-Numbers'!$B$1:$AU$172,$B170,FALSE)&lt;0,HLOOKUP(F$4,'Physical Effects-Numbers'!$B$1:$AU$172,$B170,FALSE),""))</f>
        <v/>
      </c>
      <c r="G170" s="488" t="str">
        <f>IF(G$4="","",IF(HLOOKUP(G$4,'Physical Effects-Numbers'!$B$1:$AU$172,$B170,FALSE)&lt;0,HLOOKUP(G$4,'Physical Effects-Numbers'!$B$1:$AU$172,$B170,FALSE),""))</f>
        <v/>
      </c>
      <c r="H170" s="488" t="str">
        <f>IF(H$4="","",IF(HLOOKUP(H$4,'Physical Effects-Numbers'!$B$1:$AU$172,$B170,FALSE)&lt;0,HLOOKUP(H$4,'Physical Effects-Numbers'!$B$1:$AU$172,$B170,FALSE),""))</f>
        <v/>
      </c>
      <c r="I170" s="488" t="str">
        <f>IF(I$4="","",IF(HLOOKUP(I$4,'Physical Effects-Numbers'!$B$1:$AU$172,$B170,FALSE)&lt;0,HLOOKUP(I$4,'Physical Effects-Numbers'!$B$1:$AU$172,$B170,FALSE),""))</f>
        <v/>
      </c>
      <c r="J170" s="488" t="str">
        <f>IF(J$4="","",IF(HLOOKUP(J$4,'Physical Effects-Numbers'!$B$1:$AU$172,$B170,FALSE)&lt;0,HLOOKUP(J$4,'Physical Effects-Numbers'!$B$1:$AU$172,$B170,FALSE),""))</f>
        <v/>
      </c>
      <c r="K170" s="488" t="str">
        <f>IF(K$4="","",IF(HLOOKUP(K$4,'Physical Effects-Numbers'!$B$1:$AU$172,$B170,FALSE)&lt;0,HLOOKUP(K$4,'Physical Effects-Numbers'!$B$1:$AU$172,$B170,FALSE),""))</f>
        <v/>
      </c>
      <c r="L170" s="488" t="str">
        <f>IF(L$4="","",IF(HLOOKUP(L$4,'Physical Effects-Numbers'!$B$1:$AU$172,$B170,FALSE)&lt;0,HLOOKUP(L$4,'Physical Effects-Numbers'!$B$1:$AU$172,$B170,FALSE),""))</f>
        <v/>
      </c>
      <c r="M170" s="488" t="str">
        <f>IF(M$4="","",IF(HLOOKUP(M$4,'Physical Effects-Numbers'!$B$1:$AU$172,$B170,FALSE)&lt;0,HLOOKUP(M$4,'Physical Effects-Numbers'!$B$1:$AU$172,$B170,FALSE),""))</f>
        <v/>
      </c>
      <c r="N170" s="488" t="str">
        <f>IF(N$4="","",IF(HLOOKUP(N$4,'Physical Effects-Numbers'!$B$1:$AU$172,$B170,FALSE)&lt;0,HLOOKUP(N$4,'Physical Effects-Numbers'!$B$1:$AU$172,$B170,FALSE),""))</f>
        <v/>
      </c>
      <c r="O170" s="488" t="str">
        <f>IF(O$4="","",IF(HLOOKUP(O$4,'Physical Effects-Numbers'!$B$1:$AU$172,$B170,FALSE)&lt;0,HLOOKUP(O$4,'Physical Effects-Numbers'!$B$1:$AU$172,$B170,FALSE),""))</f>
        <v/>
      </c>
      <c r="P170" s="488" t="str">
        <f>IF(P$4="","",IF(HLOOKUP(P$4,'Physical Effects-Numbers'!$B$1:$AU$172,$B170,FALSE)&lt;0,HLOOKUP(P$4,'Physical Effects-Numbers'!$B$1:$AU$172,$B170,FALSE),""))</f>
        <v/>
      </c>
      <c r="Q170" s="488" t="str">
        <f>IF(Q$4="","",IF(HLOOKUP(Q$4,'Physical Effects-Numbers'!$B$1:$AU$172,$B170,FALSE)&lt;0,HLOOKUP(Q$4,'Physical Effects-Numbers'!$B$1:$AU$172,$B170,FALSE),""))</f>
        <v/>
      </c>
      <c r="R170" s="488" t="str">
        <f>IF(R$4="","",IF(HLOOKUP(R$4,'Physical Effects-Numbers'!$B$1:$AU$172,$B170,FALSE)&lt;0,HLOOKUP(R$4,'Physical Effects-Numbers'!$B$1:$AU$172,$B170,FALSE),""))</f>
        <v/>
      </c>
      <c r="S170" s="488" t="str">
        <f>IF(S$4="","",IF(HLOOKUP(S$4,'Physical Effects-Numbers'!$B$1:$AU$172,$B170,FALSE)&lt;0,HLOOKUP(S$4,'Physical Effects-Numbers'!$B$1:$AU$172,$B170,FALSE),""))</f>
        <v/>
      </c>
      <c r="T170" s="488" t="str">
        <f>IF(T$4="","",IF(HLOOKUP(T$4,'Physical Effects-Numbers'!$B$1:$AU$172,$B170,FALSE)&lt;0,HLOOKUP(T$4,'Physical Effects-Numbers'!$B$1:$AU$172,$B170,FALSE),""))</f>
        <v/>
      </c>
      <c r="U170" s="488" t="str">
        <f>IF(U$4="","",IF(HLOOKUP(U$4,'Physical Effects-Numbers'!$B$1:$AU$172,$B170,FALSE)&lt;0,HLOOKUP(U$4,'Physical Effects-Numbers'!$B$1:$AU$172,$B170,FALSE),""))</f>
        <v/>
      </c>
      <c r="V170" s="488" t="str">
        <f>IF(V$4="","",IF(HLOOKUP(V$4,'Physical Effects-Numbers'!$B$1:$AU$172,$B170,FALSE)&lt;0,HLOOKUP(V$4,'Physical Effects-Numbers'!$B$1:$AU$172,$B170,FALSE),""))</f>
        <v/>
      </c>
      <c r="W170" s="488" t="str">
        <f>IF(W$4="","",IF(HLOOKUP(W$4,'Physical Effects-Numbers'!$B$1:$AU$172,$B170,FALSE)&lt;0,HLOOKUP(W$4,'Physical Effects-Numbers'!$B$1:$AU$172,$B170,FALSE),""))</f>
        <v/>
      </c>
      <c r="X170" s="488" t="str">
        <f>IF(X$4="","",IF(HLOOKUP(X$4,'Physical Effects-Numbers'!$B$1:$AU$172,$B170,FALSE)&lt;0,HLOOKUP(X$4,'Physical Effects-Numbers'!$B$1:$AU$172,$B170,FALSE),""))</f>
        <v/>
      </c>
      <c r="Y170" s="488" t="str">
        <f>IF(Y$4="","",IF(HLOOKUP(Y$4,'Physical Effects-Numbers'!$B$1:$AU$172,$B170,FALSE)&lt;0,HLOOKUP(Y$4,'Physical Effects-Numbers'!$B$1:$AU$172,$B170,FALSE),""))</f>
        <v/>
      </c>
      <c r="Z170" s="488" t="str">
        <f>IF(Z$4="","",IF(HLOOKUP(Z$4,'Physical Effects-Numbers'!$B$1:$AU$172,$B170,FALSE)&lt;0,HLOOKUP(Z$4,'Physical Effects-Numbers'!$B$1:$AU$172,$B170,FALSE),""))</f>
        <v/>
      </c>
      <c r="AA170" s="488" t="str">
        <f>IF(AA$4="","",IF(HLOOKUP(AA$4,'Physical Effects-Numbers'!$B$1:$AU$172,$B170,FALSE)&lt;0,HLOOKUP(AA$4,'Physical Effects-Numbers'!$B$1:$AU$172,$B170,FALSE),""))</f>
        <v/>
      </c>
      <c r="AB170" s="488" t="str">
        <f>IF(AB$4="","",IF(HLOOKUP(AB$4,'Physical Effects-Numbers'!$B$1:$AU$172,$B170,FALSE)&lt;0,HLOOKUP(AB$4,'Physical Effects-Numbers'!$B$1:$AU$172,$B170,FALSE),""))</f>
        <v/>
      </c>
      <c r="AC170" s="488" t="str">
        <f>IF(AC$4="","",IF(HLOOKUP(AC$4,'Physical Effects-Numbers'!$B$1:$AU$172,$B170,FALSE)&lt;0,HLOOKUP(AC$4,'Physical Effects-Numbers'!$B$1:$AU$172,$B170,FALSE),""))</f>
        <v/>
      </c>
      <c r="AD170" s="488" t="str">
        <f>IF(AD$4="","",IF(HLOOKUP(AD$4,'Physical Effects-Numbers'!$B$1:$AU$172,$B170,FALSE)&lt;0,HLOOKUP(AD$4,'Physical Effects-Numbers'!$B$1:$AU$172,$B170,FALSE),""))</f>
        <v/>
      </c>
      <c r="AE170" s="488" t="str">
        <f>IF(AE$4="","",IF(HLOOKUP(AE$4,'Physical Effects-Numbers'!$B$1:$AU$172,$B170,FALSE)&lt;0,HLOOKUP(AE$4,'Physical Effects-Numbers'!$B$1:$AU$172,$B170,FALSE),""))</f>
        <v/>
      </c>
      <c r="AF170" s="488" t="str">
        <f>IF(AF$4="","",IF(HLOOKUP(AF$4,'Physical Effects-Numbers'!$B$1:$AU$172,$B170,FALSE)&lt;0,HLOOKUP(AF$4,'Physical Effects-Numbers'!$B$1:$AU$172,$B170,FALSE),""))</f>
        <v/>
      </c>
      <c r="AG170" s="488" t="str">
        <f>IF(AG$4="","",IF(HLOOKUP(AG$4,'Physical Effects-Numbers'!$B$1:$AU$172,$B170,FALSE)&lt;0,HLOOKUP(AG$4,'Physical Effects-Numbers'!$B$1:$AU$172,$B170,FALSE),""))</f>
        <v/>
      </c>
      <c r="AH170" s="488">
        <f>IF(AH$4="","",IF(HLOOKUP(AH$4,'Physical Effects-Numbers'!$B$1:$AU$172,$B170,FALSE)&lt;0,HLOOKUP(AH$4,'Physical Effects-Numbers'!$B$1:$AU$172,$B170,FALSE),""))</f>
        <v>-1</v>
      </c>
      <c r="AI170" s="488" t="str">
        <f>IF(AI$4="","",IF(HLOOKUP(AI$4,'Physical Effects-Numbers'!$B$1:$AU$172,$B170,FALSE)&lt;0,HLOOKUP(AI$4,'Physical Effects-Numbers'!$B$1:$AU$172,$B170,FALSE),""))</f>
        <v/>
      </c>
      <c r="AJ170" s="488" t="str">
        <f>IF(AJ$4="","",IF(HLOOKUP(AJ$4,'Physical Effects-Numbers'!$B$1:$AU$172,$B170,FALSE)&lt;0,HLOOKUP(AJ$4,'Physical Effects-Numbers'!$B$1:$AU$172,$B170,FALSE),""))</f>
        <v/>
      </c>
      <c r="AK170" s="488" t="str">
        <f>IF(AK$4="","",IF(HLOOKUP(AK$4,'Physical Effects-Numbers'!$B$1:$AU$172,$B170,FALSE)&lt;0,HLOOKUP(AK$4,'Physical Effects-Numbers'!$B$1:$AU$172,$B170,FALSE),""))</f>
        <v/>
      </c>
      <c r="AL170" s="488" t="str">
        <f>IF(AL$4="","",IF(HLOOKUP(AL$4,'Physical Effects-Numbers'!$B$1:$AU$172,$B170,FALSE)&lt;0,HLOOKUP(AL$4,'Physical Effects-Numbers'!$B$1:$AU$172,$B170,FALSE),""))</f>
        <v/>
      </c>
      <c r="AM170" s="488" t="str">
        <f>IF(AM$4="","",IF(HLOOKUP(AM$4,'Physical Effects-Numbers'!$B$1:$AU$172,$B170,FALSE)&lt;0,HLOOKUP(AM$4,'Physical Effects-Numbers'!$B$1:$AU$172,$B170,FALSE),""))</f>
        <v/>
      </c>
      <c r="AN170" s="488" t="str">
        <f>IF(AN$4="","",IF(HLOOKUP(AN$4,'Physical Effects-Numbers'!$B$1:$AU$172,$B170,FALSE)&lt;0,HLOOKUP(AN$4,'Physical Effects-Numbers'!$B$1:$AU$172,$B170,FALSE),""))</f>
        <v/>
      </c>
      <c r="AO170" s="488" t="str">
        <f>IF(AO$4="","",IF(HLOOKUP(AO$4,'Physical Effects-Numbers'!$B$1:$AU$172,$B170,FALSE)&lt;0,HLOOKUP(AO$4,'Physical Effects-Numbers'!$B$1:$AU$172,$B170,FALSE),""))</f>
        <v/>
      </c>
      <c r="AP170" s="488" t="str">
        <f>IF(AP$4="","",IF(HLOOKUP(AP$4,'Physical Effects-Numbers'!$B$1:$AU$172,$B170,FALSE)&lt;0,HLOOKUP(AP$4,'Physical Effects-Numbers'!$B$1:$AU$172,$B170,FALSE),""))</f>
        <v/>
      </c>
      <c r="AQ170" s="488" t="str">
        <f>IF(AQ$4="","",IF(HLOOKUP(AQ$4,'Physical Effects-Numbers'!$B$1:$AU$172,$B170,FALSE)&lt;0,HLOOKUP(AQ$4,'Physical Effects-Numbers'!$B$1:$AU$172,$B170,FALSE),""))</f>
        <v/>
      </c>
      <c r="AR170" s="488" t="str">
        <f>IF(AR$4="","",IF(HLOOKUP(AR$4,'Physical Effects-Numbers'!$B$1:$AU$172,$B170,FALSE)&lt;0,HLOOKUP(AR$4,'Physical Effects-Numbers'!$B$1:$AU$172,$B170,FALSE),""))</f>
        <v/>
      </c>
      <c r="AS170" s="488" t="str">
        <f>IF(AS$4="","",IF(HLOOKUP(AS$4,'Physical Effects-Numbers'!$B$1:$AU$172,$B170,FALSE)&lt;0,HLOOKUP(AS$4,'Physical Effects-Numbers'!$B$1:$AU$172,$B170,FALSE),""))</f>
        <v/>
      </c>
      <c r="AT170" s="488" t="str">
        <f>IF(AT$4="","",IF(HLOOKUP(AT$4,'Physical Effects-Numbers'!$B$1:$AU$172,$B170,FALSE)&lt;0,HLOOKUP(AT$4,'Physical Effects-Numbers'!$B$1:$AU$172,$B170,FALSE),""))</f>
        <v/>
      </c>
      <c r="AU170" s="488" t="str">
        <f>IF(AU$4="","",IF(HLOOKUP(AU$4,'Physical Effects-Numbers'!$B$1:$AU$172,$B170,FALSE)&lt;0,HLOOKUP(AU$4,'Physical Effects-Numbers'!$B$1:$AU$172,$B170,FALSE),""))</f>
        <v/>
      </c>
    </row>
    <row r="171" spans="2:48" x14ac:dyDescent="0.2">
      <c r="B171" s="487">
        <f t="shared" si="2"/>
        <v>168</v>
      </c>
      <c r="C171" s="486" t="str">
        <f>+'Physical Effects-Numbers'!B168</f>
        <v>Windbreak/Shelterbelt Establishment</v>
      </c>
      <c r="D171" s="488" t="str">
        <f>IF(D$4="","",IF(HLOOKUP(D$4,'Physical Effects-Numbers'!$B$1:$AU$172,$B171,FALSE)&lt;0,HLOOKUP(D$4,'Physical Effects-Numbers'!$B$1:$AU$172,$B171,FALSE),""))</f>
        <v/>
      </c>
      <c r="E171" s="488" t="str">
        <f>IF(E$4="","",IF(HLOOKUP(E$4,'Physical Effects-Numbers'!$B$1:$AU$172,$B171,FALSE)&lt;0,HLOOKUP(E$4,'Physical Effects-Numbers'!$B$1:$AU$172,$B171,FALSE),""))</f>
        <v/>
      </c>
      <c r="F171" s="488" t="str">
        <f>IF(F$4="","",IF(HLOOKUP(F$4,'Physical Effects-Numbers'!$B$1:$AU$172,$B171,FALSE)&lt;0,HLOOKUP(F$4,'Physical Effects-Numbers'!$B$1:$AU$172,$B171,FALSE),""))</f>
        <v/>
      </c>
      <c r="G171" s="488" t="str">
        <f>IF(G$4="","",IF(HLOOKUP(G$4,'Physical Effects-Numbers'!$B$1:$AU$172,$B171,FALSE)&lt;0,HLOOKUP(G$4,'Physical Effects-Numbers'!$B$1:$AU$172,$B171,FALSE),""))</f>
        <v/>
      </c>
      <c r="H171" s="488" t="str">
        <f>IF(H$4="","",IF(HLOOKUP(H$4,'Physical Effects-Numbers'!$B$1:$AU$172,$B171,FALSE)&lt;0,HLOOKUP(H$4,'Physical Effects-Numbers'!$B$1:$AU$172,$B171,FALSE),""))</f>
        <v/>
      </c>
      <c r="I171" s="488" t="str">
        <f>IF(I$4="","",IF(HLOOKUP(I$4,'Physical Effects-Numbers'!$B$1:$AU$172,$B171,FALSE)&lt;0,HLOOKUP(I$4,'Physical Effects-Numbers'!$B$1:$AU$172,$B171,FALSE),""))</f>
        <v/>
      </c>
      <c r="J171" s="488" t="str">
        <f>IF(J$4="","",IF(HLOOKUP(J$4,'Physical Effects-Numbers'!$B$1:$AU$172,$B171,FALSE)&lt;0,HLOOKUP(J$4,'Physical Effects-Numbers'!$B$1:$AU$172,$B171,FALSE),""))</f>
        <v/>
      </c>
      <c r="K171" s="488" t="str">
        <f>IF(K$4="","",IF(HLOOKUP(K$4,'Physical Effects-Numbers'!$B$1:$AU$172,$B171,FALSE)&lt;0,HLOOKUP(K$4,'Physical Effects-Numbers'!$B$1:$AU$172,$B171,FALSE),""))</f>
        <v/>
      </c>
      <c r="L171" s="488" t="str">
        <f>IF(L$4="","",IF(HLOOKUP(L$4,'Physical Effects-Numbers'!$B$1:$AU$172,$B171,FALSE)&lt;0,HLOOKUP(L$4,'Physical Effects-Numbers'!$B$1:$AU$172,$B171,FALSE),""))</f>
        <v/>
      </c>
      <c r="M171" s="488" t="str">
        <f>IF(M$4="","",IF(HLOOKUP(M$4,'Physical Effects-Numbers'!$B$1:$AU$172,$B171,FALSE)&lt;0,HLOOKUP(M$4,'Physical Effects-Numbers'!$B$1:$AU$172,$B171,FALSE),""))</f>
        <v/>
      </c>
      <c r="N171" s="488" t="str">
        <f>IF(N$4="","",IF(HLOOKUP(N$4,'Physical Effects-Numbers'!$B$1:$AU$172,$B171,FALSE)&lt;0,HLOOKUP(N$4,'Physical Effects-Numbers'!$B$1:$AU$172,$B171,FALSE),""))</f>
        <v/>
      </c>
      <c r="O171" s="488" t="str">
        <f>IF(O$4="","",IF(HLOOKUP(O$4,'Physical Effects-Numbers'!$B$1:$AU$172,$B171,FALSE)&lt;0,HLOOKUP(O$4,'Physical Effects-Numbers'!$B$1:$AU$172,$B171,FALSE),""))</f>
        <v/>
      </c>
      <c r="P171" s="488" t="str">
        <f>IF(P$4="","",IF(HLOOKUP(P$4,'Physical Effects-Numbers'!$B$1:$AU$172,$B171,FALSE)&lt;0,HLOOKUP(P$4,'Physical Effects-Numbers'!$B$1:$AU$172,$B171,FALSE),""))</f>
        <v/>
      </c>
      <c r="Q171" s="488" t="str">
        <f>IF(Q$4="","",IF(HLOOKUP(Q$4,'Physical Effects-Numbers'!$B$1:$AU$172,$B171,FALSE)&lt;0,HLOOKUP(Q$4,'Physical Effects-Numbers'!$B$1:$AU$172,$B171,FALSE),""))</f>
        <v/>
      </c>
      <c r="R171" s="488" t="str">
        <f>IF(R$4="","",IF(HLOOKUP(R$4,'Physical Effects-Numbers'!$B$1:$AU$172,$B171,FALSE)&lt;0,HLOOKUP(R$4,'Physical Effects-Numbers'!$B$1:$AU$172,$B171,FALSE),""))</f>
        <v/>
      </c>
      <c r="S171" s="488" t="str">
        <f>IF(S$4="","",IF(HLOOKUP(S$4,'Physical Effects-Numbers'!$B$1:$AU$172,$B171,FALSE)&lt;0,HLOOKUP(S$4,'Physical Effects-Numbers'!$B$1:$AU$172,$B171,FALSE),""))</f>
        <v/>
      </c>
      <c r="T171" s="488" t="str">
        <f>IF(T$4="","",IF(HLOOKUP(T$4,'Physical Effects-Numbers'!$B$1:$AU$172,$B171,FALSE)&lt;0,HLOOKUP(T$4,'Physical Effects-Numbers'!$B$1:$AU$172,$B171,FALSE),""))</f>
        <v/>
      </c>
      <c r="U171" s="488" t="str">
        <f>IF(U$4="","",IF(HLOOKUP(U$4,'Physical Effects-Numbers'!$B$1:$AU$172,$B171,FALSE)&lt;0,HLOOKUP(U$4,'Physical Effects-Numbers'!$B$1:$AU$172,$B171,FALSE),""))</f>
        <v/>
      </c>
      <c r="V171" s="488" t="str">
        <f>IF(V$4="","",IF(HLOOKUP(V$4,'Physical Effects-Numbers'!$B$1:$AU$172,$B171,FALSE)&lt;0,HLOOKUP(V$4,'Physical Effects-Numbers'!$B$1:$AU$172,$B171,FALSE),""))</f>
        <v/>
      </c>
      <c r="W171" s="488" t="str">
        <f>IF(W$4="","",IF(HLOOKUP(W$4,'Physical Effects-Numbers'!$B$1:$AU$172,$B171,FALSE)&lt;0,HLOOKUP(W$4,'Physical Effects-Numbers'!$B$1:$AU$172,$B171,FALSE),""))</f>
        <v/>
      </c>
      <c r="X171" s="488" t="str">
        <f>IF(X$4="","",IF(HLOOKUP(X$4,'Physical Effects-Numbers'!$B$1:$AU$172,$B171,FALSE)&lt;0,HLOOKUP(X$4,'Physical Effects-Numbers'!$B$1:$AU$172,$B171,FALSE),""))</f>
        <v/>
      </c>
      <c r="Y171" s="488" t="str">
        <f>IF(Y$4="","",IF(HLOOKUP(Y$4,'Physical Effects-Numbers'!$B$1:$AU$172,$B171,FALSE)&lt;0,HLOOKUP(Y$4,'Physical Effects-Numbers'!$B$1:$AU$172,$B171,FALSE),""))</f>
        <v/>
      </c>
      <c r="Z171" s="488" t="str">
        <f>IF(Z$4="","",IF(HLOOKUP(Z$4,'Physical Effects-Numbers'!$B$1:$AU$172,$B171,FALSE)&lt;0,HLOOKUP(Z$4,'Physical Effects-Numbers'!$B$1:$AU$172,$B171,FALSE),""))</f>
        <v/>
      </c>
      <c r="AA171" s="488" t="str">
        <f>IF(AA$4="","",IF(HLOOKUP(AA$4,'Physical Effects-Numbers'!$B$1:$AU$172,$B171,FALSE)&lt;0,HLOOKUP(AA$4,'Physical Effects-Numbers'!$B$1:$AU$172,$B171,FALSE),""))</f>
        <v/>
      </c>
      <c r="AB171" s="488" t="str">
        <f>IF(AB$4="","",IF(HLOOKUP(AB$4,'Physical Effects-Numbers'!$B$1:$AU$172,$B171,FALSE)&lt;0,HLOOKUP(AB$4,'Physical Effects-Numbers'!$B$1:$AU$172,$B171,FALSE),""))</f>
        <v/>
      </c>
      <c r="AC171" s="488" t="str">
        <f>IF(AC$4="","",IF(HLOOKUP(AC$4,'Physical Effects-Numbers'!$B$1:$AU$172,$B171,FALSE)&lt;0,HLOOKUP(AC$4,'Physical Effects-Numbers'!$B$1:$AU$172,$B171,FALSE),""))</f>
        <v/>
      </c>
      <c r="AD171" s="488" t="str">
        <f>IF(AD$4="","",IF(HLOOKUP(AD$4,'Physical Effects-Numbers'!$B$1:$AU$172,$B171,FALSE)&lt;0,HLOOKUP(AD$4,'Physical Effects-Numbers'!$B$1:$AU$172,$B171,FALSE),""))</f>
        <v/>
      </c>
      <c r="AE171" s="488" t="str">
        <f>IF(AE$4="","",IF(HLOOKUP(AE$4,'Physical Effects-Numbers'!$B$1:$AU$172,$B171,FALSE)&lt;0,HLOOKUP(AE$4,'Physical Effects-Numbers'!$B$1:$AU$172,$B171,FALSE),""))</f>
        <v/>
      </c>
      <c r="AF171" s="488" t="str">
        <f>IF(AF$4="","",IF(HLOOKUP(AF$4,'Physical Effects-Numbers'!$B$1:$AU$172,$B171,FALSE)&lt;0,HLOOKUP(AF$4,'Physical Effects-Numbers'!$B$1:$AU$172,$B171,FALSE),""))</f>
        <v/>
      </c>
      <c r="AG171" s="488" t="str">
        <f>IF(AG$4="","",IF(HLOOKUP(AG$4,'Physical Effects-Numbers'!$B$1:$AU$172,$B171,FALSE)&lt;0,HLOOKUP(AG$4,'Physical Effects-Numbers'!$B$1:$AU$172,$B171,FALSE),""))</f>
        <v/>
      </c>
      <c r="AH171" s="488" t="str">
        <f>IF(AH$4="","",IF(HLOOKUP(AH$4,'Physical Effects-Numbers'!$B$1:$AU$172,$B171,FALSE)&lt;0,HLOOKUP(AH$4,'Physical Effects-Numbers'!$B$1:$AU$172,$B171,FALSE),""))</f>
        <v/>
      </c>
      <c r="AI171" s="488" t="str">
        <f>IF(AI$4="","",IF(HLOOKUP(AI$4,'Physical Effects-Numbers'!$B$1:$AU$172,$B171,FALSE)&lt;0,HLOOKUP(AI$4,'Physical Effects-Numbers'!$B$1:$AU$172,$B171,FALSE),""))</f>
        <v/>
      </c>
      <c r="AJ171" s="488" t="str">
        <f>IF(AJ$4="","",IF(HLOOKUP(AJ$4,'Physical Effects-Numbers'!$B$1:$AU$172,$B171,FALSE)&lt;0,HLOOKUP(AJ$4,'Physical Effects-Numbers'!$B$1:$AU$172,$B171,FALSE),""))</f>
        <v/>
      </c>
      <c r="AK171" s="488" t="str">
        <f>IF(AK$4="","",IF(HLOOKUP(AK$4,'Physical Effects-Numbers'!$B$1:$AU$172,$B171,FALSE)&lt;0,HLOOKUP(AK$4,'Physical Effects-Numbers'!$B$1:$AU$172,$B171,FALSE),""))</f>
        <v/>
      </c>
      <c r="AL171" s="488" t="str">
        <f>IF(AL$4="","",IF(HLOOKUP(AL$4,'Physical Effects-Numbers'!$B$1:$AU$172,$B171,FALSE)&lt;0,HLOOKUP(AL$4,'Physical Effects-Numbers'!$B$1:$AU$172,$B171,FALSE),""))</f>
        <v/>
      </c>
      <c r="AM171" s="488" t="str">
        <f>IF(AM$4="","",IF(HLOOKUP(AM$4,'Physical Effects-Numbers'!$B$1:$AU$172,$B171,FALSE)&lt;0,HLOOKUP(AM$4,'Physical Effects-Numbers'!$B$1:$AU$172,$B171,FALSE),""))</f>
        <v/>
      </c>
      <c r="AN171" s="488" t="str">
        <f>IF(AN$4="","",IF(HLOOKUP(AN$4,'Physical Effects-Numbers'!$B$1:$AU$172,$B171,FALSE)&lt;0,HLOOKUP(AN$4,'Physical Effects-Numbers'!$B$1:$AU$172,$B171,FALSE),""))</f>
        <v/>
      </c>
      <c r="AO171" s="488" t="str">
        <f>IF(AO$4="","",IF(HLOOKUP(AO$4,'Physical Effects-Numbers'!$B$1:$AU$172,$B171,FALSE)&lt;0,HLOOKUP(AO$4,'Physical Effects-Numbers'!$B$1:$AU$172,$B171,FALSE),""))</f>
        <v/>
      </c>
      <c r="AP171" s="488" t="str">
        <f>IF(AP$4="","",IF(HLOOKUP(AP$4,'Physical Effects-Numbers'!$B$1:$AU$172,$B171,FALSE)&lt;0,HLOOKUP(AP$4,'Physical Effects-Numbers'!$B$1:$AU$172,$B171,FALSE),""))</f>
        <v/>
      </c>
      <c r="AQ171" s="488" t="str">
        <f>IF(AQ$4="","",IF(HLOOKUP(AQ$4,'Physical Effects-Numbers'!$B$1:$AU$172,$B171,FALSE)&lt;0,HLOOKUP(AQ$4,'Physical Effects-Numbers'!$B$1:$AU$172,$B171,FALSE),""))</f>
        <v/>
      </c>
      <c r="AR171" s="488" t="str">
        <f>IF(AR$4="","",IF(HLOOKUP(AR$4,'Physical Effects-Numbers'!$B$1:$AU$172,$B171,FALSE)&lt;0,HLOOKUP(AR$4,'Physical Effects-Numbers'!$B$1:$AU$172,$B171,FALSE),""))</f>
        <v/>
      </c>
      <c r="AS171" s="488" t="str">
        <f>IF(AS$4="","",IF(HLOOKUP(AS$4,'Physical Effects-Numbers'!$B$1:$AU$172,$B171,FALSE)&lt;0,HLOOKUP(AS$4,'Physical Effects-Numbers'!$B$1:$AU$172,$B171,FALSE),""))</f>
        <v/>
      </c>
      <c r="AT171" s="488" t="str">
        <f>IF(AT$4="","",IF(HLOOKUP(AT$4,'Physical Effects-Numbers'!$B$1:$AU$172,$B171,FALSE)&lt;0,HLOOKUP(AT$4,'Physical Effects-Numbers'!$B$1:$AU$172,$B171,FALSE),""))</f>
        <v/>
      </c>
      <c r="AU171" s="488" t="str">
        <f>IF(AU$4="","",IF(HLOOKUP(AU$4,'Physical Effects-Numbers'!$B$1:$AU$172,$B171,FALSE)&lt;0,HLOOKUP(AU$4,'Physical Effects-Numbers'!$B$1:$AU$172,$B171,FALSE),""))</f>
        <v/>
      </c>
    </row>
    <row r="172" spans="2:48" x14ac:dyDescent="0.2">
      <c r="B172" s="487">
        <f t="shared" si="2"/>
        <v>169</v>
      </c>
      <c r="C172" s="486" t="str">
        <f>+'Physical Effects-Numbers'!B169</f>
        <v>Windbreak/Shelterbelt Renovation</v>
      </c>
      <c r="D172" s="488" t="str">
        <f>IF(D$4="","",IF(HLOOKUP(D$4,'Physical Effects-Numbers'!$B$1:$AU$172,$B172,FALSE)&lt;0,HLOOKUP(D$4,'Physical Effects-Numbers'!$B$1:$AU$172,$B172,FALSE),""))</f>
        <v/>
      </c>
      <c r="E172" s="488" t="str">
        <f>IF(E$4="","",IF(HLOOKUP(E$4,'Physical Effects-Numbers'!$B$1:$AU$172,$B172,FALSE)&lt;0,HLOOKUP(E$4,'Physical Effects-Numbers'!$B$1:$AU$172,$B172,FALSE),""))</f>
        <v/>
      </c>
      <c r="F172" s="488" t="str">
        <f>IF(F$4="","",IF(HLOOKUP(F$4,'Physical Effects-Numbers'!$B$1:$AU$172,$B172,FALSE)&lt;0,HLOOKUP(F$4,'Physical Effects-Numbers'!$B$1:$AU$172,$B172,FALSE),""))</f>
        <v/>
      </c>
      <c r="G172" s="488" t="str">
        <f>IF(G$4="","",IF(HLOOKUP(G$4,'Physical Effects-Numbers'!$B$1:$AU$172,$B172,FALSE)&lt;0,HLOOKUP(G$4,'Physical Effects-Numbers'!$B$1:$AU$172,$B172,FALSE),""))</f>
        <v/>
      </c>
      <c r="H172" s="488" t="str">
        <f>IF(H$4="","",IF(HLOOKUP(H$4,'Physical Effects-Numbers'!$B$1:$AU$172,$B172,FALSE)&lt;0,HLOOKUP(H$4,'Physical Effects-Numbers'!$B$1:$AU$172,$B172,FALSE),""))</f>
        <v/>
      </c>
      <c r="I172" s="488" t="str">
        <f>IF(I$4="","",IF(HLOOKUP(I$4,'Physical Effects-Numbers'!$B$1:$AU$172,$B172,FALSE)&lt;0,HLOOKUP(I$4,'Physical Effects-Numbers'!$B$1:$AU$172,$B172,FALSE),""))</f>
        <v/>
      </c>
      <c r="J172" s="488" t="str">
        <f>IF(J$4="","",IF(HLOOKUP(J$4,'Physical Effects-Numbers'!$B$1:$AU$172,$B172,FALSE)&lt;0,HLOOKUP(J$4,'Physical Effects-Numbers'!$B$1:$AU$172,$B172,FALSE),""))</f>
        <v/>
      </c>
      <c r="K172" s="488" t="str">
        <f>IF(K$4="","",IF(HLOOKUP(K$4,'Physical Effects-Numbers'!$B$1:$AU$172,$B172,FALSE)&lt;0,HLOOKUP(K$4,'Physical Effects-Numbers'!$B$1:$AU$172,$B172,FALSE),""))</f>
        <v/>
      </c>
      <c r="L172" s="488" t="str">
        <f>IF(L$4="","",IF(HLOOKUP(L$4,'Physical Effects-Numbers'!$B$1:$AU$172,$B172,FALSE)&lt;0,HLOOKUP(L$4,'Physical Effects-Numbers'!$B$1:$AU$172,$B172,FALSE),""))</f>
        <v/>
      </c>
      <c r="M172" s="488" t="str">
        <f>IF(M$4="","",IF(HLOOKUP(M$4,'Physical Effects-Numbers'!$B$1:$AU$172,$B172,FALSE)&lt;0,HLOOKUP(M$4,'Physical Effects-Numbers'!$B$1:$AU$172,$B172,FALSE),""))</f>
        <v/>
      </c>
      <c r="N172" s="488" t="str">
        <f>IF(N$4="","",IF(HLOOKUP(N$4,'Physical Effects-Numbers'!$B$1:$AU$172,$B172,FALSE)&lt;0,HLOOKUP(N$4,'Physical Effects-Numbers'!$B$1:$AU$172,$B172,FALSE),""))</f>
        <v/>
      </c>
      <c r="O172" s="488" t="str">
        <f>IF(O$4="","",IF(HLOOKUP(O$4,'Physical Effects-Numbers'!$B$1:$AU$172,$B172,FALSE)&lt;0,HLOOKUP(O$4,'Physical Effects-Numbers'!$B$1:$AU$172,$B172,FALSE),""))</f>
        <v/>
      </c>
      <c r="P172" s="488" t="str">
        <f>IF(P$4="","",IF(HLOOKUP(P$4,'Physical Effects-Numbers'!$B$1:$AU$172,$B172,FALSE)&lt;0,HLOOKUP(P$4,'Physical Effects-Numbers'!$B$1:$AU$172,$B172,FALSE),""))</f>
        <v/>
      </c>
      <c r="Q172" s="488" t="str">
        <f>IF(Q$4="","",IF(HLOOKUP(Q$4,'Physical Effects-Numbers'!$B$1:$AU$172,$B172,FALSE)&lt;0,HLOOKUP(Q$4,'Physical Effects-Numbers'!$B$1:$AU$172,$B172,FALSE),""))</f>
        <v/>
      </c>
      <c r="R172" s="488" t="str">
        <f>IF(R$4="","",IF(HLOOKUP(R$4,'Physical Effects-Numbers'!$B$1:$AU$172,$B172,FALSE)&lt;0,HLOOKUP(R$4,'Physical Effects-Numbers'!$B$1:$AU$172,$B172,FALSE),""))</f>
        <v/>
      </c>
      <c r="S172" s="488" t="str">
        <f>IF(S$4="","",IF(HLOOKUP(S$4,'Physical Effects-Numbers'!$B$1:$AU$172,$B172,FALSE)&lt;0,HLOOKUP(S$4,'Physical Effects-Numbers'!$B$1:$AU$172,$B172,FALSE),""))</f>
        <v/>
      </c>
      <c r="T172" s="488" t="str">
        <f>IF(T$4="","",IF(HLOOKUP(T$4,'Physical Effects-Numbers'!$B$1:$AU$172,$B172,FALSE)&lt;0,HLOOKUP(T$4,'Physical Effects-Numbers'!$B$1:$AU$172,$B172,FALSE),""))</f>
        <v/>
      </c>
      <c r="U172" s="488" t="str">
        <f>IF(U$4="","",IF(HLOOKUP(U$4,'Physical Effects-Numbers'!$B$1:$AU$172,$B172,FALSE)&lt;0,HLOOKUP(U$4,'Physical Effects-Numbers'!$B$1:$AU$172,$B172,FALSE),""))</f>
        <v/>
      </c>
      <c r="V172" s="488" t="str">
        <f>IF(V$4="","",IF(HLOOKUP(V$4,'Physical Effects-Numbers'!$B$1:$AU$172,$B172,FALSE)&lt;0,HLOOKUP(V$4,'Physical Effects-Numbers'!$B$1:$AU$172,$B172,FALSE),""))</f>
        <v/>
      </c>
      <c r="W172" s="488" t="str">
        <f>IF(W$4="","",IF(HLOOKUP(W$4,'Physical Effects-Numbers'!$B$1:$AU$172,$B172,FALSE)&lt;0,HLOOKUP(W$4,'Physical Effects-Numbers'!$B$1:$AU$172,$B172,FALSE),""))</f>
        <v/>
      </c>
      <c r="X172" s="488" t="str">
        <f>IF(X$4="","",IF(HLOOKUP(X$4,'Physical Effects-Numbers'!$B$1:$AU$172,$B172,FALSE)&lt;0,HLOOKUP(X$4,'Physical Effects-Numbers'!$B$1:$AU$172,$B172,FALSE),""))</f>
        <v/>
      </c>
      <c r="Y172" s="488" t="str">
        <f>IF(Y$4="","",IF(HLOOKUP(Y$4,'Physical Effects-Numbers'!$B$1:$AU$172,$B172,FALSE)&lt;0,HLOOKUP(Y$4,'Physical Effects-Numbers'!$B$1:$AU$172,$B172,FALSE),""))</f>
        <v/>
      </c>
      <c r="Z172" s="488" t="str">
        <f>IF(Z$4="","",IF(HLOOKUP(Z$4,'Physical Effects-Numbers'!$B$1:$AU$172,$B172,FALSE)&lt;0,HLOOKUP(Z$4,'Physical Effects-Numbers'!$B$1:$AU$172,$B172,FALSE),""))</f>
        <v/>
      </c>
      <c r="AA172" s="488" t="str">
        <f>IF(AA$4="","",IF(HLOOKUP(AA$4,'Physical Effects-Numbers'!$B$1:$AU$172,$B172,FALSE)&lt;0,HLOOKUP(AA$4,'Physical Effects-Numbers'!$B$1:$AU$172,$B172,FALSE),""))</f>
        <v/>
      </c>
      <c r="AB172" s="488" t="str">
        <f>IF(AB$4="","",IF(HLOOKUP(AB$4,'Physical Effects-Numbers'!$B$1:$AU$172,$B172,FALSE)&lt;0,HLOOKUP(AB$4,'Physical Effects-Numbers'!$B$1:$AU$172,$B172,FALSE),""))</f>
        <v/>
      </c>
      <c r="AC172" s="488" t="str">
        <f>IF(AC$4="","",IF(HLOOKUP(AC$4,'Physical Effects-Numbers'!$B$1:$AU$172,$B172,FALSE)&lt;0,HLOOKUP(AC$4,'Physical Effects-Numbers'!$B$1:$AU$172,$B172,FALSE),""))</f>
        <v/>
      </c>
      <c r="AD172" s="488" t="str">
        <f>IF(AD$4="","",IF(HLOOKUP(AD$4,'Physical Effects-Numbers'!$B$1:$AU$172,$B172,FALSE)&lt;0,HLOOKUP(AD$4,'Physical Effects-Numbers'!$B$1:$AU$172,$B172,FALSE),""))</f>
        <v/>
      </c>
      <c r="AE172" s="488" t="str">
        <f>IF(AE$4="","",IF(HLOOKUP(AE$4,'Physical Effects-Numbers'!$B$1:$AU$172,$B172,FALSE)&lt;0,HLOOKUP(AE$4,'Physical Effects-Numbers'!$B$1:$AU$172,$B172,FALSE),""))</f>
        <v/>
      </c>
      <c r="AF172" s="488" t="str">
        <f>IF(AF$4="","",IF(HLOOKUP(AF$4,'Physical Effects-Numbers'!$B$1:$AU$172,$B172,FALSE)&lt;0,HLOOKUP(AF$4,'Physical Effects-Numbers'!$B$1:$AU$172,$B172,FALSE),""))</f>
        <v/>
      </c>
      <c r="AG172" s="488" t="str">
        <f>IF(AG$4="","",IF(HLOOKUP(AG$4,'Physical Effects-Numbers'!$B$1:$AU$172,$B172,FALSE)&lt;0,HLOOKUP(AG$4,'Physical Effects-Numbers'!$B$1:$AU$172,$B172,FALSE),""))</f>
        <v/>
      </c>
      <c r="AH172" s="488" t="str">
        <f>IF(AH$4="","",IF(HLOOKUP(AH$4,'Physical Effects-Numbers'!$B$1:$AU$172,$B172,FALSE)&lt;0,HLOOKUP(AH$4,'Physical Effects-Numbers'!$B$1:$AU$172,$B172,FALSE),""))</f>
        <v/>
      </c>
      <c r="AI172" s="488" t="str">
        <f>IF(AI$4="","",IF(HLOOKUP(AI$4,'Physical Effects-Numbers'!$B$1:$AU$172,$B172,FALSE)&lt;0,HLOOKUP(AI$4,'Physical Effects-Numbers'!$B$1:$AU$172,$B172,FALSE),""))</f>
        <v/>
      </c>
      <c r="AJ172" s="488" t="str">
        <f>IF(AJ$4="","",IF(HLOOKUP(AJ$4,'Physical Effects-Numbers'!$B$1:$AU$172,$B172,FALSE)&lt;0,HLOOKUP(AJ$4,'Physical Effects-Numbers'!$B$1:$AU$172,$B172,FALSE),""))</f>
        <v/>
      </c>
      <c r="AK172" s="488" t="str">
        <f>IF(AK$4="","",IF(HLOOKUP(AK$4,'Physical Effects-Numbers'!$B$1:$AU$172,$B172,FALSE)&lt;0,HLOOKUP(AK$4,'Physical Effects-Numbers'!$B$1:$AU$172,$B172,FALSE),""))</f>
        <v/>
      </c>
      <c r="AL172" s="488" t="str">
        <f>IF(AL$4="","",IF(HLOOKUP(AL$4,'Physical Effects-Numbers'!$B$1:$AU$172,$B172,FALSE)&lt;0,HLOOKUP(AL$4,'Physical Effects-Numbers'!$B$1:$AU$172,$B172,FALSE),""))</f>
        <v/>
      </c>
      <c r="AM172" s="488" t="str">
        <f>IF(AM$4="","",IF(HLOOKUP(AM$4,'Physical Effects-Numbers'!$B$1:$AU$172,$B172,FALSE)&lt;0,HLOOKUP(AM$4,'Physical Effects-Numbers'!$B$1:$AU$172,$B172,FALSE),""))</f>
        <v/>
      </c>
      <c r="AN172" s="488" t="str">
        <f>IF(AN$4="","",IF(HLOOKUP(AN$4,'Physical Effects-Numbers'!$B$1:$AU$172,$B172,FALSE)&lt;0,HLOOKUP(AN$4,'Physical Effects-Numbers'!$B$1:$AU$172,$B172,FALSE),""))</f>
        <v/>
      </c>
      <c r="AO172" s="488" t="str">
        <f>IF(AO$4="","",IF(HLOOKUP(AO$4,'Physical Effects-Numbers'!$B$1:$AU$172,$B172,FALSE)&lt;0,HLOOKUP(AO$4,'Physical Effects-Numbers'!$B$1:$AU$172,$B172,FALSE),""))</f>
        <v/>
      </c>
      <c r="AP172" s="488" t="str">
        <f>IF(AP$4="","",IF(HLOOKUP(AP$4,'Physical Effects-Numbers'!$B$1:$AU$172,$B172,FALSE)&lt;0,HLOOKUP(AP$4,'Physical Effects-Numbers'!$B$1:$AU$172,$B172,FALSE),""))</f>
        <v/>
      </c>
      <c r="AQ172" s="488" t="str">
        <f>IF(AQ$4="","",IF(HLOOKUP(AQ$4,'Physical Effects-Numbers'!$B$1:$AU$172,$B172,FALSE)&lt;0,HLOOKUP(AQ$4,'Physical Effects-Numbers'!$B$1:$AU$172,$B172,FALSE),""))</f>
        <v/>
      </c>
      <c r="AR172" s="488" t="str">
        <f>IF(AR$4="","",IF(HLOOKUP(AR$4,'Physical Effects-Numbers'!$B$1:$AU$172,$B172,FALSE)&lt;0,HLOOKUP(AR$4,'Physical Effects-Numbers'!$B$1:$AU$172,$B172,FALSE),""))</f>
        <v/>
      </c>
      <c r="AS172" s="488" t="str">
        <f>IF(AS$4="","",IF(HLOOKUP(AS$4,'Physical Effects-Numbers'!$B$1:$AU$172,$B172,FALSE)&lt;0,HLOOKUP(AS$4,'Physical Effects-Numbers'!$B$1:$AU$172,$B172,FALSE),""))</f>
        <v/>
      </c>
      <c r="AT172" s="488" t="str">
        <f>IF(AT$4="","",IF(HLOOKUP(AT$4,'Physical Effects-Numbers'!$B$1:$AU$172,$B172,FALSE)&lt;0,HLOOKUP(AT$4,'Physical Effects-Numbers'!$B$1:$AU$172,$B172,FALSE),""))</f>
        <v/>
      </c>
      <c r="AU172" s="488" t="str">
        <f>IF(AU$4="","",IF(HLOOKUP(AU$4,'Physical Effects-Numbers'!$B$1:$AU$172,$B172,FALSE)&lt;0,HLOOKUP(AU$4,'Physical Effects-Numbers'!$B$1:$AU$172,$B172,FALSE),""))</f>
        <v/>
      </c>
    </row>
    <row r="173" spans="2:48" x14ac:dyDescent="0.2">
      <c r="B173" s="487">
        <f t="shared" si="2"/>
        <v>170</v>
      </c>
      <c r="C173" s="486" t="str">
        <f>+'Physical Effects-Numbers'!B170</f>
        <v>Woody Residue Treatment</v>
      </c>
      <c r="D173" s="488" t="str">
        <f>IF(D$4="","",IF(HLOOKUP(D$4,'Physical Effects-Numbers'!$B$1:$AU$172,$B173,FALSE)&lt;0,HLOOKUP(D$4,'Physical Effects-Numbers'!$B$1:$AU$172,$B173,FALSE),""))</f>
        <v/>
      </c>
      <c r="E173" s="488" t="str">
        <f>IF(E$4="","",IF(HLOOKUP(E$4,'Physical Effects-Numbers'!$B$1:$AU$172,$B173,FALSE)&lt;0,HLOOKUP(E$4,'Physical Effects-Numbers'!$B$1:$AU$172,$B173,FALSE),""))</f>
        <v/>
      </c>
      <c r="F173" s="488" t="str">
        <f>IF(F$4="","",IF(HLOOKUP(F$4,'Physical Effects-Numbers'!$B$1:$AU$172,$B173,FALSE)&lt;0,HLOOKUP(F$4,'Physical Effects-Numbers'!$B$1:$AU$172,$B173,FALSE),""))</f>
        <v/>
      </c>
      <c r="G173" s="488" t="str">
        <f>IF(G$4="","",IF(HLOOKUP(G$4,'Physical Effects-Numbers'!$B$1:$AU$172,$B173,FALSE)&lt;0,HLOOKUP(G$4,'Physical Effects-Numbers'!$B$1:$AU$172,$B173,FALSE),""))</f>
        <v/>
      </c>
      <c r="H173" s="488" t="str">
        <f>IF(H$4="","",IF(HLOOKUP(H$4,'Physical Effects-Numbers'!$B$1:$AU$172,$B173,FALSE)&lt;0,HLOOKUP(H$4,'Physical Effects-Numbers'!$B$1:$AU$172,$B173,FALSE),""))</f>
        <v/>
      </c>
      <c r="I173" s="488">
        <f>IF(I$4="","",IF(HLOOKUP(I$4,'Physical Effects-Numbers'!$B$1:$AU$172,$B173,FALSE)&lt;0,HLOOKUP(I$4,'Physical Effects-Numbers'!$B$1:$AU$172,$B173,FALSE),""))</f>
        <v>-1</v>
      </c>
      <c r="J173" s="488">
        <f>IF(J$4="","",IF(HLOOKUP(J$4,'Physical Effects-Numbers'!$B$1:$AU$172,$B173,FALSE)&lt;0,HLOOKUP(J$4,'Physical Effects-Numbers'!$B$1:$AU$172,$B173,FALSE),""))</f>
        <v>-2</v>
      </c>
      <c r="K173" s="488" t="str">
        <f>IF(K$4="","",IF(HLOOKUP(K$4,'Physical Effects-Numbers'!$B$1:$AU$172,$B173,FALSE)&lt;0,HLOOKUP(K$4,'Physical Effects-Numbers'!$B$1:$AU$172,$B173,FALSE),""))</f>
        <v/>
      </c>
      <c r="L173" s="488" t="str">
        <f>IF(L$4="","",IF(HLOOKUP(L$4,'Physical Effects-Numbers'!$B$1:$AU$172,$B173,FALSE)&lt;0,HLOOKUP(L$4,'Physical Effects-Numbers'!$B$1:$AU$172,$B173,FALSE),""))</f>
        <v/>
      </c>
      <c r="M173" s="488" t="str">
        <f>IF(M$4="","",IF(HLOOKUP(M$4,'Physical Effects-Numbers'!$B$1:$AU$172,$B173,FALSE)&lt;0,HLOOKUP(M$4,'Physical Effects-Numbers'!$B$1:$AU$172,$B173,FALSE),""))</f>
        <v/>
      </c>
      <c r="N173" s="488" t="str">
        <f>IF(N$4="","",IF(HLOOKUP(N$4,'Physical Effects-Numbers'!$B$1:$AU$172,$B173,FALSE)&lt;0,HLOOKUP(N$4,'Physical Effects-Numbers'!$B$1:$AU$172,$B173,FALSE),""))</f>
        <v/>
      </c>
      <c r="O173" s="488" t="str">
        <f>IF(O$4="","",IF(HLOOKUP(O$4,'Physical Effects-Numbers'!$B$1:$AU$172,$B173,FALSE)&lt;0,HLOOKUP(O$4,'Physical Effects-Numbers'!$B$1:$AU$172,$B173,FALSE),""))</f>
        <v/>
      </c>
      <c r="P173" s="488" t="str">
        <f>IF(P$4="","",IF(HLOOKUP(P$4,'Physical Effects-Numbers'!$B$1:$AU$172,$B173,FALSE)&lt;0,HLOOKUP(P$4,'Physical Effects-Numbers'!$B$1:$AU$172,$B173,FALSE),""))</f>
        <v/>
      </c>
      <c r="Q173" s="488" t="str">
        <f>IF(Q$4="","",IF(HLOOKUP(Q$4,'Physical Effects-Numbers'!$B$1:$AU$172,$B173,FALSE)&lt;0,HLOOKUP(Q$4,'Physical Effects-Numbers'!$B$1:$AU$172,$B173,FALSE),""))</f>
        <v/>
      </c>
      <c r="R173" s="488" t="str">
        <f>IF(R$4="","",IF(HLOOKUP(R$4,'Physical Effects-Numbers'!$B$1:$AU$172,$B173,FALSE)&lt;0,HLOOKUP(R$4,'Physical Effects-Numbers'!$B$1:$AU$172,$B173,FALSE),""))</f>
        <v/>
      </c>
      <c r="S173" s="488" t="str">
        <f>IF(S$4="","",IF(HLOOKUP(S$4,'Physical Effects-Numbers'!$B$1:$AU$172,$B173,FALSE)&lt;0,HLOOKUP(S$4,'Physical Effects-Numbers'!$B$1:$AU$172,$B173,FALSE),""))</f>
        <v/>
      </c>
      <c r="T173" s="488" t="str">
        <f>IF(T$4="","",IF(HLOOKUP(T$4,'Physical Effects-Numbers'!$B$1:$AU$172,$B173,FALSE)&lt;0,HLOOKUP(T$4,'Physical Effects-Numbers'!$B$1:$AU$172,$B173,FALSE),""))</f>
        <v/>
      </c>
      <c r="U173" s="488" t="str">
        <f>IF(U$4="","",IF(HLOOKUP(U$4,'Physical Effects-Numbers'!$B$1:$AU$172,$B173,FALSE)&lt;0,HLOOKUP(U$4,'Physical Effects-Numbers'!$B$1:$AU$172,$B173,FALSE),""))</f>
        <v/>
      </c>
      <c r="V173" s="488" t="str">
        <f>IF(V$4="","",IF(HLOOKUP(V$4,'Physical Effects-Numbers'!$B$1:$AU$172,$B173,FALSE)&lt;0,HLOOKUP(V$4,'Physical Effects-Numbers'!$B$1:$AU$172,$B173,FALSE),""))</f>
        <v/>
      </c>
      <c r="W173" s="488" t="str">
        <f>IF(W$4="","",IF(HLOOKUP(W$4,'Physical Effects-Numbers'!$B$1:$AU$172,$B173,FALSE)&lt;0,HLOOKUP(W$4,'Physical Effects-Numbers'!$B$1:$AU$172,$B173,FALSE),""))</f>
        <v/>
      </c>
      <c r="X173" s="488" t="str">
        <f>IF(X$4="","",IF(HLOOKUP(X$4,'Physical Effects-Numbers'!$B$1:$AU$172,$B173,FALSE)&lt;0,HLOOKUP(X$4,'Physical Effects-Numbers'!$B$1:$AU$172,$B173,FALSE),""))</f>
        <v/>
      </c>
      <c r="Y173" s="488" t="str">
        <f>IF(Y$4="","",IF(HLOOKUP(Y$4,'Physical Effects-Numbers'!$B$1:$AU$172,$B173,FALSE)&lt;0,HLOOKUP(Y$4,'Physical Effects-Numbers'!$B$1:$AU$172,$B173,FALSE),""))</f>
        <v/>
      </c>
      <c r="Z173" s="488" t="str">
        <f>IF(Z$4="","",IF(HLOOKUP(Z$4,'Physical Effects-Numbers'!$B$1:$AU$172,$B173,FALSE)&lt;0,HLOOKUP(Z$4,'Physical Effects-Numbers'!$B$1:$AU$172,$B173,FALSE),""))</f>
        <v/>
      </c>
      <c r="AA173" s="488" t="str">
        <f>IF(AA$4="","",IF(HLOOKUP(AA$4,'Physical Effects-Numbers'!$B$1:$AU$172,$B173,FALSE)&lt;0,HLOOKUP(AA$4,'Physical Effects-Numbers'!$B$1:$AU$172,$B173,FALSE),""))</f>
        <v/>
      </c>
      <c r="AB173" s="488" t="str">
        <f>IF(AB$4="","",IF(HLOOKUP(AB$4,'Physical Effects-Numbers'!$B$1:$AU$172,$B173,FALSE)&lt;0,HLOOKUP(AB$4,'Physical Effects-Numbers'!$B$1:$AU$172,$B173,FALSE),""))</f>
        <v/>
      </c>
      <c r="AC173" s="488" t="str">
        <f>IF(AC$4="","",IF(HLOOKUP(AC$4,'Physical Effects-Numbers'!$B$1:$AU$172,$B173,FALSE)&lt;0,HLOOKUP(AC$4,'Physical Effects-Numbers'!$B$1:$AU$172,$B173,FALSE),""))</f>
        <v/>
      </c>
      <c r="AD173" s="488" t="str">
        <f>IF(AD$4="","",IF(HLOOKUP(AD$4,'Physical Effects-Numbers'!$B$1:$AU$172,$B173,FALSE)&lt;0,HLOOKUP(AD$4,'Physical Effects-Numbers'!$B$1:$AU$172,$B173,FALSE),""))</f>
        <v/>
      </c>
      <c r="AE173" s="488" t="str">
        <f>IF(AE$4="","",IF(HLOOKUP(AE$4,'Physical Effects-Numbers'!$B$1:$AU$172,$B173,FALSE)&lt;0,HLOOKUP(AE$4,'Physical Effects-Numbers'!$B$1:$AU$172,$B173,FALSE),""))</f>
        <v/>
      </c>
      <c r="AF173" s="488" t="str">
        <f>IF(AF$4="","",IF(HLOOKUP(AF$4,'Physical Effects-Numbers'!$B$1:$AU$172,$B173,FALSE)&lt;0,HLOOKUP(AF$4,'Physical Effects-Numbers'!$B$1:$AU$172,$B173,FALSE),""))</f>
        <v/>
      </c>
      <c r="AG173" s="488" t="str">
        <f>IF(AG$4="","",IF(HLOOKUP(AG$4,'Physical Effects-Numbers'!$B$1:$AU$172,$B173,FALSE)&lt;0,HLOOKUP(AG$4,'Physical Effects-Numbers'!$B$1:$AU$172,$B173,FALSE),""))</f>
        <v/>
      </c>
      <c r="AH173" s="488" t="str">
        <f>IF(AH$4="","",IF(HLOOKUP(AH$4,'Physical Effects-Numbers'!$B$1:$AU$172,$B173,FALSE)&lt;0,HLOOKUP(AH$4,'Physical Effects-Numbers'!$B$1:$AU$172,$B173,FALSE),""))</f>
        <v/>
      </c>
      <c r="AI173" s="488" t="str">
        <f>IF(AI$4="","",IF(HLOOKUP(AI$4,'Physical Effects-Numbers'!$B$1:$AU$172,$B173,FALSE)&lt;0,HLOOKUP(AI$4,'Physical Effects-Numbers'!$B$1:$AU$172,$B173,FALSE),""))</f>
        <v/>
      </c>
      <c r="AJ173" s="488" t="str">
        <f>IF(AJ$4="","",IF(HLOOKUP(AJ$4,'Physical Effects-Numbers'!$B$1:$AU$172,$B173,FALSE)&lt;0,HLOOKUP(AJ$4,'Physical Effects-Numbers'!$B$1:$AU$172,$B173,FALSE),""))</f>
        <v/>
      </c>
      <c r="AK173" s="488" t="str">
        <f>IF(AK$4="","",IF(HLOOKUP(AK$4,'Physical Effects-Numbers'!$B$1:$AU$172,$B173,FALSE)&lt;0,HLOOKUP(AK$4,'Physical Effects-Numbers'!$B$1:$AU$172,$B173,FALSE),""))</f>
        <v/>
      </c>
      <c r="AL173" s="488" t="str">
        <f>IF(AL$4="","",IF(HLOOKUP(AL$4,'Physical Effects-Numbers'!$B$1:$AU$172,$B173,FALSE)&lt;0,HLOOKUP(AL$4,'Physical Effects-Numbers'!$B$1:$AU$172,$B173,FALSE),""))</f>
        <v/>
      </c>
      <c r="AM173" s="488" t="str">
        <f>IF(AM$4="","",IF(HLOOKUP(AM$4,'Physical Effects-Numbers'!$B$1:$AU$172,$B173,FALSE)&lt;0,HLOOKUP(AM$4,'Physical Effects-Numbers'!$B$1:$AU$172,$B173,FALSE),""))</f>
        <v/>
      </c>
      <c r="AN173" s="488" t="str">
        <f>IF(AN$4="","",IF(HLOOKUP(AN$4,'Physical Effects-Numbers'!$B$1:$AU$172,$B173,FALSE)&lt;0,HLOOKUP(AN$4,'Physical Effects-Numbers'!$B$1:$AU$172,$B173,FALSE),""))</f>
        <v/>
      </c>
      <c r="AO173" s="488" t="str">
        <f>IF(AO$4="","",IF(HLOOKUP(AO$4,'Physical Effects-Numbers'!$B$1:$AU$172,$B173,FALSE)&lt;0,HLOOKUP(AO$4,'Physical Effects-Numbers'!$B$1:$AU$172,$B173,FALSE),""))</f>
        <v/>
      </c>
      <c r="AP173" s="488" t="str">
        <f>IF(AP$4="","",IF(HLOOKUP(AP$4,'Physical Effects-Numbers'!$B$1:$AU$172,$B173,FALSE)&lt;0,HLOOKUP(AP$4,'Physical Effects-Numbers'!$B$1:$AU$172,$B173,FALSE),""))</f>
        <v/>
      </c>
      <c r="AQ173" s="488" t="str">
        <f>IF(AQ$4="","",IF(HLOOKUP(AQ$4,'Physical Effects-Numbers'!$B$1:$AU$172,$B173,FALSE)&lt;0,HLOOKUP(AQ$4,'Physical Effects-Numbers'!$B$1:$AU$172,$B173,FALSE),""))</f>
        <v/>
      </c>
      <c r="AR173" s="488" t="str">
        <f>IF(AR$4="","",IF(HLOOKUP(AR$4,'Physical Effects-Numbers'!$B$1:$AU$172,$B173,FALSE)&lt;0,HLOOKUP(AR$4,'Physical Effects-Numbers'!$B$1:$AU$172,$B173,FALSE),""))</f>
        <v/>
      </c>
      <c r="AS173" s="488" t="str">
        <f>IF(AS$4="","",IF(HLOOKUP(AS$4,'Physical Effects-Numbers'!$B$1:$AU$172,$B173,FALSE)&lt;0,HLOOKUP(AS$4,'Physical Effects-Numbers'!$B$1:$AU$172,$B173,FALSE),""))</f>
        <v/>
      </c>
      <c r="AT173" s="488" t="str">
        <f>IF(AT$4="","",IF(HLOOKUP(AT$4,'Physical Effects-Numbers'!$B$1:$AU$172,$B173,FALSE)&lt;0,HLOOKUP(AT$4,'Physical Effects-Numbers'!$B$1:$AU$172,$B173,FALSE),""))</f>
        <v/>
      </c>
      <c r="AU173" s="488" t="str">
        <f>IF(AU$4="","",IF(HLOOKUP(AU$4,'Physical Effects-Numbers'!$B$1:$AU$172,$B173,FALSE)&lt;0,HLOOKUP(AU$4,'Physical Effects-Numbers'!$B$1:$AU$172,$B173,FALSE),""))</f>
        <v/>
      </c>
    </row>
    <row r="174" spans="2:48" x14ac:dyDescent="0.2">
      <c r="B174" s="487">
        <f t="shared" si="2"/>
        <v>171</v>
      </c>
      <c r="C174" s="486">
        <f>+'Physical Effects-Numbers'!B171</f>
        <v>0</v>
      </c>
      <c r="D174" s="488" t="str">
        <f>IF(D$4="","",IF(HLOOKUP(D$4,'Physical Effects-Numbers'!$B$1:$AU$172,$B174,FALSE)&lt;0,HLOOKUP(D$4,'Physical Effects-Numbers'!$B$1:$AU$172,$B174,FALSE),""))</f>
        <v/>
      </c>
      <c r="E174" s="488" t="str">
        <f>IF(E$4="","",IF(HLOOKUP(E$4,'Physical Effects-Numbers'!$B$1:$AU$172,$B174,FALSE)&lt;0,HLOOKUP(E$4,'Physical Effects-Numbers'!$B$1:$AU$172,$B174,FALSE),""))</f>
        <v/>
      </c>
      <c r="F174" s="488" t="str">
        <f>IF(F$4="","",IF(HLOOKUP(F$4,'Physical Effects-Numbers'!$B$1:$AU$172,$B174,FALSE)&lt;0,HLOOKUP(F$4,'Physical Effects-Numbers'!$B$1:$AU$172,$B174,FALSE),""))</f>
        <v/>
      </c>
      <c r="G174" s="488" t="str">
        <f>IF(G$4="","",IF(HLOOKUP(G$4,'Physical Effects-Numbers'!$B$1:$AU$172,$B174,FALSE)&lt;0,HLOOKUP(G$4,'Physical Effects-Numbers'!$B$1:$AU$172,$B174,FALSE),""))</f>
        <v/>
      </c>
      <c r="H174" s="488" t="str">
        <f>IF(H$4="","",IF(HLOOKUP(H$4,'Physical Effects-Numbers'!$B$1:$AU$172,$B174,FALSE)&lt;0,HLOOKUP(H$4,'Physical Effects-Numbers'!$B$1:$AU$172,$B174,FALSE),""))</f>
        <v/>
      </c>
      <c r="I174" s="488" t="str">
        <f>IF(I$4="","",IF(HLOOKUP(I$4,'Physical Effects-Numbers'!$B$1:$AU$172,$B174,FALSE)&lt;0,HLOOKUP(I$4,'Physical Effects-Numbers'!$B$1:$AU$172,$B174,FALSE),""))</f>
        <v/>
      </c>
      <c r="J174" s="488" t="str">
        <f>IF(J$4="","",IF(HLOOKUP(J$4,'Physical Effects-Numbers'!$B$1:$AU$172,$B174,FALSE)&lt;0,HLOOKUP(J$4,'Physical Effects-Numbers'!$B$1:$AU$172,$B174,FALSE),""))</f>
        <v/>
      </c>
      <c r="K174" s="488" t="str">
        <f>IF(K$4="","",IF(HLOOKUP(K$4,'Physical Effects-Numbers'!$B$1:$AU$172,$B174,FALSE)&lt;0,HLOOKUP(K$4,'Physical Effects-Numbers'!$B$1:$AU$172,$B174,FALSE),""))</f>
        <v/>
      </c>
      <c r="L174" s="488" t="str">
        <f>IF(L$4="","",IF(HLOOKUP(L$4,'Physical Effects-Numbers'!$B$1:$AU$172,$B174,FALSE)&lt;0,HLOOKUP(L$4,'Physical Effects-Numbers'!$B$1:$AU$172,$B174,FALSE),""))</f>
        <v/>
      </c>
      <c r="M174" s="488" t="str">
        <f>IF(M$4="","",IF(HLOOKUP(M$4,'Physical Effects-Numbers'!$B$1:$AU$172,$B174,FALSE)&lt;0,HLOOKUP(M$4,'Physical Effects-Numbers'!$B$1:$AU$172,$B174,FALSE),""))</f>
        <v/>
      </c>
      <c r="N174" s="488" t="str">
        <f>IF(N$4="","",IF(HLOOKUP(N$4,'Physical Effects-Numbers'!$B$1:$AU$172,$B174,FALSE)&lt;0,HLOOKUP(N$4,'Physical Effects-Numbers'!$B$1:$AU$172,$B174,FALSE),""))</f>
        <v/>
      </c>
      <c r="O174" s="488" t="str">
        <f>IF(O$4="","",IF(HLOOKUP(O$4,'Physical Effects-Numbers'!$B$1:$AU$172,$B174,FALSE)&lt;0,HLOOKUP(O$4,'Physical Effects-Numbers'!$B$1:$AU$172,$B174,FALSE),""))</f>
        <v/>
      </c>
      <c r="P174" s="488" t="str">
        <f>IF(P$4="","",IF(HLOOKUP(P$4,'Physical Effects-Numbers'!$B$1:$AU$172,$B174,FALSE)&lt;0,HLOOKUP(P$4,'Physical Effects-Numbers'!$B$1:$AU$172,$B174,FALSE),""))</f>
        <v/>
      </c>
      <c r="Q174" s="488" t="str">
        <f>IF(Q$4="","",IF(HLOOKUP(Q$4,'Physical Effects-Numbers'!$B$1:$AU$172,$B174,FALSE)&lt;0,HLOOKUP(Q$4,'Physical Effects-Numbers'!$B$1:$AU$172,$B174,FALSE),""))</f>
        <v/>
      </c>
      <c r="R174" s="488" t="str">
        <f>IF(R$4="","",IF(HLOOKUP(R$4,'Physical Effects-Numbers'!$B$1:$AU$172,$B174,FALSE)&lt;0,HLOOKUP(R$4,'Physical Effects-Numbers'!$B$1:$AU$172,$B174,FALSE),""))</f>
        <v/>
      </c>
      <c r="S174" s="488" t="str">
        <f>IF(S$4="","",IF(HLOOKUP(S$4,'Physical Effects-Numbers'!$B$1:$AU$172,$B174,FALSE)&lt;0,HLOOKUP(S$4,'Physical Effects-Numbers'!$B$1:$AU$172,$B174,FALSE),""))</f>
        <v/>
      </c>
      <c r="T174" s="488" t="str">
        <f>IF(T$4="","",IF(HLOOKUP(T$4,'Physical Effects-Numbers'!$B$1:$AU$172,$B174,FALSE)&lt;0,HLOOKUP(T$4,'Physical Effects-Numbers'!$B$1:$AU$172,$B174,FALSE),""))</f>
        <v/>
      </c>
      <c r="U174" s="488" t="str">
        <f>IF(U$4="","",IF(HLOOKUP(U$4,'Physical Effects-Numbers'!$B$1:$AU$172,$B174,FALSE)&lt;0,HLOOKUP(U$4,'Physical Effects-Numbers'!$B$1:$AU$172,$B174,FALSE),""))</f>
        <v/>
      </c>
      <c r="V174" s="488" t="str">
        <f>IF(V$4="","",IF(HLOOKUP(V$4,'Physical Effects-Numbers'!$B$1:$AU$172,$B174,FALSE)&lt;0,HLOOKUP(V$4,'Physical Effects-Numbers'!$B$1:$AU$172,$B174,FALSE),""))</f>
        <v/>
      </c>
      <c r="W174" s="488" t="str">
        <f>IF(W$4="","",IF(HLOOKUP(W$4,'Physical Effects-Numbers'!$B$1:$AU$172,$B174,FALSE)&lt;0,HLOOKUP(W$4,'Physical Effects-Numbers'!$B$1:$AU$172,$B174,FALSE),""))</f>
        <v/>
      </c>
      <c r="X174" s="488" t="str">
        <f>IF(X$4="","",IF(HLOOKUP(X$4,'Physical Effects-Numbers'!$B$1:$AU$172,$B174,FALSE)&lt;0,HLOOKUP(X$4,'Physical Effects-Numbers'!$B$1:$AU$172,$B174,FALSE),""))</f>
        <v/>
      </c>
      <c r="Y174" s="488" t="str">
        <f>IF(Y$4="","",IF(HLOOKUP(Y$4,'Physical Effects-Numbers'!$B$1:$AU$172,$B174,FALSE)&lt;0,HLOOKUP(Y$4,'Physical Effects-Numbers'!$B$1:$AU$172,$B174,FALSE),""))</f>
        <v/>
      </c>
      <c r="Z174" s="488" t="str">
        <f>IF(Z$4="","",IF(HLOOKUP(Z$4,'Physical Effects-Numbers'!$B$1:$AU$172,$B174,FALSE)&lt;0,HLOOKUP(Z$4,'Physical Effects-Numbers'!$B$1:$AU$172,$B174,FALSE),""))</f>
        <v/>
      </c>
      <c r="AA174" s="488" t="str">
        <f>IF(AA$4="","",IF(HLOOKUP(AA$4,'Physical Effects-Numbers'!$B$1:$AU$172,$B174,FALSE)&lt;0,HLOOKUP(AA$4,'Physical Effects-Numbers'!$B$1:$AU$172,$B174,FALSE),""))</f>
        <v/>
      </c>
      <c r="AB174" s="488" t="str">
        <f>IF(AB$4="","",IF(HLOOKUP(AB$4,'Physical Effects-Numbers'!$B$1:$AU$172,$B174,FALSE)&lt;0,HLOOKUP(AB$4,'Physical Effects-Numbers'!$B$1:$AU$172,$B174,FALSE),""))</f>
        <v/>
      </c>
      <c r="AC174" s="488" t="str">
        <f>IF(AC$4="","",IF(HLOOKUP(AC$4,'Physical Effects-Numbers'!$B$1:$AU$172,$B174,FALSE)&lt;0,HLOOKUP(AC$4,'Physical Effects-Numbers'!$B$1:$AU$172,$B174,FALSE),""))</f>
        <v/>
      </c>
      <c r="AD174" s="488" t="str">
        <f>IF(AD$4="","",IF(HLOOKUP(AD$4,'Physical Effects-Numbers'!$B$1:$AU$172,$B174,FALSE)&lt;0,HLOOKUP(AD$4,'Physical Effects-Numbers'!$B$1:$AU$172,$B174,FALSE),""))</f>
        <v/>
      </c>
      <c r="AE174" s="488" t="str">
        <f>IF(AE$4="","",IF(HLOOKUP(AE$4,'Physical Effects-Numbers'!$B$1:$AU$172,$B174,FALSE)&lt;0,HLOOKUP(AE$4,'Physical Effects-Numbers'!$B$1:$AU$172,$B174,FALSE),""))</f>
        <v/>
      </c>
      <c r="AF174" s="488" t="str">
        <f>IF(AF$4="","",IF(HLOOKUP(AF$4,'Physical Effects-Numbers'!$B$1:$AU$172,$B174,FALSE)&lt;0,HLOOKUP(AF$4,'Physical Effects-Numbers'!$B$1:$AU$172,$B174,FALSE),""))</f>
        <v/>
      </c>
      <c r="AG174" s="488" t="str">
        <f>IF(AG$4="","",IF(HLOOKUP(AG$4,'Physical Effects-Numbers'!$B$1:$AU$172,$B174,FALSE)&lt;0,HLOOKUP(AG$4,'Physical Effects-Numbers'!$B$1:$AU$172,$B174,FALSE),""))</f>
        <v/>
      </c>
      <c r="AH174" s="488" t="str">
        <f>IF(AH$4="","",IF(HLOOKUP(AH$4,'Physical Effects-Numbers'!$B$1:$AU$172,$B174,FALSE)&lt;0,HLOOKUP(AH$4,'Physical Effects-Numbers'!$B$1:$AU$172,$B174,FALSE),""))</f>
        <v/>
      </c>
      <c r="AI174" s="488" t="str">
        <f>IF(AI$4="","",IF(HLOOKUP(AI$4,'Physical Effects-Numbers'!$B$1:$AU$172,$B174,FALSE)&lt;0,HLOOKUP(AI$4,'Physical Effects-Numbers'!$B$1:$AU$172,$B174,FALSE),""))</f>
        <v/>
      </c>
      <c r="AJ174" s="488" t="str">
        <f>IF(AJ$4="","",IF(HLOOKUP(AJ$4,'Physical Effects-Numbers'!$B$1:$AU$172,$B174,FALSE)&lt;0,HLOOKUP(AJ$4,'Physical Effects-Numbers'!$B$1:$AU$172,$B174,FALSE),""))</f>
        <v/>
      </c>
      <c r="AK174" s="488" t="str">
        <f>IF(AK$4="","",IF(HLOOKUP(AK$4,'Physical Effects-Numbers'!$B$1:$AU$172,$B174,FALSE)&lt;0,HLOOKUP(AK$4,'Physical Effects-Numbers'!$B$1:$AU$172,$B174,FALSE),""))</f>
        <v/>
      </c>
      <c r="AL174" s="488" t="str">
        <f>IF(AL$4="","",IF(HLOOKUP(AL$4,'Physical Effects-Numbers'!$B$1:$AU$172,$B174,FALSE)&lt;0,HLOOKUP(AL$4,'Physical Effects-Numbers'!$B$1:$AU$172,$B174,FALSE),""))</f>
        <v/>
      </c>
      <c r="AM174" s="488" t="str">
        <f>IF(AM$4="","",IF(HLOOKUP(AM$4,'Physical Effects-Numbers'!$B$1:$AU$172,$B174,FALSE)&lt;0,HLOOKUP(AM$4,'Physical Effects-Numbers'!$B$1:$AU$172,$B174,FALSE),""))</f>
        <v/>
      </c>
      <c r="AN174" s="488" t="str">
        <f>IF(AN$4="","",IF(HLOOKUP(AN$4,'Physical Effects-Numbers'!$B$1:$AU$172,$B174,FALSE)&lt;0,HLOOKUP(AN$4,'Physical Effects-Numbers'!$B$1:$AU$172,$B174,FALSE),""))</f>
        <v/>
      </c>
      <c r="AO174" s="488" t="str">
        <f>IF(AO$4="","",IF(HLOOKUP(AO$4,'Physical Effects-Numbers'!$B$1:$AU$172,$B174,FALSE)&lt;0,HLOOKUP(AO$4,'Physical Effects-Numbers'!$B$1:$AU$172,$B174,FALSE),""))</f>
        <v/>
      </c>
      <c r="AP174" s="488" t="str">
        <f>IF(AP$4="","",IF(HLOOKUP(AP$4,'Physical Effects-Numbers'!$B$1:$AU$172,$B174,FALSE)&lt;0,HLOOKUP(AP$4,'Physical Effects-Numbers'!$B$1:$AU$172,$B174,FALSE),""))</f>
        <v/>
      </c>
      <c r="AQ174" s="488" t="str">
        <f>IF(AQ$4="","",IF(HLOOKUP(AQ$4,'Physical Effects-Numbers'!$B$1:$AU$172,$B174,FALSE)&lt;0,HLOOKUP(AQ$4,'Physical Effects-Numbers'!$B$1:$AU$172,$B174,FALSE),""))</f>
        <v/>
      </c>
      <c r="AR174" s="488" t="str">
        <f>IF(AR$4="","",IF(HLOOKUP(AR$4,'Physical Effects-Numbers'!$B$1:$AU$172,$B174,FALSE)&lt;0,HLOOKUP(AR$4,'Physical Effects-Numbers'!$B$1:$AU$172,$B174,FALSE),""))</f>
        <v/>
      </c>
      <c r="AS174" s="488" t="str">
        <f>IF(AS$4="","",IF(HLOOKUP(AS$4,'Physical Effects-Numbers'!$B$1:$AU$172,$B174,FALSE)&lt;0,HLOOKUP(AS$4,'Physical Effects-Numbers'!$B$1:$AU$172,$B174,FALSE),""))</f>
        <v/>
      </c>
      <c r="AT174" s="488" t="str">
        <f>IF(AT$4="","",IF(HLOOKUP(AT$4,'Physical Effects-Numbers'!$B$1:$AU$172,$B174,FALSE)&lt;0,HLOOKUP(AT$4,'Physical Effects-Numbers'!$B$1:$AU$172,$B174,FALSE),""))</f>
        <v/>
      </c>
      <c r="AU174" s="488" t="str">
        <f>IF(AU$4="","",IF(HLOOKUP(AU$4,'Physical Effects-Numbers'!$B$1:$AU$172,$B174,FALSE)&lt;0,HLOOKUP(AU$4,'Physical Effects-Numbers'!$B$1:$AU$172,$B174,FALSE),""))</f>
        <v/>
      </c>
    </row>
    <row r="175" spans="2:48" x14ac:dyDescent="0.2">
      <c r="B175" s="487">
        <f t="shared" si="2"/>
        <v>172</v>
      </c>
      <c r="C175" s="486">
        <f>+'Physical Effects-Numbers'!B172</f>
        <v>0</v>
      </c>
      <c r="D175" s="488" t="str">
        <f>IF(D$4="","",IF(HLOOKUP(D$4,'Physical Effects-Numbers'!$B$1:$AU$172,$B175,FALSE)&lt;0,HLOOKUP(D$4,'Physical Effects-Numbers'!$B$1:$AU$172,$B175,FALSE),""))</f>
        <v/>
      </c>
      <c r="E175" s="488" t="str">
        <f>IF(E$4="","",IF(HLOOKUP(E$4,'Physical Effects-Numbers'!$B$1:$AU$172,$B175,FALSE)&lt;0,HLOOKUP(E$4,'Physical Effects-Numbers'!$B$1:$AU$172,$B175,FALSE),""))</f>
        <v/>
      </c>
      <c r="F175" s="488" t="str">
        <f>IF(F$4="","",IF(HLOOKUP(F$4,'Physical Effects-Numbers'!$B$1:$AU$172,$B175,FALSE)&lt;0,HLOOKUP(F$4,'Physical Effects-Numbers'!$B$1:$AU$172,$B175,FALSE),""))</f>
        <v/>
      </c>
      <c r="G175" s="488" t="str">
        <f>IF(G$4="","",IF(HLOOKUP(G$4,'Physical Effects-Numbers'!$B$1:$AU$172,$B175,FALSE)&lt;0,HLOOKUP(G$4,'Physical Effects-Numbers'!$B$1:$AU$172,$B175,FALSE),""))</f>
        <v/>
      </c>
      <c r="H175" s="488" t="str">
        <f>IF(H$4="","",IF(HLOOKUP(H$4,'Physical Effects-Numbers'!$B$1:$AU$172,$B175,FALSE)&lt;0,HLOOKUP(H$4,'Physical Effects-Numbers'!$B$1:$AU$172,$B175,FALSE),""))</f>
        <v/>
      </c>
      <c r="I175" s="488" t="str">
        <f>IF(I$4="","",IF(HLOOKUP(I$4,'Physical Effects-Numbers'!$B$1:$AU$172,$B175,FALSE)&lt;0,HLOOKUP(I$4,'Physical Effects-Numbers'!$B$1:$AU$172,$B175,FALSE),""))</f>
        <v/>
      </c>
      <c r="J175" s="488" t="str">
        <f>IF(J$4="","",IF(HLOOKUP(J$4,'Physical Effects-Numbers'!$B$1:$AU$172,$B175,FALSE)&lt;0,HLOOKUP(J$4,'Physical Effects-Numbers'!$B$1:$AU$172,$B175,FALSE),""))</f>
        <v/>
      </c>
      <c r="K175" s="488" t="str">
        <f>IF(K$4="","",IF(HLOOKUP(K$4,'Physical Effects-Numbers'!$B$1:$AU$172,$B175,FALSE)&lt;0,HLOOKUP(K$4,'Physical Effects-Numbers'!$B$1:$AU$172,$B175,FALSE),""))</f>
        <v/>
      </c>
      <c r="L175" s="488" t="str">
        <f>IF(L$4="","",IF(HLOOKUP(L$4,'Physical Effects-Numbers'!$B$1:$AU$172,$B175,FALSE)&lt;0,HLOOKUP(L$4,'Physical Effects-Numbers'!$B$1:$AU$172,$B175,FALSE),""))</f>
        <v/>
      </c>
      <c r="M175" s="488" t="str">
        <f>IF(M$4="","",IF(HLOOKUP(M$4,'Physical Effects-Numbers'!$B$1:$AU$172,$B175,FALSE)&lt;0,HLOOKUP(M$4,'Physical Effects-Numbers'!$B$1:$AU$172,$B175,FALSE),""))</f>
        <v/>
      </c>
      <c r="N175" s="488" t="str">
        <f>IF(N$4="","",IF(HLOOKUP(N$4,'Physical Effects-Numbers'!$B$1:$AU$172,$B175,FALSE)&lt;0,HLOOKUP(N$4,'Physical Effects-Numbers'!$B$1:$AU$172,$B175,FALSE),""))</f>
        <v/>
      </c>
      <c r="O175" s="488" t="str">
        <f>IF(O$4="","",IF(HLOOKUP(O$4,'Physical Effects-Numbers'!$B$1:$AU$172,$B175,FALSE)&lt;0,HLOOKUP(O$4,'Physical Effects-Numbers'!$B$1:$AU$172,$B175,FALSE),""))</f>
        <v/>
      </c>
      <c r="P175" s="488" t="str">
        <f>IF(P$4="","",IF(HLOOKUP(P$4,'Physical Effects-Numbers'!$B$1:$AU$172,$B175,FALSE)&lt;0,HLOOKUP(P$4,'Physical Effects-Numbers'!$B$1:$AU$172,$B175,FALSE),""))</f>
        <v/>
      </c>
      <c r="Q175" s="488" t="str">
        <f>IF(Q$4="","",IF(HLOOKUP(Q$4,'Physical Effects-Numbers'!$B$1:$AU$172,$B175,FALSE)&lt;0,HLOOKUP(Q$4,'Physical Effects-Numbers'!$B$1:$AU$172,$B175,FALSE),""))</f>
        <v/>
      </c>
      <c r="R175" s="488" t="str">
        <f>IF(R$4="","",IF(HLOOKUP(R$4,'Physical Effects-Numbers'!$B$1:$AU$172,$B175,FALSE)&lt;0,HLOOKUP(R$4,'Physical Effects-Numbers'!$B$1:$AU$172,$B175,FALSE),""))</f>
        <v/>
      </c>
      <c r="S175" s="488" t="str">
        <f>IF(S$4="","",IF(HLOOKUP(S$4,'Physical Effects-Numbers'!$B$1:$AU$172,$B175,FALSE)&lt;0,HLOOKUP(S$4,'Physical Effects-Numbers'!$B$1:$AU$172,$B175,FALSE),""))</f>
        <v/>
      </c>
      <c r="T175" s="488" t="str">
        <f>IF(T$4="","",IF(HLOOKUP(T$4,'Physical Effects-Numbers'!$B$1:$AU$172,$B175,FALSE)&lt;0,HLOOKUP(T$4,'Physical Effects-Numbers'!$B$1:$AU$172,$B175,FALSE),""))</f>
        <v/>
      </c>
      <c r="U175" s="488" t="str">
        <f>IF(U$4="","",IF(HLOOKUP(U$4,'Physical Effects-Numbers'!$B$1:$AU$172,$B175,FALSE)&lt;0,HLOOKUP(U$4,'Physical Effects-Numbers'!$B$1:$AU$172,$B175,FALSE),""))</f>
        <v/>
      </c>
      <c r="V175" s="488" t="str">
        <f>IF(V$4="","",IF(HLOOKUP(V$4,'Physical Effects-Numbers'!$B$1:$AU$172,$B175,FALSE)&lt;0,HLOOKUP(V$4,'Physical Effects-Numbers'!$B$1:$AU$172,$B175,FALSE),""))</f>
        <v/>
      </c>
      <c r="W175" s="488" t="str">
        <f>IF(W$4="","",IF(HLOOKUP(W$4,'Physical Effects-Numbers'!$B$1:$AU$172,$B175,FALSE)&lt;0,HLOOKUP(W$4,'Physical Effects-Numbers'!$B$1:$AU$172,$B175,FALSE),""))</f>
        <v/>
      </c>
      <c r="X175" s="488" t="str">
        <f>IF(X$4="","",IF(HLOOKUP(X$4,'Physical Effects-Numbers'!$B$1:$AU$172,$B175,FALSE)&lt;0,HLOOKUP(X$4,'Physical Effects-Numbers'!$B$1:$AU$172,$B175,FALSE),""))</f>
        <v/>
      </c>
      <c r="Y175" s="488" t="str">
        <f>IF(Y$4="","",IF(HLOOKUP(Y$4,'Physical Effects-Numbers'!$B$1:$AU$172,$B175,FALSE)&lt;0,HLOOKUP(Y$4,'Physical Effects-Numbers'!$B$1:$AU$172,$B175,FALSE),""))</f>
        <v/>
      </c>
      <c r="Z175" s="488" t="str">
        <f>IF(Z$4="","",IF(HLOOKUP(Z$4,'Physical Effects-Numbers'!$B$1:$AU$172,$B175,FALSE)&lt;0,HLOOKUP(Z$4,'Physical Effects-Numbers'!$B$1:$AU$172,$B175,FALSE),""))</f>
        <v/>
      </c>
      <c r="AA175" s="488" t="str">
        <f>IF(AA$4="","",IF(HLOOKUP(AA$4,'Physical Effects-Numbers'!$B$1:$AU$172,$B175,FALSE)&lt;0,HLOOKUP(AA$4,'Physical Effects-Numbers'!$B$1:$AU$172,$B175,FALSE),""))</f>
        <v/>
      </c>
      <c r="AB175" s="488" t="str">
        <f>IF(AB$4="","",IF(HLOOKUP(AB$4,'Physical Effects-Numbers'!$B$1:$AU$172,$B175,FALSE)&lt;0,HLOOKUP(AB$4,'Physical Effects-Numbers'!$B$1:$AU$172,$B175,FALSE),""))</f>
        <v/>
      </c>
      <c r="AC175" s="488" t="str">
        <f>IF(AC$4="","",IF(HLOOKUP(AC$4,'Physical Effects-Numbers'!$B$1:$AU$172,$B175,FALSE)&lt;0,HLOOKUP(AC$4,'Physical Effects-Numbers'!$B$1:$AU$172,$B175,FALSE),""))</f>
        <v/>
      </c>
      <c r="AD175" s="488" t="str">
        <f>IF(AD$4="","",IF(HLOOKUP(AD$4,'Physical Effects-Numbers'!$B$1:$AU$172,$B175,FALSE)&lt;0,HLOOKUP(AD$4,'Physical Effects-Numbers'!$B$1:$AU$172,$B175,FALSE),""))</f>
        <v/>
      </c>
      <c r="AE175" s="488" t="str">
        <f>IF(AE$4="","",IF(HLOOKUP(AE$4,'Physical Effects-Numbers'!$B$1:$AU$172,$B175,FALSE)&lt;0,HLOOKUP(AE$4,'Physical Effects-Numbers'!$B$1:$AU$172,$B175,FALSE),""))</f>
        <v/>
      </c>
      <c r="AF175" s="488" t="str">
        <f>IF(AF$4="","",IF(HLOOKUP(AF$4,'Physical Effects-Numbers'!$B$1:$AU$172,$B175,FALSE)&lt;0,HLOOKUP(AF$4,'Physical Effects-Numbers'!$B$1:$AU$172,$B175,FALSE),""))</f>
        <v/>
      </c>
      <c r="AG175" s="488" t="str">
        <f>IF(AG$4="","",IF(HLOOKUP(AG$4,'Physical Effects-Numbers'!$B$1:$AU$172,$B175,FALSE)&lt;0,HLOOKUP(AG$4,'Physical Effects-Numbers'!$B$1:$AU$172,$B175,FALSE),""))</f>
        <v/>
      </c>
      <c r="AH175" s="488" t="str">
        <f>IF(AH$4="","",IF(HLOOKUP(AH$4,'Physical Effects-Numbers'!$B$1:$AU$172,$B175,FALSE)&lt;0,HLOOKUP(AH$4,'Physical Effects-Numbers'!$B$1:$AU$172,$B175,FALSE),""))</f>
        <v/>
      </c>
      <c r="AI175" s="488" t="str">
        <f>IF(AI$4="","",IF(HLOOKUP(AI$4,'Physical Effects-Numbers'!$B$1:$AU$172,$B175,FALSE)&lt;0,HLOOKUP(AI$4,'Physical Effects-Numbers'!$B$1:$AU$172,$B175,FALSE),""))</f>
        <v/>
      </c>
      <c r="AJ175" s="488" t="str">
        <f>IF(AJ$4="","",IF(HLOOKUP(AJ$4,'Physical Effects-Numbers'!$B$1:$AU$172,$B175,FALSE)&lt;0,HLOOKUP(AJ$4,'Physical Effects-Numbers'!$B$1:$AU$172,$B175,FALSE),""))</f>
        <v/>
      </c>
      <c r="AK175" s="488" t="str">
        <f>IF(AK$4="","",IF(HLOOKUP(AK$4,'Physical Effects-Numbers'!$B$1:$AU$172,$B175,FALSE)&lt;0,HLOOKUP(AK$4,'Physical Effects-Numbers'!$B$1:$AU$172,$B175,FALSE),""))</f>
        <v/>
      </c>
      <c r="AL175" s="488" t="str">
        <f>IF(AL$4="","",IF(HLOOKUP(AL$4,'Physical Effects-Numbers'!$B$1:$AU$172,$B175,FALSE)&lt;0,HLOOKUP(AL$4,'Physical Effects-Numbers'!$B$1:$AU$172,$B175,FALSE),""))</f>
        <v/>
      </c>
      <c r="AM175" s="488" t="str">
        <f>IF(AM$4="","",IF(HLOOKUP(AM$4,'Physical Effects-Numbers'!$B$1:$AU$172,$B175,FALSE)&lt;0,HLOOKUP(AM$4,'Physical Effects-Numbers'!$B$1:$AU$172,$B175,FALSE),""))</f>
        <v/>
      </c>
      <c r="AN175" s="488" t="str">
        <f>IF(AN$4="","",IF(HLOOKUP(AN$4,'Physical Effects-Numbers'!$B$1:$AU$172,$B175,FALSE)&lt;0,HLOOKUP(AN$4,'Physical Effects-Numbers'!$B$1:$AU$172,$B175,FALSE),""))</f>
        <v/>
      </c>
      <c r="AO175" s="488" t="str">
        <f>IF(AO$4="","",IF(HLOOKUP(AO$4,'Physical Effects-Numbers'!$B$1:$AU$172,$B175,FALSE)&lt;0,HLOOKUP(AO$4,'Physical Effects-Numbers'!$B$1:$AU$172,$B175,FALSE),""))</f>
        <v/>
      </c>
      <c r="AP175" s="488" t="str">
        <f>IF(AP$4="","",IF(HLOOKUP(AP$4,'Physical Effects-Numbers'!$B$1:$AU$172,$B175,FALSE)&lt;0,HLOOKUP(AP$4,'Physical Effects-Numbers'!$B$1:$AU$172,$B175,FALSE),""))</f>
        <v/>
      </c>
      <c r="AQ175" s="488" t="str">
        <f>IF(AQ$4="","",IF(HLOOKUP(AQ$4,'Physical Effects-Numbers'!$B$1:$AU$172,$B175,FALSE)&lt;0,HLOOKUP(AQ$4,'Physical Effects-Numbers'!$B$1:$AU$172,$B175,FALSE),""))</f>
        <v/>
      </c>
      <c r="AR175" s="488" t="str">
        <f>IF(AR$4="","",IF(HLOOKUP(AR$4,'Physical Effects-Numbers'!$B$1:$AU$172,$B175,FALSE)&lt;0,HLOOKUP(AR$4,'Physical Effects-Numbers'!$B$1:$AU$172,$B175,FALSE),""))</f>
        <v/>
      </c>
      <c r="AS175" s="488" t="str">
        <f>IF(AS$4="","",IF(HLOOKUP(AS$4,'Physical Effects-Numbers'!$B$1:$AU$172,$B175,FALSE)&lt;0,HLOOKUP(AS$4,'Physical Effects-Numbers'!$B$1:$AU$172,$B175,FALSE),""))</f>
        <v/>
      </c>
      <c r="AT175" s="488" t="str">
        <f>IF(AT$4="","",IF(HLOOKUP(AT$4,'Physical Effects-Numbers'!$B$1:$AU$172,$B175,FALSE)&lt;0,HLOOKUP(AT$4,'Physical Effects-Numbers'!$B$1:$AU$172,$B175,FALSE),""))</f>
        <v/>
      </c>
      <c r="AU175" s="488" t="str">
        <f>IF(AU$4="","",IF(HLOOKUP(AU$4,'Physical Effects-Numbers'!$B$1:$AU$172,$B175,FALSE)&lt;0,HLOOKUP(AU$4,'Physical Effects-Numbers'!$B$1:$AU$172,$B175,FALSE),""))</f>
        <v/>
      </c>
    </row>
    <row r="176" spans="2:48" x14ac:dyDescent="0.2">
      <c r="B176" s="487"/>
      <c r="C176" s="486"/>
      <c r="D176" s="488"/>
      <c r="E176" s="488"/>
      <c r="F176" s="488"/>
      <c r="G176" s="488"/>
      <c r="H176" s="488"/>
      <c r="I176" s="488"/>
      <c r="J176" s="488"/>
      <c r="K176" s="488"/>
      <c r="L176" s="488"/>
      <c r="M176" s="488"/>
      <c r="N176" s="488"/>
      <c r="O176" s="488"/>
      <c r="P176" s="488"/>
      <c r="Q176" s="488"/>
      <c r="R176" s="488"/>
      <c r="S176" s="488"/>
      <c r="T176" s="488"/>
      <c r="U176" s="488"/>
      <c r="V176" s="488"/>
      <c r="W176" s="488"/>
      <c r="X176" s="488"/>
      <c r="Y176" s="488"/>
      <c r="Z176" s="488"/>
      <c r="AA176" s="488"/>
      <c r="AB176" s="488"/>
      <c r="AC176" s="488"/>
      <c r="AD176" s="488"/>
      <c r="AE176" s="488"/>
      <c r="AF176" s="488"/>
      <c r="AG176" s="488"/>
      <c r="AH176" s="488"/>
      <c r="AI176" s="488"/>
      <c r="AJ176" s="488"/>
      <c r="AK176" s="488"/>
      <c r="AL176" s="488"/>
      <c r="AM176" s="488"/>
      <c r="AN176" s="488"/>
      <c r="AO176" s="488"/>
      <c r="AP176" s="488"/>
      <c r="AQ176" s="488"/>
      <c r="AR176" s="488"/>
      <c r="AS176" s="488"/>
      <c r="AT176" s="488"/>
      <c r="AU176" s="488"/>
    </row>
    <row r="177" spans="2:3" x14ac:dyDescent="0.2">
      <c r="B177" s="487"/>
      <c r="C177" s="486"/>
    </row>
    <row r="178" spans="2:3" x14ac:dyDescent="0.2">
      <c r="B178" s="487"/>
      <c r="C178" s="486"/>
    </row>
    <row r="179" spans="2:3" x14ac:dyDescent="0.2">
      <c r="B179" s="487"/>
      <c r="C179" s="486"/>
    </row>
    <row r="180" spans="2:3" x14ac:dyDescent="0.2">
      <c r="B180" s="487"/>
      <c r="C180" s="486"/>
    </row>
    <row r="181" spans="2:3" x14ac:dyDescent="0.2">
      <c r="B181" s="487"/>
      <c r="C181" s="486"/>
    </row>
    <row r="182" spans="2:3" x14ac:dyDescent="0.2">
      <c r="B182" s="487"/>
      <c r="C182" s="486"/>
    </row>
    <row r="183" spans="2:3" x14ac:dyDescent="0.2">
      <c r="B183" s="487"/>
      <c r="C183" s="486"/>
    </row>
    <row r="184" spans="2:3" x14ac:dyDescent="0.2">
      <c r="B184" s="487"/>
      <c r="C184" s="486"/>
    </row>
    <row r="185" spans="2:3" x14ac:dyDescent="0.2">
      <c r="B185" s="487"/>
      <c r="C185" s="486"/>
    </row>
    <row r="186" spans="2:3" x14ac:dyDescent="0.2">
      <c r="B186" s="487"/>
      <c r="C186" s="486"/>
    </row>
    <row r="187" spans="2:3" x14ac:dyDescent="0.2">
      <c r="B187" s="487"/>
      <c r="C187" s="486"/>
    </row>
    <row r="188" spans="2:3" x14ac:dyDescent="0.2">
      <c r="B188" s="487"/>
      <c r="C188" s="486"/>
    </row>
    <row r="189" spans="2:3" x14ac:dyDescent="0.2">
      <c r="B189" s="487"/>
      <c r="C189" s="486"/>
    </row>
    <row r="190" spans="2:3" x14ac:dyDescent="0.2">
      <c r="B190" s="487"/>
      <c r="C190" s="486"/>
    </row>
    <row r="191" spans="2:3" x14ac:dyDescent="0.2">
      <c r="B191" s="487"/>
      <c r="C191" s="486"/>
    </row>
    <row r="192" spans="2:3" x14ac:dyDescent="0.2">
      <c r="B192" s="487"/>
      <c r="C192" s="486"/>
    </row>
    <row r="193" spans="2:3" x14ac:dyDescent="0.2">
      <c r="B193" s="487"/>
      <c r="C193" s="486"/>
    </row>
    <row r="194" spans="2:3" x14ac:dyDescent="0.2">
      <c r="B194" s="487"/>
      <c r="C194" s="486"/>
    </row>
    <row r="195" spans="2:3" x14ac:dyDescent="0.2">
      <c r="B195" s="487"/>
      <c r="C195" s="486"/>
    </row>
    <row r="196" spans="2:3" x14ac:dyDescent="0.2">
      <c r="B196" s="487"/>
      <c r="C196" s="486"/>
    </row>
    <row r="197" spans="2:3" x14ac:dyDescent="0.2">
      <c r="B197" s="487"/>
      <c r="C197" s="486"/>
    </row>
    <row r="198" spans="2:3" x14ac:dyDescent="0.2">
      <c r="B198" s="487"/>
      <c r="C198" s="486"/>
    </row>
    <row r="199" spans="2:3" x14ac:dyDescent="0.2">
      <c r="B199" s="487"/>
      <c r="C199" s="486"/>
    </row>
    <row r="200" spans="2:3" x14ac:dyDescent="0.2">
      <c r="B200" s="487"/>
      <c r="C200" s="486"/>
    </row>
    <row r="201" spans="2:3" x14ac:dyDescent="0.2">
      <c r="B201" s="487"/>
      <c r="C201" s="486"/>
    </row>
    <row r="202" spans="2:3" x14ac:dyDescent="0.2">
      <c r="B202" s="487"/>
      <c r="C202" s="486"/>
    </row>
    <row r="203" spans="2:3" x14ac:dyDescent="0.2">
      <c r="B203" s="487"/>
      <c r="C203" s="486"/>
    </row>
    <row r="204" spans="2:3" x14ac:dyDescent="0.2">
      <c r="B204" s="487"/>
      <c r="C204" s="486"/>
    </row>
    <row r="205" spans="2:3" x14ac:dyDescent="0.2">
      <c r="B205" s="487"/>
      <c r="C205" s="486"/>
    </row>
    <row r="206" spans="2:3" x14ac:dyDescent="0.2">
      <c r="B206" s="487"/>
      <c r="C206" s="486"/>
    </row>
    <row r="207" spans="2:3" x14ac:dyDescent="0.2">
      <c r="B207" s="487"/>
      <c r="C207" s="486"/>
    </row>
    <row r="208" spans="2:3" x14ac:dyDescent="0.2">
      <c r="B208" s="487"/>
      <c r="C208" s="486"/>
    </row>
    <row r="209" spans="2:3" x14ac:dyDescent="0.2">
      <c r="B209" s="487"/>
      <c r="C209" s="486"/>
    </row>
    <row r="210" spans="2:3" x14ac:dyDescent="0.2">
      <c r="B210" s="487"/>
      <c r="C210" s="486"/>
    </row>
    <row r="211" spans="2:3" x14ac:dyDescent="0.2">
      <c r="B211" s="487"/>
      <c r="C211" s="486"/>
    </row>
    <row r="212" spans="2:3" x14ac:dyDescent="0.2">
      <c r="B212" s="487"/>
      <c r="C212" s="486"/>
    </row>
    <row r="213" spans="2:3" x14ac:dyDescent="0.2">
      <c r="B213" s="487"/>
      <c r="C213" s="486"/>
    </row>
    <row r="214" spans="2:3" x14ac:dyDescent="0.2">
      <c r="B214" s="487"/>
      <c r="C214" s="486"/>
    </row>
    <row r="215" spans="2:3" x14ac:dyDescent="0.2">
      <c r="B215" s="487"/>
      <c r="C215" s="486"/>
    </row>
    <row r="216" spans="2:3" x14ac:dyDescent="0.2">
      <c r="B216" s="487"/>
      <c r="C216" s="486"/>
    </row>
    <row r="217" spans="2:3" x14ac:dyDescent="0.2">
      <c r="B217" s="487"/>
      <c r="C217" s="486"/>
    </row>
    <row r="218" spans="2:3" x14ac:dyDescent="0.2">
      <c r="B218" s="487"/>
      <c r="C218" s="486"/>
    </row>
    <row r="219" spans="2:3" x14ac:dyDescent="0.2">
      <c r="B219" s="487"/>
      <c r="C219" s="486"/>
    </row>
    <row r="220" spans="2:3" x14ac:dyDescent="0.2">
      <c r="B220" s="487"/>
      <c r="C220" s="486"/>
    </row>
    <row r="221" spans="2:3" x14ac:dyDescent="0.2">
      <c r="B221" s="487"/>
      <c r="C221" s="486"/>
    </row>
    <row r="222" spans="2:3" x14ac:dyDescent="0.2">
      <c r="B222" s="487"/>
      <c r="C222" s="486"/>
    </row>
    <row r="223" spans="2:3" x14ac:dyDescent="0.2">
      <c r="B223" s="487"/>
      <c r="C223" s="486"/>
    </row>
    <row r="224" spans="2:3" x14ac:dyDescent="0.2">
      <c r="B224" s="487"/>
      <c r="C224" s="486"/>
    </row>
    <row r="225" spans="2:3" x14ac:dyDescent="0.2">
      <c r="B225" s="487"/>
      <c r="C225" s="486"/>
    </row>
    <row r="226" spans="2:3" x14ac:dyDescent="0.2">
      <c r="B226" s="487"/>
      <c r="C226" s="486"/>
    </row>
    <row r="227" spans="2:3" x14ac:dyDescent="0.2">
      <c r="B227" s="487"/>
      <c r="C227" s="486"/>
    </row>
    <row r="228" spans="2:3" x14ac:dyDescent="0.2">
      <c r="B228" s="487"/>
      <c r="C228" s="486"/>
    </row>
    <row r="229" spans="2:3" x14ac:dyDescent="0.2">
      <c r="B229" s="487"/>
      <c r="C229" s="486"/>
    </row>
    <row r="230" spans="2:3" x14ac:dyDescent="0.2">
      <c r="B230" s="487"/>
      <c r="C230" s="486"/>
    </row>
    <row r="231" spans="2:3" x14ac:dyDescent="0.2">
      <c r="B231" s="487"/>
      <c r="C231" s="486"/>
    </row>
    <row r="232" spans="2:3" x14ac:dyDescent="0.2">
      <c r="B232" s="487"/>
      <c r="C232" s="486"/>
    </row>
    <row r="233" spans="2:3" x14ac:dyDescent="0.2">
      <c r="B233" s="487"/>
      <c r="C233" s="486"/>
    </row>
    <row r="234" spans="2:3" x14ac:dyDescent="0.2">
      <c r="B234" s="487"/>
      <c r="C234" s="486"/>
    </row>
    <row r="235" spans="2:3" x14ac:dyDescent="0.2">
      <c r="B235" s="487"/>
      <c r="C235" s="486"/>
    </row>
    <row r="236" spans="2:3" x14ac:dyDescent="0.2">
      <c r="B236" s="487"/>
      <c r="C236" s="486"/>
    </row>
    <row r="237" spans="2:3" x14ac:dyDescent="0.2">
      <c r="B237" s="487"/>
      <c r="C237" s="486"/>
    </row>
    <row r="238" spans="2:3" x14ac:dyDescent="0.2">
      <c r="B238" s="487"/>
      <c r="C238" s="486"/>
    </row>
    <row r="239" spans="2:3" x14ac:dyDescent="0.2">
      <c r="B239" s="487"/>
      <c r="C239" s="486"/>
    </row>
    <row r="240" spans="2:3" x14ac:dyDescent="0.2">
      <c r="B240" s="487"/>
      <c r="C240" s="486"/>
    </row>
    <row r="241" spans="2:3" x14ac:dyDescent="0.2">
      <c r="B241" s="487"/>
      <c r="C241" s="486"/>
    </row>
    <row r="242" spans="2:3" x14ac:dyDescent="0.2">
      <c r="B242" s="487"/>
      <c r="C242" s="486"/>
    </row>
    <row r="243" spans="2:3" x14ac:dyDescent="0.2">
      <c r="B243" s="487"/>
      <c r="C243" s="486"/>
    </row>
    <row r="244" spans="2:3" x14ac:dyDescent="0.2">
      <c r="B244" s="487"/>
      <c r="C244" s="486"/>
    </row>
    <row r="245" spans="2:3" x14ac:dyDescent="0.2">
      <c r="B245" s="487"/>
      <c r="C245" s="486"/>
    </row>
    <row r="246" spans="2:3" x14ac:dyDescent="0.2">
      <c r="B246" s="487"/>
      <c r="C246" s="486"/>
    </row>
    <row r="247" spans="2:3" x14ac:dyDescent="0.2">
      <c r="B247" s="487"/>
      <c r="C247" s="486"/>
    </row>
    <row r="248" spans="2:3" x14ac:dyDescent="0.2">
      <c r="B248" s="487"/>
      <c r="C248" s="486"/>
    </row>
    <row r="249" spans="2:3" x14ac:dyDescent="0.2">
      <c r="B249" s="487"/>
      <c r="C249" s="486"/>
    </row>
    <row r="250" spans="2:3" x14ac:dyDescent="0.2">
      <c r="B250" s="487"/>
      <c r="C250" s="486"/>
    </row>
    <row r="251" spans="2:3" x14ac:dyDescent="0.2">
      <c r="B251" s="487"/>
      <c r="C251" s="486"/>
    </row>
    <row r="252" spans="2:3" x14ac:dyDescent="0.2">
      <c r="B252" s="487"/>
      <c r="C252" s="486"/>
    </row>
    <row r="253" spans="2:3" x14ac:dyDescent="0.2">
      <c r="B253" s="487"/>
      <c r="C253" s="486"/>
    </row>
    <row r="254" spans="2:3" x14ac:dyDescent="0.2">
      <c r="B254" s="487"/>
      <c r="C254" s="486"/>
    </row>
    <row r="255" spans="2:3" x14ac:dyDescent="0.2">
      <c r="B255" s="487"/>
      <c r="C255" s="486"/>
    </row>
    <row r="256" spans="2:3" x14ac:dyDescent="0.2">
      <c r="B256" s="487"/>
      <c r="C256" s="486"/>
    </row>
    <row r="257" spans="2:3" x14ac:dyDescent="0.2">
      <c r="B257" s="487"/>
      <c r="C257" s="486"/>
    </row>
    <row r="258" spans="2:3" x14ac:dyDescent="0.2">
      <c r="B258" s="487"/>
      <c r="C258" s="486"/>
    </row>
    <row r="259" spans="2:3" x14ac:dyDescent="0.2">
      <c r="B259" s="487"/>
      <c r="C259" s="486"/>
    </row>
    <row r="260" spans="2:3" x14ac:dyDescent="0.2">
      <c r="B260" s="487"/>
      <c r="C260" s="486"/>
    </row>
    <row r="261" spans="2:3" x14ac:dyDescent="0.2">
      <c r="B261" s="487"/>
      <c r="C261" s="486"/>
    </row>
    <row r="262" spans="2:3" x14ac:dyDescent="0.2">
      <c r="B262" s="487"/>
      <c r="C262" s="486"/>
    </row>
    <row r="263" spans="2:3" x14ac:dyDescent="0.2">
      <c r="B263" s="487"/>
      <c r="C263" s="486"/>
    </row>
    <row r="264" spans="2:3" x14ac:dyDescent="0.2">
      <c r="B264" s="487"/>
      <c r="C264" s="486"/>
    </row>
    <row r="265" spans="2:3" x14ac:dyDescent="0.2">
      <c r="B265" s="487"/>
      <c r="C265" s="486"/>
    </row>
    <row r="266" spans="2:3" x14ac:dyDescent="0.2">
      <c r="B266" s="487"/>
      <c r="C266" s="486"/>
    </row>
    <row r="267" spans="2:3" x14ac:dyDescent="0.2">
      <c r="B267" s="487"/>
      <c r="C267" s="486"/>
    </row>
    <row r="268" spans="2:3" x14ac:dyDescent="0.2">
      <c r="B268" s="487"/>
      <c r="C268" s="486"/>
    </row>
    <row r="269" spans="2:3" x14ac:dyDescent="0.2">
      <c r="B269" s="487"/>
      <c r="C269" s="486"/>
    </row>
    <row r="270" spans="2:3" x14ac:dyDescent="0.2">
      <c r="B270" s="487"/>
      <c r="C270" s="486"/>
    </row>
    <row r="271" spans="2:3" x14ac:dyDescent="0.2">
      <c r="B271" s="487"/>
      <c r="C271" s="486"/>
    </row>
    <row r="272" spans="2:3" x14ac:dyDescent="0.2">
      <c r="B272" s="487"/>
      <c r="C272" s="486"/>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
  <dimension ref="B2:N158"/>
  <sheetViews>
    <sheetView workbookViewId="0"/>
  </sheetViews>
  <sheetFormatPr defaultRowHeight="12.75" x14ac:dyDescent="0.2"/>
  <cols>
    <col min="1" max="1" width="2.5703125" customWidth="1"/>
    <col min="2" max="2" width="32.5703125" bestFit="1" customWidth="1"/>
    <col min="3" max="3" width="18.5703125" customWidth="1"/>
    <col min="4" max="4" width="32" style="29" customWidth="1"/>
    <col min="5" max="5" width="19.5703125" customWidth="1"/>
    <col min="6" max="6" width="10.7109375" customWidth="1"/>
  </cols>
  <sheetData>
    <row r="2" spans="2:9" x14ac:dyDescent="0.2">
      <c r="B2" s="246" t="s">
        <v>2747</v>
      </c>
    </row>
    <row r="3" spans="2:9" ht="13.5" thickBot="1" x14ac:dyDescent="0.25">
      <c r="B3" s="9"/>
    </row>
    <row r="4" spans="2:9" ht="13.5" thickTop="1" x14ac:dyDescent="0.2">
      <c r="B4" s="247" t="s">
        <v>967</v>
      </c>
      <c r="C4" s="321">
        <v>5</v>
      </c>
      <c r="D4" s="248" t="s">
        <v>967</v>
      </c>
      <c r="F4" s="413" t="s">
        <v>2677</v>
      </c>
      <c r="G4" s="209">
        <v>5.1249999999999997E-2</v>
      </c>
    </row>
    <row r="5" spans="2:9" ht="13.5" thickBot="1" x14ac:dyDescent="0.25">
      <c r="B5" s="249" t="s">
        <v>964</v>
      </c>
      <c r="C5" s="322">
        <v>4</v>
      </c>
      <c r="D5" s="250" t="s">
        <v>964</v>
      </c>
    </row>
    <row r="6" spans="2:9" x14ac:dyDescent="0.2">
      <c r="B6" s="249" t="s">
        <v>966</v>
      </c>
      <c r="C6" s="322">
        <v>3</v>
      </c>
      <c r="D6" s="250" t="s">
        <v>966</v>
      </c>
      <c r="F6" s="330"/>
      <c r="G6" s="331"/>
      <c r="H6" s="332" t="s">
        <v>3501</v>
      </c>
      <c r="I6" s="333" t="s">
        <v>3501</v>
      </c>
    </row>
    <row r="7" spans="2:9" x14ac:dyDescent="0.2">
      <c r="B7" s="249" t="s">
        <v>963</v>
      </c>
      <c r="C7" s="322">
        <v>2</v>
      </c>
      <c r="D7" s="250" t="s">
        <v>963</v>
      </c>
      <c r="F7" s="335"/>
      <c r="G7" s="373"/>
      <c r="H7" s="374" t="s">
        <v>3502</v>
      </c>
      <c r="I7" s="375" t="s">
        <v>3503</v>
      </c>
    </row>
    <row r="8" spans="2:9" x14ac:dyDescent="0.2">
      <c r="B8" s="249" t="s">
        <v>965</v>
      </c>
      <c r="C8" s="322">
        <v>1</v>
      </c>
      <c r="D8" s="250" t="s">
        <v>965</v>
      </c>
      <c r="F8" s="414" t="s">
        <v>2395</v>
      </c>
      <c r="G8" s="213"/>
      <c r="H8" s="328" t="s">
        <v>2687</v>
      </c>
      <c r="I8" s="334" t="s">
        <v>2688</v>
      </c>
    </row>
    <row r="9" spans="2:9" x14ac:dyDescent="0.2">
      <c r="B9" s="249" t="s">
        <v>986</v>
      </c>
      <c r="C9" s="322">
        <v>0</v>
      </c>
      <c r="D9" s="250" t="s">
        <v>986</v>
      </c>
      <c r="F9" s="335" t="s">
        <v>1110</v>
      </c>
      <c r="G9" s="213"/>
      <c r="H9" s="329">
        <v>80</v>
      </c>
      <c r="I9" s="336">
        <v>300</v>
      </c>
    </row>
    <row r="10" spans="2:9" x14ac:dyDescent="0.2">
      <c r="B10" s="249" t="s">
        <v>958</v>
      </c>
      <c r="C10" s="322">
        <v>-1</v>
      </c>
      <c r="D10" s="250" t="s">
        <v>958</v>
      </c>
      <c r="F10" s="335" t="s">
        <v>301</v>
      </c>
      <c r="G10" s="213"/>
      <c r="H10" s="329">
        <v>160</v>
      </c>
      <c r="I10" s="336">
        <v>100</v>
      </c>
    </row>
    <row r="11" spans="2:9" x14ac:dyDescent="0.2">
      <c r="B11" s="249" t="s">
        <v>961</v>
      </c>
      <c r="C11" s="322">
        <v>-2</v>
      </c>
      <c r="D11" s="250" t="s">
        <v>961</v>
      </c>
      <c r="F11" s="335" t="s">
        <v>2214</v>
      </c>
      <c r="G11" s="213"/>
      <c r="H11" s="329">
        <v>320</v>
      </c>
      <c r="I11" s="336">
        <v>5</v>
      </c>
    </row>
    <row r="12" spans="2:9" x14ac:dyDescent="0.2">
      <c r="B12" s="249" t="s">
        <v>959</v>
      </c>
      <c r="C12" s="322">
        <v>-3</v>
      </c>
      <c r="D12" s="250" t="s">
        <v>959</v>
      </c>
      <c r="F12" s="335" t="s">
        <v>1260</v>
      </c>
      <c r="G12" s="213"/>
      <c r="H12" s="329">
        <v>160</v>
      </c>
      <c r="I12" s="336">
        <v>50</v>
      </c>
    </row>
    <row r="13" spans="2:9" x14ac:dyDescent="0.2">
      <c r="B13" s="249" t="s">
        <v>962</v>
      </c>
      <c r="C13" s="322">
        <v>-4</v>
      </c>
      <c r="D13" s="250" t="s">
        <v>962</v>
      </c>
      <c r="F13" s="335" t="s">
        <v>2221</v>
      </c>
      <c r="G13" s="213"/>
      <c r="H13" s="329">
        <v>5</v>
      </c>
      <c r="I13" s="336">
        <v>1</v>
      </c>
    </row>
    <row r="14" spans="2:9" ht="13.5" thickBot="1" x14ac:dyDescent="0.25">
      <c r="B14" s="251" t="s">
        <v>960</v>
      </c>
      <c r="C14" s="323">
        <v>-5</v>
      </c>
      <c r="D14" s="252" t="s">
        <v>960</v>
      </c>
      <c r="F14" s="335" t="s">
        <v>1457</v>
      </c>
      <c r="G14" s="213"/>
      <c r="H14" s="329">
        <v>5</v>
      </c>
      <c r="I14" s="336">
        <v>1</v>
      </c>
    </row>
    <row r="15" spans="2:9" ht="13.5" thickTop="1" x14ac:dyDescent="0.2">
      <c r="B15" s="9"/>
      <c r="F15" s="335" t="s">
        <v>2225</v>
      </c>
      <c r="G15" s="213"/>
      <c r="H15" s="329">
        <v>20</v>
      </c>
      <c r="I15" s="336">
        <v>100</v>
      </c>
    </row>
    <row r="16" spans="2:9" x14ac:dyDescent="0.2">
      <c r="F16" s="335" t="s">
        <v>2219</v>
      </c>
      <c r="G16" s="213"/>
      <c r="H16" s="329">
        <v>15</v>
      </c>
      <c r="I16" s="336">
        <v>10</v>
      </c>
    </row>
    <row r="17" spans="2:14" x14ac:dyDescent="0.2">
      <c r="F17" s="335" t="s">
        <v>2223</v>
      </c>
      <c r="G17" s="213"/>
      <c r="H17" s="329">
        <v>10</v>
      </c>
      <c r="I17" s="336">
        <v>500</v>
      </c>
    </row>
    <row r="18" spans="2:14" ht="13.5" thickBot="1" x14ac:dyDescent="0.25">
      <c r="B18" s="416" t="s">
        <v>3507</v>
      </c>
      <c r="F18" s="337" t="s">
        <v>2228</v>
      </c>
      <c r="G18" s="338"/>
      <c r="H18" s="339">
        <v>10</v>
      </c>
      <c r="I18" s="340">
        <v>25</v>
      </c>
    </row>
    <row r="19" spans="2:14" x14ac:dyDescent="0.2">
      <c r="B19" s="376" t="s">
        <v>3519</v>
      </c>
    </row>
    <row r="21" spans="2:14" x14ac:dyDescent="0.2">
      <c r="B21" t="s">
        <v>3508</v>
      </c>
      <c r="F21" s="377" t="s">
        <v>3505</v>
      </c>
    </row>
    <row r="22" spans="2:14" x14ac:dyDescent="0.2">
      <c r="B22" t="s">
        <v>3509</v>
      </c>
      <c r="F22" s="205" t="s">
        <v>3504</v>
      </c>
      <c r="G22" s="206"/>
      <c r="H22" s="206"/>
      <c r="I22" s="206"/>
      <c r="J22" s="207"/>
      <c r="K22" s="206"/>
      <c r="L22" s="206"/>
      <c r="M22" s="206"/>
    </row>
    <row r="23" spans="2:14" ht="13.5" thickBot="1" x14ac:dyDescent="0.25">
      <c r="B23" t="s">
        <v>3510</v>
      </c>
      <c r="F23" s="207"/>
      <c r="G23" s="206"/>
      <c r="H23" s="206"/>
      <c r="I23" s="206"/>
      <c r="J23" s="207"/>
      <c r="K23" s="206"/>
      <c r="L23" s="206"/>
      <c r="M23" s="206"/>
    </row>
    <row r="24" spans="2:14" x14ac:dyDescent="0.2">
      <c r="B24" t="s">
        <v>3520</v>
      </c>
      <c r="F24" s="381" t="s">
        <v>2680</v>
      </c>
      <c r="G24" s="382"/>
      <c r="H24" s="382"/>
      <c r="I24" s="382"/>
      <c r="J24" s="383"/>
      <c r="K24" s="384"/>
      <c r="L24" s="384"/>
      <c r="M24" s="385"/>
      <c r="N24" s="376" t="s">
        <v>2231</v>
      </c>
    </row>
    <row r="25" spans="2:14" x14ac:dyDescent="0.2">
      <c r="B25" t="s">
        <v>3511</v>
      </c>
      <c r="F25" s="386" t="s">
        <v>2681</v>
      </c>
      <c r="G25" s="213"/>
      <c r="H25" s="213"/>
      <c r="I25" s="213"/>
      <c r="J25" s="214"/>
      <c r="K25" s="213"/>
      <c r="L25" s="213"/>
      <c r="M25" s="387"/>
      <c r="N25" s="376" t="s">
        <v>2231</v>
      </c>
    </row>
    <row r="26" spans="2:14" x14ac:dyDescent="0.2">
      <c r="F26" s="386" t="s">
        <v>2683</v>
      </c>
      <c r="G26" s="213"/>
      <c r="H26" s="213"/>
      <c r="I26" s="213"/>
      <c r="J26" s="214"/>
      <c r="K26" s="216"/>
      <c r="L26" s="216"/>
      <c r="M26" s="388"/>
      <c r="N26" s="376" t="s">
        <v>2231</v>
      </c>
    </row>
    <row r="27" spans="2:14" x14ac:dyDescent="0.2">
      <c r="B27" t="s">
        <v>3512</v>
      </c>
      <c r="F27" s="389" t="s">
        <v>2684</v>
      </c>
      <c r="G27" s="216" t="s">
        <v>2685</v>
      </c>
      <c r="H27" s="216"/>
      <c r="I27" s="216"/>
      <c r="J27" s="214"/>
      <c r="K27" s="217"/>
      <c r="L27" s="217"/>
      <c r="M27" s="390"/>
      <c r="N27" s="376" t="s">
        <v>2231</v>
      </c>
    </row>
    <row r="28" spans="2:14" x14ac:dyDescent="0.2">
      <c r="B28" s="415" t="s">
        <v>3521</v>
      </c>
      <c r="F28" s="391">
        <v>0</v>
      </c>
      <c r="G28" s="217">
        <v>0</v>
      </c>
      <c r="H28" s="218" t="s">
        <v>2686</v>
      </c>
      <c r="I28" s="218"/>
      <c r="J28" s="215"/>
      <c r="K28" s="217"/>
      <c r="L28" s="217"/>
      <c r="M28" s="390"/>
      <c r="N28" s="376" t="s">
        <v>2231</v>
      </c>
    </row>
    <row r="29" spans="2:14" x14ac:dyDescent="0.2">
      <c r="B29" t="s">
        <v>3514</v>
      </c>
      <c r="F29" s="392">
        <v>100</v>
      </c>
      <c r="G29" s="217">
        <v>-1</v>
      </c>
      <c r="H29" s="218" t="s">
        <v>3653</v>
      </c>
      <c r="I29" s="218"/>
      <c r="J29" s="215"/>
      <c r="K29" s="217"/>
      <c r="L29" s="217"/>
      <c r="M29" s="390"/>
      <c r="N29" s="376" t="s">
        <v>2231</v>
      </c>
    </row>
    <row r="30" spans="2:14" x14ac:dyDescent="0.2">
      <c r="F30" s="392">
        <v>20</v>
      </c>
      <c r="G30" s="217">
        <v>-2</v>
      </c>
      <c r="H30" s="218" t="s">
        <v>3654</v>
      </c>
      <c r="I30" s="218"/>
      <c r="J30" s="215"/>
      <c r="K30" s="217"/>
      <c r="L30" s="217"/>
      <c r="M30" s="390"/>
      <c r="N30" s="376" t="s">
        <v>2231</v>
      </c>
    </row>
    <row r="31" spans="2:14" x14ac:dyDescent="0.2">
      <c r="B31" t="s">
        <v>3513</v>
      </c>
      <c r="F31" s="392">
        <v>1</v>
      </c>
      <c r="G31" s="217">
        <v>-3</v>
      </c>
      <c r="H31" s="218" t="s">
        <v>3655</v>
      </c>
      <c r="I31" s="218"/>
      <c r="J31" s="215"/>
      <c r="K31" s="217"/>
      <c r="L31" s="217"/>
      <c r="M31" s="390"/>
      <c r="N31" s="376" t="s">
        <v>2231</v>
      </c>
    </row>
    <row r="32" spans="2:14" x14ac:dyDescent="0.2">
      <c r="B32" s="415" t="s">
        <v>3521</v>
      </c>
      <c r="F32" s="392">
        <v>0.5</v>
      </c>
      <c r="G32" s="217">
        <v>-4</v>
      </c>
      <c r="H32" s="218" t="s">
        <v>3656</v>
      </c>
      <c r="I32" s="218"/>
      <c r="J32" s="215"/>
      <c r="K32" s="217"/>
      <c r="L32" s="217"/>
      <c r="M32" s="390"/>
      <c r="N32" s="376" t="s">
        <v>2231</v>
      </c>
    </row>
    <row r="33" spans="2:14" ht="13.5" thickBot="1" x14ac:dyDescent="0.25">
      <c r="B33" s="415" t="s">
        <v>3522</v>
      </c>
      <c r="F33" s="393">
        <v>0.2</v>
      </c>
      <c r="G33" s="394">
        <v>-5</v>
      </c>
      <c r="H33" s="395" t="s">
        <v>3657</v>
      </c>
      <c r="I33" s="395"/>
      <c r="J33" s="396"/>
      <c r="K33" s="394"/>
      <c r="L33" s="394"/>
      <c r="M33" s="397"/>
      <c r="N33" s="376" t="s">
        <v>2231</v>
      </c>
    </row>
    <row r="34" spans="2:14" ht="13.5" thickBot="1" x14ac:dyDescent="0.25">
      <c r="F34" s="220"/>
      <c r="G34" s="217"/>
      <c r="H34" s="217"/>
      <c r="I34" s="217"/>
      <c r="J34" s="207"/>
      <c r="K34" s="217"/>
      <c r="L34" s="217"/>
      <c r="M34" s="217"/>
      <c r="N34" s="376" t="s">
        <v>2231</v>
      </c>
    </row>
    <row r="35" spans="2:14" x14ac:dyDescent="0.2">
      <c r="B35" t="s">
        <v>3515</v>
      </c>
      <c r="F35" s="381" t="s">
        <v>2689</v>
      </c>
      <c r="G35" s="384"/>
      <c r="H35" s="384"/>
      <c r="I35" s="384"/>
      <c r="J35" s="398"/>
      <c r="K35" s="384"/>
      <c r="L35" s="384"/>
      <c r="M35" s="385"/>
    </row>
    <row r="36" spans="2:14" x14ac:dyDescent="0.2">
      <c r="B36" s="415" t="s">
        <v>3516</v>
      </c>
      <c r="F36" s="386" t="s">
        <v>2690</v>
      </c>
      <c r="G36" s="213"/>
      <c r="H36" s="213"/>
      <c r="I36" s="213"/>
      <c r="J36" s="214"/>
      <c r="K36" s="221"/>
      <c r="L36" s="221"/>
      <c r="M36" s="387"/>
    </row>
    <row r="37" spans="2:14" x14ac:dyDescent="0.2">
      <c r="F37" s="389" t="s">
        <v>2684</v>
      </c>
      <c r="G37" s="216" t="s">
        <v>2685</v>
      </c>
      <c r="H37" s="216"/>
      <c r="I37" s="216"/>
      <c r="J37" s="214"/>
      <c r="K37" s="221"/>
      <c r="L37" s="221"/>
      <c r="M37" s="388"/>
    </row>
    <row r="38" spans="2:14" x14ac:dyDescent="0.2">
      <c r="B38" t="s">
        <v>3523</v>
      </c>
      <c r="F38" s="392">
        <v>0</v>
      </c>
      <c r="G38" s="217">
        <v>0</v>
      </c>
      <c r="H38" s="218" t="s">
        <v>2691</v>
      </c>
      <c r="I38" s="218"/>
      <c r="J38" s="215"/>
      <c r="K38" s="221"/>
      <c r="L38" s="221"/>
      <c r="M38" s="390"/>
    </row>
    <row r="39" spans="2:14" x14ac:dyDescent="0.2">
      <c r="B39" s="415" t="s">
        <v>3517</v>
      </c>
      <c r="F39" s="392">
        <v>8.9999999999999993E-3</v>
      </c>
      <c r="G39" s="217">
        <v>-1</v>
      </c>
      <c r="H39" s="218" t="s">
        <v>2692</v>
      </c>
      <c r="I39" s="218"/>
      <c r="J39" s="215"/>
      <c r="K39" s="221"/>
      <c r="L39" s="221"/>
      <c r="M39" s="390"/>
    </row>
    <row r="40" spans="2:14" x14ac:dyDescent="0.2">
      <c r="B40" s="415" t="s">
        <v>3518</v>
      </c>
      <c r="F40" s="392">
        <v>1.9E-2</v>
      </c>
      <c r="G40" s="217">
        <v>-2</v>
      </c>
      <c r="H40" s="218" t="s">
        <v>2693</v>
      </c>
      <c r="I40" s="218"/>
      <c r="J40" s="215"/>
      <c r="K40" s="221"/>
      <c r="L40" s="221"/>
      <c r="M40" s="390"/>
    </row>
    <row r="41" spans="2:14" x14ac:dyDescent="0.2">
      <c r="F41" s="392">
        <v>2.9000000000000001E-2</v>
      </c>
      <c r="G41" s="217">
        <v>-3</v>
      </c>
      <c r="H41" s="218" t="s">
        <v>2694</v>
      </c>
      <c r="I41" s="218"/>
      <c r="J41" s="215"/>
      <c r="K41" s="221"/>
      <c r="L41" s="221"/>
      <c r="M41" s="390"/>
    </row>
    <row r="42" spans="2:14" x14ac:dyDescent="0.2">
      <c r="F42" s="392">
        <v>3.9E-2</v>
      </c>
      <c r="G42" s="217">
        <v>-4</v>
      </c>
      <c r="H42" s="218" t="s">
        <v>2695</v>
      </c>
      <c r="I42" s="218"/>
      <c r="J42" s="215"/>
      <c r="K42" s="221"/>
      <c r="L42" s="221"/>
      <c r="M42" s="390"/>
    </row>
    <row r="43" spans="2:14" ht="13.5" thickBot="1" x14ac:dyDescent="0.25">
      <c r="F43" s="393">
        <v>4.9000000000000002E-2</v>
      </c>
      <c r="G43" s="394">
        <v>-5</v>
      </c>
      <c r="H43" s="395" t="s">
        <v>2696</v>
      </c>
      <c r="I43" s="395"/>
      <c r="J43" s="396"/>
      <c r="K43" s="399"/>
      <c r="L43" s="399"/>
      <c r="M43" s="397"/>
    </row>
    <row r="44" spans="2:14" ht="13.5" thickBot="1" x14ac:dyDescent="0.25">
      <c r="F44" s="220"/>
      <c r="G44" s="217"/>
      <c r="H44" s="217"/>
      <c r="I44" s="217"/>
      <c r="J44" s="207"/>
      <c r="K44" s="206"/>
      <c r="L44" s="206"/>
      <c r="M44" s="206"/>
    </row>
    <row r="45" spans="2:14" x14ac:dyDescent="0.2">
      <c r="F45" s="381" t="s">
        <v>2697</v>
      </c>
      <c r="G45" s="384"/>
      <c r="H45" s="384"/>
      <c r="I45" s="384"/>
      <c r="J45" s="398"/>
      <c r="K45" s="384"/>
      <c r="L45" s="384"/>
      <c r="M45" s="385"/>
    </row>
    <row r="46" spans="2:14" x14ac:dyDescent="0.2">
      <c r="F46" s="386" t="s">
        <v>2698</v>
      </c>
      <c r="G46" s="213"/>
      <c r="H46" s="213"/>
      <c r="I46" s="213"/>
      <c r="J46" s="215"/>
      <c r="K46" s="213"/>
      <c r="L46" s="213"/>
      <c r="M46" s="387"/>
    </row>
    <row r="47" spans="2:14" x14ac:dyDescent="0.2">
      <c r="F47" s="389" t="s">
        <v>2699</v>
      </c>
      <c r="G47" s="216" t="s">
        <v>2685</v>
      </c>
      <c r="H47" s="216"/>
      <c r="I47" s="216"/>
      <c r="J47" s="224"/>
      <c r="K47" s="213"/>
      <c r="L47" s="213"/>
      <c r="M47" s="387"/>
    </row>
    <row r="48" spans="2:14" x14ac:dyDescent="0.2">
      <c r="F48" s="392"/>
      <c r="G48" s="217">
        <v>5</v>
      </c>
      <c r="H48" s="218" t="s">
        <v>3305</v>
      </c>
      <c r="I48" s="218"/>
      <c r="J48" s="215"/>
      <c r="K48" s="213"/>
      <c r="L48" s="213"/>
      <c r="M48" s="387"/>
    </row>
    <row r="49" spans="6:13" x14ac:dyDescent="0.2">
      <c r="F49" s="392">
        <v>2.25</v>
      </c>
      <c r="G49" s="217">
        <v>4</v>
      </c>
      <c r="H49" s="218" t="s">
        <v>3304</v>
      </c>
      <c r="I49" s="218"/>
      <c r="J49" s="215"/>
      <c r="K49" s="213"/>
      <c r="L49" s="213"/>
      <c r="M49" s="387"/>
    </row>
    <row r="50" spans="6:13" x14ac:dyDescent="0.2">
      <c r="F50" s="392">
        <v>2</v>
      </c>
      <c r="G50" s="217">
        <v>3</v>
      </c>
      <c r="H50" s="218" t="s">
        <v>2938</v>
      </c>
      <c r="I50" s="218"/>
      <c r="J50" s="215"/>
      <c r="K50" s="213"/>
      <c r="L50" s="213"/>
      <c r="M50" s="387"/>
    </row>
    <row r="51" spans="6:13" x14ac:dyDescent="0.2">
      <c r="F51" s="392">
        <v>1.75</v>
      </c>
      <c r="G51" s="217">
        <v>2</v>
      </c>
      <c r="H51" s="218" t="s">
        <v>2939</v>
      </c>
      <c r="I51" s="218"/>
      <c r="J51" s="215"/>
      <c r="K51" s="213"/>
      <c r="L51" s="213"/>
      <c r="M51" s="387"/>
    </row>
    <row r="52" spans="6:13" x14ac:dyDescent="0.2">
      <c r="F52" s="392">
        <v>1.5</v>
      </c>
      <c r="G52" s="217">
        <v>1</v>
      </c>
      <c r="H52" s="218" t="s">
        <v>2940</v>
      </c>
      <c r="I52" s="218"/>
      <c r="J52" s="215"/>
      <c r="K52" s="213"/>
      <c r="L52" s="213"/>
      <c r="M52" s="387"/>
    </row>
    <row r="53" spans="6:13" x14ac:dyDescent="0.2">
      <c r="F53" s="392">
        <v>1.25</v>
      </c>
      <c r="G53" s="217">
        <v>0</v>
      </c>
      <c r="H53" s="218" t="s">
        <v>3671</v>
      </c>
      <c r="I53" s="218"/>
      <c r="J53" s="215"/>
      <c r="K53" s="213"/>
      <c r="L53" s="213"/>
      <c r="M53" s="387"/>
    </row>
    <row r="54" spans="6:13" x14ac:dyDescent="0.2">
      <c r="F54" s="392">
        <v>0.75</v>
      </c>
      <c r="G54" s="217">
        <v>-1</v>
      </c>
      <c r="H54" s="218" t="s">
        <v>2941</v>
      </c>
      <c r="I54" s="218"/>
      <c r="J54" s="215"/>
      <c r="K54" s="213"/>
      <c r="L54" s="213"/>
      <c r="M54" s="387"/>
    </row>
    <row r="55" spans="6:13" x14ac:dyDescent="0.2">
      <c r="F55" s="392">
        <v>0.5</v>
      </c>
      <c r="G55" s="217">
        <v>-2</v>
      </c>
      <c r="H55" s="218" t="s">
        <v>2942</v>
      </c>
      <c r="I55" s="218"/>
      <c r="J55" s="215"/>
      <c r="K55" s="213"/>
      <c r="L55" s="213"/>
      <c r="M55" s="387"/>
    </row>
    <row r="56" spans="6:13" x14ac:dyDescent="0.2">
      <c r="F56" s="392">
        <v>0.25</v>
      </c>
      <c r="G56" s="217">
        <v>-3</v>
      </c>
      <c r="H56" s="218" t="s">
        <v>2943</v>
      </c>
      <c r="I56" s="218"/>
      <c r="J56" s="215"/>
      <c r="K56" s="213"/>
      <c r="L56" s="213"/>
      <c r="M56" s="387"/>
    </row>
    <row r="57" spans="6:13" x14ac:dyDescent="0.2">
      <c r="F57" s="392">
        <v>0.1</v>
      </c>
      <c r="G57" s="217">
        <v>-4</v>
      </c>
      <c r="H57" s="218" t="s">
        <v>3302</v>
      </c>
      <c r="I57" s="218"/>
      <c r="J57" s="215"/>
      <c r="K57" s="213"/>
      <c r="L57" s="213"/>
      <c r="M57" s="387"/>
    </row>
    <row r="58" spans="6:13" ht="13.5" thickBot="1" x14ac:dyDescent="0.25">
      <c r="F58" s="393">
        <v>0.02</v>
      </c>
      <c r="G58" s="394">
        <v>-5</v>
      </c>
      <c r="H58" s="395" t="s">
        <v>3303</v>
      </c>
      <c r="I58" s="395"/>
      <c r="J58" s="396"/>
      <c r="K58" s="400"/>
      <c r="L58" s="399"/>
      <c r="M58" s="401"/>
    </row>
    <row r="59" spans="6:13" ht="13.5" thickBot="1" x14ac:dyDescent="0.25">
      <c r="F59" s="220"/>
      <c r="G59" s="217"/>
      <c r="H59" s="217"/>
      <c r="I59" s="217"/>
      <c r="J59" s="204"/>
      <c r="K59" s="175"/>
      <c r="L59" s="175"/>
      <c r="M59" s="175"/>
    </row>
    <row r="60" spans="6:13" x14ac:dyDescent="0.2">
      <c r="F60" s="381" t="s">
        <v>2700</v>
      </c>
      <c r="G60" s="384"/>
      <c r="H60" s="384"/>
      <c r="I60" s="384"/>
      <c r="J60" s="398"/>
      <c r="K60" s="384"/>
      <c r="L60" s="384"/>
      <c r="M60" s="385"/>
    </row>
    <row r="61" spans="6:13" x14ac:dyDescent="0.2">
      <c r="F61" s="386" t="s">
        <v>2701</v>
      </c>
      <c r="G61" s="213"/>
      <c r="H61" s="213"/>
      <c r="I61" s="213"/>
      <c r="J61" s="215"/>
      <c r="K61" s="213"/>
      <c r="L61" s="213"/>
      <c r="M61" s="387"/>
    </row>
    <row r="62" spans="6:13" x14ac:dyDescent="0.2">
      <c r="F62" s="402"/>
      <c r="G62" s="216" t="s">
        <v>2685</v>
      </c>
      <c r="H62" s="216"/>
      <c r="I62" s="216"/>
      <c r="J62" s="215"/>
      <c r="K62" s="213"/>
      <c r="L62" s="213"/>
      <c r="M62" s="387"/>
    </row>
    <row r="63" spans="6:13" x14ac:dyDescent="0.2">
      <c r="F63" s="392">
        <v>0.499</v>
      </c>
      <c r="G63" s="217">
        <v>5</v>
      </c>
      <c r="H63" s="218" t="s">
        <v>2702</v>
      </c>
      <c r="I63" s="218"/>
      <c r="J63" s="215"/>
      <c r="K63" s="213"/>
      <c r="L63" s="213"/>
      <c r="M63" s="387"/>
    </row>
    <row r="64" spans="6:13" x14ac:dyDescent="0.2">
      <c r="F64" s="392">
        <v>0.249</v>
      </c>
      <c r="G64" s="217">
        <v>4</v>
      </c>
      <c r="H64" s="218" t="s">
        <v>2944</v>
      </c>
      <c r="I64" s="218"/>
      <c r="J64" s="215"/>
      <c r="K64" s="213"/>
      <c r="L64" s="213"/>
      <c r="M64" s="387"/>
    </row>
    <row r="65" spans="6:13" x14ac:dyDescent="0.2">
      <c r="F65" s="392">
        <v>0.99</v>
      </c>
      <c r="G65" s="217">
        <v>3</v>
      </c>
      <c r="H65" s="218" t="s">
        <v>2945</v>
      </c>
      <c r="I65" s="218"/>
      <c r="J65" s="215"/>
      <c r="K65" s="213"/>
      <c r="L65" s="213"/>
      <c r="M65" s="387"/>
    </row>
    <row r="66" spans="6:13" x14ac:dyDescent="0.2">
      <c r="F66" s="392">
        <v>4.9000000000000002E-2</v>
      </c>
      <c r="G66" s="217">
        <v>2</v>
      </c>
      <c r="H66" s="218" t="s">
        <v>2946</v>
      </c>
      <c r="I66" s="218"/>
      <c r="J66" s="215"/>
      <c r="K66" s="213"/>
      <c r="L66" s="213"/>
      <c r="M66" s="387"/>
    </row>
    <row r="67" spans="6:13" x14ac:dyDescent="0.2">
      <c r="F67" s="392">
        <v>8.9999999999999993E-3</v>
      </c>
      <c r="G67" s="217">
        <v>1</v>
      </c>
      <c r="H67" s="218" t="s">
        <v>2703</v>
      </c>
      <c r="I67" s="218"/>
      <c r="J67" s="215"/>
      <c r="K67" s="213"/>
      <c r="L67" s="213"/>
      <c r="M67" s="387"/>
    </row>
    <row r="68" spans="6:13" x14ac:dyDescent="0.2">
      <c r="F68" s="392">
        <v>0</v>
      </c>
      <c r="G68" s="217">
        <v>0</v>
      </c>
      <c r="H68" s="218" t="s">
        <v>2704</v>
      </c>
      <c r="I68" s="218"/>
      <c r="J68" s="215"/>
      <c r="K68" s="213"/>
      <c r="L68" s="213"/>
      <c r="M68" s="387"/>
    </row>
    <row r="69" spans="6:13" x14ac:dyDescent="0.2">
      <c r="F69" s="392">
        <v>-4.9000000000000002E-2</v>
      </c>
      <c r="G69" s="217">
        <v>-1</v>
      </c>
      <c r="H69" s="218" t="s">
        <v>2705</v>
      </c>
      <c r="I69" s="218"/>
      <c r="J69" s="215"/>
      <c r="K69" s="213"/>
      <c r="L69" s="213"/>
      <c r="M69" s="387"/>
    </row>
    <row r="70" spans="6:13" x14ac:dyDescent="0.2">
      <c r="F70" s="392">
        <v>-9.9000000000000005E-2</v>
      </c>
      <c r="G70" s="217">
        <v>-2</v>
      </c>
      <c r="H70" s="218" t="s">
        <v>2947</v>
      </c>
      <c r="I70" s="218"/>
      <c r="J70" s="215"/>
      <c r="K70" s="213"/>
      <c r="L70" s="213"/>
      <c r="M70" s="387"/>
    </row>
    <row r="71" spans="6:13" x14ac:dyDescent="0.2">
      <c r="F71" s="392">
        <v>-0.249</v>
      </c>
      <c r="G71" s="217">
        <v>-3</v>
      </c>
      <c r="H71" s="218" t="s">
        <v>2948</v>
      </c>
      <c r="I71" s="218"/>
      <c r="J71" s="215"/>
      <c r="K71" s="213"/>
      <c r="L71" s="213"/>
      <c r="M71" s="387"/>
    </row>
    <row r="72" spans="6:13" x14ac:dyDescent="0.2">
      <c r="F72" s="392">
        <v>-0.49</v>
      </c>
      <c r="G72" s="217">
        <v>-4</v>
      </c>
      <c r="H72" s="218" t="s">
        <v>2949</v>
      </c>
      <c r="I72" s="218"/>
      <c r="J72" s="215"/>
      <c r="K72" s="213"/>
      <c r="L72" s="213"/>
      <c r="M72" s="387"/>
    </row>
    <row r="73" spans="6:13" ht="13.5" thickBot="1" x14ac:dyDescent="0.25">
      <c r="F73" s="403" t="s">
        <v>2706</v>
      </c>
      <c r="G73" s="394">
        <v>-5</v>
      </c>
      <c r="H73" s="395" t="s">
        <v>2707</v>
      </c>
      <c r="I73" s="395"/>
      <c r="J73" s="396"/>
      <c r="K73" s="400"/>
      <c r="L73" s="400"/>
      <c r="M73" s="404"/>
    </row>
    <row r="74" spans="6:13" ht="13.5" thickBot="1" x14ac:dyDescent="0.25">
      <c r="F74" s="225"/>
      <c r="G74" s="217"/>
      <c r="H74" s="175"/>
      <c r="I74" s="175"/>
      <c r="J74" s="204"/>
      <c r="K74" s="175"/>
      <c r="L74" s="175"/>
      <c r="M74" s="175"/>
    </row>
    <row r="75" spans="6:13" x14ac:dyDescent="0.2">
      <c r="F75" s="381" t="s">
        <v>2708</v>
      </c>
      <c r="G75" s="384"/>
      <c r="H75" s="384"/>
      <c r="I75" s="384"/>
      <c r="J75" s="398"/>
      <c r="K75" s="384"/>
      <c r="L75" s="382"/>
      <c r="M75" s="405"/>
    </row>
    <row r="76" spans="6:13" x14ac:dyDescent="0.2">
      <c r="F76" s="386" t="s">
        <v>2709</v>
      </c>
      <c r="G76" s="216"/>
      <c r="H76" s="213"/>
      <c r="I76" s="213"/>
      <c r="J76" s="215"/>
      <c r="K76" s="213"/>
      <c r="L76" s="213"/>
      <c r="M76" s="387"/>
    </row>
    <row r="77" spans="6:13" x14ac:dyDescent="0.2">
      <c r="F77" s="386" t="s">
        <v>2710</v>
      </c>
      <c r="G77" s="217"/>
      <c r="H77" s="213"/>
      <c r="I77" s="213"/>
      <c r="J77" s="215"/>
      <c r="K77" s="213"/>
      <c r="L77" s="213"/>
      <c r="M77" s="387"/>
    </row>
    <row r="78" spans="6:13" x14ac:dyDescent="0.2">
      <c r="F78" s="389" t="s">
        <v>2711</v>
      </c>
      <c r="G78" s="216" t="s">
        <v>2685</v>
      </c>
      <c r="H78" s="221"/>
      <c r="I78" s="221"/>
      <c r="J78" s="214"/>
      <c r="K78" s="221"/>
      <c r="L78" s="221"/>
      <c r="M78" s="406"/>
    </row>
    <row r="79" spans="6:13" x14ac:dyDescent="0.2">
      <c r="F79" s="392">
        <v>0.99</v>
      </c>
      <c r="G79" s="217">
        <v>5</v>
      </c>
      <c r="H79" s="218" t="s">
        <v>2712</v>
      </c>
      <c r="I79" s="218"/>
      <c r="J79" s="215" t="s">
        <v>3149</v>
      </c>
      <c r="K79" s="213"/>
      <c r="L79" s="213"/>
      <c r="M79" s="387"/>
    </row>
    <row r="80" spans="6:13" x14ac:dyDescent="0.2">
      <c r="F80" s="392">
        <v>1.99</v>
      </c>
      <c r="G80" s="217">
        <v>4</v>
      </c>
      <c r="H80" s="218" t="s">
        <v>2713</v>
      </c>
      <c r="I80" s="218"/>
      <c r="J80" s="215" t="s">
        <v>3149</v>
      </c>
      <c r="K80" s="213"/>
      <c r="L80" s="213"/>
      <c r="M80" s="387"/>
    </row>
    <row r="81" spans="6:13" x14ac:dyDescent="0.2">
      <c r="F81" s="392">
        <v>2.99</v>
      </c>
      <c r="G81" s="217">
        <v>3</v>
      </c>
      <c r="H81" s="218" t="s">
        <v>2714</v>
      </c>
      <c r="I81" s="218"/>
      <c r="J81" s="215" t="s">
        <v>3149</v>
      </c>
      <c r="K81" s="213"/>
      <c r="L81" s="213"/>
      <c r="M81" s="387"/>
    </row>
    <row r="82" spans="6:13" x14ac:dyDescent="0.2">
      <c r="F82" s="392">
        <v>3.99</v>
      </c>
      <c r="G82" s="217">
        <v>2</v>
      </c>
      <c r="H82" s="218" t="s">
        <v>2715</v>
      </c>
      <c r="I82" s="218"/>
      <c r="J82" s="215" t="s">
        <v>3150</v>
      </c>
      <c r="K82" s="213"/>
      <c r="L82" s="213"/>
      <c r="M82" s="387"/>
    </row>
    <row r="83" spans="6:13" x14ac:dyDescent="0.2">
      <c r="F83" s="392">
        <v>4.99</v>
      </c>
      <c r="G83" s="217">
        <v>1</v>
      </c>
      <c r="H83" s="218" t="s">
        <v>2716</v>
      </c>
      <c r="I83" s="218"/>
      <c r="J83" s="215" t="s">
        <v>3150</v>
      </c>
      <c r="K83" s="213"/>
      <c r="L83" s="213"/>
      <c r="M83" s="387"/>
    </row>
    <row r="84" spans="6:13" x14ac:dyDescent="0.2">
      <c r="F84" s="386" t="s">
        <v>2717</v>
      </c>
      <c r="G84" s="217">
        <v>0</v>
      </c>
      <c r="H84" s="218" t="s">
        <v>3147</v>
      </c>
      <c r="I84" s="218"/>
      <c r="J84" s="215" t="s">
        <v>3148</v>
      </c>
      <c r="K84" s="213"/>
      <c r="L84" s="213"/>
      <c r="M84" s="387"/>
    </row>
    <row r="85" spans="6:13" x14ac:dyDescent="0.2">
      <c r="F85" s="392">
        <v>5.99</v>
      </c>
      <c r="G85" s="217">
        <v>-1</v>
      </c>
      <c r="H85" s="218" t="s">
        <v>2718</v>
      </c>
      <c r="I85" s="218"/>
      <c r="J85" s="215" t="s">
        <v>3150</v>
      </c>
      <c r="K85" s="213"/>
      <c r="L85" s="213"/>
      <c r="M85" s="387"/>
    </row>
    <row r="86" spans="6:13" x14ac:dyDescent="0.2">
      <c r="F86" s="392">
        <v>6.99</v>
      </c>
      <c r="G86" s="217">
        <v>-2</v>
      </c>
      <c r="H86" s="218" t="s">
        <v>2719</v>
      </c>
      <c r="I86" s="218"/>
      <c r="J86" s="215" t="s">
        <v>3150</v>
      </c>
      <c r="K86" s="213"/>
      <c r="L86" s="213"/>
      <c r="M86" s="387"/>
    </row>
    <row r="87" spans="6:13" x14ac:dyDescent="0.2">
      <c r="F87" s="392">
        <v>7.99</v>
      </c>
      <c r="G87" s="217">
        <v>-3</v>
      </c>
      <c r="H87" s="218" t="s">
        <v>2720</v>
      </c>
      <c r="I87" s="218"/>
      <c r="J87" s="215" t="s">
        <v>3151</v>
      </c>
      <c r="K87" s="213"/>
      <c r="L87" s="213"/>
      <c r="M87" s="387"/>
    </row>
    <row r="88" spans="6:13" x14ac:dyDescent="0.2">
      <c r="F88" s="392">
        <v>8.99</v>
      </c>
      <c r="G88" s="217">
        <v>-4</v>
      </c>
      <c r="H88" s="218" t="s">
        <v>2721</v>
      </c>
      <c r="I88" s="218"/>
      <c r="J88" s="215" t="s">
        <v>3151</v>
      </c>
      <c r="K88" s="213"/>
      <c r="L88" s="213"/>
      <c r="M88" s="387"/>
    </row>
    <row r="89" spans="6:13" ht="13.5" thickBot="1" x14ac:dyDescent="0.25">
      <c r="F89" s="393">
        <v>9.99</v>
      </c>
      <c r="G89" s="394">
        <v>-5</v>
      </c>
      <c r="H89" s="395" t="s">
        <v>2722</v>
      </c>
      <c r="I89" s="395"/>
      <c r="J89" s="396" t="s">
        <v>3151</v>
      </c>
      <c r="K89" s="399"/>
      <c r="L89" s="399"/>
      <c r="M89" s="401"/>
    </row>
    <row r="90" spans="6:13" ht="13.5" thickBot="1" x14ac:dyDescent="0.25">
      <c r="F90" s="207"/>
      <c r="G90" s="206"/>
      <c r="H90" s="206"/>
      <c r="I90" s="206"/>
      <c r="J90" s="207"/>
      <c r="K90" s="206"/>
      <c r="L90" s="206"/>
      <c r="M90" s="206"/>
    </row>
    <row r="91" spans="6:13" x14ac:dyDescent="0.2">
      <c r="F91" s="381" t="s">
        <v>1673</v>
      </c>
      <c r="G91" s="382"/>
      <c r="H91" s="382"/>
      <c r="I91" s="382"/>
      <c r="J91" s="383"/>
      <c r="K91" s="382"/>
      <c r="L91" s="382"/>
      <c r="M91" s="405"/>
    </row>
    <row r="92" spans="6:13" x14ac:dyDescent="0.2">
      <c r="F92" s="402">
        <v>5</v>
      </c>
      <c r="G92" s="226" t="s">
        <v>2657</v>
      </c>
      <c r="H92" s="222"/>
      <c r="I92" s="222"/>
      <c r="J92" s="225">
        <v>5</v>
      </c>
      <c r="K92" s="221"/>
      <c r="L92" s="221"/>
      <c r="M92" s="406"/>
    </row>
    <row r="93" spans="6:13" x14ac:dyDescent="0.2">
      <c r="F93" s="402">
        <v>4</v>
      </c>
      <c r="G93" s="226" t="s">
        <v>2664</v>
      </c>
      <c r="H93" s="222"/>
      <c r="I93" s="222"/>
      <c r="J93" s="225">
        <v>4</v>
      </c>
      <c r="K93" s="221"/>
      <c r="L93" s="221"/>
      <c r="M93" s="406"/>
    </row>
    <row r="94" spans="6:13" x14ac:dyDescent="0.2">
      <c r="F94" s="402">
        <v>3</v>
      </c>
      <c r="G94" s="226" t="s">
        <v>2631</v>
      </c>
      <c r="H94" s="222"/>
      <c r="I94" s="222"/>
      <c r="J94" s="225">
        <v>3</v>
      </c>
      <c r="K94" s="221"/>
      <c r="L94" s="221"/>
      <c r="M94" s="406"/>
    </row>
    <row r="95" spans="6:13" x14ac:dyDescent="0.2">
      <c r="F95" s="402">
        <v>2</v>
      </c>
      <c r="G95" s="226" t="s">
        <v>2653</v>
      </c>
      <c r="H95" s="222"/>
      <c r="I95" s="222"/>
      <c r="J95" s="225">
        <v>2</v>
      </c>
      <c r="K95" s="221"/>
      <c r="L95" s="221"/>
      <c r="M95" s="406"/>
    </row>
    <row r="96" spans="6:13" x14ac:dyDescent="0.2">
      <c r="F96" s="402">
        <v>1</v>
      </c>
      <c r="G96" s="226" t="s">
        <v>2636</v>
      </c>
      <c r="H96" s="222"/>
      <c r="I96" s="222"/>
      <c r="J96" s="225">
        <v>1</v>
      </c>
      <c r="K96" s="221"/>
      <c r="L96" s="221"/>
      <c r="M96" s="406"/>
    </row>
    <row r="97" spans="6:13" ht="13.5" thickBot="1" x14ac:dyDescent="0.25">
      <c r="F97" s="403">
        <v>0</v>
      </c>
      <c r="G97" s="407" t="s">
        <v>2642</v>
      </c>
      <c r="H97" s="408"/>
      <c r="I97" s="408"/>
      <c r="J97" s="409">
        <v>0</v>
      </c>
      <c r="K97" s="399"/>
      <c r="L97" s="399"/>
      <c r="M97" s="401"/>
    </row>
    <row r="98" spans="6:13" ht="13.5" thickBot="1" x14ac:dyDescent="0.25">
      <c r="F98" s="207"/>
      <c r="G98" s="206"/>
      <c r="H98" s="206"/>
      <c r="I98" s="206"/>
      <c r="J98" s="207"/>
      <c r="K98" s="206"/>
      <c r="L98" s="206"/>
      <c r="M98" s="206"/>
    </row>
    <row r="99" spans="6:13" x14ac:dyDescent="0.2">
      <c r="F99" s="381" t="s">
        <v>1674</v>
      </c>
      <c r="G99" s="382"/>
      <c r="H99" s="382"/>
      <c r="I99" s="382"/>
      <c r="J99" s="383"/>
      <c r="K99" s="382"/>
      <c r="L99" s="382"/>
      <c r="M99" s="405"/>
    </row>
    <row r="100" spans="6:13" x14ac:dyDescent="0.2">
      <c r="F100" s="402">
        <v>5</v>
      </c>
      <c r="G100" s="226" t="s">
        <v>2665</v>
      </c>
      <c r="H100" s="213"/>
      <c r="I100" s="213"/>
      <c r="J100" s="214"/>
      <c r="K100" s="225">
        <v>5</v>
      </c>
      <c r="L100" s="221"/>
      <c r="M100" s="406"/>
    </row>
    <row r="101" spans="6:13" x14ac:dyDescent="0.2">
      <c r="F101" s="402">
        <v>4</v>
      </c>
      <c r="G101" s="226" t="s">
        <v>2673</v>
      </c>
      <c r="H101" s="213"/>
      <c r="I101" s="213"/>
      <c r="J101" s="214"/>
      <c r="K101" s="225">
        <v>4</v>
      </c>
      <c r="L101" s="221"/>
      <c r="M101" s="406"/>
    </row>
    <row r="102" spans="6:13" x14ac:dyDescent="0.2">
      <c r="F102" s="402">
        <v>3</v>
      </c>
      <c r="G102" s="226" t="s">
        <v>2644</v>
      </c>
      <c r="H102" s="213"/>
      <c r="I102" s="213"/>
      <c r="J102" s="214"/>
      <c r="K102" s="225">
        <v>3</v>
      </c>
      <c r="L102" s="221"/>
      <c r="M102" s="406"/>
    </row>
    <row r="103" spans="6:13" x14ac:dyDescent="0.2">
      <c r="F103" s="402">
        <v>2</v>
      </c>
      <c r="G103" s="226" t="s">
        <v>2666</v>
      </c>
      <c r="H103" s="213"/>
      <c r="I103" s="213"/>
      <c r="J103" s="214"/>
      <c r="K103" s="225">
        <v>2</v>
      </c>
      <c r="L103" s="221"/>
      <c r="M103" s="406"/>
    </row>
    <row r="104" spans="6:13" x14ac:dyDescent="0.2">
      <c r="F104" s="402">
        <v>1</v>
      </c>
      <c r="G104" s="226" t="s">
        <v>2651</v>
      </c>
      <c r="H104" s="213"/>
      <c r="I104" s="213"/>
      <c r="J104" s="214"/>
      <c r="K104" s="225">
        <v>1</v>
      </c>
      <c r="L104" s="221"/>
      <c r="M104" s="406"/>
    </row>
    <row r="105" spans="6:13" x14ac:dyDescent="0.2">
      <c r="F105" s="402">
        <v>0</v>
      </c>
      <c r="G105" s="226" t="s">
        <v>2643</v>
      </c>
      <c r="H105" s="213"/>
      <c r="I105" s="213"/>
      <c r="J105" s="214"/>
      <c r="K105" s="225">
        <v>0</v>
      </c>
      <c r="L105" s="221"/>
      <c r="M105" s="406"/>
    </row>
    <row r="106" spans="6:13" x14ac:dyDescent="0.2">
      <c r="F106" s="402">
        <v>-1</v>
      </c>
      <c r="G106" s="226" t="s">
        <v>2637</v>
      </c>
      <c r="H106" s="213"/>
      <c r="I106" s="213"/>
      <c r="J106" s="214"/>
      <c r="K106" s="225">
        <v>-1</v>
      </c>
      <c r="L106" s="221"/>
      <c r="M106" s="406"/>
    </row>
    <row r="107" spans="6:13" x14ac:dyDescent="0.2">
      <c r="F107" s="402">
        <v>-2</v>
      </c>
      <c r="G107" s="226" t="s">
        <v>2659</v>
      </c>
      <c r="H107" s="213"/>
      <c r="I107" s="213"/>
      <c r="J107" s="214"/>
      <c r="K107" s="225">
        <v>-2</v>
      </c>
      <c r="L107" s="221"/>
      <c r="M107" s="406"/>
    </row>
    <row r="108" spans="6:13" x14ac:dyDescent="0.2">
      <c r="F108" s="402">
        <v>-3</v>
      </c>
      <c r="G108" s="226" t="s">
        <v>2632</v>
      </c>
      <c r="H108" s="213"/>
      <c r="I108" s="213"/>
      <c r="J108" s="214"/>
      <c r="K108" s="225">
        <v>-3</v>
      </c>
      <c r="L108" s="221"/>
      <c r="M108" s="406"/>
    </row>
    <row r="109" spans="6:13" x14ac:dyDescent="0.2">
      <c r="F109" s="402">
        <v>-4</v>
      </c>
      <c r="G109" s="226" t="s">
        <v>2723</v>
      </c>
      <c r="H109" s="213"/>
      <c r="I109" s="213"/>
      <c r="J109" s="214"/>
      <c r="K109" s="225">
        <v>-4</v>
      </c>
      <c r="L109" s="221"/>
      <c r="M109" s="406"/>
    </row>
    <row r="110" spans="6:13" ht="13.5" thickBot="1" x14ac:dyDescent="0.25">
      <c r="F110" s="403">
        <v>-5</v>
      </c>
      <c r="G110" s="395" t="s">
        <v>2669</v>
      </c>
      <c r="H110" s="400"/>
      <c r="I110" s="400"/>
      <c r="J110" s="410"/>
      <c r="K110" s="394">
        <v>-5</v>
      </c>
      <c r="L110" s="399"/>
      <c r="M110" s="401"/>
    </row>
    <row r="111" spans="6:13" ht="13.5" thickBot="1" x14ac:dyDescent="0.25">
      <c r="F111" s="227"/>
      <c r="G111" s="175"/>
      <c r="H111" s="175"/>
      <c r="I111" s="175"/>
      <c r="J111" s="207"/>
      <c r="K111" s="206"/>
      <c r="L111" s="206"/>
      <c r="M111" s="206"/>
    </row>
    <row r="112" spans="6:13" x14ac:dyDescent="0.2">
      <c r="F112" s="381" t="s">
        <v>1675</v>
      </c>
      <c r="G112" s="382"/>
      <c r="H112" s="382"/>
      <c r="I112" s="382"/>
      <c r="J112" s="383"/>
      <c r="K112" s="382"/>
      <c r="L112" s="382"/>
      <c r="M112" s="405"/>
    </row>
    <row r="113" spans="6:13" x14ac:dyDescent="0.2">
      <c r="F113" s="392">
        <v>0.74990000000000001</v>
      </c>
      <c r="G113" s="217">
        <v>-5</v>
      </c>
      <c r="H113" s="218" t="s">
        <v>3224</v>
      </c>
      <c r="I113" s="218"/>
      <c r="J113" s="214"/>
      <c r="K113" s="221"/>
      <c r="L113" s="221"/>
      <c r="M113" s="406"/>
    </row>
    <row r="114" spans="6:13" x14ac:dyDescent="0.2">
      <c r="F114" s="392">
        <v>0.50990000000000002</v>
      </c>
      <c r="G114" s="217">
        <v>-4</v>
      </c>
      <c r="H114" s="218" t="s">
        <v>3225</v>
      </c>
      <c r="I114" s="218"/>
      <c r="J114" s="214"/>
      <c r="K114" s="221"/>
      <c r="L114" s="221"/>
      <c r="M114" s="406"/>
    </row>
    <row r="115" spans="6:13" x14ac:dyDescent="0.2">
      <c r="F115" s="392">
        <v>0.25990000000000002</v>
      </c>
      <c r="G115" s="217">
        <v>-3</v>
      </c>
      <c r="H115" s="218" t="s">
        <v>3226</v>
      </c>
      <c r="I115" s="218"/>
      <c r="J115" s="214"/>
      <c r="K115" s="221"/>
      <c r="L115" s="221"/>
      <c r="M115" s="406"/>
    </row>
    <row r="116" spans="6:13" x14ac:dyDescent="0.2">
      <c r="F116" s="392">
        <v>5.9900000000000002E-2</v>
      </c>
      <c r="G116" s="217">
        <v>-2</v>
      </c>
      <c r="H116" s="218" t="s">
        <v>3227</v>
      </c>
      <c r="I116" s="218"/>
      <c r="J116" s="214"/>
      <c r="K116" s="221"/>
      <c r="L116" s="221"/>
      <c r="M116" s="406"/>
    </row>
    <row r="117" spans="6:13" x14ac:dyDescent="0.2">
      <c r="F117" s="392">
        <v>0</v>
      </c>
      <c r="G117" s="217">
        <v>-1</v>
      </c>
      <c r="H117" s="218" t="s">
        <v>3228</v>
      </c>
      <c r="I117" s="218"/>
      <c r="J117" s="214"/>
      <c r="K117" s="221"/>
      <c r="L117" s="221"/>
      <c r="M117" s="406"/>
    </row>
    <row r="118" spans="6:13" ht="13.5" thickBot="1" x14ac:dyDescent="0.25">
      <c r="F118" s="411">
        <v>0</v>
      </c>
      <c r="G118" s="394">
        <v>0</v>
      </c>
      <c r="H118" s="395" t="s">
        <v>3229</v>
      </c>
      <c r="I118" s="395"/>
      <c r="J118" s="410"/>
      <c r="K118" s="399"/>
      <c r="L118" s="399"/>
      <c r="M118" s="401"/>
    </row>
    <row r="119" spans="6:13" ht="13.5" thickBot="1" x14ac:dyDescent="0.25">
      <c r="F119" s="380"/>
      <c r="G119" s="175"/>
      <c r="H119" s="175"/>
      <c r="I119" s="175"/>
      <c r="J119" s="207"/>
      <c r="K119" s="206"/>
      <c r="L119" s="206"/>
      <c r="M119" s="206"/>
    </row>
    <row r="120" spans="6:13" x14ac:dyDescent="0.2">
      <c r="F120" s="381" t="s">
        <v>1403</v>
      </c>
      <c r="G120" s="382"/>
      <c r="H120" s="382"/>
      <c r="I120" s="382"/>
      <c r="J120" s="383"/>
      <c r="K120" s="382"/>
      <c r="L120" s="382"/>
      <c r="M120" s="405"/>
    </row>
    <row r="121" spans="6:13" x14ac:dyDescent="0.2">
      <c r="F121" s="402">
        <v>5</v>
      </c>
      <c r="G121" s="218" t="s">
        <v>2724</v>
      </c>
      <c r="H121" s="213"/>
      <c r="I121" s="213"/>
      <c r="J121" s="214"/>
      <c r="K121" s="221"/>
      <c r="L121" s="217">
        <v>5</v>
      </c>
      <c r="M121" s="406"/>
    </row>
    <row r="122" spans="6:13" x14ac:dyDescent="0.2">
      <c r="F122" s="402">
        <v>4</v>
      </c>
      <c r="G122" s="218" t="s">
        <v>2725</v>
      </c>
      <c r="H122" s="213"/>
      <c r="I122" s="213"/>
      <c r="J122" s="214"/>
      <c r="K122" s="221"/>
      <c r="L122" s="217">
        <v>4</v>
      </c>
      <c r="M122" s="406"/>
    </row>
    <row r="123" spans="6:13" x14ac:dyDescent="0.2">
      <c r="F123" s="402">
        <v>3</v>
      </c>
      <c r="G123" s="218" t="s">
        <v>2726</v>
      </c>
      <c r="H123" s="213"/>
      <c r="I123" s="213"/>
      <c r="J123" s="214"/>
      <c r="K123" s="221"/>
      <c r="L123" s="217">
        <v>3</v>
      </c>
      <c r="M123" s="406"/>
    </row>
    <row r="124" spans="6:13" x14ac:dyDescent="0.2">
      <c r="F124" s="402">
        <v>2</v>
      </c>
      <c r="G124" s="218" t="s">
        <v>2633</v>
      </c>
      <c r="H124" s="213"/>
      <c r="I124" s="213"/>
      <c r="J124" s="214"/>
      <c r="K124" s="221"/>
      <c r="L124" s="217">
        <v>2</v>
      </c>
      <c r="M124" s="406"/>
    </row>
    <row r="125" spans="6:13" x14ac:dyDescent="0.2">
      <c r="F125" s="402">
        <v>1</v>
      </c>
      <c r="G125" s="218" t="s">
        <v>2638</v>
      </c>
      <c r="H125" s="213"/>
      <c r="I125" s="213"/>
      <c r="J125" s="214"/>
      <c r="K125" s="221"/>
      <c r="L125" s="217">
        <v>1</v>
      </c>
      <c r="M125" s="406"/>
    </row>
    <row r="126" spans="6:13" x14ac:dyDescent="0.2">
      <c r="F126" s="402">
        <v>0</v>
      </c>
      <c r="G126" s="218" t="s">
        <v>2656</v>
      </c>
      <c r="H126" s="213"/>
      <c r="I126" s="213"/>
      <c r="J126" s="214"/>
      <c r="K126" s="221"/>
      <c r="L126" s="217">
        <v>0</v>
      </c>
      <c r="M126" s="406"/>
    </row>
    <row r="127" spans="6:13" x14ac:dyDescent="0.2">
      <c r="F127" s="402">
        <v>-1</v>
      </c>
      <c r="G127" s="218" t="s">
        <v>2640</v>
      </c>
      <c r="H127" s="213"/>
      <c r="I127" s="213"/>
      <c r="J127" s="214"/>
      <c r="K127" s="221"/>
      <c r="L127" s="217">
        <v>-1</v>
      </c>
      <c r="M127" s="406"/>
    </row>
    <row r="128" spans="6:13" x14ac:dyDescent="0.2">
      <c r="F128" s="402">
        <v>-2</v>
      </c>
      <c r="G128" s="218" t="s">
        <v>2649</v>
      </c>
      <c r="H128" s="213"/>
      <c r="I128" s="213"/>
      <c r="J128" s="214"/>
      <c r="K128" s="221"/>
      <c r="L128" s="217">
        <v>-2</v>
      </c>
      <c r="M128" s="406"/>
    </row>
    <row r="129" spans="6:13" x14ac:dyDescent="0.2">
      <c r="F129" s="402">
        <v>-3</v>
      </c>
      <c r="G129" s="218" t="s">
        <v>2647</v>
      </c>
      <c r="H129" s="213"/>
      <c r="I129" s="213"/>
      <c r="J129" s="214"/>
      <c r="K129" s="221"/>
      <c r="L129" s="217">
        <v>-3</v>
      </c>
      <c r="M129" s="406"/>
    </row>
    <row r="130" spans="6:13" x14ac:dyDescent="0.2">
      <c r="F130" s="402">
        <v>-4</v>
      </c>
      <c r="G130" s="218" t="s">
        <v>2727</v>
      </c>
      <c r="H130" s="213"/>
      <c r="I130" s="213"/>
      <c r="J130" s="214"/>
      <c r="K130" s="221"/>
      <c r="L130" s="217">
        <v>-4</v>
      </c>
      <c r="M130" s="406"/>
    </row>
    <row r="131" spans="6:13" ht="13.5" thickBot="1" x14ac:dyDescent="0.25">
      <c r="F131" s="403">
        <v>-5</v>
      </c>
      <c r="G131" s="395" t="s">
        <v>2728</v>
      </c>
      <c r="H131" s="400"/>
      <c r="I131" s="400"/>
      <c r="J131" s="410"/>
      <c r="K131" s="399"/>
      <c r="L131" s="394">
        <v>-5</v>
      </c>
      <c r="M131" s="401"/>
    </row>
    <row r="132" spans="6:13" ht="13.5" thickBot="1" x14ac:dyDescent="0.25">
      <c r="F132" s="204"/>
      <c r="G132" s="175"/>
      <c r="H132" s="175"/>
      <c r="I132" s="175"/>
      <c r="J132" s="207"/>
      <c r="K132" s="206"/>
      <c r="L132" s="206"/>
      <c r="M132" s="206"/>
    </row>
    <row r="133" spans="6:13" x14ac:dyDescent="0.2">
      <c r="F133" s="381" t="s">
        <v>1404</v>
      </c>
      <c r="G133" s="382"/>
      <c r="H133" s="382"/>
      <c r="I133" s="382"/>
      <c r="J133" s="383"/>
      <c r="K133" s="382"/>
      <c r="L133" s="382"/>
      <c r="M133" s="405"/>
    </row>
    <row r="134" spans="6:13" x14ac:dyDescent="0.2">
      <c r="F134" s="402">
        <v>5</v>
      </c>
      <c r="G134" s="218" t="s">
        <v>3372</v>
      </c>
      <c r="H134" s="213"/>
      <c r="I134" s="213"/>
      <c r="J134" s="214"/>
      <c r="K134" s="221"/>
      <c r="L134" s="217">
        <v>5</v>
      </c>
      <c r="M134" s="412"/>
    </row>
    <row r="135" spans="6:13" x14ac:dyDescent="0.2">
      <c r="F135" s="402">
        <v>4</v>
      </c>
      <c r="G135" s="218" t="s">
        <v>2661</v>
      </c>
      <c r="H135" s="213"/>
      <c r="I135" s="213"/>
      <c r="J135" s="214"/>
      <c r="K135" s="221"/>
      <c r="L135" s="217">
        <v>4</v>
      </c>
      <c r="M135" s="412"/>
    </row>
    <row r="136" spans="6:13" x14ac:dyDescent="0.2">
      <c r="F136" s="402">
        <v>3</v>
      </c>
      <c r="G136" s="218" t="s">
        <v>2634</v>
      </c>
      <c r="H136" s="213"/>
      <c r="I136" s="213"/>
      <c r="J136" s="214"/>
      <c r="K136" s="221"/>
      <c r="L136" s="217">
        <v>3</v>
      </c>
      <c r="M136" s="412"/>
    </row>
    <row r="137" spans="6:13" x14ac:dyDescent="0.2">
      <c r="F137" s="402">
        <v>2</v>
      </c>
      <c r="G137" s="218" t="s">
        <v>3371</v>
      </c>
      <c r="H137" s="213"/>
      <c r="I137" s="213"/>
      <c r="J137" s="214"/>
      <c r="K137" s="221"/>
      <c r="L137" s="217">
        <v>2</v>
      </c>
      <c r="M137" s="412"/>
    </row>
    <row r="138" spans="6:13" x14ac:dyDescent="0.2">
      <c r="F138" s="402">
        <v>1</v>
      </c>
      <c r="G138" s="218" t="s">
        <v>3370</v>
      </c>
      <c r="H138" s="213"/>
      <c r="I138" s="213"/>
      <c r="J138" s="214"/>
      <c r="K138" s="221"/>
      <c r="L138" s="217">
        <v>1</v>
      </c>
      <c r="M138" s="412"/>
    </row>
    <row r="139" spans="6:13" x14ac:dyDescent="0.2">
      <c r="F139" s="402">
        <v>0</v>
      </c>
      <c r="G139" s="218" t="s">
        <v>2646</v>
      </c>
      <c r="H139" s="213"/>
      <c r="I139" s="213"/>
      <c r="J139" s="214"/>
      <c r="K139" s="221"/>
      <c r="L139" s="217">
        <v>0</v>
      </c>
      <c r="M139" s="412"/>
    </row>
    <row r="140" spans="6:13" x14ac:dyDescent="0.2">
      <c r="F140" s="402">
        <v>-1</v>
      </c>
      <c r="G140" s="218" t="s">
        <v>3373</v>
      </c>
      <c r="H140" s="213"/>
      <c r="I140" s="213"/>
      <c r="J140" s="214"/>
      <c r="K140" s="221"/>
      <c r="L140" s="217">
        <v>-1</v>
      </c>
      <c r="M140" s="412"/>
    </row>
    <row r="141" spans="6:13" x14ac:dyDescent="0.2">
      <c r="F141" s="402">
        <v>-2</v>
      </c>
      <c r="G141" s="218" t="s">
        <v>3374</v>
      </c>
      <c r="H141" s="213"/>
      <c r="I141" s="213"/>
      <c r="J141" s="214"/>
      <c r="K141" s="221"/>
      <c r="L141" s="217">
        <v>-2</v>
      </c>
      <c r="M141" s="412"/>
    </row>
    <row r="142" spans="6:13" x14ac:dyDescent="0.2">
      <c r="F142" s="402">
        <v>-3</v>
      </c>
      <c r="G142" s="218" t="s">
        <v>2654</v>
      </c>
      <c r="H142" s="213"/>
      <c r="I142" s="213"/>
      <c r="J142" s="214"/>
      <c r="K142" s="221"/>
      <c r="L142" s="217">
        <v>-3</v>
      </c>
      <c r="M142" s="412"/>
    </row>
    <row r="143" spans="6:13" x14ac:dyDescent="0.2">
      <c r="F143" s="402">
        <v>-4</v>
      </c>
      <c r="G143" s="218" t="s">
        <v>2648</v>
      </c>
      <c r="H143" s="213"/>
      <c r="I143" s="213"/>
      <c r="J143" s="214"/>
      <c r="K143" s="221"/>
      <c r="L143" s="217">
        <v>-4</v>
      </c>
      <c r="M143" s="412"/>
    </row>
    <row r="144" spans="6:13" ht="13.5" thickBot="1" x14ac:dyDescent="0.25">
      <c r="F144" s="403">
        <v>-5</v>
      </c>
      <c r="G144" s="395" t="s">
        <v>3375</v>
      </c>
      <c r="H144" s="400"/>
      <c r="I144" s="400"/>
      <c r="J144" s="410"/>
      <c r="K144" s="399"/>
      <c r="L144" s="394">
        <v>-5</v>
      </c>
      <c r="M144" s="401"/>
    </row>
    <row r="145" spans="6:13" ht="13.5" thickBot="1" x14ac:dyDescent="0.25">
      <c r="F145" s="204"/>
      <c r="G145" s="175"/>
      <c r="H145" s="175"/>
      <c r="I145" s="175"/>
      <c r="J145" s="207"/>
      <c r="K145" s="206"/>
      <c r="L145" s="206"/>
      <c r="M145" s="206"/>
    </row>
    <row r="146" spans="6:13" x14ac:dyDescent="0.2">
      <c r="F146" s="381" t="s">
        <v>2729</v>
      </c>
      <c r="G146" s="382"/>
      <c r="H146" s="382"/>
      <c r="I146" s="382"/>
      <c r="J146" s="383"/>
      <c r="K146" s="382"/>
      <c r="L146" s="382"/>
      <c r="M146" s="405"/>
    </row>
    <row r="147" spans="6:13" x14ac:dyDescent="0.2">
      <c r="F147" s="402">
        <v>5</v>
      </c>
      <c r="G147" s="218" t="s">
        <v>2639</v>
      </c>
      <c r="H147" s="213"/>
      <c r="I147" s="213"/>
      <c r="J147" s="214"/>
      <c r="K147" s="221"/>
      <c r="L147" s="217">
        <v>5</v>
      </c>
      <c r="M147" s="406"/>
    </row>
    <row r="148" spans="6:13" x14ac:dyDescent="0.2">
      <c r="F148" s="402">
        <v>4</v>
      </c>
      <c r="G148" s="218" t="s">
        <v>2645</v>
      </c>
      <c r="H148" s="213"/>
      <c r="I148" s="213"/>
      <c r="J148" s="214"/>
      <c r="K148" s="221"/>
      <c r="L148" s="217">
        <v>4</v>
      </c>
      <c r="M148" s="406"/>
    </row>
    <row r="149" spans="6:13" x14ac:dyDescent="0.2">
      <c r="F149" s="402">
        <v>3</v>
      </c>
      <c r="G149" s="218" t="s">
        <v>2645</v>
      </c>
      <c r="H149" s="213"/>
      <c r="I149" s="213"/>
      <c r="J149" s="214"/>
      <c r="K149" s="221"/>
      <c r="L149" s="217">
        <v>3</v>
      </c>
      <c r="M149" s="406"/>
    </row>
    <row r="150" spans="6:13" x14ac:dyDescent="0.2">
      <c r="F150" s="402">
        <v>2</v>
      </c>
      <c r="G150" s="218" t="s">
        <v>2641</v>
      </c>
      <c r="H150" s="213"/>
      <c r="I150" s="213"/>
      <c r="J150" s="214"/>
      <c r="K150" s="221"/>
      <c r="L150" s="217">
        <v>2</v>
      </c>
      <c r="M150" s="406"/>
    </row>
    <row r="151" spans="6:13" x14ac:dyDescent="0.2">
      <c r="F151" s="402">
        <v>1</v>
      </c>
      <c r="G151" s="218" t="s">
        <v>2641</v>
      </c>
      <c r="H151" s="213"/>
      <c r="I151" s="213"/>
      <c r="J151" s="214"/>
      <c r="K151" s="221"/>
      <c r="L151" s="217">
        <v>1</v>
      </c>
      <c r="M151" s="406"/>
    </row>
    <row r="152" spans="6:13" x14ac:dyDescent="0.2">
      <c r="F152" s="402">
        <v>0</v>
      </c>
      <c r="G152" s="218" t="s">
        <v>2676</v>
      </c>
      <c r="H152" s="213"/>
      <c r="I152" s="213"/>
      <c r="J152" s="214"/>
      <c r="K152" s="221"/>
      <c r="L152" s="217">
        <v>0</v>
      </c>
      <c r="M152" s="406"/>
    </row>
    <row r="153" spans="6:13" x14ac:dyDescent="0.2">
      <c r="F153" s="402">
        <v>-1</v>
      </c>
      <c r="G153" s="218" t="s">
        <v>2658</v>
      </c>
      <c r="H153" s="213"/>
      <c r="I153" s="213"/>
      <c r="J153" s="214"/>
      <c r="K153" s="221"/>
      <c r="L153" s="217">
        <v>-1</v>
      </c>
      <c r="M153" s="406"/>
    </row>
    <row r="154" spans="6:13" x14ac:dyDescent="0.2">
      <c r="F154" s="402">
        <v>-2</v>
      </c>
      <c r="G154" s="218" t="s">
        <v>2658</v>
      </c>
      <c r="H154" s="213"/>
      <c r="I154" s="213"/>
      <c r="J154" s="214"/>
      <c r="K154" s="221"/>
      <c r="L154" s="217">
        <v>-2</v>
      </c>
      <c r="M154" s="406"/>
    </row>
    <row r="155" spans="6:13" x14ac:dyDescent="0.2">
      <c r="F155" s="402">
        <v>-3</v>
      </c>
      <c r="G155" s="218" t="s">
        <v>2635</v>
      </c>
      <c r="H155" s="213"/>
      <c r="I155" s="213"/>
      <c r="J155" s="214"/>
      <c r="K155" s="221"/>
      <c r="L155" s="217">
        <v>-3</v>
      </c>
      <c r="M155" s="406"/>
    </row>
    <row r="156" spans="6:13" x14ac:dyDescent="0.2">
      <c r="F156" s="402">
        <v>-4</v>
      </c>
      <c r="G156" s="218" t="s">
        <v>2635</v>
      </c>
      <c r="H156" s="213"/>
      <c r="I156" s="213"/>
      <c r="J156" s="214"/>
      <c r="K156" s="221"/>
      <c r="L156" s="217">
        <v>-4</v>
      </c>
      <c r="M156" s="406"/>
    </row>
    <row r="157" spans="6:13" ht="13.5" thickBot="1" x14ac:dyDescent="0.25">
      <c r="F157" s="403">
        <v>-5</v>
      </c>
      <c r="G157" s="395" t="s">
        <v>2675</v>
      </c>
      <c r="H157" s="400"/>
      <c r="I157" s="400"/>
      <c r="J157" s="410"/>
      <c r="K157" s="399"/>
      <c r="L157" s="394">
        <v>-5</v>
      </c>
      <c r="M157" s="401"/>
    </row>
    <row r="158" spans="6:13" x14ac:dyDescent="0.2">
      <c r="F158" s="207"/>
      <c r="G158" s="206"/>
      <c r="H158" s="206"/>
      <c r="I158" s="206"/>
      <c r="J158" s="207"/>
      <c r="K158" s="206"/>
      <c r="L158" s="206"/>
      <c r="M158" s="206"/>
    </row>
  </sheetData>
  <customSheetViews>
    <customSheetView guid="{F424B91F-F60F-4B7D-B253-938B2614248E}" topLeftCell="D1">
      <selection activeCell="F19" sqref="F19"/>
      <pageMargins left="0.75" right="0.75" top="1" bottom="1" header="0.5" footer="0.5"/>
      <pageSetup scale="85" orientation="landscape" r:id="rId1"/>
      <headerFooter alignWithMargins="0">
        <oddHeader>&amp;RLookup</oddHeader>
        <oddFooter>Page &amp;P of &amp;N</oddFooter>
      </headerFooter>
    </customSheetView>
  </customSheetViews>
  <phoneticPr fontId="5" type="noConversion"/>
  <pageMargins left="0.75" right="0.75" top="1" bottom="1" header="0.5" footer="0.5"/>
  <pageSetup scale="85" orientation="landscape" r:id="rId2"/>
  <headerFooter alignWithMargins="0">
    <oddHeader>&amp;RLookup</oddHeader>
    <oddFooter>Page &amp;P of &amp;N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C817E46D263FA4EAAB1367BFC4A00A0" ma:contentTypeVersion="0" ma:contentTypeDescription="Create a new document." ma:contentTypeScope="" ma:versionID="dfbfadf69df00d017a7eda92d0a314a8">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45E3AF45-74D2-4356-A8A4-361407B9A668}">
  <ds:schemaRefs>
    <ds:schemaRef ds:uri="http://purl.org/dc/elements/1.1/"/>
    <ds:schemaRef ds:uri="http://schemas.microsoft.com/office/2006/documentManagement/types"/>
    <ds:schemaRef ds:uri="http://purl.org/dc/terms/"/>
    <ds:schemaRef ds:uri="http://schemas.openxmlformats.org/package/2006/metadata/core-properties"/>
    <ds:schemaRef ds:uri="http://purl.org/dc/dcmitype/"/>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970D6AAC-FA47-4FA6-9336-E065CBA9FC83}">
  <ds:schemaRefs>
    <ds:schemaRef ds:uri="http://schemas.microsoft.com/sharepoint/v3/contenttype/forms"/>
  </ds:schemaRefs>
</ds:datastoreItem>
</file>

<file path=customXml/itemProps3.xml><?xml version="1.0" encoding="utf-8"?>
<ds:datastoreItem xmlns:ds="http://schemas.openxmlformats.org/officeDocument/2006/customXml" ds:itemID="{CC9DEE99-014E-494D-875A-2661ABF14EE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CPPE Introduction</vt:lpstr>
      <vt:lpstr>Physical Effects</vt:lpstr>
      <vt:lpstr>Physical Effects-Numbers</vt:lpstr>
      <vt:lpstr>Physical Effects-Tool</vt:lpstr>
      <vt:lpstr>Human Considerations</vt:lpstr>
      <vt:lpstr>Human Considerations-Numbers</vt:lpstr>
      <vt:lpstr>Human Consideration-Definitions</vt:lpstr>
      <vt:lpstr>Human Effects-Tool</vt:lpstr>
      <vt:lpstr>Resource Concerns</vt:lpstr>
      <vt:lpstr>Practice Descriptions</vt:lpstr>
      <vt:lpstr>Practice-LandUse</vt:lpstr>
      <vt:lpstr>Negatives</vt:lpstr>
      <vt:lpstr>Lookup</vt:lpstr>
    </vt:vector>
  </TitlesOfParts>
  <Company>USDA-NRCS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CPPE for FY-2014</dc:title>
  <dc:creator>hal.gordon@por.usda.gov</dc:creator>
  <cp:lastModifiedBy>Patz, Marji - NRCS, Powell, WY</cp:lastModifiedBy>
  <cp:lastPrinted>2014-04-14T19:33:16Z</cp:lastPrinted>
  <dcterms:created xsi:type="dcterms:W3CDTF">2003-08-01T19:27:49Z</dcterms:created>
  <dcterms:modified xsi:type="dcterms:W3CDTF">2019-03-18T19:21:24Z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PID_LINKBASE">
    <vt:lpwstr/>
  </property>
  <property fmtid="{D5CDD505-2E9C-101B-9397-08002B2CF9AE}" pid="3" name="Subject">
    <vt:lpwstr/>
  </property>
  <property fmtid="{D5CDD505-2E9C-101B-9397-08002B2CF9AE}" pid="4" name="Keywords">
    <vt:lpwstr/>
  </property>
  <property fmtid="{D5CDD505-2E9C-101B-9397-08002B2CF9AE}" pid="5" name="_Author">
    <vt:lpwstr>Lyn Townsend</vt:lpwstr>
  </property>
  <property fmtid="{D5CDD505-2E9C-101B-9397-08002B2CF9AE}" pid="6" name="_Category">
    <vt:lpwstr/>
  </property>
  <property fmtid="{D5CDD505-2E9C-101B-9397-08002B2CF9AE}" pid="7" name="Categories">
    <vt:lpwstr/>
  </property>
  <property fmtid="{D5CDD505-2E9C-101B-9397-08002B2CF9AE}" pid="8" name="Approval Level">
    <vt:lpwstr/>
  </property>
  <property fmtid="{D5CDD505-2E9C-101B-9397-08002B2CF9AE}" pid="9" name="_Comments">
    <vt:lpwstr/>
  </property>
  <property fmtid="{D5CDD505-2E9C-101B-9397-08002B2CF9AE}" pid="10" name="Assigned To">
    <vt:lpwstr/>
  </property>
  <property fmtid="{D5CDD505-2E9C-101B-9397-08002B2CF9AE}" pid="11" name="ContentType">
    <vt:lpwstr>Document</vt:lpwstr>
  </property>
  <property fmtid="{D5CDD505-2E9C-101B-9397-08002B2CF9AE}" pid="12" name="_NewReviewCycle">
    <vt:lpwstr/>
  </property>
  <property fmtid="{D5CDD505-2E9C-101B-9397-08002B2CF9AE}" pid="13" name="ContentTypeId">
    <vt:lpwstr>0x0101009C817E46D263FA4EAAB1367BFC4A00A0</vt:lpwstr>
  </property>
</Properties>
</file>